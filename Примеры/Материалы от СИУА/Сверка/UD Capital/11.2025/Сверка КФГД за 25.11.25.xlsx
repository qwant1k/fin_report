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25112025\"/>
    </mc:Choice>
  </mc:AlternateContent>
  <xr:revisionPtr revIDLastSave="0" documentId="13_ncr:1_{22A9DA42-3E44-4C3F-8FBB-2EB76778F0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ДУ!$C$66:$C$75</definedName>
    <definedName name="__mdDATACurrency__">ДУ!$29:$31</definedName>
    <definedName name="__mdDATADDebt__">ДУ!#REF!</definedName>
    <definedName name="__mdDATAHead__">ДУ!$B$2</definedName>
    <definedName name="__mdDATAItogoActive__">ДУ!$B$51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1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B1" i="2"/>
  <c r="C76" i="1"/>
  <c r="G60" i="1"/>
  <c r="F60" i="1"/>
  <c r="E60" i="1"/>
  <c r="G49" i="1"/>
  <c r="F49" i="1"/>
  <c r="E49" i="1"/>
  <c r="M44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7" i="1"/>
  <c r="Q1" i="1"/>
  <c r="M22" i="1" s="1"/>
  <c r="M21" i="1" l="1"/>
  <c r="M9" i="1"/>
  <c r="M13" i="1"/>
  <c r="M11" i="1"/>
  <c r="M15" i="1"/>
  <c r="M19" i="1"/>
  <c r="M23" i="1"/>
  <c r="M8" i="1"/>
  <c r="M12" i="1"/>
  <c r="M16" i="1"/>
  <c r="M20" i="1"/>
  <c r="M24" i="1"/>
  <c r="M10" i="1"/>
  <c r="M14" i="1"/>
  <c r="M18" i="1"/>
  <c r="M26" i="1" l="1"/>
</calcChain>
</file>

<file path=xl/sharedStrings.xml><?xml version="1.0" encoding="utf-8"?>
<sst xmlns="http://schemas.openxmlformats.org/spreadsheetml/2006/main" count="1110" uniqueCount="492">
  <si>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</si>
  <si>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</si>
  <si>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</si>
  <si>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</si>
  <si>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</si>
  <si>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</si>
  <si>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</si>
  <si>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</si>
  <si>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</si>
  <si>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</si>
  <si>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</si>
  <si>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</si>
  <si>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</si>
  <si>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</si>
  <si>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</si>
  <si>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</si>
  <si>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</si>
  <si>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</si>
  <si>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</si>
  <si>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</si>
  <si>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</si>
  <si>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</si>
  <si>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</si>
  <si>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</si>
  <si>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</si>
  <si>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</si>
  <si>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</si>
  <si>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</si>
  <si>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</si>
  <si>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</si>
  <si>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</si>
  <si>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</si>
  <si>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</si>
  <si>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</si>
  <si>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</si>
  <si>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</si>
  <si>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</si>
  <si>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</si>
  <si>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</si>
  <si>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</si>
  <si>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</si>
  <si>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</si>
  <si>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</si>
  <si>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</si>
  <si>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</si>
  <si>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</si>
  <si>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</si>
  <si>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</si>
  <si>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</si>
  <si>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</si>
  <si>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</si>
  <si>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</si>
  <si>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</si>
  <si>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</si>
  <si>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</si>
  <si>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</si>
  <si>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</si>
  <si>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</si>
  <si>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</si>
  <si>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</si>
  <si>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</si>
  <si>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</si>
  <si>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</si>
  <si>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</si>
  <si>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</si>
  <si>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</si>
  <si>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</si>
  <si>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KZK200000687</t>
  </si>
  <si>
    <t>KZT</t>
  </si>
  <si>
    <t>24.11.2025</t>
  </si>
  <si>
    <t>25.11.2025</t>
  </si>
  <si>
    <t>АО "Казахстанский фонд устойчивости"</t>
  </si>
  <si>
    <t>KZ2C00008902</t>
  </si>
  <si>
    <t>Европейский банк реконструкции и развития</t>
  </si>
  <si>
    <t>XS2774403690</t>
  </si>
  <si>
    <t>KZKD00001152</t>
  </si>
  <si>
    <t>Евразийский банк развития</t>
  </si>
  <si>
    <t>KZX000001433</t>
  </si>
  <si>
    <t>26.11.2025</t>
  </si>
  <si>
    <t>KZKD00000758</t>
  </si>
  <si>
    <t>KZ96601A861038102391</t>
  </si>
  <si>
    <t>KZKD00001137</t>
  </si>
  <si>
    <t>18.07.2024</t>
  </si>
  <si>
    <t>12.04.2028</t>
  </si>
  <si>
    <t>KZKD00001129</t>
  </si>
  <si>
    <t>17.03.2031</t>
  </si>
  <si>
    <t>KZKD00000790</t>
  </si>
  <si>
    <t>10.07.2025</t>
  </si>
  <si>
    <t>13.08.2029</t>
  </si>
  <si>
    <t>KZKD00001087</t>
  </si>
  <si>
    <t>31.03.2029</t>
  </si>
  <si>
    <t>KZKD00000832</t>
  </si>
  <si>
    <t>29.01.2035</t>
  </si>
  <si>
    <t>KZKD00000535</t>
  </si>
  <si>
    <t>27.03.2027</t>
  </si>
  <si>
    <t>KZK100000373</t>
  </si>
  <si>
    <t>13.03.2025</t>
  </si>
  <si>
    <t>06.02.2026</t>
  </si>
  <si>
    <t>KZKD00000444</t>
  </si>
  <si>
    <t>21.08.2025</t>
  </si>
  <si>
    <t>18.08.2026</t>
  </si>
  <si>
    <t>21.01.2026</t>
  </si>
  <si>
    <t>26.07.2032</t>
  </si>
  <si>
    <t>KZKD00000741</t>
  </si>
  <si>
    <t>12.05.2034</t>
  </si>
  <si>
    <t>KZKD00000477</t>
  </si>
  <si>
    <t>24.07.2025</t>
  </si>
  <si>
    <t>19.10.2027</t>
  </si>
  <si>
    <t>KZKD00001160</t>
  </si>
  <si>
    <t>28.07.2029</t>
  </si>
  <si>
    <t>KZ2D00011863</t>
  </si>
  <si>
    <t>24.09.2024</t>
  </si>
  <si>
    <t>03.09.2027</t>
  </si>
  <si>
    <t>KZKD00001251</t>
  </si>
  <si>
    <t>07.03.2030</t>
  </si>
  <si>
    <t>KZK200000760</t>
  </si>
  <si>
    <t>14.08.2025</t>
  </si>
  <si>
    <t>07.08.2029</t>
  </si>
  <si>
    <t>KZKD00000949</t>
  </si>
  <si>
    <t>16.04.2032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</si>
  <si>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</si>
  <si>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</si>
  <si>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</si>
  <si>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</si>
  <si>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</si>
  <si>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</si>
  <si>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</si>
  <si>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</si>
  <si>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</si>
  <si>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</si>
  <si>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</si>
  <si>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</si>
  <si>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</si>
  <si>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</si>
  <si>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</si>
  <si>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</si>
  <si>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</si>
  <si>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</si>
  <si>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</si>
  <si>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</si>
  <si>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</si>
  <si>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</si>
  <si>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</si>
  <si>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</si>
  <si>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</si>
  <si>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</si>
  <si>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</si>
  <si>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</si>
  <si>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</si>
  <si>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</si>
  <si>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</si>
  <si>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</si>
  <si>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</si>
  <si>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</si>
  <si>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</si>
  <si>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</si>
  <si>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</si>
  <si>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</si>
  <si>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</si>
  <si>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</si>
  <si>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</si>
  <si>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</si>
  <si>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</si>
  <si>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</si>
  <si>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</si>
  <si>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</si>
  <si>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</si>
  <si>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</si>
  <si>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</si>
  <si>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</si>
  <si>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</si>
  <si>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</si>
  <si>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</si>
  <si>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</si>
  <si>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</si>
  <si>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</si>
  <si>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</si>
  <si>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</si>
  <si>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MFDGb1</t>
  </si>
  <si>
    <t>KZ2P00012677</t>
  </si>
  <si>
    <t>MFMOb20</t>
  </si>
  <si>
    <t>KZ2P00013469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</si>
  <si>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</si>
  <si>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</si>
  <si>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</si>
  <si>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</si>
  <si>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</si>
  <si>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</si>
  <si>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</si>
  <si>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</si>
  <si>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</si>
  <si>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</si>
  <si>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</si>
  <si>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</si>
  <si>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</si>
  <si>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</si>
  <si>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</si>
  <si>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</si>
  <si>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</si>
  <si>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</si>
  <si>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</si>
  <si>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</si>
  <si>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</si>
  <si>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</si>
  <si>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</si>
  <si>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</si>
  <si>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</si>
  <si>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</si>
  <si>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</si>
  <si>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</si>
  <si>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</si>
  <si>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</si>
  <si>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</si>
  <si>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</si>
  <si>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</si>
  <si>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</si>
  <si>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</si>
  <si>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</si>
  <si>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</si>
  <si>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</si>
  <si>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</si>
  <si>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</si>
  <si>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</si>
  <si>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</si>
  <si>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</si>
  <si>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</si>
  <si>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</si>
  <si>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</si>
  <si>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</si>
  <si>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</si>
  <si>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</si>
  <si>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</si>
  <si>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</si>
  <si>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</si>
  <si>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</si>
  <si>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</si>
  <si>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</si>
  <si>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</si>
  <si>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</si>
  <si>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</si>
  <si>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</si>
  <si>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</si>
  <si>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</si>
  <si>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</si>
  <si>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</si>
  <si>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</si>
  <si>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</si>
  <si>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</si>
  <si>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CLSGb8</t>
  </si>
  <si>
    <t>KZ2P00015506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</si>
  <si>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</si>
  <si>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</si>
  <si>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</si>
  <si>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</si>
  <si>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</si>
  <si>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</si>
  <si>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</si>
  <si>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</si>
  <si>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</si>
  <si>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</si>
  <si>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</si>
  <si>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</si>
  <si>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</si>
  <si>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</si>
  <si>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</si>
  <si>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</si>
  <si>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</si>
  <si>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</si>
  <si>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</si>
  <si>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</si>
  <si>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</si>
  <si>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</si>
  <si>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</si>
  <si>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</si>
  <si>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</si>
  <si>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</si>
  <si>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</si>
  <si>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</si>
  <si>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</si>
  <si>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</si>
  <si>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</si>
  <si>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</si>
  <si>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</si>
  <si>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</si>
  <si>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</si>
  <si>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</si>
  <si>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</si>
  <si>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</si>
  <si>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</si>
  <si>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</si>
  <si>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</si>
  <si>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</si>
  <si>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</si>
  <si>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</si>
  <si>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</si>
  <si>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</si>
  <si>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</si>
  <si>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</si>
  <si>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</si>
  <si>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</si>
  <si>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</si>
  <si>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</si>
  <si>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</si>
  <si>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</si>
  <si>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</si>
  <si>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</si>
  <si>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</si>
  <si>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</si>
  <si>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</si>
  <si>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</si>
  <si>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</si>
  <si>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</si>
  <si>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</si>
  <si>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</si>
  <si>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</si>
  <si>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</si>
  <si>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</si>
  <si>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</si>
  <si>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</si>
  <si>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</si>
  <si>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</si>
  <si>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</si>
  <si>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</si>
  <si>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</si>
  <si>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</si>
  <si>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</si>
  <si>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</si>
  <si>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</si>
  <si>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</si>
  <si>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</si>
  <si>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</si>
  <si>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</si>
  <si>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</si>
  <si>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</si>
  <si>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</si>
  <si>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</si>
  <si>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</si>
  <si>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</si>
  <si>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</si>
  <si>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</si>
  <si>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</si>
  <si>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</si>
  <si>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</si>
  <si>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</si>
  <si>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</si>
  <si>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</si>
  <si>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</si>
  <si>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</si>
  <si>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</si>
  <si>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</si>
  <si>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</si>
  <si>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</si>
  <si>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</si>
  <si>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</si>
  <si>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</si>
  <si>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</si>
  <si>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</si>
  <si>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</si>
  <si>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</si>
  <si>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</si>
  <si>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</si>
  <si>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</si>
  <si>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</si>
  <si>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</si>
  <si>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</si>
  <si>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</si>
  <si>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</si>
  <si>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</si>
  <si>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</si>
  <si>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</si>
  <si>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</si>
  <si>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</si>
  <si>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</si>
  <si>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</si>
  <si>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</si>
  <si>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</si>
  <si>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</si>
  <si>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</si>
  <si>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</si>
  <si>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</si>
  <si>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</si>
  <si>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</si>
  <si>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</si>
  <si>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</si>
  <si>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</si>
  <si>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</si>
  <si>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</si>
  <si>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</si>
  <si>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</si>
  <si>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</si>
  <si>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</si>
  <si>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</si>
  <si>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</si>
  <si>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</si>
  <si>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</si>
  <si>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</si>
  <si>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</si>
  <si>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</si>
  <si>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</si>
  <si>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</si>
  <si>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</si>
  <si>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</si>
  <si>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</si>
  <si>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</si>
  <si>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</si>
  <si>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</si>
  <si>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</si>
  <si>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</si>
  <si>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</si>
  <si>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</si>
  <si>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</si>
  <si>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</si>
  <si>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</si>
  <si>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</si>
  <si>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</si>
  <si>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</si>
  <si>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</si>
  <si>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</si>
  <si>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</si>
  <si>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</si>
  <si>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</si>
  <si>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</si>
  <si>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</si>
  <si>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</si>
  <si>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</si>
  <si>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</si>
  <si>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</si>
  <si>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</si>
  <si>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</si>
  <si>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</si>
  <si>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</si>
  <si>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</si>
  <si>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</si>
  <si>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</si>
  <si>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</si>
  <si>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</si>
  <si>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</si>
  <si>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</si>
  <si>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</si>
  <si>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</si>
  <si>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</si>
  <si>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</si>
  <si>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</si>
  <si>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</si>
  <si>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</si>
  <si>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</si>
  <si>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</si>
  <si>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</si>
  <si>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</si>
  <si>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</si>
  <si>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</si>
  <si>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</si>
  <si>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</si>
  <si>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</si>
  <si>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</si>
  <si>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</si>
  <si>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</si>
  <si>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</si>
  <si>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</si>
  <si>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</si>
  <si>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</si>
  <si>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</si>
  <si>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</si>
  <si>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KZAP</t>
  </si>
  <si>
    <t>KZ1C00001619</t>
  </si>
  <si>
    <t>АО "НАК "Казатомпром"</t>
  </si>
  <si>
    <t>KSPI</t>
  </si>
  <si>
    <t>KZ1C00001536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</si>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</sst>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7" workbookViewId="0">
      <selection activeCell="E26" sqref="E26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26185192726.097481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81</v>
      </c>
      <c r="C8" s="16">
        <v>1897500</v>
      </c>
      <c r="D8" s="17">
        <v>1897500000</v>
      </c>
      <c r="E8" s="18">
        <v>10.4</v>
      </c>
      <c r="F8" s="19" t="s">
        <v>82</v>
      </c>
      <c r="G8" s="19" t="s">
        <v>83</v>
      </c>
      <c r="H8" s="18">
        <v>1736743800</v>
      </c>
      <c r="I8" s="20">
        <v>87.634</v>
      </c>
      <c r="J8" s="20">
        <v>94.0762</v>
      </c>
      <c r="K8" s="18">
        <v>122241166.666667</v>
      </c>
      <c r="L8" s="18">
        <v>1785096316.666666</v>
      </c>
      <c r="M8" s="21">
        <f t="shared" ref="M8:M24" si="0">L8/$Q$1</f>
        <v>6.8171975487793496E-2</v>
      </c>
      <c r="O8" s="10">
        <v>749863.88888888899</v>
      </c>
    </row>
    <row r="9" spans="1:17" x14ac:dyDescent="0.2">
      <c r="A9" s="15" t="s">
        <v>66</v>
      </c>
      <c r="B9" s="15" t="s">
        <v>84</v>
      </c>
      <c r="C9" s="16">
        <v>1897500</v>
      </c>
      <c r="D9" s="17">
        <v>1897500000</v>
      </c>
      <c r="E9" s="18">
        <v>10.3</v>
      </c>
      <c r="F9" s="19" t="s">
        <v>82</v>
      </c>
      <c r="G9" s="19" t="s">
        <v>85</v>
      </c>
      <c r="H9" s="18">
        <v>1645329839.996666</v>
      </c>
      <c r="I9" s="20">
        <v>77.898600000000002</v>
      </c>
      <c r="J9" s="20">
        <v>84.994200000000006</v>
      </c>
      <c r="K9" s="18">
        <v>134638166.66666701</v>
      </c>
      <c r="L9" s="18">
        <v>1612764101.666666</v>
      </c>
      <c r="M9" s="21">
        <f t="shared" si="0"/>
        <v>6.1590690530198167E-2</v>
      </c>
      <c r="O9" s="10">
        <v>749863.88888888899</v>
      </c>
    </row>
    <row r="10" spans="1:17" x14ac:dyDescent="0.2">
      <c r="A10" s="15" t="s">
        <v>66</v>
      </c>
      <c r="B10" s="15" t="s">
        <v>86</v>
      </c>
      <c r="C10" s="16">
        <v>2469500</v>
      </c>
      <c r="D10" s="17">
        <v>2469500000</v>
      </c>
      <c r="E10" s="18">
        <v>7.68</v>
      </c>
      <c r="F10" s="19" t="s">
        <v>87</v>
      </c>
      <c r="G10" s="19" t="s">
        <v>88</v>
      </c>
      <c r="H10" s="18">
        <v>1827657194</v>
      </c>
      <c r="I10" s="20">
        <v>75.789700000000011</v>
      </c>
      <c r="J10" s="20">
        <v>77.965699999999998</v>
      </c>
      <c r="K10" s="18">
        <v>53736320</v>
      </c>
      <c r="L10" s="18">
        <v>1925362961.5</v>
      </c>
      <c r="M10" s="21">
        <f t="shared" si="0"/>
        <v>7.3528691640336347E-2</v>
      </c>
      <c r="O10" s="10">
        <v>749863.88888888899</v>
      </c>
    </row>
    <row r="11" spans="1:17" x14ac:dyDescent="0.2">
      <c r="A11" s="15" t="s">
        <v>66</v>
      </c>
      <c r="B11" s="15" t="s">
        <v>89</v>
      </c>
      <c r="C11" s="16">
        <v>1897500</v>
      </c>
      <c r="D11" s="17">
        <v>1897500000</v>
      </c>
      <c r="E11" s="18">
        <v>11</v>
      </c>
      <c r="F11" s="19" t="s">
        <v>82</v>
      </c>
      <c r="G11" s="19" t="s">
        <v>90</v>
      </c>
      <c r="H11" s="18">
        <v>1743261712.5</v>
      </c>
      <c r="I11" s="20">
        <v>85.466700000000003</v>
      </c>
      <c r="J11" s="20">
        <v>92.647300000000001</v>
      </c>
      <c r="K11" s="18">
        <v>136251041.66666701</v>
      </c>
      <c r="L11" s="18">
        <v>1757981674.166666</v>
      </c>
      <c r="M11" s="21">
        <f t="shared" si="0"/>
        <v>6.7136480244981089E-2</v>
      </c>
      <c r="O11" s="10">
        <v>749863.88888888899</v>
      </c>
    </row>
    <row r="12" spans="1:17" x14ac:dyDescent="0.2">
      <c r="A12" s="15" t="s">
        <v>66</v>
      </c>
      <c r="B12" s="15" t="s">
        <v>91</v>
      </c>
      <c r="C12" s="16">
        <v>1897500</v>
      </c>
      <c r="D12" s="17">
        <v>1897500000</v>
      </c>
      <c r="E12" s="18">
        <v>8.07</v>
      </c>
      <c r="F12" s="19" t="s">
        <v>82</v>
      </c>
      <c r="G12" s="19" t="s">
        <v>92</v>
      </c>
      <c r="H12" s="18">
        <v>1338524962.5</v>
      </c>
      <c r="I12" s="20">
        <v>60.328500000000005</v>
      </c>
      <c r="J12" s="20">
        <v>66.963800000000006</v>
      </c>
      <c r="K12" s="18">
        <v>125905450</v>
      </c>
      <c r="L12" s="18">
        <v>1270638737.5</v>
      </c>
      <c r="M12" s="21">
        <f t="shared" si="0"/>
        <v>4.8525086326121153E-2</v>
      </c>
      <c r="O12" s="10">
        <v>749863.88888888899</v>
      </c>
    </row>
    <row r="13" spans="1:17" x14ac:dyDescent="0.2">
      <c r="A13" s="15" t="s">
        <v>66</v>
      </c>
      <c r="B13" s="15" t="s">
        <v>93</v>
      </c>
      <c r="C13" s="16">
        <v>3162500</v>
      </c>
      <c r="D13" s="17">
        <v>3162500000</v>
      </c>
      <c r="E13" s="18">
        <v>5.49</v>
      </c>
      <c r="F13" s="19" t="s">
        <v>82</v>
      </c>
      <c r="G13" s="19" t="s">
        <v>94</v>
      </c>
      <c r="H13" s="18">
        <v>2627740225</v>
      </c>
      <c r="I13" s="20">
        <v>86.880800000000008</v>
      </c>
      <c r="J13" s="20">
        <v>90.510300000000001</v>
      </c>
      <c r="K13" s="18">
        <v>114782937.5</v>
      </c>
      <c r="L13" s="18">
        <v>2862388237.5</v>
      </c>
      <c r="M13" s="21">
        <f t="shared" si="0"/>
        <v>0.10931323925858295</v>
      </c>
      <c r="O13" s="10">
        <v>749863.88888888899</v>
      </c>
    </row>
    <row r="14" spans="1:17" x14ac:dyDescent="0.2">
      <c r="A14" s="15" t="s">
        <v>66</v>
      </c>
      <c r="B14" s="15" t="s">
        <v>95</v>
      </c>
      <c r="C14" s="16">
        <v>11424000</v>
      </c>
      <c r="D14" s="17">
        <v>1142400000</v>
      </c>
      <c r="E14" s="18">
        <v>0</v>
      </c>
      <c r="F14" s="19" t="s">
        <v>96</v>
      </c>
      <c r="G14" s="19" t="s">
        <v>97</v>
      </c>
      <c r="H14" s="18">
        <v>1003902278.4</v>
      </c>
      <c r="I14" s="20">
        <v>96.809100000000001</v>
      </c>
      <c r="J14" s="20">
        <v>96.809100000000001</v>
      </c>
      <c r="K14" s="18"/>
      <c r="L14" s="18">
        <v>1105947158.4000001</v>
      </c>
      <c r="M14" s="21">
        <f t="shared" si="0"/>
        <v>4.2235593603164798E-2</v>
      </c>
      <c r="O14" s="10">
        <v>749863.88888888899</v>
      </c>
    </row>
    <row r="15" spans="1:17" x14ac:dyDescent="0.2">
      <c r="A15" s="15" t="s">
        <v>66</v>
      </c>
      <c r="B15" s="15" t="s">
        <v>98</v>
      </c>
      <c r="C15" s="16">
        <v>1106600</v>
      </c>
      <c r="D15" s="17">
        <v>1106600000</v>
      </c>
      <c r="E15" s="18">
        <v>5.5</v>
      </c>
      <c r="F15" s="19" t="s">
        <v>99</v>
      </c>
      <c r="G15" s="19" t="s">
        <v>100</v>
      </c>
      <c r="H15" s="18">
        <v>999478906.79999995</v>
      </c>
      <c r="I15" s="20">
        <v>92.301700000000011</v>
      </c>
      <c r="J15" s="20">
        <v>93.783600000000007</v>
      </c>
      <c r="K15" s="18">
        <v>16399197.2222222</v>
      </c>
      <c r="L15" s="18">
        <v>1037809809.42222</v>
      </c>
      <c r="M15" s="21">
        <f t="shared" si="0"/>
        <v>3.9633460798930327E-2</v>
      </c>
      <c r="O15" s="10">
        <v>749863.88888888899</v>
      </c>
    </row>
    <row r="16" spans="1:17" x14ac:dyDescent="0.2">
      <c r="A16" s="15" t="s">
        <v>66</v>
      </c>
      <c r="B16" s="15" t="s">
        <v>67</v>
      </c>
      <c r="C16" s="16">
        <v>2530000</v>
      </c>
      <c r="D16" s="17">
        <v>2530000000</v>
      </c>
      <c r="E16" s="18">
        <v>10.67</v>
      </c>
      <c r="F16" s="19" t="s">
        <v>82</v>
      </c>
      <c r="G16" s="19" t="s">
        <v>101</v>
      </c>
      <c r="H16" s="18">
        <v>2455119589.9966769</v>
      </c>
      <c r="I16" s="20">
        <v>99.033200000000008</v>
      </c>
      <c r="J16" s="20">
        <v>102.70840000000001</v>
      </c>
      <c r="K16" s="18">
        <v>92983122.222222224</v>
      </c>
      <c r="L16" s="18">
        <v>2598523082.2222219</v>
      </c>
      <c r="M16" s="21">
        <f t="shared" si="0"/>
        <v>9.9236355042458896E-2</v>
      </c>
      <c r="O16" s="10">
        <v>749863.88888888899</v>
      </c>
    </row>
    <row r="17" spans="1:15" x14ac:dyDescent="0.2">
      <c r="A17" s="15" t="s">
        <v>66</v>
      </c>
      <c r="B17" s="15" t="s">
        <v>75</v>
      </c>
      <c r="C17" s="16">
        <v>1897500</v>
      </c>
      <c r="D17" s="17">
        <v>1897500000</v>
      </c>
      <c r="E17" s="18">
        <v>10.65</v>
      </c>
      <c r="F17" s="19" t="s">
        <v>82</v>
      </c>
      <c r="G17" s="19" t="s">
        <v>102</v>
      </c>
      <c r="H17" s="18">
        <v>1648500562.5</v>
      </c>
      <c r="I17" s="20">
        <v>76.029700000000005</v>
      </c>
      <c r="J17" s="20">
        <v>79.5501</v>
      </c>
      <c r="K17" s="18">
        <v>66799906.25</v>
      </c>
      <c r="L17" s="18">
        <v>1509463463.75</v>
      </c>
      <c r="M17" s="21">
        <f t="shared" si="0"/>
        <v>5.7645688520962947E-2</v>
      </c>
      <c r="O17" s="10">
        <v>749863.88888888899</v>
      </c>
    </row>
    <row r="18" spans="1:15" x14ac:dyDescent="0.2">
      <c r="A18" s="15" t="s">
        <v>66</v>
      </c>
      <c r="B18" s="15" t="s">
        <v>103</v>
      </c>
      <c r="C18" s="16">
        <v>1897500</v>
      </c>
      <c r="D18" s="17">
        <v>1897500000</v>
      </c>
      <c r="E18" s="18">
        <v>8.07</v>
      </c>
      <c r="F18" s="19" t="s">
        <v>82</v>
      </c>
      <c r="G18" s="19" t="s">
        <v>104</v>
      </c>
      <c r="H18" s="18">
        <v>1359122325</v>
      </c>
      <c r="I18" s="20">
        <v>61.746400000000001</v>
      </c>
      <c r="J18" s="20">
        <v>66.072800000000001</v>
      </c>
      <c r="K18" s="18">
        <v>82093756.25</v>
      </c>
      <c r="L18" s="18">
        <v>1253731696.25</v>
      </c>
      <c r="M18" s="21">
        <f t="shared" si="0"/>
        <v>4.7879414498273598E-2</v>
      </c>
      <c r="O18" s="10">
        <v>749863.88888888899</v>
      </c>
    </row>
    <row r="19" spans="1:15" x14ac:dyDescent="0.2">
      <c r="A19" s="15" t="s">
        <v>66</v>
      </c>
      <c r="B19" s="15" t="s">
        <v>105</v>
      </c>
      <c r="C19" s="16">
        <v>2391500</v>
      </c>
      <c r="D19" s="17">
        <v>2391500000</v>
      </c>
      <c r="E19" s="18">
        <v>5.3</v>
      </c>
      <c r="F19" s="19" t="s">
        <v>106</v>
      </c>
      <c r="G19" s="19" t="s">
        <v>107</v>
      </c>
      <c r="H19" s="18">
        <v>1903079172</v>
      </c>
      <c r="I19" s="20">
        <v>82.093699999999998</v>
      </c>
      <c r="J19" s="20">
        <v>82.623699999999999</v>
      </c>
      <c r="K19" s="18">
        <v>12674949.999999991</v>
      </c>
      <c r="L19" s="18">
        <v>1975945785.499999</v>
      </c>
      <c r="M19" s="21">
        <f t="shared" si="0"/>
        <v>7.5460425522500429E-2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1897500</v>
      </c>
      <c r="D20" s="17">
        <v>1897500000</v>
      </c>
      <c r="E20" s="18">
        <v>10.55</v>
      </c>
      <c r="F20" s="19" t="s">
        <v>82</v>
      </c>
      <c r="G20" s="19" t="s">
        <v>109</v>
      </c>
      <c r="H20" s="18">
        <v>1708326839.9966669</v>
      </c>
      <c r="I20" s="20">
        <v>83.34920000000001</v>
      </c>
      <c r="J20" s="20">
        <v>86.778000000000006</v>
      </c>
      <c r="K20" s="18">
        <v>65060531.25</v>
      </c>
      <c r="L20" s="18">
        <v>1646611601.25</v>
      </c>
      <c r="M20" s="21">
        <f t="shared" si="0"/>
        <v>6.2883310368340495E-2</v>
      </c>
      <c r="O20" s="10">
        <v>749863.88888888899</v>
      </c>
    </row>
    <row r="21" spans="1:15" x14ac:dyDescent="0.2">
      <c r="A21" s="15" t="s">
        <v>76</v>
      </c>
      <c r="B21" s="15" t="s">
        <v>110</v>
      </c>
      <c r="C21" s="16">
        <v>992234</v>
      </c>
      <c r="D21" s="17">
        <v>992234000</v>
      </c>
      <c r="E21" s="18">
        <v>14.3</v>
      </c>
      <c r="F21" s="19" t="s">
        <v>111</v>
      </c>
      <c r="G21" s="19" t="s">
        <v>112</v>
      </c>
      <c r="H21" s="18">
        <v>991722999.49000001</v>
      </c>
      <c r="I21" s="20">
        <v>94.481412849999998</v>
      </c>
      <c r="J21" s="20">
        <v>97.738612849999996</v>
      </c>
      <c r="K21" s="18">
        <v>32319266.344444439</v>
      </c>
      <c r="L21" s="18">
        <v>969795968.35303891</v>
      </c>
      <c r="M21" s="21">
        <f t="shared" si="0"/>
        <v>3.7036044702718242E-2</v>
      </c>
      <c r="O21" s="10">
        <v>749863.88888888899</v>
      </c>
    </row>
    <row r="22" spans="1:15" x14ac:dyDescent="0.2">
      <c r="A22" s="15" t="s">
        <v>66</v>
      </c>
      <c r="B22" s="15" t="s">
        <v>113</v>
      </c>
      <c r="C22" s="16">
        <v>550000</v>
      </c>
      <c r="D22" s="17">
        <v>550000000</v>
      </c>
      <c r="E22" s="18">
        <v>12</v>
      </c>
      <c r="F22" s="19" t="s">
        <v>96</v>
      </c>
      <c r="G22" s="19" t="s">
        <v>114</v>
      </c>
      <c r="H22" s="18">
        <v>491343050</v>
      </c>
      <c r="I22" s="20">
        <v>85.657300000000006</v>
      </c>
      <c r="J22" s="20">
        <v>94.257300000000001</v>
      </c>
      <c r="K22" s="18">
        <v>47299999.999999993</v>
      </c>
      <c r="L22" s="18">
        <v>518415150</v>
      </c>
      <c r="M22" s="21">
        <f t="shared" si="0"/>
        <v>1.9798026901032557E-2</v>
      </c>
      <c r="O22" s="10">
        <v>749863.88888888899</v>
      </c>
    </row>
    <row r="23" spans="1:15" x14ac:dyDescent="0.2">
      <c r="A23" s="15" t="s">
        <v>66</v>
      </c>
      <c r="B23" s="15" t="s">
        <v>115</v>
      </c>
      <c r="C23" s="16">
        <v>897100</v>
      </c>
      <c r="D23" s="17">
        <v>897100000</v>
      </c>
      <c r="E23" s="18">
        <v>17.010000000000002</v>
      </c>
      <c r="F23" s="19" t="s">
        <v>116</v>
      </c>
      <c r="G23" s="19" t="s">
        <v>117</v>
      </c>
      <c r="H23" s="18">
        <v>896985171.20000005</v>
      </c>
      <c r="I23" s="20">
        <v>101.84620000000001</v>
      </c>
      <c r="J23" s="20">
        <v>106.9492</v>
      </c>
      <c r="K23" s="18">
        <v>45779013</v>
      </c>
      <c r="L23" s="18">
        <v>959441273.20000005</v>
      </c>
      <c r="M23" s="21">
        <f t="shared" si="0"/>
        <v>3.6640603841871767E-2</v>
      </c>
      <c r="O23" s="10">
        <v>749863.88888888899</v>
      </c>
    </row>
    <row r="24" spans="1:15" x14ac:dyDescent="0.2">
      <c r="A24" s="15" t="s">
        <v>66</v>
      </c>
      <c r="B24" s="15" t="s">
        <v>118</v>
      </c>
      <c r="C24" s="16">
        <v>1897500</v>
      </c>
      <c r="D24" s="17">
        <v>1897500000</v>
      </c>
      <c r="E24" s="18">
        <v>8.4499999999999993</v>
      </c>
      <c r="F24" s="19" t="s">
        <v>82</v>
      </c>
      <c r="G24" s="19" t="s">
        <v>119</v>
      </c>
      <c r="H24" s="18">
        <v>1457889097.496666</v>
      </c>
      <c r="I24" s="20">
        <v>68.391900000000007</v>
      </c>
      <c r="J24" s="20">
        <v>73.532300000000006</v>
      </c>
      <c r="K24" s="18">
        <v>97539406.25</v>
      </c>
      <c r="L24" s="18">
        <v>1395275708.75</v>
      </c>
      <c r="M24" s="21">
        <f t="shared" si="0"/>
        <v>5.3284912711732614E-2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1246504231.2888899</v>
      </c>
      <c r="L26" s="23">
        <f>SUM(L8:L25)</f>
        <v>26185192726.097481</v>
      </c>
      <c r="M26" s="26">
        <f>SUM(M8:M25)</f>
        <v>0.99999999999999989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93788.18</v>
      </c>
    </row>
    <row r="30" spans="1:15" x14ac:dyDescent="0.2">
      <c r="A30" s="29" t="s">
        <v>80</v>
      </c>
      <c r="B30" s="30">
        <v>93788.18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14610</v>
      </c>
      <c r="D35" s="32" t="s">
        <v>68</v>
      </c>
      <c r="E35" s="34" t="s">
        <v>69</v>
      </c>
      <c r="F35" s="34" t="s">
        <v>70</v>
      </c>
      <c r="G35" s="35">
        <v>1026.7440000000001</v>
      </c>
      <c r="H35" s="35">
        <f t="shared" ref="H35:H42" si="1">J35/C35</f>
        <v>1027.2222149212869</v>
      </c>
      <c r="I35" s="36">
        <v>15000729.84</v>
      </c>
      <c r="J35" s="36">
        <v>15007716.560000001</v>
      </c>
      <c r="K35" s="37">
        <v>17.0002</v>
      </c>
      <c r="L35" s="37">
        <v>6986.72</v>
      </c>
      <c r="M35" s="31">
        <f t="shared" ref="M35:M42" si="2">I35+L35</f>
        <v>15007716.560000001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251532</v>
      </c>
      <c r="D36" s="32" t="s">
        <v>68</v>
      </c>
      <c r="E36" s="34" t="s">
        <v>69</v>
      </c>
      <c r="F36" s="34" t="s">
        <v>70</v>
      </c>
      <c r="G36" s="35">
        <v>1090.376999984097</v>
      </c>
      <c r="H36" s="35">
        <f t="shared" si="1"/>
        <v>1090.8848587456071</v>
      </c>
      <c r="I36" s="36">
        <v>274264707.56</v>
      </c>
      <c r="J36" s="36">
        <v>274392450.29000002</v>
      </c>
      <c r="K36" s="37">
        <v>17.000399999999999</v>
      </c>
      <c r="L36" s="37">
        <v>127742.73</v>
      </c>
      <c r="M36" s="31">
        <f t="shared" si="2"/>
        <v>274392450.29000002</v>
      </c>
      <c r="N36" s="10"/>
      <c r="O36" s="9"/>
      <c r="Q36" s="9">
        <v>0</v>
      </c>
    </row>
    <row r="37" spans="1:17" x14ac:dyDescent="0.2">
      <c r="A37" s="32" t="s">
        <v>73</v>
      </c>
      <c r="B37" s="32" t="s">
        <v>74</v>
      </c>
      <c r="C37" s="33">
        <v>486354841</v>
      </c>
      <c r="D37" s="32" t="s">
        <v>68</v>
      </c>
      <c r="E37" s="34" t="s">
        <v>69</v>
      </c>
      <c r="F37" s="34" t="s">
        <v>70</v>
      </c>
      <c r="G37" s="35">
        <v>1.0260000000082201</v>
      </c>
      <c r="H37" s="35">
        <f t="shared" si="1"/>
        <v>1.0264778742687584</v>
      </c>
      <c r="I37" s="36">
        <v>499000066.87</v>
      </c>
      <c r="J37" s="36">
        <v>499232483.32999998</v>
      </c>
      <c r="K37" s="37">
        <v>17.000399999999999</v>
      </c>
      <c r="L37" s="37">
        <v>232416.46</v>
      </c>
      <c r="M37" s="31">
        <f t="shared" si="2"/>
        <v>499232483.32999998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67</v>
      </c>
      <c r="C38" s="33">
        <v>1386002</v>
      </c>
      <c r="D38" s="32" t="s">
        <v>68</v>
      </c>
      <c r="E38" s="34" t="s">
        <v>69</v>
      </c>
      <c r="F38" s="34" t="s">
        <v>70</v>
      </c>
      <c r="G38" s="35">
        <v>1026.7440000014421</v>
      </c>
      <c r="H38" s="35">
        <f t="shared" si="1"/>
        <v>1027.2222151627489</v>
      </c>
      <c r="I38" s="36">
        <v>1423069237.49</v>
      </c>
      <c r="J38" s="36">
        <v>1423732044.6600001</v>
      </c>
      <c r="K38" s="37">
        <v>17.0002</v>
      </c>
      <c r="L38" s="37">
        <v>662807.17000000004</v>
      </c>
      <c r="M38" s="31">
        <f t="shared" si="2"/>
        <v>1423732044.6600001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75</v>
      </c>
      <c r="C39" s="33">
        <v>96866</v>
      </c>
      <c r="D39" s="32" t="s">
        <v>68</v>
      </c>
      <c r="E39" s="34" t="s">
        <v>69</v>
      </c>
      <c r="F39" s="34" t="s">
        <v>70</v>
      </c>
      <c r="G39" s="35">
        <v>795.32</v>
      </c>
      <c r="H39" s="35">
        <f t="shared" si="1"/>
        <v>795.69043173043167</v>
      </c>
      <c r="I39" s="36">
        <v>77039467.120000005</v>
      </c>
      <c r="J39" s="36">
        <v>77075349.359999999</v>
      </c>
      <c r="K39" s="37">
        <v>17.000399999999999</v>
      </c>
      <c r="L39" s="37">
        <v>35882.239999999998</v>
      </c>
      <c r="M39" s="31">
        <f t="shared" si="2"/>
        <v>77075349.359999999</v>
      </c>
      <c r="N39" s="10"/>
      <c r="O39" s="9"/>
      <c r="Q39" s="9">
        <v>0</v>
      </c>
    </row>
    <row r="40" spans="1:17" x14ac:dyDescent="0.2">
      <c r="A40" s="32" t="s">
        <v>76</v>
      </c>
      <c r="B40" s="32" t="s">
        <v>77</v>
      </c>
      <c r="C40" s="33">
        <v>24668</v>
      </c>
      <c r="D40" s="32" t="s">
        <v>68</v>
      </c>
      <c r="E40" s="34" t="s">
        <v>70</v>
      </c>
      <c r="F40" s="34" t="s">
        <v>78</v>
      </c>
      <c r="G40" s="35">
        <v>567.84149991892298</v>
      </c>
      <c r="H40" s="35">
        <f t="shared" si="1"/>
        <v>568.10924112210148</v>
      </c>
      <c r="I40" s="36">
        <v>14007514.11999999</v>
      </c>
      <c r="J40" s="36">
        <v>14014118.76</v>
      </c>
      <c r="K40" s="37">
        <v>17.21</v>
      </c>
      <c r="L40" s="37"/>
      <c r="M40" s="31">
        <f t="shared" si="2"/>
        <v>14007514.11999999</v>
      </c>
      <c r="N40" s="10"/>
      <c r="O40" s="9"/>
      <c r="Q40" s="9">
        <v>1</v>
      </c>
    </row>
    <row r="41" spans="1:17" x14ac:dyDescent="0.2">
      <c r="A41" s="32" t="s">
        <v>76</v>
      </c>
      <c r="B41" s="32" t="s">
        <v>77</v>
      </c>
      <c r="C41" s="33">
        <v>1804288</v>
      </c>
      <c r="D41" s="32" t="s">
        <v>68</v>
      </c>
      <c r="E41" s="34" t="s">
        <v>70</v>
      </c>
      <c r="F41" s="34" t="s">
        <v>78</v>
      </c>
      <c r="G41" s="35">
        <v>567.841499998892</v>
      </c>
      <c r="H41" s="35">
        <f t="shared" si="1"/>
        <v>568.10924115773093</v>
      </c>
      <c r="I41" s="36">
        <v>1024549604.35</v>
      </c>
      <c r="J41" s="36">
        <v>1025032686.51</v>
      </c>
      <c r="K41" s="37">
        <v>17.21</v>
      </c>
      <c r="L41" s="37"/>
      <c r="M41" s="31">
        <f t="shared" si="2"/>
        <v>1024549604.35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79</v>
      </c>
      <c r="C42" s="33">
        <v>1380000</v>
      </c>
      <c r="D42" s="32" t="s">
        <v>68</v>
      </c>
      <c r="E42" s="34" t="s">
        <v>70</v>
      </c>
      <c r="F42" s="34" t="s">
        <v>78</v>
      </c>
      <c r="G42" s="35">
        <v>906.46800000000007</v>
      </c>
      <c r="H42" s="35">
        <f t="shared" si="1"/>
        <v>906.89764099999991</v>
      </c>
      <c r="I42" s="36">
        <v>1250925840</v>
      </c>
      <c r="J42" s="36">
        <v>1251518744.5799999</v>
      </c>
      <c r="K42" s="37">
        <v>17.3</v>
      </c>
      <c r="L42" s="37"/>
      <c r="M42" s="31">
        <f t="shared" si="2"/>
        <v>1250925840</v>
      </c>
      <c r="N42" s="10"/>
      <c r="O42" s="9"/>
      <c r="Q42" s="9">
        <v>1</v>
      </c>
    </row>
    <row r="43" spans="1:17" hidden="1" x14ac:dyDescent="0.2">
      <c r="A43" s="32"/>
      <c r="B43" s="32"/>
      <c r="C43" s="33"/>
      <c r="D43" s="32"/>
      <c r="E43" s="34"/>
      <c r="F43" s="34"/>
      <c r="G43" s="35"/>
      <c r="H43" s="35"/>
      <c r="I43" s="36"/>
      <c r="J43" s="36"/>
      <c r="K43" s="37"/>
      <c r="L43" s="31"/>
      <c r="M43" s="31"/>
      <c r="N43" s="10"/>
      <c r="O43" s="9"/>
    </row>
    <row r="44" spans="1:17" s="13" customFormat="1" x14ac:dyDescent="0.2">
      <c r="A44" s="38"/>
      <c r="B44" s="39" t="s">
        <v>5</v>
      </c>
      <c r="C44" s="38"/>
      <c r="D44" s="38"/>
      <c r="E44" s="38"/>
      <c r="F44" s="38"/>
      <c r="G44" s="38"/>
      <c r="H44" s="38"/>
      <c r="I44" s="38"/>
      <c r="J44" s="38"/>
      <c r="K44" s="38"/>
      <c r="L44" s="38" t="s">
        <v>44</v>
      </c>
      <c r="M44" s="40">
        <f>SUMIF(Q35:Q43,1,M35:M43)</f>
        <v>2289482958.4700003</v>
      </c>
      <c r="O44" s="41"/>
    </row>
    <row r="46" spans="1:17" ht="22.5" x14ac:dyDescent="0.2">
      <c r="A46" s="27" t="s">
        <v>37</v>
      </c>
    </row>
    <row r="47" spans="1:17" ht="22.5" x14ac:dyDescent="0.2">
      <c r="A47" s="14" t="s">
        <v>7</v>
      </c>
      <c r="B47" s="14" t="s">
        <v>38</v>
      </c>
      <c r="C47" s="14" t="s">
        <v>26</v>
      </c>
      <c r="D47" s="14" t="s">
        <v>39</v>
      </c>
      <c r="E47" s="14" t="s">
        <v>25</v>
      </c>
      <c r="F47" s="14" t="s">
        <v>40</v>
      </c>
      <c r="G47" s="14" t="s">
        <v>41</v>
      </c>
      <c r="N47" s="10"/>
      <c r="O47" s="9"/>
    </row>
    <row r="48" spans="1:17" hidden="1" x14ac:dyDescent="0.2">
      <c r="A48" s="42"/>
      <c r="B48" s="42"/>
      <c r="C48" s="32"/>
      <c r="D48" s="43"/>
      <c r="E48" s="29"/>
      <c r="F48" s="29"/>
      <c r="G48" s="31"/>
      <c r="N48" s="10"/>
      <c r="O48" s="9"/>
    </row>
    <row r="49" spans="1:15" s="13" customFormat="1" x14ac:dyDescent="0.2">
      <c r="A49" s="44"/>
      <c r="B49" s="45" t="s">
        <v>5</v>
      </c>
      <c r="C49" s="46"/>
      <c r="D49" s="47"/>
      <c r="E49" s="48">
        <f>SUM(E48:E48)</f>
        <v>0</v>
      </c>
      <c r="F49" s="40">
        <f>SUM(F48:F48)</f>
        <v>0</v>
      </c>
      <c r="G49" s="40">
        <f>SUM(G48:G48)</f>
        <v>0</v>
      </c>
      <c r="N49" s="41"/>
    </row>
    <row r="50" spans="1:15" x14ac:dyDescent="0.2">
      <c r="A50" s="49"/>
      <c r="D50" s="50"/>
      <c r="G50" s="51"/>
    </row>
    <row r="51" spans="1:15" x14ac:dyDescent="0.2">
      <c r="A51" s="52" t="s">
        <v>22</v>
      </c>
      <c r="B51" s="53">
        <f>L26+B29+M44</f>
        <v>28474769472.747482</v>
      </c>
    </row>
    <row r="52" spans="1:15" x14ac:dyDescent="0.2">
      <c r="D52" s="54"/>
      <c r="E52" s="54"/>
    </row>
    <row r="54" spans="1:15" x14ac:dyDescent="0.2">
      <c r="A54" s="52" t="s">
        <v>47</v>
      </c>
      <c r="B54" s="52"/>
      <c r="C54" s="52"/>
      <c r="F54" s="54"/>
      <c r="O54" s="9"/>
    </row>
    <row r="55" spans="1:15" x14ac:dyDescent="0.2">
      <c r="O55" s="9"/>
    </row>
    <row r="56" spans="1:15" x14ac:dyDescent="0.2">
      <c r="A56" s="55" t="s">
        <v>48</v>
      </c>
      <c r="B56" s="55"/>
      <c r="C56" s="55"/>
      <c r="D56" s="55"/>
      <c r="O56" s="9"/>
    </row>
    <row r="57" spans="1:15" x14ac:dyDescent="0.2">
      <c r="O57" s="9"/>
    </row>
    <row r="58" spans="1:15" ht="22.5" x14ac:dyDescent="0.2">
      <c r="A58" s="14" t="s">
        <v>7</v>
      </c>
      <c r="B58" s="14" t="s">
        <v>38</v>
      </c>
      <c r="C58" s="14" t="s">
        <v>26</v>
      </c>
      <c r="D58" s="14" t="s">
        <v>39</v>
      </c>
      <c r="E58" s="14" t="s">
        <v>25</v>
      </c>
      <c r="F58" s="14" t="s">
        <v>40</v>
      </c>
      <c r="G58" s="14" t="s">
        <v>41</v>
      </c>
      <c r="O58" s="9"/>
    </row>
    <row r="59" spans="1:15" hidden="1" x14ac:dyDescent="0.2">
      <c r="A59" s="56"/>
      <c r="B59" s="56"/>
      <c r="C59" s="56"/>
      <c r="D59" s="56"/>
      <c r="E59" s="56"/>
      <c r="F59" s="56"/>
      <c r="G59" s="56"/>
      <c r="O59" s="9"/>
    </row>
    <row r="60" spans="1:15" s="13" customFormat="1" x14ac:dyDescent="0.2">
      <c r="A60" s="38"/>
      <c r="B60" s="39" t="s">
        <v>5</v>
      </c>
      <c r="C60" s="38"/>
      <c r="D60" s="38"/>
      <c r="E60" s="48">
        <f>SUM(E59:E59)</f>
        <v>0</v>
      </c>
      <c r="F60" s="40">
        <f>SUM(F59:F59)</f>
        <v>0</v>
      </c>
      <c r="G60" s="40">
        <f>SUM(G59:G59)</f>
        <v>0</v>
      </c>
    </row>
    <row r="61" spans="1:15" s="13" customFormat="1" x14ac:dyDescent="0.2">
      <c r="B61" s="57"/>
    </row>
    <row r="62" spans="1:15" x14ac:dyDescent="0.2">
      <c r="A62" s="55" t="s">
        <v>49</v>
      </c>
      <c r="B62" s="55"/>
      <c r="O62" s="9"/>
    </row>
    <row r="63" spans="1:15" x14ac:dyDescent="0.2">
      <c r="O63" s="9"/>
    </row>
    <row r="64" spans="1:15" x14ac:dyDescent="0.2">
      <c r="A64" s="14" t="s">
        <v>7</v>
      </c>
      <c r="B64" s="14" t="s">
        <v>38</v>
      </c>
      <c r="C64" s="14" t="s">
        <v>50</v>
      </c>
      <c r="D64" s="14" t="s">
        <v>51</v>
      </c>
      <c r="O64" s="9"/>
    </row>
    <row r="65" spans="1:15" x14ac:dyDescent="0.2">
      <c r="A65" s="24" t="s">
        <v>52</v>
      </c>
      <c r="B65" s="24">
        <v>1</v>
      </c>
      <c r="C65" s="24">
        <v>2</v>
      </c>
      <c r="D65" s="24">
        <v>3</v>
      </c>
      <c r="O65" s="9"/>
    </row>
    <row r="66" spans="1:15" x14ac:dyDescent="0.2">
      <c r="A66" s="24">
        <v>1</v>
      </c>
      <c r="B66" s="56" t="s">
        <v>53</v>
      </c>
      <c r="C66" s="58">
        <v>5.37</v>
      </c>
      <c r="D66" s="24"/>
      <c r="E66" s="54"/>
      <c r="O66" s="9"/>
    </row>
    <row r="67" spans="1:15" x14ac:dyDescent="0.2">
      <c r="A67" s="24">
        <v>2</v>
      </c>
      <c r="B67" s="56" t="s">
        <v>54</v>
      </c>
      <c r="C67" s="58">
        <v>0</v>
      </c>
      <c r="D67" s="24"/>
      <c r="E67" s="54"/>
      <c r="O67" s="9"/>
    </row>
    <row r="68" spans="1:15" x14ac:dyDescent="0.2">
      <c r="A68" s="24">
        <v>3</v>
      </c>
      <c r="B68" s="56" t="s">
        <v>55</v>
      </c>
      <c r="C68" s="58">
        <v>67000</v>
      </c>
      <c r="D68" s="24"/>
      <c r="O68" s="9"/>
    </row>
    <row r="69" spans="1:15" x14ac:dyDescent="0.2">
      <c r="A69" s="24">
        <v>4</v>
      </c>
      <c r="B69" s="56" t="s">
        <v>56</v>
      </c>
      <c r="C69" s="58">
        <v>0</v>
      </c>
      <c r="D69" s="24"/>
      <c r="F69" s="54"/>
      <c r="O69" s="9"/>
    </row>
    <row r="70" spans="1:15" ht="22.5" x14ac:dyDescent="0.2">
      <c r="A70" s="24">
        <v>5</v>
      </c>
      <c r="B70" s="59" t="s">
        <v>57</v>
      </c>
      <c r="C70" s="58">
        <v>0</v>
      </c>
      <c r="D70" s="24"/>
      <c r="F70" s="54"/>
      <c r="O70" s="9"/>
    </row>
    <row r="71" spans="1:15" x14ac:dyDescent="0.2">
      <c r="A71" s="24">
        <v>6</v>
      </c>
      <c r="B71" s="56" t="s">
        <v>58</v>
      </c>
      <c r="C71" s="58">
        <v>78893.740000000005</v>
      </c>
      <c r="D71" s="58"/>
      <c r="O71" s="9"/>
    </row>
    <row r="72" spans="1:15" x14ac:dyDescent="0.2">
      <c r="A72" s="24">
        <v>7</v>
      </c>
      <c r="B72" s="56" t="s">
        <v>59</v>
      </c>
      <c r="C72" s="58">
        <v>39792.639999999999</v>
      </c>
      <c r="D72" s="58"/>
      <c r="O72" s="9"/>
    </row>
    <row r="73" spans="1:15" x14ac:dyDescent="0.2">
      <c r="A73" s="24">
        <v>8</v>
      </c>
      <c r="B73" s="56" t="s">
        <v>60</v>
      </c>
      <c r="C73" s="58">
        <v>0</v>
      </c>
      <c r="D73" s="24"/>
      <c r="O73" s="9"/>
    </row>
    <row r="74" spans="1:15" ht="22.5" x14ac:dyDescent="0.2">
      <c r="A74" s="24">
        <v>9</v>
      </c>
      <c r="B74" s="59" t="s">
        <v>61</v>
      </c>
      <c r="C74" s="58">
        <v>0</v>
      </c>
      <c r="D74" s="24"/>
      <c r="O74" s="9"/>
    </row>
    <row r="75" spans="1:15" ht="22.5" x14ac:dyDescent="0.2">
      <c r="A75" s="24">
        <v>10</v>
      </c>
      <c r="B75" s="59" t="s">
        <v>62</v>
      </c>
      <c r="C75" s="58">
        <v>0</v>
      </c>
      <c r="D75" s="24"/>
      <c r="E75" s="54"/>
      <c r="O75" s="9"/>
    </row>
    <row r="76" spans="1:15" x14ac:dyDescent="0.2">
      <c r="A76" s="60" t="s">
        <v>63</v>
      </c>
      <c r="B76" s="60"/>
      <c r="C76" s="61">
        <f>SUM(C66:C75)</f>
        <v>185691.75</v>
      </c>
      <c r="D76" s="56"/>
      <c r="O76" s="9"/>
    </row>
    <row r="78" spans="1:15" x14ac:dyDescent="0.2">
      <c r="C78" s="51"/>
    </row>
    <row r="79" spans="1:15" x14ac:dyDescent="0.2">
      <c r="C79" s="54"/>
    </row>
    <row r="80" spans="1:15" x14ac:dyDescent="0.2">
      <c r="C80" s="54"/>
      <c r="D80" s="54"/>
    </row>
    <row r="81" spans="3:3" x14ac:dyDescent="0.2">
      <c r="C81" s="54"/>
    </row>
  </sheetData>
  <mergeCells count="3">
    <mergeCell ref="A56:D56"/>
    <mergeCell ref="A62:B62"/>
    <mergeCell ref="A76:B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6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25.11.2025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>
        <v>9490.25</v>
      </c>
      <c r="G4" s="5"/>
      <c r="H4" s="5"/>
      <c r="I4" s="5"/>
      <c r="J4" s="4" t="s">
        <v>124</v>
      </c>
    </row>
    <row r="5" spans="1:10" x14ac:dyDescent="0.25">
      <c r="A5" s="4">
        <f t="shared" ca="1" si="0"/>
        <v>2</v>
      </c>
      <c r="B5" s="4" t="s">
        <v>125</v>
      </c>
      <c r="C5" s="4" t="s">
        <v>126</v>
      </c>
      <c r="D5" s="4" t="s">
        <v>127</v>
      </c>
      <c r="E5" s="4" t="s">
        <v>123</v>
      </c>
      <c r="F5" s="4">
        <v>1062.9080000000001</v>
      </c>
      <c r="G5" s="5">
        <v>110.44640000000001</v>
      </c>
      <c r="H5" s="5">
        <v>18.47</v>
      </c>
      <c r="I5" s="5">
        <v>844</v>
      </c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122</v>
      </c>
      <c r="E6" s="4" t="s">
        <v>131</v>
      </c>
      <c r="F6" s="4">
        <v>1380.83</v>
      </c>
      <c r="G6" s="5"/>
      <c r="H6" s="5"/>
      <c r="I6" s="5"/>
      <c r="J6" s="4" t="s">
        <v>124</v>
      </c>
    </row>
    <row r="7" spans="1:10" x14ac:dyDescent="0.25">
      <c r="A7" s="4">
        <f t="shared" ca="1" si="0"/>
        <v>4</v>
      </c>
      <c r="B7" s="4" t="s">
        <v>132</v>
      </c>
      <c r="C7" s="4" t="s">
        <v>133</v>
      </c>
      <c r="D7" s="4" t="s">
        <v>122</v>
      </c>
      <c r="E7" s="4" t="s">
        <v>134</v>
      </c>
      <c r="F7" s="4">
        <v>572666.07000000007</v>
      </c>
      <c r="G7" s="5"/>
      <c r="H7" s="5"/>
      <c r="I7" s="5"/>
      <c r="J7" s="4" t="s">
        <v>124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122</v>
      </c>
      <c r="E8" s="4" t="s">
        <v>134</v>
      </c>
      <c r="F8" s="4">
        <v>6301.35</v>
      </c>
      <c r="G8" s="5"/>
      <c r="H8" s="5"/>
      <c r="I8" s="5"/>
      <c r="J8" s="4" t="s">
        <v>124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127</v>
      </c>
      <c r="E9" s="4" t="s">
        <v>134</v>
      </c>
      <c r="F9" s="4">
        <v>0.93644799999999995</v>
      </c>
      <c r="G9" s="5">
        <v>94.219800000000006</v>
      </c>
      <c r="H9" s="5">
        <v>6.29</v>
      </c>
      <c r="I9" s="5">
        <v>7816</v>
      </c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122</v>
      </c>
      <c r="E10" s="4" t="s">
        <v>134</v>
      </c>
      <c r="F10" s="4">
        <v>168.3</v>
      </c>
      <c r="G10" s="5"/>
      <c r="H10" s="5"/>
      <c r="I10" s="5"/>
      <c r="J10" s="4" t="s">
        <v>124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122</v>
      </c>
      <c r="E11" s="4" t="s">
        <v>134</v>
      </c>
      <c r="F11" s="4">
        <v>5572.02</v>
      </c>
      <c r="G11" s="5"/>
      <c r="H11" s="5"/>
      <c r="I11" s="5"/>
      <c r="J11" s="4" t="s">
        <v>124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122</v>
      </c>
      <c r="E12" s="4" t="s">
        <v>134</v>
      </c>
      <c r="F12" s="4">
        <v>5859117.8399999999</v>
      </c>
      <c r="G12" s="5"/>
      <c r="H12" s="5"/>
      <c r="I12" s="5"/>
      <c r="J12" s="4" t="s">
        <v>124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122</v>
      </c>
      <c r="E13" s="4" t="s">
        <v>134</v>
      </c>
      <c r="F13" s="4">
        <v>131.81</v>
      </c>
      <c r="G13" s="5"/>
      <c r="H13" s="5"/>
      <c r="I13" s="5"/>
      <c r="J13" s="4" t="s">
        <v>124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127</v>
      </c>
      <c r="E14" s="4" t="s">
        <v>134</v>
      </c>
      <c r="F14" s="4">
        <v>0.90468999999999999</v>
      </c>
      <c r="G14" s="5">
        <v>90.86760000000001</v>
      </c>
      <c r="H14" s="5">
        <v>5.0600000000000005</v>
      </c>
      <c r="I14" s="5">
        <v>2698</v>
      </c>
      <c r="J14" s="4" t="s">
        <v>128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122</v>
      </c>
      <c r="E15" s="4" t="s">
        <v>134</v>
      </c>
      <c r="F15" s="4">
        <v>1178.97</v>
      </c>
      <c r="G15" s="5"/>
      <c r="H15" s="5"/>
      <c r="I15" s="5"/>
      <c r="J15" s="4" t="s">
        <v>151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122</v>
      </c>
      <c r="E16" s="4" t="s">
        <v>134</v>
      </c>
      <c r="F16" s="4">
        <v>1053.03</v>
      </c>
      <c r="G16" s="5"/>
      <c r="H16" s="5"/>
      <c r="I16" s="5"/>
      <c r="J16" s="4" t="s">
        <v>151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122</v>
      </c>
      <c r="E17" s="4" t="s">
        <v>134</v>
      </c>
      <c r="F17" s="4">
        <v>1834961.7000000002</v>
      </c>
      <c r="G17" s="5"/>
      <c r="H17" s="5"/>
      <c r="I17" s="5"/>
      <c r="J17" s="4" t="s">
        <v>124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122</v>
      </c>
      <c r="E18" s="4" t="s">
        <v>134</v>
      </c>
      <c r="F18" s="4">
        <v>71726.2</v>
      </c>
      <c r="G18" s="5"/>
      <c r="H18" s="5"/>
      <c r="I18" s="5"/>
      <c r="J18" s="4" t="s">
        <v>124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122</v>
      </c>
      <c r="E19" s="4" t="s">
        <v>134</v>
      </c>
      <c r="F19" s="4">
        <v>72328.91</v>
      </c>
      <c r="G19" s="5"/>
      <c r="H19" s="5"/>
      <c r="I19" s="5"/>
      <c r="J19" s="4" t="s">
        <v>124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122</v>
      </c>
      <c r="E20" s="4" t="s">
        <v>134</v>
      </c>
      <c r="F20" s="4">
        <v>51860.639999999999</v>
      </c>
      <c r="G20" s="5"/>
      <c r="H20" s="5"/>
      <c r="I20" s="5"/>
      <c r="J20" s="4" t="s">
        <v>124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122</v>
      </c>
      <c r="E21" s="4" t="s">
        <v>134</v>
      </c>
      <c r="F21" s="4">
        <v>7.29</v>
      </c>
      <c r="G21" s="5"/>
      <c r="H21" s="5"/>
      <c r="I21" s="5"/>
      <c r="J21" s="4" t="s">
        <v>124</v>
      </c>
    </row>
    <row r="22" spans="1:10" x14ac:dyDescent="0.25">
      <c r="A22" s="4">
        <f t="shared" ca="1" si="0"/>
        <v>19</v>
      </c>
      <c r="B22" s="4" t="s">
        <v>164</v>
      </c>
      <c r="C22" s="4" t="s">
        <v>165</v>
      </c>
      <c r="D22" s="4" t="s">
        <v>127</v>
      </c>
      <c r="E22" s="4" t="s">
        <v>134</v>
      </c>
      <c r="F22" s="4">
        <v>1000</v>
      </c>
      <c r="G22" s="5">
        <v>100.34610000000001</v>
      </c>
      <c r="H22" s="5">
        <v>17.8</v>
      </c>
      <c r="I22" s="5">
        <v>1090</v>
      </c>
      <c r="J22" s="4" t="s">
        <v>128</v>
      </c>
    </row>
    <row r="23" spans="1:10" x14ac:dyDescent="0.25">
      <c r="A23" s="4">
        <f t="shared" ca="1" si="0"/>
        <v>20</v>
      </c>
      <c r="B23" s="4" t="s">
        <v>166</v>
      </c>
      <c r="C23" s="4" t="s">
        <v>167</v>
      </c>
      <c r="D23" s="4" t="s">
        <v>127</v>
      </c>
      <c r="E23" s="4" t="s">
        <v>134</v>
      </c>
      <c r="F23" s="4">
        <v>1000</v>
      </c>
      <c r="G23" s="5">
        <v>102.00460000000001</v>
      </c>
      <c r="H23" s="5">
        <v>17.559999999999999</v>
      </c>
      <c r="I23" s="5">
        <v>689</v>
      </c>
      <c r="J23" s="4" t="s">
        <v>128</v>
      </c>
    </row>
    <row r="24" spans="1:10" x14ac:dyDescent="0.25">
      <c r="A24" s="4">
        <f t="shared" ca="1" si="0"/>
        <v>21</v>
      </c>
      <c r="B24" s="4" t="s">
        <v>168</v>
      </c>
      <c r="C24" s="4" t="s">
        <v>169</v>
      </c>
      <c r="D24" s="4" t="s">
        <v>127</v>
      </c>
      <c r="E24" s="4" t="s">
        <v>134</v>
      </c>
      <c r="F24" s="4">
        <v>1000</v>
      </c>
      <c r="G24" s="5">
        <v>106.60040000000001</v>
      </c>
      <c r="H24" s="5">
        <v>17.98</v>
      </c>
      <c r="I24" s="5">
        <v>1876</v>
      </c>
      <c r="J24" s="4" t="s">
        <v>128</v>
      </c>
    </row>
    <row r="25" spans="1:10" x14ac:dyDescent="0.25">
      <c r="A25" s="4">
        <f t="shared" ca="1" si="0"/>
        <v>22</v>
      </c>
      <c r="B25" s="4" t="s">
        <v>170</v>
      </c>
      <c r="C25" s="4" t="s">
        <v>171</v>
      </c>
      <c r="D25" s="4" t="s">
        <v>127</v>
      </c>
      <c r="E25" s="4" t="s">
        <v>134</v>
      </c>
      <c r="F25" s="4">
        <v>1000</v>
      </c>
      <c r="G25" s="5">
        <v>104.0775</v>
      </c>
      <c r="H25" s="5">
        <v>17.87</v>
      </c>
      <c r="I25" s="5">
        <v>1560</v>
      </c>
      <c r="J25" s="4" t="s">
        <v>128</v>
      </c>
    </row>
    <row r="26" spans="1:10" x14ac:dyDescent="0.25">
      <c r="A26" s="4">
        <f t="shared" ca="1" si="0"/>
        <v>23</v>
      </c>
      <c r="B26" s="4" t="s">
        <v>172</v>
      </c>
      <c r="C26" s="4" t="s">
        <v>173</v>
      </c>
      <c r="D26" s="4" t="s">
        <v>122</v>
      </c>
      <c r="E26" s="4" t="s">
        <v>134</v>
      </c>
      <c r="F26" s="4">
        <v>1518.18</v>
      </c>
      <c r="G26" s="5"/>
      <c r="H26" s="5"/>
      <c r="I26" s="5"/>
      <c r="J26" s="4" t="s">
        <v>124</v>
      </c>
    </row>
    <row r="27" spans="1:10" x14ac:dyDescent="0.25">
      <c r="A27" s="4">
        <f t="shared" ca="1" si="0"/>
        <v>24</v>
      </c>
      <c r="B27" s="4" t="s">
        <v>174</v>
      </c>
      <c r="C27" s="4" t="s">
        <v>175</v>
      </c>
      <c r="D27" s="4" t="s">
        <v>127</v>
      </c>
      <c r="E27" s="4" t="s">
        <v>134</v>
      </c>
      <c r="F27" s="4">
        <v>497148.5</v>
      </c>
      <c r="G27" s="5">
        <v>101.47970000000001</v>
      </c>
      <c r="H27" s="5">
        <v>21.41</v>
      </c>
      <c r="I27" s="5">
        <v>237</v>
      </c>
      <c r="J27" s="4" t="s">
        <v>128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127</v>
      </c>
      <c r="E28" s="4" t="s">
        <v>134</v>
      </c>
      <c r="F28" s="4">
        <v>499652</v>
      </c>
      <c r="G28" s="5">
        <v>104.2693</v>
      </c>
      <c r="H28" s="5">
        <v>22.86</v>
      </c>
      <c r="I28" s="5">
        <v>20</v>
      </c>
      <c r="J28" s="4" t="s">
        <v>128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127</v>
      </c>
      <c r="E29" s="4" t="s">
        <v>134</v>
      </c>
      <c r="F29" s="4">
        <v>983.39400000000001</v>
      </c>
      <c r="G29" s="5">
        <v>98.706100000000006</v>
      </c>
      <c r="H29" s="5">
        <v>23.93</v>
      </c>
      <c r="I29" s="5">
        <v>360</v>
      </c>
      <c r="J29" s="4" t="s">
        <v>128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127</v>
      </c>
      <c r="E30" s="4" t="s">
        <v>134</v>
      </c>
      <c r="F30" s="4">
        <v>100.4004</v>
      </c>
      <c r="G30" s="5">
        <v>101.33370000000001</v>
      </c>
      <c r="H30" s="5">
        <v>10.41</v>
      </c>
      <c r="I30" s="5">
        <v>95</v>
      </c>
      <c r="J30" s="4" t="s">
        <v>128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127</v>
      </c>
      <c r="E31" s="4" t="s">
        <v>134</v>
      </c>
      <c r="F31" s="4">
        <v>1012.925</v>
      </c>
      <c r="G31" s="5">
        <v>104.4522</v>
      </c>
      <c r="H31" s="5">
        <v>5.94</v>
      </c>
      <c r="I31" s="5">
        <v>918</v>
      </c>
      <c r="J31" s="4" t="s">
        <v>128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127</v>
      </c>
      <c r="E32" s="4" t="s">
        <v>134</v>
      </c>
      <c r="F32" s="4">
        <v>866.78800000000001</v>
      </c>
      <c r="G32" s="5">
        <v>87.717700000000008</v>
      </c>
      <c r="H32" s="5">
        <v>32.270000000000003</v>
      </c>
      <c r="I32" s="5">
        <v>622</v>
      </c>
      <c r="J32" s="4" t="s">
        <v>128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127</v>
      </c>
      <c r="E33" s="4" t="s">
        <v>134</v>
      </c>
      <c r="F33" s="4">
        <v>1000</v>
      </c>
      <c r="G33" s="5">
        <v>100.0639</v>
      </c>
      <c r="H33" s="5">
        <v>23</v>
      </c>
      <c r="I33" s="5">
        <v>1065</v>
      </c>
      <c r="J33" s="4" t="s">
        <v>128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127</v>
      </c>
      <c r="E34" s="4" t="s">
        <v>134</v>
      </c>
      <c r="F34" s="4">
        <v>99.305300000000003</v>
      </c>
      <c r="G34" s="5">
        <v>99.458100000000002</v>
      </c>
      <c r="H34" s="5">
        <v>11.44</v>
      </c>
      <c r="I34" s="5">
        <v>634</v>
      </c>
      <c r="J34" s="4" t="s">
        <v>128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127</v>
      </c>
      <c r="E35" s="4" t="s">
        <v>134</v>
      </c>
      <c r="F35" s="4">
        <v>101.8005</v>
      </c>
      <c r="G35" s="5">
        <v>102.32130000000001</v>
      </c>
      <c r="H35" s="5">
        <v>5.48</v>
      </c>
      <c r="I35" s="5">
        <v>341</v>
      </c>
      <c r="J35" s="4" t="s">
        <v>128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127</v>
      </c>
      <c r="E36" s="4" t="s">
        <v>134</v>
      </c>
      <c r="F36" s="4">
        <v>985.23400000000004</v>
      </c>
      <c r="G36" s="5">
        <v>99.721299999999999</v>
      </c>
      <c r="H36" s="5">
        <v>19</v>
      </c>
      <c r="I36" s="5">
        <v>341</v>
      </c>
      <c r="J36" s="4" t="s">
        <v>128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127</v>
      </c>
      <c r="E37" s="4" t="s">
        <v>134</v>
      </c>
      <c r="F37" s="4">
        <v>910.59900000000005</v>
      </c>
      <c r="G37" s="5">
        <v>91.60990000000001</v>
      </c>
      <c r="H37" s="5">
        <v>29.55</v>
      </c>
      <c r="I37" s="5">
        <v>538</v>
      </c>
      <c r="J37" s="4" t="s">
        <v>128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127</v>
      </c>
      <c r="E38" s="4" t="s">
        <v>134</v>
      </c>
      <c r="F38" s="4">
        <v>99.3</v>
      </c>
      <c r="G38" s="5">
        <v>99.6</v>
      </c>
      <c r="H38" s="5">
        <v>12.52</v>
      </c>
      <c r="I38" s="5">
        <v>538</v>
      </c>
      <c r="J38" s="4" t="s">
        <v>128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127</v>
      </c>
      <c r="E39" s="4" t="s">
        <v>134</v>
      </c>
      <c r="F39" s="4">
        <v>497173.5</v>
      </c>
      <c r="G39" s="5">
        <v>101.768</v>
      </c>
      <c r="H39" s="5">
        <v>21.39</v>
      </c>
      <c r="I39" s="5">
        <v>598</v>
      </c>
      <c r="J39" s="4" t="s">
        <v>128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127</v>
      </c>
      <c r="E40" s="4" t="s">
        <v>134</v>
      </c>
      <c r="F40" s="4">
        <v>817.51300000000003</v>
      </c>
      <c r="G40" s="5">
        <v>83.209600000000009</v>
      </c>
      <c r="H40" s="5">
        <v>45.4</v>
      </c>
      <c r="I40" s="5">
        <v>340</v>
      </c>
      <c r="J40" s="4" t="s">
        <v>128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127</v>
      </c>
      <c r="E41" s="4" t="s">
        <v>134</v>
      </c>
      <c r="F41" s="4">
        <v>1001.5970000000001</v>
      </c>
      <c r="G41" s="5">
        <v>100.45180000000001</v>
      </c>
      <c r="H41" s="5">
        <v>20.95</v>
      </c>
      <c r="I41" s="5">
        <v>939</v>
      </c>
      <c r="J41" s="4" t="s">
        <v>128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127</v>
      </c>
      <c r="E42" s="4" t="s">
        <v>134</v>
      </c>
      <c r="F42" s="4">
        <v>998.74400000000003</v>
      </c>
      <c r="G42" s="5">
        <v>101.0355</v>
      </c>
      <c r="H42" s="5">
        <v>22.08</v>
      </c>
      <c r="I42" s="5">
        <v>681</v>
      </c>
      <c r="J42" s="4" t="s">
        <v>128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127</v>
      </c>
      <c r="E43" s="4" t="s">
        <v>134</v>
      </c>
      <c r="F43" s="4">
        <v>774.3</v>
      </c>
      <c r="G43" s="5">
        <v>78.652200000000008</v>
      </c>
      <c r="H43" s="5">
        <v>41.43</v>
      </c>
      <c r="I43" s="5">
        <v>588</v>
      </c>
      <c r="J43" s="4" t="s">
        <v>128</v>
      </c>
    </row>
    <row r="44" spans="1:10" x14ac:dyDescent="0.25">
      <c r="A44" s="4">
        <f t="shared" ca="1" si="1"/>
        <v>41</v>
      </c>
      <c r="B44" s="4" t="s">
        <v>208</v>
      </c>
      <c r="C44" s="4" t="s">
        <v>209</v>
      </c>
      <c r="D44" s="4" t="s">
        <v>127</v>
      </c>
      <c r="E44" s="4" t="s">
        <v>134</v>
      </c>
      <c r="F44" s="4">
        <v>991.96300000000008</v>
      </c>
      <c r="G44" s="5">
        <v>102.28800000000001</v>
      </c>
      <c r="H44" s="5">
        <v>22.01</v>
      </c>
      <c r="I44" s="5">
        <v>312</v>
      </c>
      <c r="J44" s="4" t="s">
        <v>128</v>
      </c>
    </row>
    <row r="45" spans="1:10" x14ac:dyDescent="0.25">
      <c r="A45" s="4">
        <f t="shared" ca="1" si="1"/>
        <v>42</v>
      </c>
      <c r="B45" s="4" t="s">
        <v>210</v>
      </c>
      <c r="C45" s="4" t="s">
        <v>211</v>
      </c>
      <c r="D45" s="4" t="s">
        <v>127</v>
      </c>
      <c r="E45" s="4" t="s">
        <v>134</v>
      </c>
      <c r="F45" s="4">
        <v>967.36800000000005</v>
      </c>
      <c r="G45" s="5">
        <v>96.947900000000004</v>
      </c>
      <c r="H45" s="5">
        <v>23.02</v>
      </c>
      <c r="I45" s="5">
        <v>331</v>
      </c>
      <c r="J45" s="4" t="s">
        <v>128</v>
      </c>
    </row>
    <row r="46" spans="1:10" x14ac:dyDescent="0.25">
      <c r="A46" s="4">
        <f t="shared" ca="1" si="1"/>
        <v>43</v>
      </c>
      <c r="B46" s="4" t="s">
        <v>212</v>
      </c>
      <c r="C46" s="4" t="s">
        <v>213</v>
      </c>
      <c r="D46" s="4" t="s">
        <v>127</v>
      </c>
      <c r="E46" s="4" t="s">
        <v>134</v>
      </c>
      <c r="F46" s="4">
        <v>936.005</v>
      </c>
      <c r="G46" s="5">
        <v>95.025500000000008</v>
      </c>
      <c r="H46" s="5">
        <v>22.76</v>
      </c>
      <c r="I46" s="5">
        <v>795</v>
      </c>
      <c r="J46" s="4" t="s">
        <v>128</v>
      </c>
    </row>
    <row r="47" spans="1:10" x14ac:dyDescent="0.25">
      <c r="A47" s="4">
        <f t="shared" ca="1" si="1"/>
        <v>44</v>
      </c>
      <c r="B47" s="4" t="s">
        <v>214</v>
      </c>
      <c r="C47" s="4" t="s">
        <v>215</v>
      </c>
      <c r="D47" s="4" t="s">
        <v>127</v>
      </c>
      <c r="E47" s="4" t="s">
        <v>134</v>
      </c>
      <c r="F47" s="4">
        <v>1002.966</v>
      </c>
      <c r="G47" s="5">
        <v>101.0549</v>
      </c>
      <c r="H47" s="5">
        <v>20.84</v>
      </c>
      <c r="I47" s="5">
        <v>839</v>
      </c>
      <c r="J47" s="4" t="s">
        <v>128</v>
      </c>
    </row>
    <row r="48" spans="1:10" x14ac:dyDescent="0.25">
      <c r="A48" s="4">
        <f t="shared" ca="1" si="1"/>
        <v>45</v>
      </c>
      <c r="B48" s="4" t="s">
        <v>216</v>
      </c>
      <c r="C48" s="4" t="s">
        <v>217</v>
      </c>
      <c r="D48" s="4" t="s">
        <v>127</v>
      </c>
      <c r="E48" s="4" t="s">
        <v>134</v>
      </c>
      <c r="F48" s="4">
        <v>999.15200000000004</v>
      </c>
      <c r="G48" s="5">
        <v>109.44850000000001</v>
      </c>
      <c r="H48" s="5">
        <v>19.559999999999999</v>
      </c>
      <c r="I48" s="5">
        <v>551</v>
      </c>
      <c r="J48" s="4" t="s">
        <v>128</v>
      </c>
    </row>
    <row r="49" spans="1:10" x14ac:dyDescent="0.25">
      <c r="A49" s="4">
        <f t="shared" ca="1" si="1"/>
        <v>46</v>
      </c>
      <c r="B49" s="4" t="s">
        <v>218</v>
      </c>
      <c r="C49" s="4" t="s">
        <v>219</v>
      </c>
      <c r="D49" s="4" t="s">
        <v>127</v>
      </c>
      <c r="E49" s="4" t="s">
        <v>134</v>
      </c>
      <c r="F49" s="4">
        <v>98.271200000000007</v>
      </c>
      <c r="G49" s="5">
        <v>98.465600000000009</v>
      </c>
      <c r="H49" s="5">
        <v>11.42</v>
      </c>
      <c r="I49" s="5">
        <v>479</v>
      </c>
      <c r="J49" s="4" t="s">
        <v>128</v>
      </c>
    </row>
    <row r="50" spans="1:10" x14ac:dyDescent="0.25">
      <c r="A50" s="4">
        <f t="shared" ca="1" si="1"/>
        <v>47</v>
      </c>
      <c r="B50" s="4" t="s">
        <v>220</v>
      </c>
      <c r="C50" s="4" t="s">
        <v>221</v>
      </c>
      <c r="D50" s="4" t="s">
        <v>127</v>
      </c>
      <c r="E50" s="4" t="s">
        <v>134</v>
      </c>
      <c r="F50" s="4">
        <v>1000</v>
      </c>
      <c r="G50" s="5">
        <v>105.6417</v>
      </c>
      <c r="H50" s="5">
        <v>17.420000000000002</v>
      </c>
      <c r="I50" s="5">
        <v>1344</v>
      </c>
      <c r="J50" s="4" t="s">
        <v>128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127</v>
      </c>
      <c r="E51" s="4" t="s">
        <v>134</v>
      </c>
      <c r="F51" s="4">
        <v>1000.553</v>
      </c>
      <c r="G51" s="5">
        <v>100.66500000000001</v>
      </c>
      <c r="H51" s="5">
        <v>21.91</v>
      </c>
      <c r="I51" s="5">
        <v>629</v>
      </c>
      <c r="J51" s="4" t="s">
        <v>128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127</v>
      </c>
      <c r="E52" s="4" t="s">
        <v>134</v>
      </c>
      <c r="F52" s="4">
        <v>993.70699999999999</v>
      </c>
      <c r="G52" s="5">
        <v>100.98180000000001</v>
      </c>
      <c r="H52" s="5">
        <v>21.58</v>
      </c>
      <c r="I52" s="5">
        <v>153</v>
      </c>
      <c r="J52" s="4" t="s">
        <v>128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127</v>
      </c>
      <c r="E53" s="4" t="s">
        <v>134</v>
      </c>
      <c r="F53" s="4">
        <v>1027.03</v>
      </c>
      <c r="G53" s="5">
        <v>104.25930000000001</v>
      </c>
      <c r="H53" s="5">
        <v>20.95</v>
      </c>
      <c r="I53" s="5">
        <v>858</v>
      </c>
      <c r="J53" s="4" t="s">
        <v>128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122</v>
      </c>
      <c r="E54" s="4" t="s">
        <v>134</v>
      </c>
      <c r="F54" s="4">
        <v>101.27</v>
      </c>
      <c r="G54" s="5"/>
      <c r="H54" s="5"/>
      <c r="I54" s="5"/>
      <c r="J54" s="4" t="s">
        <v>151</v>
      </c>
    </row>
    <row r="55" spans="1:10" x14ac:dyDescent="0.25">
      <c r="A55" s="4">
        <f t="shared" ca="1" si="1"/>
        <v>52</v>
      </c>
      <c r="B55" s="4" t="s">
        <v>230</v>
      </c>
      <c r="C55" s="4" t="s">
        <v>231</v>
      </c>
      <c r="D55" s="4" t="s">
        <v>127</v>
      </c>
      <c r="E55" s="4" t="s">
        <v>134</v>
      </c>
      <c r="F55" s="4">
        <v>966.95400000000006</v>
      </c>
      <c r="G55" s="5">
        <v>98.270400000000009</v>
      </c>
      <c r="H55" s="5">
        <v>22.83</v>
      </c>
      <c r="I55" s="5">
        <v>855</v>
      </c>
      <c r="J55" s="4" t="s">
        <v>128</v>
      </c>
    </row>
    <row r="56" spans="1:10" x14ac:dyDescent="0.25">
      <c r="A56" s="4">
        <f t="shared" ca="1" si="1"/>
        <v>53</v>
      </c>
      <c r="B56" s="4" t="s">
        <v>232</v>
      </c>
      <c r="C56" s="4" t="s">
        <v>233</v>
      </c>
      <c r="D56" s="4" t="s">
        <v>127</v>
      </c>
      <c r="E56" s="4" t="s">
        <v>134</v>
      </c>
      <c r="F56" s="4">
        <v>996.11700000000008</v>
      </c>
      <c r="G56" s="5">
        <v>99.795000000000002</v>
      </c>
      <c r="H56" s="5">
        <v>22.28</v>
      </c>
      <c r="I56" s="5">
        <v>605</v>
      </c>
      <c r="J56" s="4" t="s">
        <v>128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127</v>
      </c>
      <c r="E57" s="4" t="s">
        <v>134</v>
      </c>
      <c r="F57" s="4">
        <v>953.32500000000005</v>
      </c>
      <c r="G57" s="5">
        <v>96.546400000000006</v>
      </c>
      <c r="H57" s="5">
        <v>48.23</v>
      </c>
      <c r="I57" s="5">
        <v>74</v>
      </c>
      <c r="J57" s="4" t="s">
        <v>128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127</v>
      </c>
      <c r="E58" s="4" t="s">
        <v>134</v>
      </c>
      <c r="F58" s="4">
        <v>967.149</v>
      </c>
      <c r="G58" s="5">
        <v>101.55240000000001</v>
      </c>
      <c r="H58" s="5">
        <v>23.25</v>
      </c>
      <c r="I58" s="5">
        <v>923</v>
      </c>
      <c r="J58" s="4" t="s">
        <v>128</v>
      </c>
    </row>
    <row r="59" spans="1:10" x14ac:dyDescent="0.25">
      <c r="A59" s="4">
        <f t="shared" ca="1" si="1"/>
        <v>56</v>
      </c>
      <c r="B59" s="4" t="s">
        <v>238</v>
      </c>
      <c r="C59" s="4" t="s">
        <v>239</v>
      </c>
      <c r="D59" s="4" t="s">
        <v>127</v>
      </c>
      <c r="E59" s="4" t="s">
        <v>134</v>
      </c>
      <c r="F59" s="4">
        <v>986.3950000000001</v>
      </c>
      <c r="G59" s="5">
        <v>100.04510000000001</v>
      </c>
      <c r="H59" s="5">
        <v>23.02</v>
      </c>
      <c r="I59" s="5">
        <v>585</v>
      </c>
      <c r="J59" s="4" t="s">
        <v>128</v>
      </c>
    </row>
    <row r="60" spans="1:10" x14ac:dyDescent="0.25">
      <c r="A60" s="4">
        <f t="shared" ca="1" si="1"/>
        <v>57</v>
      </c>
      <c r="B60" s="4" t="s">
        <v>240</v>
      </c>
      <c r="C60" s="4" t="s">
        <v>241</v>
      </c>
      <c r="D60" s="4" t="s">
        <v>127</v>
      </c>
      <c r="E60" s="4" t="s">
        <v>134</v>
      </c>
      <c r="F60" s="4">
        <v>987.03200000000004</v>
      </c>
      <c r="G60" s="5">
        <v>99.23790000000001</v>
      </c>
      <c r="H60" s="5">
        <v>19</v>
      </c>
      <c r="I60" s="5">
        <v>355</v>
      </c>
      <c r="J60" s="4" t="s">
        <v>128</v>
      </c>
    </row>
    <row r="61" spans="1:10" x14ac:dyDescent="0.25">
      <c r="A61" s="4">
        <f t="shared" ca="1" si="1"/>
        <v>58</v>
      </c>
      <c r="B61" s="4" t="s">
        <v>242</v>
      </c>
      <c r="C61" s="4" t="s">
        <v>243</v>
      </c>
      <c r="D61" s="4" t="s">
        <v>127</v>
      </c>
      <c r="E61" s="4" t="s">
        <v>134</v>
      </c>
      <c r="F61" s="4">
        <v>9.9183199999999996</v>
      </c>
      <c r="G61" s="5">
        <v>99.572100000000006</v>
      </c>
      <c r="H61" s="5">
        <v>10.5</v>
      </c>
      <c r="I61" s="5">
        <v>656</v>
      </c>
      <c r="J61" s="4" t="s">
        <v>128</v>
      </c>
    </row>
    <row r="62" spans="1:10" x14ac:dyDescent="0.25">
      <c r="A62" s="4">
        <f t="shared" ca="1" si="1"/>
        <v>59</v>
      </c>
      <c r="B62" s="4" t="s">
        <v>244</v>
      </c>
      <c r="C62" s="4" t="s">
        <v>245</v>
      </c>
      <c r="D62" s="4" t="s">
        <v>127</v>
      </c>
      <c r="E62" s="4" t="s">
        <v>134</v>
      </c>
      <c r="F62" s="4">
        <v>951.89800000000002</v>
      </c>
      <c r="G62" s="5">
        <v>96.881500000000003</v>
      </c>
      <c r="H62" s="5">
        <v>23.5</v>
      </c>
      <c r="I62" s="5">
        <v>945</v>
      </c>
      <c r="J62" s="4" t="s">
        <v>128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127</v>
      </c>
      <c r="E63" s="4" t="s">
        <v>134</v>
      </c>
      <c r="F63" s="4">
        <v>1005.283</v>
      </c>
      <c r="G63" s="5">
        <v>104.34360000000001</v>
      </c>
      <c r="H63" s="5">
        <v>20.059999999999999</v>
      </c>
      <c r="I63" s="5">
        <v>663</v>
      </c>
      <c r="J63" s="4" t="s">
        <v>128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127</v>
      </c>
      <c r="E64" s="4" t="s">
        <v>134</v>
      </c>
      <c r="F64" s="4">
        <v>980</v>
      </c>
      <c r="G64" s="5">
        <v>101.44170000000001</v>
      </c>
      <c r="H64" s="5">
        <v>21.95</v>
      </c>
      <c r="I64" s="5">
        <v>1037</v>
      </c>
      <c r="J64" s="4" t="s">
        <v>128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122</v>
      </c>
      <c r="E65" s="4" t="s">
        <v>252</v>
      </c>
      <c r="F65" s="4">
        <v>38691.4</v>
      </c>
      <c r="G65" s="5"/>
      <c r="H65" s="5"/>
      <c r="I65" s="5"/>
      <c r="J65" s="4" t="s">
        <v>124</v>
      </c>
    </row>
    <row r="66" spans="1:10" x14ac:dyDescent="0.25">
      <c r="A66" s="4">
        <f t="shared" ca="1" si="1"/>
        <v>63</v>
      </c>
      <c r="B66" s="4" t="s">
        <v>253</v>
      </c>
      <c r="C66" s="4" t="s">
        <v>254</v>
      </c>
      <c r="D66" s="4" t="s">
        <v>122</v>
      </c>
      <c r="E66" s="4" t="s">
        <v>252</v>
      </c>
      <c r="F66" s="4">
        <v>28174.6</v>
      </c>
      <c r="G66" s="5"/>
      <c r="H66" s="5"/>
      <c r="I66" s="5"/>
      <c r="J66" s="4" t="s">
        <v>124</v>
      </c>
    </row>
    <row r="67" spans="1:10" x14ac:dyDescent="0.25">
      <c r="A67" s="4">
        <f t="shared" ca="1" si="1"/>
        <v>64</v>
      </c>
      <c r="B67" s="4" t="s">
        <v>255</v>
      </c>
      <c r="C67" s="4" t="s">
        <v>256</v>
      </c>
      <c r="D67" s="4" t="s">
        <v>127</v>
      </c>
      <c r="E67" s="4" t="s">
        <v>257</v>
      </c>
      <c r="F67" s="4">
        <v>16421.7</v>
      </c>
      <c r="G67" s="5">
        <v>1642.173</v>
      </c>
      <c r="H67" s="5"/>
      <c r="I67" s="5">
        <v>122</v>
      </c>
      <c r="J67" s="4" t="s">
        <v>128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258</v>
      </c>
      <c r="C68" s="4" t="s">
        <v>259</v>
      </c>
      <c r="D68" s="4" t="s">
        <v>122</v>
      </c>
      <c r="E68" s="4" t="s">
        <v>260</v>
      </c>
      <c r="F68" s="4">
        <v>22310.82</v>
      </c>
      <c r="G68" s="5"/>
      <c r="H68" s="5"/>
      <c r="I68" s="5"/>
      <c r="J68" s="4" t="s">
        <v>124</v>
      </c>
    </row>
    <row r="69" spans="1:10" x14ac:dyDescent="0.25">
      <c r="A69" s="4">
        <f t="shared" ca="1" si="2"/>
        <v>66</v>
      </c>
      <c r="B69" s="4" t="s">
        <v>261</v>
      </c>
      <c r="C69" s="4" t="s">
        <v>262</v>
      </c>
      <c r="D69" s="4" t="s">
        <v>127</v>
      </c>
      <c r="E69" s="4" t="s">
        <v>260</v>
      </c>
      <c r="F69" s="4">
        <v>1.009714</v>
      </c>
      <c r="G69" s="5">
        <v>101.4342</v>
      </c>
      <c r="H69" s="5">
        <v>5.13</v>
      </c>
      <c r="I69" s="5">
        <v>1612</v>
      </c>
      <c r="J69" s="4" t="s">
        <v>128</v>
      </c>
    </row>
    <row r="70" spans="1:10" x14ac:dyDescent="0.25">
      <c r="A70" s="4">
        <f t="shared" ca="1" si="2"/>
        <v>67</v>
      </c>
      <c r="B70" s="4" t="s">
        <v>263</v>
      </c>
      <c r="C70" s="4" t="s">
        <v>264</v>
      </c>
      <c r="D70" s="4" t="s">
        <v>127</v>
      </c>
      <c r="E70" s="4" t="s">
        <v>260</v>
      </c>
      <c r="F70" s="4">
        <v>1000.639</v>
      </c>
      <c r="G70" s="5">
        <v>100.61290000000001</v>
      </c>
      <c r="H70" s="5">
        <v>6.37</v>
      </c>
      <c r="I70" s="5">
        <v>8370</v>
      </c>
      <c r="J70" s="4" t="s">
        <v>128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122</v>
      </c>
      <c r="E71" s="4" t="s">
        <v>267</v>
      </c>
      <c r="F71" s="4">
        <v>3331.09</v>
      </c>
      <c r="G71" s="5"/>
      <c r="H71" s="5"/>
      <c r="I71" s="5"/>
      <c r="J71" s="4" t="s">
        <v>124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127</v>
      </c>
      <c r="E72" s="4" t="s">
        <v>270</v>
      </c>
      <c r="F72" s="4">
        <v>0.97311300000000001</v>
      </c>
      <c r="G72" s="5">
        <v>97.461300000000008</v>
      </c>
      <c r="H72" s="5">
        <v>5.01</v>
      </c>
      <c r="I72" s="5">
        <v>338</v>
      </c>
      <c r="J72" s="4" t="s">
        <v>128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122</v>
      </c>
      <c r="E73" s="4" t="s">
        <v>273</v>
      </c>
      <c r="F73" s="4">
        <v>8955.3000000000011</v>
      </c>
      <c r="G73" s="5"/>
      <c r="H73" s="5"/>
      <c r="I73" s="5"/>
      <c r="J73" s="4" t="s">
        <v>124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122</v>
      </c>
      <c r="E74" s="4" t="s">
        <v>273</v>
      </c>
      <c r="F74" s="4">
        <v>4631.42</v>
      </c>
      <c r="G74" s="5"/>
      <c r="H74" s="5"/>
      <c r="I74" s="5"/>
      <c r="J74" s="4" t="s">
        <v>124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127</v>
      </c>
      <c r="E75" s="4" t="s">
        <v>278</v>
      </c>
      <c r="F75" s="4">
        <v>970.78700000000003</v>
      </c>
      <c r="G75" s="5">
        <v>101.5154</v>
      </c>
      <c r="H75" s="5">
        <v>19.760000000000002</v>
      </c>
      <c r="I75" s="5">
        <v>825</v>
      </c>
      <c r="J75" s="4" t="s">
        <v>128</v>
      </c>
    </row>
    <row r="76" spans="1:10" x14ac:dyDescent="0.25">
      <c r="A76" s="4">
        <f t="shared" ca="1" si="2"/>
        <v>73</v>
      </c>
      <c r="B76" s="4" t="s">
        <v>279</v>
      </c>
      <c r="C76" s="4" t="s">
        <v>280</v>
      </c>
      <c r="D76" s="4" t="s">
        <v>127</v>
      </c>
      <c r="E76" s="4" t="s">
        <v>278</v>
      </c>
      <c r="F76" s="4">
        <v>99.346500000000006</v>
      </c>
      <c r="G76" s="5">
        <v>99.346500000000006</v>
      </c>
      <c r="H76" s="5">
        <v>16.010000000000002</v>
      </c>
      <c r="I76" s="5">
        <v>16</v>
      </c>
      <c r="J76" s="4" t="s">
        <v>128</v>
      </c>
    </row>
    <row r="77" spans="1:10" x14ac:dyDescent="0.25">
      <c r="A77" s="4">
        <f t="shared" ca="1" si="2"/>
        <v>74</v>
      </c>
      <c r="B77" s="4" t="s">
        <v>281</v>
      </c>
      <c r="C77" s="4" t="s">
        <v>282</v>
      </c>
      <c r="D77" s="4" t="s">
        <v>127</v>
      </c>
      <c r="E77" s="4" t="s">
        <v>278</v>
      </c>
      <c r="F77" s="4">
        <v>100.0168</v>
      </c>
      <c r="G77" s="5">
        <v>101.3279</v>
      </c>
      <c r="H77" s="5">
        <v>7.99</v>
      </c>
      <c r="I77" s="5">
        <v>762</v>
      </c>
      <c r="J77" s="4" t="s">
        <v>128</v>
      </c>
    </row>
    <row r="78" spans="1:10" x14ac:dyDescent="0.25">
      <c r="A78" s="4">
        <f t="shared" ca="1" si="2"/>
        <v>75</v>
      </c>
      <c r="B78" s="4" t="s">
        <v>283</v>
      </c>
      <c r="C78" s="4" t="s">
        <v>284</v>
      </c>
      <c r="D78" s="4" t="s">
        <v>127</v>
      </c>
      <c r="E78" s="4" t="s">
        <v>66</v>
      </c>
      <c r="F78" s="4">
        <v>1000</v>
      </c>
      <c r="G78" s="5">
        <v>111.35420000000001</v>
      </c>
      <c r="H78" s="5">
        <v>12.55</v>
      </c>
      <c r="I78" s="5">
        <v>1132</v>
      </c>
      <c r="J78" s="4" t="s">
        <v>128</v>
      </c>
    </row>
    <row r="79" spans="1:10" x14ac:dyDescent="0.25">
      <c r="A79" s="4">
        <f t="shared" ca="1" si="2"/>
        <v>76</v>
      </c>
      <c r="B79" s="4" t="s">
        <v>285</v>
      </c>
      <c r="C79" s="4" t="s">
        <v>286</v>
      </c>
      <c r="D79" s="4" t="s">
        <v>127</v>
      </c>
      <c r="E79" s="4" t="s">
        <v>66</v>
      </c>
      <c r="F79" s="4">
        <v>1000</v>
      </c>
      <c r="G79" s="5">
        <v>103.07440000000001</v>
      </c>
      <c r="H79" s="5">
        <v>12.53</v>
      </c>
      <c r="I79" s="5">
        <v>1372</v>
      </c>
      <c r="J79" s="4" t="s">
        <v>128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127</v>
      </c>
      <c r="E80" s="4" t="s">
        <v>66</v>
      </c>
      <c r="F80" s="4">
        <v>1000</v>
      </c>
      <c r="G80" s="5">
        <v>106.1837</v>
      </c>
      <c r="H80" s="5">
        <v>12.19</v>
      </c>
      <c r="I80" s="5">
        <v>185</v>
      </c>
      <c r="J80" s="4" t="s">
        <v>128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127</v>
      </c>
      <c r="E81" s="4" t="s">
        <v>66</v>
      </c>
      <c r="F81" s="4">
        <v>1000</v>
      </c>
      <c r="G81" s="5">
        <v>104.0177</v>
      </c>
      <c r="H81" s="5">
        <v>12.32</v>
      </c>
      <c r="I81" s="5">
        <v>248</v>
      </c>
      <c r="J81" s="4" t="s">
        <v>128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127</v>
      </c>
      <c r="E82" s="4" t="s">
        <v>66</v>
      </c>
      <c r="F82" s="4">
        <v>1000</v>
      </c>
      <c r="G82" s="5">
        <v>107.19680000000001</v>
      </c>
      <c r="H82" s="5">
        <v>12.43</v>
      </c>
      <c r="I82" s="5">
        <v>521</v>
      </c>
      <c r="J82" s="4" t="s">
        <v>128</v>
      </c>
    </row>
    <row r="83" spans="1:10" x14ac:dyDescent="0.25">
      <c r="A83" s="4">
        <f t="shared" ca="1" si="2"/>
        <v>80</v>
      </c>
      <c r="B83" s="4" t="s">
        <v>293</v>
      </c>
      <c r="C83" s="4" t="s">
        <v>294</v>
      </c>
      <c r="D83" s="4" t="s">
        <v>127</v>
      </c>
      <c r="E83" s="4" t="s">
        <v>66</v>
      </c>
      <c r="F83" s="4">
        <v>1000</v>
      </c>
      <c r="G83" s="5">
        <v>105.1007</v>
      </c>
      <c r="H83" s="5">
        <v>12.45</v>
      </c>
      <c r="I83" s="5">
        <v>582</v>
      </c>
      <c r="J83" s="4" t="s">
        <v>128</v>
      </c>
    </row>
    <row r="84" spans="1:10" x14ac:dyDescent="0.25">
      <c r="A84" s="4">
        <f t="shared" ca="1" si="2"/>
        <v>81</v>
      </c>
      <c r="B84" s="4" t="s">
        <v>295</v>
      </c>
      <c r="C84" s="4" t="s">
        <v>296</v>
      </c>
      <c r="D84" s="4" t="s">
        <v>127</v>
      </c>
      <c r="E84" s="4" t="s">
        <v>66</v>
      </c>
      <c r="F84" s="4">
        <v>1000</v>
      </c>
      <c r="G84" s="5">
        <v>112.5421</v>
      </c>
      <c r="H84" s="5">
        <v>12.58</v>
      </c>
      <c r="I84" s="5">
        <v>732</v>
      </c>
      <c r="J84" s="4" t="s">
        <v>128</v>
      </c>
    </row>
    <row r="85" spans="1:10" x14ac:dyDescent="0.25">
      <c r="A85" s="4">
        <f t="shared" ca="1" si="2"/>
        <v>82</v>
      </c>
      <c r="B85" s="4" t="s">
        <v>297</v>
      </c>
      <c r="C85" s="4" t="s">
        <v>298</v>
      </c>
      <c r="D85" s="4" t="s">
        <v>127</v>
      </c>
      <c r="E85" s="4" t="s">
        <v>66</v>
      </c>
      <c r="F85" s="4">
        <v>1000</v>
      </c>
      <c r="G85" s="5">
        <v>103.07440000000001</v>
      </c>
      <c r="H85" s="5">
        <v>12.52</v>
      </c>
      <c r="I85" s="5">
        <v>1007</v>
      </c>
      <c r="J85" s="4" t="s">
        <v>128</v>
      </c>
    </row>
    <row r="86" spans="1:10" x14ac:dyDescent="0.25">
      <c r="A86" s="4">
        <f t="shared" ca="1" si="2"/>
        <v>83</v>
      </c>
      <c r="B86" s="4" t="s">
        <v>299</v>
      </c>
      <c r="C86" s="4" t="s">
        <v>300</v>
      </c>
      <c r="D86" s="4" t="s">
        <v>127</v>
      </c>
      <c r="E86" s="4" t="s">
        <v>66</v>
      </c>
      <c r="F86" s="4">
        <v>1000</v>
      </c>
      <c r="G86" s="5">
        <v>110.376</v>
      </c>
      <c r="H86" s="5">
        <v>12.54</v>
      </c>
      <c r="I86" s="5">
        <v>1526</v>
      </c>
      <c r="J86" s="4" t="s">
        <v>128</v>
      </c>
    </row>
    <row r="87" spans="1:10" x14ac:dyDescent="0.25">
      <c r="A87" s="4">
        <f t="shared" ca="1" si="2"/>
        <v>84</v>
      </c>
      <c r="B87" s="4" t="s">
        <v>301</v>
      </c>
      <c r="C87" s="4" t="s">
        <v>302</v>
      </c>
      <c r="D87" s="4" t="s">
        <v>127</v>
      </c>
      <c r="E87" s="4" t="s">
        <v>66</v>
      </c>
      <c r="F87" s="4">
        <v>894.947</v>
      </c>
      <c r="G87" s="5">
        <v>89.522499999999994</v>
      </c>
      <c r="H87" s="5">
        <v>17.39</v>
      </c>
      <c r="I87" s="5">
        <v>364</v>
      </c>
      <c r="J87" s="4" t="s">
        <v>128</v>
      </c>
    </row>
    <row r="88" spans="1:10" x14ac:dyDescent="0.25">
      <c r="A88" s="4">
        <f t="shared" ca="1" si="2"/>
        <v>85</v>
      </c>
      <c r="B88" s="4" t="s">
        <v>303</v>
      </c>
      <c r="C88" s="4" t="s">
        <v>304</v>
      </c>
      <c r="D88" s="4" t="s">
        <v>127</v>
      </c>
      <c r="E88" s="4" t="s">
        <v>66</v>
      </c>
      <c r="F88" s="4">
        <v>1000</v>
      </c>
      <c r="G88" s="5">
        <v>105.1007</v>
      </c>
      <c r="H88" s="5">
        <v>12.51</v>
      </c>
      <c r="I88" s="5">
        <v>1313</v>
      </c>
      <c r="J88" s="4" t="s">
        <v>128</v>
      </c>
    </row>
    <row r="89" spans="1:10" x14ac:dyDescent="0.25">
      <c r="A89" s="4">
        <f t="shared" ca="1" si="2"/>
        <v>86</v>
      </c>
      <c r="B89" s="4" t="s">
        <v>305</v>
      </c>
      <c r="C89" s="4" t="s">
        <v>93</v>
      </c>
      <c r="D89" s="4" t="s">
        <v>127</v>
      </c>
      <c r="E89" s="4" t="s">
        <v>66</v>
      </c>
      <c r="F89" s="4">
        <v>868.80799999999999</v>
      </c>
      <c r="G89" s="5">
        <v>90.510300000000001</v>
      </c>
      <c r="H89" s="5">
        <v>17.190000000000001</v>
      </c>
      <c r="I89" s="5">
        <v>488</v>
      </c>
      <c r="J89" s="4" t="s">
        <v>128</v>
      </c>
    </row>
    <row r="90" spans="1:10" x14ac:dyDescent="0.25">
      <c r="A90" s="4">
        <f t="shared" ca="1" si="2"/>
        <v>87</v>
      </c>
      <c r="B90" s="4" t="s">
        <v>306</v>
      </c>
      <c r="C90" s="4" t="s">
        <v>307</v>
      </c>
      <c r="D90" s="4" t="s">
        <v>127</v>
      </c>
      <c r="E90" s="4" t="s">
        <v>66</v>
      </c>
      <c r="F90" s="4">
        <v>830.03800000000001</v>
      </c>
      <c r="G90" s="5">
        <v>84.025599999999997</v>
      </c>
      <c r="H90" s="5">
        <v>17.12</v>
      </c>
      <c r="I90" s="5">
        <v>663</v>
      </c>
      <c r="J90" s="4" t="s">
        <v>128</v>
      </c>
    </row>
    <row r="91" spans="1:10" x14ac:dyDescent="0.25">
      <c r="A91" s="4">
        <f t="shared" ca="1" si="2"/>
        <v>88</v>
      </c>
      <c r="B91" s="4" t="s">
        <v>308</v>
      </c>
      <c r="C91" s="4" t="s">
        <v>309</v>
      </c>
      <c r="D91" s="4" t="s">
        <v>127</v>
      </c>
      <c r="E91" s="4" t="s">
        <v>66</v>
      </c>
      <c r="F91" s="4">
        <v>838.12900000000002</v>
      </c>
      <c r="G91" s="5">
        <v>84.372600000000006</v>
      </c>
      <c r="H91" s="5">
        <v>17.09</v>
      </c>
      <c r="I91" s="5">
        <v>699</v>
      </c>
      <c r="J91" s="4" t="s">
        <v>128</v>
      </c>
    </row>
    <row r="92" spans="1:10" x14ac:dyDescent="0.25">
      <c r="A92" s="4">
        <f t="shared" ca="1" si="2"/>
        <v>89</v>
      </c>
      <c r="B92" s="4" t="s">
        <v>310</v>
      </c>
      <c r="C92" s="4" t="s">
        <v>311</v>
      </c>
      <c r="D92" s="4" t="s">
        <v>127</v>
      </c>
      <c r="E92" s="4" t="s">
        <v>66</v>
      </c>
      <c r="F92" s="4">
        <v>1000</v>
      </c>
      <c r="G92" s="5">
        <v>104.0526</v>
      </c>
      <c r="H92" s="5">
        <v>12.47</v>
      </c>
      <c r="I92" s="5">
        <v>612</v>
      </c>
      <c r="J92" s="4" t="s">
        <v>128</v>
      </c>
    </row>
    <row r="93" spans="1:10" x14ac:dyDescent="0.25">
      <c r="A93" s="4">
        <f t="shared" ca="1" si="2"/>
        <v>90</v>
      </c>
      <c r="B93" s="4" t="s">
        <v>312</v>
      </c>
      <c r="C93" s="4" t="s">
        <v>313</v>
      </c>
      <c r="D93" s="4" t="s">
        <v>127</v>
      </c>
      <c r="E93" s="4" t="s">
        <v>66</v>
      </c>
      <c r="F93" s="4">
        <v>1000</v>
      </c>
      <c r="G93" s="5">
        <v>112.50710000000001</v>
      </c>
      <c r="H93" s="5">
        <v>11.83</v>
      </c>
      <c r="I93" s="5">
        <v>3</v>
      </c>
      <c r="J93" s="4" t="s">
        <v>128</v>
      </c>
    </row>
    <row r="94" spans="1:10" x14ac:dyDescent="0.25">
      <c r="A94" s="4">
        <f t="shared" ca="1" si="2"/>
        <v>91</v>
      </c>
      <c r="B94" s="4" t="s">
        <v>314</v>
      </c>
      <c r="C94" s="4" t="s">
        <v>315</v>
      </c>
      <c r="D94" s="4" t="s">
        <v>127</v>
      </c>
      <c r="E94" s="4" t="s">
        <v>66</v>
      </c>
      <c r="F94" s="4">
        <v>1000</v>
      </c>
      <c r="G94" s="5">
        <v>109.53540000000001</v>
      </c>
      <c r="H94" s="5">
        <v>12.62</v>
      </c>
      <c r="I94" s="5">
        <v>1553</v>
      </c>
      <c r="J94" s="4" t="s">
        <v>128</v>
      </c>
    </row>
    <row r="95" spans="1:10" x14ac:dyDescent="0.25">
      <c r="A95" s="4">
        <f t="shared" ca="1" si="2"/>
        <v>92</v>
      </c>
      <c r="B95" s="4" t="s">
        <v>316</v>
      </c>
      <c r="C95" s="4" t="s">
        <v>103</v>
      </c>
      <c r="D95" s="4" t="s">
        <v>127</v>
      </c>
      <c r="E95" s="4" t="s">
        <v>66</v>
      </c>
      <c r="F95" s="4">
        <v>617.46400000000006</v>
      </c>
      <c r="G95" s="5">
        <v>66.072800000000001</v>
      </c>
      <c r="H95" s="5">
        <v>16.830000000000002</v>
      </c>
      <c r="I95" s="5">
        <v>3091</v>
      </c>
      <c r="J95" s="4" t="s">
        <v>128</v>
      </c>
    </row>
    <row r="96" spans="1:10" x14ac:dyDescent="0.25">
      <c r="A96" s="4">
        <f t="shared" ca="1" si="2"/>
        <v>93</v>
      </c>
      <c r="B96" s="4" t="s">
        <v>317</v>
      </c>
      <c r="C96" s="4" t="s">
        <v>79</v>
      </c>
      <c r="D96" s="4" t="s">
        <v>127</v>
      </c>
      <c r="E96" s="4" t="s">
        <v>66</v>
      </c>
      <c r="F96" s="4">
        <v>874.30499999999995</v>
      </c>
      <c r="G96" s="5">
        <v>90.646799999999999</v>
      </c>
      <c r="H96" s="5">
        <v>17.16</v>
      </c>
      <c r="I96" s="5">
        <v>573</v>
      </c>
      <c r="J96" s="4" t="s">
        <v>128</v>
      </c>
    </row>
    <row r="97" spans="1:10" x14ac:dyDescent="0.25">
      <c r="A97" s="4">
        <f t="shared" ca="1" si="2"/>
        <v>94</v>
      </c>
      <c r="B97" s="4" t="s">
        <v>318</v>
      </c>
      <c r="C97" s="4" t="s">
        <v>319</v>
      </c>
      <c r="D97" s="4" t="s">
        <v>127</v>
      </c>
      <c r="E97" s="4" t="s">
        <v>66</v>
      </c>
      <c r="F97" s="4">
        <v>539.49800000000005</v>
      </c>
      <c r="G97" s="5">
        <v>55.367400000000004</v>
      </c>
      <c r="H97" s="5">
        <v>16.82</v>
      </c>
      <c r="I97" s="5">
        <v>6881</v>
      </c>
      <c r="J97" s="4" t="s">
        <v>128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127</v>
      </c>
      <c r="E98" s="4" t="s">
        <v>66</v>
      </c>
      <c r="F98" s="4">
        <v>1000</v>
      </c>
      <c r="G98" s="5">
        <v>101.92150000000001</v>
      </c>
      <c r="H98" s="5">
        <v>12.45</v>
      </c>
      <c r="I98" s="5">
        <v>310</v>
      </c>
      <c r="J98" s="4" t="s">
        <v>128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127</v>
      </c>
      <c r="E99" s="4" t="s">
        <v>66</v>
      </c>
      <c r="F99" s="4">
        <v>1000</v>
      </c>
      <c r="G99" s="5">
        <v>105.13560000000001</v>
      </c>
      <c r="H99" s="5">
        <v>12.51</v>
      </c>
      <c r="I99" s="5">
        <v>1312</v>
      </c>
      <c r="J99" s="4" t="s">
        <v>128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127</v>
      </c>
      <c r="E100" s="4" t="s">
        <v>66</v>
      </c>
      <c r="F100" s="4">
        <v>1000</v>
      </c>
      <c r="G100" s="5">
        <v>106.11380000000001</v>
      </c>
      <c r="H100" s="5">
        <v>12.52</v>
      </c>
      <c r="I100" s="5">
        <v>1648</v>
      </c>
      <c r="J100" s="4" t="s">
        <v>128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127</v>
      </c>
      <c r="E101" s="4" t="s">
        <v>66</v>
      </c>
      <c r="F101" s="4">
        <v>1000</v>
      </c>
      <c r="G101" s="5">
        <v>103.0394</v>
      </c>
      <c r="H101" s="5">
        <v>12.38</v>
      </c>
      <c r="I101" s="5">
        <v>277</v>
      </c>
      <c r="J101" s="4" t="s">
        <v>128</v>
      </c>
    </row>
    <row r="102" spans="1:10" x14ac:dyDescent="0.25">
      <c r="A102" s="4">
        <f t="shared" ca="1" si="3"/>
        <v>99</v>
      </c>
      <c r="B102" s="4" t="s">
        <v>328</v>
      </c>
      <c r="C102" s="4" t="s">
        <v>91</v>
      </c>
      <c r="D102" s="4" t="s">
        <v>127</v>
      </c>
      <c r="E102" s="4" t="s">
        <v>66</v>
      </c>
      <c r="F102" s="4">
        <v>603.28500000000008</v>
      </c>
      <c r="G102" s="5">
        <v>66.963800000000006</v>
      </c>
      <c r="H102" s="5">
        <v>16.830000000000002</v>
      </c>
      <c r="I102" s="5">
        <v>3353</v>
      </c>
      <c r="J102" s="4" t="s">
        <v>128</v>
      </c>
    </row>
    <row r="103" spans="1:10" x14ac:dyDescent="0.25">
      <c r="A103" s="4">
        <f t="shared" ca="1" si="3"/>
        <v>100</v>
      </c>
      <c r="B103" s="4" t="s">
        <v>329</v>
      </c>
      <c r="C103" s="4" t="s">
        <v>330</v>
      </c>
      <c r="D103" s="4" t="s">
        <v>127</v>
      </c>
      <c r="E103" s="4" t="s">
        <v>66</v>
      </c>
      <c r="F103" s="4">
        <v>910.68799999999999</v>
      </c>
      <c r="G103" s="5">
        <v>97.543800000000005</v>
      </c>
      <c r="H103" s="5">
        <v>17.22</v>
      </c>
      <c r="I103" s="5">
        <v>467</v>
      </c>
      <c r="J103" s="4" t="s">
        <v>128</v>
      </c>
    </row>
    <row r="104" spans="1:10" x14ac:dyDescent="0.25">
      <c r="A104" s="4">
        <f t="shared" ca="1" si="3"/>
        <v>101</v>
      </c>
      <c r="B104" s="4" t="s">
        <v>331</v>
      </c>
      <c r="C104" s="4" t="s">
        <v>332</v>
      </c>
      <c r="D104" s="4" t="s">
        <v>127</v>
      </c>
      <c r="E104" s="4" t="s">
        <v>66</v>
      </c>
      <c r="F104" s="4">
        <v>891.71900000000005</v>
      </c>
      <c r="G104" s="5">
        <v>92.721900000000005</v>
      </c>
      <c r="H104" s="5">
        <v>17.150000000000002</v>
      </c>
      <c r="I104" s="5">
        <v>586</v>
      </c>
      <c r="J104" s="4" t="s">
        <v>128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127</v>
      </c>
      <c r="E105" s="4" t="s">
        <v>66</v>
      </c>
      <c r="F105" s="4">
        <v>596.995</v>
      </c>
      <c r="G105" s="5">
        <v>62.4084</v>
      </c>
      <c r="H105" s="5">
        <v>16.82</v>
      </c>
      <c r="I105" s="5">
        <v>3901</v>
      </c>
      <c r="J105" s="4" t="s">
        <v>128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127</v>
      </c>
      <c r="E106" s="4" t="s">
        <v>66</v>
      </c>
      <c r="F106" s="4">
        <v>667.01700000000005</v>
      </c>
      <c r="G106" s="5">
        <v>72.258499999999998</v>
      </c>
      <c r="H106" s="5">
        <v>16.850000000000001</v>
      </c>
      <c r="I106" s="5">
        <v>2688</v>
      </c>
      <c r="J106" s="4" t="s">
        <v>128</v>
      </c>
    </row>
    <row r="107" spans="1:10" x14ac:dyDescent="0.25">
      <c r="A107" s="4">
        <f t="shared" ca="1" si="3"/>
        <v>104</v>
      </c>
      <c r="B107" s="4" t="s">
        <v>337</v>
      </c>
      <c r="C107" s="4" t="s">
        <v>338</v>
      </c>
      <c r="D107" s="4" t="s">
        <v>127</v>
      </c>
      <c r="E107" s="4" t="s">
        <v>66</v>
      </c>
      <c r="F107" s="4">
        <v>657.69299999999998</v>
      </c>
      <c r="G107" s="5">
        <v>70.751300000000001</v>
      </c>
      <c r="H107" s="5">
        <v>16.84</v>
      </c>
      <c r="I107" s="5">
        <v>2707</v>
      </c>
      <c r="J107" s="4" t="s">
        <v>128</v>
      </c>
    </row>
    <row r="108" spans="1:10" x14ac:dyDescent="0.25">
      <c r="A108" s="4">
        <f t="shared" ca="1" si="3"/>
        <v>105</v>
      </c>
      <c r="B108" s="4" t="s">
        <v>339</v>
      </c>
      <c r="C108" s="4" t="s">
        <v>118</v>
      </c>
      <c r="D108" s="4" t="s">
        <v>127</v>
      </c>
      <c r="E108" s="4" t="s">
        <v>66</v>
      </c>
      <c r="F108" s="4">
        <v>683.91899999999998</v>
      </c>
      <c r="G108" s="5">
        <v>73.532300000000006</v>
      </c>
      <c r="H108" s="5">
        <v>16.86</v>
      </c>
      <c r="I108" s="5">
        <v>2335</v>
      </c>
      <c r="J108" s="4" t="s">
        <v>128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127</v>
      </c>
      <c r="E109" s="4" t="s">
        <v>66</v>
      </c>
      <c r="F109" s="4">
        <v>712.149</v>
      </c>
      <c r="G109" s="5">
        <v>75.786600000000007</v>
      </c>
      <c r="H109" s="5">
        <v>16.87</v>
      </c>
      <c r="I109" s="5">
        <v>1993</v>
      </c>
      <c r="J109" s="4" t="s">
        <v>128</v>
      </c>
    </row>
    <row r="110" spans="1:10" x14ac:dyDescent="0.25">
      <c r="A110" s="4">
        <f t="shared" ca="1" si="3"/>
        <v>107</v>
      </c>
      <c r="B110" s="4" t="s">
        <v>342</v>
      </c>
      <c r="C110" s="4" t="s">
        <v>343</v>
      </c>
      <c r="D110" s="4" t="s">
        <v>127</v>
      </c>
      <c r="E110" s="4" t="s">
        <v>66</v>
      </c>
      <c r="F110" s="4">
        <v>600.07600000000002</v>
      </c>
      <c r="G110" s="5">
        <v>66.870900000000006</v>
      </c>
      <c r="H110" s="5">
        <v>16.84</v>
      </c>
      <c r="I110" s="5">
        <v>4097</v>
      </c>
      <c r="J110" s="4" t="s">
        <v>128</v>
      </c>
    </row>
    <row r="111" spans="1:10" x14ac:dyDescent="0.25">
      <c r="A111" s="4">
        <f t="shared" ca="1" si="3"/>
        <v>108</v>
      </c>
      <c r="B111" s="4" t="s">
        <v>344</v>
      </c>
      <c r="C111" s="4" t="s">
        <v>345</v>
      </c>
      <c r="D111" s="4" t="s">
        <v>127</v>
      </c>
      <c r="E111" s="4" t="s">
        <v>66</v>
      </c>
      <c r="F111" s="4">
        <v>1000</v>
      </c>
      <c r="G111" s="5">
        <v>106.1837</v>
      </c>
      <c r="H111" s="5">
        <v>12.19</v>
      </c>
      <c r="I111" s="5">
        <v>185</v>
      </c>
      <c r="J111" s="4" t="s">
        <v>128</v>
      </c>
    </row>
    <row r="112" spans="1:10" x14ac:dyDescent="0.25">
      <c r="A112" s="4">
        <f t="shared" ca="1" si="3"/>
        <v>109</v>
      </c>
      <c r="B112" s="4" t="s">
        <v>346</v>
      </c>
      <c r="C112" s="4" t="s">
        <v>86</v>
      </c>
      <c r="D112" s="4" t="s">
        <v>127</v>
      </c>
      <c r="E112" s="4" t="s">
        <v>66</v>
      </c>
      <c r="F112" s="4">
        <v>757.89700000000005</v>
      </c>
      <c r="G112" s="5">
        <v>77.965699999999998</v>
      </c>
      <c r="H112" s="5">
        <v>16.93</v>
      </c>
      <c r="I112" s="5">
        <v>1358</v>
      </c>
      <c r="J112" s="4" t="s">
        <v>128</v>
      </c>
    </row>
    <row r="113" spans="1:10" x14ac:dyDescent="0.25">
      <c r="A113" s="4">
        <f t="shared" ca="1" si="3"/>
        <v>110</v>
      </c>
      <c r="B113" s="4" t="s">
        <v>347</v>
      </c>
      <c r="C113" s="4" t="s">
        <v>348</v>
      </c>
      <c r="D113" s="4" t="s">
        <v>127</v>
      </c>
      <c r="E113" s="4" t="s">
        <v>66</v>
      </c>
      <c r="F113" s="4">
        <v>736.28300000000002</v>
      </c>
      <c r="G113" s="5">
        <v>79.836300000000008</v>
      </c>
      <c r="H113" s="5">
        <v>16.93</v>
      </c>
      <c r="I113" s="5">
        <v>1533</v>
      </c>
      <c r="J113" s="4" t="s">
        <v>128</v>
      </c>
    </row>
    <row r="114" spans="1:10" x14ac:dyDescent="0.25">
      <c r="A114" s="4">
        <f t="shared" ca="1" si="3"/>
        <v>111</v>
      </c>
      <c r="B114" s="4" t="s">
        <v>349</v>
      </c>
      <c r="C114" s="4" t="s">
        <v>350</v>
      </c>
      <c r="D114" s="4" t="s">
        <v>127</v>
      </c>
      <c r="E114" s="4" t="s">
        <v>66</v>
      </c>
      <c r="F114" s="4">
        <v>538.95400000000006</v>
      </c>
      <c r="G114" s="5">
        <v>61.2468</v>
      </c>
      <c r="H114" s="5">
        <v>16.82</v>
      </c>
      <c r="I114" s="5">
        <v>4774</v>
      </c>
      <c r="J114" s="4" t="s">
        <v>128</v>
      </c>
    </row>
    <row r="115" spans="1:10" x14ac:dyDescent="0.25">
      <c r="A115" s="4">
        <f t="shared" ca="1" si="3"/>
        <v>112</v>
      </c>
      <c r="B115" s="4" t="s">
        <v>351</v>
      </c>
      <c r="C115" s="4" t="s">
        <v>98</v>
      </c>
      <c r="D115" s="4" t="s">
        <v>127</v>
      </c>
      <c r="E115" s="4" t="s">
        <v>66</v>
      </c>
      <c r="F115" s="4">
        <v>923.01700000000005</v>
      </c>
      <c r="G115" s="5">
        <v>93.783600000000007</v>
      </c>
      <c r="H115" s="5">
        <v>17.490000000000002</v>
      </c>
      <c r="I115" s="5">
        <v>267</v>
      </c>
      <c r="J115" s="4" t="s">
        <v>128</v>
      </c>
    </row>
    <row r="116" spans="1:10" x14ac:dyDescent="0.25">
      <c r="A116" s="4">
        <f t="shared" ca="1" si="3"/>
        <v>113</v>
      </c>
      <c r="B116" s="4" t="s">
        <v>352</v>
      </c>
      <c r="C116" s="4" t="s">
        <v>105</v>
      </c>
      <c r="D116" s="4" t="s">
        <v>127</v>
      </c>
      <c r="E116" s="4" t="s">
        <v>66</v>
      </c>
      <c r="F116" s="4">
        <v>820.93700000000001</v>
      </c>
      <c r="G116" s="5">
        <v>82.623699999999999</v>
      </c>
      <c r="H116" s="5">
        <v>17.09</v>
      </c>
      <c r="I116" s="5">
        <v>694</v>
      </c>
      <c r="J116" s="4" t="s">
        <v>128</v>
      </c>
    </row>
    <row r="117" spans="1:10" x14ac:dyDescent="0.25">
      <c r="A117" s="4">
        <f t="shared" ca="1" si="3"/>
        <v>114</v>
      </c>
      <c r="B117" s="4" t="s">
        <v>353</v>
      </c>
      <c r="C117" s="4" t="s">
        <v>354</v>
      </c>
      <c r="D117" s="4" t="s">
        <v>127</v>
      </c>
      <c r="E117" s="4" t="s">
        <v>66</v>
      </c>
      <c r="F117" s="4">
        <v>757.46400000000006</v>
      </c>
      <c r="G117" s="5">
        <v>76.739500000000007</v>
      </c>
      <c r="H117" s="5">
        <v>17</v>
      </c>
      <c r="I117" s="5">
        <v>1031</v>
      </c>
      <c r="J117" s="4" t="s">
        <v>128</v>
      </c>
    </row>
    <row r="118" spans="1:10" x14ac:dyDescent="0.25">
      <c r="A118" s="4">
        <f t="shared" ca="1" si="3"/>
        <v>115</v>
      </c>
      <c r="B118" s="4" t="s">
        <v>355</v>
      </c>
      <c r="C118" s="4" t="s">
        <v>356</v>
      </c>
      <c r="D118" s="4" t="s">
        <v>127</v>
      </c>
      <c r="E118" s="4" t="s">
        <v>66</v>
      </c>
      <c r="F118" s="4">
        <v>555.47400000000005</v>
      </c>
      <c r="G118" s="5">
        <v>58.3307</v>
      </c>
      <c r="H118" s="5">
        <v>16.809999999999999</v>
      </c>
      <c r="I118" s="5">
        <v>4991</v>
      </c>
      <c r="J118" s="4" t="s">
        <v>128</v>
      </c>
    </row>
    <row r="119" spans="1:10" x14ac:dyDescent="0.25">
      <c r="A119" s="4">
        <f t="shared" ca="1" si="3"/>
        <v>116</v>
      </c>
      <c r="B119" s="4" t="s">
        <v>357</v>
      </c>
      <c r="C119" s="4" t="s">
        <v>358</v>
      </c>
      <c r="D119" s="4" t="s">
        <v>127</v>
      </c>
      <c r="E119" s="4" t="s">
        <v>66</v>
      </c>
      <c r="F119" s="4">
        <v>551.04399999999998</v>
      </c>
      <c r="G119" s="5">
        <v>61.358700000000006</v>
      </c>
      <c r="H119" s="5">
        <v>16.82</v>
      </c>
      <c r="I119" s="5">
        <v>5207</v>
      </c>
      <c r="J119" s="4" t="s">
        <v>128</v>
      </c>
    </row>
    <row r="120" spans="1:10" x14ac:dyDescent="0.25">
      <c r="A120" s="4">
        <f t="shared" ca="1" si="3"/>
        <v>117</v>
      </c>
      <c r="B120" s="4" t="s">
        <v>359</v>
      </c>
      <c r="C120" s="4" t="s">
        <v>89</v>
      </c>
      <c r="D120" s="4" t="s">
        <v>127</v>
      </c>
      <c r="E120" s="4" t="s">
        <v>66</v>
      </c>
      <c r="F120" s="4">
        <v>854.66700000000003</v>
      </c>
      <c r="G120" s="5">
        <v>92.647300000000001</v>
      </c>
      <c r="H120" s="5">
        <v>16.96</v>
      </c>
      <c r="I120" s="5">
        <v>1223</v>
      </c>
      <c r="J120" s="4" t="s">
        <v>128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127</v>
      </c>
      <c r="E121" s="4" t="s">
        <v>66</v>
      </c>
      <c r="F121" s="4">
        <v>953.55600000000004</v>
      </c>
      <c r="G121" s="5">
        <v>98.944999999999993</v>
      </c>
      <c r="H121" s="5">
        <v>17.510000000000002</v>
      </c>
      <c r="I121" s="5">
        <v>221</v>
      </c>
      <c r="J121" s="4" t="s">
        <v>128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127</v>
      </c>
      <c r="E122" s="4" t="s">
        <v>66</v>
      </c>
      <c r="F122" s="4">
        <v>1000</v>
      </c>
      <c r="G122" s="5">
        <v>112.03370000000001</v>
      </c>
      <c r="H122" s="5">
        <v>12.65</v>
      </c>
      <c r="I122" s="5">
        <v>1115</v>
      </c>
      <c r="J122" s="4" t="s">
        <v>128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127</v>
      </c>
      <c r="E123" s="4" t="s">
        <v>66</v>
      </c>
      <c r="F123" s="4">
        <v>1000</v>
      </c>
      <c r="G123" s="5">
        <v>108.2449</v>
      </c>
      <c r="H123" s="5">
        <v>12.07</v>
      </c>
      <c r="I123" s="5">
        <v>125</v>
      </c>
      <c r="J123" s="4" t="s">
        <v>128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127</v>
      </c>
      <c r="E124" s="4" t="s">
        <v>66</v>
      </c>
      <c r="F124" s="4">
        <v>1000</v>
      </c>
      <c r="G124" s="5">
        <v>109.3279</v>
      </c>
      <c r="H124" s="5">
        <v>12.52</v>
      </c>
      <c r="I124" s="5">
        <v>1192</v>
      </c>
      <c r="J124" s="4" t="s">
        <v>128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127</v>
      </c>
      <c r="E125" s="4" t="s">
        <v>66</v>
      </c>
      <c r="F125" s="4">
        <v>858.33400000000006</v>
      </c>
      <c r="G125" s="5">
        <v>86.6477</v>
      </c>
      <c r="H125" s="5">
        <v>16.990000000000002</v>
      </c>
      <c r="I125" s="5">
        <v>1068</v>
      </c>
      <c r="J125" s="4" t="s">
        <v>128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127</v>
      </c>
      <c r="E126" s="4" t="s">
        <v>66</v>
      </c>
      <c r="F126" s="4">
        <v>1000</v>
      </c>
      <c r="G126" s="5">
        <v>109.4328</v>
      </c>
      <c r="H126" s="5">
        <v>12.5</v>
      </c>
      <c r="I126" s="5">
        <v>823</v>
      </c>
      <c r="J126" s="4" t="s">
        <v>128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127</v>
      </c>
      <c r="E127" s="4" t="s">
        <v>66</v>
      </c>
      <c r="F127" s="4">
        <v>573.52</v>
      </c>
      <c r="G127" s="5">
        <v>60.575600000000001</v>
      </c>
      <c r="H127" s="5">
        <v>16.850000000000001</v>
      </c>
      <c r="I127" s="5">
        <v>2343</v>
      </c>
      <c r="J127" s="4" t="s">
        <v>128</v>
      </c>
    </row>
    <row r="128" spans="1:10" x14ac:dyDescent="0.25">
      <c r="A128" s="4">
        <f t="shared" ca="1" si="3"/>
        <v>125</v>
      </c>
      <c r="B128" s="4" t="s">
        <v>374</v>
      </c>
      <c r="C128" s="4" t="s">
        <v>375</v>
      </c>
      <c r="D128" s="4" t="s">
        <v>127</v>
      </c>
      <c r="E128" s="4" t="s">
        <v>66</v>
      </c>
      <c r="F128" s="4">
        <v>781.76100000000008</v>
      </c>
      <c r="G128" s="5">
        <v>85.095300000000009</v>
      </c>
      <c r="H128" s="5">
        <v>16.98</v>
      </c>
      <c r="I128" s="5">
        <v>1112</v>
      </c>
      <c r="J128" s="4" t="s">
        <v>128</v>
      </c>
    </row>
    <row r="129" spans="1:10" x14ac:dyDescent="0.25">
      <c r="A129" s="4">
        <f t="shared" ca="1" si="3"/>
        <v>126</v>
      </c>
      <c r="B129" s="4" t="s">
        <v>376</v>
      </c>
      <c r="C129" s="4" t="s">
        <v>377</v>
      </c>
      <c r="D129" s="4" t="s">
        <v>127</v>
      </c>
      <c r="E129" s="4" t="s">
        <v>66</v>
      </c>
      <c r="F129" s="4">
        <v>777.26600000000008</v>
      </c>
      <c r="G129" s="5">
        <v>80.740499999999997</v>
      </c>
      <c r="H129" s="5">
        <v>17.03</v>
      </c>
      <c r="I129" s="5">
        <v>876</v>
      </c>
      <c r="J129" s="4" t="s">
        <v>128</v>
      </c>
    </row>
    <row r="130" spans="1:10" x14ac:dyDescent="0.25">
      <c r="A130" s="4">
        <f t="shared" ca="1" si="3"/>
        <v>127</v>
      </c>
      <c r="B130" s="4" t="s">
        <v>378</v>
      </c>
      <c r="C130" s="4" t="s">
        <v>75</v>
      </c>
      <c r="D130" s="4" t="s">
        <v>127</v>
      </c>
      <c r="E130" s="4" t="s">
        <v>66</v>
      </c>
      <c r="F130" s="4">
        <v>760.29700000000003</v>
      </c>
      <c r="G130" s="5">
        <v>79.5501</v>
      </c>
      <c r="H130" s="5">
        <v>16.86</v>
      </c>
      <c r="I130" s="5">
        <v>2436</v>
      </c>
      <c r="J130" s="4" t="s">
        <v>128</v>
      </c>
    </row>
    <row r="131" spans="1:10" x14ac:dyDescent="0.25">
      <c r="A131" s="4">
        <f t="shared" ca="1" si="3"/>
        <v>128</v>
      </c>
      <c r="B131" s="4" t="s">
        <v>379</v>
      </c>
      <c r="C131" s="4" t="s">
        <v>108</v>
      </c>
      <c r="D131" s="4" t="s">
        <v>127</v>
      </c>
      <c r="E131" s="4" t="s">
        <v>66</v>
      </c>
      <c r="F131" s="4">
        <v>833.49200000000008</v>
      </c>
      <c r="G131" s="5">
        <v>86.778000000000006</v>
      </c>
      <c r="H131" s="5">
        <v>16.93</v>
      </c>
      <c r="I131" s="5">
        <v>1342</v>
      </c>
      <c r="J131" s="4" t="s">
        <v>128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380</v>
      </c>
      <c r="C132" s="4" t="s">
        <v>381</v>
      </c>
      <c r="D132" s="4" t="s">
        <v>127</v>
      </c>
      <c r="E132" s="4" t="s">
        <v>66</v>
      </c>
      <c r="F132" s="4">
        <v>1000</v>
      </c>
      <c r="G132" s="5">
        <v>101.9564</v>
      </c>
      <c r="H132" s="5">
        <v>12.55</v>
      </c>
      <c r="I132" s="5">
        <v>1770</v>
      </c>
      <c r="J132" s="4" t="s">
        <v>128</v>
      </c>
    </row>
    <row r="133" spans="1:10" x14ac:dyDescent="0.25">
      <c r="A133" s="4">
        <f t="shared" ca="1" si="4"/>
        <v>130</v>
      </c>
      <c r="B133" s="4" t="s">
        <v>382</v>
      </c>
      <c r="C133" s="4" t="s">
        <v>383</v>
      </c>
      <c r="D133" s="4" t="s">
        <v>127</v>
      </c>
      <c r="E133" s="4" t="s">
        <v>66</v>
      </c>
      <c r="F133" s="4">
        <v>1000</v>
      </c>
      <c r="G133" s="5">
        <v>111.3892</v>
      </c>
      <c r="H133" s="5">
        <v>12.56</v>
      </c>
      <c r="I133" s="5">
        <v>2226</v>
      </c>
      <c r="J133" s="4" t="s">
        <v>128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127</v>
      </c>
      <c r="E134" s="4" t="s">
        <v>66</v>
      </c>
      <c r="F134" s="4">
        <v>1000</v>
      </c>
      <c r="G134" s="5">
        <v>102.02630000000001</v>
      </c>
      <c r="H134" s="5">
        <v>12.55</v>
      </c>
      <c r="I134" s="5">
        <v>2133</v>
      </c>
      <c r="J134" s="4" t="s">
        <v>128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127</v>
      </c>
      <c r="E135" s="4" t="s">
        <v>66</v>
      </c>
      <c r="F135" s="4">
        <v>915.42499999999995</v>
      </c>
      <c r="G135" s="5">
        <v>96.915800000000004</v>
      </c>
      <c r="H135" s="5">
        <v>17.16</v>
      </c>
      <c r="I135" s="5">
        <v>541</v>
      </c>
      <c r="J135" s="4" t="s">
        <v>128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127</v>
      </c>
      <c r="E136" s="4" t="s">
        <v>66</v>
      </c>
      <c r="F136" s="4">
        <v>715.54600000000005</v>
      </c>
      <c r="G136" s="5">
        <v>80.6708</v>
      </c>
      <c r="H136" s="5">
        <v>16.830000000000002</v>
      </c>
      <c r="I136" s="5">
        <v>4083</v>
      </c>
      <c r="J136" s="4" t="s">
        <v>128</v>
      </c>
    </row>
    <row r="137" spans="1:10" x14ac:dyDescent="0.25">
      <c r="A137" s="4">
        <f t="shared" ca="1" si="4"/>
        <v>134</v>
      </c>
      <c r="B137" s="4" t="s">
        <v>390</v>
      </c>
      <c r="C137" s="4" t="s">
        <v>67</v>
      </c>
      <c r="D137" s="4" t="s">
        <v>127</v>
      </c>
      <c r="E137" s="4" t="s">
        <v>66</v>
      </c>
      <c r="F137" s="4">
        <v>990.33199999999999</v>
      </c>
      <c r="G137" s="5">
        <v>102.70840000000001</v>
      </c>
      <c r="H137" s="5">
        <v>16.91</v>
      </c>
      <c r="I137" s="5">
        <v>58</v>
      </c>
      <c r="J137" s="4" t="s">
        <v>128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127</v>
      </c>
      <c r="E138" s="4" t="s">
        <v>66</v>
      </c>
      <c r="F138" s="4">
        <v>829.94200000000001</v>
      </c>
      <c r="G138" s="5">
        <v>91.885900000000007</v>
      </c>
      <c r="H138" s="5">
        <v>16.940000000000001</v>
      </c>
      <c r="I138" s="5">
        <v>1533</v>
      </c>
      <c r="J138" s="4" t="s">
        <v>128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127</v>
      </c>
      <c r="E139" s="4" t="s">
        <v>66</v>
      </c>
      <c r="F139" s="4">
        <v>706.51200000000006</v>
      </c>
      <c r="G139" s="5">
        <v>73.34620000000001</v>
      </c>
      <c r="H139" s="5">
        <v>16.830000000000002</v>
      </c>
      <c r="I139" s="5">
        <v>3927</v>
      </c>
      <c r="J139" s="4" t="s">
        <v>128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127</v>
      </c>
      <c r="E140" s="4" t="s">
        <v>66</v>
      </c>
      <c r="F140" s="4">
        <v>709.89700000000005</v>
      </c>
      <c r="G140" s="5">
        <v>78.804600000000008</v>
      </c>
      <c r="H140" s="5">
        <v>16.86</v>
      </c>
      <c r="I140" s="5">
        <v>3007</v>
      </c>
      <c r="J140" s="4" t="s">
        <v>128</v>
      </c>
    </row>
    <row r="141" spans="1:10" x14ac:dyDescent="0.25">
      <c r="A141" s="4">
        <f t="shared" ca="1" si="4"/>
        <v>138</v>
      </c>
      <c r="B141" s="4" t="s">
        <v>397</v>
      </c>
      <c r="C141" s="4" t="s">
        <v>81</v>
      </c>
      <c r="D141" s="4" t="s">
        <v>127</v>
      </c>
      <c r="E141" s="4" t="s">
        <v>66</v>
      </c>
      <c r="F141" s="4">
        <v>876.34</v>
      </c>
      <c r="G141" s="5">
        <v>94.0762</v>
      </c>
      <c r="H141" s="5">
        <v>17.04</v>
      </c>
      <c r="I141" s="5">
        <v>870</v>
      </c>
      <c r="J141" s="4" t="s">
        <v>128</v>
      </c>
    </row>
    <row r="142" spans="1:10" x14ac:dyDescent="0.25">
      <c r="A142" s="4">
        <f t="shared" ca="1" si="4"/>
        <v>139</v>
      </c>
      <c r="B142" s="4" t="s">
        <v>398</v>
      </c>
      <c r="C142" s="4" t="s">
        <v>399</v>
      </c>
      <c r="D142" s="4" t="s">
        <v>127</v>
      </c>
      <c r="E142" s="4" t="s">
        <v>66</v>
      </c>
      <c r="F142" s="4">
        <v>959.81</v>
      </c>
      <c r="G142" s="5">
        <v>99.218500000000006</v>
      </c>
      <c r="H142" s="5">
        <v>16.82</v>
      </c>
      <c r="I142" s="5">
        <v>253</v>
      </c>
      <c r="J142" s="4" t="s">
        <v>128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127</v>
      </c>
      <c r="E143" s="4" t="s">
        <v>66</v>
      </c>
      <c r="F143" s="4">
        <v>699.6</v>
      </c>
      <c r="G143" s="5">
        <v>77.220399999999998</v>
      </c>
      <c r="H143" s="5">
        <v>16.830000000000002</v>
      </c>
      <c r="I143" s="5">
        <v>3393</v>
      </c>
      <c r="J143" s="4" t="s">
        <v>128</v>
      </c>
    </row>
    <row r="144" spans="1:10" x14ac:dyDescent="0.25">
      <c r="A144" s="4">
        <f t="shared" ca="1" si="4"/>
        <v>141</v>
      </c>
      <c r="B144" s="4" t="s">
        <v>402</v>
      </c>
      <c r="C144" s="4" t="s">
        <v>84</v>
      </c>
      <c r="D144" s="4" t="s">
        <v>127</v>
      </c>
      <c r="E144" s="4" t="s">
        <v>66</v>
      </c>
      <c r="F144" s="4">
        <v>778.98599999999999</v>
      </c>
      <c r="G144" s="5">
        <v>84.994200000000006</v>
      </c>
      <c r="H144" s="5">
        <v>16.87</v>
      </c>
      <c r="I144" s="5">
        <v>1939</v>
      </c>
      <c r="J144" s="4" t="s">
        <v>128</v>
      </c>
    </row>
    <row r="145" spans="1:10" x14ac:dyDescent="0.25">
      <c r="A145" s="4">
        <f t="shared" ca="1" si="4"/>
        <v>142</v>
      </c>
      <c r="B145" s="4" t="s">
        <v>403</v>
      </c>
      <c r="C145" s="4" t="s">
        <v>404</v>
      </c>
      <c r="D145" s="4" t="s">
        <v>127</v>
      </c>
      <c r="E145" s="4" t="s">
        <v>66</v>
      </c>
      <c r="F145" s="4">
        <v>742.37300000000005</v>
      </c>
      <c r="G145" s="5">
        <v>76.969200000000001</v>
      </c>
      <c r="H145" s="5">
        <v>16.850000000000001</v>
      </c>
      <c r="I145" s="5">
        <v>2829</v>
      </c>
      <c r="J145" s="4" t="s">
        <v>128</v>
      </c>
    </row>
    <row r="146" spans="1:10" x14ac:dyDescent="0.25">
      <c r="A146" s="4">
        <f t="shared" ca="1" si="4"/>
        <v>143</v>
      </c>
      <c r="B146" s="4" t="s">
        <v>405</v>
      </c>
      <c r="C146" s="4" t="s">
        <v>406</v>
      </c>
      <c r="D146" s="4" t="s">
        <v>127</v>
      </c>
      <c r="E146" s="4" t="s">
        <v>66</v>
      </c>
      <c r="F146" s="4">
        <v>978.38300000000004</v>
      </c>
      <c r="G146" s="5">
        <v>100.5025</v>
      </c>
      <c r="H146" s="5">
        <v>16.78</v>
      </c>
      <c r="I146" s="5">
        <v>296</v>
      </c>
      <c r="J146" s="4" t="s">
        <v>128</v>
      </c>
    </row>
    <row r="147" spans="1:10" x14ac:dyDescent="0.25">
      <c r="A147" s="4">
        <f t="shared" ca="1" si="4"/>
        <v>144</v>
      </c>
      <c r="B147" s="4" t="s">
        <v>407</v>
      </c>
      <c r="C147" s="4" t="s">
        <v>408</v>
      </c>
      <c r="D147" s="4" t="s">
        <v>127</v>
      </c>
      <c r="E147" s="4" t="s">
        <v>66</v>
      </c>
      <c r="F147" s="4">
        <v>982.22900000000004</v>
      </c>
      <c r="G147" s="5">
        <v>98.5214</v>
      </c>
      <c r="H147" s="5">
        <v>16.43</v>
      </c>
      <c r="I147" s="5">
        <v>724</v>
      </c>
      <c r="J147" s="4" t="s">
        <v>128</v>
      </c>
    </row>
    <row r="148" spans="1:10" x14ac:dyDescent="0.25">
      <c r="A148" s="4">
        <f t="shared" ca="1" si="4"/>
        <v>145</v>
      </c>
      <c r="B148" s="4" t="s">
        <v>409</v>
      </c>
      <c r="C148" s="4" t="s">
        <v>410</v>
      </c>
      <c r="D148" s="4" t="s">
        <v>127</v>
      </c>
      <c r="E148" s="4" t="s">
        <v>66</v>
      </c>
      <c r="F148" s="4">
        <v>889.25700000000006</v>
      </c>
      <c r="G148" s="5">
        <v>96.159000000000006</v>
      </c>
      <c r="H148" s="5">
        <v>16.86</v>
      </c>
      <c r="I148" s="5">
        <v>2368</v>
      </c>
      <c r="J148" s="4" t="s">
        <v>128</v>
      </c>
    </row>
    <row r="149" spans="1:10" x14ac:dyDescent="0.25">
      <c r="A149" s="4">
        <f t="shared" ca="1" si="4"/>
        <v>146</v>
      </c>
      <c r="B149" s="4" t="s">
        <v>411</v>
      </c>
      <c r="C149" s="4" t="s">
        <v>412</v>
      </c>
      <c r="D149" s="4" t="s">
        <v>127</v>
      </c>
      <c r="E149" s="4" t="s">
        <v>66</v>
      </c>
      <c r="F149" s="4">
        <v>958.39800000000002</v>
      </c>
      <c r="G149" s="5">
        <v>106.9748</v>
      </c>
      <c r="H149" s="5">
        <v>16.96</v>
      </c>
      <c r="I149" s="5">
        <v>1195</v>
      </c>
      <c r="J149" s="4" t="s">
        <v>128</v>
      </c>
    </row>
    <row r="150" spans="1:10" x14ac:dyDescent="0.25">
      <c r="A150" s="4">
        <f t="shared" ca="1" si="4"/>
        <v>147</v>
      </c>
      <c r="B150" s="4" t="s">
        <v>413</v>
      </c>
      <c r="C150" s="4" t="s">
        <v>414</v>
      </c>
      <c r="D150" s="4" t="s">
        <v>127</v>
      </c>
      <c r="E150" s="4" t="s">
        <v>66</v>
      </c>
      <c r="F150" s="4">
        <v>1000</v>
      </c>
      <c r="G150" s="5">
        <v>103.6841</v>
      </c>
      <c r="H150" s="5">
        <v>17.330000000000002</v>
      </c>
      <c r="I150" s="5">
        <v>289</v>
      </c>
      <c r="J150" s="4" t="s">
        <v>128</v>
      </c>
    </row>
    <row r="151" spans="1:10" x14ac:dyDescent="0.25">
      <c r="A151" s="4">
        <f t="shared" ca="1" si="4"/>
        <v>148</v>
      </c>
      <c r="B151" s="4" t="s">
        <v>415</v>
      </c>
      <c r="C151" s="4" t="s">
        <v>416</v>
      </c>
      <c r="D151" s="4" t="s">
        <v>127</v>
      </c>
      <c r="E151" s="4" t="s">
        <v>66</v>
      </c>
      <c r="F151" s="4">
        <v>899.4670000000001</v>
      </c>
      <c r="G151" s="5">
        <v>97.452300000000008</v>
      </c>
      <c r="H151" s="5">
        <v>16.88</v>
      </c>
      <c r="I151" s="5">
        <v>1995</v>
      </c>
      <c r="J151" s="4" t="s">
        <v>128</v>
      </c>
    </row>
    <row r="152" spans="1:10" x14ac:dyDescent="0.25">
      <c r="A152" s="4">
        <f t="shared" ca="1" si="4"/>
        <v>149</v>
      </c>
      <c r="B152" s="4" t="s">
        <v>417</v>
      </c>
      <c r="C152" s="4" t="s">
        <v>418</v>
      </c>
      <c r="D152" s="4" t="s">
        <v>127</v>
      </c>
      <c r="E152" s="4" t="s">
        <v>66</v>
      </c>
      <c r="F152" s="4">
        <v>983.30100000000004</v>
      </c>
      <c r="G152" s="5">
        <v>104.09750000000001</v>
      </c>
      <c r="H152" s="5">
        <v>16.82</v>
      </c>
      <c r="I152" s="5">
        <v>212</v>
      </c>
      <c r="J152" s="4" t="s">
        <v>128</v>
      </c>
    </row>
    <row r="153" spans="1:10" x14ac:dyDescent="0.25">
      <c r="A153" s="4">
        <f t="shared" ca="1" si="4"/>
        <v>150</v>
      </c>
      <c r="B153" s="4" t="s">
        <v>419</v>
      </c>
      <c r="C153" s="4" t="s">
        <v>420</v>
      </c>
      <c r="D153" s="4" t="s">
        <v>127</v>
      </c>
      <c r="E153" s="4" t="s">
        <v>66</v>
      </c>
      <c r="F153" s="4">
        <v>898.47500000000002</v>
      </c>
      <c r="G153" s="5">
        <v>96.67110000000001</v>
      </c>
      <c r="H153" s="5">
        <v>16.86</v>
      </c>
      <c r="I153" s="5">
        <v>2750</v>
      </c>
      <c r="J153" s="4" t="s">
        <v>128</v>
      </c>
    </row>
    <row r="154" spans="1:10" x14ac:dyDescent="0.25">
      <c r="A154" s="4">
        <f t="shared" ca="1" si="4"/>
        <v>151</v>
      </c>
      <c r="B154" s="4" t="s">
        <v>421</v>
      </c>
      <c r="C154" s="4" t="s">
        <v>422</v>
      </c>
      <c r="D154" s="4" t="s">
        <v>127</v>
      </c>
      <c r="E154" s="4" t="s">
        <v>66</v>
      </c>
      <c r="F154" s="4">
        <v>836.08100000000002</v>
      </c>
      <c r="G154" s="5">
        <v>92.708100000000002</v>
      </c>
      <c r="H154" s="5">
        <v>16.91</v>
      </c>
      <c r="I154" s="5">
        <v>1916</v>
      </c>
      <c r="J154" s="4" t="s">
        <v>128</v>
      </c>
    </row>
    <row r="155" spans="1:10" x14ac:dyDescent="0.25">
      <c r="A155" s="4">
        <f t="shared" ca="1" si="4"/>
        <v>152</v>
      </c>
      <c r="B155" s="4" t="s">
        <v>423</v>
      </c>
      <c r="C155" s="4" t="s">
        <v>115</v>
      </c>
      <c r="D155" s="4" t="s">
        <v>127</v>
      </c>
      <c r="E155" s="4" t="s">
        <v>66</v>
      </c>
      <c r="F155" s="4">
        <v>1018.4620000000001</v>
      </c>
      <c r="G155" s="5">
        <v>106.9492</v>
      </c>
      <c r="H155" s="5">
        <v>16.3</v>
      </c>
      <c r="I155" s="5">
        <v>1352</v>
      </c>
      <c r="J155" s="4" t="s">
        <v>128</v>
      </c>
    </row>
    <row r="156" spans="1:10" x14ac:dyDescent="0.25">
      <c r="A156" s="4">
        <f t="shared" ca="1" si="4"/>
        <v>153</v>
      </c>
      <c r="B156" s="4" t="s">
        <v>424</v>
      </c>
      <c r="C156" s="4" t="s">
        <v>425</v>
      </c>
      <c r="D156" s="4" t="s">
        <v>127</v>
      </c>
      <c r="E156" s="4" t="s">
        <v>66</v>
      </c>
      <c r="F156" s="4">
        <v>896.899</v>
      </c>
      <c r="G156" s="5">
        <v>100.12180000000001</v>
      </c>
      <c r="H156" s="5">
        <v>16.84</v>
      </c>
      <c r="I156" s="5">
        <v>3024</v>
      </c>
      <c r="J156" s="4" t="s">
        <v>128</v>
      </c>
    </row>
    <row r="157" spans="1:10" x14ac:dyDescent="0.25">
      <c r="A157" s="4">
        <f t="shared" ca="1" si="4"/>
        <v>154</v>
      </c>
      <c r="B157" s="4" t="s">
        <v>426</v>
      </c>
      <c r="C157" s="4" t="s">
        <v>427</v>
      </c>
      <c r="D157" s="4" t="s">
        <v>127</v>
      </c>
      <c r="E157" s="4" t="s">
        <v>66</v>
      </c>
      <c r="F157" s="4">
        <v>913.75800000000004</v>
      </c>
      <c r="G157" s="5">
        <v>101.8797</v>
      </c>
      <c r="H157" s="5">
        <v>16.87</v>
      </c>
      <c r="I157" s="5">
        <v>2294</v>
      </c>
      <c r="J157" s="4" t="s">
        <v>128</v>
      </c>
    </row>
    <row r="158" spans="1:10" x14ac:dyDescent="0.25">
      <c r="A158" s="4">
        <f t="shared" ca="1" si="4"/>
        <v>155</v>
      </c>
      <c r="B158" s="4" t="s">
        <v>428</v>
      </c>
      <c r="C158" s="4" t="s">
        <v>429</v>
      </c>
      <c r="D158" s="4" t="s">
        <v>127</v>
      </c>
      <c r="E158" s="4" t="s">
        <v>66</v>
      </c>
      <c r="F158" s="4">
        <v>858.55499999999995</v>
      </c>
      <c r="G158" s="5">
        <v>93.02300000000001</v>
      </c>
      <c r="H158" s="5">
        <v>16.830000000000002</v>
      </c>
      <c r="I158" s="5">
        <v>4562</v>
      </c>
      <c r="J158" s="4" t="s">
        <v>128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127</v>
      </c>
      <c r="E159" s="4" t="s">
        <v>66</v>
      </c>
      <c r="F159" s="4">
        <v>1000</v>
      </c>
      <c r="G159" s="5">
        <v>109.83540000000001</v>
      </c>
      <c r="H159" s="5">
        <v>15</v>
      </c>
      <c r="I159" s="5">
        <v>1953</v>
      </c>
      <c r="J159" s="4" t="s">
        <v>128</v>
      </c>
    </row>
    <row r="160" spans="1:10" x14ac:dyDescent="0.25">
      <c r="A160" s="4">
        <f t="shared" ca="1" si="4"/>
        <v>157</v>
      </c>
      <c r="B160" s="4" t="s">
        <v>432</v>
      </c>
      <c r="C160" s="4" t="s">
        <v>113</v>
      </c>
      <c r="D160" s="4" t="s">
        <v>127</v>
      </c>
      <c r="E160" s="4" t="s">
        <v>66</v>
      </c>
      <c r="F160" s="4">
        <v>856.57300000000009</v>
      </c>
      <c r="G160" s="5">
        <v>94.257300000000001</v>
      </c>
      <c r="H160" s="5">
        <v>16.899999999999999</v>
      </c>
      <c r="I160" s="5">
        <v>1564</v>
      </c>
      <c r="J160" s="4" t="s">
        <v>128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127</v>
      </c>
      <c r="E161" s="4" t="s">
        <v>66</v>
      </c>
      <c r="F161" s="4">
        <v>92.666499999999999</v>
      </c>
      <c r="G161" s="5">
        <v>92.666499999999999</v>
      </c>
      <c r="H161" s="5">
        <v>16.89</v>
      </c>
      <c r="I161" s="5">
        <v>172</v>
      </c>
      <c r="J161" s="4" t="s">
        <v>128</v>
      </c>
    </row>
    <row r="162" spans="1:10" x14ac:dyDescent="0.25">
      <c r="A162" s="4">
        <f t="shared" ca="1" si="4"/>
        <v>159</v>
      </c>
      <c r="B162" s="4" t="s">
        <v>435</v>
      </c>
      <c r="C162" s="4" t="s">
        <v>95</v>
      </c>
      <c r="D162" s="4" t="s">
        <v>127</v>
      </c>
      <c r="E162" s="4" t="s">
        <v>66</v>
      </c>
      <c r="F162" s="4">
        <v>96.809100000000001</v>
      </c>
      <c r="G162" s="5">
        <v>96.809100000000001</v>
      </c>
      <c r="H162" s="5">
        <v>16.48</v>
      </c>
      <c r="I162" s="5">
        <v>74</v>
      </c>
      <c r="J162" s="4" t="s">
        <v>128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127</v>
      </c>
      <c r="E163" s="4" t="s">
        <v>66</v>
      </c>
      <c r="F163" s="4">
        <v>868.96199999999999</v>
      </c>
      <c r="G163" s="5">
        <v>97.86290000000001</v>
      </c>
      <c r="H163" s="5">
        <v>16.86</v>
      </c>
      <c r="I163" s="5">
        <v>3368</v>
      </c>
      <c r="J163" s="4" t="s">
        <v>128</v>
      </c>
    </row>
    <row r="164" spans="1:10" x14ac:dyDescent="0.25">
      <c r="A164" s="4">
        <f t="shared" ref="A164:A186" ca="1" si="5">IF(OFFSET(A164,-1,0)="№ п/п",1,OFFSET(A164,-1,0)+1)</f>
        <v>161</v>
      </c>
      <c r="B164" s="4" t="s">
        <v>438</v>
      </c>
      <c r="C164" s="4" t="s">
        <v>439</v>
      </c>
      <c r="D164" s="4" t="s">
        <v>127</v>
      </c>
      <c r="E164" s="4" t="s">
        <v>66</v>
      </c>
      <c r="F164" s="4">
        <v>0.98624999999999996</v>
      </c>
      <c r="G164" s="5">
        <v>99.2273</v>
      </c>
      <c r="H164" s="5">
        <v>4.9000000000000004</v>
      </c>
      <c r="I164" s="5">
        <v>3423</v>
      </c>
      <c r="J164" s="4" t="s">
        <v>128</v>
      </c>
    </row>
    <row r="165" spans="1:10" x14ac:dyDescent="0.25">
      <c r="A165" s="4">
        <f t="shared" ca="1" si="5"/>
        <v>162</v>
      </c>
      <c r="B165" s="4" t="s">
        <v>440</v>
      </c>
      <c r="C165" s="4" t="s">
        <v>441</v>
      </c>
      <c r="D165" s="4" t="s">
        <v>127</v>
      </c>
      <c r="E165" s="4" t="s">
        <v>66</v>
      </c>
      <c r="F165" s="4">
        <v>1022.3420000000001</v>
      </c>
      <c r="G165" s="5">
        <v>104.4</v>
      </c>
      <c r="H165" s="5">
        <v>16.25</v>
      </c>
      <c r="I165" s="5">
        <v>1780</v>
      </c>
      <c r="J165" s="4" t="s">
        <v>128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122</v>
      </c>
      <c r="E166" s="4" t="s">
        <v>444</v>
      </c>
      <c r="F166" s="4">
        <v>313.11</v>
      </c>
      <c r="G166" s="5"/>
      <c r="H166" s="5"/>
      <c r="I166" s="5"/>
      <c r="J166" s="4" t="s">
        <v>124</v>
      </c>
    </row>
    <row r="167" spans="1:10" x14ac:dyDescent="0.25">
      <c r="A167" s="4">
        <f t="shared" ca="1" si="5"/>
        <v>164</v>
      </c>
      <c r="B167" s="4" t="s">
        <v>445</v>
      </c>
      <c r="C167" s="4" t="s">
        <v>446</v>
      </c>
      <c r="D167" s="4" t="s">
        <v>122</v>
      </c>
      <c r="E167" s="4" t="s">
        <v>444</v>
      </c>
      <c r="F167" s="4">
        <v>24.24</v>
      </c>
      <c r="G167" s="5"/>
      <c r="H167" s="5"/>
      <c r="I167" s="5"/>
      <c r="J167" s="4" t="s">
        <v>151</v>
      </c>
    </row>
    <row r="168" spans="1:10" x14ac:dyDescent="0.25">
      <c r="A168" s="4">
        <f t="shared" ca="1" si="5"/>
        <v>165</v>
      </c>
      <c r="B168" s="4" t="s">
        <v>447</v>
      </c>
      <c r="C168" s="4" t="s">
        <v>448</v>
      </c>
      <c r="D168" s="4" t="s">
        <v>122</v>
      </c>
      <c r="E168" s="4" t="s">
        <v>449</v>
      </c>
      <c r="F168" s="4">
        <v>832.7</v>
      </c>
      <c r="G168" s="5"/>
      <c r="H168" s="5"/>
      <c r="I168" s="5"/>
      <c r="J168" s="4" t="s">
        <v>124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127</v>
      </c>
      <c r="E169" s="4" t="s">
        <v>452</v>
      </c>
      <c r="F169" s="4">
        <v>0.87171399999999999</v>
      </c>
      <c r="G169" s="5">
        <v>87.327100000000002</v>
      </c>
      <c r="H169" s="5">
        <v>5.72</v>
      </c>
      <c r="I169" s="5">
        <v>1989</v>
      </c>
      <c r="J169" s="4" t="s">
        <v>128</v>
      </c>
    </row>
    <row r="170" spans="1:10" x14ac:dyDescent="0.25">
      <c r="A170" s="4">
        <f t="shared" ca="1" si="5"/>
        <v>167</v>
      </c>
      <c r="B170" s="4" t="s">
        <v>453</v>
      </c>
      <c r="C170" s="4" t="s">
        <v>454</v>
      </c>
      <c r="D170" s="4" t="s">
        <v>127</v>
      </c>
      <c r="E170" s="4" t="s">
        <v>452</v>
      </c>
      <c r="F170" s="4">
        <v>1001.77</v>
      </c>
      <c r="G170" s="5">
        <v>100.64370000000001</v>
      </c>
      <c r="H170" s="5">
        <v>5.2</v>
      </c>
      <c r="I170" s="5">
        <v>1429</v>
      </c>
      <c r="J170" s="4" t="s">
        <v>128</v>
      </c>
    </row>
    <row r="171" spans="1:10" x14ac:dyDescent="0.25">
      <c r="A171" s="4">
        <f t="shared" ca="1" si="5"/>
        <v>168</v>
      </c>
      <c r="B171" s="4" t="s">
        <v>455</v>
      </c>
      <c r="C171" s="4" t="s">
        <v>456</v>
      </c>
      <c r="D171" s="4" t="s">
        <v>127</v>
      </c>
      <c r="E171" s="4" t="s">
        <v>452</v>
      </c>
      <c r="F171" s="4">
        <v>0.98807099999999992</v>
      </c>
      <c r="G171" s="5">
        <v>99.305400000000006</v>
      </c>
      <c r="H171" s="5">
        <v>4.87</v>
      </c>
      <c r="I171" s="5">
        <v>1894</v>
      </c>
      <c r="J171" s="4" t="s">
        <v>128</v>
      </c>
    </row>
    <row r="172" spans="1:10" x14ac:dyDescent="0.25">
      <c r="A172" s="4">
        <f t="shared" ca="1" si="5"/>
        <v>169</v>
      </c>
      <c r="B172" s="4" t="s">
        <v>457</v>
      </c>
      <c r="C172" s="4" t="s">
        <v>458</v>
      </c>
      <c r="D172" s="4" t="s">
        <v>127</v>
      </c>
      <c r="E172" s="4" t="s">
        <v>452</v>
      </c>
      <c r="F172" s="4">
        <v>1.0351900000000001</v>
      </c>
      <c r="G172" s="5">
        <v>104.26900000000001</v>
      </c>
      <c r="H172" s="5">
        <v>4.72</v>
      </c>
      <c r="I172" s="5">
        <v>1595</v>
      </c>
      <c r="J172" s="4" t="s">
        <v>128</v>
      </c>
    </row>
    <row r="173" spans="1:10" x14ac:dyDescent="0.25">
      <c r="A173" s="4">
        <f t="shared" ca="1" si="5"/>
        <v>170</v>
      </c>
      <c r="B173" s="4" t="s">
        <v>459</v>
      </c>
      <c r="C173" s="4" t="s">
        <v>460</v>
      </c>
      <c r="D173" s="4" t="s">
        <v>127</v>
      </c>
      <c r="E173" s="4" t="s">
        <v>452</v>
      </c>
      <c r="F173" s="4">
        <v>1.0071729999999999</v>
      </c>
      <c r="G173" s="5">
        <v>101.4974</v>
      </c>
      <c r="H173" s="5">
        <v>3.07</v>
      </c>
      <c r="I173" s="5">
        <v>1012</v>
      </c>
      <c r="J173" s="4" t="s">
        <v>128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127</v>
      </c>
      <c r="E174" s="4" t="s">
        <v>71</v>
      </c>
      <c r="F174" s="4">
        <v>1031.239</v>
      </c>
      <c r="G174" s="5">
        <v>109.8921</v>
      </c>
      <c r="H174" s="5">
        <v>18.170000000000002</v>
      </c>
      <c r="I174" s="5">
        <v>1518</v>
      </c>
      <c r="J174" s="4" t="s">
        <v>128</v>
      </c>
    </row>
    <row r="175" spans="1:10" x14ac:dyDescent="0.25">
      <c r="A175" s="4">
        <f t="shared" ca="1" si="5"/>
        <v>172</v>
      </c>
      <c r="B175" s="4" t="s">
        <v>463</v>
      </c>
      <c r="C175" s="4" t="s">
        <v>464</v>
      </c>
      <c r="D175" s="4" t="s">
        <v>122</v>
      </c>
      <c r="E175" s="4" t="s">
        <v>465</v>
      </c>
      <c r="F175" s="4">
        <v>27574.080000000002</v>
      </c>
      <c r="G175" s="5"/>
      <c r="H175" s="5"/>
      <c r="I175" s="5"/>
      <c r="J175" s="4" t="s">
        <v>124</v>
      </c>
    </row>
    <row r="176" spans="1:10" x14ac:dyDescent="0.25">
      <c r="A176" s="4">
        <f t="shared" ca="1" si="5"/>
        <v>173</v>
      </c>
      <c r="B176" s="4" t="s">
        <v>466</v>
      </c>
      <c r="C176" s="4" t="s">
        <v>467</v>
      </c>
      <c r="D176" s="4" t="s">
        <v>122</v>
      </c>
      <c r="E176" s="4" t="s">
        <v>468</v>
      </c>
      <c r="F176" s="4">
        <v>38712.6</v>
      </c>
      <c r="G176" s="5"/>
      <c r="H176" s="5"/>
      <c r="I176" s="5"/>
      <c r="J176" s="4" t="s">
        <v>124</v>
      </c>
    </row>
    <row r="177" spans="1:10" x14ac:dyDescent="0.25">
      <c r="A177" s="4">
        <f t="shared" ca="1" si="5"/>
        <v>174</v>
      </c>
      <c r="B177" s="4" t="s">
        <v>469</v>
      </c>
      <c r="C177" s="4" t="s">
        <v>470</v>
      </c>
      <c r="D177" s="4" t="s">
        <v>127</v>
      </c>
      <c r="E177" s="4" t="s">
        <v>471</v>
      </c>
      <c r="F177" s="4">
        <v>999.84400000000005</v>
      </c>
      <c r="G177" s="5">
        <v>102.5177</v>
      </c>
      <c r="H177" s="5">
        <v>18.98</v>
      </c>
      <c r="I177" s="5">
        <v>1778</v>
      </c>
      <c r="J177" s="4" t="s">
        <v>128</v>
      </c>
    </row>
    <row r="178" spans="1:10" x14ac:dyDescent="0.25">
      <c r="A178" s="4">
        <f t="shared" ca="1" si="5"/>
        <v>175</v>
      </c>
      <c r="B178" s="4" t="s">
        <v>472</v>
      </c>
      <c r="C178" s="4" t="s">
        <v>473</v>
      </c>
      <c r="D178" s="4" t="s">
        <v>127</v>
      </c>
      <c r="E178" s="4" t="s">
        <v>471</v>
      </c>
      <c r="F178" s="4">
        <v>999.678</v>
      </c>
      <c r="G178" s="5">
        <v>102.50110000000001</v>
      </c>
      <c r="H178" s="5">
        <v>18.98</v>
      </c>
      <c r="I178" s="5">
        <v>1778</v>
      </c>
      <c r="J178" s="4" t="s">
        <v>128</v>
      </c>
    </row>
    <row r="179" spans="1:10" x14ac:dyDescent="0.25">
      <c r="A179" s="4">
        <f t="shared" ca="1" si="5"/>
        <v>176</v>
      </c>
      <c r="B179" s="4" t="s">
        <v>474</v>
      </c>
      <c r="C179" s="4" t="s">
        <v>475</v>
      </c>
      <c r="D179" s="4" t="s">
        <v>127</v>
      </c>
      <c r="E179" s="4" t="s">
        <v>476</v>
      </c>
      <c r="F179" s="4">
        <v>99.965500000000006</v>
      </c>
      <c r="G179" s="5">
        <v>102.07380000000001</v>
      </c>
      <c r="H179" s="5">
        <v>11</v>
      </c>
      <c r="I179" s="5">
        <v>296</v>
      </c>
      <c r="J179" s="4" t="s">
        <v>128</v>
      </c>
    </row>
    <row r="180" spans="1:10" x14ac:dyDescent="0.25">
      <c r="A180" s="4">
        <f t="shared" ca="1" si="5"/>
        <v>177</v>
      </c>
      <c r="B180" s="4" t="s">
        <v>477</v>
      </c>
      <c r="C180" s="4" t="s">
        <v>478</v>
      </c>
      <c r="D180" s="4" t="s">
        <v>122</v>
      </c>
      <c r="E180" s="4" t="s">
        <v>479</v>
      </c>
      <c r="F180" s="4">
        <v>6.76</v>
      </c>
      <c r="G180" s="5"/>
      <c r="H180" s="5"/>
      <c r="I180" s="5"/>
      <c r="J180" s="4" t="s">
        <v>151</v>
      </c>
    </row>
    <row r="181" spans="1:10" x14ac:dyDescent="0.25">
      <c r="A181" s="4">
        <f t="shared" ca="1" si="5"/>
        <v>178</v>
      </c>
      <c r="B181" s="4" t="s">
        <v>480</v>
      </c>
      <c r="C181" s="4" t="s">
        <v>481</v>
      </c>
      <c r="D181" s="4" t="s">
        <v>122</v>
      </c>
      <c r="E181" s="4" t="s">
        <v>479</v>
      </c>
      <c r="F181" s="4">
        <v>872.33</v>
      </c>
      <c r="G181" s="5"/>
      <c r="H181" s="5"/>
      <c r="I181" s="5"/>
      <c r="J181" s="4" t="s">
        <v>124</v>
      </c>
    </row>
    <row r="182" spans="1:10" x14ac:dyDescent="0.25">
      <c r="A182" s="4">
        <f t="shared" ca="1" si="5"/>
        <v>179</v>
      </c>
      <c r="B182" s="4" t="s">
        <v>482</v>
      </c>
      <c r="C182" s="4" t="s">
        <v>483</v>
      </c>
      <c r="D182" s="4" t="s">
        <v>127</v>
      </c>
      <c r="E182" s="4" t="s">
        <v>76</v>
      </c>
      <c r="F182" s="4">
        <v>0.99990699999999999</v>
      </c>
      <c r="G182" s="5">
        <v>101.0235</v>
      </c>
      <c r="H182" s="5">
        <v>5.72</v>
      </c>
      <c r="I182" s="5">
        <v>116</v>
      </c>
      <c r="J182" s="4" t="s">
        <v>128</v>
      </c>
    </row>
    <row r="183" spans="1:10" x14ac:dyDescent="0.25">
      <c r="A183" s="4">
        <f t="shared" ca="1" si="5"/>
        <v>180</v>
      </c>
      <c r="B183" s="4" t="s">
        <v>484</v>
      </c>
      <c r="C183" s="4" t="s">
        <v>485</v>
      </c>
      <c r="D183" s="4" t="s">
        <v>127</v>
      </c>
      <c r="E183" s="4" t="s">
        <v>76</v>
      </c>
      <c r="F183" s="4">
        <v>1000</v>
      </c>
      <c r="G183" s="5">
        <v>103.0712</v>
      </c>
      <c r="H183" s="5">
        <v>18.95</v>
      </c>
      <c r="I183" s="5">
        <v>854</v>
      </c>
      <c r="J183" s="4" t="s">
        <v>128</v>
      </c>
    </row>
    <row r="184" spans="1:10" x14ac:dyDescent="0.25">
      <c r="A184" s="4">
        <f t="shared" ca="1" si="5"/>
        <v>181</v>
      </c>
      <c r="B184" s="4" t="s">
        <v>486</v>
      </c>
      <c r="C184" s="4" t="s">
        <v>110</v>
      </c>
      <c r="D184" s="4" t="s">
        <v>127</v>
      </c>
      <c r="E184" s="4" t="s">
        <v>76</v>
      </c>
      <c r="F184" s="4">
        <v>944.81412853076404</v>
      </c>
      <c r="G184" s="5">
        <v>97.738612849999996</v>
      </c>
      <c r="H184" s="5">
        <v>18.059999999999999</v>
      </c>
      <c r="I184" s="5">
        <v>648</v>
      </c>
      <c r="J184" s="4" t="s">
        <v>128</v>
      </c>
    </row>
    <row r="185" spans="1:10" x14ac:dyDescent="0.25">
      <c r="A185" s="4">
        <f t="shared" ca="1" si="5"/>
        <v>182</v>
      </c>
      <c r="B185" s="4" t="s">
        <v>487</v>
      </c>
      <c r="C185" s="4" t="s">
        <v>488</v>
      </c>
      <c r="D185" s="4" t="s">
        <v>127</v>
      </c>
      <c r="E185" s="4" t="s">
        <v>76</v>
      </c>
      <c r="F185" s="4">
        <v>1000</v>
      </c>
      <c r="G185" s="5">
        <v>104.789</v>
      </c>
      <c r="H185" s="5">
        <v>18.940000000000001</v>
      </c>
      <c r="I185" s="5">
        <v>823</v>
      </c>
      <c r="J185" s="4" t="s">
        <v>128</v>
      </c>
    </row>
    <row r="186" spans="1:10" x14ac:dyDescent="0.25">
      <c r="A186" s="4">
        <f t="shared" ca="1" si="5"/>
        <v>183</v>
      </c>
      <c r="B186" s="4" t="s">
        <v>489</v>
      </c>
      <c r="C186" s="4" t="s">
        <v>490</v>
      </c>
      <c r="D186" s="4" t="s">
        <v>127</v>
      </c>
      <c r="E186" s="4" t="s">
        <v>491</v>
      </c>
      <c r="F186" s="4">
        <v>1.0109939999999999</v>
      </c>
      <c r="G186" s="5">
        <v>101.79690000000001</v>
      </c>
      <c r="H186" s="5">
        <v>4.4000000000000004</v>
      </c>
      <c r="I186" s="5">
        <v>1772</v>
      </c>
      <c r="J186" s="4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2025-11-25T12:12:04Z</dcterms:created>
  <dcterms:modified xsi:type="dcterms:W3CDTF">2025-11-25T12:21:08Z</dcterms:modified>
</cp:coreProperties>
</file>