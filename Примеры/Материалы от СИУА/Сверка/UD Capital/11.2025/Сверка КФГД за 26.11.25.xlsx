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354B33B9-F095-447B-B6D9-71FC5C4EC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B1" i="2"/>
  <c r="C73" i="1"/>
  <c r="G57" i="1"/>
  <c r="F57" i="1"/>
  <c r="E57" i="1"/>
  <c r="G46" i="1"/>
  <c r="F46" i="1"/>
  <c r="E46" i="1"/>
  <c r="M39" i="1"/>
  <c r="M41" i="1" s="1"/>
  <c r="H39" i="1"/>
  <c r="M38" i="1"/>
  <c r="H38" i="1"/>
  <c r="M37" i="1"/>
  <c r="H37" i="1"/>
  <c r="M36" i="1"/>
  <c r="H36" i="1"/>
  <c r="M35" i="1"/>
  <c r="H35" i="1"/>
  <c r="B29" i="1"/>
  <c r="L26" i="1"/>
  <c r="Q1" i="1" s="1"/>
  <c r="M19" i="1" s="1"/>
  <c r="K26" i="1"/>
  <c r="H26" i="1"/>
  <c r="D26" i="1"/>
  <c r="M8" i="1" l="1"/>
  <c r="M16" i="1"/>
  <c r="M24" i="1"/>
  <c r="M11" i="1"/>
  <c r="M22" i="1"/>
  <c r="M18" i="1"/>
  <c r="M14" i="1"/>
  <c r="M10" i="1"/>
  <c r="M21" i="1"/>
  <c r="M17" i="1"/>
  <c r="M13" i="1"/>
  <c r="M9" i="1"/>
  <c r="M15" i="1"/>
  <c r="M23" i="1"/>
  <c r="M12" i="1"/>
  <c r="M20" i="1"/>
  <c r="M26" i="1" l="1"/>
</calcChain>
</file>

<file path=xl/sharedStrings.xml><?xml version="1.0" encoding="utf-8"?>
<sst xmlns="http://schemas.openxmlformats.org/spreadsheetml/2006/main" count="1120" uniqueCount="500">
  <si>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</si>
  <si>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</si>
  <si>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</si>
  <si>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</si>
  <si>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</si>
  <si>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</si>
  <si>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</si>
  <si>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</si>
  <si>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</si>
  <si>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</si>
  <si>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</si>
  <si>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</si>
  <si>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</si>
  <si>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</si>
  <si>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</si>
  <si>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</si>
  <si>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</si>
  <si>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</si>
  <si>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</si>
  <si>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</si>
  <si>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</si>
  <si>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</si>
  <si>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</si>
  <si>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</si>
  <si>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</si>
  <si>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</si>
  <si>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</si>
  <si>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</si>
  <si>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</si>
  <si>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</si>
  <si>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</si>
  <si>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</si>
  <si>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</si>
  <si>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</si>
  <si>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</si>
  <si>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</si>
  <si>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</si>
  <si>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</si>
  <si>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</si>
  <si>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</si>
  <si>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</si>
  <si>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</si>
  <si>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</si>
  <si>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</si>
  <si>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</si>
  <si>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</si>
  <si>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</si>
  <si>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</si>
  <si>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</si>
  <si>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</si>
  <si>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</si>
  <si>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</si>
  <si>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</si>
  <si>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</si>
  <si>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</si>
  <si>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</si>
  <si>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</si>
  <si>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</si>
  <si>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</si>
  <si>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</si>
  <si>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</si>
  <si>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</si>
  <si>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</si>
  <si>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</si>
  <si>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</si>
  <si>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</si>
  <si>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</si>
  <si>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KZX000001433</t>
  </si>
  <si>
    <t>KZT</t>
  </si>
  <si>
    <t>25.11.2025</t>
  </si>
  <si>
    <t>26.11.2025</t>
  </si>
  <si>
    <t>МИНИСТЕРСТВО ФИНАНСОВ РК</t>
  </si>
  <si>
    <t>KZKD00000758</t>
  </si>
  <si>
    <t>KZK200000737</t>
  </si>
  <si>
    <t>27.11.2025</t>
  </si>
  <si>
    <t>АО "Казахстанский фонд устойчивости"</t>
  </si>
  <si>
    <t>KZ2C00008902</t>
  </si>
  <si>
    <t>KZ96601A861038102391</t>
  </si>
  <si>
    <t>KZKD00001129</t>
  </si>
  <si>
    <t>18.07.2024</t>
  </si>
  <si>
    <t>17.03.2031</t>
  </si>
  <si>
    <t>KZKD00000790</t>
  </si>
  <si>
    <t>10.07.2025</t>
  </si>
  <si>
    <t>13.08.2029</t>
  </si>
  <si>
    <t>KZKD00000741</t>
  </si>
  <si>
    <t>12.05.2034</t>
  </si>
  <si>
    <t>KZKD00001087</t>
  </si>
  <si>
    <t>31.03.2029</t>
  </si>
  <si>
    <t>KZKD00001251</t>
  </si>
  <si>
    <t>13.03.2025</t>
  </si>
  <si>
    <t>07.03.2030</t>
  </si>
  <si>
    <t>KZKD00000444</t>
  </si>
  <si>
    <t>21.08.2025</t>
  </si>
  <si>
    <t>18.08.2026</t>
  </si>
  <si>
    <t>KZK200000687</t>
  </si>
  <si>
    <t>21.01.2026</t>
  </si>
  <si>
    <t>KZKD00001137</t>
  </si>
  <si>
    <t>12.04.2028</t>
  </si>
  <si>
    <t>KZKD00000477</t>
  </si>
  <si>
    <t>24.07.2025</t>
  </si>
  <si>
    <t>19.10.2027</t>
  </si>
  <si>
    <t>KZ2D00011863</t>
  </si>
  <si>
    <t>24.09.2024</t>
  </si>
  <si>
    <t>03.09.2027</t>
  </si>
  <si>
    <t>KZKD00001160</t>
  </si>
  <si>
    <t>28.07.2029</t>
  </si>
  <si>
    <t>KZKD00000949</t>
  </si>
  <si>
    <t>16.04.2032</t>
  </si>
  <si>
    <t>KZK200000760</t>
  </si>
  <si>
    <t>14.08.2025</t>
  </si>
  <si>
    <t>07.08.2029</t>
  </si>
  <si>
    <t>KZKD00001152</t>
  </si>
  <si>
    <t>26.07.2032</t>
  </si>
  <si>
    <t>KZKD00000832</t>
  </si>
  <si>
    <t>29.01.2035</t>
  </si>
  <si>
    <t>KZK100000373</t>
  </si>
  <si>
    <t>06.02.2026</t>
  </si>
  <si>
    <t>KZKD00000535</t>
  </si>
  <si>
    <t>27.03.2027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</si>
  <si>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</si>
  <si>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</si>
  <si>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</si>
  <si>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</si>
  <si>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</si>
  <si>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</si>
  <si>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</si>
  <si>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</si>
  <si>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</si>
  <si>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</si>
  <si>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</si>
  <si>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</si>
  <si>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</si>
  <si>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</si>
  <si>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</si>
  <si>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</si>
  <si>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</si>
  <si>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</si>
  <si>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</si>
  <si>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</si>
  <si>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</si>
  <si>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</si>
  <si>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</si>
  <si>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</si>
  <si>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</si>
  <si>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</si>
  <si>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</si>
  <si>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</si>
  <si>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</si>
  <si>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</si>
  <si>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</si>
  <si>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</si>
  <si>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</si>
  <si>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</si>
  <si>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</si>
  <si>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</si>
  <si>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</si>
  <si>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</si>
  <si>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</si>
  <si>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</si>
  <si>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</si>
  <si>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</si>
  <si>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</si>
  <si>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</si>
  <si>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</si>
  <si>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</si>
  <si>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</si>
  <si>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</si>
  <si>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</si>
  <si>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</si>
  <si>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BKBTb1</t>
  </si>
  <si>
    <t>KZ2P00010317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</si>
  <si>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</si>
  <si>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</si>
  <si>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</si>
  <si>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</si>
  <si>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</si>
  <si>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</si>
  <si>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</si>
  <si>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</si>
  <si>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MFDGb1</t>
  </si>
  <si>
    <t>KZ2P00012677</t>
  </si>
  <si>
    <t>MFMOb20</t>
  </si>
  <si>
    <t>KZ2P00013469</t>
  </si>
  <si>
    <t>MFSCb5</t>
  </si>
  <si>
    <t>KZ2P00011638</t>
  </si>
  <si>
    <t>KASAb1</t>
  </si>
  <si>
    <t>KZ2C00013753</t>
  </si>
  <si>
    <t>MFRFb21</t>
  </si>
  <si>
    <t>KZ2P00014723</t>
  </si>
  <si>
    <t>MFRFb24</t>
  </si>
  <si>
    <t>KZ2P00015845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</si>
  <si>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</si>
  <si>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</si>
  <si>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</si>
  <si>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</si>
  <si>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</si>
  <si>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</si>
  <si>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</si>
  <si>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</si>
  <si>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</si>
  <si>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</si>
  <si>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</si>
  <si>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</si>
  <si>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</si>
  <si>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</si>
  <si>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</si>
  <si>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</si>
  <si>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</si>
  <si>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</si>
  <si>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</si>
  <si>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</si>
  <si>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</si>
  <si>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</si>
  <si>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</si>
  <si>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</si>
  <si>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</si>
  <si>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</si>
  <si>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</si>
  <si>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</si>
  <si>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</si>
  <si>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</si>
  <si>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</si>
  <si>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</si>
  <si>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</si>
  <si>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</si>
  <si>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</si>
  <si>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</si>
  <si>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</si>
  <si>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</si>
  <si>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</si>
  <si>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</si>
  <si>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</si>
  <si>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</si>
  <si>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</si>
  <si>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</si>
  <si>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</si>
  <si>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</si>
  <si>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</si>
  <si>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</si>
  <si>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</si>
  <si>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</si>
  <si>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</si>
  <si>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</si>
  <si>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</si>
  <si>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</si>
  <si>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</si>
  <si>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</si>
  <si>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MFLGb18</t>
  </si>
  <si>
    <t>KZ2P00014269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</si>
  <si>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</si>
  <si>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</si>
  <si>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</si>
  <si>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</si>
  <si>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</si>
  <si>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</si>
  <si>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</si>
  <si>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</si>
  <si>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CLSGb8</t>
  </si>
  <si>
    <t>KZ2P00015506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</si>
  <si>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</si>
  <si>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</si>
  <si>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</si>
  <si>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</si>
  <si>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</si>
  <si>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</si>
  <si>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</si>
  <si>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</si>
  <si>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</si>
  <si>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</si>
  <si>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</si>
  <si>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</si>
  <si>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</si>
  <si>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</si>
  <si>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</si>
  <si>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</si>
  <si>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</si>
  <si>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</si>
  <si>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</si>
  <si>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</si>
  <si>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</si>
  <si>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</si>
  <si>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</si>
  <si>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</si>
  <si>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</si>
  <si>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</si>
  <si>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</si>
  <si>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</si>
  <si>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</si>
  <si>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</si>
  <si>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</si>
  <si>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</si>
  <si>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</si>
  <si>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</si>
  <si>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</si>
  <si>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</si>
  <si>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</si>
  <si>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</si>
  <si>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</si>
  <si>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</si>
  <si>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</si>
  <si>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</si>
  <si>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</si>
  <si>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</si>
  <si>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</si>
  <si>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</si>
  <si>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</si>
  <si>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</si>
  <si>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</si>
  <si>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</si>
  <si>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</si>
  <si>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</si>
  <si>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</si>
  <si>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</si>
  <si>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</si>
  <si>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</si>
  <si>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</si>
  <si>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</si>
  <si>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</si>
  <si>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</si>
  <si>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</si>
  <si>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</si>
  <si>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</si>
  <si>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</si>
  <si>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</si>
  <si>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</si>
  <si>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</si>
  <si>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</si>
  <si>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</si>
  <si>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</si>
  <si>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</si>
  <si>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</si>
  <si>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</si>
  <si>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</si>
  <si>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</si>
  <si>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</si>
  <si>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</si>
  <si>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</si>
  <si>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</si>
  <si>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</si>
  <si>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</si>
  <si>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</si>
  <si>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</si>
  <si>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</si>
  <si>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</si>
  <si>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</si>
  <si>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</si>
  <si>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</si>
  <si>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</si>
  <si>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</si>
  <si>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</si>
  <si>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</si>
  <si>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</si>
  <si>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</si>
  <si>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</si>
  <si>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</si>
  <si>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</si>
  <si>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</si>
  <si>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</si>
  <si>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</si>
  <si>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</si>
  <si>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</si>
  <si>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</si>
  <si>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</si>
  <si>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</si>
  <si>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</si>
  <si>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</si>
  <si>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</si>
  <si>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</si>
  <si>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</si>
  <si>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</si>
  <si>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</si>
  <si>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</si>
  <si>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</si>
  <si>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</si>
  <si>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</si>
  <si>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</si>
  <si>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</si>
  <si>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</si>
  <si>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</si>
  <si>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</si>
  <si>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</si>
  <si>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</si>
  <si>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</si>
  <si>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</si>
  <si>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</si>
  <si>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</si>
  <si>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</si>
  <si>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</si>
  <si>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</si>
  <si>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</si>
  <si>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</si>
  <si>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</si>
  <si>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</si>
  <si>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</si>
  <si>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</si>
  <si>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</si>
  <si>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</si>
  <si>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</si>
  <si>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</si>
  <si>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</si>
  <si>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</si>
  <si>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</si>
  <si>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</si>
  <si>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</si>
  <si>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</si>
  <si>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</si>
  <si>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</si>
  <si>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</si>
  <si>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</si>
  <si>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</si>
  <si>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</si>
  <si>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</si>
  <si>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</si>
  <si>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</si>
  <si>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</si>
  <si>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</si>
  <si>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</si>
  <si>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</si>
  <si>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</si>
  <si>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</si>
  <si>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</si>
  <si>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</si>
  <si>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</si>
  <si>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</si>
  <si>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</si>
  <si>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</si>
  <si>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</si>
  <si>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</si>
  <si>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</si>
  <si>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</si>
  <si>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</si>
  <si>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</si>
  <si>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</si>
  <si>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</si>
  <si>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</si>
  <si>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</si>
  <si>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</si>
  <si>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</si>
  <si>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</si>
  <si>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</si>
  <si>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</si>
  <si>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</si>
  <si>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</si>
  <si>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</si>
  <si>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</si>
  <si>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</si>
  <si>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</si>
  <si>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</si>
  <si>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</si>
  <si>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</si>
  <si>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</si>
  <si>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</si>
  <si>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</si>
  <si>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</si>
  <si>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</si>
  <si>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</si>
  <si>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</si>
  <si>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</si>
  <si>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</si>
  <si>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</si>
  <si>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</si>
  <si>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</si>
  <si>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</si>
  <si>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</si>
  <si>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</si>
  <si>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</si>
  <si>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</si>
  <si>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</si>
  <si>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</si>
  <si>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</si>
  <si>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</si>
  <si>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KZAP</t>
  </si>
  <si>
    <t>KZ1C00001619</t>
  </si>
  <si>
    <t>АО "НАК "Казатомпром"</t>
  </si>
  <si>
    <t>KSPI</t>
  </si>
  <si>
    <t>KZ1C00001536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</si>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</sst>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3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26363894010.490673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78</v>
      </c>
      <c r="C8" s="16">
        <v>1897500</v>
      </c>
      <c r="D8" s="17">
        <v>1897500000</v>
      </c>
      <c r="E8" s="18">
        <v>10.3</v>
      </c>
      <c r="F8" s="19" t="s">
        <v>79</v>
      </c>
      <c r="G8" s="19" t="s">
        <v>80</v>
      </c>
      <c r="H8" s="18">
        <v>1645329839.996666</v>
      </c>
      <c r="I8" s="20">
        <v>78.684899999999999</v>
      </c>
      <c r="J8" s="20">
        <v>85.809100000000001</v>
      </c>
      <c r="K8" s="18">
        <v>135181062.5</v>
      </c>
      <c r="L8" s="18">
        <v>1628227039.999999</v>
      </c>
      <c r="M8" s="21">
        <f t="shared" ref="M8:M24" si="0">L8/$Q$1</f>
        <v>6.1759732433763308E-2</v>
      </c>
      <c r="O8" s="10">
        <v>749863.88888888899</v>
      </c>
    </row>
    <row r="9" spans="1:17" x14ac:dyDescent="0.2">
      <c r="A9" s="15" t="s">
        <v>71</v>
      </c>
      <c r="B9" s="15" t="s">
        <v>81</v>
      </c>
      <c r="C9" s="16">
        <v>2469500</v>
      </c>
      <c r="D9" s="17">
        <v>2469500000</v>
      </c>
      <c r="E9" s="18">
        <v>7.68</v>
      </c>
      <c r="F9" s="19" t="s">
        <v>82</v>
      </c>
      <c r="G9" s="19" t="s">
        <v>83</v>
      </c>
      <c r="H9" s="18">
        <v>1827657194</v>
      </c>
      <c r="I9" s="20">
        <v>76.439300000000003</v>
      </c>
      <c r="J9" s="20">
        <v>78.636600000000001</v>
      </c>
      <c r="K9" s="18">
        <v>54263146.666666657</v>
      </c>
      <c r="L9" s="18">
        <v>1941931660.166666</v>
      </c>
      <c r="M9" s="21">
        <f t="shared" si="0"/>
        <v>7.3658756911780032E-2</v>
      </c>
      <c r="O9" s="10">
        <v>749863.88888888899</v>
      </c>
    </row>
    <row r="10" spans="1:17" x14ac:dyDescent="0.2">
      <c r="A10" s="15" t="s">
        <v>71</v>
      </c>
      <c r="B10" s="15" t="s">
        <v>84</v>
      </c>
      <c r="C10" s="16">
        <v>1897500</v>
      </c>
      <c r="D10" s="17">
        <v>1897500000</v>
      </c>
      <c r="E10" s="18">
        <v>8.07</v>
      </c>
      <c r="F10" s="19" t="s">
        <v>79</v>
      </c>
      <c r="G10" s="19" t="s">
        <v>85</v>
      </c>
      <c r="H10" s="18">
        <v>1359122325</v>
      </c>
      <c r="I10" s="20">
        <v>62.574300000000001</v>
      </c>
      <c r="J10" s="20">
        <v>66.923100000000005</v>
      </c>
      <c r="K10" s="18">
        <v>82519112.5</v>
      </c>
      <c r="L10" s="18">
        <v>1269866455</v>
      </c>
      <c r="M10" s="21">
        <f t="shared" si="0"/>
        <v>4.8166877567278076E-2</v>
      </c>
      <c r="O10" s="10">
        <v>749863.88888888899</v>
      </c>
    </row>
    <row r="11" spans="1:17" x14ac:dyDescent="0.2">
      <c r="A11" s="15" t="s">
        <v>71</v>
      </c>
      <c r="B11" s="15" t="s">
        <v>86</v>
      </c>
      <c r="C11" s="16">
        <v>1897500</v>
      </c>
      <c r="D11" s="17">
        <v>1897500000</v>
      </c>
      <c r="E11" s="18">
        <v>11</v>
      </c>
      <c r="F11" s="19" t="s">
        <v>79</v>
      </c>
      <c r="G11" s="19" t="s">
        <v>87</v>
      </c>
      <c r="H11" s="18">
        <v>1743261712.5</v>
      </c>
      <c r="I11" s="20">
        <v>86.119700000000009</v>
      </c>
      <c r="J11" s="20">
        <v>93.330800000000011</v>
      </c>
      <c r="K11" s="18">
        <v>136830833.33333299</v>
      </c>
      <c r="L11" s="18">
        <v>1770952140.833333</v>
      </c>
      <c r="M11" s="21">
        <f t="shared" si="0"/>
        <v>6.7173390248369186E-2</v>
      </c>
      <c r="O11" s="10">
        <v>749863.88888888899</v>
      </c>
    </row>
    <row r="12" spans="1:17" x14ac:dyDescent="0.2">
      <c r="A12" s="15" t="s">
        <v>71</v>
      </c>
      <c r="B12" s="15" t="s">
        <v>88</v>
      </c>
      <c r="C12" s="16">
        <v>550000</v>
      </c>
      <c r="D12" s="17">
        <v>550000000</v>
      </c>
      <c r="E12" s="18">
        <v>12</v>
      </c>
      <c r="F12" s="19" t="s">
        <v>89</v>
      </c>
      <c r="G12" s="19" t="s">
        <v>90</v>
      </c>
      <c r="H12" s="18">
        <v>491343050</v>
      </c>
      <c r="I12" s="20">
        <v>86.40440000000001</v>
      </c>
      <c r="J12" s="20">
        <v>95.037700000000001</v>
      </c>
      <c r="K12" s="18">
        <v>47483333.333333328</v>
      </c>
      <c r="L12" s="18">
        <v>522707533.33333302</v>
      </c>
      <c r="M12" s="21">
        <f t="shared" si="0"/>
        <v>1.982664370920844E-2</v>
      </c>
      <c r="O12" s="10">
        <v>749863.88888888899</v>
      </c>
    </row>
    <row r="13" spans="1:17" x14ac:dyDescent="0.2">
      <c r="A13" s="15" t="s">
        <v>71</v>
      </c>
      <c r="B13" s="15" t="s">
        <v>91</v>
      </c>
      <c r="C13" s="16">
        <v>1106600</v>
      </c>
      <c r="D13" s="17">
        <v>1106600000</v>
      </c>
      <c r="E13" s="18">
        <v>5.5</v>
      </c>
      <c r="F13" s="19" t="s">
        <v>92</v>
      </c>
      <c r="G13" s="19" t="s">
        <v>93</v>
      </c>
      <c r="H13" s="18">
        <v>999478906.79999995</v>
      </c>
      <c r="I13" s="20">
        <v>92.526600000000002</v>
      </c>
      <c r="J13" s="20">
        <v>94.023800000000008</v>
      </c>
      <c r="K13" s="18">
        <v>16568261.111111101</v>
      </c>
      <c r="L13" s="18">
        <v>1040467616.71111</v>
      </c>
      <c r="M13" s="21">
        <f t="shared" si="0"/>
        <v>3.9465627357517408E-2</v>
      </c>
      <c r="O13" s="10">
        <v>749863.88888888899</v>
      </c>
    </row>
    <row r="14" spans="1:17" x14ac:dyDescent="0.2">
      <c r="A14" s="15" t="s">
        <v>71</v>
      </c>
      <c r="B14" s="15" t="s">
        <v>94</v>
      </c>
      <c r="C14" s="16">
        <v>2530000</v>
      </c>
      <c r="D14" s="17">
        <v>2530000000</v>
      </c>
      <c r="E14" s="18">
        <v>10.67</v>
      </c>
      <c r="F14" s="19" t="s">
        <v>79</v>
      </c>
      <c r="G14" s="19" t="s">
        <v>95</v>
      </c>
      <c r="H14" s="18">
        <v>2455119589.9966769</v>
      </c>
      <c r="I14" s="20">
        <v>98.9529</v>
      </c>
      <c r="J14" s="20">
        <v>102.65780000000001</v>
      </c>
      <c r="K14" s="18">
        <v>93732986.111111104</v>
      </c>
      <c r="L14" s="18">
        <v>2597241356.1111112</v>
      </c>
      <c r="M14" s="21">
        <f t="shared" si="0"/>
        <v>9.8515088669284656E-2</v>
      </c>
      <c r="O14" s="10">
        <v>749863.88888888899</v>
      </c>
    </row>
    <row r="15" spans="1:17" x14ac:dyDescent="0.2">
      <c r="A15" s="15" t="s">
        <v>71</v>
      </c>
      <c r="B15" s="15" t="s">
        <v>96</v>
      </c>
      <c r="C15" s="16">
        <v>1897500</v>
      </c>
      <c r="D15" s="17">
        <v>1897500000</v>
      </c>
      <c r="E15" s="18">
        <v>10.4</v>
      </c>
      <c r="F15" s="19" t="s">
        <v>79</v>
      </c>
      <c r="G15" s="19" t="s">
        <v>97</v>
      </c>
      <c r="H15" s="18">
        <v>1736743800</v>
      </c>
      <c r="I15" s="20">
        <v>88.182900000000004</v>
      </c>
      <c r="J15" s="20">
        <v>94.654000000000011</v>
      </c>
      <c r="K15" s="18">
        <v>122789333.333333</v>
      </c>
      <c r="L15" s="18">
        <v>1796059860.833333</v>
      </c>
      <c r="M15" s="21">
        <f t="shared" si="0"/>
        <v>6.8125742734311101E-2</v>
      </c>
      <c r="O15" s="10">
        <v>749863.88888888899</v>
      </c>
    </row>
    <row r="16" spans="1:17" x14ac:dyDescent="0.2">
      <c r="A16" s="15" t="s">
        <v>71</v>
      </c>
      <c r="B16" s="15" t="s">
        <v>98</v>
      </c>
      <c r="C16" s="16">
        <v>2391500</v>
      </c>
      <c r="D16" s="17">
        <v>2391500000</v>
      </c>
      <c r="E16" s="18">
        <v>5.3</v>
      </c>
      <c r="F16" s="19" t="s">
        <v>99</v>
      </c>
      <c r="G16" s="19" t="s">
        <v>100</v>
      </c>
      <c r="H16" s="18">
        <v>1903079172</v>
      </c>
      <c r="I16" s="20">
        <v>82.568700000000007</v>
      </c>
      <c r="J16" s="20">
        <v>83.113399999999999</v>
      </c>
      <c r="K16" s="18">
        <v>13027031.94444444</v>
      </c>
      <c r="L16" s="18">
        <v>1987657492.4444439</v>
      </c>
      <c r="M16" s="21">
        <f t="shared" si="0"/>
        <v>7.5393168082587447E-2</v>
      </c>
      <c r="O16" s="10">
        <v>749863.88888888899</v>
      </c>
    </row>
    <row r="17" spans="1:15" x14ac:dyDescent="0.2">
      <c r="A17" s="15" t="s">
        <v>66</v>
      </c>
      <c r="B17" s="15" t="s">
        <v>101</v>
      </c>
      <c r="C17" s="16">
        <v>992234</v>
      </c>
      <c r="D17" s="17">
        <v>992234000</v>
      </c>
      <c r="E17" s="18">
        <v>14.3</v>
      </c>
      <c r="F17" s="19" t="s">
        <v>102</v>
      </c>
      <c r="G17" s="19" t="s">
        <v>103</v>
      </c>
      <c r="H17" s="18">
        <v>991722999.49000001</v>
      </c>
      <c r="I17" s="20">
        <v>95.182648850000007</v>
      </c>
      <c r="J17" s="20">
        <v>98.47954885</v>
      </c>
      <c r="K17" s="18">
        <v>32713403.738888878</v>
      </c>
      <c r="L17" s="18">
        <v>977148007.77401197</v>
      </c>
      <c r="M17" s="21">
        <f t="shared" si="0"/>
        <v>3.7063872559386979E-2</v>
      </c>
      <c r="O17" s="10">
        <v>749863.88888888899</v>
      </c>
    </row>
    <row r="18" spans="1:15" x14ac:dyDescent="0.2">
      <c r="A18" s="15" t="s">
        <v>71</v>
      </c>
      <c r="B18" s="15" t="s">
        <v>104</v>
      </c>
      <c r="C18" s="16">
        <v>1897500</v>
      </c>
      <c r="D18" s="17">
        <v>1897500000</v>
      </c>
      <c r="E18" s="18">
        <v>10.55</v>
      </c>
      <c r="F18" s="19" t="s">
        <v>79</v>
      </c>
      <c r="G18" s="19" t="s">
        <v>105</v>
      </c>
      <c r="H18" s="18">
        <v>1708326839.9966669</v>
      </c>
      <c r="I18" s="20">
        <v>84.035300000000007</v>
      </c>
      <c r="J18" s="20">
        <v>87.493400000000008</v>
      </c>
      <c r="K18" s="18">
        <v>65616604.166666657</v>
      </c>
      <c r="L18" s="18">
        <v>1660186421.666666</v>
      </c>
      <c r="M18" s="21">
        <f t="shared" si="0"/>
        <v>6.2971972994810541E-2</v>
      </c>
      <c r="O18" s="10">
        <v>749863.88888888899</v>
      </c>
    </row>
    <row r="19" spans="1:15" x14ac:dyDescent="0.2">
      <c r="A19" s="15" t="s">
        <v>71</v>
      </c>
      <c r="B19" s="15" t="s">
        <v>106</v>
      </c>
      <c r="C19" s="16">
        <v>1897500</v>
      </c>
      <c r="D19" s="17">
        <v>1897500000</v>
      </c>
      <c r="E19" s="18">
        <v>8.4499999999999993</v>
      </c>
      <c r="F19" s="19" t="s">
        <v>79</v>
      </c>
      <c r="G19" s="19" t="s">
        <v>107</v>
      </c>
      <c r="H19" s="18">
        <v>1457889097.496666</v>
      </c>
      <c r="I19" s="20">
        <v>69.182500000000005</v>
      </c>
      <c r="J19" s="20">
        <v>74.346400000000003</v>
      </c>
      <c r="K19" s="18">
        <v>97984791.666666657</v>
      </c>
      <c r="L19" s="18">
        <v>1410722729.166666</v>
      </c>
      <c r="M19" s="21">
        <f t="shared" si="0"/>
        <v>5.3509649545902205E-2</v>
      </c>
      <c r="O19" s="10">
        <v>749863.88888888899</v>
      </c>
    </row>
    <row r="20" spans="1:15" x14ac:dyDescent="0.2">
      <c r="A20" s="15" t="s">
        <v>71</v>
      </c>
      <c r="B20" s="15" t="s">
        <v>108</v>
      </c>
      <c r="C20" s="16">
        <v>897100</v>
      </c>
      <c r="D20" s="17">
        <v>897100000</v>
      </c>
      <c r="E20" s="18">
        <v>17.010000000000002</v>
      </c>
      <c r="F20" s="19" t="s">
        <v>109</v>
      </c>
      <c r="G20" s="19" t="s">
        <v>110</v>
      </c>
      <c r="H20" s="18">
        <v>896985171.20000005</v>
      </c>
      <c r="I20" s="20">
        <v>102.59400000000001</v>
      </c>
      <c r="J20" s="20">
        <v>107.74430000000001</v>
      </c>
      <c r="K20" s="18">
        <v>46202892.75</v>
      </c>
      <c r="L20" s="18">
        <v>966573666.75</v>
      </c>
      <c r="M20" s="21">
        <f t="shared" si="0"/>
        <v>3.6662780785167118E-2</v>
      </c>
      <c r="O20" s="10">
        <v>749863.88888888899</v>
      </c>
    </row>
    <row r="21" spans="1:15" x14ac:dyDescent="0.2">
      <c r="A21" s="15" t="s">
        <v>71</v>
      </c>
      <c r="B21" s="15" t="s">
        <v>111</v>
      </c>
      <c r="C21" s="16">
        <v>1897500</v>
      </c>
      <c r="D21" s="17">
        <v>1897500000</v>
      </c>
      <c r="E21" s="18">
        <v>10.65</v>
      </c>
      <c r="F21" s="19" t="s">
        <v>79</v>
      </c>
      <c r="G21" s="19" t="s">
        <v>112</v>
      </c>
      <c r="H21" s="18">
        <v>1648500562.5</v>
      </c>
      <c r="I21" s="20">
        <v>76.90270000000001</v>
      </c>
      <c r="J21" s="20">
        <v>80.452700000000007</v>
      </c>
      <c r="K21" s="18">
        <v>67361250</v>
      </c>
      <c r="L21" s="18">
        <v>1526589982.5</v>
      </c>
      <c r="M21" s="21">
        <f t="shared" si="0"/>
        <v>5.7904571376767869E-2</v>
      </c>
      <c r="O21" s="10">
        <v>749863.88888888899</v>
      </c>
    </row>
    <row r="22" spans="1:15" x14ac:dyDescent="0.2">
      <c r="A22" s="15" t="s">
        <v>71</v>
      </c>
      <c r="B22" s="15" t="s">
        <v>113</v>
      </c>
      <c r="C22" s="16">
        <v>1897500</v>
      </c>
      <c r="D22" s="17">
        <v>1897500000</v>
      </c>
      <c r="E22" s="18">
        <v>8.07</v>
      </c>
      <c r="F22" s="19" t="s">
        <v>79</v>
      </c>
      <c r="G22" s="19" t="s">
        <v>114</v>
      </c>
      <c r="H22" s="18">
        <v>1338524962.5</v>
      </c>
      <c r="I22" s="20">
        <v>61.161500000000004</v>
      </c>
      <c r="J22" s="20">
        <v>67.819299999999998</v>
      </c>
      <c r="K22" s="18">
        <v>126330806.25</v>
      </c>
      <c r="L22" s="18">
        <v>1286870268.75</v>
      </c>
      <c r="M22" s="21">
        <f t="shared" si="0"/>
        <v>4.8811843509837013E-2</v>
      </c>
      <c r="O22" s="10">
        <v>749863.88888888899</v>
      </c>
    </row>
    <row r="23" spans="1:15" x14ac:dyDescent="0.2">
      <c r="A23" s="15" t="s">
        <v>71</v>
      </c>
      <c r="B23" s="15" t="s">
        <v>115</v>
      </c>
      <c r="C23" s="16">
        <v>11424000</v>
      </c>
      <c r="D23" s="17">
        <v>1142400000</v>
      </c>
      <c r="E23" s="18">
        <v>0</v>
      </c>
      <c r="F23" s="19" t="s">
        <v>89</v>
      </c>
      <c r="G23" s="19" t="s">
        <v>116</v>
      </c>
      <c r="H23" s="18">
        <v>1003902278.4</v>
      </c>
      <c r="I23" s="20">
        <v>96.755300000000005</v>
      </c>
      <c r="J23" s="20">
        <v>96.755300000000005</v>
      </c>
      <c r="K23" s="18"/>
      <c r="L23" s="18">
        <v>1105332547.2</v>
      </c>
      <c r="M23" s="21">
        <f t="shared" si="0"/>
        <v>4.1925997227881741E-2</v>
      </c>
      <c r="O23" s="10">
        <v>749863.88888888899</v>
      </c>
    </row>
    <row r="24" spans="1:15" x14ac:dyDescent="0.2">
      <c r="A24" s="15" t="s">
        <v>71</v>
      </c>
      <c r="B24" s="15" t="s">
        <v>117</v>
      </c>
      <c r="C24" s="16">
        <v>3162500</v>
      </c>
      <c r="D24" s="17">
        <v>3162500000</v>
      </c>
      <c r="E24" s="18">
        <v>5.49</v>
      </c>
      <c r="F24" s="19" t="s">
        <v>79</v>
      </c>
      <c r="G24" s="19" t="s">
        <v>118</v>
      </c>
      <c r="H24" s="18">
        <v>2627740225</v>
      </c>
      <c r="I24" s="20">
        <v>87.275700000000001</v>
      </c>
      <c r="J24" s="20">
        <v>90.920500000000004</v>
      </c>
      <c r="K24" s="18">
        <v>115265218.75</v>
      </c>
      <c r="L24" s="18">
        <v>2875359231.25</v>
      </c>
      <c r="M24" s="21">
        <f t="shared" si="0"/>
        <v>0.1090642842861469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1253870068.1555548</v>
      </c>
      <c r="L26" s="23">
        <f>SUM(L8:L25)</f>
        <v>26363894010.490673</v>
      </c>
      <c r="M26" s="26">
        <f>SUM(M8:M25)</f>
        <v>1</v>
      </c>
      <c r="N26" s="9">
        <v>26363894010.490681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373737.05</v>
      </c>
    </row>
    <row r="30" spans="1:15" x14ac:dyDescent="0.2">
      <c r="A30" s="29" t="s">
        <v>77</v>
      </c>
      <c r="B30" s="30">
        <v>373737.05</v>
      </c>
      <c r="C30" s="62">
        <v>373737.11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1804288</v>
      </c>
      <c r="D35" s="32" t="s">
        <v>68</v>
      </c>
      <c r="E35" s="34" t="s">
        <v>69</v>
      </c>
      <c r="F35" s="34" t="s">
        <v>70</v>
      </c>
      <c r="G35" s="35">
        <v>567.841499998892</v>
      </c>
      <c r="H35" s="35">
        <f>J35/C35</f>
        <v>568.10924115773093</v>
      </c>
      <c r="I35" s="36">
        <v>1024549604.35</v>
      </c>
      <c r="J35" s="36">
        <v>1025032686.51</v>
      </c>
      <c r="K35" s="37">
        <v>17.21</v>
      </c>
      <c r="L35" s="37">
        <v>483082.16</v>
      </c>
      <c r="M35" s="31">
        <f>I35+L35</f>
        <v>1025032686.51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1380000</v>
      </c>
      <c r="D36" s="32" t="s">
        <v>68</v>
      </c>
      <c r="E36" s="34" t="s">
        <v>69</v>
      </c>
      <c r="F36" s="34" t="s">
        <v>70</v>
      </c>
      <c r="G36" s="35">
        <v>906.46800000000007</v>
      </c>
      <c r="H36" s="35">
        <f>J36/C36</f>
        <v>906.89764099999991</v>
      </c>
      <c r="I36" s="36">
        <v>1250925840</v>
      </c>
      <c r="J36" s="36">
        <v>1251518744.5799999</v>
      </c>
      <c r="K36" s="37">
        <v>17.3</v>
      </c>
      <c r="L36" s="37">
        <v>592904.57999999996</v>
      </c>
      <c r="M36" s="31">
        <f>I36+L36</f>
        <v>1251518744.5799999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24668</v>
      </c>
      <c r="D37" s="32" t="s">
        <v>68</v>
      </c>
      <c r="E37" s="34" t="s">
        <v>69</v>
      </c>
      <c r="F37" s="34" t="s">
        <v>70</v>
      </c>
      <c r="G37" s="35">
        <v>567.84149991892298</v>
      </c>
      <c r="H37" s="35">
        <f>J37/C37</f>
        <v>568.10924112210148</v>
      </c>
      <c r="I37" s="36">
        <v>14007514.11999999</v>
      </c>
      <c r="J37" s="36">
        <v>14014118.76</v>
      </c>
      <c r="K37" s="37">
        <v>17.21</v>
      </c>
      <c r="L37" s="37">
        <v>6604.64</v>
      </c>
      <c r="M37" s="31">
        <f>I37+L37</f>
        <v>14014118.75999999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73</v>
      </c>
      <c r="C38" s="33">
        <v>13130</v>
      </c>
      <c r="D38" s="32" t="s">
        <v>68</v>
      </c>
      <c r="E38" s="34" t="s">
        <v>70</v>
      </c>
      <c r="F38" s="34" t="s">
        <v>74</v>
      </c>
      <c r="G38" s="35">
        <v>990.75600000000009</v>
      </c>
      <c r="H38" s="35">
        <f>J38/C38</f>
        <v>991.22694821020559</v>
      </c>
      <c r="I38" s="36">
        <v>13008626.279999999</v>
      </c>
      <c r="J38" s="36">
        <v>13014809.83</v>
      </c>
      <c r="K38" s="37">
        <v>17.350000000000001</v>
      </c>
      <c r="L38" s="37"/>
      <c r="M38" s="31">
        <f>I38+L38</f>
        <v>13008626.279999999</v>
      </c>
      <c r="N38" s="10"/>
      <c r="O38" s="9"/>
      <c r="Q38" s="9">
        <v>1</v>
      </c>
    </row>
    <row r="39" spans="1:17" x14ac:dyDescent="0.2">
      <c r="A39" s="32" t="s">
        <v>75</v>
      </c>
      <c r="B39" s="32" t="s">
        <v>76</v>
      </c>
      <c r="C39" s="33">
        <v>2086175</v>
      </c>
      <c r="D39" s="32" t="s">
        <v>68</v>
      </c>
      <c r="E39" s="34" t="s">
        <v>70</v>
      </c>
      <c r="F39" s="34" t="s">
        <v>74</v>
      </c>
      <c r="G39" s="35">
        <v>1091.604</v>
      </c>
      <c r="H39" s="35">
        <f>J39/C39</f>
        <v>1092.1243810850001</v>
      </c>
      <c r="I39" s="36">
        <v>2277276974.6999998</v>
      </c>
      <c r="J39" s="36">
        <v>2278362580.71</v>
      </c>
      <c r="K39" s="37">
        <v>17.400000000000002</v>
      </c>
      <c r="L39" s="37"/>
      <c r="M39" s="31">
        <f>I39+L39</f>
        <v>2277276974.6999998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2290285600.98</v>
      </c>
      <c r="N41" s="65">
        <v>2290285600.98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28654553348.520672</v>
      </c>
      <c r="C48" s="62">
        <v>28654553348.580681</v>
      </c>
      <c r="D48" s="62">
        <f>__mdDATAItogoActive__-C48</f>
        <v>-6.0009002685546875E-2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5.37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69000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82348.98</v>
      </c>
      <c r="D68" s="57"/>
      <c r="O68" s="9"/>
    </row>
    <row r="69" spans="1:15" x14ac:dyDescent="0.2">
      <c r="A69" s="24">
        <v>7</v>
      </c>
      <c r="B69" s="55" t="s">
        <v>59</v>
      </c>
      <c r="C69" s="57">
        <v>41539.919999999998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192894.26999999996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26.11.2025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9490.25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122</v>
      </c>
      <c r="F5" s="4">
        <v>1062.81</v>
      </c>
      <c r="G5" s="5">
        <v>110.49770000000001</v>
      </c>
      <c r="H5" s="5">
        <v>18.47</v>
      </c>
      <c r="I5" s="5">
        <v>843</v>
      </c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121</v>
      </c>
      <c r="E6" s="4" t="s">
        <v>130</v>
      </c>
      <c r="F6" s="4">
        <v>1380.83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121</v>
      </c>
      <c r="E7" s="4" t="s">
        <v>133</v>
      </c>
      <c r="F7" s="4">
        <v>572498.30000000005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121</v>
      </c>
      <c r="E8" s="4" t="s">
        <v>133</v>
      </c>
      <c r="F8" s="4">
        <v>6301.35</v>
      </c>
      <c r="G8" s="5"/>
      <c r="H8" s="5"/>
      <c r="I8" s="5"/>
      <c r="J8" s="4" t="s">
        <v>123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126</v>
      </c>
      <c r="E9" s="4" t="s">
        <v>133</v>
      </c>
      <c r="F9" s="4">
        <v>0.94628199999999996</v>
      </c>
      <c r="G9" s="5">
        <v>95.219200000000001</v>
      </c>
      <c r="H9" s="5">
        <v>6.21</v>
      </c>
      <c r="I9" s="5">
        <v>7815</v>
      </c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133</v>
      </c>
      <c r="F10" s="4">
        <v>168.52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133</v>
      </c>
      <c r="F11" s="4">
        <v>5577.93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133</v>
      </c>
      <c r="F12" s="4">
        <v>5856505.75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121</v>
      </c>
      <c r="E13" s="4" t="s">
        <v>133</v>
      </c>
      <c r="F13" s="4">
        <v>131.68</v>
      </c>
      <c r="G13" s="5"/>
      <c r="H13" s="5"/>
      <c r="I13" s="5"/>
      <c r="J13" s="4" t="s">
        <v>123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126</v>
      </c>
      <c r="E14" s="4" t="s">
        <v>133</v>
      </c>
      <c r="F14" s="4">
        <v>0.90495899999999996</v>
      </c>
      <c r="G14" s="5">
        <v>90.904200000000003</v>
      </c>
      <c r="H14" s="5">
        <v>5.0600000000000005</v>
      </c>
      <c r="I14" s="5">
        <v>2697</v>
      </c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133</v>
      </c>
      <c r="F15" s="4">
        <v>1179.6300000000001</v>
      </c>
      <c r="G15" s="5"/>
      <c r="H15" s="5"/>
      <c r="I15" s="5"/>
      <c r="J15" s="4" t="s">
        <v>150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121</v>
      </c>
      <c r="E16" s="4" t="s">
        <v>133</v>
      </c>
      <c r="F16" s="4">
        <v>1054.02</v>
      </c>
      <c r="G16" s="5"/>
      <c r="H16" s="5"/>
      <c r="I16" s="5"/>
      <c r="J16" s="4" t="s">
        <v>150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121</v>
      </c>
      <c r="E17" s="4" t="s">
        <v>133</v>
      </c>
      <c r="F17" s="4">
        <v>1836666.09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121</v>
      </c>
      <c r="E18" s="4" t="s">
        <v>133</v>
      </c>
      <c r="F18" s="4">
        <v>71636.95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121</v>
      </c>
      <c r="E19" s="4" t="s">
        <v>133</v>
      </c>
      <c r="F19" s="4">
        <v>72240.5</v>
      </c>
      <c r="G19" s="5"/>
      <c r="H19" s="5"/>
      <c r="I19" s="5"/>
      <c r="J19" s="4" t="s">
        <v>123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121</v>
      </c>
      <c r="E20" s="4" t="s">
        <v>133</v>
      </c>
      <c r="F20" s="4">
        <v>51835.3</v>
      </c>
      <c r="G20" s="5"/>
      <c r="H20" s="5"/>
      <c r="I20" s="5"/>
      <c r="J20" s="4" t="s">
        <v>123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121</v>
      </c>
      <c r="E21" s="4" t="s">
        <v>133</v>
      </c>
      <c r="F21" s="4">
        <v>7.26</v>
      </c>
      <c r="G21" s="5"/>
      <c r="H21" s="5"/>
      <c r="I21" s="5"/>
      <c r="J21" s="4" t="s">
        <v>123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126</v>
      </c>
      <c r="E22" s="4" t="s">
        <v>133</v>
      </c>
      <c r="F22" s="4">
        <v>1000</v>
      </c>
      <c r="G22" s="5">
        <v>100.39580000000001</v>
      </c>
      <c r="H22" s="5">
        <v>17.8</v>
      </c>
      <c r="I22" s="5">
        <v>1089</v>
      </c>
      <c r="J22" s="4" t="s">
        <v>127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126</v>
      </c>
      <c r="E23" s="4" t="s">
        <v>133</v>
      </c>
      <c r="F23" s="4">
        <v>1000</v>
      </c>
      <c r="G23" s="5">
        <v>102.0544</v>
      </c>
      <c r="H23" s="5">
        <v>17.57</v>
      </c>
      <c r="I23" s="5">
        <v>688</v>
      </c>
      <c r="J23" s="4" t="s">
        <v>127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126</v>
      </c>
      <c r="E24" s="4" t="s">
        <v>133</v>
      </c>
      <c r="F24" s="4">
        <v>1000</v>
      </c>
      <c r="G24" s="5">
        <v>106.6533</v>
      </c>
      <c r="H24" s="5">
        <v>17.990000000000002</v>
      </c>
      <c r="I24" s="5">
        <v>1875</v>
      </c>
      <c r="J24" s="4" t="s">
        <v>127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126</v>
      </c>
      <c r="E25" s="4" t="s">
        <v>133</v>
      </c>
      <c r="F25" s="4">
        <v>991.55</v>
      </c>
      <c r="G25" s="5">
        <v>99.69250000000001</v>
      </c>
      <c r="H25" s="5">
        <v>22.48</v>
      </c>
      <c r="I25" s="5">
        <v>357</v>
      </c>
      <c r="J25" s="4" t="s">
        <v>127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126</v>
      </c>
      <c r="E26" s="4" t="s">
        <v>133</v>
      </c>
      <c r="F26" s="4">
        <v>1000</v>
      </c>
      <c r="G26" s="5">
        <v>104.129</v>
      </c>
      <c r="H26" s="5">
        <v>17.88</v>
      </c>
      <c r="I26" s="5">
        <v>1559</v>
      </c>
      <c r="J26" s="4" t="s">
        <v>127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121</v>
      </c>
      <c r="E27" s="4" t="s">
        <v>133</v>
      </c>
      <c r="F27" s="4">
        <v>1519.72</v>
      </c>
      <c r="G27" s="5"/>
      <c r="H27" s="5"/>
      <c r="I27" s="5"/>
      <c r="J27" s="4" t="s">
        <v>123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126</v>
      </c>
      <c r="E28" s="4" t="s">
        <v>133</v>
      </c>
      <c r="F28" s="4">
        <v>497160</v>
      </c>
      <c r="G28" s="5">
        <v>101.5389</v>
      </c>
      <c r="H28" s="5">
        <v>21.41</v>
      </c>
      <c r="I28" s="5">
        <v>236</v>
      </c>
      <c r="J28" s="4" t="s">
        <v>127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126</v>
      </c>
      <c r="E29" s="4" t="s">
        <v>133</v>
      </c>
      <c r="F29" s="4">
        <v>499669.5</v>
      </c>
      <c r="G29" s="5">
        <v>104.3339</v>
      </c>
      <c r="H29" s="5">
        <v>22.86</v>
      </c>
      <c r="I29" s="5">
        <v>19</v>
      </c>
      <c r="J29" s="4" t="s">
        <v>127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126</v>
      </c>
      <c r="E30" s="4" t="s">
        <v>133</v>
      </c>
      <c r="F30" s="4">
        <v>983.54100000000005</v>
      </c>
      <c r="G30" s="5">
        <v>98.781900000000007</v>
      </c>
      <c r="H30" s="5">
        <v>23.92</v>
      </c>
      <c r="I30" s="5">
        <v>359</v>
      </c>
      <c r="J30" s="4" t="s">
        <v>127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126</v>
      </c>
      <c r="E31" s="4" t="s">
        <v>133</v>
      </c>
      <c r="F31" s="4">
        <v>100.25500000000001</v>
      </c>
      <c r="G31" s="5">
        <v>101.2217</v>
      </c>
      <c r="H31" s="5">
        <v>10.97</v>
      </c>
      <c r="I31" s="5">
        <v>94</v>
      </c>
      <c r="J31" s="4" t="s">
        <v>127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126</v>
      </c>
      <c r="E32" s="4" t="s">
        <v>133</v>
      </c>
      <c r="F32" s="4">
        <v>94.844999999999999</v>
      </c>
      <c r="G32" s="5">
        <v>94.874200000000002</v>
      </c>
      <c r="H32" s="5">
        <v>14.56</v>
      </c>
      <c r="I32" s="5">
        <v>516</v>
      </c>
      <c r="J32" s="4" t="s">
        <v>127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126</v>
      </c>
      <c r="E33" s="4" t="s">
        <v>133</v>
      </c>
      <c r="F33" s="4">
        <v>1012.91</v>
      </c>
      <c r="G33" s="5">
        <v>104.4688</v>
      </c>
      <c r="H33" s="5">
        <v>5.94</v>
      </c>
      <c r="I33" s="5">
        <v>917</v>
      </c>
      <c r="J33" s="4" t="s">
        <v>127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126</v>
      </c>
      <c r="E34" s="4" t="s">
        <v>133</v>
      </c>
      <c r="F34" s="4">
        <v>867.26600000000008</v>
      </c>
      <c r="G34" s="5">
        <v>87.826599999999999</v>
      </c>
      <c r="H34" s="5">
        <v>32.24</v>
      </c>
      <c r="I34" s="5">
        <v>621</v>
      </c>
      <c r="J34" s="4" t="s">
        <v>127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126</v>
      </c>
      <c r="E35" s="4" t="s">
        <v>133</v>
      </c>
      <c r="F35" s="4">
        <v>1000</v>
      </c>
      <c r="G35" s="5">
        <v>100.12780000000001</v>
      </c>
      <c r="H35" s="5">
        <v>23</v>
      </c>
      <c r="I35" s="5">
        <v>1064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126</v>
      </c>
      <c r="E36" s="4" t="s">
        <v>133</v>
      </c>
      <c r="F36" s="4">
        <v>101.79170000000001</v>
      </c>
      <c r="G36" s="5">
        <v>102.33340000000001</v>
      </c>
      <c r="H36" s="5">
        <v>5.49</v>
      </c>
      <c r="I36" s="5">
        <v>340</v>
      </c>
      <c r="J36" s="4" t="s">
        <v>127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126</v>
      </c>
      <c r="E37" s="4" t="s">
        <v>133</v>
      </c>
      <c r="F37" s="4">
        <v>985.26700000000005</v>
      </c>
      <c r="G37" s="5">
        <v>99.772499999999994</v>
      </c>
      <c r="H37" s="5">
        <v>19</v>
      </c>
      <c r="I37" s="5">
        <v>340</v>
      </c>
      <c r="J37" s="4" t="s">
        <v>127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126</v>
      </c>
      <c r="E38" s="4" t="s">
        <v>133</v>
      </c>
      <c r="F38" s="4">
        <v>951.86700000000008</v>
      </c>
      <c r="G38" s="5">
        <v>95.797800000000009</v>
      </c>
      <c r="H38" s="5">
        <v>25.97</v>
      </c>
      <c r="I38" s="5">
        <v>537</v>
      </c>
      <c r="J38" s="4" t="s">
        <v>127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126</v>
      </c>
      <c r="E39" s="4" t="s">
        <v>133</v>
      </c>
      <c r="F39" s="4">
        <v>99.3</v>
      </c>
      <c r="G39" s="5">
        <v>99.633300000000006</v>
      </c>
      <c r="H39" s="5">
        <v>12.52</v>
      </c>
      <c r="I39" s="5">
        <v>537</v>
      </c>
      <c r="J39" s="4" t="s">
        <v>127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126</v>
      </c>
      <c r="E40" s="4" t="s">
        <v>133</v>
      </c>
      <c r="F40" s="4">
        <v>497176.5</v>
      </c>
      <c r="G40" s="5">
        <v>101.827</v>
      </c>
      <c r="H40" s="5">
        <v>21.39</v>
      </c>
      <c r="I40" s="5">
        <v>597</v>
      </c>
      <c r="J40" s="4" t="s">
        <v>127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126</v>
      </c>
      <c r="E41" s="4" t="s">
        <v>133</v>
      </c>
      <c r="F41" s="4">
        <v>861.53800000000001</v>
      </c>
      <c r="G41" s="5">
        <v>87.670500000000004</v>
      </c>
      <c r="H41" s="5">
        <v>39.020000000000003</v>
      </c>
      <c r="I41" s="5">
        <v>339</v>
      </c>
      <c r="J41" s="4" t="s">
        <v>127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126</v>
      </c>
      <c r="E42" s="4" t="s">
        <v>133</v>
      </c>
      <c r="F42" s="4">
        <v>1004.601</v>
      </c>
      <c r="G42" s="5">
        <v>100.81060000000001</v>
      </c>
      <c r="H42" s="5">
        <v>20.8</v>
      </c>
      <c r="I42" s="5">
        <v>938</v>
      </c>
      <c r="J42" s="4" t="s">
        <v>127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126</v>
      </c>
      <c r="E43" s="4" t="s">
        <v>133</v>
      </c>
      <c r="F43" s="4">
        <v>999.673</v>
      </c>
      <c r="G43" s="5">
        <v>101.18950000000001</v>
      </c>
      <c r="H43" s="5">
        <v>22.02</v>
      </c>
      <c r="I43" s="5">
        <v>680</v>
      </c>
      <c r="J43" s="4" t="s">
        <v>127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126</v>
      </c>
      <c r="E44" s="4" t="s">
        <v>133</v>
      </c>
      <c r="F44" s="4">
        <v>774.3</v>
      </c>
      <c r="G44" s="5">
        <v>78.713300000000004</v>
      </c>
      <c r="H44" s="5">
        <v>41.45</v>
      </c>
      <c r="I44" s="5">
        <v>587</v>
      </c>
      <c r="J44" s="4" t="s">
        <v>127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126</v>
      </c>
      <c r="E45" s="4" t="s">
        <v>133</v>
      </c>
      <c r="F45" s="4">
        <v>991.99400000000003</v>
      </c>
      <c r="G45" s="5">
        <v>102.3494</v>
      </c>
      <c r="H45" s="5">
        <v>22.01</v>
      </c>
      <c r="I45" s="5">
        <v>311</v>
      </c>
      <c r="J45" s="4" t="s">
        <v>127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126</v>
      </c>
      <c r="E46" s="4" t="s">
        <v>133</v>
      </c>
      <c r="F46" s="4">
        <v>968.90500000000009</v>
      </c>
      <c r="G46" s="5">
        <v>97.15440000000001</v>
      </c>
      <c r="H46" s="5">
        <v>22.84</v>
      </c>
      <c r="I46" s="5">
        <v>330</v>
      </c>
      <c r="J46" s="4" t="s">
        <v>127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126</v>
      </c>
      <c r="E47" s="4" t="s">
        <v>133</v>
      </c>
      <c r="F47" s="4">
        <v>935.63100000000009</v>
      </c>
      <c r="G47" s="5">
        <v>95.040900000000008</v>
      </c>
      <c r="H47" s="5">
        <v>22.78</v>
      </c>
      <c r="I47" s="5">
        <v>794</v>
      </c>
      <c r="J47" s="4" t="s">
        <v>127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126</v>
      </c>
      <c r="E48" s="4" t="s">
        <v>133</v>
      </c>
      <c r="F48" s="4">
        <v>1002.966</v>
      </c>
      <c r="G48" s="5">
        <v>101.11330000000001</v>
      </c>
      <c r="H48" s="5">
        <v>20.84</v>
      </c>
      <c r="I48" s="5">
        <v>838</v>
      </c>
      <c r="J48" s="4" t="s">
        <v>127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126</v>
      </c>
      <c r="E49" s="4" t="s">
        <v>133</v>
      </c>
      <c r="F49" s="4">
        <v>999.12600000000009</v>
      </c>
      <c r="G49" s="5">
        <v>109.5001</v>
      </c>
      <c r="H49" s="5">
        <v>19.559999999999999</v>
      </c>
      <c r="I49" s="5">
        <v>550</v>
      </c>
      <c r="J49" s="4" t="s">
        <v>127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126</v>
      </c>
      <c r="E50" s="4" t="s">
        <v>133</v>
      </c>
      <c r="F50" s="4">
        <v>98.405100000000004</v>
      </c>
      <c r="G50" s="5">
        <v>98.627300000000005</v>
      </c>
      <c r="H50" s="5">
        <v>11.32</v>
      </c>
      <c r="I50" s="5">
        <v>478</v>
      </c>
      <c r="J50" s="4" t="s">
        <v>127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126</v>
      </c>
      <c r="E51" s="4" t="s">
        <v>133</v>
      </c>
      <c r="F51" s="4">
        <v>1000</v>
      </c>
      <c r="G51" s="5">
        <v>105.69340000000001</v>
      </c>
      <c r="H51" s="5">
        <v>17.43</v>
      </c>
      <c r="I51" s="5">
        <v>1343</v>
      </c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126</v>
      </c>
      <c r="E52" s="4" t="s">
        <v>133</v>
      </c>
      <c r="F52" s="4">
        <v>1003.0940000000001</v>
      </c>
      <c r="G52" s="5">
        <v>100.98010000000001</v>
      </c>
      <c r="H52" s="5">
        <v>21.73</v>
      </c>
      <c r="I52" s="5">
        <v>628</v>
      </c>
      <c r="J52" s="4" t="s">
        <v>127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126</v>
      </c>
      <c r="E53" s="4" t="s">
        <v>133</v>
      </c>
      <c r="F53" s="4">
        <v>100</v>
      </c>
      <c r="G53" s="5">
        <v>100.21390000000001</v>
      </c>
      <c r="H53" s="5">
        <v>11</v>
      </c>
      <c r="I53" s="5">
        <v>724</v>
      </c>
      <c r="J53" s="4" t="s">
        <v>127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126</v>
      </c>
      <c r="E54" s="4" t="s">
        <v>133</v>
      </c>
      <c r="F54" s="4">
        <v>997.08600000000001</v>
      </c>
      <c r="G54" s="5">
        <v>99.708600000000004</v>
      </c>
      <c r="H54" s="5">
        <v>20.74</v>
      </c>
      <c r="I54" s="5">
        <v>152</v>
      </c>
      <c r="J54" s="4" t="s">
        <v>127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126</v>
      </c>
      <c r="E55" s="4" t="s">
        <v>133</v>
      </c>
      <c r="F55" s="4">
        <v>1026.1369999999999</v>
      </c>
      <c r="G55" s="5">
        <v>104.23220000000001</v>
      </c>
      <c r="H55" s="5">
        <v>20.99</v>
      </c>
      <c r="I55" s="5">
        <v>857</v>
      </c>
      <c r="J55" s="4" t="s">
        <v>127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126</v>
      </c>
      <c r="E56" s="4" t="s">
        <v>133</v>
      </c>
      <c r="F56" s="4">
        <v>98</v>
      </c>
      <c r="G56" s="5">
        <v>100.0167</v>
      </c>
      <c r="H56" s="5">
        <v>17.59</v>
      </c>
      <c r="I56" s="5">
        <v>115</v>
      </c>
      <c r="J56" s="4" t="s">
        <v>127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121</v>
      </c>
      <c r="E57" s="4" t="s">
        <v>133</v>
      </c>
      <c r="F57" s="4">
        <v>101.29</v>
      </c>
      <c r="G57" s="5"/>
      <c r="H57" s="5"/>
      <c r="I57" s="5"/>
      <c r="J57" s="4" t="s">
        <v>150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126</v>
      </c>
      <c r="E58" s="4" t="s">
        <v>133</v>
      </c>
      <c r="F58" s="4">
        <v>968.55</v>
      </c>
      <c r="G58" s="5">
        <v>98.48830000000001</v>
      </c>
      <c r="H58" s="5">
        <v>22.75</v>
      </c>
      <c r="I58" s="5">
        <v>854</v>
      </c>
      <c r="J58" s="4" t="s">
        <v>127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126</v>
      </c>
      <c r="E59" s="4" t="s">
        <v>133</v>
      </c>
      <c r="F59" s="4">
        <v>989.86400000000003</v>
      </c>
      <c r="G59" s="5">
        <v>99.475300000000004</v>
      </c>
      <c r="H59" s="5">
        <v>23.17</v>
      </c>
      <c r="I59" s="5">
        <v>358</v>
      </c>
      <c r="J59" s="4" t="s">
        <v>127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126</v>
      </c>
      <c r="E60" s="4" t="s">
        <v>133</v>
      </c>
      <c r="F60" s="4">
        <v>997.18600000000004</v>
      </c>
      <c r="G60" s="5">
        <v>99.963000000000008</v>
      </c>
      <c r="H60" s="5">
        <v>22.2</v>
      </c>
      <c r="I60" s="5">
        <v>604</v>
      </c>
      <c r="J60" s="4" t="s">
        <v>127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126</v>
      </c>
      <c r="E61" s="4" t="s">
        <v>133</v>
      </c>
      <c r="F61" s="4">
        <v>1000.056</v>
      </c>
      <c r="G61" s="5">
        <v>101.2834</v>
      </c>
      <c r="H61" s="5">
        <v>22.95</v>
      </c>
      <c r="I61" s="5">
        <v>73</v>
      </c>
      <c r="J61" s="4" t="s">
        <v>127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126</v>
      </c>
      <c r="E62" s="4" t="s">
        <v>133</v>
      </c>
      <c r="F62" s="4">
        <v>967.17</v>
      </c>
      <c r="G62" s="5">
        <v>101.61420000000001</v>
      </c>
      <c r="H62" s="5">
        <v>23.25</v>
      </c>
      <c r="I62" s="5">
        <v>922</v>
      </c>
      <c r="J62" s="4" t="s">
        <v>127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126</v>
      </c>
      <c r="E63" s="4" t="s">
        <v>133</v>
      </c>
      <c r="F63" s="4">
        <v>987.75100000000009</v>
      </c>
      <c r="G63" s="5">
        <v>100.2418</v>
      </c>
      <c r="H63" s="5">
        <v>22.92</v>
      </c>
      <c r="I63" s="5">
        <v>584</v>
      </c>
      <c r="J63" s="4" t="s">
        <v>127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126</v>
      </c>
      <c r="E64" s="4" t="s">
        <v>133</v>
      </c>
      <c r="F64" s="4">
        <v>991.79900000000009</v>
      </c>
      <c r="G64" s="5">
        <v>100.7688</v>
      </c>
      <c r="H64" s="5">
        <v>22.99</v>
      </c>
      <c r="I64" s="5">
        <v>339</v>
      </c>
      <c r="J64" s="4" t="s">
        <v>127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126</v>
      </c>
      <c r="E65" s="4" t="s">
        <v>133</v>
      </c>
      <c r="F65" s="4">
        <v>987.05</v>
      </c>
      <c r="G65" s="5">
        <v>99.288300000000007</v>
      </c>
      <c r="H65" s="5">
        <v>19</v>
      </c>
      <c r="I65" s="5">
        <v>354</v>
      </c>
      <c r="J65" s="4" t="s">
        <v>127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126</v>
      </c>
      <c r="E66" s="4" t="s">
        <v>133</v>
      </c>
      <c r="F66" s="4">
        <v>9.9184699999999992</v>
      </c>
      <c r="G66" s="5">
        <v>99.601399999999998</v>
      </c>
      <c r="H66" s="5">
        <v>10.5</v>
      </c>
      <c r="I66" s="5">
        <v>655</v>
      </c>
      <c r="J66" s="4" t="s">
        <v>127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126</v>
      </c>
      <c r="E67" s="4" t="s">
        <v>133</v>
      </c>
      <c r="F67" s="4">
        <v>959.6690000000001</v>
      </c>
      <c r="G67" s="5">
        <v>95.96690000000001</v>
      </c>
      <c r="H67" s="5">
        <v>23.09</v>
      </c>
      <c r="I67" s="5">
        <v>944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255</v>
      </c>
      <c r="C68" s="4" t="s">
        <v>256</v>
      </c>
      <c r="D68" s="4" t="s">
        <v>126</v>
      </c>
      <c r="E68" s="4" t="s">
        <v>133</v>
      </c>
      <c r="F68" s="4">
        <v>1007.206</v>
      </c>
      <c r="G68" s="5">
        <v>104.59280000000001</v>
      </c>
      <c r="H68" s="5">
        <v>19.93</v>
      </c>
      <c r="I68" s="5">
        <v>662</v>
      </c>
      <c r="J68" s="4" t="s">
        <v>127</v>
      </c>
    </row>
    <row r="69" spans="1:10" x14ac:dyDescent="0.25">
      <c r="A69" s="4">
        <f t="shared" ca="1" si="2"/>
        <v>66</v>
      </c>
      <c r="B69" s="4" t="s">
        <v>257</v>
      </c>
      <c r="C69" s="4" t="s">
        <v>258</v>
      </c>
      <c r="D69" s="4" t="s">
        <v>126</v>
      </c>
      <c r="E69" s="4" t="s">
        <v>133</v>
      </c>
      <c r="F69" s="4">
        <v>980</v>
      </c>
      <c r="G69" s="5">
        <v>101.5</v>
      </c>
      <c r="H69" s="5">
        <v>21.95</v>
      </c>
      <c r="I69" s="5">
        <v>1036</v>
      </c>
      <c r="J69" s="4" t="s">
        <v>127</v>
      </c>
    </row>
    <row r="70" spans="1:10" x14ac:dyDescent="0.25">
      <c r="A70" s="4">
        <f t="shared" ca="1" si="2"/>
        <v>67</v>
      </c>
      <c r="B70" s="4" t="s">
        <v>259</v>
      </c>
      <c r="C70" s="4" t="s">
        <v>260</v>
      </c>
      <c r="D70" s="4" t="s">
        <v>121</v>
      </c>
      <c r="E70" s="4" t="s">
        <v>261</v>
      </c>
      <c r="F70" s="4">
        <v>39092.42</v>
      </c>
      <c r="G70" s="5"/>
      <c r="H70" s="5"/>
      <c r="I70" s="5"/>
      <c r="J70" s="4" t="s">
        <v>123</v>
      </c>
    </row>
    <row r="71" spans="1:10" x14ac:dyDescent="0.25">
      <c r="A71" s="4">
        <f t="shared" ca="1" si="2"/>
        <v>68</v>
      </c>
      <c r="B71" s="4" t="s">
        <v>262</v>
      </c>
      <c r="C71" s="4" t="s">
        <v>263</v>
      </c>
      <c r="D71" s="4" t="s">
        <v>121</v>
      </c>
      <c r="E71" s="4" t="s">
        <v>261</v>
      </c>
      <c r="F71" s="4">
        <v>28119.599999999999</v>
      </c>
      <c r="G71" s="5"/>
      <c r="H71" s="5"/>
      <c r="I71" s="5"/>
      <c r="J71" s="4" t="s">
        <v>123</v>
      </c>
    </row>
    <row r="72" spans="1:10" x14ac:dyDescent="0.25">
      <c r="A72" s="4">
        <f t="shared" ca="1" si="2"/>
        <v>69</v>
      </c>
      <c r="B72" s="4" t="s">
        <v>264</v>
      </c>
      <c r="C72" s="4" t="s">
        <v>265</v>
      </c>
      <c r="D72" s="4" t="s">
        <v>126</v>
      </c>
      <c r="E72" s="4" t="s">
        <v>266</v>
      </c>
      <c r="F72" s="4">
        <v>16498</v>
      </c>
      <c r="G72" s="5">
        <v>1649.798</v>
      </c>
      <c r="H72" s="5"/>
      <c r="I72" s="5">
        <v>121</v>
      </c>
      <c r="J72" s="4" t="s">
        <v>127</v>
      </c>
    </row>
    <row r="73" spans="1:10" x14ac:dyDescent="0.25">
      <c r="A73" s="4">
        <f t="shared" ca="1" si="2"/>
        <v>70</v>
      </c>
      <c r="B73" s="4" t="s">
        <v>267</v>
      </c>
      <c r="C73" s="4" t="s">
        <v>268</v>
      </c>
      <c r="D73" s="4" t="s">
        <v>121</v>
      </c>
      <c r="E73" s="4" t="s">
        <v>269</v>
      </c>
      <c r="F73" s="4">
        <v>22297.69</v>
      </c>
      <c r="G73" s="5"/>
      <c r="H73" s="5"/>
      <c r="I73" s="5"/>
      <c r="J73" s="4" t="s">
        <v>123</v>
      </c>
    </row>
    <row r="74" spans="1:10" x14ac:dyDescent="0.25">
      <c r="A74" s="4">
        <f t="shared" ca="1" si="2"/>
        <v>71</v>
      </c>
      <c r="B74" s="4" t="s">
        <v>270</v>
      </c>
      <c r="C74" s="4" t="s">
        <v>271</v>
      </c>
      <c r="D74" s="4" t="s">
        <v>126</v>
      </c>
      <c r="E74" s="4" t="s">
        <v>269</v>
      </c>
      <c r="F74" s="4">
        <v>1.0098339999999999</v>
      </c>
      <c r="G74" s="5">
        <v>101.46120000000001</v>
      </c>
      <c r="H74" s="5">
        <v>5.12</v>
      </c>
      <c r="I74" s="5">
        <v>1611</v>
      </c>
      <c r="J74" s="4" t="s">
        <v>127</v>
      </c>
    </row>
    <row r="75" spans="1:10" x14ac:dyDescent="0.25">
      <c r="A75" s="4">
        <f t="shared" ca="1" si="2"/>
        <v>72</v>
      </c>
      <c r="B75" s="4" t="s">
        <v>272</v>
      </c>
      <c r="C75" s="4" t="s">
        <v>273</v>
      </c>
      <c r="D75" s="4" t="s">
        <v>126</v>
      </c>
      <c r="E75" s="4" t="s">
        <v>269</v>
      </c>
      <c r="F75" s="4">
        <v>1009.216</v>
      </c>
      <c r="G75" s="5">
        <v>101.48830000000001</v>
      </c>
      <c r="H75" s="5">
        <v>6.3</v>
      </c>
      <c r="I75" s="5">
        <v>8369</v>
      </c>
      <c r="J75" s="4" t="s">
        <v>127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121</v>
      </c>
      <c r="E76" s="4" t="s">
        <v>276</v>
      </c>
      <c r="F76" s="4">
        <v>3332.41</v>
      </c>
      <c r="G76" s="5"/>
      <c r="H76" s="5"/>
      <c r="I76" s="5"/>
      <c r="J76" s="4" t="s">
        <v>123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126</v>
      </c>
      <c r="E77" s="4" t="s">
        <v>279</v>
      </c>
      <c r="F77" s="4">
        <v>0.97322199999999992</v>
      </c>
      <c r="G77" s="5">
        <v>97.477800000000002</v>
      </c>
      <c r="H77" s="5">
        <v>5.01</v>
      </c>
      <c r="I77" s="5">
        <v>337</v>
      </c>
      <c r="J77" s="4" t="s">
        <v>127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121</v>
      </c>
      <c r="E78" s="4" t="s">
        <v>282</v>
      </c>
      <c r="F78" s="4">
        <v>8955.3000000000011</v>
      </c>
      <c r="G78" s="5"/>
      <c r="H78" s="5"/>
      <c r="I78" s="5"/>
      <c r="J78" s="4" t="s">
        <v>123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121</v>
      </c>
      <c r="E79" s="4" t="s">
        <v>282</v>
      </c>
      <c r="F79" s="4">
        <v>4631.42</v>
      </c>
      <c r="G79" s="5"/>
      <c r="H79" s="5"/>
      <c r="I79" s="5"/>
      <c r="J79" s="4" t="s">
        <v>123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126</v>
      </c>
      <c r="E80" s="4" t="s">
        <v>287</v>
      </c>
      <c r="F80" s="4">
        <v>970.78700000000003</v>
      </c>
      <c r="G80" s="5">
        <v>101.56580000000001</v>
      </c>
      <c r="H80" s="5">
        <v>19.760000000000002</v>
      </c>
      <c r="I80" s="5">
        <v>824</v>
      </c>
      <c r="J80" s="4" t="s">
        <v>127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126</v>
      </c>
      <c r="E81" s="4" t="s">
        <v>287</v>
      </c>
      <c r="F81" s="4">
        <v>99.37060000000001</v>
      </c>
      <c r="G81" s="5">
        <v>99.37060000000001</v>
      </c>
      <c r="H81" s="5">
        <v>16.510000000000002</v>
      </c>
      <c r="I81" s="5">
        <v>15</v>
      </c>
      <c r="J81" s="4" t="s">
        <v>127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126</v>
      </c>
      <c r="E82" s="4" t="s">
        <v>287</v>
      </c>
      <c r="F82" s="4">
        <v>100.0168</v>
      </c>
      <c r="G82" s="5">
        <v>101.35010000000001</v>
      </c>
      <c r="H82" s="5">
        <v>7.99</v>
      </c>
      <c r="I82" s="5">
        <v>761</v>
      </c>
      <c r="J82" s="4" t="s">
        <v>127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126</v>
      </c>
      <c r="E83" s="4" t="s">
        <v>71</v>
      </c>
      <c r="F83" s="4">
        <v>1000</v>
      </c>
      <c r="G83" s="5">
        <v>111.3892</v>
      </c>
      <c r="H83" s="5">
        <v>12.55</v>
      </c>
      <c r="I83" s="5">
        <v>1131</v>
      </c>
      <c r="J83" s="4" t="s">
        <v>127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126</v>
      </c>
      <c r="E84" s="4" t="s">
        <v>71</v>
      </c>
      <c r="F84" s="4">
        <v>1000</v>
      </c>
      <c r="G84" s="5">
        <v>103.1093</v>
      </c>
      <c r="H84" s="5">
        <v>12.53</v>
      </c>
      <c r="I84" s="5">
        <v>1371</v>
      </c>
      <c r="J84" s="4" t="s">
        <v>127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126</v>
      </c>
      <c r="E85" s="4" t="s">
        <v>71</v>
      </c>
      <c r="F85" s="4">
        <v>1000</v>
      </c>
      <c r="G85" s="5">
        <v>106.21860000000001</v>
      </c>
      <c r="H85" s="5">
        <v>12.19</v>
      </c>
      <c r="I85" s="5">
        <v>184</v>
      </c>
      <c r="J85" s="4" t="s">
        <v>127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126</v>
      </c>
      <c r="E86" s="4" t="s">
        <v>71</v>
      </c>
      <c r="F86" s="4">
        <v>1000</v>
      </c>
      <c r="G86" s="5">
        <v>104.0526</v>
      </c>
      <c r="H86" s="5">
        <v>12.32</v>
      </c>
      <c r="I86" s="5">
        <v>247</v>
      </c>
      <c r="J86" s="4" t="s">
        <v>127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126</v>
      </c>
      <c r="E87" s="4" t="s">
        <v>71</v>
      </c>
      <c r="F87" s="4">
        <v>1000</v>
      </c>
      <c r="G87" s="5">
        <v>107.23180000000001</v>
      </c>
      <c r="H87" s="5">
        <v>12.43</v>
      </c>
      <c r="I87" s="5">
        <v>520</v>
      </c>
      <c r="J87" s="4" t="s">
        <v>127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126</v>
      </c>
      <c r="E88" s="4" t="s">
        <v>71</v>
      </c>
      <c r="F88" s="4">
        <v>1000</v>
      </c>
      <c r="G88" s="5">
        <v>105.13560000000001</v>
      </c>
      <c r="H88" s="5">
        <v>12.45</v>
      </c>
      <c r="I88" s="5">
        <v>581</v>
      </c>
      <c r="J88" s="4" t="s">
        <v>127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126</v>
      </c>
      <c r="E89" s="4" t="s">
        <v>71</v>
      </c>
      <c r="F89" s="4">
        <v>1000</v>
      </c>
      <c r="G89" s="5">
        <v>100</v>
      </c>
      <c r="H89" s="5">
        <v>12.58</v>
      </c>
      <c r="I89" s="5">
        <v>731</v>
      </c>
      <c r="J89" s="4" t="s">
        <v>127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126</v>
      </c>
      <c r="E90" s="4" t="s">
        <v>71</v>
      </c>
      <c r="F90" s="4">
        <v>1000</v>
      </c>
      <c r="G90" s="5">
        <v>103.1093</v>
      </c>
      <c r="H90" s="5">
        <v>12.52</v>
      </c>
      <c r="I90" s="5">
        <v>1006</v>
      </c>
      <c r="J90" s="4" t="s">
        <v>127</v>
      </c>
    </row>
    <row r="91" spans="1:10" x14ac:dyDescent="0.25">
      <c r="A91" s="4">
        <f t="shared" ca="1" si="2"/>
        <v>88</v>
      </c>
      <c r="B91" s="4" t="s">
        <v>308</v>
      </c>
      <c r="C91" s="4" t="s">
        <v>309</v>
      </c>
      <c r="D91" s="4" t="s">
        <v>126</v>
      </c>
      <c r="E91" s="4" t="s">
        <v>71</v>
      </c>
      <c r="F91" s="4">
        <v>1000</v>
      </c>
      <c r="G91" s="5">
        <v>110.411</v>
      </c>
      <c r="H91" s="5">
        <v>12.54</v>
      </c>
      <c r="I91" s="5">
        <v>1525</v>
      </c>
      <c r="J91" s="4" t="s">
        <v>127</v>
      </c>
    </row>
    <row r="92" spans="1:10" x14ac:dyDescent="0.25">
      <c r="A92" s="4">
        <f t="shared" ca="1" si="2"/>
        <v>89</v>
      </c>
      <c r="B92" s="4" t="s">
        <v>310</v>
      </c>
      <c r="C92" s="4" t="s">
        <v>311</v>
      </c>
      <c r="D92" s="4" t="s">
        <v>126</v>
      </c>
      <c r="E92" s="4" t="s">
        <v>71</v>
      </c>
      <c r="F92" s="4">
        <v>898.18600000000004</v>
      </c>
      <c r="G92" s="5">
        <v>89.860300000000009</v>
      </c>
      <c r="H92" s="5">
        <v>17</v>
      </c>
      <c r="I92" s="5">
        <v>363</v>
      </c>
      <c r="J92" s="4" t="s">
        <v>127</v>
      </c>
    </row>
    <row r="93" spans="1:10" x14ac:dyDescent="0.25">
      <c r="A93" s="4">
        <f t="shared" ca="1" si="2"/>
        <v>90</v>
      </c>
      <c r="B93" s="4" t="s">
        <v>312</v>
      </c>
      <c r="C93" s="4" t="s">
        <v>313</v>
      </c>
      <c r="D93" s="4" t="s">
        <v>126</v>
      </c>
      <c r="E93" s="4" t="s">
        <v>71</v>
      </c>
      <c r="F93" s="4">
        <v>1000</v>
      </c>
      <c r="G93" s="5">
        <v>105.13560000000001</v>
      </c>
      <c r="H93" s="5">
        <v>12.51</v>
      </c>
      <c r="I93" s="5">
        <v>1312</v>
      </c>
      <c r="J93" s="4" t="s">
        <v>127</v>
      </c>
    </row>
    <row r="94" spans="1:10" x14ac:dyDescent="0.25">
      <c r="A94" s="4">
        <f t="shared" ca="1" si="2"/>
        <v>91</v>
      </c>
      <c r="B94" s="4" t="s">
        <v>314</v>
      </c>
      <c r="C94" s="4" t="s">
        <v>117</v>
      </c>
      <c r="D94" s="4" t="s">
        <v>126</v>
      </c>
      <c r="E94" s="4" t="s">
        <v>71</v>
      </c>
      <c r="F94" s="4">
        <v>872.75700000000006</v>
      </c>
      <c r="G94" s="5">
        <v>90.920500000000004</v>
      </c>
      <c r="H94" s="5">
        <v>16.809999999999999</v>
      </c>
      <c r="I94" s="5">
        <v>487</v>
      </c>
      <c r="J94" s="4" t="s">
        <v>127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126</v>
      </c>
      <c r="E95" s="4" t="s">
        <v>71</v>
      </c>
      <c r="F95" s="4">
        <v>834.70500000000004</v>
      </c>
      <c r="G95" s="5">
        <v>84.507499999999993</v>
      </c>
      <c r="H95" s="5">
        <v>16.77</v>
      </c>
      <c r="I95" s="5">
        <v>662</v>
      </c>
      <c r="J95" s="4" t="s">
        <v>127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126</v>
      </c>
      <c r="E96" s="4" t="s">
        <v>71</v>
      </c>
      <c r="F96" s="4">
        <v>842.94900000000007</v>
      </c>
      <c r="G96" s="5">
        <v>84.872700000000009</v>
      </c>
      <c r="H96" s="5">
        <v>16.740000000000002</v>
      </c>
      <c r="I96" s="5">
        <v>698</v>
      </c>
      <c r="J96" s="4" t="s">
        <v>127</v>
      </c>
    </row>
    <row r="97" spans="1:10" x14ac:dyDescent="0.25">
      <c r="A97" s="4">
        <f t="shared" ca="1" si="2"/>
        <v>94</v>
      </c>
      <c r="B97" s="4" t="s">
        <v>319</v>
      </c>
      <c r="C97" s="4" t="s">
        <v>320</v>
      </c>
      <c r="D97" s="4" t="s">
        <v>126</v>
      </c>
      <c r="E97" s="4" t="s">
        <v>71</v>
      </c>
      <c r="F97" s="4">
        <v>1000</v>
      </c>
      <c r="G97" s="5">
        <v>104.08750000000001</v>
      </c>
      <c r="H97" s="5">
        <v>12.46</v>
      </c>
      <c r="I97" s="5">
        <v>611</v>
      </c>
      <c r="J97" s="4" t="s">
        <v>127</v>
      </c>
    </row>
    <row r="98" spans="1:10" x14ac:dyDescent="0.25">
      <c r="A98" s="4">
        <f t="shared" ca="1" si="2"/>
        <v>95</v>
      </c>
      <c r="B98" s="4" t="s">
        <v>321</v>
      </c>
      <c r="C98" s="4" t="s">
        <v>322</v>
      </c>
      <c r="D98" s="4" t="s">
        <v>126</v>
      </c>
      <c r="E98" s="4" t="s">
        <v>71</v>
      </c>
      <c r="F98" s="4">
        <v>1000</v>
      </c>
      <c r="G98" s="5">
        <v>112.5421</v>
      </c>
      <c r="H98" s="5">
        <v>11.81</v>
      </c>
      <c r="I98" s="5">
        <v>2</v>
      </c>
      <c r="J98" s="4" t="s">
        <v>127</v>
      </c>
    </row>
    <row r="99" spans="1:10" x14ac:dyDescent="0.25">
      <c r="A99" s="4">
        <f t="shared" ca="1" si="2"/>
        <v>96</v>
      </c>
      <c r="B99" s="4" t="s">
        <v>323</v>
      </c>
      <c r="C99" s="4" t="s">
        <v>324</v>
      </c>
      <c r="D99" s="4" t="s">
        <v>126</v>
      </c>
      <c r="E99" s="4" t="s">
        <v>71</v>
      </c>
      <c r="F99" s="4">
        <v>1000</v>
      </c>
      <c r="G99" s="5">
        <v>109.5706</v>
      </c>
      <c r="H99" s="5">
        <v>12.62</v>
      </c>
      <c r="I99" s="5">
        <v>1552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325</v>
      </c>
      <c r="C100" s="4" t="s">
        <v>84</v>
      </c>
      <c r="D100" s="4" t="s">
        <v>126</v>
      </c>
      <c r="E100" s="4" t="s">
        <v>71</v>
      </c>
      <c r="F100" s="4">
        <v>625.74300000000005</v>
      </c>
      <c r="G100" s="5">
        <v>66.923100000000005</v>
      </c>
      <c r="H100" s="5">
        <v>16.57</v>
      </c>
      <c r="I100" s="5">
        <v>3090</v>
      </c>
      <c r="J100" s="4" t="s">
        <v>127</v>
      </c>
    </row>
    <row r="101" spans="1:10" x14ac:dyDescent="0.25">
      <c r="A101" s="4">
        <f t="shared" ca="1" si="3"/>
        <v>98</v>
      </c>
      <c r="B101" s="4" t="s">
        <v>326</v>
      </c>
      <c r="C101" s="4" t="s">
        <v>72</v>
      </c>
      <c r="D101" s="4" t="s">
        <v>126</v>
      </c>
      <c r="E101" s="4" t="s">
        <v>71</v>
      </c>
      <c r="F101" s="4">
        <v>878.70500000000004</v>
      </c>
      <c r="G101" s="5">
        <v>91.107500000000002</v>
      </c>
      <c r="H101" s="5">
        <v>16.8</v>
      </c>
      <c r="I101" s="5">
        <v>572</v>
      </c>
      <c r="J101" s="4" t="s">
        <v>127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126</v>
      </c>
      <c r="E102" s="4" t="s">
        <v>71</v>
      </c>
      <c r="F102" s="4">
        <v>548.17500000000007</v>
      </c>
      <c r="G102" s="5">
        <v>56.2592</v>
      </c>
      <c r="H102" s="5">
        <v>16.559999999999999</v>
      </c>
      <c r="I102" s="5">
        <v>6880</v>
      </c>
      <c r="J102" s="4" t="s">
        <v>127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126</v>
      </c>
      <c r="E103" s="4" t="s">
        <v>71</v>
      </c>
      <c r="F103" s="4">
        <v>1000</v>
      </c>
      <c r="G103" s="5">
        <v>101.9564</v>
      </c>
      <c r="H103" s="5">
        <v>12.45</v>
      </c>
      <c r="I103" s="5">
        <v>309</v>
      </c>
      <c r="J103" s="4" t="s">
        <v>127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126</v>
      </c>
      <c r="E104" s="4" t="s">
        <v>71</v>
      </c>
      <c r="F104" s="4">
        <v>1000</v>
      </c>
      <c r="G104" s="5">
        <v>105.1705</v>
      </c>
      <c r="H104" s="5">
        <v>12.51</v>
      </c>
      <c r="I104" s="5">
        <v>1311</v>
      </c>
      <c r="J104" s="4" t="s">
        <v>127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126</v>
      </c>
      <c r="E105" s="4" t="s">
        <v>71</v>
      </c>
      <c r="F105" s="4">
        <v>1000</v>
      </c>
      <c r="G105" s="5">
        <v>106.14880000000001</v>
      </c>
      <c r="H105" s="5">
        <v>12.52</v>
      </c>
      <c r="I105" s="5">
        <v>1647</v>
      </c>
      <c r="J105" s="4" t="s">
        <v>127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126</v>
      </c>
      <c r="E106" s="4" t="s">
        <v>71</v>
      </c>
      <c r="F106" s="4">
        <v>1000</v>
      </c>
      <c r="G106" s="5">
        <v>103.07440000000001</v>
      </c>
      <c r="H106" s="5">
        <v>12.38</v>
      </c>
      <c r="I106" s="5">
        <v>276</v>
      </c>
      <c r="J106" s="4" t="s">
        <v>127</v>
      </c>
    </row>
    <row r="107" spans="1:10" x14ac:dyDescent="0.25">
      <c r="A107" s="4">
        <f t="shared" ca="1" si="3"/>
        <v>104</v>
      </c>
      <c r="B107" s="4" t="s">
        <v>337</v>
      </c>
      <c r="C107" s="4" t="s">
        <v>113</v>
      </c>
      <c r="D107" s="4" t="s">
        <v>126</v>
      </c>
      <c r="E107" s="4" t="s">
        <v>71</v>
      </c>
      <c r="F107" s="4">
        <v>611.61500000000001</v>
      </c>
      <c r="G107" s="5">
        <v>67.819299999999998</v>
      </c>
      <c r="H107" s="5">
        <v>16.580000000000002</v>
      </c>
      <c r="I107" s="5">
        <v>3352</v>
      </c>
      <c r="J107" s="4" t="s">
        <v>127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126</v>
      </c>
      <c r="E108" s="4" t="s">
        <v>71</v>
      </c>
      <c r="F108" s="4">
        <v>914.55100000000004</v>
      </c>
      <c r="G108" s="5">
        <v>97.955100000000002</v>
      </c>
      <c r="H108" s="5">
        <v>16.850000000000001</v>
      </c>
      <c r="I108" s="5">
        <v>466</v>
      </c>
      <c r="J108" s="4" t="s">
        <v>127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126</v>
      </c>
      <c r="E109" s="4" t="s">
        <v>71</v>
      </c>
      <c r="F109" s="4">
        <v>896.22400000000005</v>
      </c>
      <c r="G109" s="5">
        <v>93.197400000000002</v>
      </c>
      <c r="H109" s="5">
        <v>16.78</v>
      </c>
      <c r="I109" s="5">
        <v>585</v>
      </c>
      <c r="J109" s="4" t="s">
        <v>127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126</v>
      </c>
      <c r="E110" s="4" t="s">
        <v>71</v>
      </c>
      <c r="F110" s="4">
        <v>605.71</v>
      </c>
      <c r="G110" s="5">
        <v>63.303400000000003</v>
      </c>
      <c r="H110" s="5">
        <v>16.559999999999999</v>
      </c>
      <c r="I110" s="5">
        <v>3900</v>
      </c>
      <c r="J110" s="4" t="s">
        <v>127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126</v>
      </c>
      <c r="E111" s="4" t="s">
        <v>71</v>
      </c>
      <c r="F111" s="4">
        <v>675.26300000000003</v>
      </c>
      <c r="G111" s="5">
        <v>73.107200000000006</v>
      </c>
      <c r="H111" s="5">
        <v>16.580000000000002</v>
      </c>
      <c r="I111" s="5">
        <v>2687</v>
      </c>
      <c r="J111" s="4" t="s">
        <v>127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126</v>
      </c>
      <c r="E112" s="4" t="s">
        <v>71</v>
      </c>
      <c r="F112" s="4">
        <v>665.9</v>
      </c>
      <c r="G112" s="5">
        <v>71.595500000000001</v>
      </c>
      <c r="H112" s="5">
        <v>16.580000000000002</v>
      </c>
      <c r="I112" s="5">
        <v>2706</v>
      </c>
      <c r="J112" s="4" t="s">
        <v>127</v>
      </c>
    </row>
    <row r="113" spans="1:10" x14ac:dyDescent="0.25">
      <c r="A113" s="4">
        <f t="shared" ca="1" si="3"/>
        <v>110</v>
      </c>
      <c r="B113" s="4" t="s">
        <v>348</v>
      </c>
      <c r="C113" s="4" t="s">
        <v>106</v>
      </c>
      <c r="D113" s="4" t="s">
        <v>126</v>
      </c>
      <c r="E113" s="4" t="s">
        <v>71</v>
      </c>
      <c r="F113" s="4">
        <v>691.82500000000005</v>
      </c>
      <c r="G113" s="5">
        <v>74.346400000000003</v>
      </c>
      <c r="H113" s="5">
        <v>16.59</v>
      </c>
      <c r="I113" s="5">
        <v>2334</v>
      </c>
      <c r="J113" s="4" t="s">
        <v>127</v>
      </c>
    </row>
    <row r="114" spans="1:10" x14ac:dyDescent="0.25">
      <c r="A114" s="4">
        <f t="shared" ca="1" si="3"/>
        <v>111</v>
      </c>
      <c r="B114" s="4" t="s">
        <v>349</v>
      </c>
      <c r="C114" s="4" t="s">
        <v>350</v>
      </c>
      <c r="D114" s="4" t="s">
        <v>126</v>
      </c>
      <c r="E114" s="4" t="s">
        <v>71</v>
      </c>
      <c r="F114" s="4">
        <v>719.70900000000006</v>
      </c>
      <c r="G114" s="5">
        <v>76.566000000000003</v>
      </c>
      <c r="H114" s="5">
        <v>16.59</v>
      </c>
      <c r="I114" s="5">
        <v>1992</v>
      </c>
      <c r="J114" s="4" t="s">
        <v>127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126</v>
      </c>
      <c r="E115" s="4" t="s">
        <v>71</v>
      </c>
      <c r="F115" s="4">
        <v>608.83900000000006</v>
      </c>
      <c r="G115" s="5">
        <v>67.7714</v>
      </c>
      <c r="H115" s="5">
        <v>16.580000000000002</v>
      </c>
      <c r="I115" s="5">
        <v>4096</v>
      </c>
      <c r="J115" s="4" t="s">
        <v>127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126</v>
      </c>
      <c r="E116" s="4" t="s">
        <v>71</v>
      </c>
      <c r="F116" s="4">
        <v>1000</v>
      </c>
      <c r="G116" s="5">
        <v>106.21860000000001</v>
      </c>
      <c r="H116" s="5">
        <v>12.19</v>
      </c>
      <c r="I116" s="5">
        <v>184</v>
      </c>
      <c r="J116" s="4" t="s">
        <v>127</v>
      </c>
    </row>
    <row r="117" spans="1:10" x14ac:dyDescent="0.25">
      <c r="A117" s="4">
        <f t="shared" ca="1" si="3"/>
        <v>114</v>
      </c>
      <c r="B117" s="4" t="s">
        <v>355</v>
      </c>
      <c r="C117" s="4" t="s">
        <v>81</v>
      </c>
      <c r="D117" s="4" t="s">
        <v>126</v>
      </c>
      <c r="E117" s="4" t="s">
        <v>71</v>
      </c>
      <c r="F117" s="4">
        <v>764.39300000000003</v>
      </c>
      <c r="G117" s="5">
        <v>78.636600000000001</v>
      </c>
      <c r="H117" s="5">
        <v>16.64</v>
      </c>
      <c r="I117" s="5">
        <v>1357</v>
      </c>
      <c r="J117" s="4" t="s">
        <v>127</v>
      </c>
    </row>
    <row r="118" spans="1:10" x14ac:dyDescent="0.25">
      <c r="A118" s="4">
        <f t="shared" ca="1" si="3"/>
        <v>115</v>
      </c>
      <c r="B118" s="4" t="s">
        <v>356</v>
      </c>
      <c r="C118" s="4" t="s">
        <v>357</v>
      </c>
      <c r="D118" s="4" t="s">
        <v>126</v>
      </c>
      <c r="E118" s="4" t="s">
        <v>71</v>
      </c>
      <c r="F118" s="4">
        <v>743.00400000000002</v>
      </c>
      <c r="G118" s="5">
        <v>80.529700000000005</v>
      </c>
      <c r="H118" s="5">
        <v>16.649999999999999</v>
      </c>
      <c r="I118" s="5">
        <v>1532</v>
      </c>
      <c r="J118" s="4" t="s">
        <v>127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126</v>
      </c>
      <c r="E119" s="4" t="s">
        <v>71</v>
      </c>
      <c r="F119" s="4">
        <v>547.35699999999997</v>
      </c>
      <c r="G119" s="5">
        <v>62.109000000000002</v>
      </c>
      <c r="H119" s="5">
        <v>16.559999999999999</v>
      </c>
      <c r="I119" s="5">
        <v>4773</v>
      </c>
      <c r="J119" s="4" t="s">
        <v>127</v>
      </c>
    </row>
    <row r="120" spans="1:10" x14ac:dyDescent="0.25">
      <c r="A120" s="4">
        <f t="shared" ca="1" si="3"/>
        <v>117</v>
      </c>
      <c r="B120" s="4" t="s">
        <v>360</v>
      </c>
      <c r="C120" s="4" t="s">
        <v>91</v>
      </c>
      <c r="D120" s="4" t="s">
        <v>126</v>
      </c>
      <c r="E120" s="4" t="s">
        <v>71</v>
      </c>
      <c r="F120" s="4">
        <v>925.26600000000008</v>
      </c>
      <c r="G120" s="5">
        <v>94.023800000000008</v>
      </c>
      <c r="H120" s="5">
        <v>17.150000000000002</v>
      </c>
      <c r="I120" s="5">
        <v>266</v>
      </c>
      <c r="J120" s="4" t="s">
        <v>127</v>
      </c>
    </row>
    <row r="121" spans="1:10" x14ac:dyDescent="0.25">
      <c r="A121" s="4">
        <f t="shared" ca="1" si="3"/>
        <v>118</v>
      </c>
      <c r="B121" s="4" t="s">
        <v>361</v>
      </c>
      <c r="C121" s="4" t="s">
        <v>98</v>
      </c>
      <c r="D121" s="4" t="s">
        <v>126</v>
      </c>
      <c r="E121" s="4" t="s">
        <v>71</v>
      </c>
      <c r="F121" s="4">
        <v>825.68700000000001</v>
      </c>
      <c r="G121" s="5">
        <v>83.113399999999999</v>
      </c>
      <c r="H121" s="5">
        <v>16.740000000000002</v>
      </c>
      <c r="I121" s="5">
        <v>693</v>
      </c>
      <c r="J121" s="4" t="s">
        <v>127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126</v>
      </c>
      <c r="E122" s="4" t="s">
        <v>71</v>
      </c>
      <c r="F122" s="4">
        <v>763.06100000000004</v>
      </c>
      <c r="G122" s="5">
        <v>77.314400000000006</v>
      </c>
      <c r="H122" s="5">
        <v>16.690000000000001</v>
      </c>
      <c r="I122" s="5">
        <v>1030</v>
      </c>
      <c r="J122" s="4" t="s">
        <v>127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126</v>
      </c>
      <c r="E123" s="4" t="s">
        <v>71</v>
      </c>
      <c r="F123" s="4">
        <v>564.14499999999998</v>
      </c>
      <c r="G123" s="5">
        <v>59.221000000000004</v>
      </c>
      <c r="H123" s="5">
        <v>16.55</v>
      </c>
      <c r="I123" s="5">
        <v>4990</v>
      </c>
      <c r="J123" s="4" t="s">
        <v>127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126</v>
      </c>
      <c r="E124" s="4" t="s">
        <v>71</v>
      </c>
      <c r="F124" s="4">
        <v>559.62300000000005</v>
      </c>
      <c r="G124" s="5">
        <v>62.239800000000002</v>
      </c>
      <c r="H124" s="5">
        <v>16.57</v>
      </c>
      <c r="I124" s="5">
        <v>5206</v>
      </c>
      <c r="J124" s="4" t="s">
        <v>127</v>
      </c>
    </row>
    <row r="125" spans="1:10" x14ac:dyDescent="0.25">
      <c r="A125" s="4">
        <f t="shared" ca="1" si="3"/>
        <v>122</v>
      </c>
      <c r="B125" s="4" t="s">
        <v>368</v>
      </c>
      <c r="C125" s="4" t="s">
        <v>86</v>
      </c>
      <c r="D125" s="4" t="s">
        <v>126</v>
      </c>
      <c r="E125" s="4" t="s">
        <v>71</v>
      </c>
      <c r="F125" s="4">
        <v>861.197</v>
      </c>
      <c r="G125" s="5">
        <v>93.330800000000011</v>
      </c>
      <c r="H125" s="5">
        <v>16.66</v>
      </c>
      <c r="I125" s="5">
        <v>1222</v>
      </c>
      <c r="J125" s="4" t="s">
        <v>127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126</v>
      </c>
      <c r="E126" s="4" t="s">
        <v>71</v>
      </c>
      <c r="F126" s="4">
        <v>955.07900000000006</v>
      </c>
      <c r="G126" s="5">
        <v>99.122600000000006</v>
      </c>
      <c r="H126" s="5">
        <v>17.25</v>
      </c>
      <c r="I126" s="5">
        <v>220</v>
      </c>
      <c r="J126" s="4" t="s">
        <v>127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126</v>
      </c>
      <c r="E127" s="4" t="s">
        <v>71</v>
      </c>
      <c r="F127" s="4">
        <v>1000</v>
      </c>
      <c r="G127" s="5">
        <v>112.06880000000001</v>
      </c>
      <c r="H127" s="5">
        <v>12.65</v>
      </c>
      <c r="I127" s="5">
        <v>1114</v>
      </c>
      <c r="J127" s="4" t="s">
        <v>127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126</v>
      </c>
      <c r="E128" s="4" t="s">
        <v>71</v>
      </c>
      <c r="F128" s="4">
        <v>1000</v>
      </c>
      <c r="G128" s="5">
        <v>108.27990000000001</v>
      </c>
      <c r="H128" s="5">
        <v>12.07</v>
      </c>
      <c r="I128" s="5">
        <v>124</v>
      </c>
      <c r="J128" s="4" t="s">
        <v>127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126</v>
      </c>
      <c r="E129" s="4" t="s">
        <v>71</v>
      </c>
      <c r="F129" s="4">
        <v>1000</v>
      </c>
      <c r="G129" s="5">
        <v>109.36290000000001</v>
      </c>
      <c r="H129" s="5">
        <v>12.52</v>
      </c>
      <c r="I129" s="5">
        <v>1191</v>
      </c>
      <c r="J129" s="4" t="s">
        <v>127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126</v>
      </c>
      <c r="E130" s="4" t="s">
        <v>71</v>
      </c>
      <c r="F130" s="4">
        <v>864.495</v>
      </c>
      <c r="G130" s="5">
        <v>87.292900000000003</v>
      </c>
      <c r="H130" s="5">
        <v>16.68</v>
      </c>
      <c r="I130" s="5">
        <v>1067</v>
      </c>
      <c r="J130" s="4" t="s">
        <v>127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126</v>
      </c>
      <c r="E131" s="4" t="s">
        <v>71</v>
      </c>
      <c r="F131" s="4">
        <v>1000</v>
      </c>
      <c r="G131" s="5">
        <v>109.46770000000001</v>
      </c>
      <c r="H131" s="5">
        <v>12.5</v>
      </c>
      <c r="I131" s="5">
        <v>822</v>
      </c>
      <c r="J131" s="4" t="s">
        <v>127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126</v>
      </c>
      <c r="E132" s="4" t="s">
        <v>71</v>
      </c>
      <c r="F132" s="4">
        <v>580.601</v>
      </c>
      <c r="G132" s="5">
        <v>61.298999999999999</v>
      </c>
      <c r="H132" s="5">
        <v>16.580000000000002</v>
      </c>
      <c r="I132" s="5">
        <v>2342</v>
      </c>
      <c r="J132" s="4" t="s">
        <v>127</v>
      </c>
    </row>
    <row r="133" spans="1:10" x14ac:dyDescent="0.25">
      <c r="A133" s="4">
        <f t="shared" ca="1" si="4"/>
        <v>130</v>
      </c>
      <c r="B133" s="4" t="s">
        <v>383</v>
      </c>
      <c r="C133" s="4" t="s">
        <v>384</v>
      </c>
      <c r="D133" s="4" t="s">
        <v>126</v>
      </c>
      <c r="E133" s="4" t="s">
        <v>71</v>
      </c>
      <c r="F133" s="4">
        <v>787.70500000000004</v>
      </c>
      <c r="G133" s="5">
        <v>85.709699999999998</v>
      </c>
      <c r="H133" s="5">
        <v>16.670000000000002</v>
      </c>
      <c r="I133" s="5">
        <v>1111</v>
      </c>
      <c r="J133" s="4" t="s">
        <v>127</v>
      </c>
    </row>
    <row r="134" spans="1:10" x14ac:dyDescent="0.25">
      <c r="A134" s="4">
        <f t="shared" ca="1" si="4"/>
        <v>131</v>
      </c>
      <c r="B134" s="4" t="s">
        <v>385</v>
      </c>
      <c r="C134" s="4" t="s">
        <v>386</v>
      </c>
      <c r="D134" s="4" t="s">
        <v>126</v>
      </c>
      <c r="E134" s="4" t="s">
        <v>71</v>
      </c>
      <c r="F134" s="4">
        <v>782.43600000000004</v>
      </c>
      <c r="G134" s="5">
        <v>81.2714</v>
      </c>
      <c r="H134" s="5">
        <v>16.7</v>
      </c>
      <c r="I134" s="5">
        <v>875</v>
      </c>
      <c r="J134" s="4" t="s">
        <v>127</v>
      </c>
    </row>
    <row r="135" spans="1:10" x14ac:dyDescent="0.25">
      <c r="A135" s="4">
        <f t="shared" ca="1" si="4"/>
        <v>132</v>
      </c>
      <c r="B135" s="4" t="s">
        <v>387</v>
      </c>
      <c r="C135" s="4" t="s">
        <v>111</v>
      </c>
      <c r="D135" s="4" t="s">
        <v>126</v>
      </c>
      <c r="E135" s="4" t="s">
        <v>71</v>
      </c>
      <c r="F135" s="4">
        <v>769.02700000000004</v>
      </c>
      <c r="G135" s="5">
        <v>80.452700000000007</v>
      </c>
      <c r="H135" s="5">
        <v>16.580000000000002</v>
      </c>
      <c r="I135" s="5">
        <v>2435</v>
      </c>
      <c r="J135" s="4" t="s">
        <v>127</v>
      </c>
    </row>
    <row r="136" spans="1:10" x14ac:dyDescent="0.25">
      <c r="A136" s="4">
        <f t="shared" ca="1" si="4"/>
        <v>133</v>
      </c>
      <c r="B136" s="4" t="s">
        <v>388</v>
      </c>
      <c r="C136" s="4" t="s">
        <v>104</v>
      </c>
      <c r="D136" s="4" t="s">
        <v>126</v>
      </c>
      <c r="E136" s="4" t="s">
        <v>71</v>
      </c>
      <c r="F136" s="4">
        <v>840.35300000000007</v>
      </c>
      <c r="G136" s="5">
        <v>87.493400000000008</v>
      </c>
      <c r="H136" s="5">
        <v>16.63</v>
      </c>
      <c r="I136" s="5">
        <v>1341</v>
      </c>
      <c r="J136" s="4" t="s">
        <v>127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126</v>
      </c>
      <c r="E137" s="4" t="s">
        <v>71</v>
      </c>
      <c r="F137" s="4">
        <v>1000</v>
      </c>
      <c r="G137" s="5">
        <v>101.9914</v>
      </c>
      <c r="H137" s="5">
        <v>12.55</v>
      </c>
      <c r="I137" s="5">
        <v>1769</v>
      </c>
      <c r="J137" s="4" t="s">
        <v>127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126</v>
      </c>
      <c r="E138" s="4" t="s">
        <v>71</v>
      </c>
      <c r="F138" s="4">
        <v>1000</v>
      </c>
      <c r="G138" s="5">
        <v>111.42410000000001</v>
      </c>
      <c r="H138" s="5">
        <v>12.56</v>
      </c>
      <c r="I138" s="5">
        <v>2225</v>
      </c>
      <c r="J138" s="4" t="s">
        <v>127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126</v>
      </c>
      <c r="E139" s="4" t="s">
        <v>71</v>
      </c>
      <c r="F139" s="4">
        <v>1000</v>
      </c>
      <c r="G139" s="5">
        <v>102.0612</v>
      </c>
      <c r="H139" s="5">
        <v>12.55</v>
      </c>
      <c r="I139" s="5">
        <v>2132</v>
      </c>
      <c r="J139" s="4" t="s">
        <v>127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126</v>
      </c>
      <c r="E140" s="4" t="s">
        <v>71</v>
      </c>
      <c r="F140" s="4">
        <v>919.73800000000006</v>
      </c>
      <c r="G140" s="5">
        <v>97.376000000000005</v>
      </c>
      <c r="H140" s="5">
        <v>16.8</v>
      </c>
      <c r="I140" s="5">
        <v>540</v>
      </c>
      <c r="J140" s="4" t="s">
        <v>127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126</v>
      </c>
      <c r="E141" s="4" t="s">
        <v>71</v>
      </c>
      <c r="F141" s="4">
        <v>725.52300000000002</v>
      </c>
      <c r="G141" s="5">
        <v>81.699200000000005</v>
      </c>
      <c r="H141" s="5">
        <v>16.580000000000002</v>
      </c>
      <c r="I141" s="5">
        <v>4082</v>
      </c>
      <c r="J141" s="4" t="s">
        <v>127</v>
      </c>
    </row>
    <row r="142" spans="1:10" x14ac:dyDescent="0.25">
      <c r="A142" s="4">
        <f t="shared" ca="1" si="4"/>
        <v>139</v>
      </c>
      <c r="B142" s="4" t="s">
        <v>399</v>
      </c>
      <c r="C142" s="4" t="s">
        <v>94</v>
      </c>
      <c r="D142" s="4" t="s">
        <v>126</v>
      </c>
      <c r="E142" s="4" t="s">
        <v>71</v>
      </c>
      <c r="F142" s="4">
        <v>989.529</v>
      </c>
      <c r="G142" s="5">
        <v>102.65780000000001</v>
      </c>
      <c r="H142" s="5">
        <v>17.580000000000002</v>
      </c>
      <c r="I142" s="5">
        <v>57</v>
      </c>
      <c r="J142" s="4" t="s">
        <v>127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126</v>
      </c>
      <c r="E143" s="4" t="s">
        <v>71</v>
      </c>
      <c r="F143" s="4">
        <v>837.18799999999999</v>
      </c>
      <c r="G143" s="5">
        <v>92.641000000000005</v>
      </c>
      <c r="H143" s="5">
        <v>16.66</v>
      </c>
      <c r="I143" s="5">
        <v>1532</v>
      </c>
      <c r="J143" s="4" t="s">
        <v>127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126</v>
      </c>
      <c r="E144" s="4" t="s">
        <v>71</v>
      </c>
      <c r="F144" s="4">
        <v>716.399</v>
      </c>
      <c r="G144" s="5">
        <v>74.364800000000002</v>
      </c>
      <c r="H144" s="5">
        <v>16.57</v>
      </c>
      <c r="I144" s="5">
        <v>3926</v>
      </c>
      <c r="J144" s="4" t="s">
        <v>127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126</v>
      </c>
      <c r="E145" s="4" t="s">
        <v>71</v>
      </c>
      <c r="F145" s="4">
        <v>718.86900000000003</v>
      </c>
      <c r="G145" s="5">
        <v>79.729900000000001</v>
      </c>
      <c r="H145" s="5">
        <v>16.59</v>
      </c>
      <c r="I145" s="5">
        <v>3006</v>
      </c>
      <c r="J145" s="4" t="s">
        <v>127</v>
      </c>
    </row>
    <row r="146" spans="1:10" x14ac:dyDescent="0.25">
      <c r="A146" s="4">
        <f t="shared" ca="1" si="4"/>
        <v>143</v>
      </c>
      <c r="B146" s="4" t="s">
        <v>406</v>
      </c>
      <c r="C146" s="4" t="s">
        <v>96</v>
      </c>
      <c r="D146" s="4" t="s">
        <v>126</v>
      </c>
      <c r="E146" s="4" t="s">
        <v>71</v>
      </c>
      <c r="F146" s="4">
        <v>881.82900000000006</v>
      </c>
      <c r="G146" s="5">
        <v>94.654000000000011</v>
      </c>
      <c r="H146" s="5">
        <v>16.72</v>
      </c>
      <c r="I146" s="5">
        <v>869</v>
      </c>
      <c r="J146" s="4" t="s">
        <v>127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126</v>
      </c>
      <c r="E147" s="4" t="s">
        <v>71</v>
      </c>
      <c r="F147" s="4">
        <v>961.69500000000005</v>
      </c>
      <c r="G147" s="5">
        <v>99.436199999999999</v>
      </c>
      <c r="H147" s="5">
        <v>16.53</v>
      </c>
      <c r="I147" s="5">
        <v>252</v>
      </c>
      <c r="J147" s="4" t="s">
        <v>127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126</v>
      </c>
      <c r="E148" s="4" t="s">
        <v>71</v>
      </c>
      <c r="F148" s="4">
        <v>708.87</v>
      </c>
      <c r="G148" s="5">
        <v>78.175899999999999</v>
      </c>
      <c r="H148" s="5">
        <v>16.57</v>
      </c>
      <c r="I148" s="5">
        <v>3392</v>
      </c>
      <c r="J148" s="4" t="s">
        <v>127</v>
      </c>
    </row>
    <row r="149" spans="1:10" x14ac:dyDescent="0.25">
      <c r="A149" s="4">
        <f t="shared" ca="1" si="4"/>
        <v>146</v>
      </c>
      <c r="B149" s="4" t="s">
        <v>411</v>
      </c>
      <c r="C149" s="4" t="s">
        <v>78</v>
      </c>
      <c r="D149" s="4" t="s">
        <v>126</v>
      </c>
      <c r="E149" s="4" t="s">
        <v>71</v>
      </c>
      <c r="F149" s="4">
        <v>786.84900000000005</v>
      </c>
      <c r="G149" s="5">
        <v>85.809100000000001</v>
      </c>
      <c r="H149" s="5">
        <v>16.600000000000001</v>
      </c>
      <c r="I149" s="5">
        <v>1938</v>
      </c>
      <c r="J149" s="4" t="s">
        <v>127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126</v>
      </c>
      <c r="E150" s="4" t="s">
        <v>71</v>
      </c>
      <c r="F150" s="4">
        <v>751.529</v>
      </c>
      <c r="G150" s="5">
        <v>77.914500000000004</v>
      </c>
      <c r="H150" s="5">
        <v>16.580000000000002</v>
      </c>
      <c r="I150" s="5">
        <v>2828</v>
      </c>
      <c r="J150" s="4" t="s">
        <v>127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126</v>
      </c>
      <c r="E151" s="4" t="s">
        <v>71</v>
      </c>
      <c r="F151" s="4">
        <v>980.77500000000009</v>
      </c>
      <c r="G151" s="5">
        <v>100.78030000000001</v>
      </c>
      <c r="H151" s="5">
        <v>16.46</v>
      </c>
      <c r="I151" s="5">
        <v>295</v>
      </c>
      <c r="J151" s="4" t="s">
        <v>127</v>
      </c>
    </row>
    <row r="152" spans="1:10" x14ac:dyDescent="0.25">
      <c r="A152" s="4">
        <f t="shared" ca="1" si="4"/>
        <v>149</v>
      </c>
      <c r="B152" s="4" t="s">
        <v>416</v>
      </c>
      <c r="C152" s="4" t="s">
        <v>73</v>
      </c>
      <c r="D152" s="4" t="s">
        <v>126</v>
      </c>
      <c r="E152" s="4" t="s">
        <v>71</v>
      </c>
      <c r="F152" s="4">
        <v>987.34500000000003</v>
      </c>
      <c r="G152" s="5">
        <v>99.075600000000009</v>
      </c>
      <c r="H152" s="5">
        <v>16.12</v>
      </c>
      <c r="I152" s="5">
        <v>723</v>
      </c>
      <c r="J152" s="4" t="s">
        <v>127</v>
      </c>
    </row>
    <row r="153" spans="1:10" x14ac:dyDescent="0.25">
      <c r="A153" s="4">
        <f t="shared" ca="1" si="4"/>
        <v>150</v>
      </c>
      <c r="B153" s="4" t="s">
        <v>417</v>
      </c>
      <c r="C153" s="4" t="s">
        <v>418</v>
      </c>
      <c r="D153" s="4" t="s">
        <v>126</v>
      </c>
      <c r="E153" s="4" t="s">
        <v>71</v>
      </c>
      <c r="F153" s="4">
        <v>898.83100000000002</v>
      </c>
      <c r="G153" s="5">
        <v>97.155300000000011</v>
      </c>
      <c r="H153" s="5">
        <v>16.59</v>
      </c>
      <c r="I153" s="5">
        <v>2367</v>
      </c>
      <c r="J153" s="4" t="s">
        <v>127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126</v>
      </c>
      <c r="E154" s="4" t="s">
        <v>71</v>
      </c>
      <c r="F154" s="4">
        <v>965.29600000000005</v>
      </c>
      <c r="G154" s="5">
        <v>107.70710000000001</v>
      </c>
      <c r="H154" s="5">
        <v>16.66</v>
      </c>
      <c r="I154" s="5">
        <v>1194</v>
      </c>
      <c r="J154" s="4" t="s">
        <v>127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126</v>
      </c>
      <c r="E155" s="4" t="s">
        <v>71</v>
      </c>
      <c r="F155" s="4">
        <v>1000</v>
      </c>
      <c r="G155" s="5">
        <v>103.7343</v>
      </c>
      <c r="H155" s="5">
        <v>17.330000000000002</v>
      </c>
      <c r="I155" s="5">
        <v>288</v>
      </c>
      <c r="J155" s="4" t="s">
        <v>127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126</v>
      </c>
      <c r="E156" s="4" t="s">
        <v>71</v>
      </c>
      <c r="F156" s="4">
        <v>908.33100000000002</v>
      </c>
      <c r="G156" s="5">
        <v>98.377499999999998</v>
      </c>
      <c r="H156" s="5">
        <v>16.600000000000001</v>
      </c>
      <c r="I156" s="5">
        <v>1994</v>
      </c>
      <c r="J156" s="4" t="s">
        <v>127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126</v>
      </c>
      <c r="E157" s="4" t="s">
        <v>71</v>
      </c>
      <c r="F157" s="4">
        <v>984.50100000000009</v>
      </c>
      <c r="G157" s="5">
        <v>104.2557</v>
      </c>
      <c r="H157" s="5">
        <v>16.600000000000001</v>
      </c>
      <c r="I157" s="5">
        <v>211</v>
      </c>
      <c r="J157" s="4" t="s">
        <v>127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126</v>
      </c>
      <c r="E158" s="4" t="s">
        <v>71</v>
      </c>
      <c r="F158" s="4">
        <v>908.82400000000007</v>
      </c>
      <c r="G158" s="5">
        <v>97.746200000000002</v>
      </c>
      <c r="H158" s="5">
        <v>16.59</v>
      </c>
      <c r="I158" s="5">
        <v>2749</v>
      </c>
      <c r="J158" s="4" t="s">
        <v>127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126</v>
      </c>
      <c r="E159" s="4" t="s">
        <v>71</v>
      </c>
      <c r="F159" s="4">
        <v>844.26800000000003</v>
      </c>
      <c r="G159" s="5">
        <v>93.560100000000006</v>
      </c>
      <c r="H159" s="5">
        <v>16.63</v>
      </c>
      <c r="I159" s="5">
        <v>1915</v>
      </c>
      <c r="J159" s="4" t="s">
        <v>127</v>
      </c>
    </row>
    <row r="160" spans="1:10" x14ac:dyDescent="0.25">
      <c r="A160" s="4">
        <f t="shared" ca="1" si="4"/>
        <v>157</v>
      </c>
      <c r="B160" s="4" t="s">
        <v>431</v>
      </c>
      <c r="C160" s="4" t="s">
        <v>108</v>
      </c>
      <c r="D160" s="4" t="s">
        <v>126</v>
      </c>
      <c r="E160" s="4" t="s">
        <v>71</v>
      </c>
      <c r="F160" s="4">
        <v>1025.94</v>
      </c>
      <c r="G160" s="5">
        <v>107.74430000000001</v>
      </c>
      <c r="H160" s="5">
        <v>16.02</v>
      </c>
      <c r="I160" s="5">
        <v>1351</v>
      </c>
      <c r="J160" s="4" t="s">
        <v>127</v>
      </c>
    </row>
    <row r="161" spans="1:10" x14ac:dyDescent="0.25">
      <c r="A161" s="4">
        <f t="shared" ca="1" si="4"/>
        <v>158</v>
      </c>
      <c r="B161" s="4" t="s">
        <v>432</v>
      </c>
      <c r="C161" s="4" t="s">
        <v>433</v>
      </c>
      <c r="D161" s="4" t="s">
        <v>126</v>
      </c>
      <c r="E161" s="4" t="s">
        <v>71</v>
      </c>
      <c r="F161" s="4">
        <v>907.5440000000001</v>
      </c>
      <c r="G161" s="5">
        <v>101.2266</v>
      </c>
      <c r="H161" s="5">
        <v>16.580000000000002</v>
      </c>
      <c r="I161" s="5">
        <v>3023</v>
      </c>
      <c r="J161" s="4" t="s">
        <v>127</v>
      </c>
    </row>
    <row r="162" spans="1:10" x14ac:dyDescent="0.25">
      <c r="A162" s="4">
        <f t="shared" ca="1" si="4"/>
        <v>159</v>
      </c>
      <c r="B162" s="4" t="s">
        <v>434</v>
      </c>
      <c r="C162" s="4" t="s">
        <v>435</v>
      </c>
      <c r="D162" s="4" t="s">
        <v>126</v>
      </c>
      <c r="E162" s="4" t="s">
        <v>71</v>
      </c>
      <c r="F162" s="4">
        <v>923.28399999999999</v>
      </c>
      <c r="G162" s="5">
        <v>102.8728</v>
      </c>
      <c r="H162" s="5">
        <v>16.600000000000001</v>
      </c>
      <c r="I162" s="5">
        <v>2293</v>
      </c>
      <c r="J162" s="4" t="s">
        <v>127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126</v>
      </c>
      <c r="E163" s="4" t="s">
        <v>71</v>
      </c>
      <c r="F163" s="4">
        <v>870.48400000000004</v>
      </c>
      <c r="G163" s="5">
        <v>94.255099999999999</v>
      </c>
      <c r="H163" s="5">
        <v>16.559999999999999</v>
      </c>
      <c r="I163" s="5">
        <v>4561</v>
      </c>
      <c r="J163" s="4" t="s">
        <v>127</v>
      </c>
    </row>
    <row r="164" spans="1:10" x14ac:dyDescent="0.25">
      <c r="A164" s="4">
        <f t="shared" ref="A164:A191" ca="1" si="5">IF(OFFSET(A164,-1,0)="№ п/п",1,OFFSET(A164,-1,0)+1)</f>
        <v>161</v>
      </c>
      <c r="B164" s="4" t="s">
        <v>438</v>
      </c>
      <c r="C164" s="4" t="s">
        <v>439</v>
      </c>
      <c r="D164" s="4" t="s">
        <v>126</v>
      </c>
      <c r="E164" s="4" t="s">
        <v>71</v>
      </c>
      <c r="F164" s="4">
        <v>1000</v>
      </c>
      <c r="G164" s="5">
        <v>109.87730000000001</v>
      </c>
      <c r="H164" s="5">
        <v>15</v>
      </c>
      <c r="I164" s="5">
        <v>1952</v>
      </c>
      <c r="J164" s="4" t="s">
        <v>127</v>
      </c>
    </row>
    <row r="165" spans="1:10" x14ac:dyDescent="0.25">
      <c r="A165" s="4">
        <f t="shared" ca="1" si="5"/>
        <v>162</v>
      </c>
      <c r="B165" s="4" t="s">
        <v>440</v>
      </c>
      <c r="C165" s="4" t="s">
        <v>88</v>
      </c>
      <c r="D165" s="4" t="s">
        <v>126</v>
      </c>
      <c r="E165" s="4" t="s">
        <v>71</v>
      </c>
      <c r="F165" s="4">
        <v>864.0440000000001</v>
      </c>
      <c r="G165" s="5">
        <v>95.037700000000001</v>
      </c>
      <c r="H165" s="5">
        <v>16.62</v>
      </c>
      <c r="I165" s="5">
        <v>1563</v>
      </c>
      <c r="J165" s="4" t="s">
        <v>127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126</v>
      </c>
      <c r="E166" s="4" t="s">
        <v>71</v>
      </c>
      <c r="F166" s="4">
        <v>92.745400000000004</v>
      </c>
      <c r="G166" s="5">
        <v>92.745400000000004</v>
      </c>
      <c r="H166" s="5">
        <v>16.79</v>
      </c>
      <c r="I166" s="5">
        <v>171</v>
      </c>
      <c r="J166" s="4" t="s">
        <v>127</v>
      </c>
    </row>
    <row r="167" spans="1:10" x14ac:dyDescent="0.25">
      <c r="A167" s="4">
        <f t="shared" ca="1" si="5"/>
        <v>164</v>
      </c>
      <c r="B167" s="4" t="s">
        <v>443</v>
      </c>
      <c r="C167" s="4" t="s">
        <v>115</v>
      </c>
      <c r="D167" s="4" t="s">
        <v>126</v>
      </c>
      <c r="E167" s="4" t="s">
        <v>71</v>
      </c>
      <c r="F167" s="4">
        <v>96.755300000000005</v>
      </c>
      <c r="G167" s="5">
        <v>96.755300000000005</v>
      </c>
      <c r="H167" s="5">
        <v>17</v>
      </c>
      <c r="I167" s="5">
        <v>73</v>
      </c>
      <c r="J167" s="4" t="s">
        <v>127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126</v>
      </c>
      <c r="E168" s="4" t="s">
        <v>71</v>
      </c>
      <c r="F168" s="4">
        <v>879.80900000000008</v>
      </c>
      <c r="G168" s="5">
        <v>98.986500000000007</v>
      </c>
      <c r="H168" s="5">
        <v>16.59</v>
      </c>
      <c r="I168" s="5">
        <v>3367</v>
      </c>
      <c r="J168" s="4" t="s">
        <v>127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126</v>
      </c>
      <c r="E169" s="4" t="s">
        <v>71</v>
      </c>
      <c r="F169" s="4">
        <v>0.9867499999999999</v>
      </c>
      <c r="G169" s="5">
        <v>99.290400000000005</v>
      </c>
      <c r="H169" s="5">
        <v>4.8899999999999997</v>
      </c>
      <c r="I169" s="5">
        <v>3422</v>
      </c>
      <c r="J169" s="4" t="s">
        <v>127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126</v>
      </c>
      <c r="E170" s="4" t="s">
        <v>71</v>
      </c>
      <c r="F170" s="4">
        <v>1031.114</v>
      </c>
      <c r="G170" s="5">
        <v>105.32430000000001</v>
      </c>
      <c r="H170" s="5">
        <v>15.99</v>
      </c>
      <c r="I170" s="5">
        <v>1779</v>
      </c>
      <c r="J170" s="4" t="s">
        <v>127</v>
      </c>
    </row>
    <row r="171" spans="1:10" x14ac:dyDescent="0.25">
      <c r="A171" s="4">
        <f t="shared" ca="1" si="5"/>
        <v>168</v>
      </c>
      <c r="B171" s="4" t="s">
        <v>450</v>
      </c>
      <c r="C171" s="4" t="s">
        <v>451</v>
      </c>
      <c r="D171" s="4" t="s">
        <v>121</v>
      </c>
      <c r="E171" s="4" t="s">
        <v>452</v>
      </c>
      <c r="F171" s="4">
        <v>314.32</v>
      </c>
      <c r="G171" s="5"/>
      <c r="H171" s="5"/>
      <c r="I171" s="5"/>
      <c r="J171" s="4" t="s">
        <v>123</v>
      </c>
    </row>
    <row r="172" spans="1:10" x14ac:dyDescent="0.25">
      <c r="A172" s="4">
        <f t="shared" ca="1" si="5"/>
        <v>169</v>
      </c>
      <c r="B172" s="4" t="s">
        <v>453</v>
      </c>
      <c r="C172" s="4" t="s">
        <v>454</v>
      </c>
      <c r="D172" s="4" t="s">
        <v>121</v>
      </c>
      <c r="E172" s="4" t="s">
        <v>452</v>
      </c>
      <c r="F172" s="4">
        <v>24.36</v>
      </c>
      <c r="G172" s="5"/>
      <c r="H172" s="5"/>
      <c r="I172" s="5"/>
      <c r="J172" s="4" t="s">
        <v>150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121</v>
      </c>
      <c r="E173" s="4" t="s">
        <v>457</v>
      </c>
      <c r="F173" s="4">
        <v>833.04</v>
      </c>
      <c r="G173" s="5"/>
      <c r="H173" s="5"/>
      <c r="I173" s="5"/>
      <c r="J173" s="4" t="s">
        <v>123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126</v>
      </c>
      <c r="E174" s="4" t="s">
        <v>460</v>
      </c>
      <c r="F174" s="4">
        <v>0.87180099999999994</v>
      </c>
      <c r="G174" s="5">
        <v>87.344000000000008</v>
      </c>
      <c r="H174" s="5">
        <v>5.72</v>
      </c>
      <c r="I174" s="5">
        <v>1988</v>
      </c>
      <c r="J174" s="4" t="s">
        <v>127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126</v>
      </c>
      <c r="E175" s="4" t="s">
        <v>460</v>
      </c>
      <c r="F175" s="4">
        <v>1001.7660000000001</v>
      </c>
      <c r="G175" s="5">
        <v>100.65780000000001</v>
      </c>
      <c r="H175" s="5">
        <v>5.2</v>
      </c>
      <c r="I175" s="5">
        <v>1428</v>
      </c>
      <c r="J175" s="4" t="s">
        <v>127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126</v>
      </c>
      <c r="E176" s="4" t="s">
        <v>460</v>
      </c>
      <c r="F176" s="4">
        <v>0.98843700000000001</v>
      </c>
      <c r="G176" s="5">
        <v>99.354800000000012</v>
      </c>
      <c r="H176" s="5">
        <v>4.8600000000000003</v>
      </c>
      <c r="I176" s="5">
        <v>1893</v>
      </c>
      <c r="J176" s="4" t="s">
        <v>127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126</v>
      </c>
      <c r="E177" s="4" t="s">
        <v>460</v>
      </c>
      <c r="F177" s="4">
        <v>1.035239</v>
      </c>
      <c r="G177" s="5">
        <v>104.2895</v>
      </c>
      <c r="H177" s="5">
        <v>4.72</v>
      </c>
      <c r="I177" s="5">
        <v>1594</v>
      </c>
      <c r="J177" s="4" t="s">
        <v>127</v>
      </c>
    </row>
    <row r="178" spans="1:10" x14ac:dyDescent="0.25">
      <c r="A178" s="4">
        <f t="shared" ca="1" si="5"/>
        <v>175</v>
      </c>
      <c r="B178" s="4" t="s">
        <v>467</v>
      </c>
      <c r="C178" s="4" t="s">
        <v>468</v>
      </c>
      <c r="D178" s="4" t="s">
        <v>126</v>
      </c>
      <c r="E178" s="4" t="s">
        <v>460</v>
      </c>
      <c r="F178" s="4">
        <v>1.0073729999999999</v>
      </c>
      <c r="G178" s="5">
        <v>101.5266</v>
      </c>
      <c r="H178" s="5">
        <v>3.07</v>
      </c>
      <c r="I178" s="5">
        <v>1011</v>
      </c>
      <c r="J178" s="4" t="s">
        <v>127</v>
      </c>
    </row>
    <row r="179" spans="1:10" x14ac:dyDescent="0.25">
      <c r="A179" s="4">
        <f t="shared" ca="1" si="5"/>
        <v>176</v>
      </c>
      <c r="B179" s="4" t="s">
        <v>469</v>
      </c>
      <c r="C179" s="4" t="s">
        <v>470</v>
      </c>
      <c r="D179" s="4" t="s">
        <v>126</v>
      </c>
      <c r="E179" s="4" t="s">
        <v>75</v>
      </c>
      <c r="F179" s="4">
        <v>1036.6030000000001</v>
      </c>
      <c r="G179" s="5">
        <v>110.48490000000001</v>
      </c>
      <c r="H179" s="5">
        <v>17.990000000000002</v>
      </c>
      <c r="I179" s="5">
        <v>1517</v>
      </c>
      <c r="J179" s="4" t="s">
        <v>127</v>
      </c>
    </row>
    <row r="180" spans="1:10" x14ac:dyDescent="0.25">
      <c r="A180" s="4">
        <f t="shared" ca="1" si="5"/>
        <v>177</v>
      </c>
      <c r="B180" s="4" t="s">
        <v>471</v>
      </c>
      <c r="C180" s="4" t="s">
        <v>472</v>
      </c>
      <c r="D180" s="4" t="s">
        <v>121</v>
      </c>
      <c r="E180" s="4" t="s">
        <v>473</v>
      </c>
      <c r="F180" s="4">
        <v>27919.81</v>
      </c>
      <c r="G180" s="5"/>
      <c r="H180" s="5"/>
      <c r="I180" s="5"/>
      <c r="J180" s="4" t="s">
        <v>123</v>
      </c>
    </row>
    <row r="181" spans="1:10" x14ac:dyDescent="0.25">
      <c r="A181" s="4">
        <f t="shared" ca="1" si="5"/>
        <v>178</v>
      </c>
      <c r="B181" s="4" t="s">
        <v>474</v>
      </c>
      <c r="C181" s="4" t="s">
        <v>475</v>
      </c>
      <c r="D181" s="4" t="s">
        <v>121</v>
      </c>
      <c r="E181" s="4" t="s">
        <v>476</v>
      </c>
      <c r="F181" s="4">
        <v>38195.81</v>
      </c>
      <c r="G181" s="5"/>
      <c r="H181" s="5"/>
      <c r="I181" s="5"/>
      <c r="J181" s="4" t="s">
        <v>123</v>
      </c>
    </row>
    <row r="182" spans="1:10" x14ac:dyDescent="0.25">
      <c r="A182" s="4">
        <f t="shared" ca="1" si="5"/>
        <v>179</v>
      </c>
      <c r="B182" s="4" t="s">
        <v>477</v>
      </c>
      <c r="C182" s="4" t="s">
        <v>478</v>
      </c>
      <c r="D182" s="4" t="s">
        <v>126</v>
      </c>
      <c r="E182" s="4" t="s">
        <v>479</v>
      </c>
      <c r="F182" s="4">
        <v>999.827</v>
      </c>
      <c r="G182" s="5">
        <v>102.56880000000001</v>
      </c>
      <c r="H182" s="5">
        <v>18.98</v>
      </c>
      <c r="I182" s="5">
        <v>1777</v>
      </c>
      <c r="J182" s="4" t="s">
        <v>127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126</v>
      </c>
      <c r="E183" s="4" t="s">
        <v>479</v>
      </c>
      <c r="F183" s="4">
        <v>999.66200000000003</v>
      </c>
      <c r="G183" s="5">
        <v>102.5523</v>
      </c>
      <c r="H183" s="5">
        <v>18.98</v>
      </c>
      <c r="I183" s="5">
        <v>1777</v>
      </c>
      <c r="J183" s="4" t="s">
        <v>127</v>
      </c>
    </row>
    <row r="184" spans="1:10" x14ac:dyDescent="0.25">
      <c r="A184" s="4">
        <f t="shared" ca="1" si="5"/>
        <v>181</v>
      </c>
      <c r="B184" s="4" t="s">
        <v>482</v>
      </c>
      <c r="C184" s="4" t="s">
        <v>483</v>
      </c>
      <c r="D184" s="4" t="s">
        <v>126</v>
      </c>
      <c r="E184" s="4" t="s">
        <v>484</v>
      </c>
      <c r="F184" s="4">
        <v>99.965299999999999</v>
      </c>
      <c r="G184" s="5">
        <v>102.10420000000001</v>
      </c>
      <c r="H184" s="5">
        <v>11</v>
      </c>
      <c r="I184" s="5">
        <v>295</v>
      </c>
      <c r="J184" s="4" t="s">
        <v>127</v>
      </c>
    </row>
    <row r="185" spans="1:10" x14ac:dyDescent="0.25">
      <c r="A185" s="4">
        <f t="shared" ca="1" si="5"/>
        <v>182</v>
      </c>
      <c r="B185" s="4" t="s">
        <v>485</v>
      </c>
      <c r="C185" s="4" t="s">
        <v>486</v>
      </c>
      <c r="D185" s="4" t="s">
        <v>121</v>
      </c>
      <c r="E185" s="4" t="s">
        <v>487</v>
      </c>
      <c r="F185" s="4">
        <v>6.79</v>
      </c>
      <c r="G185" s="5"/>
      <c r="H185" s="5"/>
      <c r="I185" s="5"/>
      <c r="J185" s="4" t="s">
        <v>150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121</v>
      </c>
      <c r="E186" s="4" t="s">
        <v>487</v>
      </c>
      <c r="F186" s="4">
        <v>874.92</v>
      </c>
      <c r="G186" s="5"/>
      <c r="H186" s="5"/>
      <c r="I186" s="5"/>
      <c r="J186" s="4" t="s">
        <v>123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126</v>
      </c>
      <c r="E187" s="4" t="s">
        <v>66</v>
      </c>
      <c r="F187" s="4">
        <v>1.0000899999999999</v>
      </c>
      <c r="G187" s="5">
        <v>101.05770000000001</v>
      </c>
      <c r="H187" s="5">
        <v>5.66</v>
      </c>
      <c r="I187" s="5">
        <v>115</v>
      </c>
      <c r="J187" s="4" t="s">
        <v>127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126</v>
      </c>
      <c r="E188" s="4" t="s">
        <v>66</v>
      </c>
      <c r="F188" s="4">
        <v>1000</v>
      </c>
      <c r="G188" s="5">
        <v>103.1233</v>
      </c>
      <c r="H188" s="5">
        <v>18.95</v>
      </c>
      <c r="I188" s="5">
        <v>853</v>
      </c>
      <c r="J188" s="4" t="s">
        <v>127</v>
      </c>
    </row>
    <row r="189" spans="1:10" x14ac:dyDescent="0.25">
      <c r="A189" s="4">
        <f t="shared" ca="1" si="5"/>
        <v>186</v>
      </c>
      <c r="B189" s="4" t="s">
        <v>494</v>
      </c>
      <c r="C189" s="4" t="s">
        <v>101</v>
      </c>
      <c r="D189" s="4" t="s">
        <v>126</v>
      </c>
      <c r="E189" s="4" t="s">
        <v>66</v>
      </c>
      <c r="F189" s="4">
        <v>951.82648854516503</v>
      </c>
      <c r="G189" s="5">
        <v>98.47954885</v>
      </c>
      <c r="H189" s="5">
        <v>17.559999999999999</v>
      </c>
      <c r="I189" s="5">
        <v>647</v>
      </c>
      <c r="J189" s="4" t="s">
        <v>127</v>
      </c>
    </row>
    <row r="190" spans="1:10" x14ac:dyDescent="0.25">
      <c r="A190" s="4">
        <f t="shared" ca="1" si="5"/>
        <v>187</v>
      </c>
      <c r="B190" s="4" t="s">
        <v>495</v>
      </c>
      <c r="C190" s="4" t="s">
        <v>496</v>
      </c>
      <c r="D190" s="4" t="s">
        <v>126</v>
      </c>
      <c r="E190" s="4" t="s">
        <v>66</v>
      </c>
      <c r="F190" s="4">
        <v>1000</v>
      </c>
      <c r="G190" s="5">
        <v>104.84110000000001</v>
      </c>
      <c r="H190" s="5">
        <v>18.940000000000001</v>
      </c>
      <c r="I190" s="5">
        <v>822</v>
      </c>
      <c r="J190" s="4" t="s">
        <v>127</v>
      </c>
    </row>
    <row r="191" spans="1:10" x14ac:dyDescent="0.25">
      <c r="A191" s="4">
        <f t="shared" ca="1" si="5"/>
        <v>188</v>
      </c>
      <c r="B191" s="4" t="s">
        <v>497</v>
      </c>
      <c r="C191" s="4" t="s">
        <v>498</v>
      </c>
      <c r="D191" s="4" t="s">
        <v>126</v>
      </c>
      <c r="E191" s="4" t="s">
        <v>499</v>
      </c>
      <c r="F191" s="4">
        <v>1.0109839999999999</v>
      </c>
      <c r="G191" s="5">
        <v>101.80880000000001</v>
      </c>
      <c r="H191" s="5">
        <v>4.4000000000000004</v>
      </c>
      <c r="I191" s="5">
        <v>1771</v>
      </c>
      <c r="J191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2025-11-27T04:47:01Z</dcterms:created>
  <dcterms:modified xsi:type="dcterms:W3CDTF">2025-11-27T10:28:48Z</dcterms:modified>
</cp:coreProperties>
</file>