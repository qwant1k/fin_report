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B5D75880-BF33-41FD-91BE-C24E3D6973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ДУ!$25:$27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ДУ!$26:$26</definedName>
    <definedName name="__mdDATARepo__">ДУ!$31:$31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O38" i="1"/>
  <c r="O22" i="1"/>
  <c r="D26" i="1"/>
  <c r="B45" i="1"/>
  <c r="B1" i="2" l="1"/>
  <c r="C70" i="1"/>
  <c r="G54" i="1"/>
  <c r="F54" i="1"/>
  <c r="E54" i="1"/>
  <c r="G43" i="1"/>
  <c r="F43" i="1"/>
  <c r="E43" i="1"/>
  <c r="M38" i="1"/>
  <c r="M36" i="1"/>
  <c r="H36" i="1"/>
  <c r="M35" i="1"/>
  <c r="H35" i="1"/>
  <c r="M34" i="1"/>
  <c r="H34" i="1"/>
  <c r="M33" i="1"/>
  <c r="H33" i="1"/>
  <c r="M32" i="1"/>
  <c r="H32" i="1"/>
  <c r="M31" i="1"/>
  <c r="H31" i="1"/>
  <c r="B25" i="1"/>
  <c r="L22" i="1"/>
  <c r="K22" i="1"/>
  <c r="H22" i="1"/>
  <c r="D22" i="1"/>
  <c r="Q1" i="1"/>
  <c r="M18" i="1" s="1"/>
  <c r="M8" i="1" l="1"/>
  <c r="M12" i="1"/>
  <c r="M16" i="1"/>
  <c r="M20" i="1"/>
  <c r="M11" i="1"/>
  <c r="M19" i="1"/>
  <c r="M9" i="1"/>
  <c r="M13" i="1"/>
  <c r="M17" i="1"/>
  <c r="M15" i="1"/>
  <c r="M10" i="1"/>
  <c r="M14" i="1"/>
  <c r="M22" i="1" l="1"/>
</calcChain>
</file>

<file path=xl/sharedStrings.xml><?xml version="1.0" encoding="utf-8"?>
<sst xmlns="http://schemas.openxmlformats.org/spreadsheetml/2006/main" count="169" uniqueCount="107">
  <si>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</si>
  <si>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</si>
  <si>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</si>
  <si>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</si>
  <si>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</si>
  <si>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</si>
  <si>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</si>
  <si>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</si>
  <si>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</si>
  <si>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</si>
  <si>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</si>
  <si>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</si>
  <si>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</si>
  <si>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</si>
  <si>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</si>
  <si>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</si>
  <si>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</si>
  <si>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</si>
  <si>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</si>
  <si>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</si>
  <si>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</si>
  <si>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</si>
  <si>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</si>
  <si>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</si>
  <si>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</si>
  <si>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</si>
  <si>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</si>
  <si>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</si>
  <si>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</si>
  <si>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</si>
  <si>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</si>
  <si>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</si>
  <si>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</si>
  <si>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</si>
  <si>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</si>
  <si>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</si>
  <si>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</si>
  <si>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</si>
  <si>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</si>
  <si>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</si>
  <si>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</si>
  <si>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</si>
  <si>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</si>
  <si>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</si>
  <si>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</si>
  <si>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</si>
  <si>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</si>
  <si>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</si>
  <si>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</si>
  <si>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</si>
  <si>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</si>
  <si>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</si>
  <si>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</si>
  <si>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</si>
  <si>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</si>
  <si>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</si>
  <si>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</si>
  <si>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</si>
  <si>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</si>
  <si>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</si>
  <si>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</si>
  <si>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</si>
  <si>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</si>
  <si>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</si>
  <si>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</si>
  <si>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</si>
  <si>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</si>
  <si>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XS1120709826</t>
  </si>
  <si>
    <t>KZT</t>
  </si>
  <si>
    <t>04.07.2025</t>
  </si>
  <si>
    <t>08.07.2025</t>
  </si>
  <si>
    <t>XS2914770545</t>
  </si>
  <si>
    <t>KZKD00001079</t>
  </si>
  <si>
    <t>XS1263054519</t>
  </si>
  <si>
    <t>XS1901718335</t>
  </si>
  <si>
    <t>KZ96601A861038102391</t>
  </si>
  <si>
    <t>KZKD00001137</t>
  </si>
  <si>
    <t>18.07.2024</t>
  </si>
  <si>
    <t>12.04.2028</t>
  </si>
  <si>
    <t>KZKD00000535</t>
  </si>
  <si>
    <t>27.03.2027</t>
  </si>
  <si>
    <t>KZKD00001152</t>
  </si>
  <si>
    <t>26.07.2032</t>
  </si>
  <si>
    <t>KZK200000687</t>
  </si>
  <si>
    <t>21.01.2026</t>
  </si>
  <si>
    <t>KZKD00001087</t>
  </si>
  <si>
    <t>31.03.2029</t>
  </si>
  <si>
    <t>KZKD00001129</t>
  </si>
  <si>
    <t>17.03.2031</t>
  </si>
  <si>
    <t>KZKD00000949</t>
  </si>
  <si>
    <t>16.04.2032</t>
  </si>
  <si>
    <t>KZKD00000741</t>
  </si>
  <si>
    <t>12.05.2034</t>
  </si>
  <si>
    <t>KZKD00000832</t>
  </si>
  <si>
    <t>29.01.2035</t>
  </si>
  <si>
    <t>KZK100000373</t>
  </si>
  <si>
    <t>13.03.2025</t>
  </si>
  <si>
    <t>06.02.2026</t>
  </si>
  <si>
    <t>Евразийский банк развития</t>
  </si>
  <si>
    <t>KZ2D00011863</t>
  </si>
  <si>
    <t>24.09.2024</t>
  </si>
  <si>
    <t>03.09.2027</t>
  </si>
  <si>
    <t>KZKD00001160</t>
  </si>
  <si>
    <t>28.07.2029</t>
  </si>
  <si>
    <t>KZKD00001251</t>
  </si>
  <si>
    <t>07.03.2030</t>
  </si>
  <si>
    <t>06.07.2025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</si>
</sst>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3" fillId="0" borderId="0" xfId="2" applyFont="1"/>
    <xf numFmtId="171" fontId="5" fillId="0" borderId="0" xfId="0" applyNumberFormat="1" applyFont="1"/>
    <xf numFmtId="43" fontId="14" fillId="0" borderId="0" xfId="2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1" workbookViewId="0">
      <selection activeCell="D45" sqref="D45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L22</f>
        <v>20398285368.759384</v>
      </c>
    </row>
    <row r="2" spans="1:17" x14ac:dyDescent="0.2">
      <c r="A2" s="6" t="s">
        <v>64</v>
      </c>
      <c r="B2" s="6" t="s">
        <v>106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76</v>
      </c>
      <c r="C8" s="14">
        <v>1897500</v>
      </c>
      <c r="D8" s="15">
        <v>1897500000</v>
      </c>
      <c r="E8" s="16">
        <v>10.4</v>
      </c>
      <c r="F8" s="17" t="s">
        <v>77</v>
      </c>
      <c r="G8" s="17" t="s">
        <v>78</v>
      </c>
      <c r="H8" s="16">
        <v>1736743800</v>
      </c>
      <c r="I8" s="18"/>
      <c r="J8" s="18"/>
      <c r="K8" s="16">
        <v>46046000</v>
      </c>
      <c r="L8" s="16">
        <v>1684590380</v>
      </c>
      <c r="M8" s="19">
        <f t="shared" ref="M8:M20" si="0">L8/$Q$1</f>
        <v>8.2584901110365053E-2</v>
      </c>
      <c r="O8" s="8">
        <v>749863.88888888899</v>
      </c>
    </row>
    <row r="9" spans="1:17" x14ac:dyDescent="0.2">
      <c r="A9" s="13" t="s">
        <v>66</v>
      </c>
      <c r="B9" s="13" t="s">
        <v>79</v>
      </c>
      <c r="C9" s="14">
        <v>3162500</v>
      </c>
      <c r="D9" s="15">
        <v>3162500000</v>
      </c>
      <c r="E9" s="16">
        <v>5.49</v>
      </c>
      <c r="F9" s="17" t="s">
        <v>77</v>
      </c>
      <c r="G9" s="17" t="s">
        <v>80</v>
      </c>
      <c r="H9" s="16">
        <v>2627740225</v>
      </c>
      <c r="I9" s="18"/>
      <c r="J9" s="18"/>
      <c r="K9" s="16">
        <v>47745843.75</v>
      </c>
      <c r="L9" s="16">
        <v>2681441056.25</v>
      </c>
      <c r="M9" s="19">
        <f t="shared" si="0"/>
        <v>0.13145423783298529</v>
      </c>
      <c r="O9" s="8">
        <v>749863.88888888899</v>
      </c>
    </row>
    <row r="10" spans="1:17" x14ac:dyDescent="0.2">
      <c r="A10" s="13" t="s">
        <v>66</v>
      </c>
      <c r="B10" s="13" t="s">
        <v>81</v>
      </c>
      <c r="C10" s="14">
        <v>1897500</v>
      </c>
      <c r="D10" s="15">
        <v>1897500000</v>
      </c>
      <c r="E10" s="16">
        <v>10.65</v>
      </c>
      <c r="F10" s="17" t="s">
        <v>77</v>
      </c>
      <c r="G10" s="17" t="s">
        <v>82</v>
      </c>
      <c r="H10" s="16">
        <v>1648500562.5</v>
      </c>
      <c r="I10" s="18"/>
      <c r="J10" s="18"/>
      <c r="K10" s="16">
        <v>190856875</v>
      </c>
      <c r="L10" s="16">
        <v>1731401072.5</v>
      </c>
      <c r="M10" s="19">
        <f t="shared" si="0"/>
        <v>8.4879735781699342E-2</v>
      </c>
      <c r="O10" s="8">
        <v>749863.88888888899</v>
      </c>
    </row>
    <row r="11" spans="1:17" x14ac:dyDescent="0.2">
      <c r="A11" s="13" t="s">
        <v>66</v>
      </c>
      <c r="B11" s="13" t="s">
        <v>83</v>
      </c>
      <c r="C11" s="14">
        <v>2530000</v>
      </c>
      <c r="D11" s="15">
        <v>2530000000</v>
      </c>
      <c r="E11" s="16">
        <v>10.67</v>
      </c>
      <c r="F11" s="17" t="s">
        <v>77</v>
      </c>
      <c r="G11" s="17" t="s">
        <v>84</v>
      </c>
      <c r="H11" s="16">
        <v>2455119589.9966769</v>
      </c>
      <c r="I11" s="18"/>
      <c r="J11" s="18"/>
      <c r="K11" s="16">
        <v>123727541.666667</v>
      </c>
      <c r="L11" s="16">
        <v>2579135551.666666</v>
      </c>
      <c r="M11" s="19">
        <f t="shared" si="0"/>
        <v>0.12643884057121257</v>
      </c>
      <c r="O11" s="8">
        <v>749863.88888888899</v>
      </c>
    </row>
    <row r="12" spans="1:17" x14ac:dyDescent="0.2">
      <c r="A12" s="13" t="s">
        <v>66</v>
      </c>
      <c r="B12" s="13" t="s">
        <v>85</v>
      </c>
      <c r="C12" s="14">
        <v>1897500</v>
      </c>
      <c r="D12" s="15">
        <v>1897500000</v>
      </c>
      <c r="E12" s="16">
        <v>11</v>
      </c>
      <c r="F12" s="17" t="s">
        <v>77</v>
      </c>
      <c r="G12" s="17" t="s">
        <v>86</v>
      </c>
      <c r="H12" s="16">
        <v>1743261712.5</v>
      </c>
      <c r="I12" s="18"/>
      <c r="J12" s="18"/>
      <c r="K12" s="16">
        <v>55660000</v>
      </c>
      <c r="L12" s="16">
        <v>1682373467.5</v>
      </c>
      <c r="M12" s="19">
        <f t="shared" si="0"/>
        <v>8.2476219794268002E-2</v>
      </c>
      <c r="O12" s="8">
        <v>749863.88888888899</v>
      </c>
    </row>
    <row r="13" spans="1:17" x14ac:dyDescent="0.2">
      <c r="A13" s="13" t="s">
        <v>66</v>
      </c>
      <c r="B13" s="13" t="s">
        <v>87</v>
      </c>
      <c r="C13" s="14">
        <v>1897500</v>
      </c>
      <c r="D13" s="15">
        <v>1897500000</v>
      </c>
      <c r="E13" s="16">
        <v>10.3</v>
      </c>
      <c r="F13" s="17" t="s">
        <v>77</v>
      </c>
      <c r="G13" s="17" t="s">
        <v>88</v>
      </c>
      <c r="H13" s="16">
        <v>1645329839.996666</v>
      </c>
      <c r="I13" s="18"/>
      <c r="J13" s="18"/>
      <c r="K13" s="16">
        <v>59175645.833333328</v>
      </c>
      <c r="L13" s="16">
        <v>1597203758.333333</v>
      </c>
      <c r="M13" s="19">
        <f t="shared" si="0"/>
        <v>7.8300883111455083E-2</v>
      </c>
      <c r="O13" s="8">
        <v>749863.88888888899</v>
      </c>
    </row>
    <row r="14" spans="1:17" x14ac:dyDescent="0.2">
      <c r="A14" s="13" t="s">
        <v>66</v>
      </c>
      <c r="B14" s="13" t="s">
        <v>89</v>
      </c>
      <c r="C14" s="14">
        <v>1897500</v>
      </c>
      <c r="D14" s="15">
        <v>1897500000</v>
      </c>
      <c r="E14" s="16">
        <v>8.4499999999999993</v>
      </c>
      <c r="F14" s="17" t="s">
        <v>77</v>
      </c>
      <c r="G14" s="17" t="s">
        <v>90</v>
      </c>
      <c r="H14" s="16">
        <v>1457889097.496666</v>
      </c>
      <c r="I14" s="18"/>
      <c r="J14" s="18"/>
      <c r="K14" s="16">
        <v>35630833.333333328</v>
      </c>
      <c r="L14" s="16">
        <v>1412925515.833333</v>
      </c>
      <c r="M14" s="19">
        <f t="shared" si="0"/>
        <v>6.9266876616858833E-2</v>
      </c>
      <c r="O14" s="8">
        <v>749863.88888888899</v>
      </c>
    </row>
    <row r="15" spans="1:17" x14ac:dyDescent="0.2">
      <c r="A15" s="13" t="s">
        <v>66</v>
      </c>
      <c r="B15" s="13" t="s">
        <v>91</v>
      </c>
      <c r="C15" s="14">
        <v>1897500</v>
      </c>
      <c r="D15" s="15">
        <v>1897500000</v>
      </c>
      <c r="E15" s="16">
        <v>8.07</v>
      </c>
      <c r="F15" s="17" t="s">
        <v>77</v>
      </c>
      <c r="G15" s="17" t="s">
        <v>92</v>
      </c>
      <c r="H15" s="16">
        <v>1359122325</v>
      </c>
      <c r="I15" s="18"/>
      <c r="J15" s="18"/>
      <c r="K15" s="16">
        <v>22969237.5</v>
      </c>
      <c r="L15" s="16">
        <v>1311020700</v>
      </c>
      <c r="M15" s="19">
        <f t="shared" si="0"/>
        <v>6.4271122611504861E-2</v>
      </c>
      <c r="O15" s="8">
        <v>749863.88888888899</v>
      </c>
    </row>
    <row r="16" spans="1:17" x14ac:dyDescent="0.2">
      <c r="A16" s="13" t="s">
        <v>66</v>
      </c>
      <c r="B16" s="13" t="s">
        <v>93</v>
      </c>
      <c r="C16" s="14">
        <v>1897500</v>
      </c>
      <c r="D16" s="15">
        <v>1897500000</v>
      </c>
      <c r="E16" s="16">
        <v>8.07</v>
      </c>
      <c r="F16" s="17" t="s">
        <v>77</v>
      </c>
      <c r="G16" s="17" t="s">
        <v>94</v>
      </c>
      <c r="H16" s="16">
        <v>1338524962.5</v>
      </c>
      <c r="I16" s="18"/>
      <c r="J16" s="18"/>
      <c r="K16" s="16">
        <v>66780931.25</v>
      </c>
      <c r="L16" s="16">
        <v>1335117368.75</v>
      </c>
      <c r="M16" s="19">
        <f t="shared" si="0"/>
        <v>6.5452431153589716E-2</v>
      </c>
      <c r="O16" s="8">
        <v>749863.88888888899</v>
      </c>
    </row>
    <row r="17" spans="1:17" x14ac:dyDescent="0.2">
      <c r="A17" s="13" t="s">
        <v>66</v>
      </c>
      <c r="B17" s="13" t="s">
        <v>95</v>
      </c>
      <c r="C17" s="14">
        <v>11424000</v>
      </c>
      <c r="D17" s="15">
        <v>1142400000</v>
      </c>
      <c r="E17" s="16">
        <v>0</v>
      </c>
      <c r="F17" s="17" t="s">
        <v>96</v>
      </c>
      <c r="G17" s="17" t="s">
        <v>97</v>
      </c>
      <c r="H17" s="16">
        <v>1003902278.4</v>
      </c>
      <c r="I17" s="18"/>
      <c r="J17" s="18"/>
      <c r="K17" s="16"/>
      <c r="L17" s="16">
        <v>1039924435.2</v>
      </c>
      <c r="M17" s="19">
        <f t="shared" si="0"/>
        <v>5.0980972978869929E-2</v>
      </c>
      <c r="O17" s="8">
        <v>749863.88888888899</v>
      </c>
    </row>
    <row r="18" spans="1:17" x14ac:dyDescent="0.2">
      <c r="A18" s="13" t="s">
        <v>98</v>
      </c>
      <c r="B18" s="13" t="s">
        <v>99</v>
      </c>
      <c r="C18" s="14">
        <v>992234</v>
      </c>
      <c r="D18" s="15">
        <v>992234000</v>
      </c>
      <c r="E18" s="16">
        <v>14.3</v>
      </c>
      <c r="F18" s="17" t="s">
        <v>100</v>
      </c>
      <c r="G18" s="17" t="s">
        <v>101</v>
      </c>
      <c r="H18" s="16">
        <v>991722999.49000001</v>
      </c>
      <c r="I18" s="18"/>
      <c r="J18" s="18"/>
      <c r="K18" s="16">
        <v>119423630.51333299</v>
      </c>
      <c r="L18" s="16">
        <v>1055090710.226051</v>
      </c>
      <c r="M18" s="19">
        <f t="shared" si="0"/>
        <v>5.1724480325290263E-2</v>
      </c>
      <c r="O18" s="8">
        <v>749863.88888888899</v>
      </c>
    </row>
    <row r="19" spans="1:17" x14ac:dyDescent="0.2">
      <c r="A19" s="13" t="s">
        <v>66</v>
      </c>
      <c r="B19" s="13" t="s">
        <v>102</v>
      </c>
      <c r="C19" s="14">
        <v>1897500</v>
      </c>
      <c r="D19" s="15">
        <v>1897500000</v>
      </c>
      <c r="E19" s="16">
        <v>10.55</v>
      </c>
      <c r="F19" s="17" t="s">
        <v>77</v>
      </c>
      <c r="G19" s="17" t="s">
        <v>103</v>
      </c>
      <c r="H19" s="16">
        <v>1708326839.9966669</v>
      </c>
      <c r="I19" s="18"/>
      <c r="J19" s="18"/>
      <c r="K19" s="16">
        <v>187952645.83333299</v>
      </c>
      <c r="L19" s="16">
        <v>1784478785.833333</v>
      </c>
      <c r="M19" s="19">
        <f t="shared" si="0"/>
        <v>8.7481803179708356E-2</v>
      </c>
      <c r="O19" s="8">
        <v>749863.88888888899</v>
      </c>
    </row>
    <row r="20" spans="1:17" x14ac:dyDescent="0.2">
      <c r="A20" s="13" t="s">
        <v>66</v>
      </c>
      <c r="B20" s="13" t="s">
        <v>104</v>
      </c>
      <c r="C20" s="14">
        <v>550000</v>
      </c>
      <c r="D20" s="15">
        <v>550000000</v>
      </c>
      <c r="E20" s="16">
        <v>12</v>
      </c>
      <c r="F20" s="17" t="s">
        <v>96</v>
      </c>
      <c r="G20" s="17" t="s">
        <v>105</v>
      </c>
      <c r="H20" s="16">
        <v>491343050</v>
      </c>
      <c r="I20" s="18"/>
      <c r="J20" s="18"/>
      <c r="K20" s="16">
        <v>21816666.66666666</v>
      </c>
      <c r="L20" s="16">
        <v>503582566.66666698</v>
      </c>
      <c r="M20" s="19">
        <f t="shared" si="0"/>
        <v>2.4687494932192661E-2</v>
      </c>
      <c r="O20" s="8">
        <v>749863.88888888899</v>
      </c>
    </row>
    <row r="21" spans="1:17" hidden="1" x14ac:dyDescent="0.2">
      <c r="A21" s="13"/>
      <c r="B21" s="13"/>
      <c r="C21" s="13"/>
      <c r="D21" s="16"/>
      <c r="E21" s="16"/>
      <c r="F21" s="17"/>
      <c r="G21" s="17"/>
      <c r="H21" s="16"/>
      <c r="I21" s="18"/>
      <c r="J21" s="18"/>
      <c r="K21" s="16"/>
      <c r="L21" s="16"/>
      <c r="M21" s="19"/>
    </row>
    <row r="22" spans="1:17" x14ac:dyDescent="0.2">
      <c r="A22" s="13"/>
      <c r="B22" s="20" t="s">
        <v>5</v>
      </c>
      <c r="C22" s="13"/>
      <c r="D22" s="21">
        <f>SUM(D8:D21)</f>
        <v>23557134000</v>
      </c>
      <c r="E22" s="22"/>
      <c r="F22" s="23"/>
      <c r="G22" s="23"/>
      <c r="H22" s="21">
        <f>SUM(H8:H21)</f>
        <v>20207527282.876675</v>
      </c>
      <c r="I22" s="23"/>
      <c r="J22" s="23"/>
      <c r="K22" s="21">
        <f>SUM(K8:K21)</f>
        <v>977785851.34666622</v>
      </c>
      <c r="L22" s="21">
        <f>SUM(L8:L21)</f>
        <v>20398285368.759384</v>
      </c>
      <c r="M22" s="24">
        <f>SUM(M8:M21)</f>
        <v>1</v>
      </c>
      <c r="N22" s="7">
        <v>20398285368.762722</v>
      </c>
      <c r="O22" s="61">
        <f>L22-N22</f>
        <v>-3.337860107421875E-3</v>
      </c>
    </row>
    <row r="24" spans="1:17" x14ac:dyDescent="0.2">
      <c r="A24" s="25" t="s">
        <v>35</v>
      </c>
    </row>
    <row r="25" spans="1:17" x14ac:dyDescent="0.2">
      <c r="A25" s="12" t="s">
        <v>68</v>
      </c>
      <c r="B25" s="26">
        <f>SUM(B26:B27)</f>
        <v>21232.92</v>
      </c>
    </row>
    <row r="26" spans="1:17" x14ac:dyDescent="0.2">
      <c r="A26" s="27" t="s">
        <v>75</v>
      </c>
      <c r="B26" s="28">
        <v>21232.92</v>
      </c>
      <c r="C26" s="9">
        <v>21232.92</v>
      </c>
      <c r="D26" s="60">
        <f>B26-C26</f>
        <v>0</v>
      </c>
    </row>
    <row r="27" spans="1:17" hidden="1" x14ac:dyDescent="0.2">
      <c r="A27" s="27"/>
      <c r="B27" s="29"/>
    </row>
    <row r="29" spans="1:17" x14ac:dyDescent="0.2">
      <c r="A29" s="11" t="s">
        <v>18</v>
      </c>
    </row>
    <row r="30" spans="1:17" ht="22.5" x14ac:dyDescent="0.2">
      <c r="A30" s="12" t="s">
        <v>23</v>
      </c>
      <c r="B30" s="12" t="s">
        <v>24</v>
      </c>
      <c r="C30" s="12" t="s">
        <v>25</v>
      </c>
      <c r="D30" s="12" t="s">
        <v>26</v>
      </c>
      <c r="E30" s="12" t="s">
        <v>19</v>
      </c>
      <c r="F30" s="12" t="s">
        <v>20</v>
      </c>
      <c r="G30" s="12" t="s">
        <v>27</v>
      </c>
      <c r="H30" s="12" t="s">
        <v>28</v>
      </c>
      <c r="I30" s="12" t="s">
        <v>29</v>
      </c>
      <c r="J30" s="12" t="s">
        <v>30</v>
      </c>
      <c r="K30" s="12" t="s">
        <v>31</v>
      </c>
      <c r="L30" s="12" t="s">
        <v>33</v>
      </c>
      <c r="M30" s="12" t="s">
        <v>32</v>
      </c>
      <c r="O30" s="7"/>
    </row>
    <row r="31" spans="1:17" x14ac:dyDescent="0.2">
      <c r="A31" s="30" t="s">
        <v>66</v>
      </c>
      <c r="B31" s="30" t="s">
        <v>67</v>
      </c>
      <c r="C31" s="31">
        <v>82446</v>
      </c>
      <c r="D31" s="30" t="s">
        <v>68</v>
      </c>
      <c r="E31" s="32" t="s">
        <v>69</v>
      </c>
      <c r="F31" s="32" t="s">
        <v>70</v>
      </c>
      <c r="G31" s="33">
        <v>473.06049996361304</v>
      </c>
      <c r="H31" s="33">
        <f t="shared" ref="H31:H36" si="1">J31/C31</f>
        <v>473.86510200616164</v>
      </c>
      <c r="I31" s="34">
        <v>39001945.979999997</v>
      </c>
      <c r="J31" s="34">
        <v>39068282.200000003</v>
      </c>
      <c r="K31" s="35">
        <v>15.520200000000001</v>
      </c>
      <c r="L31" s="35">
        <v>33168.11</v>
      </c>
      <c r="M31" s="29">
        <f t="shared" ref="M31:M36" si="2">I31+L31</f>
        <v>39035114.089999996</v>
      </c>
      <c r="N31" s="8"/>
      <c r="O31" s="7"/>
      <c r="Q31" s="7">
        <v>1</v>
      </c>
    </row>
    <row r="32" spans="1:17" x14ac:dyDescent="0.2">
      <c r="A32" s="30" t="s">
        <v>66</v>
      </c>
      <c r="B32" s="30" t="s">
        <v>71</v>
      </c>
      <c r="C32" s="31">
        <v>7223938</v>
      </c>
      <c r="D32" s="30" t="s">
        <v>68</v>
      </c>
      <c r="E32" s="32" t="s">
        <v>69</v>
      </c>
      <c r="F32" s="32" t="s">
        <v>70</v>
      </c>
      <c r="G32" s="33">
        <v>511.91890000024898</v>
      </c>
      <c r="H32" s="33">
        <f t="shared" si="1"/>
        <v>512.78958849591459</v>
      </c>
      <c r="I32" s="34">
        <v>3698070394.6300001</v>
      </c>
      <c r="J32" s="34">
        <v>3704360194.3400002</v>
      </c>
      <c r="K32" s="35">
        <v>15.520100000000001</v>
      </c>
      <c r="L32" s="35">
        <v>3144899.855</v>
      </c>
      <c r="M32" s="29">
        <f t="shared" si="2"/>
        <v>3701215294.4850001</v>
      </c>
      <c r="N32" s="8"/>
      <c r="O32" s="7"/>
      <c r="Q32" s="7">
        <v>1</v>
      </c>
    </row>
    <row r="33" spans="1:17" x14ac:dyDescent="0.2">
      <c r="A33" s="30" t="s">
        <v>66</v>
      </c>
      <c r="B33" s="30" t="s">
        <v>72</v>
      </c>
      <c r="C33" s="31">
        <v>1488924</v>
      </c>
      <c r="D33" s="30" t="s">
        <v>68</v>
      </c>
      <c r="E33" s="32" t="s">
        <v>69</v>
      </c>
      <c r="F33" s="32" t="s">
        <v>70</v>
      </c>
      <c r="G33" s="33">
        <v>713.58700000134297</v>
      </c>
      <c r="H33" s="33">
        <f t="shared" si="1"/>
        <v>714.80068441371088</v>
      </c>
      <c r="I33" s="34">
        <v>1062476810.39</v>
      </c>
      <c r="J33" s="34">
        <v>1064283894.24</v>
      </c>
      <c r="K33" s="35">
        <v>15.52</v>
      </c>
      <c r="L33" s="35">
        <v>903541.92500000005</v>
      </c>
      <c r="M33" s="29">
        <f t="shared" si="2"/>
        <v>1063380352.3149999</v>
      </c>
      <c r="N33" s="8"/>
      <c r="O33" s="7"/>
      <c r="Q33" s="7">
        <v>1</v>
      </c>
    </row>
    <row r="34" spans="1:17" x14ac:dyDescent="0.2">
      <c r="A34" s="30" t="s">
        <v>66</v>
      </c>
      <c r="B34" s="30" t="s">
        <v>73</v>
      </c>
      <c r="C34" s="31">
        <v>3502402</v>
      </c>
      <c r="D34" s="30" t="s">
        <v>68</v>
      </c>
      <c r="E34" s="32" t="s">
        <v>69</v>
      </c>
      <c r="F34" s="32" t="s">
        <v>70</v>
      </c>
      <c r="G34" s="33">
        <v>531.57450000028609</v>
      </c>
      <c r="H34" s="33">
        <f t="shared" si="1"/>
        <v>532.47861938749463</v>
      </c>
      <c r="I34" s="34">
        <v>1861787591.9499991</v>
      </c>
      <c r="J34" s="34">
        <v>1864954181.5</v>
      </c>
      <c r="K34" s="35">
        <v>15.520100000000001</v>
      </c>
      <c r="L34" s="35">
        <v>1583294.7749999999</v>
      </c>
      <c r="M34" s="29">
        <f t="shared" si="2"/>
        <v>1863370886.7249992</v>
      </c>
      <c r="N34" s="8"/>
      <c r="O34" s="7"/>
      <c r="Q34" s="7">
        <v>1</v>
      </c>
    </row>
    <row r="35" spans="1:17" x14ac:dyDescent="0.2">
      <c r="A35" s="30" t="s">
        <v>66</v>
      </c>
      <c r="B35" s="30" t="s">
        <v>67</v>
      </c>
      <c r="C35" s="31">
        <v>2114</v>
      </c>
      <c r="D35" s="30" t="s">
        <v>68</v>
      </c>
      <c r="E35" s="32" t="s">
        <v>69</v>
      </c>
      <c r="F35" s="32" t="s">
        <v>70</v>
      </c>
      <c r="G35" s="33">
        <v>473.06050141911106</v>
      </c>
      <c r="H35" s="33">
        <f t="shared" si="1"/>
        <v>473.86510406811732</v>
      </c>
      <c r="I35" s="34">
        <v>1000049.9</v>
      </c>
      <c r="J35" s="34">
        <v>1001750.83</v>
      </c>
      <c r="K35" s="35">
        <v>15.520200000000001</v>
      </c>
      <c r="L35" s="35">
        <v>850.46500000000003</v>
      </c>
      <c r="M35" s="29">
        <f t="shared" si="2"/>
        <v>1000900.365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74</v>
      </c>
      <c r="C36" s="31">
        <v>578448</v>
      </c>
      <c r="D36" s="30" t="s">
        <v>68</v>
      </c>
      <c r="E36" s="32" t="s">
        <v>69</v>
      </c>
      <c r="F36" s="32" t="s">
        <v>70</v>
      </c>
      <c r="G36" s="33">
        <v>606.879100005532</v>
      </c>
      <c r="H36" s="33">
        <f t="shared" si="1"/>
        <v>607.91129992670039</v>
      </c>
      <c r="I36" s="34">
        <v>351048001.63999999</v>
      </c>
      <c r="J36" s="34">
        <v>351645075.62</v>
      </c>
      <c r="K36" s="35">
        <v>15.520100000000001</v>
      </c>
      <c r="L36" s="35">
        <v>298536.99</v>
      </c>
      <c r="M36" s="29">
        <f t="shared" si="2"/>
        <v>351346538.63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SUMIF(Q31:Q37,1,M31:M37)</f>
        <v>7019349086.6099997</v>
      </c>
      <c r="N38" s="62">
        <v>7019349086.6100006</v>
      </c>
      <c r="O38" s="63">
        <f>M38-N38</f>
        <v>0</v>
      </c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L22+B26+M38</f>
        <v>27417655688.289383</v>
      </c>
      <c r="C45" s="64">
        <v>27417655688.292721</v>
      </c>
      <c r="D45" s="64">
        <f>__mdDATAItogoActive__-C45</f>
        <v>-3.337860107421875E-3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J56" s="52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2284418.8800000004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H61" s="52"/>
      <c r="O61" s="7"/>
    </row>
    <row r="62" spans="1:15" x14ac:dyDescent="0.2">
      <c r="A62" s="22">
        <v>3</v>
      </c>
      <c r="B62" s="53" t="s">
        <v>55</v>
      </c>
      <c r="C62" s="55">
        <v>597401.48</v>
      </c>
      <c r="D62" s="22"/>
      <c r="H62" s="5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364733.03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327429</v>
      </c>
      <c r="D65" s="55"/>
      <c r="O65" s="7"/>
    </row>
    <row r="66" spans="1:15" x14ac:dyDescent="0.2">
      <c r="A66" s="22">
        <v>7</v>
      </c>
      <c r="B66" s="53" t="s">
        <v>59</v>
      </c>
      <c r="C66" s="55">
        <v>165731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3739713.3900000006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06.07.2025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2025-07-08T07:09:56Z</dcterms:created>
  <dcterms:modified xsi:type="dcterms:W3CDTF">2025-07-08T10:18:12Z</dcterms:modified>
</cp:coreProperties>
</file>