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C261E158-78A3-4B9A-85B7-1AE0D0DCB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ДУ!$27:$29</definedName>
    <definedName name="__mdDATADDebt__">ДУ!$41:$41</definedName>
    <definedName name="__mdDATAHead__">ДУ!$B$2</definedName>
    <definedName name="__mdDATAItogoActive__">ДУ!$B$45</definedName>
    <definedName name="__mdDATAMarketPrice__">'Цены KASE'!#REF!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I43" i="1"/>
  <c r="O37" i="1"/>
  <c r="D28" i="1"/>
  <c r="B45" i="1"/>
  <c r="B1" i="2"/>
  <c r="C70" i="1"/>
  <c r="G54" i="1"/>
  <c r="F54" i="1"/>
  <c r="E54" i="1"/>
  <c r="G43" i="1"/>
  <c r="F43" i="1"/>
  <c r="E43" i="1"/>
  <c r="A41" i="1"/>
  <c r="M35" i="1"/>
  <c r="H35" i="1"/>
  <c r="M34" i="1"/>
  <c r="M37" i="1" s="1"/>
  <c r="H34" i="1"/>
  <c r="M33" i="1"/>
  <c r="H33" i="1"/>
  <c r="B27" i="1"/>
  <c r="L24" i="1"/>
  <c r="Q1" i="1" s="1"/>
  <c r="K24" i="1"/>
  <c r="H24" i="1"/>
  <c r="D24" i="1"/>
  <c r="M20" i="1" l="1"/>
  <c r="M12" i="1"/>
  <c r="M8" i="1"/>
  <c r="M9" i="1"/>
  <c r="M13" i="1"/>
  <c r="M17" i="1"/>
  <c r="M21" i="1"/>
  <c r="M10" i="1"/>
  <c r="M14" i="1"/>
  <c r="M18" i="1"/>
  <c r="M22" i="1"/>
  <c r="M11" i="1"/>
  <c r="M15" i="1"/>
  <c r="M19" i="1"/>
  <c r="M16" i="1"/>
  <c r="M24" i="1" l="1"/>
  <c r="O24" i="1" l="1"/>
</calcChain>
</file>

<file path=xl/sharedStrings.xml><?xml version="1.0" encoding="utf-8"?>
<sst xmlns="http://schemas.openxmlformats.org/spreadsheetml/2006/main" count="164" uniqueCount="111">
  <si>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</si>
  <si>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</si>
  <si>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</si>
  <si>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</si>
  <si>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</si>
  <si>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</si>
  <si>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</si>
  <si>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</si>
  <si>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</si>
  <si>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</si>
  <si>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</si>
  <si>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</si>
  <si>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</si>
  <si>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</si>
  <si>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</si>
  <si>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</si>
  <si>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</si>
  <si>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</si>
  <si>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</si>
  <si>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</si>
  <si>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</si>
  <si>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</si>
  <si>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</si>
  <si>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</si>
  <si>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</si>
  <si>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</si>
  <si>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</si>
  <si>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</si>
  <si>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</si>
  <si>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</si>
  <si>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</si>
  <si>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</si>
  <si>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</si>
  <si>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</si>
  <si>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</si>
  <si>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</si>
  <si>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</si>
  <si>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</si>
  <si>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</si>
  <si>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</si>
  <si>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</si>
  <si>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</si>
  <si>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</si>
  <si>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</si>
  <si>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</si>
  <si>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</si>
  <si>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</si>
  <si>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</si>
  <si>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</si>
  <si>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</si>
  <si>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</si>
  <si>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</si>
  <si>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</si>
  <si>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</si>
  <si>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</si>
  <si>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</si>
  <si>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</si>
  <si>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</si>
  <si>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</si>
  <si>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</si>
  <si>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</si>
  <si>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</si>
  <si>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</si>
  <si>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</si>
  <si>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</si>
  <si>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</si>
  <si>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MUM132_0007 KZKD00001152</t>
  </si>
  <si>
    <t>KZT</t>
  </si>
  <si>
    <t>МИНИСТЕРСТВО ФИНАНСОВ РК</t>
  </si>
  <si>
    <t>XS2914770545</t>
  </si>
  <si>
    <t>25.07.2025</t>
  </si>
  <si>
    <t>28.07.2025</t>
  </si>
  <si>
    <t>Евразийский банк развития</t>
  </si>
  <si>
    <t>KZX000001433</t>
  </si>
  <si>
    <t>KZ96601A861038102391</t>
  </si>
  <si>
    <t>KZKD00001087</t>
  </si>
  <si>
    <t>18.07.2024</t>
  </si>
  <si>
    <t>31.03.2029</t>
  </si>
  <si>
    <t>KZKD00000741</t>
  </si>
  <si>
    <t>12.05.2034</t>
  </si>
  <si>
    <t>KZKD00000832</t>
  </si>
  <si>
    <t>29.01.2035</t>
  </si>
  <si>
    <t>KZ2D00011863</t>
  </si>
  <si>
    <t>24.09.2024</t>
  </si>
  <si>
    <t>03.09.2027</t>
  </si>
  <si>
    <t>KZK200000687</t>
  </si>
  <si>
    <t>21.01.2026</t>
  </si>
  <si>
    <t>KZKD00000535</t>
  </si>
  <si>
    <t>27.03.2027</t>
  </si>
  <si>
    <t>KZKD00001251</t>
  </si>
  <si>
    <t>13.03.2025</t>
  </si>
  <si>
    <t>07.03.2030</t>
  </si>
  <si>
    <t>KZKD00000790</t>
  </si>
  <si>
    <t>10.07.2025</t>
  </si>
  <si>
    <t>13.08.2029</t>
  </si>
  <si>
    <t>KZKD00001137</t>
  </si>
  <si>
    <t>12.04.2028</t>
  </si>
  <si>
    <t>KZKD00001129</t>
  </si>
  <si>
    <t>17.03.2031</t>
  </si>
  <si>
    <t>KZKD00001152</t>
  </si>
  <si>
    <t>26.07.2032</t>
  </si>
  <si>
    <t>KZKD00001160</t>
  </si>
  <si>
    <t>28.07.2029</t>
  </si>
  <si>
    <t>KZK100000373</t>
  </si>
  <si>
    <t>06.02.2026</t>
  </si>
  <si>
    <t>KZKD00000477</t>
  </si>
  <si>
    <t>24.07.2025</t>
  </si>
  <si>
    <t>19.10.2027</t>
  </si>
  <si>
    <t>KZKD00000949</t>
  </si>
  <si>
    <t>16.04.2032</t>
  </si>
  <si>
    <t>27.07.2025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</si>
</sst>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0" fontId="5" fillId="0" borderId="0" xfId="0" applyNumberFormat="1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L24</f>
        <v>23778824278.149071</v>
      </c>
    </row>
    <row r="2" spans="1:17" x14ac:dyDescent="0.2">
      <c r="A2" s="6" t="s">
        <v>64</v>
      </c>
      <c r="B2" s="6" t="s">
        <v>110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68</v>
      </c>
      <c r="B8" s="13" t="s">
        <v>75</v>
      </c>
      <c r="C8" s="14">
        <v>1897500</v>
      </c>
      <c r="D8" s="15">
        <v>1897500000</v>
      </c>
      <c r="E8" s="16">
        <v>11</v>
      </c>
      <c r="F8" s="17" t="s">
        <v>76</v>
      </c>
      <c r="G8" s="17" t="s">
        <v>77</v>
      </c>
      <c r="H8" s="16">
        <v>1743261712.5</v>
      </c>
      <c r="I8" s="18"/>
      <c r="J8" s="18"/>
      <c r="K8" s="16">
        <v>67835625</v>
      </c>
      <c r="L8" s="16">
        <v>1674494415</v>
      </c>
      <c r="M8" s="19">
        <f t="shared" ref="M8:M22" si="0">L8/$Q$1</f>
        <v>7.0419563028552803E-2</v>
      </c>
      <c r="O8" s="8">
        <v>749863.88888888899</v>
      </c>
    </row>
    <row r="9" spans="1:17" x14ac:dyDescent="0.2">
      <c r="A9" s="13" t="s">
        <v>68</v>
      </c>
      <c r="B9" s="13" t="s">
        <v>78</v>
      </c>
      <c r="C9" s="14">
        <v>1897500</v>
      </c>
      <c r="D9" s="15">
        <v>1897500000</v>
      </c>
      <c r="E9" s="16">
        <v>8.07</v>
      </c>
      <c r="F9" s="17" t="s">
        <v>76</v>
      </c>
      <c r="G9" s="17" t="s">
        <v>79</v>
      </c>
      <c r="H9" s="16">
        <v>1359122325</v>
      </c>
      <c r="I9" s="18"/>
      <c r="J9" s="18"/>
      <c r="K9" s="16">
        <v>31901718.75</v>
      </c>
      <c r="L9" s="16">
        <v>1218235796.25</v>
      </c>
      <c r="M9" s="19">
        <f t="shared" si="0"/>
        <v>5.1231960924555293E-2</v>
      </c>
      <c r="O9" s="8">
        <v>749863.88888888899</v>
      </c>
    </row>
    <row r="10" spans="1:17" x14ac:dyDescent="0.2">
      <c r="A10" s="13" t="s">
        <v>68</v>
      </c>
      <c r="B10" s="13" t="s">
        <v>80</v>
      </c>
      <c r="C10" s="14">
        <v>1897500</v>
      </c>
      <c r="D10" s="15">
        <v>1897500000</v>
      </c>
      <c r="E10" s="16">
        <v>8.07</v>
      </c>
      <c r="F10" s="17" t="s">
        <v>76</v>
      </c>
      <c r="G10" s="17" t="s">
        <v>81</v>
      </c>
      <c r="H10" s="16">
        <v>1338524962.5</v>
      </c>
      <c r="I10" s="18"/>
      <c r="J10" s="18"/>
      <c r="K10" s="16">
        <v>75713412.5</v>
      </c>
      <c r="L10" s="16">
        <v>1236013790</v>
      </c>
      <c r="M10" s="19">
        <f t="shared" si="0"/>
        <v>5.197960065400721E-2</v>
      </c>
      <c r="O10" s="8">
        <v>749863.88888888899</v>
      </c>
    </row>
    <row r="11" spans="1:17" x14ac:dyDescent="0.2">
      <c r="A11" s="13" t="s">
        <v>72</v>
      </c>
      <c r="B11" s="13" t="s">
        <v>82</v>
      </c>
      <c r="C11" s="14">
        <v>992234</v>
      </c>
      <c r="D11" s="15">
        <v>992234000</v>
      </c>
      <c r="E11" s="16">
        <v>14.3</v>
      </c>
      <c r="F11" s="17" t="s">
        <v>83</v>
      </c>
      <c r="G11" s="17" t="s">
        <v>84</v>
      </c>
      <c r="H11" s="16">
        <v>991722999.49000001</v>
      </c>
      <c r="I11" s="18"/>
      <c r="J11" s="18"/>
      <c r="K11" s="16">
        <v>127700515.8</v>
      </c>
      <c r="L11" s="16">
        <v>1066272361.0601799</v>
      </c>
      <c r="M11" s="19">
        <f t="shared" si="0"/>
        <v>4.4841256598207972E-2</v>
      </c>
      <c r="O11" s="8">
        <v>749863.88888888899</v>
      </c>
    </row>
    <row r="12" spans="1:17" x14ac:dyDescent="0.2">
      <c r="A12" s="13" t="s">
        <v>68</v>
      </c>
      <c r="B12" s="13" t="s">
        <v>85</v>
      </c>
      <c r="C12" s="14">
        <v>2530000</v>
      </c>
      <c r="D12" s="15">
        <v>2530000000</v>
      </c>
      <c r="E12" s="16">
        <v>10.67</v>
      </c>
      <c r="F12" s="17" t="s">
        <v>76</v>
      </c>
      <c r="G12" s="17" t="s">
        <v>86</v>
      </c>
      <c r="H12" s="16">
        <v>2455119589.9966769</v>
      </c>
      <c r="I12" s="18"/>
      <c r="J12" s="18"/>
      <c r="K12" s="16">
        <v>4499183.3333333302</v>
      </c>
      <c r="L12" s="16">
        <v>2473536303.333333</v>
      </c>
      <c r="M12" s="19">
        <f t="shared" si="0"/>
        <v>0.1040226494968603</v>
      </c>
      <c r="O12" s="8">
        <v>749863.88888888899</v>
      </c>
    </row>
    <row r="13" spans="1:17" x14ac:dyDescent="0.2">
      <c r="A13" s="13" t="s">
        <v>68</v>
      </c>
      <c r="B13" s="13" t="s">
        <v>87</v>
      </c>
      <c r="C13" s="14">
        <v>3162500</v>
      </c>
      <c r="D13" s="15">
        <v>3162500000</v>
      </c>
      <c r="E13" s="16">
        <v>5.49</v>
      </c>
      <c r="F13" s="17" t="s">
        <v>76</v>
      </c>
      <c r="G13" s="17" t="s">
        <v>88</v>
      </c>
      <c r="H13" s="16">
        <v>2627740225</v>
      </c>
      <c r="I13" s="18"/>
      <c r="J13" s="18"/>
      <c r="K13" s="16">
        <v>57873750</v>
      </c>
      <c r="L13" s="16">
        <v>2722017512.5</v>
      </c>
      <c r="M13" s="19">
        <f t="shared" si="0"/>
        <v>0.11447233389925535</v>
      </c>
      <c r="O13" s="8">
        <v>749863.88888888899</v>
      </c>
    </row>
    <row r="14" spans="1:17" x14ac:dyDescent="0.2">
      <c r="A14" s="13" t="s">
        <v>68</v>
      </c>
      <c r="B14" s="13" t="s">
        <v>89</v>
      </c>
      <c r="C14" s="14">
        <v>550000</v>
      </c>
      <c r="D14" s="15">
        <v>550000000</v>
      </c>
      <c r="E14" s="16">
        <v>12</v>
      </c>
      <c r="F14" s="17" t="s">
        <v>90</v>
      </c>
      <c r="G14" s="17" t="s">
        <v>91</v>
      </c>
      <c r="H14" s="16">
        <v>491343050</v>
      </c>
      <c r="I14" s="18"/>
      <c r="J14" s="18"/>
      <c r="K14" s="16">
        <v>25666666.66666666</v>
      </c>
      <c r="L14" s="16">
        <v>495370516.66666698</v>
      </c>
      <c r="M14" s="19">
        <f t="shared" si="0"/>
        <v>2.0832422615691508E-2</v>
      </c>
      <c r="O14" s="8">
        <v>749863.88888888899</v>
      </c>
    </row>
    <row r="15" spans="1:17" x14ac:dyDescent="0.2">
      <c r="A15" s="13" t="s">
        <v>68</v>
      </c>
      <c r="B15" s="13" t="s">
        <v>92</v>
      </c>
      <c r="C15" s="14">
        <v>2469500</v>
      </c>
      <c r="D15" s="15">
        <v>2469500000</v>
      </c>
      <c r="E15" s="16">
        <v>7.68</v>
      </c>
      <c r="F15" s="17" t="s">
        <v>93</v>
      </c>
      <c r="G15" s="17" t="s">
        <v>94</v>
      </c>
      <c r="H15" s="16">
        <v>1827657194</v>
      </c>
      <c r="I15" s="18"/>
      <c r="J15" s="18"/>
      <c r="K15" s="16">
        <v>181228373.33333299</v>
      </c>
      <c r="L15" s="16">
        <v>2024744696.333333</v>
      </c>
      <c r="M15" s="19">
        <f t="shared" si="0"/>
        <v>8.5149066776775806E-2</v>
      </c>
      <c r="O15" s="8">
        <v>749863.88888888899</v>
      </c>
    </row>
    <row r="16" spans="1:17" x14ac:dyDescent="0.2">
      <c r="A16" s="13" t="s">
        <v>68</v>
      </c>
      <c r="B16" s="13" t="s">
        <v>95</v>
      </c>
      <c r="C16" s="14">
        <v>1897500</v>
      </c>
      <c r="D16" s="15">
        <v>1897500000</v>
      </c>
      <c r="E16" s="16">
        <v>10.4</v>
      </c>
      <c r="F16" s="17" t="s">
        <v>76</v>
      </c>
      <c r="G16" s="17" t="s">
        <v>96</v>
      </c>
      <c r="H16" s="16">
        <v>1736743800</v>
      </c>
      <c r="I16" s="18"/>
      <c r="J16" s="18"/>
      <c r="K16" s="16">
        <v>57557500</v>
      </c>
      <c r="L16" s="16">
        <v>1696597127.5</v>
      </c>
      <c r="M16" s="19">
        <f t="shared" si="0"/>
        <v>7.1349075448572261E-2</v>
      </c>
      <c r="O16" s="8">
        <v>749863.88888888899</v>
      </c>
    </row>
    <row r="17" spans="1:15" x14ac:dyDescent="0.2">
      <c r="A17" s="13" t="s">
        <v>68</v>
      </c>
      <c r="B17" s="13" t="s">
        <v>97</v>
      </c>
      <c r="C17" s="14">
        <v>1897500</v>
      </c>
      <c r="D17" s="15">
        <v>1897500000</v>
      </c>
      <c r="E17" s="16">
        <v>10.3</v>
      </c>
      <c r="F17" s="17" t="s">
        <v>76</v>
      </c>
      <c r="G17" s="17" t="s">
        <v>98</v>
      </c>
      <c r="H17" s="16">
        <v>1645329839.996666</v>
      </c>
      <c r="I17" s="18"/>
      <c r="J17" s="18"/>
      <c r="K17" s="16">
        <v>70576458.333333328</v>
      </c>
      <c r="L17" s="16">
        <v>1547613228.333333</v>
      </c>
      <c r="M17" s="19">
        <f t="shared" si="0"/>
        <v>6.5083673197226646E-2</v>
      </c>
      <c r="O17" s="8">
        <v>749863.88888888899</v>
      </c>
    </row>
    <row r="18" spans="1:15" x14ac:dyDescent="0.2">
      <c r="A18" s="13" t="s">
        <v>68</v>
      </c>
      <c r="B18" s="13" t="s">
        <v>99</v>
      </c>
      <c r="C18" s="14">
        <v>1897500</v>
      </c>
      <c r="D18" s="15">
        <v>1897500000</v>
      </c>
      <c r="E18" s="16">
        <v>10.65</v>
      </c>
      <c r="F18" s="17" t="s">
        <v>76</v>
      </c>
      <c r="G18" s="17" t="s">
        <v>100</v>
      </c>
      <c r="H18" s="16">
        <v>1648500562.5</v>
      </c>
      <c r="I18" s="18"/>
      <c r="J18" s="18"/>
      <c r="K18" s="16">
        <v>561343.75</v>
      </c>
      <c r="L18" s="16">
        <v>1456439091.25</v>
      </c>
      <c r="M18" s="19">
        <f t="shared" si="0"/>
        <v>6.1249415623477931E-2</v>
      </c>
      <c r="O18" s="8">
        <v>749863.88888888899</v>
      </c>
    </row>
    <row r="19" spans="1:15" x14ac:dyDescent="0.2">
      <c r="A19" s="13" t="s">
        <v>68</v>
      </c>
      <c r="B19" s="13" t="s">
        <v>101</v>
      </c>
      <c r="C19" s="14">
        <v>1897500</v>
      </c>
      <c r="D19" s="15">
        <v>1897500000</v>
      </c>
      <c r="E19" s="16">
        <v>10.55</v>
      </c>
      <c r="F19" s="17" t="s">
        <v>76</v>
      </c>
      <c r="G19" s="17" t="s">
        <v>102</v>
      </c>
      <c r="H19" s="16">
        <v>1708326839.9966669</v>
      </c>
      <c r="I19" s="18"/>
      <c r="J19" s="18"/>
      <c r="K19" s="16">
        <v>199630177.08333299</v>
      </c>
      <c r="L19" s="16">
        <v>1770242159.583333</v>
      </c>
      <c r="M19" s="19">
        <f t="shared" si="0"/>
        <v>7.4446160116084917E-2</v>
      </c>
      <c r="O19" s="8">
        <v>749863.88888888899</v>
      </c>
    </row>
    <row r="20" spans="1:15" x14ac:dyDescent="0.2">
      <c r="A20" s="13" t="s">
        <v>68</v>
      </c>
      <c r="B20" s="13" t="s">
        <v>103</v>
      </c>
      <c r="C20" s="14">
        <v>11424000</v>
      </c>
      <c r="D20" s="15">
        <v>1142400000</v>
      </c>
      <c r="E20" s="16">
        <v>0</v>
      </c>
      <c r="F20" s="17" t="s">
        <v>90</v>
      </c>
      <c r="G20" s="17" t="s">
        <v>104</v>
      </c>
      <c r="H20" s="16">
        <v>1003902278.4</v>
      </c>
      <c r="I20" s="18"/>
      <c r="J20" s="18"/>
      <c r="K20" s="16"/>
      <c r="L20" s="16">
        <v>1052393731.2</v>
      </c>
      <c r="M20" s="19">
        <f t="shared" si="0"/>
        <v>4.4257601590801519E-2</v>
      </c>
      <c r="O20" s="8">
        <v>749863.88888888899</v>
      </c>
    </row>
    <row r="21" spans="1:15" x14ac:dyDescent="0.2">
      <c r="A21" s="13" t="s">
        <v>68</v>
      </c>
      <c r="B21" s="13" t="s">
        <v>105</v>
      </c>
      <c r="C21" s="14">
        <v>2391500</v>
      </c>
      <c r="D21" s="15">
        <v>2391500000</v>
      </c>
      <c r="E21" s="16">
        <v>5.3</v>
      </c>
      <c r="F21" s="17" t="s">
        <v>106</v>
      </c>
      <c r="G21" s="17" t="s">
        <v>107</v>
      </c>
      <c r="H21" s="16">
        <v>1903079172</v>
      </c>
      <c r="I21" s="18"/>
      <c r="J21" s="18"/>
      <c r="K21" s="16">
        <v>97878780.555555597</v>
      </c>
      <c r="L21" s="16">
        <v>1999207374.5555601</v>
      </c>
      <c r="M21" s="19">
        <f t="shared" si="0"/>
        <v>8.4075114529219161E-2</v>
      </c>
      <c r="O21" s="8">
        <v>749863.88888888899</v>
      </c>
    </row>
    <row r="22" spans="1:15" x14ac:dyDescent="0.2">
      <c r="A22" s="13" t="s">
        <v>68</v>
      </c>
      <c r="B22" s="13" t="s">
        <v>108</v>
      </c>
      <c r="C22" s="14">
        <v>1897500</v>
      </c>
      <c r="D22" s="15">
        <v>1897500000</v>
      </c>
      <c r="E22" s="16">
        <v>8.4499999999999993</v>
      </c>
      <c r="F22" s="17" t="s">
        <v>76</v>
      </c>
      <c r="G22" s="17" t="s">
        <v>109</v>
      </c>
      <c r="H22" s="16">
        <v>1457889097.496666</v>
      </c>
      <c r="I22" s="18"/>
      <c r="J22" s="18"/>
      <c r="K22" s="16">
        <v>44983927.083333328</v>
      </c>
      <c r="L22" s="16">
        <v>1345646174.583333</v>
      </c>
      <c r="M22" s="19">
        <f t="shared" si="0"/>
        <v>5.6590105500711377E-2</v>
      </c>
      <c r="O22" s="8">
        <v>749863.88888888899</v>
      </c>
    </row>
    <row r="23" spans="1:15" hidden="1" x14ac:dyDescent="0.2">
      <c r="A23" s="13"/>
      <c r="B23" s="13"/>
      <c r="C23" s="13"/>
      <c r="D23" s="16"/>
      <c r="E23" s="16"/>
      <c r="F23" s="17"/>
      <c r="G23" s="17"/>
      <c r="H23" s="16"/>
      <c r="I23" s="18"/>
      <c r="J23" s="18"/>
      <c r="K23" s="16"/>
      <c r="L23" s="16"/>
      <c r="M23" s="19"/>
    </row>
    <row r="24" spans="1:15" x14ac:dyDescent="0.2">
      <c r="A24" s="13"/>
      <c r="B24" s="20" t="s">
        <v>5</v>
      </c>
      <c r="C24" s="13"/>
      <c r="D24" s="21">
        <f>SUM(D8:D23)</f>
        <v>28418134000</v>
      </c>
      <c r="E24" s="22"/>
      <c r="F24" s="23"/>
      <c r="G24" s="23"/>
      <c r="H24" s="21">
        <f>SUM(H8:H23)</f>
        <v>23938263648.876678</v>
      </c>
      <c r="I24" s="23"/>
      <c r="J24" s="23"/>
      <c r="K24" s="21">
        <f>SUM(K8:K23)</f>
        <v>1043607432.1888883</v>
      </c>
      <c r="L24" s="21">
        <f>SUM(L8:L23)</f>
        <v>23778824278.149071</v>
      </c>
      <c r="M24" s="24">
        <f>SUM(M8:M23)</f>
        <v>1</v>
      </c>
      <c r="N24" s="7">
        <v>23778824278.149071</v>
      </c>
      <c r="O24" s="61">
        <f>L24-N24</f>
        <v>0</v>
      </c>
    </row>
    <row r="26" spans="1:15" x14ac:dyDescent="0.2">
      <c r="A26" s="25" t="s">
        <v>35</v>
      </c>
    </row>
    <row r="27" spans="1:15" x14ac:dyDescent="0.2">
      <c r="A27" s="12" t="s">
        <v>67</v>
      </c>
      <c r="B27" s="26">
        <f>SUM(B28:B29)</f>
        <v>708059.08</v>
      </c>
    </row>
    <row r="28" spans="1:15" x14ac:dyDescent="0.2">
      <c r="A28" s="27" t="s">
        <v>74</v>
      </c>
      <c r="B28" s="28">
        <v>708059.08</v>
      </c>
      <c r="C28" s="9">
        <v>708059.08</v>
      </c>
      <c r="D28" s="60">
        <f>B28-C28</f>
        <v>0</v>
      </c>
    </row>
    <row r="29" spans="1:15" hidden="1" x14ac:dyDescent="0.2">
      <c r="A29" s="27"/>
      <c r="B29" s="29"/>
    </row>
    <row r="31" spans="1:15" x14ac:dyDescent="0.2">
      <c r="A31" s="11" t="s">
        <v>18</v>
      </c>
    </row>
    <row r="32" spans="1:15" ht="22.5" x14ac:dyDescent="0.2">
      <c r="A32" s="12" t="s">
        <v>23</v>
      </c>
      <c r="B32" s="12" t="s">
        <v>24</v>
      </c>
      <c r="C32" s="12" t="s">
        <v>25</v>
      </c>
      <c r="D32" s="12" t="s">
        <v>26</v>
      </c>
      <c r="E32" s="12" t="s">
        <v>19</v>
      </c>
      <c r="F32" s="12" t="s">
        <v>20</v>
      </c>
      <c r="G32" s="12" t="s">
        <v>27</v>
      </c>
      <c r="H32" s="12" t="s">
        <v>28</v>
      </c>
      <c r="I32" s="12" t="s">
        <v>29</v>
      </c>
      <c r="J32" s="12" t="s">
        <v>30</v>
      </c>
      <c r="K32" s="12" t="s">
        <v>31</v>
      </c>
      <c r="L32" s="12" t="s">
        <v>33</v>
      </c>
      <c r="M32" s="12" t="s">
        <v>32</v>
      </c>
      <c r="O32" s="7"/>
    </row>
    <row r="33" spans="1:17" x14ac:dyDescent="0.2">
      <c r="A33" s="30" t="s">
        <v>68</v>
      </c>
      <c r="B33" s="30" t="s">
        <v>69</v>
      </c>
      <c r="C33" s="31">
        <v>3829560</v>
      </c>
      <c r="D33" s="30" t="s">
        <v>67</v>
      </c>
      <c r="E33" s="32" t="s">
        <v>70</v>
      </c>
      <c r="F33" s="32" t="s">
        <v>71</v>
      </c>
      <c r="G33" s="33">
        <v>531.95260000104508</v>
      </c>
      <c r="H33" s="33">
        <f>J33/C33</f>
        <v>532.64122794524701</v>
      </c>
      <c r="I33" s="34">
        <v>2037144398.8599989</v>
      </c>
      <c r="J33" s="34">
        <v>2039781540.8900001</v>
      </c>
      <c r="K33" s="35">
        <v>15.750100000000002</v>
      </c>
      <c r="L33" s="35">
        <v>1758094.68666667</v>
      </c>
      <c r="M33" s="29">
        <f>I33+L33</f>
        <v>2038902493.5466657</v>
      </c>
      <c r="N33" s="8"/>
      <c r="O33" s="7"/>
      <c r="Q33" s="7">
        <v>1</v>
      </c>
    </row>
    <row r="34" spans="1:17" x14ac:dyDescent="0.2">
      <c r="A34" s="30" t="s">
        <v>72</v>
      </c>
      <c r="B34" s="30" t="s">
        <v>73</v>
      </c>
      <c r="C34" s="31">
        <v>36700</v>
      </c>
      <c r="D34" s="30" t="s">
        <v>67</v>
      </c>
      <c r="E34" s="32" t="s">
        <v>70</v>
      </c>
      <c r="F34" s="32" t="s">
        <v>71</v>
      </c>
      <c r="G34" s="33">
        <v>545.10220000000004</v>
      </c>
      <c r="H34" s="33">
        <f>J34/C34</f>
        <v>545.80784604904625</v>
      </c>
      <c r="I34" s="34">
        <v>20005250.739999998</v>
      </c>
      <c r="J34" s="34">
        <v>20031147.949999999</v>
      </c>
      <c r="K34" s="35">
        <v>15.75</v>
      </c>
      <c r="L34" s="35">
        <v>17264.806666666696</v>
      </c>
      <c r="M34" s="29">
        <f>I34+L34</f>
        <v>20022515.546666667</v>
      </c>
      <c r="N34" s="8"/>
      <c r="O34" s="7"/>
      <c r="Q34" s="7">
        <v>1</v>
      </c>
    </row>
    <row r="35" spans="1:17" x14ac:dyDescent="0.2">
      <c r="A35" s="30" t="s">
        <v>72</v>
      </c>
      <c r="B35" s="30" t="s">
        <v>73</v>
      </c>
      <c r="C35" s="31">
        <v>2091900</v>
      </c>
      <c r="D35" s="30" t="s">
        <v>67</v>
      </c>
      <c r="E35" s="32" t="s">
        <v>70</v>
      </c>
      <c r="F35" s="32" t="s">
        <v>71</v>
      </c>
      <c r="G35" s="33">
        <v>545.10220000000004</v>
      </c>
      <c r="H35" s="33">
        <f>J35/C35</f>
        <v>545.80784599646256</v>
      </c>
      <c r="I35" s="34">
        <v>1140299292.1800001</v>
      </c>
      <c r="J35" s="34">
        <v>1141775433.04</v>
      </c>
      <c r="K35" s="35">
        <v>15.75</v>
      </c>
      <c r="L35" s="35">
        <v>984093.90666666662</v>
      </c>
      <c r="M35" s="29">
        <f>I35+L35</f>
        <v>1141283386.0866668</v>
      </c>
      <c r="N35" s="8"/>
      <c r="O35" s="7"/>
      <c r="Q35" s="7">
        <v>1</v>
      </c>
    </row>
    <row r="36" spans="1:17" hidden="1" x14ac:dyDescent="0.2">
      <c r="A36" s="30"/>
      <c r="B36" s="30"/>
      <c r="C36" s="31"/>
      <c r="D36" s="30"/>
      <c r="E36" s="32"/>
      <c r="F36" s="32"/>
      <c r="G36" s="33"/>
      <c r="H36" s="33"/>
      <c r="I36" s="34"/>
      <c r="J36" s="34"/>
      <c r="K36" s="35"/>
      <c r="L36" s="29"/>
      <c r="M36" s="29"/>
      <c r="N36" s="8"/>
      <c r="O36" s="7"/>
    </row>
    <row r="37" spans="1:17" s="11" customFormat="1" x14ac:dyDescent="0.2">
      <c r="A37" s="36"/>
      <c r="B37" s="37" t="s">
        <v>5</v>
      </c>
      <c r="C37" s="36"/>
      <c r="D37" s="36"/>
      <c r="E37" s="36"/>
      <c r="F37" s="36"/>
      <c r="G37" s="36"/>
      <c r="H37" s="36"/>
      <c r="I37" s="36"/>
      <c r="J37" s="36"/>
      <c r="K37" s="36"/>
      <c r="L37" s="36" t="s">
        <v>44</v>
      </c>
      <c r="M37" s="38">
        <f>SUMIF(Q33:Q36,1,M33:M36)</f>
        <v>3200208395.1799994</v>
      </c>
      <c r="N37" s="62">
        <v>3200208395.1799998</v>
      </c>
      <c r="O37" s="63">
        <f>M37-N37</f>
        <v>0</v>
      </c>
    </row>
    <row r="39" spans="1:17" ht="22.5" x14ac:dyDescent="0.2">
      <c r="A39" s="25" t="s">
        <v>37</v>
      </c>
    </row>
    <row r="40" spans="1:17" ht="22.5" x14ac:dyDescent="0.2">
      <c r="A40" s="12" t="s">
        <v>7</v>
      </c>
      <c r="B40" s="12" t="s">
        <v>38</v>
      </c>
      <c r="C40" s="12" t="s">
        <v>26</v>
      </c>
      <c r="D40" s="12" t="s">
        <v>39</v>
      </c>
      <c r="E40" s="12" t="s">
        <v>25</v>
      </c>
      <c r="F40" s="12" t="s">
        <v>40</v>
      </c>
      <c r="G40" s="12" t="s">
        <v>41</v>
      </c>
      <c r="N40" s="8"/>
      <c r="O40" s="7"/>
    </row>
    <row r="41" spans="1:17" x14ac:dyDescent="0.2">
      <c r="A41" s="40">
        <f ca="1">IF(OFFSET(A41,-1,0)="№ п/п",1,OFFSET(A41,-1,0)+1)</f>
        <v>1</v>
      </c>
      <c r="B41" s="40" t="s">
        <v>66</v>
      </c>
      <c r="C41" s="30" t="s">
        <v>67</v>
      </c>
      <c r="D41" s="41"/>
      <c r="E41" s="27">
        <v>1897500</v>
      </c>
      <c r="F41" s="29">
        <v>202083750</v>
      </c>
      <c r="G41" s="29">
        <v>202083750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SUM(E41:E42)</f>
        <v>1897500</v>
      </c>
      <c r="F43" s="38">
        <f>SUM(F41:F42)</f>
        <v>202083750</v>
      </c>
      <c r="G43" s="38">
        <f>SUM(G41:G42)</f>
        <v>202083750</v>
      </c>
      <c r="H43" s="62">
        <v>202083750</v>
      </c>
      <c r="I43" s="64">
        <f>G43-H43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L24+B28+M37+G43</f>
        <v>27181824482.409073</v>
      </c>
      <c r="C45" s="65">
        <v>27181824482.409073</v>
      </c>
      <c r="D45" s="65">
        <f>__mdDATAItogoActive__-C45</f>
        <v>0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-7.55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G61" s="52"/>
      <c r="O61" s="7"/>
    </row>
    <row r="62" spans="1:15" x14ac:dyDescent="0.2">
      <c r="A62" s="22">
        <v>3</v>
      </c>
      <c r="B62" s="53" t="s">
        <v>55</v>
      </c>
      <c r="C62" s="55">
        <v>105000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0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216078.3</v>
      </c>
      <c r="D65" s="55"/>
      <c r="O65" s="7"/>
    </row>
    <row r="66" spans="1:15" x14ac:dyDescent="0.2">
      <c r="A66" s="22">
        <v>7</v>
      </c>
      <c r="B66" s="53" t="s">
        <v>59</v>
      </c>
      <c r="C66" s="55">
        <v>508702.84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829773.59000000008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27.07.2025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2025-07-28T04:55:56Z</dcterms:created>
  <dcterms:modified xsi:type="dcterms:W3CDTF">2025-07-28T10:18:38Z</dcterms:modified>
</cp:coreProperties>
</file>