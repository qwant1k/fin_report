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0072025\"/>
    </mc:Choice>
  </mc:AlternateContent>
  <xr:revisionPtr revIDLastSave="0" documentId="8_{E0E5814F-B685-4D43-8BAB-65BDC8225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ДУ!$C$58:$C$67</definedName>
    <definedName name="__mdDATACurrency__">ДУ!$26:$28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B1" i="2"/>
  <c r="C68" i="1"/>
  <c r="G52" i="1"/>
  <c r="F52" i="1"/>
  <c r="E52" i="1"/>
  <c r="G41" i="1"/>
  <c r="F41" i="1"/>
  <c r="E41" i="1"/>
  <c r="M34" i="1"/>
  <c r="H34" i="1"/>
  <c r="M33" i="1"/>
  <c r="M36" i="1" s="1"/>
  <c r="H33" i="1"/>
  <c r="M32" i="1"/>
  <c r="H32" i="1"/>
  <c r="B26" i="1"/>
  <c r="L23" i="1"/>
  <c r="Q1" i="1" s="1"/>
  <c r="M18" i="1" s="1"/>
  <c r="K23" i="1"/>
  <c r="H23" i="1"/>
  <c r="D23" i="1"/>
  <c r="M15" i="1" l="1"/>
  <c r="M19" i="1"/>
  <c r="M8" i="1"/>
  <c r="M12" i="1"/>
  <c r="M16" i="1"/>
  <c r="M20" i="1"/>
  <c r="M11" i="1"/>
  <c r="M9" i="1"/>
  <c r="M13" i="1"/>
  <c r="M17" i="1"/>
  <c r="M21" i="1"/>
  <c r="M10" i="1"/>
  <c r="M14" i="1"/>
  <c r="M23" i="1" l="1"/>
</calcChain>
</file>

<file path=xl/sharedStrings.xml><?xml version="1.0" encoding="utf-8"?>
<sst xmlns="http://schemas.openxmlformats.org/spreadsheetml/2006/main" count="158" uniqueCount="107">
  <si>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</si>
  <si>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</si>
  <si>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</si>
  <si>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</si>
  <si>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</si>
  <si>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</si>
  <si>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</si>
  <si>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</si>
  <si>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</si>
  <si>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</si>
  <si>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</si>
  <si>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</si>
  <si>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</si>
  <si>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</si>
  <si>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</si>
  <si>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</si>
  <si>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</si>
  <si>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</si>
  <si>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</si>
  <si>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</si>
  <si>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</si>
  <si>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</si>
  <si>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</si>
  <si>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</si>
  <si>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</si>
  <si>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</si>
  <si>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</si>
  <si>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</si>
  <si>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</si>
  <si>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</si>
  <si>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</si>
  <si>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</si>
  <si>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</si>
  <si>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</si>
  <si>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</si>
  <si>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</si>
  <si>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</si>
  <si>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</si>
  <si>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</si>
  <si>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</si>
  <si>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</si>
  <si>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</si>
  <si>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</si>
  <si>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</si>
  <si>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</si>
  <si>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</si>
  <si>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</si>
  <si>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</si>
  <si>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</si>
  <si>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</si>
  <si>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</si>
  <si>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</si>
  <si>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</si>
  <si>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</si>
  <si>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</si>
  <si>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</si>
  <si>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</si>
  <si>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</si>
  <si>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</si>
  <si>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</si>
  <si>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</si>
  <si>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</si>
  <si>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</si>
  <si>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</si>
  <si>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</si>
  <si>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</si>
  <si>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</si>
  <si>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</si>
  <si>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</si>
  <si>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18.07.2025</t>
  </si>
  <si>
    <t>21.07.2025</t>
  </si>
  <si>
    <t>KZKD00001095</t>
  </si>
  <si>
    <t>KZKD00001087</t>
  </si>
  <si>
    <t>KZ96601A861038102391</t>
  </si>
  <si>
    <t>KZKD00001137</t>
  </si>
  <si>
    <t>18.07.2024</t>
  </si>
  <si>
    <t>12.04.2028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</si>
  <si>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</si>
  <si>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</si>
  <si>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</si>
  <si>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</si>
  <si>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</si>
  <si>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</si>
  <si>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</si>
  <si>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</si>
  <si>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</si>
  <si>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KZKD00001152</t>
  </si>
  <si>
    <t>26.07.2032</t>
  </si>
  <si>
    <t>KZKD00001160</t>
  </si>
  <si>
    <t>28.07.2029</t>
  </si>
  <si>
    <t>KZKD00001129</t>
  </si>
  <si>
    <t>17.03.2031</t>
  </si>
  <si>
    <t>KZKD00000790</t>
  </si>
  <si>
    <t>10.07.2025</t>
  </si>
  <si>
    <t>13.08.2029</t>
  </si>
  <si>
    <t>KZK100000373</t>
  </si>
  <si>
    <t>06.02.2026</t>
  </si>
  <si>
    <t>KZK200000687</t>
  </si>
  <si>
    <t>21.01.2026</t>
  </si>
  <si>
    <t>KZKD00000535</t>
  </si>
  <si>
    <t>27.03.2027</t>
  </si>
  <si>
    <t>31.03.2029</t>
  </si>
  <si>
    <t>KZKD00000832</t>
  </si>
  <si>
    <t>29.01.2035</t>
  </si>
  <si>
    <t>KZKD00000949</t>
  </si>
  <si>
    <t>16.04.2032</t>
  </si>
  <si>
    <t>20.07.2025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</si>
</sst>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3" fontId="10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27" workbookViewId="0">
      <selection activeCell="G63" sqref="G63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L23</f>
        <v>22179421728.407631</v>
      </c>
    </row>
    <row r="2" spans="1:17" x14ac:dyDescent="0.2">
      <c r="A2" s="6" t="s">
        <v>64</v>
      </c>
      <c r="B2" s="6" t="s">
        <v>106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74</v>
      </c>
      <c r="C8" s="14">
        <v>1897500</v>
      </c>
      <c r="D8" s="15">
        <v>1897500000</v>
      </c>
      <c r="E8" s="16">
        <v>10.4</v>
      </c>
      <c r="F8" s="17" t="s">
        <v>75</v>
      </c>
      <c r="G8" s="17" t="s">
        <v>76</v>
      </c>
      <c r="H8" s="16">
        <v>1736743800</v>
      </c>
      <c r="I8" s="18"/>
      <c r="J8" s="18"/>
      <c r="K8" s="16">
        <v>53720333.333333328</v>
      </c>
      <c r="L8" s="16">
        <v>1675781130.833333</v>
      </c>
      <c r="M8" s="19">
        <f t="shared" ref="M8:M21" si="0">L8/$Q$1</f>
        <v>7.5555672792270115E-2</v>
      </c>
      <c r="O8" s="8">
        <v>749863.88888888899</v>
      </c>
    </row>
    <row r="9" spans="1:17" x14ac:dyDescent="0.2">
      <c r="A9" s="13" t="s">
        <v>66</v>
      </c>
      <c r="B9" s="13" t="s">
        <v>77</v>
      </c>
      <c r="C9" s="14">
        <v>1897500</v>
      </c>
      <c r="D9" s="15">
        <v>1897500000</v>
      </c>
      <c r="E9" s="16">
        <v>8.07</v>
      </c>
      <c r="F9" s="17" t="s">
        <v>75</v>
      </c>
      <c r="G9" s="17" t="s">
        <v>78</v>
      </c>
      <c r="H9" s="16">
        <v>1359122325</v>
      </c>
      <c r="I9" s="18"/>
      <c r="J9" s="18"/>
      <c r="K9" s="16">
        <v>28924225</v>
      </c>
      <c r="L9" s="16">
        <v>1264227085</v>
      </c>
      <c r="M9" s="19">
        <f t="shared" si="0"/>
        <v>5.7000002095670736E-2</v>
      </c>
      <c r="O9" s="8">
        <v>749863.88888888899</v>
      </c>
    </row>
    <row r="10" spans="1:17" x14ac:dyDescent="0.2">
      <c r="A10" s="13" t="s">
        <v>79</v>
      </c>
      <c r="B10" s="13" t="s">
        <v>80</v>
      </c>
      <c r="C10" s="14">
        <v>992234</v>
      </c>
      <c r="D10" s="15">
        <v>992234000</v>
      </c>
      <c r="E10" s="16">
        <v>14.3</v>
      </c>
      <c r="F10" s="17" t="s">
        <v>81</v>
      </c>
      <c r="G10" s="17" t="s">
        <v>82</v>
      </c>
      <c r="H10" s="16">
        <v>991722999.49000001</v>
      </c>
      <c r="I10" s="18"/>
      <c r="J10" s="18"/>
      <c r="K10" s="16">
        <v>124941554.03888901</v>
      </c>
      <c r="L10" s="16">
        <v>1057270203.0965233</v>
      </c>
      <c r="M10" s="19">
        <f t="shared" si="0"/>
        <v>4.7668970636072117E-2</v>
      </c>
      <c r="O10" s="8">
        <v>749863.88888888899</v>
      </c>
    </row>
    <row r="11" spans="1:17" x14ac:dyDescent="0.2">
      <c r="A11" s="13" t="s">
        <v>66</v>
      </c>
      <c r="B11" s="13" t="s">
        <v>83</v>
      </c>
      <c r="C11" s="14">
        <v>550000</v>
      </c>
      <c r="D11" s="15">
        <v>550000000</v>
      </c>
      <c r="E11" s="16">
        <v>12</v>
      </c>
      <c r="F11" s="17" t="s">
        <v>84</v>
      </c>
      <c r="G11" s="17" t="s">
        <v>85</v>
      </c>
      <c r="H11" s="16">
        <v>491343050</v>
      </c>
      <c r="I11" s="18"/>
      <c r="J11" s="18"/>
      <c r="K11" s="16">
        <v>24383333.333333328</v>
      </c>
      <c r="L11" s="16">
        <v>496040783.33333302</v>
      </c>
      <c r="M11" s="19">
        <f t="shared" si="0"/>
        <v>2.2364910564733022E-2</v>
      </c>
      <c r="O11" s="8">
        <v>749863.88888888899</v>
      </c>
    </row>
    <row r="12" spans="1:17" x14ac:dyDescent="0.2">
      <c r="A12" s="13" t="s">
        <v>66</v>
      </c>
      <c r="B12" s="13" t="s">
        <v>86</v>
      </c>
      <c r="C12" s="14">
        <v>1897500</v>
      </c>
      <c r="D12" s="15">
        <v>1897500000</v>
      </c>
      <c r="E12" s="16">
        <v>10.65</v>
      </c>
      <c r="F12" s="17" t="s">
        <v>75</v>
      </c>
      <c r="G12" s="17" t="s">
        <v>87</v>
      </c>
      <c r="H12" s="16">
        <v>1648500562.5</v>
      </c>
      <c r="I12" s="18"/>
      <c r="J12" s="18"/>
      <c r="K12" s="16">
        <v>198715687.5</v>
      </c>
      <c r="L12" s="16">
        <v>1690270230</v>
      </c>
      <c r="M12" s="19">
        <f t="shared" si="0"/>
        <v>7.6208940462820299E-2</v>
      </c>
      <c r="O12" s="8">
        <v>749863.88888888899</v>
      </c>
    </row>
    <row r="13" spans="1:17" x14ac:dyDescent="0.2">
      <c r="A13" s="13" t="s">
        <v>66</v>
      </c>
      <c r="B13" s="13" t="s">
        <v>88</v>
      </c>
      <c r="C13" s="14">
        <v>1897500</v>
      </c>
      <c r="D13" s="15">
        <v>1897500000</v>
      </c>
      <c r="E13" s="16">
        <v>10.55</v>
      </c>
      <c r="F13" s="17" t="s">
        <v>75</v>
      </c>
      <c r="G13" s="17" t="s">
        <v>89</v>
      </c>
      <c r="H13" s="16">
        <v>1708326839.9966669</v>
      </c>
      <c r="I13" s="18"/>
      <c r="J13" s="18"/>
      <c r="K13" s="16">
        <v>195737666.66666701</v>
      </c>
      <c r="L13" s="16">
        <v>1764696926.666666</v>
      </c>
      <c r="M13" s="19">
        <f t="shared" si="0"/>
        <v>7.9564604897089095E-2</v>
      </c>
      <c r="O13" s="8">
        <v>749863.88888888899</v>
      </c>
    </row>
    <row r="14" spans="1:17" x14ac:dyDescent="0.2">
      <c r="A14" s="13" t="s">
        <v>66</v>
      </c>
      <c r="B14" s="13" t="s">
        <v>90</v>
      </c>
      <c r="C14" s="14">
        <v>1897500</v>
      </c>
      <c r="D14" s="15">
        <v>1897500000</v>
      </c>
      <c r="E14" s="16">
        <v>10.3</v>
      </c>
      <c r="F14" s="17" t="s">
        <v>75</v>
      </c>
      <c r="G14" s="17" t="s">
        <v>91</v>
      </c>
      <c r="H14" s="16">
        <v>1645329839.996666</v>
      </c>
      <c r="I14" s="18"/>
      <c r="J14" s="18"/>
      <c r="K14" s="16">
        <v>66776187.499999993</v>
      </c>
      <c r="L14" s="16">
        <v>1564180722.499999</v>
      </c>
      <c r="M14" s="19">
        <f t="shared" si="0"/>
        <v>7.052396323284571E-2</v>
      </c>
      <c r="O14" s="8">
        <v>749863.88888888899</v>
      </c>
    </row>
    <row r="15" spans="1:17" x14ac:dyDescent="0.2">
      <c r="A15" s="13" t="s">
        <v>66</v>
      </c>
      <c r="B15" s="13" t="s">
        <v>92</v>
      </c>
      <c r="C15" s="14">
        <v>2469500</v>
      </c>
      <c r="D15" s="15">
        <v>2469500000</v>
      </c>
      <c r="E15" s="16">
        <v>7.68</v>
      </c>
      <c r="F15" s="17" t="s">
        <v>93</v>
      </c>
      <c r="G15" s="17" t="s">
        <v>94</v>
      </c>
      <c r="H15" s="16">
        <v>1827657194</v>
      </c>
      <c r="I15" s="18"/>
      <c r="J15" s="18"/>
      <c r="K15" s="16">
        <v>177540586.66666701</v>
      </c>
      <c r="L15" s="16">
        <v>2020417309.166666</v>
      </c>
      <c r="M15" s="19">
        <f t="shared" si="0"/>
        <v>9.1094228420702902E-2</v>
      </c>
      <c r="O15" s="8">
        <v>749863.88888888899</v>
      </c>
    </row>
    <row r="16" spans="1:17" x14ac:dyDescent="0.2">
      <c r="A16" s="13" t="s">
        <v>66</v>
      </c>
      <c r="B16" s="13" t="s">
        <v>95</v>
      </c>
      <c r="C16" s="14">
        <v>11424000</v>
      </c>
      <c r="D16" s="15">
        <v>1142400000</v>
      </c>
      <c r="E16" s="16">
        <v>0</v>
      </c>
      <c r="F16" s="17" t="s">
        <v>84</v>
      </c>
      <c r="G16" s="17" t="s">
        <v>96</v>
      </c>
      <c r="H16" s="16">
        <v>1003902278.4</v>
      </c>
      <c r="I16" s="18"/>
      <c r="J16" s="18"/>
      <c r="K16" s="16"/>
      <c r="L16" s="16">
        <v>1045362259.2</v>
      </c>
      <c r="M16" s="19">
        <f t="shared" si="0"/>
        <v>4.7132079095691178E-2</v>
      </c>
      <c r="O16" s="8">
        <v>749863.88888888899</v>
      </c>
    </row>
    <row r="17" spans="1:17" x14ac:dyDescent="0.2">
      <c r="A17" s="13" t="s">
        <v>66</v>
      </c>
      <c r="B17" s="13" t="s">
        <v>97</v>
      </c>
      <c r="C17" s="14">
        <v>2530000</v>
      </c>
      <c r="D17" s="15">
        <v>2530000000</v>
      </c>
      <c r="E17" s="16">
        <v>10.67</v>
      </c>
      <c r="F17" s="17" t="s">
        <v>75</v>
      </c>
      <c r="G17" s="17" t="s">
        <v>98</v>
      </c>
      <c r="H17" s="16">
        <v>2455119589.9966769</v>
      </c>
      <c r="I17" s="18"/>
      <c r="J17" s="18"/>
      <c r="K17" s="16">
        <v>134225636.11111099</v>
      </c>
      <c r="L17" s="16">
        <v>2592892286.1111112</v>
      </c>
      <c r="M17" s="19">
        <f t="shared" si="0"/>
        <v>0.11690531510973111</v>
      </c>
      <c r="O17" s="8">
        <v>749863.88888888899</v>
      </c>
    </row>
    <row r="18" spans="1:17" x14ac:dyDescent="0.2">
      <c r="A18" s="13" t="s">
        <v>66</v>
      </c>
      <c r="B18" s="13" t="s">
        <v>99</v>
      </c>
      <c r="C18" s="14">
        <v>3162500</v>
      </c>
      <c r="D18" s="15">
        <v>3162500000</v>
      </c>
      <c r="E18" s="16">
        <v>5.49</v>
      </c>
      <c r="F18" s="17" t="s">
        <v>75</v>
      </c>
      <c r="G18" s="17" t="s">
        <v>100</v>
      </c>
      <c r="H18" s="16">
        <v>2627740225</v>
      </c>
      <c r="I18" s="18"/>
      <c r="J18" s="18"/>
      <c r="K18" s="16">
        <v>54497781.25</v>
      </c>
      <c r="L18" s="16">
        <v>2682750331.25</v>
      </c>
      <c r="M18" s="19">
        <f t="shared" si="0"/>
        <v>0.1209567302565831</v>
      </c>
      <c r="O18" s="8">
        <v>749863.88888888899</v>
      </c>
    </row>
    <row r="19" spans="1:17" x14ac:dyDescent="0.2">
      <c r="A19" s="13" t="s">
        <v>66</v>
      </c>
      <c r="B19" s="13" t="s">
        <v>72</v>
      </c>
      <c r="C19" s="14">
        <v>1897500</v>
      </c>
      <c r="D19" s="15">
        <v>1897500000</v>
      </c>
      <c r="E19" s="16">
        <v>11</v>
      </c>
      <c r="F19" s="17" t="s">
        <v>75</v>
      </c>
      <c r="G19" s="17" t="s">
        <v>101</v>
      </c>
      <c r="H19" s="16">
        <v>1743261712.5</v>
      </c>
      <c r="I19" s="18"/>
      <c r="J19" s="18"/>
      <c r="K19" s="16">
        <v>63777083.333333328</v>
      </c>
      <c r="L19" s="16">
        <v>1664593470.833333</v>
      </c>
      <c r="M19" s="19">
        <f t="shared" si="0"/>
        <v>7.5051256575427508E-2</v>
      </c>
      <c r="O19" s="8">
        <v>749863.88888888899</v>
      </c>
    </row>
    <row r="20" spans="1:17" x14ac:dyDescent="0.2">
      <c r="A20" s="13" t="s">
        <v>66</v>
      </c>
      <c r="B20" s="13" t="s">
        <v>102</v>
      </c>
      <c r="C20" s="14">
        <v>1897500</v>
      </c>
      <c r="D20" s="15">
        <v>1897500000</v>
      </c>
      <c r="E20" s="16">
        <v>8.07</v>
      </c>
      <c r="F20" s="17" t="s">
        <v>75</v>
      </c>
      <c r="G20" s="17" t="s">
        <v>103</v>
      </c>
      <c r="H20" s="16">
        <v>1338524962.5</v>
      </c>
      <c r="I20" s="18"/>
      <c r="J20" s="18"/>
      <c r="K20" s="16">
        <v>72735918.75</v>
      </c>
      <c r="L20" s="16">
        <v>1286227016.25</v>
      </c>
      <c r="M20" s="19">
        <f t="shared" si="0"/>
        <v>5.7991909437502931E-2</v>
      </c>
      <c r="O20" s="8">
        <v>749863.88888888899</v>
      </c>
    </row>
    <row r="21" spans="1:17" x14ac:dyDescent="0.2">
      <c r="A21" s="13" t="s">
        <v>66</v>
      </c>
      <c r="B21" s="13" t="s">
        <v>104</v>
      </c>
      <c r="C21" s="14">
        <v>1897500</v>
      </c>
      <c r="D21" s="15">
        <v>1897500000</v>
      </c>
      <c r="E21" s="16">
        <v>8.4499999999999993</v>
      </c>
      <c r="F21" s="17" t="s">
        <v>75</v>
      </c>
      <c r="G21" s="17" t="s">
        <v>105</v>
      </c>
      <c r="H21" s="16">
        <v>1457889097.496666</v>
      </c>
      <c r="I21" s="18"/>
      <c r="J21" s="18"/>
      <c r="K21" s="16">
        <v>41866229.166666657</v>
      </c>
      <c r="L21" s="16">
        <v>1374711974.166666</v>
      </c>
      <c r="M21" s="19">
        <f t="shared" si="0"/>
        <v>6.1981416422860154E-2</v>
      </c>
      <c r="O21" s="8">
        <v>749863.88888888899</v>
      </c>
    </row>
    <row r="22" spans="1:17" hidden="1" x14ac:dyDescent="0.2">
      <c r="A22" s="13"/>
      <c r="B22" s="13"/>
      <c r="C22" s="13"/>
      <c r="D22" s="16"/>
      <c r="E22" s="16"/>
      <c r="F22" s="17"/>
      <c r="G22" s="17"/>
      <c r="H22" s="16"/>
      <c r="I22" s="18"/>
      <c r="J22" s="18"/>
      <c r="K22" s="16"/>
      <c r="L22" s="16"/>
      <c r="M22" s="19"/>
    </row>
    <row r="23" spans="1:17" x14ac:dyDescent="0.2">
      <c r="A23" s="13"/>
      <c r="B23" s="20" t="s">
        <v>5</v>
      </c>
      <c r="C23" s="13"/>
      <c r="D23" s="21">
        <f>SUM(D8:D22)</f>
        <v>26026634000</v>
      </c>
      <c r="E23" s="22"/>
      <c r="F23" s="23"/>
      <c r="G23" s="23"/>
      <c r="H23" s="21">
        <f>SUM(H8:H22)</f>
        <v>22035184476.876678</v>
      </c>
      <c r="I23" s="23"/>
      <c r="J23" s="23"/>
      <c r="K23" s="21">
        <f>SUM(K8:K22)</f>
        <v>1237842222.6500006</v>
      </c>
      <c r="L23" s="21">
        <f>SUM(L8:L22)</f>
        <v>22179421728.407631</v>
      </c>
      <c r="M23" s="24">
        <f>SUM(M8:M22)</f>
        <v>1.0000000000000002</v>
      </c>
    </row>
    <row r="25" spans="1:17" x14ac:dyDescent="0.2">
      <c r="A25" s="25" t="s">
        <v>35</v>
      </c>
    </row>
    <row r="26" spans="1:17" x14ac:dyDescent="0.2">
      <c r="A26" s="12" t="s">
        <v>68</v>
      </c>
      <c r="B26" s="26">
        <f>SUM(B27:B28)</f>
        <v>309427.16000000003</v>
      </c>
    </row>
    <row r="27" spans="1:17" x14ac:dyDescent="0.2">
      <c r="A27" s="27" t="s">
        <v>73</v>
      </c>
      <c r="B27" s="28">
        <v>309427.16000000003</v>
      </c>
    </row>
    <row r="28" spans="1:17" hidden="1" x14ac:dyDescent="0.2">
      <c r="A28" s="27"/>
      <c r="B28" s="29"/>
    </row>
    <row r="30" spans="1:17" x14ac:dyDescent="0.2">
      <c r="A30" s="11" t="s">
        <v>18</v>
      </c>
    </row>
    <row r="31" spans="1:17" ht="22.5" x14ac:dyDescent="0.2">
      <c r="A31" s="12" t="s">
        <v>23</v>
      </c>
      <c r="B31" s="12" t="s">
        <v>24</v>
      </c>
      <c r="C31" s="12" t="s">
        <v>25</v>
      </c>
      <c r="D31" s="12" t="s">
        <v>26</v>
      </c>
      <c r="E31" s="12" t="s">
        <v>19</v>
      </c>
      <c r="F31" s="12" t="s">
        <v>20</v>
      </c>
      <c r="G31" s="12" t="s">
        <v>27</v>
      </c>
      <c r="H31" s="12" t="s">
        <v>28</v>
      </c>
      <c r="I31" s="12" t="s">
        <v>29</v>
      </c>
      <c r="J31" s="12" t="s">
        <v>30</v>
      </c>
      <c r="K31" s="12" t="s">
        <v>31</v>
      </c>
      <c r="L31" s="12" t="s">
        <v>33</v>
      </c>
      <c r="M31" s="12" t="s">
        <v>32</v>
      </c>
      <c r="O31" s="7"/>
    </row>
    <row r="32" spans="1:17" x14ac:dyDescent="0.2">
      <c r="A32" s="30" t="s">
        <v>66</v>
      </c>
      <c r="B32" s="30" t="s">
        <v>67</v>
      </c>
      <c r="C32" s="31">
        <v>284142</v>
      </c>
      <c r="D32" s="30" t="s">
        <v>68</v>
      </c>
      <c r="E32" s="32" t="s">
        <v>69</v>
      </c>
      <c r="F32" s="32" t="s">
        <v>70</v>
      </c>
      <c r="G32" s="33">
        <v>612.38680001548505</v>
      </c>
      <c r="H32" s="33">
        <f>J32/C32</f>
        <v>613.17552568786027</v>
      </c>
      <c r="I32" s="34">
        <v>174004810.13</v>
      </c>
      <c r="J32" s="34">
        <v>174228920.22</v>
      </c>
      <c r="K32" s="35">
        <v>15.670100000000001</v>
      </c>
      <c r="L32" s="35">
        <v>149406.7266666666</v>
      </c>
      <c r="M32" s="29">
        <f>I32+L32</f>
        <v>174154216.85666665</v>
      </c>
      <c r="N32" s="8"/>
      <c r="O32" s="7"/>
      <c r="Q32" s="7">
        <v>1</v>
      </c>
    </row>
    <row r="33" spans="1:17" x14ac:dyDescent="0.2">
      <c r="A33" s="30" t="s">
        <v>66</v>
      </c>
      <c r="B33" s="30" t="s">
        <v>71</v>
      </c>
      <c r="C33" s="31">
        <v>33852</v>
      </c>
      <c r="D33" s="30" t="s">
        <v>68</v>
      </c>
      <c r="E33" s="32" t="s">
        <v>69</v>
      </c>
      <c r="F33" s="32" t="s">
        <v>70</v>
      </c>
      <c r="G33" s="33">
        <v>916.47300011816105</v>
      </c>
      <c r="H33" s="33">
        <f>J33/C33</f>
        <v>917.65562684627207</v>
      </c>
      <c r="I33" s="34">
        <v>31024444</v>
      </c>
      <c r="J33" s="34">
        <v>31064478.280000001</v>
      </c>
      <c r="K33" s="35">
        <v>15.7</v>
      </c>
      <c r="L33" s="35">
        <v>26689.52</v>
      </c>
      <c r="M33" s="29">
        <f>I33+L33</f>
        <v>31051133.52</v>
      </c>
      <c r="N33" s="8"/>
      <c r="O33" s="7"/>
      <c r="Q33" s="7">
        <v>1</v>
      </c>
    </row>
    <row r="34" spans="1:17" x14ac:dyDescent="0.2">
      <c r="A34" s="30" t="s">
        <v>66</v>
      </c>
      <c r="B34" s="30" t="s">
        <v>72</v>
      </c>
      <c r="C34" s="31">
        <v>5524722</v>
      </c>
      <c r="D34" s="30" t="s">
        <v>68</v>
      </c>
      <c r="E34" s="32" t="s">
        <v>69</v>
      </c>
      <c r="F34" s="32" t="s">
        <v>70</v>
      </c>
      <c r="G34" s="33">
        <v>876.6450000000001</v>
      </c>
      <c r="H34" s="33">
        <f>J34/C34</f>
        <v>877.77407793007501</v>
      </c>
      <c r="I34" s="34">
        <v>4843219917.6899996</v>
      </c>
      <c r="J34" s="34">
        <v>4849457759.3699999</v>
      </c>
      <c r="K34" s="35">
        <v>15.670100000000001</v>
      </c>
      <c r="L34" s="35">
        <v>4158561.12</v>
      </c>
      <c r="M34" s="29">
        <f>I34+L34</f>
        <v>4847378478.8099995</v>
      </c>
      <c r="N34" s="8"/>
      <c r="O34" s="7"/>
      <c r="Q34" s="7">
        <v>1</v>
      </c>
    </row>
    <row r="35" spans="1:17" hidden="1" x14ac:dyDescent="0.2">
      <c r="A35" s="30"/>
      <c r="B35" s="30"/>
      <c r="C35" s="31"/>
      <c r="D35" s="30"/>
      <c r="E35" s="32"/>
      <c r="F35" s="32"/>
      <c r="G35" s="33"/>
      <c r="H35" s="33"/>
      <c r="I35" s="34"/>
      <c r="J35" s="34"/>
      <c r="K35" s="35"/>
      <c r="L35" s="29"/>
      <c r="M35" s="29"/>
      <c r="N35" s="8"/>
      <c r="O35" s="7"/>
    </row>
    <row r="36" spans="1:17" s="11" customFormat="1" x14ac:dyDescent="0.2">
      <c r="A36" s="36"/>
      <c r="B36" s="37" t="s">
        <v>5</v>
      </c>
      <c r="C36" s="36"/>
      <c r="D36" s="36"/>
      <c r="E36" s="36"/>
      <c r="F36" s="36"/>
      <c r="G36" s="36"/>
      <c r="H36" s="36"/>
      <c r="I36" s="36"/>
      <c r="J36" s="36"/>
      <c r="K36" s="36"/>
      <c r="L36" s="36" t="s">
        <v>44</v>
      </c>
      <c r="M36" s="38">
        <f>SUMIF(Q32:Q35,1,M32:M35)</f>
        <v>5052583829.1866665</v>
      </c>
      <c r="O36" s="39"/>
    </row>
    <row r="38" spans="1:17" ht="22.5" x14ac:dyDescent="0.2">
      <c r="A38" s="25" t="s">
        <v>37</v>
      </c>
    </row>
    <row r="39" spans="1:17" ht="22.5" x14ac:dyDescent="0.2">
      <c r="A39" s="12" t="s">
        <v>7</v>
      </c>
      <c r="B39" s="12" t="s">
        <v>38</v>
      </c>
      <c r="C39" s="12" t="s">
        <v>26</v>
      </c>
      <c r="D39" s="12" t="s">
        <v>39</v>
      </c>
      <c r="E39" s="12" t="s">
        <v>25</v>
      </c>
      <c r="F39" s="12" t="s">
        <v>40</v>
      </c>
      <c r="G39" s="12" t="s">
        <v>41</v>
      </c>
      <c r="N39" s="8"/>
      <c r="O39" s="7"/>
    </row>
    <row r="40" spans="1:17" hidden="1" x14ac:dyDescent="0.2">
      <c r="A40" s="40"/>
      <c r="B40" s="40"/>
      <c r="C40" s="30"/>
      <c r="D40" s="41"/>
      <c r="E40" s="27"/>
      <c r="F40" s="27"/>
      <c r="G40" s="29"/>
      <c r="N40" s="8"/>
      <c r="O40" s="7"/>
    </row>
    <row r="41" spans="1:17" s="11" customFormat="1" x14ac:dyDescent="0.2">
      <c r="A41" s="42"/>
      <c r="B41" s="43" t="s">
        <v>5</v>
      </c>
      <c r="C41" s="44"/>
      <c r="D41" s="45"/>
      <c r="E41" s="46">
        <f>SUM(E40:E40)</f>
        <v>0</v>
      </c>
      <c r="F41" s="38">
        <f>SUM(F40:F40)</f>
        <v>0</v>
      </c>
      <c r="G41" s="38">
        <f>SUM(G40:G40)</f>
        <v>0</v>
      </c>
      <c r="N41" s="39"/>
    </row>
    <row r="42" spans="1:17" x14ac:dyDescent="0.2">
      <c r="A42" s="47"/>
      <c r="D42" s="48"/>
      <c r="G42" s="49"/>
    </row>
    <row r="43" spans="1:17" x14ac:dyDescent="0.2">
      <c r="A43" s="50" t="s">
        <v>22</v>
      </c>
      <c r="B43" s="51">
        <f>B27+L23+M36</f>
        <v>27232314984.754295</v>
      </c>
    </row>
    <row r="44" spans="1:17" x14ac:dyDescent="0.2">
      <c r="D44" s="52"/>
      <c r="E44" s="52"/>
    </row>
    <row r="46" spans="1:17" x14ac:dyDescent="0.2">
      <c r="A46" s="50" t="s">
        <v>47</v>
      </c>
      <c r="B46" s="50"/>
      <c r="C46" s="50"/>
      <c r="F46" s="52"/>
      <c r="O46" s="7"/>
    </row>
    <row r="47" spans="1:17" x14ac:dyDescent="0.2">
      <c r="O47" s="7"/>
    </row>
    <row r="48" spans="1:17" x14ac:dyDescent="0.2">
      <c r="A48" s="53" t="s">
        <v>48</v>
      </c>
      <c r="B48" s="53"/>
      <c r="C48" s="53"/>
      <c r="D48" s="53"/>
      <c r="O48" s="7"/>
    </row>
    <row r="49" spans="1:15" x14ac:dyDescent="0.2">
      <c r="O49" s="7"/>
    </row>
    <row r="50" spans="1:15" ht="22.5" x14ac:dyDescent="0.2">
      <c r="A50" s="12" t="s">
        <v>7</v>
      </c>
      <c r="B50" s="12" t="s">
        <v>38</v>
      </c>
      <c r="C50" s="12" t="s">
        <v>26</v>
      </c>
      <c r="D50" s="12" t="s">
        <v>39</v>
      </c>
      <c r="E50" s="12" t="s">
        <v>25</v>
      </c>
      <c r="F50" s="12" t="s">
        <v>40</v>
      </c>
      <c r="G50" s="12" t="s">
        <v>41</v>
      </c>
      <c r="O50" s="7"/>
    </row>
    <row r="51" spans="1:15" hidden="1" x14ac:dyDescent="0.2">
      <c r="A51" s="54"/>
      <c r="B51" s="54"/>
      <c r="C51" s="54"/>
      <c r="D51" s="54"/>
      <c r="E51" s="54"/>
      <c r="F51" s="54"/>
      <c r="G51" s="54"/>
      <c r="O51" s="7"/>
    </row>
    <row r="52" spans="1:15" s="11" customFormat="1" x14ac:dyDescent="0.2">
      <c r="A52" s="36"/>
      <c r="B52" s="37" t="s">
        <v>5</v>
      </c>
      <c r="C52" s="36"/>
      <c r="D52" s="36"/>
      <c r="E52" s="46">
        <f>SUM(E51:E51)</f>
        <v>0</v>
      </c>
      <c r="F52" s="38">
        <f>SUM(F51:F51)</f>
        <v>0</v>
      </c>
      <c r="G52" s="38">
        <f>SUM(G51:G51)</f>
        <v>0</v>
      </c>
    </row>
    <row r="53" spans="1:15" s="11" customFormat="1" x14ac:dyDescent="0.2">
      <c r="B53" s="55"/>
    </row>
    <row r="54" spans="1:15" x14ac:dyDescent="0.2">
      <c r="A54" s="53" t="s">
        <v>49</v>
      </c>
      <c r="B54" s="53"/>
      <c r="O54" s="7"/>
    </row>
    <row r="55" spans="1:15" x14ac:dyDescent="0.2">
      <c r="O55" s="7"/>
    </row>
    <row r="56" spans="1:15" x14ac:dyDescent="0.2">
      <c r="A56" s="12" t="s">
        <v>7</v>
      </c>
      <c r="B56" s="12" t="s">
        <v>38</v>
      </c>
      <c r="C56" s="12" t="s">
        <v>50</v>
      </c>
      <c r="D56" s="12" t="s">
        <v>51</v>
      </c>
      <c r="O56" s="7"/>
    </row>
    <row r="57" spans="1:15" x14ac:dyDescent="0.2">
      <c r="A57" s="22" t="s">
        <v>52</v>
      </c>
      <c r="B57" s="22">
        <v>1</v>
      </c>
      <c r="C57" s="22">
        <v>2</v>
      </c>
      <c r="D57" s="22">
        <v>3</v>
      </c>
      <c r="O57" s="7"/>
    </row>
    <row r="58" spans="1:15" x14ac:dyDescent="0.2">
      <c r="A58" s="22">
        <v>1</v>
      </c>
      <c r="B58" s="54" t="s">
        <v>53</v>
      </c>
      <c r="C58" s="56">
        <v>-7.55</v>
      </c>
      <c r="D58" s="22"/>
      <c r="E58" s="52"/>
      <c r="O58" s="7"/>
    </row>
    <row r="59" spans="1:15" x14ac:dyDescent="0.2">
      <c r="A59" s="22">
        <v>2</v>
      </c>
      <c r="B59" s="54" t="s">
        <v>54</v>
      </c>
      <c r="C59" s="56">
        <v>0</v>
      </c>
      <c r="D59" s="22"/>
      <c r="E59" s="52"/>
      <c r="O59" s="7"/>
    </row>
    <row r="60" spans="1:15" x14ac:dyDescent="0.2">
      <c r="A60" s="22">
        <v>3</v>
      </c>
      <c r="B60" s="54" t="s">
        <v>55</v>
      </c>
      <c r="C60" s="56">
        <v>90000</v>
      </c>
      <c r="D60" s="22"/>
      <c r="O60" s="7"/>
    </row>
    <row r="61" spans="1:15" x14ac:dyDescent="0.2">
      <c r="A61" s="22">
        <v>4</v>
      </c>
      <c r="B61" s="54" t="s">
        <v>56</v>
      </c>
      <c r="C61" s="56">
        <v>0</v>
      </c>
      <c r="D61" s="22"/>
      <c r="O61" s="7"/>
    </row>
    <row r="62" spans="1:15" ht="22.5" x14ac:dyDescent="0.2">
      <c r="A62" s="22">
        <v>5</v>
      </c>
      <c r="B62" s="57" t="s">
        <v>57</v>
      </c>
      <c r="C62" s="56">
        <v>455246.77</v>
      </c>
      <c r="D62" s="22"/>
      <c r="F62" s="52"/>
      <c r="O62" s="7"/>
    </row>
    <row r="63" spans="1:15" x14ac:dyDescent="0.2">
      <c r="A63" s="22">
        <v>6</v>
      </c>
      <c r="B63" s="54" t="s">
        <v>58</v>
      </c>
      <c r="C63" s="56">
        <v>431861.19</v>
      </c>
      <c r="D63" s="56"/>
      <c r="G63" s="52"/>
      <c r="O63" s="7"/>
    </row>
    <row r="64" spans="1:15" x14ac:dyDescent="0.2">
      <c r="A64" s="22">
        <v>7</v>
      </c>
      <c r="B64" s="54" t="s">
        <v>59</v>
      </c>
      <c r="C64" s="56">
        <v>287367.75</v>
      </c>
      <c r="D64" s="56"/>
      <c r="O64" s="7"/>
    </row>
    <row r="65" spans="1:15" x14ac:dyDescent="0.2">
      <c r="A65" s="22">
        <v>8</v>
      </c>
      <c r="B65" s="54" t="s">
        <v>60</v>
      </c>
      <c r="C65" s="56">
        <v>0</v>
      </c>
      <c r="D65" s="22"/>
      <c r="O65" s="7"/>
    </row>
    <row r="66" spans="1:15" ht="22.5" x14ac:dyDescent="0.2">
      <c r="A66" s="22">
        <v>9</v>
      </c>
      <c r="B66" s="57" t="s">
        <v>61</v>
      </c>
      <c r="C66" s="56">
        <v>0</v>
      </c>
      <c r="D66" s="22"/>
      <c r="O66" s="7"/>
    </row>
    <row r="67" spans="1:15" ht="22.5" x14ac:dyDescent="0.2">
      <c r="A67" s="22">
        <v>10</v>
      </c>
      <c r="B67" s="57" t="s">
        <v>62</v>
      </c>
      <c r="C67" s="56">
        <v>0</v>
      </c>
      <c r="D67" s="22"/>
      <c r="E67" s="52"/>
      <c r="O67" s="7"/>
    </row>
    <row r="68" spans="1:15" x14ac:dyDescent="0.2">
      <c r="A68" s="58" t="s">
        <v>63</v>
      </c>
      <c r="B68" s="58"/>
      <c r="C68" s="59">
        <f>SUM(C58:C67)</f>
        <v>1264468.1599999999</v>
      </c>
      <c r="D68" s="54"/>
      <c r="O68" s="7"/>
    </row>
    <row r="70" spans="1:15" x14ac:dyDescent="0.2">
      <c r="C70" s="49"/>
    </row>
    <row r="71" spans="1:15" x14ac:dyDescent="0.2">
      <c r="C71" s="52"/>
    </row>
    <row r="72" spans="1:15" x14ac:dyDescent="0.2">
      <c r="C72" s="52"/>
      <c r="D72" s="52"/>
    </row>
    <row r="73" spans="1:15" x14ac:dyDescent="0.2">
      <c r="C73" s="52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20.07.2025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2025-07-21T05:34:24Z</dcterms:created>
  <dcterms:modified xsi:type="dcterms:W3CDTF">2025-07-21T05:37:22Z</dcterms:modified>
</cp:coreProperties>
</file>