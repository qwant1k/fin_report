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9.2025\"/>
    </mc:Choice>
  </mc:AlternateContent>
  <xr:revisionPtr revIDLastSave="0" documentId="13_ncr:1_{ABD96877-0865-437F-84D0-EBD0F1C910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ДУ!$40:$40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6" i="1" l="1"/>
  <c r="D45" i="1"/>
  <c r="B59" i="1"/>
  <c r="G43" i="1"/>
  <c r="A40" i="1"/>
  <c r="A41" i="1" s="1"/>
  <c r="M36" i="1"/>
  <c r="J34" i="1"/>
  <c r="I34" i="1"/>
  <c r="J33" i="1"/>
  <c r="I33" i="1"/>
  <c r="J32" i="1"/>
  <c r="I32" i="1"/>
  <c r="L24" i="1"/>
  <c r="B45" i="1" s="1"/>
  <c r="K24" i="1"/>
  <c r="M4" i="1" l="1"/>
  <c r="M8" i="1"/>
  <c r="M12" i="1"/>
  <c r="M16" i="1"/>
  <c r="M20" i="1"/>
  <c r="M5" i="1"/>
  <c r="M9" i="1"/>
  <c r="M13" i="1"/>
  <c r="M17" i="1"/>
  <c r="M21" i="1"/>
  <c r="M6" i="1"/>
  <c r="M10" i="1"/>
  <c r="M14" i="1"/>
  <c r="M18" i="1"/>
  <c r="M22" i="1"/>
  <c r="M7" i="1"/>
  <c r="M11" i="1"/>
  <c r="M15" i="1"/>
  <c r="M19" i="1"/>
</calcChain>
</file>

<file path=xl/sharedStrings.xml><?xml version="1.0" encoding="utf-8"?>
<sst xmlns="http://schemas.openxmlformats.org/spreadsheetml/2006/main" count="151" uniqueCount="117">
  <si>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</si>
  <si>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</si>
  <si>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</si>
  <si>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</si>
  <si>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</si>
  <si>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</si>
  <si>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</si>
  <si>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</si>
  <si>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</si>
  <si>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</si>
  <si>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</si>
  <si>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</si>
  <si>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</si>
  <si>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</si>
  <si>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</si>
  <si>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</si>
  <si>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</si>
  <si>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</si>
  <si>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</si>
  <si>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</si>
  <si>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</si>
  <si>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</si>
  <si>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</si>
  <si>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</si>
  <si>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</si>
  <si>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</si>
  <si>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</si>
  <si>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</si>
  <si>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</si>
  <si>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</si>
  <si>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</si>
  <si>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</si>
  <si>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</si>
  <si>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</si>
  <si>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</si>
  <si>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</si>
  <si>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</si>
  <si>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</si>
  <si>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</si>
  <si>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</si>
  <si>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</si>
  <si>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</si>
  <si>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</si>
  <si>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</si>
  <si>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</si>
  <si>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</si>
  <si>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</si>
  <si>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</si>
  <si>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</si>
  <si>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KZ2C00011245 _BTRKb14</t>
  </si>
  <si>
    <t>KZT</t>
  </si>
  <si>
    <t>10.09.2025</t>
  </si>
  <si>
    <t>МИНИСТЕРСТВО ФИНАНСОВ РК, ГЦБ, MUM180_0004</t>
  </si>
  <si>
    <t>KZKD00000444</t>
  </si>
  <si>
    <t>12.09.2025</t>
  </si>
  <si>
    <t>15.09.2025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</si>
  <si>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</si>
  <si>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</si>
  <si>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</si>
  <si>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</si>
  <si>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</si>
  <si>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</si>
  <si>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</si>
  <si>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</si>
  <si>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</si>
  <si>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</si>
  <si>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</si>
  <si>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</si>
  <si>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</si>
  <si>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</si>
  <si>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</si>
  <si>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</si>
  <si>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</si>
  <si>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</si>
  <si>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</si>
  <si>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</si>
  <si>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</si>
  <si>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</si>
  <si>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</si>
  <si>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</si>
  <si>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</si>
  <si>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</si>
  <si>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</si>
  <si>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</si>
  <si>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</si>
  <si>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</si>
  <si>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</si>
  <si>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</si>
  <si>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</si>
  <si>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</si>
  <si>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</si>
  <si>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</si>
  <si>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</si>
  <si>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</si>
  <si>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</si>
  <si>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</si>
  <si>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</si>
  <si>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</si>
  <si>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</si>
  <si>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</si>
  <si>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</si>
  <si>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</si>
  <si>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</si>
  <si>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</si>
  <si>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</si>
  <si>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</si>
  <si>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</si>
  <si>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</si>
  <si>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</si>
  <si>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</si>
  <si>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</si>
  <si>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</si>
  <si>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</si>
  <si>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</si>
  <si>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</si>
  <si>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</si>
  <si>
    <t>14.09.2025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</si>
</sst>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3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8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1" xfId="3" applyBorder="1" applyAlignment="1">
      <alignment horizontal="left"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7" fillId="0" borderId="1" xfId="3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2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"/>
  <sheetViews>
    <sheetView tabSelected="1" topLeftCell="A30" zoomScale="90" zoomScaleNormal="90" workbookViewId="0">
      <selection activeCell="A37" sqref="A37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8.85546875" style="26" bestFit="1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116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56</v>
      </c>
      <c r="B4" s="13" t="s">
        <v>57</v>
      </c>
      <c r="C4" s="10">
        <v>3020000</v>
      </c>
      <c r="D4" s="11">
        <v>3020000000</v>
      </c>
      <c r="E4" s="3">
        <v>0.1067</v>
      </c>
      <c r="F4" s="4" t="s">
        <v>58</v>
      </c>
      <c r="G4" s="4" t="s">
        <v>59</v>
      </c>
      <c r="H4" s="11">
        <v>2930617060.0000029</v>
      </c>
      <c r="I4" s="11">
        <v>98.047700000000006</v>
      </c>
      <c r="J4" s="11">
        <v>99.618561111111106</v>
      </c>
      <c r="K4" s="11">
        <v>47440005.555555552</v>
      </c>
      <c r="L4" s="11">
        <v>3008480545.5555549</v>
      </c>
      <c r="M4" s="6">
        <f t="shared" ref="M4:M22" si="0">L4/$L$24</f>
        <v>0.10389307543912372</v>
      </c>
    </row>
    <row r="5" spans="1:13" x14ac:dyDescent="0.25">
      <c r="A5" s="1" t="s">
        <v>60</v>
      </c>
      <c r="B5" s="13" t="s">
        <v>61</v>
      </c>
      <c r="C5" s="10">
        <v>2265000</v>
      </c>
      <c r="D5" s="11">
        <v>2265000000</v>
      </c>
      <c r="E5" s="3">
        <v>0.10550000000000001</v>
      </c>
      <c r="F5" s="4" t="s">
        <v>58</v>
      </c>
      <c r="G5" s="4" t="s">
        <v>62</v>
      </c>
      <c r="H5" s="11">
        <v>2039188560.0000031</v>
      </c>
      <c r="I5" s="11">
        <v>82.319299999999998</v>
      </c>
      <c r="J5" s="11">
        <v>83.667355555555545</v>
      </c>
      <c r="K5" s="11">
        <v>30533458.333333328</v>
      </c>
      <c r="L5" s="11">
        <v>1895065603.333333</v>
      </c>
      <c r="M5" s="6">
        <f t="shared" si="0"/>
        <v>6.5443066926278326E-2</v>
      </c>
    </row>
    <row r="6" spans="1:13" x14ac:dyDescent="0.25">
      <c r="A6" s="1" t="s">
        <v>60</v>
      </c>
      <c r="B6" s="13" t="s">
        <v>61</v>
      </c>
      <c r="C6" s="10">
        <v>1551646</v>
      </c>
      <c r="D6" s="11">
        <v>1551646000</v>
      </c>
      <c r="E6" s="3">
        <v>0.10550000000000001</v>
      </c>
      <c r="F6" s="4" t="s">
        <v>63</v>
      </c>
      <c r="G6" s="4" t="s">
        <v>62</v>
      </c>
      <c r="H6" s="11">
        <v>1395452658.7</v>
      </c>
      <c r="I6" s="11">
        <v>82.319299999999998</v>
      </c>
      <c r="J6" s="11">
        <v>83.667355555555801</v>
      </c>
      <c r="K6" s="11">
        <v>20917050.105555549</v>
      </c>
      <c r="L6" s="11">
        <v>1298221175.7835591</v>
      </c>
      <c r="M6" s="6">
        <f t="shared" si="0"/>
        <v>4.4831996920040772E-2</v>
      </c>
    </row>
    <row r="7" spans="1:13" x14ac:dyDescent="0.25">
      <c r="A7" s="1" t="s">
        <v>60</v>
      </c>
      <c r="B7" s="13" t="s">
        <v>61</v>
      </c>
      <c r="C7" s="10">
        <v>545692</v>
      </c>
      <c r="D7" s="11">
        <v>545692000</v>
      </c>
      <c r="E7" s="3">
        <v>0.10550000000000001</v>
      </c>
      <c r="F7" s="4" t="s">
        <v>64</v>
      </c>
      <c r="G7" s="4" t="s">
        <v>62</v>
      </c>
      <c r="H7" s="11">
        <v>449784993.92000002</v>
      </c>
      <c r="I7" s="11">
        <v>82.319299999999998</v>
      </c>
      <c r="J7" s="11">
        <v>83.667355555555545</v>
      </c>
      <c r="K7" s="11">
        <v>7356231.3222222198</v>
      </c>
      <c r="L7" s="11">
        <v>456566065.87822199</v>
      </c>
      <c r="M7" s="6">
        <f t="shared" si="0"/>
        <v>1.5766780608006473E-2</v>
      </c>
    </row>
    <row r="8" spans="1:13" x14ac:dyDescent="0.25">
      <c r="A8" s="1" t="s">
        <v>65</v>
      </c>
      <c r="B8" s="13" t="s">
        <v>66</v>
      </c>
      <c r="C8" s="10">
        <v>2265000</v>
      </c>
      <c r="D8" s="11">
        <v>2265000000</v>
      </c>
      <c r="E8" s="3">
        <v>0.10400000000000001</v>
      </c>
      <c r="F8" s="4" t="s">
        <v>58</v>
      </c>
      <c r="G8" s="4" t="s">
        <v>67</v>
      </c>
      <c r="H8" s="11">
        <v>2073109200</v>
      </c>
      <c r="I8" s="11">
        <v>86.316699999999997</v>
      </c>
      <c r="J8" s="11">
        <v>90.707811111111113</v>
      </c>
      <c r="K8" s="11">
        <v>99458666.666666657</v>
      </c>
      <c r="L8" s="11">
        <v>2054531921.666666</v>
      </c>
      <c r="M8" s="6">
        <f t="shared" si="0"/>
        <v>7.0949981792348987E-2</v>
      </c>
    </row>
    <row r="9" spans="1:13" x14ac:dyDescent="0.25">
      <c r="A9" s="1" t="s">
        <v>68</v>
      </c>
      <c r="B9" s="13" t="s">
        <v>69</v>
      </c>
      <c r="C9" s="10">
        <v>2265000</v>
      </c>
      <c r="D9" s="11">
        <v>2265000000</v>
      </c>
      <c r="E9" s="3">
        <v>0.11</v>
      </c>
      <c r="F9" s="4" t="s">
        <v>58</v>
      </c>
      <c r="G9" s="4" t="s">
        <v>70</v>
      </c>
      <c r="H9" s="11">
        <v>2080889475</v>
      </c>
      <c r="I9" s="11">
        <v>84.322600000000008</v>
      </c>
      <c r="J9" s="11">
        <v>89.3337111111111</v>
      </c>
      <c r="K9" s="11">
        <v>113501666.666667</v>
      </c>
      <c r="L9" s="11">
        <v>2023408556.666666</v>
      </c>
      <c r="M9" s="6">
        <f t="shared" si="0"/>
        <v>6.9875186041171128E-2</v>
      </c>
    </row>
    <row r="10" spans="1:13" x14ac:dyDescent="0.25">
      <c r="A10" s="1" t="s">
        <v>71</v>
      </c>
      <c r="B10" s="13" t="s">
        <v>72</v>
      </c>
      <c r="C10" s="10">
        <v>2265000</v>
      </c>
      <c r="D10" s="11">
        <v>2265000000</v>
      </c>
      <c r="E10" s="3">
        <v>0.10300000000000001</v>
      </c>
      <c r="F10" s="4" t="s">
        <v>58</v>
      </c>
      <c r="G10" s="4" t="s">
        <v>73</v>
      </c>
      <c r="H10" s="11">
        <v>1963990560.0000031</v>
      </c>
      <c r="I10" s="11">
        <v>76.999700000000004</v>
      </c>
      <c r="J10" s="11">
        <v>82.063866666666655</v>
      </c>
      <c r="K10" s="11">
        <v>114703375</v>
      </c>
      <c r="L10" s="11">
        <v>1858746580</v>
      </c>
      <c r="M10" s="6">
        <f t="shared" si="0"/>
        <v>6.4188847404526864E-2</v>
      </c>
    </row>
    <row r="11" spans="1:13" x14ac:dyDescent="0.25">
      <c r="A11" s="1" t="s">
        <v>74</v>
      </c>
      <c r="B11" s="13" t="s">
        <v>75</v>
      </c>
      <c r="C11" s="10">
        <v>2265000</v>
      </c>
      <c r="D11" s="11">
        <v>2265000000</v>
      </c>
      <c r="E11" s="3">
        <v>8.4500000000000006E-2</v>
      </c>
      <c r="F11" s="4" t="s">
        <v>58</v>
      </c>
      <c r="G11" s="4" t="s">
        <v>76</v>
      </c>
      <c r="H11" s="11">
        <v>1740247065.0000031</v>
      </c>
      <c r="I11" s="11">
        <v>67.575500000000005</v>
      </c>
      <c r="J11" s="11">
        <v>71.04938888888887</v>
      </c>
      <c r="K11" s="11">
        <v>78683583.333333328</v>
      </c>
      <c r="L11" s="11">
        <v>1609268658.333333</v>
      </c>
      <c r="M11" s="6">
        <f t="shared" si="0"/>
        <v>5.5573525435966629E-2</v>
      </c>
    </row>
    <row r="12" spans="1:13" x14ac:dyDescent="0.25">
      <c r="A12" s="1" t="s">
        <v>77</v>
      </c>
      <c r="B12" s="13" t="s">
        <v>78</v>
      </c>
      <c r="C12" s="10">
        <v>2265000</v>
      </c>
      <c r="D12" s="11">
        <v>2265000000</v>
      </c>
      <c r="E12" s="3">
        <v>0.10650000000000001</v>
      </c>
      <c r="F12" s="4" t="s">
        <v>58</v>
      </c>
      <c r="G12" s="4" t="s">
        <v>79</v>
      </c>
      <c r="H12" s="11">
        <v>1967775375</v>
      </c>
      <c r="I12" s="11">
        <v>75.450699999999998</v>
      </c>
      <c r="J12" s="11">
        <v>76.870699999999999</v>
      </c>
      <c r="K12" s="11">
        <v>32163000</v>
      </c>
      <c r="L12" s="11">
        <v>1741121355</v>
      </c>
      <c r="M12" s="6">
        <f t="shared" si="0"/>
        <v>6.0126847936881229E-2</v>
      </c>
    </row>
    <row r="13" spans="1:13" x14ac:dyDescent="0.25">
      <c r="A13" s="1" t="s">
        <v>80</v>
      </c>
      <c r="B13" s="13" t="s">
        <v>81</v>
      </c>
      <c r="C13" s="10">
        <v>2265000</v>
      </c>
      <c r="D13" s="11">
        <v>2265000000</v>
      </c>
      <c r="E13" s="3">
        <v>8.0700000000000008E-2</v>
      </c>
      <c r="F13" s="4" t="s">
        <v>58</v>
      </c>
      <c r="G13" s="4" t="s">
        <v>82</v>
      </c>
      <c r="H13" s="11">
        <v>1622351550</v>
      </c>
      <c r="I13" s="11">
        <v>61.192900000000002</v>
      </c>
      <c r="J13" s="11">
        <v>63.927733333333329</v>
      </c>
      <c r="K13" s="11">
        <v>61943975</v>
      </c>
      <c r="L13" s="11">
        <v>1447963160</v>
      </c>
      <c r="M13" s="6">
        <f t="shared" si="0"/>
        <v>5.0003097423112146E-2</v>
      </c>
    </row>
    <row r="14" spans="1:13" x14ac:dyDescent="0.25">
      <c r="A14" s="1" t="s">
        <v>83</v>
      </c>
      <c r="B14" s="13" t="s">
        <v>84</v>
      </c>
      <c r="C14" s="10">
        <v>2265000</v>
      </c>
      <c r="D14" s="11">
        <v>2265000000</v>
      </c>
      <c r="E14" s="3">
        <v>8.0700000000000008E-2</v>
      </c>
      <c r="F14" s="4" t="s">
        <v>58</v>
      </c>
      <c r="G14" s="4" t="s">
        <v>85</v>
      </c>
      <c r="H14" s="11">
        <v>1597764975</v>
      </c>
      <c r="I14" s="11">
        <v>59.770800000000001</v>
      </c>
      <c r="J14" s="11">
        <v>64.814549999999997</v>
      </c>
      <c r="K14" s="11">
        <v>114240937.5</v>
      </c>
      <c r="L14" s="11">
        <v>1468049557.5</v>
      </c>
      <c r="M14" s="6">
        <f t="shared" si="0"/>
        <v>5.0696749111786225E-2</v>
      </c>
    </row>
    <row r="15" spans="1:13" x14ac:dyDescent="0.25">
      <c r="A15" s="1" t="s">
        <v>86</v>
      </c>
      <c r="B15" s="13" t="s">
        <v>87</v>
      </c>
      <c r="C15" s="10">
        <v>3775000</v>
      </c>
      <c r="D15" s="11">
        <v>3775000000</v>
      </c>
      <c r="E15" s="3">
        <v>5.4900000000000004E-2</v>
      </c>
      <c r="F15" s="4" t="s">
        <v>58</v>
      </c>
      <c r="G15" s="4" t="s">
        <v>88</v>
      </c>
      <c r="H15" s="11">
        <v>3136670150</v>
      </c>
      <c r="I15" s="11">
        <v>84.895200000000003</v>
      </c>
      <c r="J15" s="11">
        <v>87.441949999999991</v>
      </c>
      <c r="K15" s="11">
        <v>96139812.5</v>
      </c>
      <c r="L15" s="11">
        <v>3300933612.5</v>
      </c>
      <c r="M15" s="6">
        <f t="shared" si="0"/>
        <v>0.11399247548056611</v>
      </c>
    </row>
    <row r="16" spans="1:13" x14ac:dyDescent="0.25">
      <c r="A16" s="1" t="s">
        <v>89</v>
      </c>
      <c r="B16" s="13" t="s">
        <v>90</v>
      </c>
      <c r="C16" s="10">
        <v>2803860</v>
      </c>
      <c r="D16" s="11">
        <v>2803860000</v>
      </c>
      <c r="E16" s="3">
        <v>5.5E-2</v>
      </c>
      <c r="F16" s="4" t="s">
        <v>91</v>
      </c>
      <c r="G16" s="4" t="s">
        <v>92</v>
      </c>
      <c r="H16" s="11">
        <v>1773018067.1400001</v>
      </c>
      <c r="I16" s="11">
        <v>56.389000000000003</v>
      </c>
      <c r="J16" s="11">
        <v>58.527888888888874</v>
      </c>
      <c r="K16" s="11">
        <v>59971450</v>
      </c>
      <c r="L16" s="11">
        <v>1641040065.4000001</v>
      </c>
      <c r="M16" s="6">
        <f t="shared" si="0"/>
        <v>5.667070028592891E-2</v>
      </c>
    </row>
    <row r="17" spans="1:15" x14ac:dyDescent="0.25">
      <c r="A17" s="1" t="s">
        <v>93</v>
      </c>
      <c r="B17" s="13" t="s">
        <v>94</v>
      </c>
      <c r="C17" s="10">
        <v>1038480</v>
      </c>
      <c r="D17" s="11">
        <v>1038480000</v>
      </c>
      <c r="E17" s="3">
        <v>0.12</v>
      </c>
      <c r="F17" s="4" t="s">
        <v>91</v>
      </c>
      <c r="G17" s="4" t="s">
        <v>95</v>
      </c>
      <c r="H17" s="11">
        <v>979029096.96000004</v>
      </c>
      <c r="I17" s="11">
        <v>84.715600000000009</v>
      </c>
      <c r="J17" s="11">
        <v>90.948933333333329</v>
      </c>
      <c r="K17" s="11">
        <v>64731920</v>
      </c>
      <c r="L17" s="11">
        <v>944486482.88</v>
      </c>
      <c r="M17" s="6">
        <f t="shared" si="0"/>
        <v>3.2616333704416335E-2</v>
      </c>
    </row>
    <row r="18" spans="1:15" x14ac:dyDescent="0.25">
      <c r="A18" s="1" t="s">
        <v>96</v>
      </c>
      <c r="B18" s="13" t="s">
        <v>97</v>
      </c>
      <c r="C18" s="10">
        <v>506989</v>
      </c>
      <c r="D18" s="11">
        <v>506989000</v>
      </c>
      <c r="E18" s="3">
        <v>0.1535</v>
      </c>
      <c r="F18" s="4" t="s">
        <v>98</v>
      </c>
      <c r="G18" s="4" t="s">
        <v>99</v>
      </c>
      <c r="H18" s="11">
        <v>492216861.50999999</v>
      </c>
      <c r="I18" s="11">
        <v>97.583100000000002</v>
      </c>
      <c r="J18" s="11">
        <v>102.52921111111101</v>
      </c>
      <c r="K18" s="11">
        <v>25076239.26111111</v>
      </c>
      <c r="L18" s="11">
        <v>519811822.12011099</v>
      </c>
      <c r="M18" s="6">
        <f t="shared" si="0"/>
        <v>1.7950871887622715E-2</v>
      </c>
    </row>
    <row r="19" spans="1:15" x14ac:dyDescent="0.25">
      <c r="A19" s="1" t="s">
        <v>100</v>
      </c>
      <c r="B19" s="13" t="s">
        <v>101</v>
      </c>
      <c r="C19" s="10">
        <v>2100000</v>
      </c>
      <c r="D19" s="11">
        <v>2100000000</v>
      </c>
      <c r="E19" s="3">
        <v>0.14300000000000002</v>
      </c>
      <c r="F19" s="4" t="s">
        <v>102</v>
      </c>
      <c r="G19" s="4" t="s">
        <v>103</v>
      </c>
      <c r="H19" s="11">
        <v>2100000000</v>
      </c>
      <c r="I19" s="11">
        <v>94.4727160220462</v>
      </c>
      <c r="J19" s="11">
        <v>94.909660466490635</v>
      </c>
      <c r="K19" s="11">
        <v>9175833.3333333302</v>
      </c>
      <c r="L19" s="11">
        <v>1993102869.796303</v>
      </c>
      <c r="M19" s="6">
        <f t="shared" si="0"/>
        <v>6.8828627499548364E-2</v>
      </c>
    </row>
    <row r="20" spans="1:15" x14ac:dyDescent="0.25">
      <c r="A20" s="1" t="s">
        <v>104</v>
      </c>
      <c r="B20" s="13" t="s">
        <v>105</v>
      </c>
      <c r="C20" s="10">
        <v>1000000</v>
      </c>
      <c r="D20" s="11">
        <v>1000000000</v>
      </c>
      <c r="E20" s="3">
        <v>0.1389</v>
      </c>
      <c r="F20" s="4" t="s">
        <v>106</v>
      </c>
      <c r="G20" s="4" t="s">
        <v>107</v>
      </c>
      <c r="H20" s="11">
        <v>1000000000</v>
      </c>
      <c r="I20" s="11">
        <v>98.123957035182897</v>
      </c>
      <c r="J20" s="11">
        <v>102.213790368516</v>
      </c>
      <c r="K20" s="11">
        <v>40898333.333333328</v>
      </c>
      <c r="L20" s="11">
        <v>1022137903.6851619</v>
      </c>
      <c r="M20" s="6">
        <f t="shared" si="0"/>
        <v>3.5297901624668941E-2</v>
      </c>
    </row>
    <row r="21" spans="1:15" x14ac:dyDescent="0.25">
      <c r="A21" s="1" t="s">
        <v>108</v>
      </c>
      <c r="B21" s="13" t="s">
        <v>109</v>
      </c>
      <c r="C21" s="10">
        <v>165739</v>
      </c>
      <c r="D21" s="11">
        <v>165739000</v>
      </c>
      <c r="E21" s="3">
        <v>0.125</v>
      </c>
      <c r="F21" s="4" t="s">
        <v>110</v>
      </c>
      <c r="G21" s="4" t="s">
        <v>111</v>
      </c>
      <c r="H21" s="11">
        <v>159596381.18279999</v>
      </c>
      <c r="I21" s="11">
        <v>95.616598875000491</v>
      </c>
      <c r="J21" s="11">
        <v>98.811043319431519</v>
      </c>
      <c r="K21" s="11">
        <v>5294440.2777555604</v>
      </c>
      <c r="L21" s="11">
        <v>163768435.08719301</v>
      </c>
      <c r="M21" s="6">
        <f t="shared" si="0"/>
        <v>5.6554816038935198E-3</v>
      </c>
    </row>
    <row r="22" spans="1:15" x14ac:dyDescent="0.25">
      <c r="A22" s="1" t="s">
        <v>112</v>
      </c>
      <c r="B22" s="13" t="s">
        <v>113</v>
      </c>
      <c r="C22" s="10">
        <v>494987</v>
      </c>
      <c r="D22" s="11">
        <v>494987000</v>
      </c>
      <c r="E22" s="3">
        <v>0.1701</v>
      </c>
      <c r="F22" s="4" t="s">
        <v>114</v>
      </c>
      <c r="G22" s="4" t="s">
        <v>115</v>
      </c>
      <c r="H22" s="11">
        <v>495088472.34249997</v>
      </c>
      <c r="I22" s="11">
        <v>101.4393</v>
      </c>
      <c r="J22" s="11">
        <v>103.18755</v>
      </c>
      <c r="K22" s="11">
        <v>8653610.2274999991</v>
      </c>
      <c r="L22" s="11">
        <v>510764958.11849999</v>
      </c>
      <c r="M22" s="6">
        <f t="shared" si="0"/>
        <v>1.763845287411259E-2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1030883588.4163671</v>
      </c>
      <c r="L24" s="22">
        <f>SUM(L4:L23)</f>
        <v>28957469329.304604</v>
      </c>
      <c r="M24" s="23"/>
      <c r="O24" s="29"/>
    </row>
    <row r="26" spans="1:15" x14ac:dyDescent="0.25">
      <c r="A26" s="30" t="s">
        <v>26</v>
      </c>
    </row>
    <row r="27" spans="1:15" x14ac:dyDescent="0.25">
      <c r="A27" s="19" t="s">
        <v>50</v>
      </c>
      <c r="B27" s="31">
        <v>3143540.16</v>
      </c>
      <c r="C27" s="32"/>
      <c r="D27" s="29"/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52</v>
      </c>
      <c r="B32" s="7" t="s">
        <v>53</v>
      </c>
      <c r="C32" s="14">
        <v>1431300</v>
      </c>
      <c r="D32" s="7" t="s">
        <v>50</v>
      </c>
      <c r="E32" s="34" t="s">
        <v>54</v>
      </c>
      <c r="F32" s="34" t="s">
        <v>55</v>
      </c>
      <c r="G32" s="15">
        <v>908.40600000000006</v>
      </c>
      <c r="H32" s="15">
        <v>909.57821705442609</v>
      </c>
      <c r="I32" s="16">
        <f>+C32*G32</f>
        <v>1300201507.8000002</v>
      </c>
      <c r="J32" s="16">
        <f>+C32*H32</f>
        <v>1301879302.0700002</v>
      </c>
      <c r="K32" s="18">
        <v>0.157</v>
      </c>
      <c r="L32" s="17">
        <v>559264.7566666666</v>
      </c>
      <c r="M32" s="17">
        <v>1301320037.313333</v>
      </c>
      <c r="N32" s="35"/>
    </row>
    <row r="33" spans="1:15" s="36" customFormat="1" ht="12" customHeight="1" x14ac:dyDescent="0.25">
      <c r="A33" s="12" t="s">
        <v>52</v>
      </c>
      <c r="B33" s="7" t="s">
        <v>53</v>
      </c>
      <c r="C33" s="14">
        <v>801528</v>
      </c>
      <c r="D33" s="7" t="s">
        <v>50</v>
      </c>
      <c r="E33" s="34" t="s">
        <v>54</v>
      </c>
      <c r="F33" s="34" t="s">
        <v>55</v>
      </c>
      <c r="G33" s="15">
        <v>908.40600000249503</v>
      </c>
      <c r="H33" s="15">
        <v>909.57821705542403</v>
      </c>
      <c r="I33" s="16">
        <f>+C33*G33</f>
        <v>728112844.36999989</v>
      </c>
      <c r="J33" s="16">
        <f>+C33*H33</f>
        <v>729052409.15999997</v>
      </c>
      <c r="K33" s="18">
        <v>0.157</v>
      </c>
      <c r="L33" s="17">
        <v>313188.26333333331</v>
      </c>
      <c r="M33" s="17">
        <v>728739220.896667</v>
      </c>
      <c r="N33" s="35"/>
    </row>
    <row r="34" spans="1:15" s="36" customFormat="1" ht="12" customHeight="1" x14ac:dyDescent="0.25">
      <c r="A34" s="12" t="s">
        <v>52</v>
      </c>
      <c r="B34" s="7" t="s">
        <v>53</v>
      </c>
      <c r="C34" s="14">
        <v>4404</v>
      </c>
      <c r="D34" s="7" t="s">
        <v>50</v>
      </c>
      <c r="E34" s="34" t="s">
        <v>54</v>
      </c>
      <c r="F34" s="34" t="s">
        <v>55</v>
      </c>
      <c r="G34" s="15">
        <v>908.405999091735</v>
      </c>
      <c r="H34" s="15">
        <v>909.57821525885606</v>
      </c>
      <c r="I34" s="16">
        <f>+C34*G34</f>
        <v>4000620.0200000009</v>
      </c>
      <c r="J34" s="16">
        <f>+C34*H34</f>
        <v>4005782.4600000023</v>
      </c>
      <c r="K34" s="18">
        <v>0.157</v>
      </c>
      <c r="L34" s="17">
        <v>1720.813333333333</v>
      </c>
      <c r="M34" s="17">
        <v>4004061.6466666702</v>
      </c>
      <c r="N34" s="35"/>
    </row>
    <row r="35" spans="1:15" s="36" customFormat="1" ht="11.25" hidden="1" x14ac:dyDescent="0.25">
      <c r="A35" s="7"/>
      <c r="B35" s="7"/>
      <c r="C35" s="7"/>
      <c r="D35" s="7"/>
      <c r="E35" s="37"/>
      <c r="F35" s="37"/>
      <c r="G35" s="7"/>
      <c r="H35" s="7"/>
      <c r="I35" s="8"/>
      <c r="J35" s="8"/>
      <c r="K35" s="7"/>
      <c r="L35" s="9"/>
      <c r="M35" s="9"/>
      <c r="N35" s="35"/>
    </row>
    <row r="36" spans="1:15" x14ac:dyDescent="0.25">
      <c r="A36" s="1" t="s">
        <v>5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2">
        <f>SUM(M32:M35)</f>
        <v>2034063319.8566668</v>
      </c>
      <c r="N36" s="38">
        <v>2034063319.8566668</v>
      </c>
      <c r="O36" s="29">
        <f>M36-N36</f>
        <v>0</v>
      </c>
    </row>
    <row r="38" spans="1:15" x14ac:dyDescent="0.25">
      <c r="A38" s="39" t="s">
        <v>28</v>
      </c>
      <c r="B38" s="33"/>
      <c r="D38" s="33"/>
      <c r="F38" s="28"/>
      <c r="G38" s="28"/>
    </row>
    <row r="39" spans="1:15" ht="22.5" x14ac:dyDescent="0.25">
      <c r="A39" s="19" t="s">
        <v>6</v>
      </c>
      <c r="B39" s="19" t="s">
        <v>29</v>
      </c>
      <c r="C39" s="19" t="s">
        <v>17</v>
      </c>
      <c r="D39" s="19" t="s">
        <v>30</v>
      </c>
      <c r="E39" s="19" t="s">
        <v>16</v>
      </c>
      <c r="F39" s="19" t="s">
        <v>31</v>
      </c>
      <c r="G39" s="19" t="s">
        <v>32</v>
      </c>
    </row>
    <row r="40" spans="1:15" x14ac:dyDescent="0.25">
      <c r="A40" s="57">
        <f ca="1">IF(OFFSET(A40,-1,0)="№ п/п",1,OFFSET(A40,-1,0)+1)</f>
        <v>1</v>
      </c>
      <c r="B40" s="40" t="s">
        <v>49</v>
      </c>
      <c r="C40" s="52" t="s">
        <v>50</v>
      </c>
      <c r="D40" s="53" t="s">
        <v>51</v>
      </c>
      <c r="E40" s="54">
        <v>1100000</v>
      </c>
      <c r="F40" s="55">
        <v>1100000000</v>
      </c>
      <c r="G40" s="56">
        <v>1100000000</v>
      </c>
      <c r="H40" s="33"/>
    </row>
    <row r="41" spans="1:15" x14ac:dyDescent="0.25">
      <c r="A41" s="57">
        <f ca="1">IF(OFFSET(A41,-1,0)="№ п/п",1,OFFSET(A41,-1,0)+1)</f>
        <v>2</v>
      </c>
      <c r="B41" s="40" t="s">
        <v>49</v>
      </c>
      <c r="C41" s="52" t="s">
        <v>50</v>
      </c>
      <c r="D41" s="53" t="s">
        <v>51</v>
      </c>
      <c r="E41" s="54">
        <v>1</v>
      </c>
      <c r="F41" s="55">
        <v>76285000</v>
      </c>
      <c r="G41" s="56">
        <v>76285000</v>
      </c>
      <c r="H41" s="33"/>
    </row>
    <row r="42" spans="1:15" hidden="1" x14ac:dyDescent="0.25">
      <c r="B42" s="42"/>
      <c r="C42" s="43"/>
      <c r="D42" s="44"/>
      <c r="G42" s="45"/>
      <c r="H42" s="33"/>
    </row>
    <row r="43" spans="1:15" x14ac:dyDescent="0.25">
      <c r="G43" s="46">
        <f>SUM(G40:G42)</f>
        <v>1176285000</v>
      </c>
    </row>
    <row r="45" spans="1:15" x14ac:dyDescent="0.25">
      <c r="A45" s="47" t="s">
        <v>13</v>
      </c>
      <c r="B45" s="48">
        <f>+L24+B27+M36+G43</f>
        <v>32170961189.32127</v>
      </c>
      <c r="C45" s="32">
        <v>32170961189.321293</v>
      </c>
      <c r="D45" s="29">
        <f>B45-C45</f>
        <v>0</v>
      </c>
    </row>
    <row r="48" spans="1:15" x14ac:dyDescent="0.25">
      <c r="A48" s="24" t="s">
        <v>46</v>
      </c>
      <c r="B48" s="33"/>
    </row>
    <row r="49" spans="1:2" x14ac:dyDescent="0.25">
      <c r="A49" s="49" t="s">
        <v>35</v>
      </c>
      <c r="B49" s="50"/>
    </row>
    <row r="50" spans="1:2" x14ac:dyDescent="0.25">
      <c r="A50" s="49" t="s">
        <v>36</v>
      </c>
      <c r="B50" s="41"/>
    </row>
    <row r="51" spans="1:2" x14ac:dyDescent="0.25">
      <c r="A51" s="49" t="s">
        <v>37</v>
      </c>
      <c r="B51" s="41">
        <v>222002.09000000003</v>
      </c>
    </row>
    <row r="52" spans="1:2" x14ac:dyDescent="0.25">
      <c r="A52" s="49" t="s">
        <v>38</v>
      </c>
      <c r="B52" s="41"/>
    </row>
    <row r="53" spans="1:2" x14ac:dyDescent="0.25">
      <c r="A53" s="49" t="s">
        <v>39</v>
      </c>
      <c r="B53" s="50"/>
    </row>
    <row r="54" spans="1:2" x14ac:dyDescent="0.25">
      <c r="A54" s="49" t="s">
        <v>40</v>
      </c>
      <c r="B54" s="51"/>
    </row>
    <row r="55" spans="1:2" x14ac:dyDescent="0.25">
      <c r="A55" s="49" t="s">
        <v>41</v>
      </c>
      <c r="B55" s="51">
        <v>35496.92</v>
      </c>
    </row>
    <row r="56" spans="1:2" x14ac:dyDescent="0.25">
      <c r="A56" s="49" t="s">
        <v>42</v>
      </c>
      <c r="B56" s="41">
        <v>17727.91</v>
      </c>
    </row>
    <row r="57" spans="1:2" x14ac:dyDescent="0.25">
      <c r="A57" s="49" t="s">
        <v>43</v>
      </c>
      <c r="B57" s="41"/>
    </row>
    <row r="58" spans="1:2" x14ac:dyDescent="0.25">
      <c r="A58" s="49" t="s">
        <v>44</v>
      </c>
      <c r="B58" s="51"/>
    </row>
    <row r="59" spans="1:2" x14ac:dyDescent="0.25">
      <c r="A59" s="49" t="s">
        <v>45</v>
      </c>
      <c r="B59" s="50">
        <f>SUM(B49:B58)</f>
        <v>275226.92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ДУ</vt:lpstr>
      <vt:lpstr>Лист1</vt:lpstr>
      <vt:lpstr>__mdDATAHead__</vt:lpstr>
      <vt:lpstr>__mdDATAMoney__</vt:lpstr>
      <vt:lpstr>__mdDATAOther__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dcterms:created xsi:type="dcterms:W3CDTF">2025-09-12T13:53:16Z</dcterms:created>
  <dcterms:modified xsi:type="dcterms:W3CDTF">2025-09-15T12:09:06Z</dcterms:modified>
</cp:coreProperties>
</file>