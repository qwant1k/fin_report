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957FF0EC-6792-4559-AE1F-615E061B44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7" i="1"/>
  <c r="O24" i="1"/>
  <c r="D27" i="1"/>
  <c r="B58" i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</calcChain>
</file>

<file path=xl/sharedStrings.xml><?xml version="1.0" encoding="utf-8"?>
<sst xmlns="http://schemas.openxmlformats.org/spreadsheetml/2006/main" count="150" uniqueCount="115">
  <si>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</si>
  <si>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</si>
  <si>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</si>
  <si>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</si>
  <si>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</si>
  <si>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</si>
  <si>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</si>
  <si>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</si>
  <si>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</si>
  <si>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</si>
  <si>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</si>
  <si>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</si>
  <si>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</si>
  <si>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</si>
  <si>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</si>
  <si>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</si>
  <si>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</si>
  <si>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</si>
  <si>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</si>
  <si>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</si>
  <si>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</si>
  <si>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</si>
  <si>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</si>
  <si>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</si>
  <si>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</si>
  <si>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</si>
  <si>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</si>
  <si>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</si>
  <si>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</si>
  <si>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</si>
  <si>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</si>
  <si>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</si>
  <si>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</si>
  <si>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</si>
  <si>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</si>
  <si>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</si>
  <si>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</si>
  <si>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</si>
  <si>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</si>
  <si>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</si>
  <si>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</si>
  <si>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</si>
  <si>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</si>
  <si>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</si>
  <si>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</si>
  <si>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</si>
  <si>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</si>
  <si>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</si>
  <si>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</si>
  <si>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</si>
  <si>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</si>
  <si>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</si>
  <si>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26.09.2025</t>
  </si>
  <si>
    <t>29.09.2025</t>
  </si>
  <si>
    <t>МИНИСТЕРСТВО ФИНАНСОВ РК, ГЦБ, MUM096_0012</t>
  </si>
  <si>
    <t>KZKD00001160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</si>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</sst>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19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5.425781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98.246400000000008</v>
      </c>
      <c r="J4" s="11">
        <v>100.20256666666701</v>
      </c>
      <c r="K4" s="11">
        <v>59076233.333333328</v>
      </c>
      <c r="L4" s="11">
        <v>3026117513.333333</v>
      </c>
      <c r="M4" s="6">
        <f t="shared" ref="M4:M22" si="0">L4/$L$24</f>
        <v>0.10386100265215487</v>
      </c>
    </row>
    <row r="5" spans="1:13" x14ac:dyDescent="0.25">
      <c r="A5" s="1" t="s">
        <v>54</v>
      </c>
      <c r="B5" s="13" t="s">
        <v>55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62</v>
      </c>
      <c r="H5" s="11">
        <v>2039188560.0000031</v>
      </c>
      <c r="I5" s="11">
        <v>82.290199999999999</v>
      </c>
      <c r="J5" s="11">
        <v>84.019227777777772</v>
      </c>
      <c r="K5" s="11">
        <v>39162479.166666657</v>
      </c>
      <c r="L5" s="11">
        <v>1903035509.166666</v>
      </c>
      <c r="M5" s="6">
        <f t="shared" si="0"/>
        <v>6.5315102666646613E-2</v>
      </c>
    </row>
    <row r="6" spans="1:13" x14ac:dyDescent="0.25">
      <c r="A6" s="1" t="s">
        <v>54</v>
      </c>
      <c r="B6" s="13" t="s">
        <v>55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82.290199999999999</v>
      </c>
      <c r="J6" s="11">
        <v>84.019227777778028</v>
      </c>
      <c r="K6" s="11">
        <v>26828390.352777772</v>
      </c>
      <c r="L6" s="11">
        <v>1303680987.044781</v>
      </c>
      <c r="M6" s="6">
        <f t="shared" si="0"/>
        <v>4.4744334566133255E-2</v>
      </c>
    </row>
    <row r="7" spans="1:13" x14ac:dyDescent="0.25">
      <c r="A7" s="1" t="s">
        <v>54</v>
      </c>
      <c r="B7" s="13" t="s">
        <v>55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82.290199999999999</v>
      </c>
      <c r="J7" s="11">
        <v>84.019227777777772</v>
      </c>
      <c r="K7" s="11">
        <v>9435166.2611111104</v>
      </c>
      <c r="L7" s="11">
        <v>458486204.44511098</v>
      </c>
      <c r="M7" s="6">
        <f t="shared" si="0"/>
        <v>1.5735950995305836E-2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67</v>
      </c>
      <c r="H8" s="11">
        <v>2073109200</v>
      </c>
      <c r="I8" s="11">
        <v>86.174700000000001</v>
      </c>
      <c r="J8" s="11">
        <v>90.941366666666653</v>
      </c>
      <c r="K8" s="11">
        <v>107965000</v>
      </c>
      <c r="L8" s="11">
        <v>2059821954.999999</v>
      </c>
      <c r="M8" s="6">
        <f t="shared" si="0"/>
        <v>7.0696254388207008E-2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70</v>
      </c>
      <c r="H9" s="11">
        <v>2080889475</v>
      </c>
      <c r="I9" s="11">
        <v>84.261300000000006</v>
      </c>
      <c r="J9" s="11">
        <v>89.669633333333323</v>
      </c>
      <c r="K9" s="11">
        <v>122498750</v>
      </c>
      <c r="L9" s="11">
        <v>2031017194.999999</v>
      </c>
      <c r="M9" s="6">
        <f t="shared" si="0"/>
        <v>6.9707630766826456E-2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73</v>
      </c>
      <c r="H10" s="11">
        <v>1963990560.0000031</v>
      </c>
      <c r="I10" s="11">
        <v>77.2102</v>
      </c>
      <c r="J10" s="11">
        <v>82.646311111111103</v>
      </c>
      <c r="K10" s="11">
        <v>123127916.666667</v>
      </c>
      <c r="L10" s="11">
        <v>1871938946.666666</v>
      </c>
      <c r="M10" s="6">
        <f t="shared" si="0"/>
        <v>6.4247820862138039E-2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76</v>
      </c>
      <c r="H11" s="11">
        <v>1740247065.0000031</v>
      </c>
      <c r="I11" s="11">
        <v>67.921700000000001</v>
      </c>
      <c r="J11" s="11">
        <v>71.700727777777772</v>
      </c>
      <c r="K11" s="11">
        <v>85594979.166666657</v>
      </c>
      <c r="L11" s="11">
        <v>1624021484.166666</v>
      </c>
      <c r="M11" s="6">
        <f t="shared" si="0"/>
        <v>5.5738912626824663E-2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79</v>
      </c>
      <c r="H12" s="11">
        <v>1967775375</v>
      </c>
      <c r="I12" s="11">
        <v>75.770600000000002</v>
      </c>
      <c r="J12" s="11">
        <v>77.575183333333328</v>
      </c>
      <c r="K12" s="11">
        <v>40873812.5</v>
      </c>
      <c r="L12" s="11">
        <v>1757077902.5</v>
      </c>
      <c r="M12" s="6">
        <f t="shared" si="0"/>
        <v>6.0305613343672335E-2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82</v>
      </c>
      <c r="H13" s="11">
        <v>1622351550</v>
      </c>
      <c r="I13" s="11">
        <v>61.674700000000001</v>
      </c>
      <c r="J13" s="11">
        <v>64.700949999999992</v>
      </c>
      <c r="K13" s="11">
        <v>68544562.5</v>
      </c>
      <c r="L13" s="11">
        <v>1465476517.5</v>
      </c>
      <c r="M13" s="6">
        <f t="shared" si="0"/>
        <v>5.0297405768317358E-2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85</v>
      </c>
      <c r="H14" s="11">
        <v>1597764975</v>
      </c>
      <c r="I14" s="11">
        <v>60.298700000000004</v>
      </c>
      <c r="J14" s="11">
        <v>65.633866666666663</v>
      </c>
      <c r="K14" s="11">
        <v>120841525</v>
      </c>
      <c r="L14" s="11">
        <v>1486607080</v>
      </c>
      <c r="M14" s="6">
        <f t="shared" si="0"/>
        <v>5.1022639140182215E-2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88</v>
      </c>
      <c r="H15" s="11">
        <v>3136670150</v>
      </c>
      <c r="I15" s="11">
        <v>84.954800000000006</v>
      </c>
      <c r="J15" s="11">
        <v>87.69980000000001</v>
      </c>
      <c r="K15" s="11">
        <v>103623750</v>
      </c>
      <c r="L15" s="11">
        <v>3310667450</v>
      </c>
      <c r="M15" s="6">
        <f t="shared" si="0"/>
        <v>0.11362719368624105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56.7806</v>
      </c>
      <c r="J16" s="11">
        <v>59.118100000000005</v>
      </c>
      <c r="K16" s="11">
        <v>65540227.5</v>
      </c>
      <c r="L16" s="11">
        <v>1657588758.6600001</v>
      </c>
      <c r="M16" s="6">
        <f t="shared" si="0"/>
        <v>5.6890993063164863E-2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84.760100000000008</v>
      </c>
      <c r="J17" s="11">
        <v>91.426766666666651</v>
      </c>
      <c r="K17" s="11">
        <v>69232000</v>
      </c>
      <c r="L17" s="11">
        <v>949448686.48000002</v>
      </c>
      <c r="M17" s="6">
        <f t="shared" si="0"/>
        <v>3.2586537736917706E-2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96</v>
      </c>
      <c r="G18" s="4" t="s">
        <v>97</v>
      </c>
      <c r="H18" s="11">
        <v>492216861.50999999</v>
      </c>
      <c r="I18" s="11">
        <v>97.287900000000008</v>
      </c>
      <c r="J18" s="11">
        <v>102.788316666667</v>
      </c>
      <c r="K18" s="11">
        <v>27886507.454166658</v>
      </c>
      <c r="L18" s="11">
        <v>521125458.78516698</v>
      </c>
      <c r="M18" s="6">
        <f t="shared" si="0"/>
        <v>1.7885826448746277E-2</v>
      </c>
    </row>
    <row r="19" spans="1:15" x14ac:dyDescent="0.25">
      <c r="A19" s="1" t="s">
        <v>98</v>
      </c>
      <c r="B19" s="13" t="s">
        <v>99</v>
      </c>
      <c r="C19" s="10">
        <v>2100000</v>
      </c>
      <c r="D19" s="11">
        <v>2100000000</v>
      </c>
      <c r="E19" s="3">
        <v>0.14300000000000002</v>
      </c>
      <c r="F19" s="4" t="s">
        <v>100</v>
      </c>
      <c r="G19" s="4" t="s">
        <v>101</v>
      </c>
      <c r="H19" s="11">
        <v>2100000000</v>
      </c>
      <c r="I19" s="11">
        <v>94.483923752674499</v>
      </c>
      <c r="J19" s="11">
        <v>95.437257086007833</v>
      </c>
      <c r="K19" s="11">
        <v>20020000</v>
      </c>
      <c r="L19" s="11">
        <v>2004182398.806164</v>
      </c>
      <c r="M19" s="6">
        <f t="shared" si="0"/>
        <v>6.8786619330100107E-2</v>
      </c>
    </row>
    <row r="20" spans="1:15" x14ac:dyDescent="0.25">
      <c r="A20" s="1" t="s">
        <v>102</v>
      </c>
      <c r="B20" s="13" t="s">
        <v>103</v>
      </c>
      <c r="C20" s="10">
        <v>1000000</v>
      </c>
      <c r="D20" s="11">
        <v>1000000000</v>
      </c>
      <c r="E20" s="3">
        <v>0.1389</v>
      </c>
      <c r="F20" s="4" t="s">
        <v>104</v>
      </c>
      <c r="G20" s="4" t="s">
        <v>105</v>
      </c>
      <c r="H20" s="11">
        <v>1000000000</v>
      </c>
      <c r="I20" s="11">
        <v>98.245309800470892</v>
      </c>
      <c r="J20" s="11">
        <v>102.83672646713801</v>
      </c>
      <c r="K20" s="11">
        <v>45914166.666666657</v>
      </c>
      <c r="L20" s="11">
        <v>1028367264.671375</v>
      </c>
      <c r="M20" s="6">
        <f t="shared" si="0"/>
        <v>3.5295144597928207E-2</v>
      </c>
    </row>
    <row r="21" spans="1:15" x14ac:dyDescent="0.25">
      <c r="A21" s="1" t="s">
        <v>106</v>
      </c>
      <c r="B21" s="13" t="s">
        <v>107</v>
      </c>
      <c r="C21" s="10">
        <v>165739</v>
      </c>
      <c r="D21" s="11">
        <v>165739000</v>
      </c>
      <c r="E21" s="3">
        <v>0.125</v>
      </c>
      <c r="F21" s="4" t="s">
        <v>108</v>
      </c>
      <c r="G21" s="4" t="s">
        <v>109</v>
      </c>
      <c r="H21" s="11">
        <v>159596381.18279999</v>
      </c>
      <c r="I21" s="11">
        <v>95.744572978345602</v>
      </c>
      <c r="J21" s="11">
        <v>99.390406311665515</v>
      </c>
      <c r="K21" s="11">
        <v>6042567.7083111098</v>
      </c>
      <c r="L21" s="11">
        <v>164728665.516891</v>
      </c>
      <c r="M21" s="6">
        <f t="shared" si="0"/>
        <v>5.6537409042287804E-3</v>
      </c>
    </row>
    <row r="22" spans="1:15" x14ac:dyDescent="0.25">
      <c r="A22" s="1" t="s">
        <v>110</v>
      </c>
      <c r="B22" s="13" t="s">
        <v>111</v>
      </c>
      <c r="C22" s="10">
        <v>494987</v>
      </c>
      <c r="D22" s="11">
        <v>494987000</v>
      </c>
      <c r="E22" s="3">
        <v>0.1701</v>
      </c>
      <c r="F22" s="4" t="s">
        <v>112</v>
      </c>
      <c r="G22" s="4" t="s">
        <v>113</v>
      </c>
      <c r="H22" s="11">
        <v>495088472.34249997</v>
      </c>
      <c r="I22" s="11">
        <v>101.2432</v>
      </c>
      <c r="J22" s="11">
        <v>103.6057</v>
      </c>
      <c r="K22" s="11">
        <v>11694067.875</v>
      </c>
      <c r="L22" s="11">
        <v>512834746.259</v>
      </c>
      <c r="M22" s="6">
        <f t="shared" si="0"/>
        <v>1.7601276456264334E-2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1153902102.1513669</v>
      </c>
      <c r="L24" s="22">
        <f>SUM(L4:L23)</f>
        <v>29136224724.00182</v>
      </c>
      <c r="M24" s="23"/>
      <c r="N24" s="26">
        <v>29136224724.001839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12465497.550000001</v>
      </c>
      <c r="C27" s="51">
        <v>12465497.550000001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1383200</v>
      </c>
      <c r="D32" s="7" t="s">
        <v>51</v>
      </c>
      <c r="E32" s="34" t="s">
        <v>52</v>
      </c>
      <c r="F32" s="34" t="s">
        <v>53</v>
      </c>
      <c r="G32" s="15">
        <v>940.5150000000001</v>
      </c>
      <c r="H32" s="15">
        <v>941.75183391411201</v>
      </c>
      <c r="I32" s="16">
        <f>+C32*G32</f>
        <v>1300920348.0000002</v>
      </c>
      <c r="J32" s="16">
        <f>+C32*H32</f>
        <v>1302631136.6699998</v>
      </c>
      <c r="K32" s="18">
        <v>0.159999</v>
      </c>
      <c r="L32" s="17">
        <v>570262.89</v>
      </c>
      <c r="M32" s="17">
        <v>1301490610.8900001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414468</v>
      </c>
      <c r="D33" s="7" t="s">
        <v>51</v>
      </c>
      <c r="E33" s="34" t="s">
        <v>52</v>
      </c>
      <c r="F33" s="34" t="s">
        <v>53</v>
      </c>
      <c r="G33" s="15">
        <v>839.89899999517502</v>
      </c>
      <c r="H33" s="15">
        <v>841.00351781078405</v>
      </c>
      <c r="I33" s="16">
        <f>+C33*G33</f>
        <v>348111258.7300002</v>
      </c>
      <c r="J33" s="16">
        <f>+C33*H33</f>
        <v>348569046.02000004</v>
      </c>
      <c r="K33" s="18">
        <v>0.159999</v>
      </c>
      <c r="L33" s="17">
        <v>152595.76333333331</v>
      </c>
      <c r="M33" s="17">
        <v>348263854.49333298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256162</v>
      </c>
      <c r="D34" s="7" t="s">
        <v>51</v>
      </c>
      <c r="E34" s="34" t="s">
        <v>52</v>
      </c>
      <c r="F34" s="34" t="s">
        <v>53</v>
      </c>
      <c r="G34" s="15">
        <v>1027.4569999843841</v>
      </c>
      <c r="H34" s="15">
        <v>1028.8081678781391</v>
      </c>
      <c r="I34" s="16">
        <f>+C34*G34</f>
        <v>263195440.02999979</v>
      </c>
      <c r="J34" s="16">
        <f>+C34*H34</f>
        <v>263541557.89999986</v>
      </c>
      <c r="K34" s="18">
        <v>0.159999</v>
      </c>
      <c r="L34" s="17">
        <v>115372.62333333331</v>
      </c>
      <c r="M34" s="17">
        <v>263310812.65333301</v>
      </c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1383200</v>
      </c>
      <c r="D35" s="7" t="s">
        <v>51</v>
      </c>
      <c r="E35" s="34" t="s">
        <v>52</v>
      </c>
      <c r="F35" s="34" t="s">
        <v>53</v>
      </c>
      <c r="G35" s="15">
        <v>940.5150000000001</v>
      </c>
      <c r="H35" s="15">
        <v>941.75183391411201</v>
      </c>
      <c r="I35" s="16">
        <f>+C35*G35</f>
        <v>1300920348.0000002</v>
      </c>
      <c r="J35" s="16">
        <f>+C35*H35</f>
        <v>1302631136.6699998</v>
      </c>
      <c r="K35" s="18">
        <v>0.159999</v>
      </c>
      <c r="L35" s="17">
        <v>570262.89</v>
      </c>
      <c r="M35" s="17">
        <v>1301490610.8900001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3214555888.9266663</v>
      </c>
      <c r="N37" s="38">
        <v>3214555888.9266667</v>
      </c>
      <c r="O37" s="29">
        <f>M37-N37</f>
        <v>0</v>
      </c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32363246110.478485</v>
      </c>
      <c r="C44" s="32">
        <v>32363246110.478504</v>
      </c>
      <c r="D44" s="29">
        <f>B44-C44</f>
        <v>0</v>
      </c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479708.8000000001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>
        <v>89599.19</v>
      </c>
    </row>
    <row r="54" spans="1:2" x14ac:dyDescent="0.25">
      <c r="A54" s="48" t="s">
        <v>41</v>
      </c>
      <c r="B54" s="50">
        <v>44414.33</v>
      </c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613722.32000000007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2025-09-29T05:44:03Z</dcterms:created>
  <dcterms:modified xsi:type="dcterms:W3CDTF">2025-09-29T10:16:19Z</dcterms:modified>
</cp:coreProperties>
</file>