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175526FF-52B7-49B9-AEC8-683BF43C5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ДУ!$40:$40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6" i="1" l="1"/>
  <c r="D45" i="1"/>
  <c r="B59" i="1"/>
  <c r="G43" i="1"/>
  <c r="A40" i="1"/>
  <c r="A41" i="1" s="1"/>
  <c r="M36" i="1"/>
  <c r="B45" i="1" s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<sst xmlns="http://schemas.openxmlformats.org/spreadsheetml/2006/main" count="151" uniqueCount="117">
  <si>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</si>
  <si>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</si>
  <si>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</si>
  <si>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</si>
  <si>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</si>
  <si>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</si>
  <si>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</si>
  <si>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</si>
  <si>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</si>
  <si>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</si>
  <si>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</si>
  <si>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</si>
  <si>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</si>
  <si>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</si>
  <si>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</si>
  <si>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</si>
  <si>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</si>
  <si>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</si>
  <si>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</si>
  <si>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</si>
  <si>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</si>
  <si>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</si>
  <si>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</si>
  <si>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</si>
  <si>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</si>
  <si>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</si>
  <si>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</si>
  <si>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</si>
  <si>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</si>
  <si>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</si>
  <si>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</si>
  <si>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</si>
  <si>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</si>
  <si>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</si>
  <si>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</si>
  <si>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</si>
  <si>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</si>
  <si>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</si>
  <si>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</si>
  <si>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</si>
  <si>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</si>
  <si>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</si>
  <si>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</si>
  <si>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</si>
  <si>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</si>
  <si>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</si>
  <si>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</si>
  <si>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</si>
  <si>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</si>
  <si>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</si>
  <si>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</si>
  <si>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</si>
  <si>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MUM180_0004</t>
  </si>
  <si>
    <t>KZKD00000444</t>
  </si>
  <si>
    <t>12.09.2025</t>
  </si>
  <si>
    <t>15.09.2025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</si>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</sst>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19" zoomScale="90" zoomScaleNormal="90" workbookViewId="0">
      <selection activeCell="A37" sqref="A3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98.047700000000006</v>
      </c>
      <c r="J4" s="11">
        <v>99.588922222222209</v>
      </c>
      <c r="K4" s="11">
        <v>46544911.111111112</v>
      </c>
      <c r="L4" s="11">
        <v>3007585451.1111112</v>
      </c>
      <c r="M4" s="6">
        <f t="shared" ref="M4:M22" si="0">L4/$L$24</f>
        <v>0.10389611681755928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82.319299999999998</v>
      </c>
      <c r="J5" s="11">
        <v>83.638049999999993</v>
      </c>
      <c r="K5" s="11">
        <v>29869687.499999989</v>
      </c>
      <c r="L5" s="11">
        <v>1894401832.499999</v>
      </c>
      <c r="M5" s="6">
        <f t="shared" si="0"/>
        <v>6.5441530186982871E-2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82.319299999999998</v>
      </c>
      <c r="J6" s="11">
        <v>83.638050000000248</v>
      </c>
      <c r="K6" s="11">
        <v>20462331.625</v>
      </c>
      <c r="L6" s="11">
        <v>1297766457.303004</v>
      </c>
      <c r="M6" s="6">
        <f t="shared" si="0"/>
        <v>4.4830944171528296E-2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82.319299999999998</v>
      </c>
      <c r="J7" s="11">
        <v>83.638049999999993</v>
      </c>
      <c r="K7" s="11">
        <v>7196313.25</v>
      </c>
      <c r="L7" s="11">
        <v>456406147.80599999</v>
      </c>
      <c r="M7" s="6">
        <f t="shared" si="0"/>
        <v>1.5766410371211955E-2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86.316699999999997</v>
      </c>
      <c r="J8" s="11">
        <v>90.678922222222212</v>
      </c>
      <c r="K8" s="11">
        <v>98804333.333333328</v>
      </c>
      <c r="L8" s="11">
        <v>2053877588.333333</v>
      </c>
      <c r="M8" s="6">
        <f t="shared" si="0"/>
        <v>7.0950571252302391E-2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84.322600000000008</v>
      </c>
      <c r="J9" s="11">
        <v>89.303155555555549</v>
      </c>
      <c r="K9" s="11">
        <v>112809583.333333</v>
      </c>
      <c r="L9" s="11">
        <v>2022716473.333333</v>
      </c>
      <c r="M9" s="6">
        <f t="shared" si="0"/>
        <v>6.9874120093446915E-2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76.999700000000004</v>
      </c>
      <c r="J10" s="11">
        <v>82.035255555555551</v>
      </c>
      <c r="K10" s="11">
        <v>114055333.333333</v>
      </c>
      <c r="L10" s="11">
        <v>1858098538.333333</v>
      </c>
      <c r="M10" s="6">
        <f t="shared" si="0"/>
        <v>6.4187444026202731E-2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67.575500000000005</v>
      </c>
      <c r="J11" s="11">
        <v>71.02591666666666</v>
      </c>
      <c r="K11" s="11">
        <v>78151937.499999985</v>
      </c>
      <c r="L11" s="11">
        <v>1608737012.499999</v>
      </c>
      <c r="M11" s="6">
        <f t="shared" si="0"/>
        <v>5.5573326609118651E-2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75.450699999999998</v>
      </c>
      <c r="J12" s="11">
        <v>76.84111666666665</v>
      </c>
      <c r="K12" s="11">
        <v>31492937.5</v>
      </c>
      <c r="L12" s="11">
        <v>1740451292.5</v>
      </c>
      <c r="M12" s="6">
        <f t="shared" si="0"/>
        <v>6.0123356007739798E-2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61.192900000000002</v>
      </c>
      <c r="J13" s="11">
        <v>63.905316666666657</v>
      </c>
      <c r="K13" s="11">
        <v>61436237.5</v>
      </c>
      <c r="L13" s="11">
        <v>1447455422.5</v>
      </c>
      <c r="M13" s="6">
        <f t="shared" si="0"/>
        <v>5.0001903556459872E-2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59.770800000000001</v>
      </c>
      <c r="J14" s="11">
        <v>64.792133333333325</v>
      </c>
      <c r="K14" s="11">
        <v>113733200</v>
      </c>
      <c r="L14" s="11">
        <v>1467541820</v>
      </c>
      <c r="M14" s="6">
        <f t="shared" si="0"/>
        <v>5.0695781996499857E-2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84.895200000000003</v>
      </c>
      <c r="J15" s="11">
        <v>87.426700000000011</v>
      </c>
      <c r="K15" s="11">
        <v>95564125</v>
      </c>
      <c r="L15" s="11">
        <v>3300357925</v>
      </c>
      <c r="M15" s="6">
        <f t="shared" si="0"/>
        <v>0.11400985211870869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56.389000000000003</v>
      </c>
      <c r="J16" s="11">
        <v>58.512611111111106</v>
      </c>
      <c r="K16" s="11">
        <v>59543082.5</v>
      </c>
      <c r="L16" s="11">
        <v>1640611697.9000001</v>
      </c>
      <c r="M16" s="6">
        <f t="shared" si="0"/>
        <v>5.6674427838551054E-2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84.715600000000009</v>
      </c>
      <c r="J17" s="11">
        <v>90.915599999999998</v>
      </c>
      <c r="K17" s="11">
        <v>64385760</v>
      </c>
      <c r="L17" s="11">
        <v>944140322.88</v>
      </c>
      <c r="M17" s="6">
        <f t="shared" si="0"/>
        <v>3.2615037834376304E-2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97.583100000000002</v>
      </c>
      <c r="J18" s="11">
        <v>102.48657222222201</v>
      </c>
      <c r="K18" s="11">
        <v>24860064.78472222</v>
      </c>
      <c r="L18" s="11">
        <v>519595647.643722</v>
      </c>
      <c r="M18" s="6">
        <f t="shared" si="0"/>
        <v>1.7949272259427867E-2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94.4727160220462</v>
      </c>
      <c r="J19" s="11">
        <v>94.869938244268411</v>
      </c>
      <c r="K19" s="11">
        <v>8341666.6666666698</v>
      </c>
      <c r="L19" s="11">
        <v>1992268703.129636</v>
      </c>
      <c r="M19" s="6">
        <f t="shared" si="0"/>
        <v>6.8822311211757844E-2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98.123957035182897</v>
      </c>
      <c r="J20" s="11">
        <v>102.17520703518301</v>
      </c>
      <c r="K20" s="11">
        <v>40512499.999999993</v>
      </c>
      <c r="L20" s="11">
        <v>1021752070.351828</v>
      </c>
      <c r="M20" s="6">
        <f t="shared" si="0"/>
        <v>3.529611184301968E-2</v>
      </c>
    </row>
    <row r="21" spans="1:15" x14ac:dyDescent="0.25">
      <c r="A21" s="1" t="s">
        <v>108</v>
      </c>
      <c r="B21" s="13" t="s">
        <v>109</v>
      </c>
      <c r="C21" s="10">
        <v>165739</v>
      </c>
      <c r="D21" s="11">
        <v>165739000</v>
      </c>
      <c r="E21" s="3">
        <v>0.125</v>
      </c>
      <c r="F21" s="4" t="s">
        <v>110</v>
      </c>
      <c r="G21" s="4" t="s">
        <v>111</v>
      </c>
      <c r="H21" s="11">
        <v>159596381.18279999</v>
      </c>
      <c r="I21" s="11">
        <v>95.616598875000491</v>
      </c>
      <c r="J21" s="11">
        <v>98.776321097209305</v>
      </c>
      <c r="K21" s="11">
        <v>5236892.0138666704</v>
      </c>
      <c r="L21" s="11">
        <v>163710886.823304</v>
      </c>
      <c r="M21" s="6">
        <f t="shared" si="0"/>
        <v>5.6553423662215503E-3</v>
      </c>
    </row>
    <row r="22" spans="1:15" x14ac:dyDescent="0.25">
      <c r="A22" s="1" t="s">
        <v>112</v>
      </c>
      <c r="B22" s="13" t="s">
        <v>113</v>
      </c>
      <c r="C22" s="10">
        <v>494987</v>
      </c>
      <c r="D22" s="11">
        <v>494987000</v>
      </c>
      <c r="E22" s="3">
        <v>0.1701</v>
      </c>
      <c r="F22" s="4" t="s">
        <v>114</v>
      </c>
      <c r="G22" s="4" t="s">
        <v>115</v>
      </c>
      <c r="H22" s="11">
        <v>495088472.34249997</v>
      </c>
      <c r="I22" s="11">
        <v>101.4393</v>
      </c>
      <c r="J22" s="11">
        <v>103.14030000000001</v>
      </c>
      <c r="K22" s="11">
        <v>8419728.8699999992</v>
      </c>
      <c r="L22" s="11">
        <v>510531076.76099998</v>
      </c>
      <c r="M22" s="6">
        <f t="shared" si="0"/>
        <v>1.7636139438884261E-2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1021420625.821366</v>
      </c>
      <c r="L24" s="22">
        <f>SUM(L4:L23)</f>
        <v>28948006366.709606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3143540.16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1431300</v>
      </c>
      <c r="D32" s="7" t="s">
        <v>50</v>
      </c>
      <c r="E32" s="34" t="s">
        <v>54</v>
      </c>
      <c r="F32" s="34" t="s">
        <v>55</v>
      </c>
      <c r="G32" s="15">
        <v>908.40600000000006</v>
      </c>
      <c r="H32" s="15">
        <v>909.57821705442609</v>
      </c>
      <c r="I32" s="16">
        <f>+C32*G32</f>
        <v>1300201507.8000002</v>
      </c>
      <c r="J32" s="16">
        <f>+C32*H32</f>
        <v>1301879302.0700002</v>
      </c>
      <c r="K32" s="18">
        <v>0.157</v>
      </c>
      <c r="L32" s="17">
        <v>559264.7566666666</v>
      </c>
      <c r="M32" s="17">
        <v>1300760772.5566659</v>
      </c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801528</v>
      </c>
      <c r="D33" s="7" t="s">
        <v>50</v>
      </c>
      <c r="E33" s="34" t="s">
        <v>54</v>
      </c>
      <c r="F33" s="34" t="s">
        <v>55</v>
      </c>
      <c r="G33" s="15">
        <v>908.40600000249503</v>
      </c>
      <c r="H33" s="15">
        <v>909.57821705542403</v>
      </c>
      <c r="I33" s="16">
        <f>+C33*G33</f>
        <v>728112844.36999989</v>
      </c>
      <c r="J33" s="16">
        <f>+C33*H33</f>
        <v>729052409.15999997</v>
      </c>
      <c r="K33" s="18">
        <v>0.157</v>
      </c>
      <c r="L33" s="17">
        <v>313188.26333333331</v>
      </c>
      <c r="M33" s="17">
        <v>728426032.63333297</v>
      </c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4404</v>
      </c>
      <c r="D34" s="7" t="s">
        <v>50</v>
      </c>
      <c r="E34" s="34" t="s">
        <v>54</v>
      </c>
      <c r="F34" s="34" t="s">
        <v>55</v>
      </c>
      <c r="G34" s="15">
        <v>908.405999091735</v>
      </c>
      <c r="H34" s="15">
        <v>909.57821525885606</v>
      </c>
      <c r="I34" s="16">
        <f>+C34*G34</f>
        <v>4000620.0200000009</v>
      </c>
      <c r="J34" s="16">
        <f>+C34*H34</f>
        <v>4005782.4600000023</v>
      </c>
      <c r="K34" s="18">
        <v>0.157</v>
      </c>
      <c r="L34" s="17">
        <v>1720.813333333333</v>
      </c>
      <c r="M34" s="17">
        <v>4002340.8333333302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2033189146.0233321</v>
      </c>
      <c r="N36" s="38">
        <v>2033189146.0233333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x14ac:dyDescent="0.25">
      <c r="A40" s="57">
        <f ca="1">IF(OFFSET(A40,-1,0)="№ п/п",1,OFFSET(A40,-1,0)+1)</f>
        <v>1</v>
      </c>
      <c r="B40" s="40" t="s">
        <v>49</v>
      </c>
      <c r="C40" s="52" t="s">
        <v>50</v>
      </c>
      <c r="D40" s="53" t="s">
        <v>51</v>
      </c>
      <c r="E40" s="54">
        <v>1100000</v>
      </c>
      <c r="F40" s="55">
        <v>1100000000</v>
      </c>
      <c r="G40" s="56">
        <v>1100000000</v>
      </c>
      <c r="H40" s="33"/>
    </row>
    <row r="41" spans="1:15" x14ac:dyDescent="0.25">
      <c r="A41" s="57">
        <f ca="1">IF(OFFSET(A41,-1,0)="№ п/п",1,OFFSET(A41,-1,0)+1)</f>
        <v>2</v>
      </c>
      <c r="B41" s="40" t="s">
        <v>49</v>
      </c>
      <c r="C41" s="52" t="s">
        <v>50</v>
      </c>
      <c r="D41" s="53" t="s">
        <v>51</v>
      </c>
      <c r="E41" s="54">
        <v>1</v>
      </c>
      <c r="F41" s="55">
        <v>76285000</v>
      </c>
      <c r="G41" s="56">
        <v>76285000</v>
      </c>
      <c r="H41" s="33"/>
    </row>
    <row r="42" spans="1:15" hidden="1" x14ac:dyDescent="0.25">
      <c r="B42" s="42"/>
      <c r="C42" s="43"/>
      <c r="D42" s="44"/>
      <c r="G42" s="45"/>
      <c r="H42" s="33"/>
    </row>
    <row r="43" spans="1:15" x14ac:dyDescent="0.25">
      <c r="G43" s="46">
        <f>SUM(G40:G42)</f>
        <v>1176285000</v>
      </c>
    </row>
    <row r="45" spans="1:15" x14ac:dyDescent="0.25">
      <c r="A45" s="47" t="s">
        <v>13</v>
      </c>
      <c r="B45" s="48">
        <f>+L24+B27+M36+G43</f>
        <v>32160624052.892937</v>
      </c>
      <c r="C45" s="32">
        <v>32160624052.892963</v>
      </c>
      <c r="D45" s="29">
        <f>B45-C45</f>
        <v>0</v>
      </c>
    </row>
    <row r="48" spans="1:15" x14ac:dyDescent="0.25">
      <c r="A48" s="24" t="s">
        <v>46</v>
      </c>
      <c r="B48" s="33"/>
    </row>
    <row r="49" spans="1:2" x14ac:dyDescent="0.25">
      <c r="A49" s="49" t="s">
        <v>35</v>
      </c>
      <c r="B49" s="50"/>
    </row>
    <row r="50" spans="1:2" x14ac:dyDescent="0.25">
      <c r="A50" s="49" t="s">
        <v>36</v>
      </c>
      <c r="B50" s="41"/>
    </row>
    <row r="51" spans="1:2" x14ac:dyDescent="0.25">
      <c r="A51" s="49" t="s">
        <v>37</v>
      </c>
      <c r="B51" s="41">
        <v>208781.15000000002</v>
      </c>
    </row>
    <row r="52" spans="1:2" x14ac:dyDescent="0.25">
      <c r="A52" s="49" t="s">
        <v>38</v>
      </c>
      <c r="B52" s="41"/>
    </row>
    <row r="53" spans="1:2" x14ac:dyDescent="0.25">
      <c r="A53" s="49" t="s">
        <v>39</v>
      </c>
      <c r="B53" s="50"/>
    </row>
    <row r="54" spans="1:2" x14ac:dyDescent="0.25">
      <c r="A54" s="49" t="s">
        <v>40</v>
      </c>
      <c r="B54" s="51"/>
    </row>
    <row r="55" spans="1:2" x14ac:dyDescent="0.25">
      <c r="A55" s="49" t="s">
        <v>41</v>
      </c>
      <c r="B55" s="51">
        <v>35496.92</v>
      </c>
    </row>
    <row r="56" spans="1:2" x14ac:dyDescent="0.25">
      <c r="A56" s="49" t="s">
        <v>42</v>
      </c>
      <c r="B56" s="41">
        <v>17727.91</v>
      </c>
    </row>
    <row r="57" spans="1:2" x14ac:dyDescent="0.25">
      <c r="A57" s="49" t="s">
        <v>43</v>
      </c>
      <c r="B57" s="41"/>
    </row>
    <row r="58" spans="1:2" x14ac:dyDescent="0.25">
      <c r="A58" s="49" t="s">
        <v>44</v>
      </c>
      <c r="B58" s="51"/>
    </row>
    <row r="59" spans="1:2" x14ac:dyDescent="0.25">
      <c r="A59" s="49" t="s">
        <v>45</v>
      </c>
      <c r="B59" s="50">
        <f>SUM(B49:B58)</f>
        <v>262005.98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2025-09-12T13:48:53Z</dcterms:created>
  <dcterms:modified xsi:type="dcterms:W3CDTF">2025-09-15T11:53:32Z</dcterms:modified>
</cp:coreProperties>
</file>