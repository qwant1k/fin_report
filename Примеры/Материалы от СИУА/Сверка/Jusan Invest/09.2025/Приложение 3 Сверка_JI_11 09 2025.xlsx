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09.2025\"/>
    </mc:Choice>
  </mc:AlternateContent>
  <xr:revisionPtr revIDLastSave="0" documentId="13_ncr:1_{E8C71370-0A45-4517-AD00-F55893300A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ДУ!$48:$48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3" i="1" l="1"/>
  <c r="I51" i="1"/>
  <c r="O44" i="1"/>
  <c r="O24" i="1"/>
  <c r="D27" i="1"/>
  <c r="B67" i="1"/>
  <c r="G51" i="1"/>
  <c r="A48" i="1"/>
  <c r="A49" i="1" s="1"/>
  <c r="M44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M22" i="1" s="1"/>
  <c r="K24" i="1"/>
  <c r="M17" i="1"/>
  <c r="M11" i="1"/>
  <c r="M6" i="1"/>
  <c r="M5" i="1"/>
  <c r="M7" i="1" l="1"/>
  <c r="M13" i="1"/>
  <c r="M19" i="1"/>
  <c r="M12" i="1"/>
  <c r="M18" i="1"/>
  <c r="M14" i="1"/>
  <c r="M9" i="1"/>
  <c r="M15" i="1"/>
  <c r="M21" i="1"/>
  <c r="B53" i="1"/>
  <c r="M8" i="1"/>
  <c r="M20" i="1"/>
  <c r="M4" i="1"/>
  <c r="M10" i="1"/>
  <c r="M16" i="1"/>
</calcChain>
</file>

<file path=xl/sharedStrings.xml><?xml version="1.0" encoding="utf-8"?>
<sst xmlns="http://schemas.openxmlformats.org/spreadsheetml/2006/main" count="191" uniqueCount="128">
  <si>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</si>
  <si>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</si>
  <si>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</si>
  <si>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</si>
  <si>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</si>
  <si>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</si>
  <si>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</si>
  <si>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</si>
  <si>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</si>
  <si>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</si>
  <si>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</si>
  <si>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</si>
  <si>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</si>
  <si>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</si>
  <si>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</si>
  <si>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</si>
  <si>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</si>
  <si>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</si>
  <si>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</si>
  <si>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</si>
  <si>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</si>
  <si>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</si>
  <si>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</si>
  <si>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</si>
  <si>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</si>
  <si>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</si>
  <si>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</si>
  <si>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</si>
  <si>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</si>
  <si>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</si>
  <si>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</si>
  <si>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</si>
  <si>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</si>
  <si>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</si>
  <si>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</si>
  <si>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</si>
  <si>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</si>
  <si>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</si>
  <si>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</si>
  <si>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</si>
  <si>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</si>
  <si>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</si>
  <si>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</si>
  <si>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</si>
  <si>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</si>
  <si>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</si>
  <si>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</si>
  <si>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</si>
  <si>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</si>
  <si>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KZ2C00011245 _BTRKb14</t>
  </si>
  <si>
    <t>KZT</t>
  </si>
  <si>
    <t>10.09.2025</t>
  </si>
  <si>
    <t>ГУ "Национальный Банк Республики Казахстан", ГЦБ, NTK028_2866</t>
  </si>
  <si>
    <t>KZW100014320</t>
  </si>
  <si>
    <t>11.09.2025</t>
  </si>
  <si>
    <t>12.09.2025</t>
  </si>
  <si>
    <t>МИНИСТЕРСТВО ФИНАНСОВ РК, ОБЛИГАЦИИ, MFKZ.0435</t>
  </si>
  <si>
    <t>XS2914770545</t>
  </si>
  <si>
    <t>МИНИСТЕРСТВО ФИНАНСОВ РК, ГЦБ, KZ_24_3207</t>
  </si>
  <si>
    <t>XS3093655341</t>
  </si>
  <si>
    <t>ЕВРАЗИЙСКИЙ БАНК РАЗВИТИЯ, ОБЛИГАЦИИ, EABRb53</t>
  </si>
  <si>
    <t>KZ2D00013620</t>
  </si>
  <si>
    <t>МИНИСТЕРСТВО ФИНАНСОВ РК, ГЦБ, MUM180_0009</t>
  </si>
  <si>
    <t>KZKD00000717</t>
  </si>
  <si>
    <t>МИНИСТЕРСТВО ФИНАНСОВ РК, ГЦБ, MUM072_0014</t>
  </si>
  <si>
    <t>KZKD00001210</t>
  </si>
  <si>
    <t>МИНИСТЕРСТВО ФИНАНСОВ РК, ГЦБ, KZ_10_2811</t>
  </si>
  <si>
    <t>XS1901718335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</si>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</sst>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  <numFmt numFmtId="167" formatCode="_-* #,##0.00\ _₸_-;\-* #,##0.00\ _₸_-;_-* &quot;-&quot;??\ _₸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60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1" xfId="3" applyBorder="1" applyAlignment="1">
      <alignment horizontal="left"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7" fillId="0" borderId="1" xfId="3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4" fontId="0" fillId="0" borderId="1" xfId="2" applyNumberFormat="1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4" fontId="11" fillId="0" borderId="0" xfId="0" applyNumberFormat="1" applyFont="1" applyAlignment="1">
      <alignment vertical="center"/>
    </xf>
    <xf numFmtId="167" fontId="0" fillId="0" borderId="0" xfId="0" applyNumberForma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7"/>
  <sheetViews>
    <sheetView tabSelected="1" topLeftCell="A16" zoomScale="90" zoomScaleNormal="90" workbookViewId="0">
      <selection activeCell="D54" sqref="D54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8.85546875" style="26" bestFit="1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54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68</v>
      </c>
      <c r="B4" s="13" t="s">
        <v>69</v>
      </c>
      <c r="C4" s="10">
        <v>3020000</v>
      </c>
      <c r="D4" s="11">
        <v>3020000000</v>
      </c>
      <c r="E4" s="3">
        <v>0.1067</v>
      </c>
      <c r="F4" s="4" t="s">
        <v>70</v>
      </c>
      <c r="G4" s="4" t="s">
        <v>71</v>
      </c>
      <c r="H4" s="11">
        <v>2930617060.0000029</v>
      </c>
      <c r="I4" s="11">
        <v>98.024100000000004</v>
      </c>
      <c r="J4" s="11">
        <v>99.506044444444441</v>
      </c>
      <c r="K4" s="11">
        <v>44754722.222222216</v>
      </c>
      <c r="L4" s="11">
        <v>3005082542.2222219</v>
      </c>
      <c r="M4" s="6">
        <f t="shared" ref="M4:M22" si="0">L4/$L$24</f>
        <v>0.10388750129957361</v>
      </c>
    </row>
    <row r="5" spans="1:13" x14ac:dyDescent="0.25">
      <c r="A5" s="1" t="s">
        <v>72</v>
      </c>
      <c r="B5" s="13" t="s">
        <v>73</v>
      </c>
      <c r="C5" s="10">
        <v>2265000</v>
      </c>
      <c r="D5" s="11">
        <v>2265000000</v>
      </c>
      <c r="E5" s="3">
        <v>0.10550000000000001</v>
      </c>
      <c r="F5" s="4" t="s">
        <v>70</v>
      </c>
      <c r="G5" s="4" t="s">
        <v>74</v>
      </c>
      <c r="H5" s="11">
        <v>2039188560.0000031</v>
      </c>
      <c r="I5" s="11">
        <v>82.316800000000001</v>
      </c>
      <c r="J5" s="11">
        <v>83.576938888888876</v>
      </c>
      <c r="K5" s="11">
        <v>28542145.833333328</v>
      </c>
      <c r="L5" s="11">
        <v>1893017665.833333</v>
      </c>
      <c r="M5" s="6">
        <f t="shared" si="0"/>
        <v>6.5442753220997338E-2</v>
      </c>
    </row>
    <row r="6" spans="1:13" x14ac:dyDescent="0.25">
      <c r="A6" s="1" t="s">
        <v>72</v>
      </c>
      <c r="B6" s="13" t="s">
        <v>73</v>
      </c>
      <c r="C6" s="10">
        <v>1551646</v>
      </c>
      <c r="D6" s="11">
        <v>1551646000</v>
      </c>
      <c r="E6" s="3">
        <v>0.10550000000000001</v>
      </c>
      <c r="F6" s="4" t="s">
        <v>75</v>
      </c>
      <c r="G6" s="4" t="s">
        <v>74</v>
      </c>
      <c r="H6" s="11">
        <v>1395452658.7</v>
      </c>
      <c r="I6" s="11">
        <v>82.316800000000001</v>
      </c>
      <c r="J6" s="11">
        <v>83.576938888889131</v>
      </c>
      <c r="K6" s="11">
        <v>19552894.663888879</v>
      </c>
      <c r="L6" s="11">
        <v>1296818229.1918919</v>
      </c>
      <c r="M6" s="6">
        <f t="shared" si="0"/>
        <v>4.4831782015164627E-2</v>
      </c>
    </row>
    <row r="7" spans="1:13" x14ac:dyDescent="0.25">
      <c r="A7" s="1" t="s">
        <v>72</v>
      </c>
      <c r="B7" s="13" t="s">
        <v>73</v>
      </c>
      <c r="C7" s="10">
        <v>545692</v>
      </c>
      <c r="D7" s="11">
        <v>545692000</v>
      </c>
      <c r="E7" s="3">
        <v>0.10550000000000001</v>
      </c>
      <c r="F7" s="4" t="s">
        <v>76</v>
      </c>
      <c r="G7" s="4" t="s">
        <v>74</v>
      </c>
      <c r="H7" s="11">
        <v>449784993.92000002</v>
      </c>
      <c r="I7" s="11">
        <v>82.316800000000001</v>
      </c>
      <c r="J7" s="11">
        <v>83.57693888888889</v>
      </c>
      <c r="K7" s="11">
        <v>6876477.1055555604</v>
      </c>
      <c r="L7" s="11">
        <v>456072669.36155599</v>
      </c>
      <c r="M7" s="6">
        <f t="shared" si="0"/>
        <v>1.576670502899449E-2</v>
      </c>
    </row>
    <row r="8" spans="1:13" x14ac:dyDescent="0.25">
      <c r="A8" s="1" t="s">
        <v>77</v>
      </c>
      <c r="B8" s="13" t="s">
        <v>78</v>
      </c>
      <c r="C8" s="10">
        <v>2265000</v>
      </c>
      <c r="D8" s="11">
        <v>2265000000</v>
      </c>
      <c r="E8" s="3">
        <v>0.10400000000000001</v>
      </c>
      <c r="F8" s="4" t="s">
        <v>70</v>
      </c>
      <c r="G8" s="4" t="s">
        <v>79</v>
      </c>
      <c r="H8" s="11">
        <v>2073109200</v>
      </c>
      <c r="I8" s="11">
        <v>86.313400000000001</v>
      </c>
      <c r="J8" s="11">
        <v>90.61784444444443</v>
      </c>
      <c r="K8" s="11">
        <v>97495666.666666657</v>
      </c>
      <c r="L8" s="11">
        <v>2052494176.666666</v>
      </c>
      <c r="M8" s="6">
        <f t="shared" si="0"/>
        <v>7.0955951608618922E-2</v>
      </c>
    </row>
    <row r="9" spans="1:13" x14ac:dyDescent="0.25">
      <c r="A9" s="1" t="s">
        <v>80</v>
      </c>
      <c r="B9" s="13" t="s">
        <v>81</v>
      </c>
      <c r="C9" s="10">
        <v>2265000</v>
      </c>
      <c r="D9" s="11">
        <v>2265000000</v>
      </c>
      <c r="E9" s="3">
        <v>0.11</v>
      </c>
      <c r="F9" s="4" t="s">
        <v>70</v>
      </c>
      <c r="G9" s="4" t="s">
        <v>82</v>
      </c>
      <c r="H9" s="11">
        <v>2080889475</v>
      </c>
      <c r="I9" s="11">
        <v>84.319200000000009</v>
      </c>
      <c r="J9" s="11">
        <v>89.238644444444432</v>
      </c>
      <c r="K9" s="11">
        <v>111425416.666667</v>
      </c>
      <c r="L9" s="11">
        <v>2021255296.666666</v>
      </c>
      <c r="M9" s="6">
        <f t="shared" si="0"/>
        <v>6.9876004838106145E-2</v>
      </c>
    </row>
    <row r="10" spans="1:13" x14ac:dyDescent="0.25">
      <c r="A10" s="1" t="s">
        <v>83</v>
      </c>
      <c r="B10" s="13" t="s">
        <v>84</v>
      </c>
      <c r="C10" s="10">
        <v>2265000</v>
      </c>
      <c r="D10" s="11">
        <v>2265000000</v>
      </c>
      <c r="E10" s="3">
        <v>0.10300000000000001</v>
      </c>
      <c r="F10" s="4" t="s">
        <v>70</v>
      </c>
      <c r="G10" s="4" t="s">
        <v>85</v>
      </c>
      <c r="H10" s="11">
        <v>1963990560.0000031</v>
      </c>
      <c r="I10" s="11">
        <v>76.994100000000003</v>
      </c>
      <c r="J10" s="11">
        <v>81.972433333333328</v>
      </c>
      <c r="K10" s="11">
        <v>112759250</v>
      </c>
      <c r="L10" s="11">
        <v>1856675615</v>
      </c>
      <c r="M10" s="6">
        <f t="shared" si="0"/>
        <v>6.4186386781762986E-2</v>
      </c>
    </row>
    <row r="11" spans="1:13" x14ac:dyDescent="0.25">
      <c r="A11" s="1" t="s">
        <v>86</v>
      </c>
      <c r="B11" s="13" t="s">
        <v>87</v>
      </c>
      <c r="C11" s="10">
        <v>2265000</v>
      </c>
      <c r="D11" s="11">
        <v>2265000000</v>
      </c>
      <c r="E11" s="3">
        <v>8.4500000000000006E-2</v>
      </c>
      <c r="F11" s="4" t="s">
        <v>70</v>
      </c>
      <c r="G11" s="4" t="s">
        <v>88</v>
      </c>
      <c r="H11" s="11">
        <v>1740247065.0000031</v>
      </c>
      <c r="I11" s="11">
        <v>67.568300000000008</v>
      </c>
      <c r="J11" s="11">
        <v>70.971772222222214</v>
      </c>
      <c r="K11" s="11">
        <v>77088645.833333328</v>
      </c>
      <c r="L11" s="11">
        <v>1607510640.833333</v>
      </c>
      <c r="M11" s="6">
        <f t="shared" si="0"/>
        <v>5.5572604559858983E-2</v>
      </c>
    </row>
    <row r="12" spans="1:13" x14ac:dyDescent="0.25">
      <c r="A12" s="1" t="s">
        <v>89</v>
      </c>
      <c r="B12" s="13" t="s">
        <v>90</v>
      </c>
      <c r="C12" s="10">
        <v>2265000</v>
      </c>
      <c r="D12" s="11">
        <v>2265000000</v>
      </c>
      <c r="E12" s="3">
        <v>0.10650000000000001</v>
      </c>
      <c r="F12" s="4" t="s">
        <v>70</v>
      </c>
      <c r="G12" s="4" t="s">
        <v>91</v>
      </c>
      <c r="H12" s="11">
        <v>1967775375</v>
      </c>
      <c r="I12" s="11">
        <v>75.447500000000005</v>
      </c>
      <c r="J12" s="11">
        <v>76.778750000000002</v>
      </c>
      <c r="K12" s="11">
        <v>30152812.5</v>
      </c>
      <c r="L12" s="11">
        <v>1739038687.5</v>
      </c>
      <c r="M12" s="6">
        <f t="shared" si="0"/>
        <v>6.0119607820844058E-2</v>
      </c>
    </row>
    <row r="13" spans="1:13" x14ac:dyDescent="0.25">
      <c r="A13" s="1" t="s">
        <v>92</v>
      </c>
      <c r="B13" s="13" t="s">
        <v>93</v>
      </c>
      <c r="C13" s="10">
        <v>2265000</v>
      </c>
      <c r="D13" s="11">
        <v>2265000000</v>
      </c>
      <c r="E13" s="3">
        <v>8.0700000000000008E-2</v>
      </c>
      <c r="F13" s="4" t="s">
        <v>70</v>
      </c>
      <c r="G13" s="4" t="s">
        <v>94</v>
      </c>
      <c r="H13" s="11">
        <v>1622351550</v>
      </c>
      <c r="I13" s="11">
        <v>61.186700000000002</v>
      </c>
      <c r="J13" s="11">
        <v>63.854283333333328</v>
      </c>
      <c r="K13" s="11">
        <v>60420762.5</v>
      </c>
      <c r="L13" s="11">
        <v>1446299517.5</v>
      </c>
      <c r="M13" s="6">
        <f t="shared" si="0"/>
        <v>4.9999439580366428E-2</v>
      </c>
    </row>
    <row r="14" spans="1:13" x14ac:dyDescent="0.25">
      <c r="A14" s="1" t="s">
        <v>95</v>
      </c>
      <c r="B14" s="13" t="s">
        <v>96</v>
      </c>
      <c r="C14" s="10">
        <v>2265000</v>
      </c>
      <c r="D14" s="11">
        <v>2265000000</v>
      </c>
      <c r="E14" s="3">
        <v>8.0700000000000008E-2</v>
      </c>
      <c r="F14" s="4" t="s">
        <v>70</v>
      </c>
      <c r="G14" s="4" t="s">
        <v>97</v>
      </c>
      <c r="H14" s="11">
        <v>1597764975</v>
      </c>
      <c r="I14" s="11">
        <v>59.763600000000004</v>
      </c>
      <c r="J14" s="11">
        <v>64.740099999999998</v>
      </c>
      <c r="K14" s="11">
        <v>112717725</v>
      </c>
      <c r="L14" s="11">
        <v>1466363265</v>
      </c>
      <c r="M14" s="6">
        <f t="shared" si="0"/>
        <v>5.069305533474075E-2</v>
      </c>
    </row>
    <row r="15" spans="1:13" x14ac:dyDescent="0.25">
      <c r="A15" s="1" t="s">
        <v>98</v>
      </c>
      <c r="B15" s="13" t="s">
        <v>99</v>
      </c>
      <c r="C15" s="10">
        <v>3775000</v>
      </c>
      <c r="D15" s="11">
        <v>3775000000</v>
      </c>
      <c r="E15" s="3">
        <v>5.4900000000000004E-2</v>
      </c>
      <c r="F15" s="4" t="s">
        <v>70</v>
      </c>
      <c r="G15" s="4" t="s">
        <v>100</v>
      </c>
      <c r="H15" s="11">
        <v>3136670150</v>
      </c>
      <c r="I15" s="11">
        <v>84.878100000000003</v>
      </c>
      <c r="J15" s="11">
        <v>87.379100000000008</v>
      </c>
      <c r="K15" s="11">
        <v>94412750</v>
      </c>
      <c r="L15" s="11">
        <v>3298561025</v>
      </c>
      <c r="M15" s="6">
        <f t="shared" si="0"/>
        <v>0.11403322802507887</v>
      </c>
    </row>
    <row r="16" spans="1:13" x14ac:dyDescent="0.25">
      <c r="A16" s="1" t="s">
        <v>101</v>
      </c>
      <c r="B16" s="13" t="s">
        <v>102</v>
      </c>
      <c r="C16" s="10">
        <v>2803860</v>
      </c>
      <c r="D16" s="11">
        <v>2803860000</v>
      </c>
      <c r="E16" s="3">
        <v>5.5E-2</v>
      </c>
      <c r="F16" s="4" t="s">
        <v>103</v>
      </c>
      <c r="G16" s="4" t="s">
        <v>104</v>
      </c>
      <c r="H16" s="11">
        <v>1773018067.1400001</v>
      </c>
      <c r="I16" s="11">
        <v>56.378800000000005</v>
      </c>
      <c r="J16" s="11">
        <v>58.47185555555555</v>
      </c>
      <c r="K16" s="11">
        <v>58686347.5</v>
      </c>
      <c r="L16" s="11">
        <v>1639468969.1800001</v>
      </c>
      <c r="M16" s="6">
        <f t="shared" si="0"/>
        <v>5.6677423090131844E-2</v>
      </c>
    </row>
    <row r="17" spans="1:15" x14ac:dyDescent="0.25">
      <c r="A17" s="1" t="s">
        <v>105</v>
      </c>
      <c r="B17" s="13" t="s">
        <v>106</v>
      </c>
      <c r="C17" s="10">
        <v>1038480</v>
      </c>
      <c r="D17" s="11">
        <v>1038480000</v>
      </c>
      <c r="E17" s="3">
        <v>0.12</v>
      </c>
      <c r="F17" s="4" t="s">
        <v>103</v>
      </c>
      <c r="G17" s="4" t="s">
        <v>107</v>
      </c>
      <c r="H17" s="11">
        <v>979029096.96000004</v>
      </c>
      <c r="I17" s="11">
        <v>84.712400000000002</v>
      </c>
      <c r="J17" s="11">
        <v>90.845733333333328</v>
      </c>
      <c r="K17" s="11">
        <v>63693440</v>
      </c>
      <c r="L17" s="11">
        <v>943414771.51999998</v>
      </c>
      <c r="M17" s="6">
        <f t="shared" si="0"/>
        <v>3.2614413056968633E-2</v>
      </c>
    </row>
    <row r="18" spans="1:15" x14ac:dyDescent="0.25">
      <c r="A18" s="1" t="s">
        <v>108</v>
      </c>
      <c r="B18" s="13" t="s">
        <v>109</v>
      </c>
      <c r="C18" s="10">
        <v>506989</v>
      </c>
      <c r="D18" s="11">
        <v>506989000</v>
      </c>
      <c r="E18" s="3">
        <v>0.1535</v>
      </c>
      <c r="F18" s="4" t="s">
        <v>110</v>
      </c>
      <c r="G18" s="4" t="s">
        <v>111</v>
      </c>
      <c r="H18" s="11">
        <v>492216861.50999999</v>
      </c>
      <c r="I18" s="11">
        <v>97.588700000000003</v>
      </c>
      <c r="J18" s="11">
        <v>102.40689444444401</v>
      </c>
      <c r="K18" s="11">
        <v>24427715.83194444</v>
      </c>
      <c r="L18" s="11">
        <v>519191690.07494402</v>
      </c>
      <c r="M18" s="6">
        <f t="shared" si="0"/>
        <v>1.7948767336521284E-2</v>
      </c>
    </row>
    <row r="19" spans="1:15" x14ac:dyDescent="0.25">
      <c r="A19" s="1" t="s">
        <v>112</v>
      </c>
      <c r="B19" s="13" t="s">
        <v>113</v>
      </c>
      <c r="C19" s="10">
        <v>2100000</v>
      </c>
      <c r="D19" s="11">
        <v>2100000000</v>
      </c>
      <c r="E19" s="3">
        <v>0.14300000000000002</v>
      </c>
      <c r="F19" s="4" t="s">
        <v>114</v>
      </c>
      <c r="G19" s="4" t="s">
        <v>115</v>
      </c>
      <c r="H19" s="11">
        <v>2100000000</v>
      </c>
      <c r="I19" s="11">
        <v>94.470270575134393</v>
      </c>
      <c r="J19" s="11">
        <v>94.78804835291217</v>
      </c>
      <c r="K19" s="11">
        <v>6673333.3333333302</v>
      </c>
      <c r="L19" s="11">
        <v>1990549015.411155</v>
      </c>
      <c r="M19" s="6">
        <f t="shared" si="0"/>
        <v>6.8814470324821866E-2</v>
      </c>
    </row>
    <row r="20" spans="1:15" x14ac:dyDescent="0.25">
      <c r="A20" s="1" t="s">
        <v>116</v>
      </c>
      <c r="B20" s="13" t="s">
        <v>117</v>
      </c>
      <c r="C20" s="10">
        <v>1000000</v>
      </c>
      <c r="D20" s="11">
        <v>1000000000</v>
      </c>
      <c r="E20" s="3">
        <v>0.1389</v>
      </c>
      <c r="F20" s="4" t="s">
        <v>118</v>
      </c>
      <c r="G20" s="4" t="s">
        <v>119</v>
      </c>
      <c r="H20" s="11">
        <v>1000000000</v>
      </c>
      <c r="I20" s="11">
        <v>98.107243218511599</v>
      </c>
      <c r="J20" s="11">
        <v>102.08132655184501</v>
      </c>
      <c r="K20" s="11">
        <v>39740833.333333328</v>
      </c>
      <c r="L20" s="11">
        <v>1020813265.5184489</v>
      </c>
      <c r="M20" s="6">
        <f t="shared" si="0"/>
        <v>3.5290125298770444E-2</v>
      </c>
    </row>
    <row r="21" spans="1:15" x14ac:dyDescent="0.25">
      <c r="A21" s="1" t="s">
        <v>120</v>
      </c>
      <c r="B21" s="13" t="s">
        <v>121</v>
      </c>
      <c r="C21" s="10">
        <v>165739</v>
      </c>
      <c r="D21" s="11">
        <v>165739000</v>
      </c>
      <c r="E21" s="3">
        <v>0.125</v>
      </c>
      <c r="F21" s="4" t="s">
        <v>122</v>
      </c>
      <c r="G21" s="4" t="s">
        <v>123</v>
      </c>
      <c r="H21" s="11">
        <v>159596381.18279999</v>
      </c>
      <c r="I21" s="11">
        <v>95.611944942895789</v>
      </c>
      <c r="J21" s="11">
        <v>98.70222272066016</v>
      </c>
      <c r="K21" s="11">
        <v>5121795.4860888897</v>
      </c>
      <c r="L21" s="11">
        <v>163588076.91499501</v>
      </c>
      <c r="M21" s="6">
        <f t="shared" si="0"/>
        <v>5.6553376868423311E-3</v>
      </c>
    </row>
    <row r="22" spans="1:15" x14ac:dyDescent="0.25">
      <c r="A22" s="1" t="s">
        <v>124</v>
      </c>
      <c r="B22" s="13" t="s">
        <v>125</v>
      </c>
      <c r="C22" s="10">
        <v>494987</v>
      </c>
      <c r="D22" s="11">
        <v>494987000</v>
      </c>
      <c r="E22" s="3">
        <v>0.1701</v>
      </c>
      <c r="F22" s="4" t="s">
        <v>126</v>
      </c>
      <c r="G22" s="4" t="s">
        <v>127</v>
      </c>
      <c r="H22" s="11">
        <v>495088472.34249997</v>
      </c>
      <c r="I22" s="11">
        <v>101.4466</v>
      </c>
      <c r="J22" s="11">
        <v>103.0531</v>
      </c>
      <c r="K22" s="11">
        <v>7951966.1550000003</v>
      </c>
      <c r="L22" s="11">
        <v>510099448.097</v>
      </c>
      <c r="M22" s="6">
        <f t="shared" si="0"/>
        <v>1.7634443091836413E-2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1002494700.6313671</v>
      </c>
      <c r="L24" s="22">
        <f>SUM(L4:L23)</f>
        <v>28926314567.49221</v>
      </c>
      <c r="M24" s="23"/>
      <c r="N24" s="26">
        <v>28926314567.492237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50</v>
      </c>
      <c r="B27" s="31">
        <v>2236515.04</v>
      </c>
      <c r="C27" s="58">
        <v>2236515.04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52</v>
      </c>
      <c r="B32" s="7" t="s">
        <v>53</v>
      </c>
      <c r="C32" s="14">
        <v>13033800</v>
      </c>
      <c r="D32" s="7" t="s">
        <v>50</v>
      </c>
      <c r="E32" s="34" t="s">
        <v>54</v>
      </c>
      <c r="F32" s="34" t="s">
        <v>55</v>
      </c>
      <c r="G32" s="15">
        <v>99.75</v>
      </c>
      <c r="H32" s="15">
        <v>99.795638767665594</v>
      </c>
      <c r="I32" s="16">
        <f t="shared" ref="I32:I42" si="1">+C32*G32</f>
        <v>1300121550</v>
      </c>
      <c r="J32" s="16">
        <f t="shared" ref="J32:J42" si="2">+C32*H32</f>
        <v>1300716396.5699997</v>
      </c>
      <c r="K32" s="18">
        <v>0.16699899999999998</v>
      </c>
      <c r="L32" s="17"/>
      <c r="M32" s="17">
        <v>1300121550</v>
      </c>
      <c r="N32" s="35"/>
    </row>
    <row r="33" spans="1:15" s="36" customFormat="1" ht="12" customHeight="1" x14ac:dyDescent="0.25">
      <c r="A33" s="12" t="s">
        <v>56</v>
      </c>
      <c r="B33" s="7" t="s">
        <v>57</v>
      </c>
      <c r="C33" s="14">
        <v>773474</v>
      </c>
      <c r="D33" s="7" t="s">
        <v>50</v>
      </c>
      <c r="E33" s="34" t="s">
        <v>51</v>
      </c>
      <c r="F33" s="34" t="s">
        <v>54</v>
      </c>
      <c r="G33" s="15">
        <v>541.91409999560403</v>
      </c>
      <c r="H33" s="15">
        <v>542.15833103633702</v>
      </c>
      <c r="I33" s="16">
        <f t="shared" si="1"/>
        <v>419156466.5799998</v>
      </c>
      <c r="J33" s="16">
        <f t="shared" si="2"/>
        <v>419345372.93999976</v>
      </c>
      <c r="K33" s="18">
        <v>0.16449900000000001</v>
      </c>
      <c r="L33" s="17">
        <v>188906.36</v>
      </c>
      <c r="M33" s="17"/>
      <c r="N33" s="35"/>
    </row>
    <row r="34" spans="1:15" s="36" customFormat="1" ht="12" customHeight="1" x14ac:dyDescent="0.25">
      <c r="A34" s="12" t="s">
        <v>56</v>
      </c>
      <c r="B34" s="7" t="s">
        <v>57</v>
      </c>
      <c r="C34" s="14">
        <v>773474</v>
      </c>
      <c r="D34" s="7" t="s">
        <v>50</v>
      </c>
      <c r="E34" s="34" t="s">
        <v>54</v>
      </c>
      <c r="F34" s="34" t="s">
        <v>54</v>
      </c>
      <c r="G34" s="15">
        <v>541.91409999560403</v>
      </c>
      <c r="H34" s="15">
        <v>542.15833103633702</v>
      </c>
      <c r="I34" s="16">
        <f t="shared" si="1"/>
        <v>419156466.5799998</v>
      </c>
      <c r="J34" s="16">
        <f t="shared" si="2"/>
        <v>419345372.93999976</v>
      </c>
      <c r="K34" s="18">
        <v>0.16449900000000001</v>
      </c>
      <c r="L34" s="17"/>
      <c r="M34" s="17"/>
      <c r="N34" s="35"/>
    </row>
    <row r="35" spans="1:15" s="36" customFormat="1" ht="12" customHeight="1" x14ac:dyDescent="0.25">
      <c r="A35" s="12" t="s">
        <v>58</v>
      </c>
      <c r="B35" s="7" t="s">
        <v>59</v>
      </c>
      <c r="C35" s="14">
        <v>544204</v>
      </c>
      <c r="D35" s="7" t="s">
        <v>50</v>
      </c>
      <c r="E35" s="34" t="s">
        <v>54</v>
      </c>
      <c r="F35" s="34" t="s">
        <v>55</v>
      </c>
      <c r="G35" s="15">
        <v>555.00410000661498</v>
      </c>
      <c r="H35" s="15">
        <v>555.24891004108804</v>
      </c>
      <c r="I35" s="16">
        <f t="shared" si="1"/>
        <v>302035451.23999989</v>
      </c>
      <c r="J35" s="16">
        <f t="shared" si="2"/>
        <v>302168677.84000027</v>
      </c>
      <c r="K35" s="18">
        <v>0.161</v>
      </c>
      <c r="L35" s="17"/>
      <c r="M35" s="17">
        <v>302035451.24000001</v>
      </c>
      <c r="N35" s="35"/>
    </row>
    <row r="36" spans="1:15" s="36" customFormat="1" ht="12" customHeight="1" x14ac:dyDescent="0.25">
      <c r="A36" s="12" t="s">
        <v>60</v>
      </c>
      <c r="B36" s="7" t="s">
        <v>61</v>
      </c>
      <c r="C36" s="14">
        <v>324054</v>
      </c>
      <c r="D36" s="7" t="s">
        <v>50</v>
      </c>
      <c r="E36" s="34" t="s">
        <v>51</v>
      </c>
      <c r="F36" s="34" t="s">
        <v>54</v>
      </c>
      <c r="G36" s="15">
        <v>1089.7829999938281</v>
      </c>
      <c r="H36" s="15">
        <v>1090.2756386281289</v>
      </c>
      <c r="I36" s="16">
        <f t="shared" si="1"/>
        <v>353148540.27999997</v>
      </c>
      <c r="J36" s="16">
        <f t="shared" si="2"/>
        <v>353308181.79999971</v>
      </c>
      <c r="K36" s="18">
        <v>0.16499899999999998</v>
      </c>
      <c r="L36" s="17">
        <v>159641.51999999999</v>
      </c>
      <c r="M36" s="17"/>
      <c r="N36" s="35"/>
    </row>
    <row r="37" spans="1:15" s="36" customFormat="1" ht="12" customHeight="1" x14ac:dyDescent="0.25">
      <c r="A37" s="12" t="s">
        <v>60</v>
      </c>
      <c r="B37" s="7" t="s">
        <v>61</v>
      </c>
      <c r="C37" s="14">
        <v>324054</v>
      </c>
      <c r="D37" s="7" t="s">
        <v>50</v>
      </c>
      <c r="E37" s="34" t="s">
        <v>54</v>
      </c>
      <c r="F37" s="34" t="s">
        <v>54</v>
      </c>
      <c r="G37" s="15">
        <v>1089.7829999938281</v>
      </c>
      <c r="H37" s="15">
        <v>1090.2756386281289</v>
      </c>
      <c r="I37" s="16">
        <f t="shared" si="1"/>
        <v>353148540.27999997</v>
      </c>
      <c r="J37" s="16">
        <f t="shared" si="2"/>
        <v>353308181.79999971</v>
      </c>
      <c r="K37" s="18">
        <v>0.16499899999999998</v>
      </c>
      <c r="L37" s="17"/>
      <c r="M37" s="17"/>
      <c r="N37" s="35"/>
    </row>
    <row r="38" spans="1:15" s="36" customFormat="1" ht="12" customHeight="1" x14ac:dyDescent="0.25">
      <c r="A38" s="12" t="s">
        <v>62</v>
      </c>
      <c r="B38" s="7" t="s">
        <v>63</v>
      </c>
      <c r="C38" s="14">
        <v>1155340</v>
      </c>
      <c r="D38" s="7" t="s">
        <v>50</v>
      </c>
      <c r="E38" s="34" t="s">
        <v>51</v>
      </c>
      <c r="F38" s="34" t="s">
        <v>54</v>
      </c>
      <c r="G38" s="15">
        <v>819.91100000000006</v>
      </c>
      <c r="H38" s="15">
        <v>820.28164245157302</v>
      </c>
      <c r="I38" s="16">
        <f t="shared" si="1"/>
        <v>947275974.74000001</v>
      </c>
      <c r="J38" s="16">
        <f t="shared" si="2"/>
        <v>947704192.79000032</v>
      </c>
      <c r="K38" s="18">
        <v>0.16499899999999998</v>
      </c>
      <c r="L38" s="17">
        <v>428218.05</v>
      </c>
      <c r="M38" s="17"/>
      <c r="N38" s="35"/>
    </row>
    <row r="39" spans="1:15" s="36" customFormat="1" ht="12" customHeight="1" x14ac:dyDescent="0.25">
      <c r="A39" s="12" t="s">
        <v>62</v>
      </c>
      <c r="B39" s="7" t="s">
        <v>63</v>
      </c>
      <c r="C39" s="14">
        <v>1155340</v>
      </c>
      <c r="D39" s="7" t="s">
        <v>50</v>
      </c>
      <c r="E39" s="34" t="s">
        <v>54</v>
      </c>
      <c r="F39" s="34" t="s">
        <v>54</v>
      </c>
      <c r="G39" s="15">
        <v>819.91100000000006</v>
      </c>
      <c r="H39" s="15">
        <v>820.28164245157302</v>
      </c>
      <c r="I39" s="16">
        <f t="shared" si="1"/>
        <v>947275974.74000001</v>
      </c>
      <c r="J39" s="16">
        <f t="shared" si="2"/>
        <v>947704192.79000032</v>
      </c>
      <c r="K39" s="18">
        <v>0.16499899999999998</v>
      </c>
      <c r="L39" s="17"/>
      <c r="M39" s="17"/>
      <c r="N39" s="35"/>
    </row>
    <row r="40" spans="1:15" s="36" customFormat="1" ht="12" customHeight="1" x14ac:dyDescent="0.25">
      <c r="A40" s="12" t="s">
        <v>64</v>
      </c>
      <c r="B40" s="7" t="s">
        <v>65</v>
      </c>
      <c r="C40" s="14">
        <v>12610</v>
      </c>
      <c r="D40" s="7" t="s">
        <v>50</v>
      </c>
      <c r="E40" s="34" t="s">
        <v>51</v>
      </c>
      <c r="F40" s="34" t="s">
        <v>54</v>
      </c>
      <c r="G40" s="15">
        <v>1031.2920000000001</v>
      </c>
      <c r="H40" s="15">
        <v>1031.7567819191111</v>
      </c>
      <c r="I40" s="16">
        <f t="shared" si="1"/>
        <v>13004592.120000001</v>
      </c>
      <c r="J40" s="16">
        <f t="shared" si="2"/>
        <v>13010453.01999999</v>
      </c>
      <c r="K40" s="18">
        <v>0.16449800000000001</v>
      </c>
      <c r="L40" s="17">
        <v>5860.9</v>
      </c>
      <c r="M40" s="17"/>
      <c r="N40" s="35"/>
    </row>
    <row r="41" spans="1:15" s="36" customFormat="1" ht="12" customHeight="1" x14ac:dyDescent="0.25">
      <c r="A41" s="12" t="s">
        <v>64</v>
      </c>
      <c r="B41" s="7" t="s">
        <v>65</v>
      </c>
      <c r="C41" s="14">
        <v>12610</v>
      </c>
      <c r="D41" s="7" t="s">
        <v>50</v>
      </c>
      <c r="E41" s="34" t="s">
        <v>54</v>
      </c>
      <c r="F41" s="34" t="s">
        <v>54</v>
      </c>
      <c r="G41" s="15">
        <v>1031.2920000000001</v>
      </c>
      <c r="H41" s="15">
        <v>1031.7567819191111</v>
      </c>
      <c r="I41" s="16">
        <f t="shared" si="1"/>
        <v>13004592.120000001</v>
      </c>
      <c r="J41" s="16">
        <f t="shared" si="2"/>
        <v>13010453.01999999</v>
      </c>
      <c r="K41" s="18">
        <v>0.16449800000000001</v>
      </c>
      <c r="L41" s="17"/>
      <c r="M41" s="17"/>
      <c r="N41" s="35"/>
    </row>
    <row r="42" spans="1:15" s="36" customFormat="1" ht="12" customHeight="1" x14ac:dyDescent="0.25">
      <c r="A42" s="12" t="s">
        <v>66</v>
      </c>
      <c r="B42" s="7" t="s">
        <v>67</v>
      </c>
      <c r="C42" s="14">
        <v>678540</v>
      </c>
      <c r="D42" s="7" t="s">
        <v>50</v>
      </c>
      <c r="E42" s="34" t="s">
        <v>54</v>
      </c>
      <c r="F42" s="34" t="s">
        <v>55</v>
      </c>
      <c r="G42" s="15">
        <v>633.92179999705206</v>
      </c>
      <c r="H42" s="15">
        <v>634.210102425797</v>
      </c>
      <c r="I42" s="16">
        <f t="shared" si="1"/>
        <v>430141298.16999972</v>
      </c>
      <c r="J42" s="16">
        <f t="shared" si="2"/>
        <v>430336922.90000027</v>
      </c>
      <c r="K42" s="18">
        <v>0.16599899999999998</v>
      </c>
      <c r="L42" s="17"/>
      <c r="M42" s="17">
        <v>430141298.17000002</v>
      </c>
      <c r="N42" s="35"/>
    </row>
    <row r="43" spans="1:15" s="36" customFormat="1" ht="11.25" hidden="1" x14ac:dyDescent="0.25">
      <c r="A43" s="7"/>
      <c r="B43" s="7"/>
      <c r="C43" s="7"/>
      <c r="D43" s="7"/>
      <c r="E43" s="37"/>
      <c r="F43" s="37"/>
      <c r="G43" s="7"/>
      <c r="H43" s="7"/>
      <c r="I43" s="8"/>
      <c r="J43" s="8"/>
      <c r="K43" s="7"/>
      <c r="L43" s="9"/>
      <c r="M43" s="9"/>
      <c r="N43" s="35"/>
    </row>
    <row r="44" spans="1:15" x14ac:dyDescent="0.25">
      <c r="A44" s="1" t="s">
        <v>5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2">
        <f>SUM(M32:M43)</f>
        <v>2032298299.4100001</v>
      </c>
      <c r="N44" s="38">
        <v>2032298299.4100001</v>
      </c>
      <c r="O44" s="29">
        <f>M44-N44</f>
        <v>0</v>
      </c>
    </row>
    <row r="46" spans="1:15" x14ac:dyDescent="0.25">
      <c r="A46" s="39" t="s">
        <v>28</v>
      </c>
      <c r="B46" s="33"/>
      <c r="D46" s="33"/>
      <c r="F46" s="28"/>
      <c r="G46" s="28"/>
    </row>
    <row r="47" spans="1:15" ht="22.5" x14ac:dyDescent="0.25">
      <c r="A47" s="19" t="s">
        <v>6</v>
      </c>
      <c r="B47" s="19" t="s">
        <v>29</v>
      </c>
      <c r="C47" s="19" t="s">
        <v>17</v>
      </c>
      <c r="D47" s="19" t="s">
        <v>30</v>
      </c>
      <c r="E47" s="19" t="s">
        <v>16</v>
      </c>
      <c r="F47" s="19" t="s">
        <v>31</v>
      </c>
      <c r="G47" s="19" t="s">
        <v>32</v>
      </c>
    </row>
    <row r="48" spans="1:15" x14ac:dyDescent="0.25">
      <c r="A48" s="57">
        <f ca="1">IF(OFFSET(A48,-1,0)="№ п/п",1,OFFSET(A48,-1,0)+1)</f>
        <v>1</v>
      </c>
      <c r="B48" s="40" t="s">
        <v>49</v>
      </c>
      <c r="C48" s="52" t="s">
        <v>50</v>
      </c>
      <c r="D48" s="53" t="s">
        <v>51</v>
      </c>
      <c r="E48" s="54">
        <v>1100000</v>
      </c>
      <c r="F48" s="55">
        <v>1100000000</v>
      </c>
      <c r="G48" s="56">
        <v>1100000000</v>
      </c>
      <c r="H48" s="33"/>
    </row>
    <row r="49" spans="1:9" x14ac:dyDescent="0.25">
      <c r="A49" s="57">
        <f ca="1">IF(OFFSET(A49,-1,0)="№ п/п",1,OFFSET(A49,-1,0)+1)</f>
        <v>2</v>
      </c>
      <c r="B49" s="40" t="s">
        <v>49</v>
      </c>
      <c r="C49" s="52" t="s">
        <v>50</v>
      </c>
      <c r="D49" s="53" t="s">
        <v>51</v>
      </c>
      <c r="E49" s="54">
        <v>1</v>
      </c>
      <c r="F49" s="55">
        <v>76285000</v>
      </c>
      <c r="G49" s="56">
        <v>76285000</v>
      </c>
      <c r="H49" s="33"/>
    </row>
    <row r="50" spans="1:9" hidden="1" x14ac:dyDescent="0.25">
      <c r="B50" s="42"/>
      <c r="C50" s="43"/>
      <c r="D50" s="44"/>
      <c r="G50" s="45"/>
      <c r="H50" s="33"/>
    </row>
    <row r="51" spans="1:9" x14ac:dyDescent="0.25">
      <c r="G51" s="46">
        <f>SUM(G48:G50)</f>
        <v>1176285000</v>
      </c>
      <c r="H51" s="29">
        <v>1176285000</v>
      </c>
      <c r="I51" s="59">
        <f>G51-H51</f>
        <v>0</v>
      </c>
    </row>
    <row r="53" spans="1:9" x14ac:dyDescent="0.25">
      <c r="A53" s="47" t="s">
        <v>13</v>
      </c>
      <c r="B53" s="48">
        <f>+L24+B27+M44+G51</f>
        <v>32137134381.942211</v>
      </c>
      <c r="C53" s="32">
        <v>32137134381.942238</v>
      </c>
      <c r="D53" s="29">
        <f>B53-C53</f>
        <v>0</v>
      </c>
    </row>
    <row r="56" spans="1:9" x14ac:dyDescent="0.25">
      <c r="A56" s="24" t="s">
        <v>46</v>
      </c>
      <c r="B56" s="33"/>
    </row>
    <row r="57" spans="1:9" x14ac:dyDescent="0.25">
      <c r="A57" s="49" t="s">
        <v>35</v>
      </c>
      <c r="B57" s="50"/>
    </row>
    <row r="58" spans="1:9" x14ac:dyDescent="0.25">
      <c r="A58" s="49" t="s">
        <v>36</v>
      </c>
      <c r="B58" s="41"/>
    </row>
    <row r="59" spans="1:9" x14ac:dyDescent="0.25">
      <c r="A59" s="49" t="s">
        <v>37</v>
      </c>
      <c r="B59" s="41">
        <v>179352.01</v>
      </c>
    </row>
    <row r="60" spans="1:9" x14ac:dyDescent="0.25">
      <c r="A60" s="49" t="s">
        <v>38</v>
      </c>
      <c r="B60" s="41"/>
    </row>
    <row r="61" spans="1:9" x14ac:dyDescent="0.25">
      <c r="A61" s="49" t="s">
        <v>39</v>
      </c>
      <c r="B61" s="50"/>
    </row>
    <row r="62" spans="1:9" x14ac:dyDescent="0.25">
      <c r="A62" s="49" t="s">
        <v>40</v>
      </c>
      <c r="B62" s="51">
        <v>26330.18</v>
      </c>
    </row>
    <row r="63" spans="1:9" x14ac:dyDescent="0.25">
      <c r="A63" s="49" t="s">
        <v>41</v>
      </c>
      <c r="B63" s="51">
        <v>13155.21</v>
      </c>
    </row>
    <row r="64" spans="1:9" x14ac:dyDescent="0.25">
      <c r="A64" s="49" t="s">
        <v>42</v>
      </c>
      <c r="B64" s="41"/>
    </row>
    <row r="65" spans="1:2" x14ac:dyDescent="0.25">
      <c r="A65" s="49" t="s">
        <v>43</v>
      </c>
      <c r="B65" s="41"/>
    </row>
    <row r="66" spans="1:2" x14ac:dyDescent="0.25">
      <c r="A66" s="49" t="s">
        <v>44</v>
      </c>
      <c r="B66" s="51"/>
    </row>
    <row r="67" spans="1:2" x14ac:dyDescent="0.25">
      <c r="A67" s="49" t="s">
        <v>45</v>
      </c>
      <c r="B67" s="50">
        <f>SUM(B57:B66)</f>
        <v>218837.4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</vt:i4>
      </vt:variant>
    </vt:vector>
  </HeadingPairs>
  <TitlesOfParts>
    <vt:vector size="7" baseType="lpstr">
      <vt:lpstr>ДУ</vt:lpstr>
      <vt:lpstr>Лист1</vt:lpstr>
      <vt:lpstr>__mdDATAHead__</vt:lpstr>
      <vt:lpstr>__mdDATAMoney__</vt:lpstr>
      <vt:lpstr>__mdDATAOther__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2025-09-12T05:48:54Z</dcterms:created>
  <dcterms:modified xsi:type="dcterms:W3CDTF">2025-09-12T07:33:41Z</dcterms:modified>
</cp:coreProperties>
</file>