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D0D23D42-7C7E-4420-8496-5C4B2A5725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асчет ДУ" sheetId="3" r:id="rId2"/>
    <sheet name="Лист1" sheetId="2" r:id="rId3"/>
  </sheets>
  <externalReferences>
    <externalReference r:id="rId4"/>
  </externalReferences>
  <definedNames>
    <definedName name="__mdDATAHead__">ДУ!$1:$1</definedName>
    <definedName name="__mdDATAMoney__">ДУ!$27:$27</definedName>
    <definedName name="__mdDATAOther__" localSheetId="1">[1]ДУ!#REF!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7" i="1" l="1"/>
  <c r="G2" i="3"/>
  <c r="F2" i="3"/>
  <c r="B2" i="3"/>
  <c r="C2" i="3"/>
  <c r="H2" i="3" l="1"/>
  <c r="B67" i="1" l="1"/>
  <c r="D59" i="1"/>
  <c r="D62" i="1"/>
  <c r="D63" i="1"/>
  <c r="D53" i="1"/>
  <c r="O46" i="1"/>
  <c r="O24" i="1"/>
  <c r="D27" i="1"/>
  <c r="G51" i="1"/>
  <c r="M46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B53" i="1" s="1"/>
  <c r="K24" i="1"/>
  <c r="M21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0" i="1" l="1"/>
  <c r="M22" i="1"/>
</calcChain>
</file>

<file path=xl/sharedStrings.xml><?xml version="1.0" encoding="utf-8"?>
<sst xmlns="http://schemas.openxmlformats.org/spreadsheetml/2006/main" count="205" uniqueCount="136">
  <si>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</si>
  <si>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</si>
  <si>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</si>
  <si>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</si>
  <si>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</si>
  <si>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</si>
  <si>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</si>
  <si>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</si>
  <si>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</si>
  <si>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</si>
  <si>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</si>
  <si>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</si>
  <si>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</si>
  <si>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</si>
  <si>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</si>
  <si>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</si>
  <si>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</si>
  <si>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</si>
  <si>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</si>
  <si>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</si>
  <si>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</si>
  <si>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</si>
  <si>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</si>
  <si>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</si>
  <si>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</si>
  <si>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</si>
  <si>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</si>
  <si>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</si>
  <si>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</si>
  <si>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</si>
  <si>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</si>
  <si>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</si>
  <si>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</si>
  <si>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</si>
  <si>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</si>
  <si>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</si>
  <si>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</si>
  <si>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</si>
  <si>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</si>
  <si>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</si>
  <si>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</si>
  <si>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</si>
  <si>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</si>
  <si>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</si>
  <si>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</si>
  <si>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</si>
  <si>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</si>
  <si>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</si>
  <si>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</si>
  <si>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MUM072_0015</t>
  </si>
  <si>
    <t>KZKD00001251</t>
  </si>
  <si>
    <t>KZT</t>
  </si>
  <si>
    <t>30.09.2025</t>
  </si>
  <si>
    <t>01.10.2025</t>
  </si>
  <si>
    <t>МИНИСТЕРСТВО ФИНАНСОВ РК, ОБЛИГАЦИИ, MFKZ.0435</t>
  </si>
  <si>
    <t>XS2914770545</t>
  </si>
  <si>
    <t>МИНИСТЕРСТВО ФИНАНСОВ РК, ГЦБ, KZ_24_3207</t>
  </si>
  <si>
    <t>XS3093655341</t>
  </si>
  <si>
    <t>МИНИСТЕРСТВО ФИНАНСОВ РК, ГЦБ, KZ_10_2811</t>
  </si>
  <si>
    <t>XS1901718335</t>
  </si>
  <si>
    <t>МИНИСТЕРСТВО ФИНАНСОВ РК, ГЦБ, KZ_06_4410</t>
  </si>
  <si>
    <t>XS1120709826</t>
  </si>
  <si>
    <t>29.09.2025</t>
  </si>
  <si>
    <t>06.10.2025</t>
  </si>
  <si>
    <t>МИНИСТЕРСТВО ФИНАНСОВ РК, ГЦБ, MUM120_0018</t>
  </si>
  <si>
    <t>KZKD00000907</t>
  </si>
  <si>
    <t>АКЦИОНЕРНОЕ ОБЩЕСТВО КАЗАХСТАНСКИЙ ФОНД УСТОЙЧИВОСТИ, ОБЛИГАЦИИ, KFUSb72</t>
  </si>
  <si>
    <t>KZ2C00011989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</si>
  <si>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</si>
  <si>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</si>
  <si>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</si>
  <si>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</si>
  <si>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</si>
  <si>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</si>
  <si>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</si>
  <si>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</si>
  <si>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</si>
  <si>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</si>
  <si>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</si>
  <si>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</si>
  <si>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</si>
  <si>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</si>
  <si>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</si>
  <si>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</si>
  <si>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</si>
  <si>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</si>
  <si>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</si>
  <si>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</si>
  <si>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</si>
  <si>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</si>
  <si>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</si>
  <si>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</si>
  <si>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</si>
  <si>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</si>
  <si>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</si>
  <si>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</si>
  <si>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</si>
  <si>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</si>
  <si>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</si>
  <si>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</si>
  <si>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</si>
  <si>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</si>
  <si>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</si>
  <si>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</si>
  <si>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</si>
  <si>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</si>
  <si>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</si>
  <si>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</si>
  <si>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</si>
  <si>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</si>
  <si>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</si>
  <si>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</si>
  <si>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</si>
  <si>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</si>
  <si>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</si>
  <si>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</si>
  <si>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</si>
  <si>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</si>
  <si>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</si>
  <si>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</si>
  <si>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</si>
  <si>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</si>
  <si>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</si>
  <si>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</si>
  <si>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</si>
  <si>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</si>
  <si>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 xml:space="preserve">Данные Фонда </t>
  </si>
  <si>
    <t xml:space="preserve">Разница 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</si>
  <si>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</si>
  <si>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</si>
  <si>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</si>
  <si>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</si>
  <si>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август</t>
  </si>
  <si>
    <t>Фактическая комиссия за август  (без корректировки)</t>
  </si>
  <si>
    <t>Корректировка комиссии ДУ за август</t>
  </si>
  <si>
    <t>Комиссия ДУ за сентябрь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</si>
</sst>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43" fontId="0" fillId="0" borderId="0" xfId="2" applyFont="1" applyAlignment="1">
      <alignment vertical="center"/>
    </xf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43" fontId="0" fillId="0" borderId="0" xfId="2" applyFont="1"/>
    <xf numFmtId="43" fontId="6" fillId="0" borderId="1" xfId="2" applyFont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</xdr:col>
      <xdr:colOff>2039294</xdr:colOff>
      <xdr:row>43</xdr:row>
      <xdr:rowOff>86801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5190303-1D7A-421F-9B7D-B76AA28AE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6763694" cy="7706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Jusan%20Invest%20BCK/&#1057;&#1074;&#1077;&#1088;&#1082;&#1072;/2025/04.2025/&#1055;&#1088;&#1080;&#1083;&#1086;&#1078;&#1077;&#1085;&#1080;&#1077;%203%20&#1057;&#1074;&#1077;&#1088;&#1082;&#1072;_JI_30%2004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Лист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34" zoomScale="90" zoomScaleNormal="90" workbookViewId="0">
      <selection activeCell="D66" sqref="D66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68</v>
      </c>
      <c r="B4" s="13" t="s">
        <v>69</v>
      </c>
      <c r="C4" s="10">
        <v>3020000</v>
      </c>
      <c r="D4" s="11">
        <v>3020000000</v>
      </c>
      <c r="E4" s="3">
        <v>0.1067</v>
      </c>
      <c r="F4" s="4" t="s">
        <v>70</v>
      </c>
      <c r="G4" s="4" t="s">
        <v>71</v>
      </c>
      <c r="H4" s="11">
        <v>2930617060.0000029</v>
      </c>
      <c r="I4" s="11">
        <v>98.153400000000005</v>
      </c>
      <c r="J4" s="11">
        <v>100.198483333333</v>
      </c>
      <c r="K4" s="11">
        <v>61761516.666666657</v>
      </c>
      <c r="L4" s="11">
        <v>3025994196.666666</v>
      </c>
      <c r="M4" s="6">
        <f t="shared" ref="M4:M22" si="0">L4/$L$24</f>
        <v>0.10337672740045184</v>
      </c>
    </row>
    <row r="5" spans="1:13" x14ac:dyDescent="0.25">
      <c r="A5" s="1" t="s">
        <v>72</v>
      </c>
      <c r="B5" s="13" t="s">
        <v>73</v>
      </c>
      <c r="C5" s="10">
        <v>2265000</v>
      </c>
      <c r="D5" s="11">
        <v>2265000000</v>
      </c>
      <c r="E5" s="3">
        <v>0.10550000000000001</v>
      </c>
      <c r="F5" s="4" t="s">
        <v>70</v>
      </c>
      <c r="G5" s="4" t="s">
        <v>74</v>
      </c>
      <c r="H5" s="11">
        <v>2039188560.0000031</v>
      </c>
      <c r="I5" s="11">
        <v>83.004000000000005</v>
      </c>
      <c r="J5" s="11">
        <v>84.820944444444436</v>
      </c>
      <c r="K5" s="11">
        <v>41153791.666666657</v>
      </c>
      <c r="L5" s="11">
        <v>1921194391.666666</v>
      </c>
      <c r="M5" s="6">
        <f t="shared" si="0"/>
        <v>6.5633565698632351E-2</v>
      </c>
    </row>
    <row r="6" spans="1:13" x14ac:dyDescent="0.25">
      <c r="A6" s="1" t="s">
        <v>72</v>
      </c>
      <c r="B6" s="13" t="s">
        <v>73</v>
      </c>
      <c r="C6" s="10">
        <v>1551646</v>
      </c>
      <c r="D6" s="11">
        <v>1551646000</v>
      </c>
      <c r="E6" s="3">
        <v>0.10550000000000001</v>
      </c>
      <c r="F6" s="4" t="s">
        <v>75</v>
      </c>
      <c r="G6" s="4" t="s">
        <v>74</v>
      </c>
      <c r="H6" s="11">
        <v>1395452658.7</v>
      </c>
      <c r="I6" s="11">
        <v>83.004000000000005</v>
      </c>
      <c r="J6" s="11">
        <v>84.820944444444692</v>
      </c>
      <c r="K6" s="11">
        <v>28192545.794444442</v>
      </c>
      <c r="L6" s="11">
        <v>1316120791.6344481</v>
      </c>
      <c r="M6" s="6">
        <f t="shared" si="0"/>
        <v>4.49624987558589E-2</v>
      </c>
    </row>
    <row r="7" spans="1:13" x14ac:dyDescent="0.25">
      <c r="A7" s="1" t="s">
        <v>72</v>
      </c>
      <c r="B7" s="13" t="s">
        <v>73</v>
      </c>
      <c r="C7" s="10">
        <v>545692</v>
      </c>
      <c r="D7" s="11">
        <v>545692000</v>
      </c>
      <c r="E7" s="3">
        <v>0.10550000000000001</v>
      </c>
      <c r="F7" s="4" t="s">
        <v>76</v>
      </c>
      <c r="G7" s="4" t="s">
        <v>74</v>
      </c>
      <c r="H7" s="11">
        <v>449784993.92000002</v>
      </c>
      <c r="I7" s="11">
        <v>83.004000000000005</v>
      </c>
      <c r="J7" s="11">
        <v>84.820944444444436</v>
      </c>
      <c r="K7" s="11">
        <v>9914920.4777777791</v>
      </c>
      <c r="L7" s="11">
        <v>462861108.15777802</v>
      </c>
      <c r="M7" s="6">
        <f t="shared" si="0"/>
        <v>1.5812676261906453E-2</v>
      </c>
    </row>
    <row r="8" spans="1:13" x14ac:dyDescent="0.25">
      <c r="A8" s="1" t="s">
        <v>77</v>
      </c>
      <c r="B8" s="13" t="s">
        <v>78</v>
      </c>
      <c r="C8" s="10">
        <v>2265000</v>
      </c>
      <c r="D8" s="11">
        <v>2265000000</v>
      </c>
      <c r="E8" s="3">
        <v>0.10400000000000001</v>
      </c>
      <c r="F8" s="4" t="s">
        <v>70</v>
      </c>
      <c r="G8" s="4" t="s">
        <v>79</v>
      </c>
      <c r="H8" s="11">
        <v>2073109200</v>
      </c>
      <c r="I8" s="11">
        <v>87.143000000000001</v>
      </c>
      <c r="J8" s="11">
        <v>91.996333333333325</v>
      </c>
      <c r="K8" s="11">
        <v>109928000</v>
      </c>
      <c r="L8" s="11">
        <v>2083716949.999999</v>
      </c>
      <c r="M8" s="6">
        <f t="shared" si="0"/>
        <v>7.1185807083548575E-2</v>
      </c>
    </row>
    <row r="9" spans="1:13" x14ac:dyDescent="0.25">
      <c r="A9" s="1" t="s">
        <v>80</v>
      </c>
      <c r="B9" s="13" t="s">
        <v>81</v>
      </c>
      <c r="C9" s="10">
        <v>2265000</v>
      </c>
      <c r="D9" s="11">
        <v>2265000000</v>
      </c>
      <c r="E9" s="3">
        <v>0.11</v>
      </c>
      <c r="F9" s="4" t="s">
        <v>70</v>
      </c>
      <c r="G9" s="4" t="s">
        <v>82</v>
      </c>
      <c r="H9" s="11">
        <v>2080889475</v>
      </c>
      <c r="I9" s="11">
        <v>85.058800000000005</v>
      </c>
      <c r="J9" s="11">
        <v>90.558799999999991</v>
      </c>
      <c r="K9" s="11">
        <v>124575000</v>
      </c>
      <c r="L9" s="11">
        <v>2051156819.999999</v>
      </c>
      <c r="M9" s="6">
        <f t="shared" si="0"/>
        <v>7.0073458723184531E-2</v>
      </c>
    </row>
    <row r="10" spans="1:13" x14ac:dyDescent="0.25">
      <c r="A10" s="1" t="s">
        <v>83</v>
      </c>
      <c r="B10" s="13" t="s">
        <v>84</v>
      </c>
      <c r="C10" s="10">
        <v>2265000</v>
      </c>
      <c r="D10" s="11">
        <v>2265000000</v>
      </c>
      <c r="E10" s="3">
        <v>0.10300000000000001</v>
      </c>
      <c r="F10" s="4" t="s">
        <v>70</v>
      </c>
      <c r="G10" s="4" t="s">
        <v>85</v>
      </c>
      <c r="H10" s="11">
        <v>1963990560.0000031</v>
      </c>
      <c r="I10" s="11">
        <v>77.495199999999997</v>
      </c>
      <c r="J10" s="11">
        <v>83.01714444444444</v>
      </c>
      <c r="K10" s="11">
        <v>125072041.666667</v>
      </c>
      <c r="L10" s="11">
        <v>1880338321.666666</v>
      </c>
      <c r="M10" s="6">
        <f t="shared" si="0"/>
        <v>6.4237803996347417E-2</v>
      </c>
    </row>
    <row r="11" spans="1:13" x14ac:dyDescent="0.25">
      <c r="A11" s="1" t="s">
        <v>86</v>
      </c>
      <c r="B11" s="13" t="s">
        <v>87</v>
      </c>
      <c r="C11" s="10">
        <v>2265000</v>
      </c>
      <c r="D11" s="11">
        <v>2265000000</v>
      </c>
      <c r="E11" s="3">
        <v>8.4500000000000006E-2</v>
      </c>
      <c r="F11" s="4" t="s">
        <v>70</v>
      </c>
      <c r="G11" s="4" t="s">
        <v>88</v>
      </c>
      <c r="H11" s="11">
        <v>1740247065.0000031</v>
      </c>
      <c r="I11" s="11">
        <v>67.946300000000008</v>
      </c>
      <c r="J11" s="11">
        <v>71.795744444444438</v>
      </c>
      <c r="K11" s="11">
        <v>87189916.666666657</v>
      </c>
      <c r="L11" s="11">
        <v>1626173611.666666</v>
      </c>
      <c r="M11" s="6">
        <f t="shared" si="0"/>
        <v>5.5554801243259448E-2</v>
      </c>
    </row>
    <row r="12" spans="1:13" x14ac:dyDescent="0.25">
      <c r="A12" s="1" t="s">
        <v>89</v>
      </c>
      <c r="B12" s="13" t="s">
        <v>90</v>
      </c>
      <c r="C12" s="10">
        <v>2265000</v>
      </c>
      <c r="D12" s="11">
        <v>2265000000</v>
      </c>
      <c r="E12" s="3">
        <v>0.10650000000000001</v>
      </c>
      <c r="F12" s="4" t="s">
        <v>70</v>
      </c>
      <c r="G12" s="4" t="s">
        <v>91</v>
      </c>
      <c r="H12" s="11">
        <v>1967775375</v>
      </c>
      <c r="I12" s="11">
        <v>75.785499999999999</v>
      </c>
      <c r="J12" s="11">
        <v>77.67883333333333</v>
      </c>
      <c r="K12" s="11">
        <v>42884000</v>
      </c>
      <c r="L12" s="11">
        <v>1759425575</v>
      </c>
      <c r="M12" s="6">
        <f t="shared" si="0"/>
        <v>6.010707431247396E-2</v>
      </c>
    </row>
    <row r="13" spans="1:13" x14ac:dyDescent="0.25">
      <c r="A13" s="1" t="s">
        <v>92</v>
      </c>
      <c r="B13" s="13" t="s">
        <v>93</v>
      </c>
      <c r="C13" s="10">
        <v>2265000</v>
      </c>
      <c r="D13" s="11">
        <v>2265000000</v>
      </c>
      <c r="E13" s="3">
        <v>8.0700000000000008E-2</v>
      </c>
      <c r="F13" s="4" t="s">
        <v>70</v>
      </c>
      <c r="G13" s="4" t="s">
        <v>94</v>
      </c>
      <c r="H13" s="11">
        <v>1622351550</v>
      </c>
      <c r="I13" s="11">
        <v>61.3855</v>
      </c>
      <c r="J13" s="11">
        <v>64.478999999999999</v>
      </c>
      <c r="K13" s="11">
        <v>70067775</v>
      </c>
      <c r="L13" s="11">
        <v>1460449350</v>
      </c>
      <c r="M13" s="6">
        <f t="shared" si="0"/>
        <v>4.9893180397843365E-2</v>
      </c>
    </row>
    <row r="14" spans="1:13" x14ac:dyDescent="0.25">
      <c r="A14" s="1" t="s">
        <v>95</v>
      </c>
      <c r="B14" s="13" t="s">
        <v>96</v>
      </c>
      <c r="C14" s="10">
        <v>2265000</v>
      </c>
      <c r="D14" s="11">
        <v>2265000000</v>
      </c>
      <c r="E14" s="3">
        <v>8.0700000000000008E-2</v>
      </c>
      <c r="F14" s="4" t="s">
        <v>70</v>
      </c>
      <c r="G14" s="4" t="s">
        <v>97</v>
      </c>
      <c r="H14" s="11">
        <v>1597764975</v>
      </c>
      <c r="I14" s="11">
        <v>59.933</v>
      </c>
      <c r="J14" s="11">
        <v>65.33541666666666</v>
      </c>
      <c r="K14" s="11">
        <v>122364737.5</v>
      </c>
      <c r="L14" s="11">
        <v>1479847187.5</v>
      </c>
      <c r="M14" s="6">
        <f t="shared" si="0"/>
        <v>5.0555866718129346E-2</v>
      </c>
    </row>
    <row r="15" spans="1:13" x14ac:dyDescent="0.25">
      <c r="A15" s="1" t="s">
        <v>98</v>
      </c>
      <c r="B15" s="13" t="s">
        <v>99</v>
      </c>
      <c r="C15" s="10">
        <v>3775000</v>
      </c>
      <c r="D15" s="11">
        <v>3775000000</v>
      </c>
      <c r="E15" s="3">
        <v>5.4900000000000004E-2</v>
      </c>
      <c r="F15" s="4" t="s">
        <v>70</v>
      </c>
      <c r="G15" s="4" t="s">
        <v>100</v>
      </c>
      <c r="H15" s="11">
        <v>3136670150</v>
      </c>
      <c r="I15" s="11">
        <v>85.758700000000005</v>
      </c>
      <c r="J15" s="11">
        <v>88.549449999999993</v>
      </c>
      <c r="K15" s="11">
        <v>105350812.5</v>
      </c>
      <c r="L15" s="11">
        <v>3342741737.5</v>
      </c>
      <c r="M15" s="6">
        <f t="shared" si="0"/>
        <v>0.11419774094355814</v>
      </c>
    </row>
    <row r="16" spans="1:13" x14ac:dyDescent="0.25">
      <c r="A16" s="1" t="s">
        <v>101</v>
      </c>
      <c r="B16" s="13" t="s">
        <v>102</v>
      </c>
      <c r="C16" s="10">
        <v>2803860</v>
      </c>
      <c r="D16" s="11">
        <v>2803860000</v>
      </c>
      <c r="E16" s="3">
        <v>5.5E-2</v>
      </c>
      <c r="F16" s="4" t="s">
        <v>103</v>
      </c>
      <c r="G16" s="4" t="s">
        <v>104</v>
      </c>
      <c r="H16" s="11">
        <v>1773018067.1400001</v>
      </c>
      <c r="I16" s="11">
        <v>56.751800000000003</v>
      </c>
      <c r="J16" s="11">
        <v>59.135133333333329</v>
      </c>
      <c r="K16" s="11">
        <v>66825330</v>
      </c>
      <c r="L16" s="11">
        <v>1658066349.48</v>
      </c>
      <c r="M16" s="6">
        <f t="shared" si="0"/>
        <v>5.6644349553238015E-2</v>
      </c>
    </row>
    <row r="17" spans="1:15" x14ac:dyDescent="0.25">
      <c r="A17" s="1" t="s">
        <v>49</v>
      </c>
      <c r="B17" s="13" t="s">
        <v>50</v>
      </c>
      <c r="C17" s="10">
        <v>1038480</v>
      </c>
      <c r="D17" s="11">
        <v>1038480000</v>
      </c>
      <c r="E17" s="3">
        <v>0.12</v>
      </c>
      <c r="F17" s="4" t="s">
        <v>103</v>
      </c>
      <c r="G17" s="4" t="s">
        <v>105</v>
      </c>
      <c r="H17" s="11">
        <v>979029096.96000004</v>
      </c>
      <c r="I17" s="11">
        <v>85.3309</v>
      </c>
      <c r="J17" s="11">
        <v>92.097566666666651</v>
      </c>
      <c r="K17" s="11">
        <v>70270480</v>
      </c>
      <c r="L17" s="11">
        <v>956414810.32000005</v>
      </c>
      <c r="M17" s="6">
        <f t="shared" si="0"/>
        <v>3.2673900444726074E-2</v>
      </c>
    </row>
    <row r="18" spans="1:15" x14ac:dyDescent="0.25">
      <c r="A18" s="1" t="s">
        <v>106</v>
      </c>
      <c r="B18" s="13" t="s">
        <v>107</v>
      </c>
      <c r="C18" s="10">
        <v>506989</v>
      </c>
      <c r="D18" s="11">
        <v>506989000</v>
      </c>
      <c r="E18" s="3">
        <v>0.1535</v>
      </c>
      <c r="F18" s="4" t="s">
        <v>108</v>
      </c>
      <c r="G18" s="4" t="s">
        <v>109</v>
      </c>
      <c r="H18" s="11">
        <v>492216861.50999999</v>
      </c>
      <c r="I18" s="11">
        <v>98.255099999999999</v>
      </c>
      <c r="J18" s="11">
        <v>103.883433333333</v>
      </c>
      <c r="K18" s="11">
        <v>28535030.883333329</v>
      </c>
      <c r="L18" s="11">
        <v>526677579.82233298</v>
      </c>
      <c r="M18" s="6">
        <f t="shared" si="0"/>
        <v>1.7992831796306532E-2</v>
      </c>
    </row>
    <row r="19" spans="1:15" x14ac:dyDescent="0.25">
      <c r="A19" s="1" t="s">
        <v>110</v>
      </c>
      <c r="B19" s="13" t="s">
        <v>111</v>
      </c>
      <c r="C19" s="10">
        <v>2100000</v>
      </c>
      <c r="D19" s="11">
        <v>2100000000</v>
      </c>
      <c r="E19" s="3">
        <v>0.14300000000000002</v>
      </c>
      <c r="F19" s="4" t="s">
        <v>112</v>
      </c>
      <c r="G19" s="4" t="s">
        <v>113</v>
      </c>
      <c r="H19" s="11">
        <v>2100000000</v>
      </c>
      <c r="I19" s="11">
        <v>94.594015136807499</v>
      </c>
      <c r="J19" s="11">
        <v>95.66651513680749</v>
      </c>
      <c r="K19" s="11">
        <v>22522500</v>
      </c>
      <c r="L19" s="11">
        <v>2008996817.872957</v>
      </c>
      <c r="M19" s="6">
        <f t="shared" si="0"/>
        <v>6.8633150922234112E-2</v>
      </c>
    </row>
    <row r="20" spans="1:15" x14ac:dyDescent="0.25">
      <c r="A20" s="1" t="s">
        <v>114</v>
      </c>
      <c r="B20" s="13" t="s">
        <v>115</v>
      </c>
      <c r="C20" s="10">
        <v>1000000</v>
      </c>
      <c r="D20" s="11">
        <v>1000000000</v>
      </c>
      <c r="E20" s="3">
        <v>0.1389</v>
      </c>
      <c r="F20" s="4" t="s">
        <v>116</v>
      </c>
      <c r="G20" s="4" t="s">
        <v>117</v>
      </c>
      <c r="H20" s="11">
        <v>1000000000</v>
      </c>
      <c r="I20" s="11">
        <v>98.156711471662391</v>
      </c>
      <c r="J20" s="11">
        <v>102.863878138329</v>
      </c>
      <c r="K20" s="11">
        <v>47071666.666666657</v>
      </c>
      <c r="L20" s="11">
        <v>1028638781.3832901</v>
      </c>
      <c r="M20" s="6">
        <f t="shared" si="0"/>
        <v>3.5141280513270971E-2</v>
      </c>
    </row>
    <row r="21" spans="1:15" x14ac:dyDescent="0.25">
      <c r="A21" s="1" t="s">
        <v>118</v>
      </c>
      <c r="B21" s="13" t="s">
        <v>119</v>
      </c>
      <c r="C21" s="10">
        <v>165739</v>
      </c>
      <c r="D21" s="11">
        <v>165739000</v>
      </c>
      <c r="E21" s="3">
        <v>0.125</v>
      </c>
      <c r="F21" s="4" t="s">
        <v>120</v>
      </c>
      <c r="G21" s="4" t="s">
        <v>121</v>
      </c>
      <c r="H21" s="11">
        <v>159596381.18279999</v>
      </c>
      <c r="I21" s="11">
        <v>95.980280062380899</v>
      </c>
      <c r="J21" s="11">
        <v>99.730280062367484</v>
      </c>
      <c r="K21" s="11">
        <v>6215212.4999777796</v>
      </c>
      <c r="L21" s="11">
        <v>165291968.872567</v>
      </c>
      <c r="M21" s="6">
        <f t="shared" si="0"/>
        <v>5.6468524713121316E-3</v>
      </c>
    </row>
    <row r="22" spans="1:15" x14ac:dyDescent="0.25">
      <c r="A22" s="1" t="s">
        <v>122</v>
      </c>
      <c r="B22" s="13" t="s">
        <v>123</v>
      </c>
      <c r="C22" s="10">
        <v>494987</v>
      </c>
      <c r="D22" s="11">
        <v>494987000</v>
      </c>
      <c r="E22" s="3">
        <v>0.1701</v>
      </c>
      <c r="F22" s="4" t="s">
        <v>124</v>
      </c>
      <c r="G22" s="4" t="s">
        <v>125</v>
      </c>
      <c r="H22" s="11">
        <v>495088472.34249997</v>
      </c>
      <c r="I22" s="11">
        <v>102.027</v>
      </c>
      <c r="J22" s="11">
        <v>104.53125</v>
      </c>
      <c r="K22" s="11">
        <v>12395711.9475</v>
      </c>
      <c r="L22" s="11">
        <v>517416098.4375</v>
      </c>
      <c r="M22" s="6">
        <f t="shared" si="0"/>
        <v>1.7676432763717873E-2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1182290989.936367</v>
      </c>
      <c r="L24" s="22">
        <f>SUM(L4:L23)</f>
        <v>29271522447.647533</v>
      </c>
      <c r="M24" s="23"/>
      <c r="N24" s="26">
        <v>29271522447.64756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3196581.64</v>
      </c>
      <c r="C27" s="51">
        <v>3196581.64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1411800</v>
      </c>
      <c r="D32" s="7" t="s">
        <v>51</v>
      </c>
      <c r="E32" s="34" t="s">
        <v>52</v>
      </c>
      <c r="F32" s="34" t="s">
        <v>53</v>
      </c>
      <c r="G32" s="15">
        <v>920.976</v>
      </c>
      <c r="H32" s="15">
        <v>921.37466906077304</v>
      </c>
      <c r="I32" s="16">
        <f t="shared" ref="I32:I44" si="1">+C32*G32</f>
        <v>1300233916.8</v>
      </c>
      <c r="J32" s="16">
        <f t="shared" ref="J32:J44" si="2">+C32*H32</f>
        <v>1300796757.7799995</v>
      </c>
      <c r="K32" s="18">
        <v>0.158</v>
      </c>
      <c r="L32" s="17"/>
      <c r="M32" s="17">
        <v>1300233916.8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32346</v>
      </c>
      <c r="D33" s="7" t="s">
        <v>51</v>
      </c>
      <c r="E33" s="34" t="s">
        <v>52</v>
      </c>
      <c r="F33" s="34" t="s">
        <v>53</v>
      </c>
      <c r="G33" s="15">
        <v>556.67320008656407</v>
      </c>
      <c r="H33" s="15">
        <v>556.91417084028899</v>
      </c>
      <c r="I33" s="16">
        <f t="shared" si="1"/>
        <v>18006151.330000002</v>
      </c>
      <c r="J33" s="16">
        <f t="shared" si="2"/>
        <v>18013945.769999988</v>
      </c>
      <c r="K33" s="18">
        <v>0.158</v>
      </c>
      <c r="L33" s="17"/>
      <c r="M33" s="17">
        <v>18006151.329999998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91832</v>
      </c>
      <c r="D34" s="7" t="s">
        <v>51</v>
      </c>
      <c r="E34" s="34" t="s">
        <v>52</v>
      </c>
      <c r="F34" s="34" t="s">
        <v>53</v>
      </c>
      <c r="G34" s="15">
        <v>566.30039996951007</v>
      </c>
      <c r="H34" s="15">
        <v>566.54553826552808</v>
      </c>
      <c r="I34" s="16">
        <f t="shared" si="1"/>
        <v>52004498.33000005</v>
      </c>
      <c r="J34" s="16">
        <f t="shared" si="2"/>
        <v>52027009.869999975</v>
      </c>
      <c r="K34" s="18">
        <v>0.158</v>
      </c>
      <c r="L34" s="17"/>
      <c r="M34" s="17">
        <v>52004498.329999998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550494</v>
      </c>
      <c r="D35" s="7" t="s">
        <v>51</v>
      </c>
      <c r="E35" s="34" t="s">
        <v>52</v>
      </c>
      <c r="F35" s="34" t="s">
        <v>53</v>
      </c>
      <c r="G35" s="15">
        <v>648.77959999564007</v>
      </c>
      <c r="H35" s="15">
        <v>649.06044156702899</v>
      </c>
      <c r="I35" s="16">
        <f t="shared" si="1"/>
        <v>357149277.11999989</v>
      </c>
      <c r="J35" s="16">
        <f t="shared" si="2"/>
        <v>357303878.72000003</v>
      </c>
      <c r="K35" s="18">
        <v>0.158</v>
      </c>
      <c r="L35" s="17"/>
      <c r="M35" s="17">
        <v>357149277.12</v>
      </c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76640</v>
      </c>
      <c r="D36" s="7" t="s">
        <v>51</v>
      </c>
      <c r="E36" s="34" t="s">
        <v>62</v>
      </c>
      <c r="F36" s="34" t="s">
        <v>52</v>
      </c>
      <c r="G36" s="15">
        <v>522.069599947808</v>
      </c>
      <c r="H36" s="15">
        <v>522.29687904488503</v>
      </c>
      <c r="I36" s="16">
        <f t="shared" si="1"/>
        <v>40011414.140000008</v>
      </c>
      <c r="J36" s="16">
        <f t="shared" si="2"/>
        <v>40028832.809999987</v>
      </c>
      <c r="K36" s="18">
        <v>0.15890000000000001</v>
      </c>
      <c r="L36" s="17">
        <v>17418.670000000002</v>
      </c>
      <c r="M36" s="17"/>
      <c r="N36" s="35"/>
    </row>
    <row r="37" spans="1:15" s="36" customFormat="1" ht="12" customHeight="1" x14ac:dyDescent="0.25">
      <c r="A37" s="12" t="s">
        <v>60</v>
      </c>
      <c r="B37" s="7" t="s">
        <v>61</v>
      </c>
      <c r="C37" s="14">
        <v>76640</v>
      </c>
      <c r="D37" s="7" t="s">
        <v>51</v>
      </c>
      <c r="E37" s="34" t="s">
        <v>52</v>
      </c>
      <c r="F37" s="34" t="s">
        <v>52</v>
      </c>
      <c r="G37" s="15">
        <v>522.069599947808</v>
      </c>
      <c r="H37" s="15">
        <v>522.29687904488503</v>
      </c>
      <c r="I37" s="16">
        <f t="shared" si="1"/>
        <v>40011414.140000008</v>
      </c>
      <c r="J37" s="16">
        <f t="shared" si="2"/>
        <v>40028832.809999987</v>
      </c>
      <c r="K37" s="18">
        <v>0.15890000000000001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584936</v>
      </c>
      <c r="D38" s="7" t="s">
        <v>51</v>
      </c>
      <c r="E38" s="34" t="s">
        <v>62</v>
      </c>
      <c r="F38" s="34" t="s">
        <v>52</v>
      </c>
      <c r="G38" s="15">
        <v>639.56419999794798</v>
      </c>
      <c r="H38" s="15">
        <v>639.84262945005901</v>
      </c>
      <c r="I38" s="16">
        <f t="shared" si="1"/>
        <v>374104124.88999969</v>
      </c>
      <c r="J38" s="16">
        <f t="shared" si="2"/>
        <v>374266988.29999971</v>
      </c>
      <c r="K38" s="18">
        <v>0.15890000000000001</v>
      </c>
      <c r="L38" s="17">
        <v>162863.41</v>
      </c>
      <c r="M38" s="17"/>
      <c r="N38" s="35"/>
    </row>
    <row r="39" spans="1:15" s="36" customFormat="1" ht="12" customHeight="1" x14ac:dyDescent="0.25">
      <c r="A39" s="12" t="s">
        <v>58</v>
      </c>
      <c r="B39" s="7" t="s">
        <v>59</v>
      </c>
      <c r="C39" s="14">
        <v>584936</v>
      </c>
      <c r="D39" s="7" t="s">
        <v>51</v>
      </c>
      <c r="E39" s="34" t="s">
        <v>52</v>
      </c>
      <c r="F39" s="34" t="s">
        <v>52</v>
      </c>
      <c r="G39" s="15">
        <v>639.56419999794798</v>
      </c>
      <c r="H39" s="15">
        <v>639.84262945005901</v>
      </c>
      <c r="I39" s="16">
        <f t="shared" si="1"/>
        <v>374104124.88999969</v>
      </c>
      <c r="J39" s="16">
        <f t="shared" si="2"/>
        <v>374266988.29999971</v>
      </c>
      <c r="K39" s="18">
        <v>0.15890000000000001</v>
      </c>
      <c r="L39" s="17"/>
      <c r="M39" s="17"/>
      <c r="N39" s="35"/>
    </row>
    <row r="40" spans="1:15" s="36" customFormat="1" ht="12" customHeight="1" x14ac:dyDescent="0.25">
      <c r="A40" s="12" t="s">
        <v>54</v>
      </c>
      <c r="B40" s="7" t="s">
        <v>55</v>
      </c>
      <c r="C40" s="14">
        <v>349330</v>
      </c>
      <c r="D40" s="7" t="s">
        <v>51</v>
      </c>
      <c r="E40" s="34" t="s">
        <v>62</v>
      </c>
      <c r="F40" s="34" t="s">
        <v>63</v>
      </c>
      <c r="G40" s="15">
        <v>552.491300002863</v>
      </c>
      <c r="H40" s="15">
        <v>554.19191363467201</v>
      </c>
      <c r="I40" s="16">
        <f t="shared" si="1"/>
        <v>193001785.83000013</v>
      </c>
      <c r="J40" s="16">
        <f t="shared" si="2"/>
        <v>193595861.18999997</v>
      </c>
      <c r="K40" s="18">
        <v>0.1605</v>
      </c>
      <c r="L40" s="17">
        <v>84867.908571428605</v>
      </c>
      <c r="M40" s="17">
        <v>193086653.73857099</v>
      </c>
      <c r="N40" s="35"/>
    </row>
    <row r="41" spans="1:15" s="36" customFormat="1" ht="12" customHeight="1" x14ac:dyDescent="0.25">
      <c r="A41" s="12" t="s">
        <v>64</v>
      </c>
      <c r="B41" s="7" t="s">
        <v>65</v>
      </c>
      <c r="C41" s="14">
        <v>1440400</v>
      </c>
      <c r="D41" s="7" t="s">
        <v>51</v>
      </c>
      <c r="E41" s="34" t="s">
        <v>62</v>
      </c>
      <c r="F41" s="34" t="s">
        <v>63</v>
      </c>
      <c r="G41" s="15">
        <v>903.21300000000008</v>
      </c>
      <c r="H41" s="15">
        <v>905.98450290197206</v>
      </c>
      <c r="I41" s="16">
        <f t="shared" si="1"/>
        <v>1300988005.2</v>
      </c>
      <c r="J41" s="16">
        <f t="shared" si="2"/>
        <v>1304980077.9800005</v>
      </c>
      <c r="K41" s="18">
        <v>0.16</v>
      </c>
      <c r="L41" s="17">
        <v>570296.1114285714</v>
      </c>
      <c r="M41" s="17">
        <v>1301558301.3114281</v>
      </c>
      <c r="N41" s="35"/>
    </row>
    <row r="42" spans="1:15" s="36" customFormat="1" ht="12" customHeight="1" x14ac:dyDescent="0.25">
      <c r="A42" s="12" t="s">
        <v>56</v>
      </c>
      <c r="B42" s="7" t="s">
        <v>57</v>
      </c>
      <c r="C42" s="14">
        <v>10632</v>
      </c>
      <c r="D42" s="7" t="s">
        <v>51</v>
      </c>
      <c r="E42" s="34" t="s">
        <v>62</v>
      </c>
      <c r="F42" s="34" t="s">
        <v>63</v>
      </c>
      <c r="G42" s="15">
        <v>564.63099981188907</v>
      </c>
      <c r="H42" s="15">
        <v>566.363566591422</v>
      </c>
      <c r="I42" s="16">
        <f t="shared" si="1"/>
        <v>6003156.7900000047</v>
      </c>
      <c r="J42" s="16">
        <f t="shared" si="2"/>
        <v>6021577.4399999985</v>
      </c>
      <c r="K42" s="18">
        <v>0.16</v>
      </c>
      <c r="L42" s="17">
        <v>2631.5214285714283</v>
      </c>
      <c r="M42" s="17">
        <v>6005788.3114285702</v>
      </c>
      <c r="N42" s="35"/>
    </row>
    <row r="43" spans="1:15" s="36" customFormat="1" ht="12" customHeight="1" x14ac:dyDescent="0.25">
      <c r="A43" s="12" t="s">
        <v>66</v>
      </c>
      <c r="B43" s="7" t="s">
        <v>67</v>
      </c>
      <c r="C43" s="14">
        <v>1341600</v>
      </c>
      <c r="D43" s="7" t="s">
        <v>51</v>
      </c>
      <c r="E43" s="34" t="s">
        <v>62</v>
      </c>
      <c r="F43" s="34" t="s">
        <v>52</v>
      </c>
      <c r="G43" s="15">
        <v>969.32800000000009</v>
      </c>
      <c r="H43" s="15">
        <v>969.74892736285005</v>
      </c>
      <c r="I43" s="16">
        <f t="shared" si="1"/>
        <v>1300450444.8000002</v>
      </c>
      <c r="J43" s="16">
        <f t="shared" si="2"/>
        <v>1301015160.9499996</v>
      </c>
      <c r="K43" s="18">
        <v>0.1585</v>
      </c>
      <c r="L43" s="17">
        <v>564716.15</v>
      </c>
      <c r="M43" s="17"/>
      <c r="N43" s="35"/>
    </row>
    <row r="44" spans="1:15" s="36" customFormat="1" ht="12" customHeight="1" x14ac:dyDescent="0.25">
      <c r="A44" s="12" t="s">
        <v>66</v>
      </c>
      <c r="B44" s="7" t="s">
        <v>67</v>
      </c>
      <c r="C44" s="14">
        <v>1341600</v>
      </c>
      <c r="D44" s="7" t="s">
        <v>51</v>
      </c>
      <c r="E44" s="34" t="s">
        <v>52</v>
      </c>
      <c r="F44" s="34" t="s">
        <v>52</v>
      </c>
      <c r="G44" s="15">
        <v>969.32800000000009</v>
      </c>
      <c r="H44" s="15">
        <v>969.74892736285005</v>
      </c>
      <c r="I44" s="16">
        <f t="shared" si="1"/>
        <v>1300450444.8000002</v>
      </c>
      <c r="J44" s="16">
        <f t="shared" si="2"/>
        <v>1301015160.9499996</v>
      </c>
      <c r="K44" s="18">
        <v>0.1585</v>
      </c>
      <c r="L44" s="17"/>
      <c r="M44" s="17"/>
      <c r="N44" s="35"/>
    </row>
    <row r="45" spans="1:15" s="36" customFormat="1" ht="11.25" hidden="1" x14ac:dyDescent="0.25">
      <c r="A45" s="7"/>
      <c r="B45" s="7"/>
      <c r="C45" s="7"/>
      <c r="D45" s="7"/>
      <c r="E45" s="37"/>
      <c r="F45" s="37"/>
      <c r="G45" s="7"/>
      <c r="H45" s="7"/>
      <c r="I45" s="8"/>
      <c r="J45" s="8"/>
      <c r="K45" s="7"/>
      <c r="L45" s="9"/>
      <c r="M45" s="9"/>
      <c r="N45" s="35"/>
    </row>
    <row r="46" spans="1:15" x14ac:dyDescent="0.25">
      <c r="A46" s="1" t="s">
        <v>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f>SUM(M32:M45)</f>
        <v>3228044586.9414277</v>
      </c>
      <c r="N46" s="38">
        <v>3228044586.9414282</v>
      </c>
      <c r="O46" s="29">
        <f>M46-N46</f>
        <v>0</v>
      </c>
    </row>
    <row r="48" spans="1:15" x14ac:dyDescent="0.25">
      <c r="A48" s="39" t="s">
        <v>28</v>
      </c>
      <c r="B48" s="33"/>
      <c r="D48" s="33"/>
      <c r="F48" s="28"/>
      <c r="G48" s="28"/>
    </row>
    <row r="49" spans="1:8" ht="22.5" x14ac:dyDescent="0.25">
      <c r="A49" s="19" t="s">
        <v>6</v>
      </c>
      <c r="B49" s="19" t="s">
        <v>29</v>
      </c>
      <c r="C49" s="19" t="s">
        <v>17</v>
      </c>
      <c r="D49" s="19" t="s">
        <v>30</v>
      </c>
      <c r="E49" s="19" t="s">
        <v>16</v>
      </c>
      <c r="F49" s="19" t="s">
        <v>31</v>
      </c>
      <c r="G49" s="19" t="s">
        <v>32</v>
      </c>
    </row>
    <row r="50" spans="1:8" hidden="1" x14ac:dyDescent="0.25">
      <c r="B50" s="41"/>
      <c r="C50" s="42"/>
      <c r="D50" s="43"/>
      <c r="G50" s="44"/>
      <c r="H50" s="33"/>
    </row>
    <row r="51" spans="1:8" x14ac:dyDescent="0.25">
      <c r="G51" s="45">
        <f>SUM(G50:G50)</f>
        <v>0</v>
      </c>
    </row>
    <row r="53" spans="1:8" x14ac:dyDescent="0.25">
      <c r="A53" s="46" t="s">
        <v>13</v>
      </c>
      <c r="B53" s="47">
        <f>+L24+B27+M46+G51</f>
        <v>32502763616.228962</v>
      </c>
      <c r="C53" s="32">
        <v>32502763616.228989</v>
      </c>
      <c r="D53" s="29">
        <f>B53-C53</f>
        <v>0</v>
      </c>
    </row>
    <row r="56" spans="1:8" x14ac:dyDescent="0.25">
      <c r="A56" s="24" t="s">
        <v>46</v>
      </c>
      <c r="B56" s="33"/>
      <c r="C56" s="26" t="s">
        <v>126</v>
      </c>
      <c r="D56" s="26" t="s">
        <v>127</v>
      </c>
    </row>
    <row r="57" spans="1:8" x14ac:dyDescent="0.25">
      <c r="A57" s="48" t="s">
        <v>35</v>
      </c>
      <c r="B57" s="58">
        <f>'Расчет ДУ'!H2</f>
        <v>3225370.95</v>
      </c>
    </row>
    <row r="58" spans="1:8" x14ac:dyDescent="0.25">
      <c r="A58" s="48" t="s">
        <v>36</v>
      </c>
      <c r="B58" s="40"/>
    </row>
    <row r="59" spans="1:8" x14ac:dyDescent="0.25">
      <c r="A59" s="48" t="s">
        <v>37</v>
      </c>
      <c r="B59" s="40">
        <v>526701.84000000008</v>
      </c>
      <c r="C59" s="52">
        <v>526701.84455830895</v>
      </c>
      <c r="D59" s="53">
        <f>B59-C59</f>
        <v>-4.5583088649436831E-3</v>
      </c>
    </row>
    <row r="60" spans="1:8" x14ac:dyDescent="0.25">
      <c r="A60" s="48" t="s">
        <v>38</v>
      </c>
      <c r="B60" s="40"/>
    </row>
    <row r="61" spans="1:8" x14ac:dyDescent="0.25">
      <c r="A61" s="48" t="s">
        <v>39</v>
      </c>
      <c r="B61" s="40">
        <v>385032.15401225135</v>
      </c>
    </row>
    <row r="62" spans="1:8" x14ac:dyDescent="0.25">
      <c r="A62" s="48" t="s">
        <v>40</v>
      </c>
      <c r="B62" s="40">
        <v>110524.37</v>
      </c>
      <c r="C62" s="52">
        <v>110524.37000000026</v>
      </c>
      <c r="D62" s="53">
        <f>B62-C62</f>
        <v>-2.6193447411060333E-10</v>
      </c>
    </row>
    <row r="63" spans="1:8" x14ac:dyDescent="0.25">
      <c r="A63" s="48" t="s">
        <v>41</v>
      </c>
      <c r="B63" s="40">
        <v>54870.770000000004</v>
      </c>
      <c r="C63" s="52">
        <v>54870.770000000033</v>
      </c>
      <c r="D63" s="53">
        <f>B63-C63</f>
        <v>0</v>
      </c>
    </row>
    <row r="64" spans="1:8" x14ac:dyDescent="0.25">
      <c r="A64" s="48" t="s">
        <v>42</v>
      </c>
      <c r="B64" s="40"/>
    </row>
    <row r="65" spans="1:2" x14ac:dyDescent="0.25">
      <c r="A65" s="48" t="s">
        <v>43</v>
      </c>
      <c r="B65" s="40"/>
    </row>
    <row r="66" spans="1:2" x14ac:dyDescent="0.25">
      <c r="A66" s="48" t="s">
        <v>44</v>
      </c>
      <c r="B66" s="50"/>
    </row>
    <row r="67" spans="1:2" x14ac:dyDescent="0.25">
      <c r="A67" s="48" t="s">
        <v>45</v>
      </c>
      <c r="B67" s="49">
        <f>SUM(B57:B66)</f>
        <v>4302500.0840122504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79B7-144A-429A-8216-EF26C3F170AF}">
  <dimension ref="A1:H2"/>
  <sheetViews>
    <sheetView workbookViewId="0">
      <selection activeCell="H2" sqref="H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35.42578125" bestFit="1" customWidth="1"/>
    <col min="5" max="5" width="50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128</v>
      </c>
      <c r="B1" t="s">
        <v>129</v>
      </c>
      <c r="C1" t="s">
        <v>130</v>
      </c>
      <c r="D1" t="s">
        <v>132</v>
      </c>
      <c r="E1" t="s">
        <v>133</v>
      </c>
      <c r="F1" t="s">
        <v>134</v>
      </c>
      <c r="G1" t="s">
        <v>135</v>
      </c>
      <c r="H1" t="s">
        <v>131</v>
      </c>
    </row>
    <row r="2" spans="1:8" x14ac:dyDescent="0.25">
      <c r="A2" s="54">
        <v>32258038503.06284</v>
      </c>
      <c r="B2" s="55">
        <f>ДУ!B59+ДУ!B61+ДУ!B62+ДУ!B63</f>
        <v>1077129.1340122514</v>
      </c>
      <c r="C2" s="56">
        <f>A2*0.12%/12</f>
        <v>3225803.8503062837</v>
      </c>
      <c r="D2" s="56">
        <v>3195760.23</v>
      </c>
      <c r="E2" s="56">
        <v>3195757.62</v>
      </c>
      <c r="F2" s="55">
        <f>ROUND((E2-D2),2)</f>
        <v>-2.61</v>
      </c>
      <c r="G2" s="56">
        <f>ROUND(((A2-B2-C2)*0.12%/12),2)</f>
        <v>3225373.56</v>
      </c>
      <c r="H2" s="57">
        <f>F2+G2</f>
        <v>3225370.95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ДУ</vt:lpstr>
      <vt:lpstr>Расчет 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2025-10-01T06:09:14Z</dcterms:created>
  <dcterms:modified xsi:type="dcterms:W3CDTF">2025-10-02T12:51:04Z</dcterms:modified>
</cp:coreProperties>
</file>