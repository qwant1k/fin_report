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680E5F65-B1B9-4F32-B682-2AB083BE86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ДУ!$28:$28</definedName>
    <definedName name="__mdDATAOther__">ДУ!$44:$44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I44" i="1"/>
  <c r="O40" i="1"/>
  <c r="O25" i="1"/>
  <c r="D28" i="1"/>
  <c r="B62" i="1"/>
  <c r="G46" i="1"/>
  <c r="A44" i="1"/>
  <c r="M40" i="1"/>
  <c r="J38" i="1"/>
  <c r="I38" i="1"/>
  <c r="J37" i="1"/>
  <c r="I37" i="1"/>
  <c r="J36" i="1"/>
  <c r="I36" i="1"/>
  <c r="J35" i="1"/>
  <c r="I35" i="1"/>
  <c r="J34" i="1"/>
  <c r="I34" i="1"/>
  <c r="J33" i="1"/>
  <c r="I33" i="1"/>
  <c r="L25" i="1"/>
  <c r="M18" i="1" s="1"/>
  <c r="K25" i="1"/>
  <c r="M23" i="1"/>
  <c r="M19" i="1"/>
  <c r="M17" i="1"/>
  <c r="M13" i="1"/>
  <c r="M12" i="1"/>
  <c r="M11" i="1"/>
  <c r="M7" i="1"/>
  <c r="M6" i="1"/>
  <c r="M5" i="1"/>
  <c r="M20" i="1" l="1"/>
  <c r="M8" i="1"/>
  <c r="M14" i="1"/>
  <c r="M9" i="1"/>
  <c r="M15" i="1"/>
  <c r="M21" i="1"/>
  <c r="M4" i="1"/>
  <c r="M10" i="1"/>
  <c r="M16" i="1"/>
  <c r="M22" i="1"/>
  <c r="B48" i="1"/>
</calcChain>
</file>

<file path=xl/sharedStrings.xml><?xml version="1.0" encoding="utf-8"?>
<sst xmlns="http://schemas.openxmlformats.org/spreadsheetml/2006/main" count="167" uniqueCount="124">
  <si>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</si>
  <si>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</si>
  <si>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</si>
  <si>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</si>
  <si>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</si>
  <si>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</si>
  <si>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</si>
  <si>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</si>
  <si>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</si>
  <si>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</si>
  <si>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</si>
  <si>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</si>
  <si>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</si>
  <si>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</si>
  <si>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</si>
  <si>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</si>
  <si>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</si>
  <si>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</si>
  <si>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</si>
  <si>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</si>
  <si>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</si>
  <si>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</si>
  <si>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</si>
  <si>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</si>
  <si>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</si>
  <si>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</si>
  <si>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</si>
  <si>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</si>
  <si>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</si>
  <si>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</si>
  <si>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</si>
  <si>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</si>
  <si>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</si>
  <si>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</si>
  <si>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</si>
  <si>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</si>
  <si>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</si>
  <si>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</si>
  <si>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</si>
  <si>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</si>
  <si>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</si>
  <si>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</si>
  <si>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</si>
  <si>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</si>
  <si>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</si>
  <si>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</si>
  <si>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</si>
  <si>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</si>
  <si>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</si>
  <si>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KZ2D00011863 _EABRb52</t>
  </si>
  <si>
    <t>KZT</t>
  </si>
  <si>
    <t>03.09.2025</t>
  </si>
  <si>
    <t>МИНИСТЕРСТВО ФИНАНСОВ РК, ГЦБ, KZ_24_3207</t>
  </si>
  <si>
    <t>XS3093655341</t>
  </si>
  <si>
    <t>08.09.2025</t>
  </si>
  <si>
    <t>09.09.2025</t>
  </si>
  <si>
    <t>МИНИСТЕРСТВО ФИНАНСОВ РК, ГЦБ, MUM096_0011</t>
  </si>
  <si>
    <t>KZKD00001095</t>
  </si>
  <si>
    <t>МИНИСТЕРСТВО ФИНАНСОВ РК, ГЦБ, MOM060_0054</t>
  </si>
  <si>
    <t>KZK200000737</t>
  </si>
  <si>
    <t>10.09.2025</t>
  </si>
  <si>
    <t>МИНИСТЕРСТВО ФИНАНСОВ РК, ГЦБ, MUM180_0004</t>
  </si>
  <si>
    <t>KZKD00000444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</si>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</sst>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3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98.02470000000001</v>
      </c>
      <c r="J4" s="11">
        <v>99.447366666666653</v>
      </c>
      <c r="K4" s="11">
        <v>42964533.333333328</v>
      </c>
      <c r="L4" s="11">
        <v>3003310473.333333</v>
      </c>
      <c r="M4" s="6">
        <f t="shared" ref="M4:M23" si="0">L4/$L$25</f>
        <v>9.8910549241928866E-2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83.133200000000002</v>
      </c>
      <c r="J5" s="11">
        <v>84.334727777777772</v>
      </c>
      <c r="K5" s="11">
        <v>27214604.16666666</v>
      </c>
      <c r="L5" s="11">
        <v>1910181584.166666</v>
      </c>
      <c r="M5" s="6">
        <f t="shared" si="0"/>
        <v>6.290961634480767E-2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83.133200000000002</v>
      </c>
      <c r="J6" s="11">
        <v>84.334727777778028</v>
      </c>
      <c r="K6" s="11">
        <v>18643457.702777769</v>
      </c>
      <c r="L6" s="11">
        <v>1308576430.1747811</v>
      </c>
      <c r="M6" s="6">
        <f t="shared" si="0"/>
        <v>4.3096447930664777E-2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83.133200000000002</v>
      </c>
      <c r="J7" s="11">
        <v>84.334727777777772</v>
      </c>
      <c r="K7" s="11">
        <v>6556640.9611111097</v>
      </c>
      <c r="L7" s="11">
        <v>460207862.70511103</v>
      </c>
      <c r="M7" s="6">
        <f t="shared" si="0"/>
        <v>1.5156412522044501E-2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87.184400000000011</v>
      </c>
      <c r="J8" s="11">
        <v>91.431066666666652</v>
      </c>
      <c r="K8" s="11">
        <v>96186999.999999985</v>
      </c>
      <c r="L8" s="11">
        <v>2070913659.999999</v>
      </c>
      <c r="M8" s="6">
        <f t="shared" si="0"/>
        <v>6.820314095461108E-2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85.167500000000004</v>
      </c>
      <c r="J9" s="11">
        <v>90.025833333333324</v>
      </c>
      <c r="K9" s="11">
        <v>110041250</v>
      </c>
      <c r="L9" s="11">
        <v>2039085124.999999</v>
      </c>
      <c r="M9" s="6">
        <f t="shared" si="0"/>
        <v>6.71549050474783E-2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77.64500000000001</v>
      </c>
      <c r="J10" s="11">
        <v>82.566111111111113</v>
      </c>
      <c r="K10" s="11">
        <v>111463166.666667</v>
      </c>
      <c r="L10" s="11">
        <v>1870122416.666666</v>
      </c>
      <c r="M10" s="6">
        <f t="shared" si="0"/>
        <v>6.1590314096578322E-2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68.070999999999998</v>
      </c>
      <c r="J11" s="11">
        <v>71.427527777777769</v>
      </c>
      <c r="K11" s="11">
        <v>76025354.166666657</v>
      </c>
      <c r="L11" s="11">
        <v>1617833504.166666</v>
      </c>
      <c r="M11" s="6">
        <f t="shared" si="0"/>
        <v>5.3281471196520838E-2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76.011300000000006</v>
      </c>
      <c r="J12" s="11">
        <v>77.283383333333333</v>
      </c>
      <c r="K12" s="11">
        <v>28812687.5</v>
      </c>
      <c r="L12" s="11">
        <v>1750468632.5</v>
      </c>
      <c r="M12" s="6">
        <f t="shared" si="0"/>
        <v>5.7649655408146212E-2</v>
      </c>
    </row>
    <row r="13" spans="1:13" x14ac:dyDescent="0.25">
      <c r="A13" s="1" t="s">
        <v>87</v>
      </c>
      <c r="B13" s="13" t="s">
        <v>88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89</v>
      </c>
      <c r="H13" s="11">
        <v>1622351550</v>
      </c>
      <c r="I13" s="11">
        <v>61.549200000000006</v>
      </c>
      <c r="J13" s="11">
        <v>64.171949999999995</v>
      </c>
      <c r="K13" s="11">
        <v>59405287.5</v>
      </c>
      <c r="L13" s="11">
        <v>1453494667.5</v>
      </c>
      <c r="M13" s="6">
        <f t="shared" si="0"/>
        <v>4.7869162099340307E-2</v>
      </c>
    </row>
    <row r="14" spans="1:13" x14ac:dyDescent="0.25">
      <c r="A14" s="1" t="s">
        <v>90</v>
      </c>
      <c r="B14" s="13" t="s">
        <v>91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92</v>
      </c>
      <c r="H14" s="11">
        <v>1597764975</v>
      </c>
      <c r="I14" s="11">
        <v>60.089300000000001</v>
      </c>
      <c r="J14" s="11">
        <v>65.020966666666652</v>
      </c>
      <c r="K14" s="11">
        <v>111702250</v>
      </c>
      <c r="L14" s="11">
        <v>1472724895</v>
      </c>
      <c r="M14" s="6">
        <f t="shared" si="0"/>
        <v>4.8502487351911067E-2</v>
      </c>
    </row>
    <row r="15" spans="1:13" x14ac:dyDescent="0.25">
      <c r="A15" s="1" t="s">
        <v>93</v>
      </c>
      <c r="B15" s="13" t="s">
        <v>94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95</v>
      </c>
      <c r="H15" s="11">
        <v>3136670150</v>
      </c>
      <c r="I15" s="11">
        <v>85.506399999999999</v>
      </c>
      <c r="J15" s="11">
        <v>87.976900000000001</v>
      </c>
      <c r="K15" s="11">
        <v>93261375</v>
      </c>
      <c r="L15" s="11">
        <v>3321127975</v>
      </c>
      <c r="M15" s="6">
        <f t="shared" si="0"/>
        <v>0.10937750027069075</v>
      </c>
    </row>
    <row r="16" spans="1:13" x14ac:dyDescent="0.25">
      <c r="A16" s="1" t="s">
        <v>96</v>
      </c>
      <c r="B16" s="13" t="s">
        <v>97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56.779200000000003</v>
      </c>
      <c r="J16" s="11">
        <v>58.841700000000003</v>
      </c>
      <c r="K16" s="11">
        <v>57829612.5</v>
      </c>
      <c r="L16" s="11">
        <v>1649838889.6199999</v>
      </c>
      <c r="M16" s="6">
        <f t="shared" si="0"/>
        <v>5.4335531468343273E-2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85.505800000000008</v>
      </c>
      <c r="J17" s="11">
        <v>91.572466666666656</v>
      </c>
      <c r="K17" s="11">
        <v>63001120</v>
      </c>
      <c r="L17" s="11">
        <v>950961751.84000003</v>
      </c>
      <c r="M17" s="6">
        <f t="shared" si="0"/>
        <v>3.1318823018042889E-2</v>
      </c>
    </row>
    <row r="18" spans="1:15" x14ac:dyDescent="0.25">
      <c r="A18" s="1" t="s">
        <v>58</v>
      </c>
      <c r="B18" s="13" t="s">
        <v>59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98.483800000000002</v>
      </c>
      <c r="J18" s="11">
        <v>103.21671666666701</v>
      </c>
      <c r="K18" s="11">
        <v>23995366.879166659</v>
      </c>
      <c r="L18" s="11">
        <v>523297399.66116703</v>
      </c>
      <c r="M18" s="6">
        <f t="shared" si="0"/>
        <v>1.7234193293346689E-2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99.164344565187591</v>
      </c>
      <c r="J19" s="11">
        <v>99.402677898520921</v>
      </c>
      <c r="K19" s="11">
        <v>5005000</v>
      </c>
      <c r="L19" s="11">
        <v>2087456235.8689389</v>
      </c>
      <c r="M19" s="6">
        <f t="shared" si="0"/>
        <v>6.8747951516023698E-2</v>
      </c>
    </row>
    <row r="20" spans="1:15" x14ac:dyDescent="0.25">
      <c r="A20" s="1" t="s">
        <v>109</v>
      </c>
      <c r="B20" s="13" t="s">
        <v>110</v>
      </c>
      <c r="C20" s="10">
        <v>1100000</v>
      </c>
      <c r="D20" s="11">
        <v>1100000000</v>
      </c>
      <c r="E20" s="3">
        <v>0.13870000000000002</v>
      </c>
      <c r="F20" s="4" t="s">
        <v>111</v>
      </c>
      <c r="G20" s="4" t="s">
        <v>60</v>
      </c>
      <c r="H20" s="11">
        <v>1100000000</v>
      </c>
      <c r="I20" s="11">
        <v>99.982923713429599</v>
      </c>
      <c r="J20" s="11">
        <v>106.879395935652</v>
      </c>
      <c r="K20" s="11">
        <v>75861194.444444433</v>
      </c>
      <c r="L20" s="11">
        <v>1175673355.29217</v>
      </c>
      <c r="M20" s="6">
        <f t="shared" si="0"/>
        <v>3.8719439210021182E-2</v>
      </c>
    </row>
    <row r="21" spans="1:15" x14ac:dyDescent="0.25">
      <c r="A21" s="1" t="s">
        <v>112</v>
      </c>
      <c r="B21" s="13" t="s">
        <v>113</v>
      </c>
      <c r="C21" s="10">
        <v>1000000</v>
      </c>
      <c r="D21" s="11">
        <v>1000000000</v>
      </c>
      <c r="E21" s="3">
        <v>0.1389</v>
      </c>
      <c r="F21" s="4" t="s">
        <v>114</v>
      </c>
      <c r="G21" s="4" t="s">
        <v>115</v>
      </c>
      <c r="H21" s="11">
        <v>1000000000</v>
      </c>
      <c r="I21" s="11">
        <v>98.138044788438194</v>
      </c>
      <c r="J21" s="11">
        <v>102.03496145510501</v>
      </c>
      <c r="K21" s="11">
        <v>38969166.666666657</v>
      </c>
      <c r="L21" s="11">
        <v>1020349614.551048</v>
      </c>
      <c r="M21" s="6">
        <f t="shared" si="0"/>
        <v>3.3604031847570243E-2</v>
      </c>
    </row>
    <row r="22" spans="1:15" x14ac:dyDescent="0.25">
      <c r="A22" s="1" t="s">
        <v>116</v>
      </c>
      <c r="B22" s="13" t="s">
        <v>117</v>
      </c>
      <c r="C22" s="10">
        <v>165739</v>
      </c>
      <c r="D22" s="11">
        <v>165739000</v>
      </c>
      <c r="E22" s="3">
        <v>0.125</v>
      </c>
      <c r="F22" s="4" t="s">
        <v>118</v>
      </c>
      <c r="G22" s="4" t="s">
        <v>119</v>
      </c>
      <c r="H22" s="11">
        <v>159596381.18279999</v>
      </c>
      <c r="I22" s="11">
        <v>95.875535259049201</v>
      </c>
      <c r="J22" s="11">
        <v>98.896368592369114</v>
      </c>
      <c r="K22" s="11">
        <v>5006698.9583111098</v>
      </c>
      <c r="L22" s="11">
        <v>163909852.34130701</v>
      </c>
      <c r="M22" s="6">
        <f t="shared" si="0"/>
        <v>5.3981809956691563E-3</v>
      </c>
    </row>
    <row r="23" spans="1:15" x14ac:dyDescent="0.25">
      <c r="A23" s="1" t="s">
        <v>120</v>
      </c>
      <c r="B23" s="13" t="s">
        <v>121</v>
      </c>
      <c r="C23" s="10">
        <v>494987</v>
      </c>
      <c r="D23" s="11">
        <v>494987000</v>
      </c>
      <c r="E23" s="3">
        <v>0.1701</v>
      </c>
      <c r="F23" s="4" t="s">
        <v>122</v>
      </c>
      <c r="G23" s="4" t="s">
        <v>123</v>
      </c>
      <c r="H23" s="11">
        <v>495088472.34249997</v>
      </c>
      <c r="I23" s="11">
        <v>102.40390000000001</v>
      </c>
      <c r="J23" s="11">
        <v>103.91590000000001</v>
      </c>
      <c r="K23" s="11">
        <v>7484203.4400000004</v>
      </c>
      <c r="L23" s="11">
        <v>514370195.93300003</v>
      </c>
      <c r="M23" s="6">
        <f t="shared" si="0"/>
        <v>1.6940186186260097E-2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1059429969.8858113</v>
      </c>
      <c r="L25" s="22">
        <f>SUM(L4:L24)</f>
        <v>30363904521.320854</v>
      </c>
      <c r="M25" s="23"/>
      <c r="N25" s="26">
        <v>30363904521.320877</v>
      </c>
      <c r="O25" s="29">
        <f>L25-N25</f>
        <v>0</v>
      </c>
    </row>
    <row r="27" spans="1:15" x14ac:dyDescent="0.25">
      <c r="A27" s="30" t="s">
        <v>26</v>
      </c>
    </row>
    <row r="28" spans="1:15" x14ac:dyDescent="0.25">
      <c r="A28" s="19" t="s">
        <v>50</v>
      </c>
      <c r="B28" s="31">
        <v>11390436.390000001</v>
      </c>
      <c r="C28" s="58">
        <v>11390436.390000001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5" s="36" customFormat="1" ht="12" customHeight="1" x14ac:dyDescent="0.25">
      <c r="A33" s="12" t="s">
        <v>52</v>
      </c>
      <c r="B33" s="7" t="s">
        <v>53</v>
      </c>
      <c r="C33" s="14">
        <v>767618</v>
      </c>
      <c r="D33" s="7" t="s">
        <v>50</v>
      </c>
      <c r="E33" s="34" t="s">
        <v>54</v>
      </c>
      <c r="F33" s="34" t="s">
        <v>55</v>
      </c>
      <c r="G33" s="15">
        <v>549.85160000156304</v>
      </c>
      <c r="H33" s="15">
        <v>550.09112288925007</v>
      </c>
      <c r="I33" s="16">
        <f t="shared" ref="I33:I38" si="1">+C33*G33</f>
        <v>422075985.48999983</v>
      </c>
      <c r="J33" s="16">
        <f t="shared" ref="J33:J38" si="2">+C33*H33</f>
        <v>422259847.57000035</v>
      </c>
      <c r="K33" s="18">
        <v>0.158999</v>
      </c>
      <c r="L33" s="17">
        <v>183862.08</v>
      </c>
      <c r="M33" s="17"/>
      <c r="N33" s="35"/>
    </row>
    <row r="34" spans="1:15" s="36" customFormat="1" ht="12" customHeight="1" x14ac:dyDescent="0.25">
      <c r="A34" s="12" t="s">
        <v>52</v>
      </c>
      <c r="B34" s="7" t="s">
        <v>53</v>
      </c>
      <c r="C34" s="14">
        <v>767618</v>
      </c>
      <c r="D34" s="7" t="s">
        <v>50</v>
      </c>
      <c r="E34" s="34" t="s">
        <v>55</v>
      </c>
      <c r="F34" s="34" t="s">
        <v>55</v>
      </c>
      <c r="G34" s="15">
        <v>549.85160000156304</v>
      </c>
      <c r="H34" s="15">
        <v>550.09112288925007</v>
      </c>
      <c r="I34" s="16">
        <f t="shared" si="1"/>
        <v>422075985.48999983</v>
      </c>
      <c r="J34" s="16">
        <f t="shared" si="2"/>
        <v>422259847.57000035</v>
      </c>
      <c r="K34" s="18">
        <v>0.158999</v>
      </c>
      <c r="L34" s="17"/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1380600</v>
      </c>
      <c r="D35" s="7" t="s">
        <v>50</v>
      </c>
      <c r="E35" s="34" t="s">
        <v>54</v>
      </c>
      <c r="F35" s="34" t="s">
        <v>55</v>
      </c>
      <c r="G35" s="15">
        <v>942.49900000000002</v>
      </c>
      <c r="H35" s="15">
        <v>942.90827438070403</v>
      </c>
      <c r="I35" s="16">
        <f t="shared" si="1"/>
        <v>1301214119.4000001</v>
      </c>
      <c r="J35" s="16">
        <f t="shared" si="2"/>
        <v>1301779163.6099999</v>
      </c>
      <c r="K35" s="18">
        <v>0.158499</v>
      </c>
      <c r="L35" s="17">
        <v>565044.21</v>
      </c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1380600</v>
      </c>
      <c r="D36" s="7" t="s">
        <v>50</v>
      </c>
      <c r="E36" s="34" t="s">
        <v>55</v>
      </c>
      <c r="F36" s="34" t="s">
        <v>55</v>
      </c>
      <c r="G36" s="15">
        <v>942.49900000000002</v>
      </c>
      <c r="H36" s="15">
        <v>942.90827438070403</v>
      </c>
      <c r="I36" s="16">
        <f t="shared" si="1"/>
        <v>1301214119.4000001</v>
      </c>
      <c r="J36" s="16">
        <f t="shared" si="2"/>
        <v>1301779163.6099999</v>
      </c>
      <c r="K36" s="18">
        <v>0.158499</v>
      </c>
      <c r="L36" s="17"/>
      <c r="M36" s="17"/>
      <c r="N36" s="35"/>
    </row>
    <row r="37" spans="1:15" s="36" customFormat="1" ht="12" customHeight="1" x14ac:dyDescent="0.25">
      <c r="A37" s="12" t="s">
        <v>58</v>
      </c>
      <c r="B37" s="7" t="s">
        <v>59</v>
      </c>
      <c r="C37" s="14">
        <v>407949</v>
      </c>
      <c r="D37" s="7" t="s">
        <v>50</v>
      </c>
      <c r="E37" s="34" t="s">
        <v>55</v>
      </c>
      <c r="F37" s="34" t="s">
        <v>60</v>
      </c>
      <c r="G37" s="15">
        <v>1032.166999992646</v>
      </c>
      <c r="H37" s="15">
        <v>1032.6166289168491</v>
      </c>
      <c r="I37" s="16">
        <f t="shared" si="1"/>
        <v>421071495.47999996</v>
      </c>
      <c r="J37" s="16">
        <f t="shared" si="2"/>
        <v>421254921.14999968</v>
      </c>
      <c r="K37" s="18">
        <v>0.159</v>
      </c>
      <c r="L37" s="17"/>
      <c r="M37" s="17">
        <v>421071495.48000002</v>
      </c>
      <c r="N37" s="35"/>
    </row>
    <row r="38" spans="1:15" s="36" customFormat="1" ht="12" customHeight="1" x14ac:dyDescent="0.25">
      <c r="A38" s="12" t="s">
        <v>61</v>
      </c>
      <c r="B38" s="7" t="s">
        <v>62</v>
      </c>
      <c r="C38" s="14">
        <v>1427400</v>
      </c>
      <c r="D38" s="7" t="s">
        <v>50</v>
      </c>
      <c r="E38" s="34" t="s">
        <v>55</v>
      </c>
      <c r="F38" s="34" t="s">
        <v>60</v>
      </c>
      <c r="G38" s="15">
        <v>910.91399999999999</v>
      </c>
      <c r="H38" s="15">
        <v>911.31205694269306</v>
      </c>
      <c r="I38" s="16">
        <f t="shared" si="1"/>
        <v>1300238643.5999999</v>
      </c>
      <c r="J38" s="16">
        <f t="shared" si="2"/>
        <v>1300806830.0800002</v>
      </c>
      <c r="K38" s="18">
        <v>0.1595</v>
      </c>
      <c r="L38" s="17"/>
      <c r="M38" s="17">
        <v>1300238643.5999999</v>
      </c>
      <c r="N38" s="35"/>
    </row>
    <row r="39" spans="1:15" s="36" customFormat="1" ht="11.25" hidden="1" x14ac:dyDescent="0.25">
      <c r="A39" s="7"/>
      <c r="B39" s="7"/>
      <c r="C39" s="7"/>
      <c r="D39" s="7"/>
      <c r="E39" s="37"/>
      <c r="F39" s="37"/>
      <c r="G39" s="7"/>
      <c r="H39" s="7"/>
      <c r="I39" s="8"/>
      <c r="J39" s="8"/>
      <c r="K39" s="7"/>
      <c r="L39" s="9"/>
      <c r="M39" s="9"/>
      <c r="N39" s="35"/>
    </row>
    <row r="40" spans="1:15" x14ac:dyDescent="0.25">
      <c r="A40" s="1" t="s">
        <v>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f>SUM(M33:M39)</f>
        <v>1721310139.0799999</v>
      </c>
      <c r="N40" s="38">
        <v>1721310139.0799999</v>
      </c>
      <c r="O40" s="29">
        <f>M40-N40</f>
        <v>0</v>
      </c>
    </row>
    <row r="42" spans="1:15" x14ac:dyDescent="0.25">
      <c r="A42" s="39" t="s">
        <v>28</v>
      </c>
      <c r="B42" s="33"/>
      <c r="D42" s="33"/>
      <c r="F42" s="28"/>
      <c r="G42" s="28"/>
    </row>
    <row r="43" spans="1:15" ht="22.5" x14ac:dyDescent="0.25">
      <c r="A43" s="19" t="s">
        <v>6</v>
      </c>
      <c r="B43" s="19" t="s">
        <v>29</v>
      </c>
      <c r="C43" s="19" t="s">
        <v>17</v>
      </c>
      <c r="D43" s="19" t="s">
        <v>30</v>
      </c>
      <c r="E43" s="19" t="s">
        <v>16</v>
      </c>
      <c r="F43" s="19" t="s">
        <v>31</v>
      </c>
      <c r="G43" s="19" t="s">
        <v>32</v>
      </c>
    </row>
    <row r="44" spans="1:15" x14ac:dyDescent="0.25">
      <c r="A44" s="57">
        <f ca="1">IF(OFFSET(A44,-1,0)="№ п/п",1,OFFSET(A44,-1,0)+1)</f>
        <v>1</v>
      </c>
      <c r="B44" s="40" t="s">
        <v>49</v>
      </c>
      <c r="C44" s="52" t="s">
        <v>50</v>
      </c>
      <c r="D44" s="53" t="s">
        <v>51</v>
      </c>
      <c r="E44" s="54">
        <v>2100000</v>
      </c>
      <c r="F44" s="55">
        <v>300300000</v>
      </c>
      <c r="G44" s="56">
        <v>300300000</v>
      </c>
      <c r="H44" s="58">
        <v>300300000</v>
      </c>
      <c r="I44" s="29">
        <f>G44-H44</f>
        <v>0</v>
      </c>
    </row>
    <row r="45" spans="1:15" hidden="1" x14ac:dyDescent="0.25">
      <c r="B45" s="42"/>
      <c r="C45" s="43"/>
      <c r="D45" s="44"/>
      <c r="G45" s="45"/>
      <c r="H45" s="33"/>
    </row>
    <row r="46" spans="1:15" x14ac:dyDescent="0.25">
      <c r="G46" s="46">
        <f>SUM(G44:G45)</f>
        <v>300300000</v>
      </c>
    </row>
    <row r="48" spans="1:15" x14ac:dyDescent="0.25">
      <c r="A48" s="47" t="s">
        <v>13</v>
      </c>
      <c r="B48" s="48">
        <f>+L25+B28+M40+G46</f>
        <v>32396905096.790855</v>
      </c>
      <c r="C48" s="32">
        <v>32396905096.790878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9" t="s">
        <v>35</v>
      </c>
      <c r="B52" s="50"/>
    </row>
    <row r="53" spans="1:2" x14ac:dyDescent="0.25">
      <c r="A53" s="49" t="s">
        <v>36</v>
      </c>
      <c r="B53" s="41"/>
    </row>
    <row r="54" spans="1:2" x14ac:dyDescent="0.25">
      <c r="A54" s="49" t="s">
        <v>37</v>
      </c>
      <c r="B54" s="41">
        <v>146923.71</v>
      </c>
    </row>
    <row r="55" spans="1:2" x14ac:dyDescent="0.25">
      <c r="A55" s="49" t="s">
        <v>38</v>
      </c>
      <c r="B55" s="41"/>
    </row>
    <row r="56" spans="1:2" x14ac:dyDescent="0.25">
      <c r="A56" s="49" t="s">
        <v>39</v>
      </c>
      <c r="B56" s="50"/>
    </row>
    <row r="57" spans="1:2" x14ac:dyDescent="0.25">
      <c r="A57" s="49" t="s">
        <v>40</v>
      </c>
      <c r="B57" s="51">
        <v>20663.060000000001</v>
      </c>
    </row>
    <row r="58" spans="1:2" x14ac:dyDescent="0.25">
      <c r="A58" s="49" t="s">
        <v>41</v>
      </c>
      <c r="B58" s="51">
        <v>10331.539999999999</v>
      </c>
    </row>
    <row r="59" spans="1:2" x14ac:dyDescent="0.25">
      <c r="A59" s="49" t="s">
        <v>42</v>
      </c>
      <c r="B59" s="41"/>
    </row>
    <row r="60" spans="1:2" x14ac:dyDescent="0.25">
      <c r="A60" s="49" t="s">
        <v>43</v>
      </c>
      <c r="B60" s="41"/>
    </row>
    <row r="61" spans="1:2" x14ac:dyDescent="0.25">
      <c r="A61" s="49" t="s">
        <v>44</v>
      </c>
      <c r="B61" s="51"/>
    </row>
    <row r="62" spans="1:2" x14ac:dyDescent="0.25">
      <c r="A62" s="49" t="s">
        <v>45</v>
      </c>
      <c r="B62" s="50">
        <f>SUM(B52:B61)</f>
        <v>177918.31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2025-09-10T07:56:00Z</dcterms:created>
  <dcterms:modified xsi:type="dcterms:W3CDTF">2025-09-10T09:44:07Z</dcterms:modified>
</cp:coreProperties>
</file>