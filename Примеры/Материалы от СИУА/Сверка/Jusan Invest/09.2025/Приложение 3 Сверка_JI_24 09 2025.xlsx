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BC9F5F5E-E603-4712-98A4-6DB0EC9AA4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" i="1" l="1"/>
  <c r="B68" i="1"/>
  <c r="G52" i="1"/>
  <c r="M47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54" i="1" s="1"/>
  <c r="K24" i="1"/>
  <c r="M17" i="1"/>
  <c r="M11" i="1"/>
  <c r="M6" i="1"/>
  <c r="M5" i="1"/>
  <c r="M12" i="1" l="1"/>
  <c r="M18" i="1"/>
  <c r="M8" i="1"/>
  <c r="M14" i="1"/>
  <c r="M20" i="1"/>
  <c r="M9" i="1"/>
  <c r="M15" i="1"/>
  <c r="M21" i="1"/>
  <c r="M4" i="1"/>
  <c r="M10" i="1"/>
  <c r="M16" i="1"/>
  <c r="M22" i="1"/>
  <c r="M7" i="1"/>
  <c r="M13" i="1"/>
  <c r="M19" i="1"/>
</calcChain>
</file>

<file path=xl/sharedStrings.xml><?xml version="1.0" encoding="utf-8"?>
<sst xmlns="http://schemas.openxmlformats.org/spreadsheetml/2006/main" count="200" uniqueCount="131">
  <si>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</si>
  <si>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</si>
  <si>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</si>
  <si>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</si>
  <si>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</si>
  <si>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</si>
  <si>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</si>
  <si>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</si>
  <si>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</si>
  <si>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</si>
  <si>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</si>
  <si>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</si>
  <si>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</si>
  <si>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</si>
  <si>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</si>
  <si>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</si>
  <si>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</si>
  <si>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</si>
  <si>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</si>
  <si>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</si>
  <si>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</si>
  <si>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</si>
  <si>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</si>
  <si>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</si>
  <si>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</si>
  <si>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</si>
  <si>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</si>
  <si>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</si>
  <si>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</si>
  <si>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</si>
  <si>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</si>
  <si>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</si>
  <si>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</si>
  <si>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</si>
  <si>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</si>
  <si>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</si>
  <si>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</si>
  <si>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</si>
  <si>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</si>
  <si>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</si>
  <si>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</si>
  <si>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</si>
  <si>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</si>
  <si>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</si>
  <si>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</si>
  <si>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</si>
  <si>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</si>
  <si>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</si>
  <si>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</si>
  <si>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MUM300_0003</t>
  </si>
  <si>
    <t>KZKD00000857</t>
  </si>
  <si>
    <t>KZT</t>
  </si>
  <si>
    <t>24.09.2025</t>
  </si>
  <si>
    <t>25.09.2025</t>
  </si>
  <si>
    <t>МИНИСТЕРСТВО ФИНАНСОВ РК, ОБЛИГАЦИИ, MFKZ.0435</t>
  </si>
  <si>
    <t>XS2914770545</t>
  </si>
  <si>
    <t>МИНИСТЕРСТВО ФИНАНСОВ РК, ГЦБ, MUM084_0019</t>
  </si>
  <si>
    <t>KZKD00001244</t>
  </si>
  <si>
    <t>МИНИСТЕРСТВО ФИНАНСОВ РК, ГЦБ, MUM096_0011</t>
  </si>
  <si>
    <t>KZKD00001095</t>
  </si>
  <si>
    <t>МИНИСТЕРСТВО ФИНАНСОВ РК, ГЦБ, MUM216_0002</t>
  </si>
  <si>
    <t>KZKD00001079</t>
  </si>
  <si>
    <t>23.09.2025</t>
  </si>
  <si>
    <t>МИНИСТЕРСТВО ФИНАНСОВ РК, ГЦБ, MKM012_0159</t>
  </si>
  <si>
    <t>KZK100000365</t>
  </si>
  <si>
    <t>МИНИСТЕРСТВО ФИНАНСОВ РК, ГЦБ, MUM156_0005</t>
  </si>
  <si>
    <t>KZKD00000758</t>
  </si>
  <si>
    <t>МИНИСТЕРСТВО ФИНАНСОВ РК, ГЦБ, MUM180_0011</t>
  </si>
  <si>
    <t>KZKD00000790</t>
  </si>
  <si>
    <t>МИНИСТЕРСТВО ФИНАНСОВ РК, ГЦБ, MUM192_0001</t>
  </si>
  <si>
    <t>KZKD00000477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</si>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</sst>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topLeftCell="A33" zoomScale="90" zoomScaleNormal="90" workbookViewId="0">
      <selection activeCell="E66" sqref="E66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71</v>
      </c>
      <c r="B4" s="13" t="s">
        <v>72</v>
      </c>
      <c r="C4" s="10">
        <v>3020000</v>
      </c>
      <c r="D4" s="11">
        <v>3020000000</v>
      </c>
      <c r="E4" s="3">
        <v>0.1067</v>
      </c>
      <c r="F4" s="4" t="s">
        <v>73</v>
      </c>
      <c r="G4" s="4" t="s">
        <v>74</v>
      </c>
      <c r="H4" s="11">
        <v>2930617060.0000029</v>
      </c>
      <c r="I4" s="11">
        <v>98.258600000000001</v>
      </c>
      <c r="J4" s="11">
        <v>100.12585</v>
      </c>
      <c r="K4" s="11">
        <v>56390949.999999993</v>
      </c>
      <c r="L4" s="11">
        <v>3023800669.999999</v>
      </c>
      <c r="M4" s="6">
        <f t="shared" ref="M4:M22" si="0">L4/$L$24</f>
        <v>0.10390384095936391</v>
      </c>
    </row>
    <row r="5" spans="1:13" x14ac:dyDescent="0.25">
      <c r="A5" s="1" t="s">
        <v>75</v>
      </c>
      <c r="B5" s="13" t="s">
        <v>76</v>
      </c>
      <c r="C5" s="10">
        <v>2265000</v>
      </c>
      <c r="D5" s="11">
        <v>2265000000</v>
      </c>
      <c r="E5" s="3">
        <v>0.10550000000000001</v>
      </c>
      <c r="F5" s="4" t="s">
        <v>73</v>
      </c>
      <c r="G5" s="4" t="s">
        <v>77</v>
      </c>
      <c r="H5" s="11">
        <v>2039188560.0000031</v>
      </c>
      <c r="I5" s="11">
        <v>82.314800000000005</v>
      </c>
      <c r="J5" s="11">
        <v>83.955911111111106</v>
      </c>
      <c r="K5" s="11">
        <v>37171166.666666657</v>
      </c>
      <c r="L5" s="11">
        <v>1901601386.666666</v>
      </c>
      <c r="M5" s="6">
        <f t="shared" si="0"/>
        <v>6.5342828318216889E-2</v>
      </c>
    </row>
    <row r="6" spans="1:13" x14ac:dyDescent="0.25">
      <c r="A6" s="1" t="s">
        <v>75</v>
      </c>
      <c r="B6" s="13" t="s">
        <v>76</v>
      </c>
      <c r="C6" s="10">
        <v>1551646</v>
      </c>
      <c r="D6" s="11">
        <v>1551646000</v>
      </c>
      <c r="E6" s="3">
        <v>0.10550000000000001</v>
      </c>
      <c r="F6" s="4" t="s">
        <v>78</v>
      </c>
      <c r="G6" s="4" t="s">
        <v>77</v>
      </c>
      <c r="H6" s="11">
        <v>1395452658.7</v>
      </c>
      <c r="I6" s="11">
        <v>82.314800000000005</v>
      </c>
      <c r="J6" s="11">
        <v>83.955911111111362</v>
      </c>
      <c r="K6" s="11">
        <v>25464234.911111109</v>
      </c>
      <c r="L6" s="11">
        <v>1302698536.519115</v>
      </c>
      <c r="M6" s="6">
        <f t="shared" si="0"/>
        <v>4.4763328118608517E-2</v>
      </c>
    </row>
    <row r="7" spans="1:13" x14ac:dyDescent="0.25">
      <c r="A7" s="1" t="s">
        <v>75</v>
      </c>
      <c r="B7" s="13" t="s">
        <v>76</v>
      </c>
      <c r="C7" s="10">
        <v>545692</v>
      </c>
      <c r="D7" s="11">
        <v>545692000</v>
      </c>
      <c r="E7" s="3">
        <v>0.10550000000000001</v>
      </c>
      <c r="F7" s="4" t="s">
        <v>79</v>
      </c>
      <c r="G7" s="4" t="s">
        <v>77</v>
      </c>
      <c r="H7" s="11">
        <v>449784993.92000002</v>
      </c>
      <c r="I7" s="11">
        <v>82.314800000000005</v>
      </c>
      <c r="J7" s="11">
        <v>83.955911111111106</v>
      </c>
      <c r="K7" s="11">
        <v>8955412.0444444399</v>
      </c>
      <c r="L7" s="11">
        <v>458140690.46044397</v>
      </c>
      <c r="M7" s="6">
        <f t="shared" si="0"/>
        <v>1.5742630759657567E-2</v>
      </c>
    </row>
    <row r="8" spans="1:13" x14ac:dyDescent="0.25">
      <c r="A8" s="1" t="s">
        <v>80</v>
      </c>
      <c r="B8" s="13" t="s">
        <v>81</v>
      </c>
      <c r="C8" s="10">
        <v>2265000</v>
      </c>
      <c r="D8" s="11">
        <v>2265000000</v>
      </c>
      <c r="E8" s="3">
        <v>0.10400000000000001</v>
      </c>
      <c r="F8" s="4" t="s">
        <v>73</v>
      </c>
      <c r="G8" s="4" t="s">
        <v>82</v>
      </c>
      <c r="H8" s="11">
        <v>2073109200</v>
      </c>
      <c r="I8" s="11">
        <v>86.215100000000007</v>
      </c>
      <c r="J8" s="11">
        <v>90.895099999999985</v>
      </c>
      <c r="K8" s="11">
        <v>106002000</v>
      </c>
      <c r="L8" s="11">
        <v>2058774014.999999</v>
      </c>
      <c r="M8" s="6">
        <f t="shared" si="0"/>
        <v>7.0743594294471482E-2</v>
      </c>
    </row>
    <row r="9" spans="1:13" x14ac:dyDescent="0.25">
      <c r="A9" s="1" t="s">
        <v>83</v>
      </c>
      <c r="B9" s="13" t="s">
        <v>84</v>
      </c>
      <c r="C9" s="10">
        <v>2265000</v>
      </c>
      <c r="D9" s="11">
        <v>2265000000</v>
      </c>
      <c r="E9" s="3">
        <v>0.11</v>
      </c>
      <c r="F9" s="4" t="s">
        <v>73</v>
      </c>
      <c r="G9" s="4" t="s">
        <v>85</v>
      </c>
      <c r="H9" s="11">
        <v>2080889475</v>
      </c>
      <c r="I9" s="11">
        <v>84.294200000000004</v>
      </c>
      <c r="J9" s="11">
        <v>89.610866666666652</v>
      </c>
      <c r="K9" s="11">
        <v>120422500</v>
      </c>
      <c r="L9" s="11">
        <v>2029686129.999999</v>
      </c>
      <c r="M9" s="6">
        <f t="shared" si="0"/>
        <v>6.9744076367622074E-2</v>
      </c>
    </row>
    <row r="10" spans="1:13" x14ac:dyDescent="0.25">
      <c r="A10" s="1" t="s">
        <v>86</v>
      </c>
      <c r="B10" s="13" t="s">
        <v>87</v>
      </c>
      <c r="C10" s="10">
        <v>2265000</v>
      </c>
      <c r="D10" s="11">
        <v>2265000000</v>
      </c>
      <c r="E10" s="3">
        <v>0.10300000000000001</v>
      </c>
      <c r="F10" s="4" t="s">
        <v>73</v>
      </c>
      <c r="G10" s="4" t="s">
        <v>88</v>
      </c>
      <c r="H10" s="11">
        <v>1963990560.0000031</v>
      </c>
      <c r="I10" s="11">
        <v>77.184700000000007</v>
      </c>
      <c r="J10" s="11">
        <v>82.534977777777769</v>
      </c>
      <c r="K10" s="11">
        <v>121183791.666667</v>
      </c>
      <c r="L10" s="11">
        <v>1869417246.666666</v>
      </c>
      <c r="M10" s="6">
        <f t="shared" si="0"/>
        <v>6.4236916874664651E-2</v>
      </c>
    </row>
    <row r="11" spans="1:13" x14ac:dyDescent="0.25">
      <c r="A11" s="1" t="s">
        <v>89</v>
      </c>
      <c r="B11" s="13" t="s">
        <v>90</v>
      </c>
      <c r="C11" s="10">
        <v>2265000</v>
      </c>
      <c r="D11" s="11">
        <v>2265000000</v>
      </c>
      <c r="E11" s="3">
        <v>8.4500000000000006E-2</v>
      </c>
      <c r="F11" s="4" t="s">
        <v>73</v>
      </c>
      <c r="G11" s="4" t="s">
        <v>91</v>
      </c>
      <c r="H11" s="11">
        <v>1740247065.0000031</v>
      </c>
      <c r="I11" s="11">
        <v>67.862200000000001</v>
      </c>
      <c r="J11" s="11">
        <v>71.570811111111112</v>
      </c>
      <c r="K11" s="11">
        <v>84000041.666666657</v>
      </c>
      <c r="L11" s="11">
        <v>1621078871.666666</v>
      </c>
      <c r="M11" s="6">
        <f t="shared" si="0"/>
        <v>5.5703513440996236E-2</v>
      </c>
    </row>
    <row r="12" spans="1:13" x14ac:dyDescent="0.25">
      <c r="A12" s="1" t="s">
        <v>92</v>
      </c>
      <c r="B12" s="13" t="s">
        <v>93</v>
      </c>
      <c r="C12" s="10">
        <v>2265000</v>
      </c>
      <c r="D12" s="11">
        <v>2265000000</v>
      </c>
      <c r="E12" s="3">
        <v>0.10650000000000001</v>
      </c>
      <c r="F12" s="4" t="s">
        <v>73</v>
      </c>
      <c r="G12" s="4" t="s">
        <v>94</v>
      </c>
      <c r="H12" s="11">
        <v>1967775375</v>
      </c>
      <c r="I12" s="11">
        <v>75.711399999999998</v>
      </c>
      <c r="J12" s="11">
        <v>77.427233333333334</v>
      </c>
      <c r="K12" s="11">
        <v>38863625</v>
      </c>
      <c r="L12" s="11">
        <v>1753726835</v>
      </c>
      <c r="M12" s="6">
        <f t="shared" si="0"/>
        <v>6.0261562859567949E-2</v>
      </c>
    </row>
    <row r="13" spans="1:13" x14ac:dyDescent="0.25">
      <c r="A13" s="1" t="s">
        <v>95</v>
      </c>
      <c r="B13" s="13" t="s">
        <v>96</v>
      </c>
      <c r="C13" s="10">
        <v>2265000</v>
      </c>
      <c r="D13" s="11">
        <v>2265000000</v>
      </c>
      <c r="E13" s="3">
        <v>8.0700000000000008E-2</v>
      </c>
      <c r="F13" s="4" t="s">
        <v>73</v>
      </c>
      <c r="G13" s="4" t="s">
        <v>97</v>
      </c>
      <c r="H13" s="11">
        <v>1622351550</v>
      </c>
      <c r="I13" s="11">
        <v>61.5764</v>
      </c>
      <c r="J13" s="11">
        <v>64.53540000000001</v>
      </c>
      <c r="K13" s="11">
        <v>67021350</v>
      </c>
      <c r="L13" s="11">
        <v>1461726810</v>
      </c>
      <c r="M13" s="6">
        <f t="shared" si="0"/>
        <v>5.022785777485736E-2</v>
      </c>
    </row>
    <row r="14" spans="1:13" x14ac:dyDescent="0.25">
      <c r="A14" s="1" t="s">
        <v>98</v>
      </c>
      <c r="B14" s="13" t="s">
        <v>99</v>
      </c>
      <c r="C14" s="10">
        <v>2265000</v>
      </c>
      <c r="D14" s="11">
        <v>2265000000</v>
      </c>
      <c r="E14" s="3">
        <v>8.0700000000000008E-2</v>
      </c>
      <c r="F14" s="4" t="s">
        <v>73</v>
      </c>
      <c r="G14" s="4" t="s">
        <v>100</v>
      </c>
      <c r="H14" s="11">
        <v>1597764975</v>
      </c>
      <c r="I14" s="11">
        <v>60.19</v>
      </c>
      <c r="J14" s="11">
        <v>65.457916666666662</v>
      </c>
      <c r="K14" s="11">
        <v>119318312.5</v>
      </c>
      <c r="L14" s="11">
        <v>1482621812.5</v>
      </c>
      <c r="M14" s="6">
        <f t="shared" si="0"/>
        <v>5.0945851866910231E-2</v>
      </c>
    </row>
    <row r="15" spans="1:13" x14ac:dyDescent="0.25">
      <c r="A15" s="1" t="s">
        <v>101</v>
      </c>
      <c r="B15" s="13" t="s">
        <v>102</v>
      </c>
      <c r="C15" s="10">
        <v>3775000</v>
      </c>
      <c r="D15" s="11">
        <v>3775000000</v>
      </c>
      <c r="E15" s="3">
        <v>5.4900000000000004E-2</v>
      </c>
      <c r="F15" s="4" t="s">
        <v>73</v>
      </c>
      <c r="G15" s="4" t="s">
        <v>103</v>
      </c>
      <c r="H15" s="11">
        <v>3136670150</v>
      </c>
      <c r="I15" s="11">
        <v>84.954000000000008</v>
      </c>
      <c r="J15" s="11">
        <v>87.65325</v>
      </c>
      <c r="K15" s="11">
        <v>101896687.5</v>
      </c>
      <c r="L15" s="11">
        <v>3308910187.5</v>
      </c>
      <c r="M15" s="6">
        <f t="shared" si="0"/>
        <v>0.11370077442003448</v>
      </c>
    </row>
    <row r="16" spans="1:13" x14ac:dyDescent="0.25">
      <c r="A16" s="1" t="s">
        <v>104</v>
      </c>
      <c r="B16" s="13" t="s">
        <v>105</v>
      </c>
      <c r="C16" s="10">
        <v>2803860</v>
      </c>
      <c r="D16" s="11">
        <v>2803860000</v>
      </c>
      <c r="E16" s="3">
        <v>5.5E-2</v>
      </c>
      <c r="F16" s="4" t="s">
        <v>106</v>
      </c>
      <c r="G16" s="4" t="s">
        <v>107</v>
      </c>
      <c r="H16" s="11">
        <v>1773018067.1400001</v>
      </c>
      <c r="I16" s="11">
        <v>56.712600000000002</v>
      </c>
      <c r="J16" s="11">
        <v>59.004266666666659</v>
      </c>
      <c r="K16" s="11">
        <v>64255125</v>
      </c>
      <c r="L16" s="11">
        <v>1654397031.3599999</v>
      </c>
      <c r="M16" s="6">
        <f t="shared" si="0"/>
        <v>5.6848392070127186E-2</v>
      </c>
    </row>
    <row r="17" spans="1:15" x14ac:dyDescent="0.25">
      <c r="A17" s="1" t="s">
        <v>108</v>
      </c>
      <c r="B17" s="13" t="s">
        <v>109</v>
      </c>
      <c r="C17" s="10">
        <v>1038480</v>
      </c>
      <c r="D17" s="11">
        <v>1038480000</v>
      </c>
      <c r="E17" s="3">
        <v>0.12</v>
      </c>
      <c r="F17" s="4" t="s">
        <v>106</v>
      </c>
      <c r="G17" s="4" t="s">
        <v>110</v>
      </c>
      <c r="H17" s="11">
        <v>979029096.96000004</v>
      </c>
      <c r="I17" s="11">
        <v>84.772100000000009</v>
      </c>
      <c r="J17" s="11">
        <v>91.338766666666658</v>
      </c>
      <c r="K17" s="11">
        <v>68193520</v>
      </c>
      <c r="L17" s="11">
        <v>948534824.08000004</v>
      </c>
      <c r="M17" s="6">
        <f t="shared" si="0"/>
        <v>3.2593554358074331E-2</v>
      </c>
    </row>
    <row r="18" spans="1:15" x14ac:dyDescent="0.25">
      <c r="A18" s="1" t="s">
        <v>111</v>
      </c>
      <c r="B18" s="13" t="s">
        <v>112</v>
      </c>
      <c r="C18" s="10">
        <v>506989</v>
      </c>
      <c r="D18" s="11">
        <v>506989000</v>
      </c>
      <c r="E18" s="3">
        <v>0.1535</v>
      </c>
      <c r="F18" s="4" t="s">
        <v>113</v>
      </c>
      <c r="G18" s="4" t="s">
        <v>114</v>
      </c>
      <c r="H18" s="11">
        <v>492216861.50999999</v>
      </c>
      <c r="I18" s="11">
        <v>97.346900000000005</v>
      </c>
      <c r="J18" s="11">
        <v>102.71940000000001</v>
      </c>
      <c r="K18" s="11">
        <v>27237984.024999999</v>
      </c>
      <c r="L18" s="11">
        <v>520776058.866</v>
      </c>
      <c r="M18" s="6">
        <f t="shared" si="0"/>
        <v>1.7894907337214532E-2</v>
      </c>
    </row>
    <row r="19" spans="1:15" x14ac:dyDescent="0.25">
      <c r="A19" s="1" t="s">
        <v>115</v>
      </c>
      <c r="B19" s="13" t="s">
        <v>116</v>
      </c>
      <c r="C19" s="10">
        <v>2100000</v>
      </c>
      <c r="D19" s="11">
        <v>2100000000</v>
      </c>
      <c r="E19" s="3">
        <v>0.14300000000000002</v>
      </c>
      <c r="F19" s="4" t="s">
        <v>117</v>
      </c>
      <c r="G19" s="4" t="s">
        <v>118</v>
      </c>
      <c r="H19" s="11">
        <v>2100000000</v>
      </c>
      <c r="I19" s="11">
        <v>94.48642272093079</v>
      </c>
      <c r="J19" s="11">
        <v>95.320589387597451</v>
      </c>
      <c r="K19" s="11">
        <v>17517500</v>
      </c>
      <c r="L19" s="11">
        <v>2001732377.1395459</v>
      </c>
      <c r="M19" s="6">
        <f t="shared" si="0"/>
        <v>6.8783529490228243E-2</v>
      </c>
    </row>
    <row r="20" spans="1:15" x14ac:dyDescent="0.25">
      <c r="A20" s="1" t="s">
        <v>119</v>
      </c>
      <c r="B20" s="13" t="s">
        <v>120</v>
      </c>
      <c r="C20" s="10">
        <v>1000000</v>
      </c>
      <c r="D20" s="11">
        <v>1000000000</v>
      </c>
      <c r="E20" s="3">
        <v>0.1389</v>
      </c>
      <c r="F20" s="4" t="s">
        <v>121</v>
      </c>
      <c r="G20" s="4" t="s">
        <v>122</v>
      </c>
      <c r="H20" s="11">
        <v>1000000000</v>
      </c>
      <c r="I20" s="11">
        <v>98.257391994899194</v>
      </c>
      <c r="J20" s="11">
        <v>102.73305866156601</v>
      </c>
      <c r="K20" s="11">
        <v>44756666.666666657</v>
      </c>
      <c r="L20" s="11">
        <v>1027330586.615658</v>
      </c>
      <c r="M20" s="6">
        <f t="shared" si="0"/>
        <v>3.5301134411218779E-2</v>
      </c>
    </row>
    <row r="21" spans="1:15" x14ac:dyDescent="0.25">
      <c r="A21" s="1" t="s">
        <v>123</v>
      </c>
      <c r="B21" s="13" t="s">
        <v>124</v>
      </c>
      <c r="C21" s="10">
        <v>165739</v>
      </c>
      <c r="D21" s="11">
        <v>165739000</v>
      </c>
      <c r="E21" s="3">
        <v>0.125</v>
      </c>
      <c r="F21" s="4" t="s">
        <v>125</v>
      </c>
      <c r="G21" s="4" t="s">
        <v>126</v>
      </c>
      <c r="H21" s="11">
        <v>159596381.18279999</v>
      </c>
      <c r="I21" s="11">
        <v>95.748935541064299</v>
      </c>
      <c r="J21" s="11">
        <v>99.290602207717541</v>
      </c>
      <c r="K21" s="11">
        <v>5869922.91664444</v>
      </c>
      <c r="L21" s="11">
        <v>164563251.19304901</v>
      </c>
      <c r="M21" s="6">
        <f t="shared" si="0"/>
        <v>5.6547225646717061E-3</v>
      </c>
    </row>
    <row r="22" spans="1:15" x14ac:dyDescent="0.25">
      <c r="A22" s="1" t="s">
        <v>127</v>
      </c>
      <c r="B22" s="13" t="s">
        <v>128</v>
      </c>
      <c r="C22" s="10">
        <v>494987</v>
      </c>
      <c r="D22" s="11">
        <v>494987000</v>
      </c>
      <c r="E22" s="3">
        <v>0.1701</v>
      </c>
      <c r="F22" s="4" t="s">
        <v>129</v>
      </c>
      <c r="G22" s="4" t="s">
        <v>130</v>
      </c>
      <c r="H22" s="11">
        <v>495088472.34249997</v>
      </c>
      <c r="I22" s="11">
        <v>101.29650000000001</v>
      </c>
      <c r="J22" s="11">
        <v>103.51725</v>
      </c>
      <c r="K22" s="11">
        <v>10992423.8025</v>
      </c>
      <c r="L22" s="11">
        <v>512396930.25749999</v>
      </c>
      <c r="M22" s="6">
        <f t="shared" si="0"/>
        <v>1.7606983713493778E-2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1125513214.3663669</v>
      </c>
      <c r="L24" s="22">
        <f>SUM(L4:L23)</f>
        <v>29101914251.49131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4204095.57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2160600</v>
      </c>
      <c r="D32" s="7" t="s">
        <v>51</v>
      </c>
      <c r="E32" s="34" t="s">
        <v>52</v>
      </c>
      <c r="F32" s="34" t="s">
        <v>53</v>
      </c>
      <c r="G32" s="15">
        <v>601.93799999999999</v>
      </c>
      <c r="H32" s="15">
        <v>602.19938786448199</v>
      </c>
      <c r="I32" s="16">
        <f t="shared" ref="I32:I45" si="1">+C32*G32</f>
        <v>1300547242.8</v>
      </c>
      <c r="J32" s="16">
        <f t="shared" ref="J32:J45" si="2">+C32*H32</f>
        <v>1301111997.4199998</v>
      </c>
      <c r="K32" s="18">
        <v>0.158499</v>
      </c>
      <c r="L32" s="17"/>
      <c r="M32" s="17">
        <v>1300547242.8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1922220</v>
      </c>
      <c r="D33" s="7" t="s">
        <v>51</v>
      </c>
      <c r="E33" s="34" t="s">
        <v>52</v>
      </c>
      <c r="F33" s="34" t="s">
        <v>53</v>
      </c>
      <c r="G33" s="15">
        <v>552.78050000000007</v>
      </c>
      <c r="H33" s="15">
        <v>553.02054152490302</v>
      </c>
      <c r="I33" s="16">
        <f t="shared" si="1"/>
        <v>1062565732.7100002</v>
      </c>
      <c r="J33" s="16">
        <f t="shared" si="2"/>
        <v>1063027145.3299991</v>
      </c>
      <c r="K33" s="18">
        <v>0.158499</v>
      </c>
      <c r="L33" s="17"/>
      <c r="M33" s="17">
        <v>1062565732.71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264656</v>
      </c>
      <c r="D34" s="7" t="s">
        <v>51</v>
      </c>
      <c r="E34" s="34" t="s">
        <v>52</v>
      </c>
      <c r="F34" s="34" t="s">
        <v>53</v>
      </c>
      <c r="G34" s="15">
        <v>900.06300000755709</v>
      </c>
      <c r="H34" s="15">
        <v>900.45384680490906</v>
      </c>
      <c r="I34" s="16">
        <f t="shared" si="1"/>
        <v>238207073.33000004</v>
      </c>
      <c r="J34" s="16">
        <f t="shared" si="2"/>
        <v>238310513.28</v>
      </c>
      <c r="K34" s="18">
        <v>0.158499</v>
      </c>
      <c r="L34" s="17"/>
      <c r="M34" s="17">
        <v>238207073.33000001</v>
      </c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656488</v>
      </c>
      <c r="D35" s="7" t="s">
        <v>51</v>
      </c>
      <c r="E35" s="34" t="s">
        <v>52</v>
      </c>
      <c r="F35" s="34" t="s">
        <v>53</v>
      </c>
      <c r="G35" s="15">
        <v>940.2670000060931</v>
      </c>
      <c r="H35" s="15">
        <v>940.67530515409305</v>
      </c>
      <c r="I35" s="16">
        <f t="shared" si="1"/>
        <v>617274002.30000007</v>
      </c>
      <c r="J35" s="16">
        <f t="shared" si="2"/>
        <v>617542049.73000026</v>
      </c>
      <c r="K35" s="18">
        <v>0.158499</v>
      </c>
      <c r="L35" s="17"/>
      <c r="M35" s="17">
        <v>617274002.29999995</v>
      </c>
      <c r="N35" s="35"/>
    </row>
    <row r="36" spans="1:15" s="36" customFormat="1" ht="12" customHeight="1" x14ac:dyDescent="0.25">
      <c r="A36" s="12" t="s">
        <v>60</v>
      </c>
      <c r="B36" s="7" t="s">
        <v>61</v>
      </c>
      <c r="C36" s="14">
        <v>1557896</v>
      </c>
      <c r="D36" s="7" t="s">
        <v>51</v>
      </c>
      <c r="E36" s="34" t="s">
        <v>62</v>
      </c>
      <c r="F36" s="34" t="s">
        <v>52</v>
      </c>
      <c r="G36" s="15">
        <v>647.75</v>
      </c>
      <c r="H36" s="15">
        <v>648.03128144625805</v>
      </c>
      <c r="I36" s="16">
        <f t="shared" si="1"/>
        <v>1009127134</v>
      </c>
      <c r="J36" s="16">
        <f t="shared" si="2"/>
        <v>1009565341.2399997</v>
      </c>
      <c r="K36" s="18">
        <v>0.158499</v>
      </c>
      <c r="L36" s="17">
        <v>438207.24</v>
      </c>
      <c r="M36" s="17"/>
      <c r="N36" s="35"/>
    </row>
    <row r="37" spans="1:15" s="36" customFormat="1" ht="12" customHeight="1" x14ac:dyDescent="0.25">
      <c r="A37" s="12" t="s">
        <v>60</v>
      </c>
      <c r="B37" s="7" t="s">
        <v>61</v>
      </c>
      <c r="C37" s="14">
        <v>1557896</v>
      </c>
      <c r="D37" s="7" t="s">
        <v>51</v>
      </c>
      <c r="E37" s="34" t="s">
        <v>52</v>
      </c>
      <c r="F37" s="34" t="s">
        <v>52</v>
      </c>
      <c r="G37" s="15">
        <v>647.75</v>
      </c>
      <c r="H37" s="15">
        <v>648.03128144625805</v>
      </c>
      <c r="I37" s="16">
        <f t="shared" si="1"/>
        <v>1009127134</v>
      </c>
      <c r="J37" s="16">
        <f t="shared" si="2"/>
        <v>1009565341.2399997</v>
      </c>
      <c r="K37" s="18">
        <v>0.158499</v>
      </c>
      <c r="L37" s="17"/>
      <c r="M37" s="17"/>
      <c r="N37" s="35"/>
    </row>
    <row r="38" spans="1:15" s="36" customFormat="1" ht="12" customHeight="1" x14ac:dyDescent="0.25">
      <c r="A38" s="12" t="s">
        <v>63</v>
      </c>
      <c r="B38" s="7" t="s">
        <v>64</v>
      </c>
      <c r="C38" s="14">
        <v>70910</v>
      </c>
      <c r="D38" s="7" t="s">
        <v>51</v>
      </c>
      <c r="E38" s="34" t="s">
        <v>62</v>
      </c>
      <c r="F38" s="34" t="s">
        <v>52</v>
      </c>
      <c r="G38" s="15">
        <v>98.720600056409523</v>
      </c>
      <c r="H38" s="15">
        <v>98.76322577915667</v>
      </c>
      <c r="I38" s="16">
        <f t="shared" si="1"/>
        <v>7000277.7499999991</v>
      </c>
      <c r="J38" s="16">
        <f t="shared" si="2"/>
        <v>7003300.3399999999</v>
      </c>
      <c r="K38" s="18">
        <v>0.15760000000000002</v>
      </c>
      <c r="L38" s="17">
        <v>3022.59</v>
      </c>
      <c r="M38" s="17"/>
      <c r="N38" s="35"/>
    </row>
    <row r="39" spans="1:15" s="36" customFormat="1" ht="12" customHeight="1" x14ac:dyDescent="0.25">
      <c r="A39" s="12" t="s">
        <v>63</v>
      </c>
      <c r="B39" s="7" t="s">
        <v>64</v>
      </c>
      <c r="C39" s="14">
        <v>70910</v>
      </c>
      <c r="D39" s="7" t="s">
        <v>51</v>
      </c>
      <c r="E39" s="34" t="s">
        <v>52</v>
      </c>
      <c r="F39" s="34" t="s">
        <v>52</v>
      </c>
      <c r="G39" s="15">
        <v>98.720600056409523</v>
      </c>
      <c r="H39" s="15">
        <v>98.76322577915667</v>
      </c>
      <c r="I39" s="16">
        <f t="shared" si="1"/>
        <v>7000277.7499999991</v>
      </c>
      <c r="J39" s="16">
        <f t="shared" si="2"/>
        <v>7003300.3399999999</v>
      </c>
      <c r="K39" s="18">
        <v>0.15760000000000002</v>
      </c>
      <c r="L39" s="17"/>
      <c r="M39" s="17"/>
      <c r="N39" s="35"/>
    </row>
    <row r="40" spans="1:15" s="36" customFormat="1" ht="12" customHeight="1" x14ac:dyDescent="0.25">
      <c r="A40" s="12" t="s">
        <v>65</v>
      </c>
      <c r="B40" s="7" t="s">
        <v>66</v>
      </c>
      <c r="C40" s="14">
        <v>835070</v>
      </c>
      <c r="D40" s="7" t="s">
        <v>51</v>
      </c>
      <c r="E40" s="34" t="s">
        <v>62</v>
      </c>
      <c r="F40" s="34" t="s">
        <v>52</v>
      </c>
      <c r="G40" s="15">
        <v>885.50800000000004</v>
      </c>
      <c r="H40" s="15">
        <v>885.89616545918307</v>
      </c>
      <c r="I40" s="16">
        <f t="shared" si="1"/>
        <v>739461165.56000006</v>
      </c>
      <c r="J40" s="16">
        <f t="shared" si="2"/>
        <v>739785310.88999999</v>
      </c>
      <c r="K40" s="18">
        <v>0.159999</v>
      </c>
      <c r="L40" s="17">
        <v>324145.33</v>
      </c>
      <c r="M40" s="17"/>
      <c r="N40" s="35"/>
    </row>
    <row r="41" spans="1:15" s="36" customFormat="1" ht="12" customHeight="1" x14ac:dyDescent="0.25">
      <c r="A41" s="12" t="s">
        <v>65</v>
      </c>
      <c r="B41" s="7" t="s">
        <v>66</v>
      </c>
      <c r="C41" s="14">
        <v>835070</v>
      </c>
      <c r="D41" s="7" t="s">
        <v>51</v>
      </c>
      <c r="E41" s="34" t="s">
        <v>52</v>
      </c>
      <c r="F41" s="34" t="s">
        <v>52</v>
      </c>
      <c r="G41" s="15">
        <v>885.50800000000004</v>
      </c>
      <c r="H41" s="15">
        <v>885.89616545918307</v>
      </c>
      <c r="I41" s="16">
        <f t="shared" si="1"/>
        <v>739461165.56000006</v>
      </c>
      <c r="J41" s="16">
        <f t="shared" si="2"/>
        <v>739785310.88999999</v>
      </c>
      <c r="K41" s="18">
        <v>0.159999</v>
      </c>
      <c r="L41" s="17"/>
      <c r="M41" s="17"/>
      <c r="N41" s="35"/>
    </row>
    <row r="42" spans="1:15" s="36" customFormat="1" ht="12" customHeight="1" x14ac:dyDescent="0.25">
      <c r="A42" s="12" t="s">
        <v>67</v>
      </c>
      <c r="B42" s="7" t="s">
        <v>68</v>
      </c>
      <c r="C42" s="14">
        <v>217470</v>
      </c>
      <c r="D42" s="7" t="s">
        <v>51</v>
      </c>
      <c r="E42" s="34" t="s">
        <v>62</v>
      </c>
      <c r="F42" s="34" t="s">
        <v>52</v>
      </c>
      <c r="G42" s="15">
        <v>759.26300000000003</v>
      </c>
      <c r="H42" s="15">
        <v>759.59270529268406</v>
      </c>
      <c r="I42" s="16">
        <f t="shared" si="1"/>
        <v>165116924.61000001</v>
      </c>
      <c r="J42" s="16">
        <f t="shared" si="2"/>
        <v>165188625.62</v>
      </c>
      <c r="K42" s="18">
        <v>0.158499</v>
      </c>
      <c r="L42" s="17">
        <v>71701.009999999995</v>
      </c>
      <c r="M42" s="17"/>
      <c r="N42" s="35"/>
    </row>
    <row r="43" spans="1:15" s="36" customFormat="1" ht="12" customHeight="1" x14ac:dyDescent="0.25">
      <c r="A43" s="12" t="s">
        <v>67</v>
      </c>
      <c r="B43" s="7" t="s">
        <v>68</v>
      </c>
      <c r="C43" s="14">
        <v>217470</v>
      </c>
      <c r="D43" s="7" t="s">
        <v>51</v>
      </c>
      <c r="E43" s="34" t="s">
        <v>52</v>
      </c>
      <c r="F43" s="34" t="s">
        <v>52</v>
      </c>
      <c r="G43" s="15">
        <v>759.26300000000003</v>
      </c>
      <c r="H43" s="15">
        <v>759.59270529268406</v>
      </c>
      <c r="I43" s="16">
        <f t="shared" si="1"/>
        <v>165116924.61000001</v>
      </c>
      <c r="J43" s="16">
        <f t="shared" si="2"/>
        <v>165188625.62</v>
      </c>
      <c r="K43" s="18">
        <v>0.158499</v>
      </c>
      <c r="L43" s="17"/>
      <c r="M43" s="17"/>
      <c r="N43" s="35"/>
    </row>
    <row r="44" spans="1:15" s="36" customFormat="1" ht="12" customHeight="1" x14ac:dyDescent="0.25">
      <c r="A44" s="12" t="s">
        <v>69</v>
      </c>
      <c r="B44" s="7" t="s">
        <v>70</v>
      </c>
      <c r="C44" s="14">
        <v>1513200</v>
      </c>
      <c r="D44" s="7" t="s">
        <v>51</v>
      </c>
      <c r="E44" s="34" t="s">
        <v>62</v>
      </c>
      <c r="F44" s="34" t="s">
        <v>52</v>
      </c>
      <c r="G44" s="15">
        <v>859.17400000000009</v>
      </c>
      <c r="H44" s="15">
        <v>859.54826560930508</v>
      </c>
      <c r="I44" s="16">
        <f t="shared" si="1"/>
        <v>1300102096.8000002</v>
      </c>
      <c r="J44" s="16">
        <f t="shared" si="2"/>
        <v>1300668435.5200005</v>
      </c>
      <c r="K44" s="18">
        <v>0.158998</v>
      </c>
      <c r="L44" s="17">
        <v>566338.72</v>
      </c>
      <c r="M44" s="17"/>
      <c r="N44" s="35"/>
    </row>
    <row r="45" spans="1:15" s="36" customFormat="1" ht="12" customHeight="1" x14ac:dyDescent="0.25">
      <c r="A45" s="12" t="s">
        <v>69</v>
      </c>
      <c r="B45" s="7" t="s">
        <v>70</v>
      </c>
      <c r="C45" s="14">
        <v>1513200</v>
      </c>
      <c r="D45" s="7" t="s">
        <v>51</v>
      </c>
      <c r="E45" s="34" t="s">
        <v>52</v>
      </c>
      <c r="F45" s="34" t="s">
        <v>52</v>
      </c>
      <c r="G45" s="15">
        <v>859.17400000000009</v>
      </c>
      <c r="H45" s="15">
        <v>859.54826560930508</v>
      </c>
      <c r="I45" s="16">
        <f t="shared" si="1"/>
        <v>1300102096.8000002</v>
      </c>
      <c r="J45" s="16">
        <f t="shared" si="2"/>
        <v>1300668435.5200005</v>
      </c>
      <c r="K45" s="18">
        <v>0.158998</v>
      </c>
      <c r="L45" s="17"/>
      <c r="M45" s="17"/>
      <c r="N45" s="35"/>
    </row>
    <row r="46" spans="1:15" s="36" customFormat="1" ht="11.25" hidden="1" x14ac:dyDescent="0.25">
      <c r="A46" s="7"/>
      <c r="B46" s="7"/>
      <c r="C46" s="7"/>
      <c r="D46" s="7"/>
      <c r="E46" s="37"/>
      <c r="F46" s="37"/>
      <c r="G46" s="7"/>
      <c r="H46" s="7"/>
      <c r="I46" s="8"/>
      <c r="J46" s="8"/>
      <c r="K46" s="7"/>
      <c r="L46" s="9"/>
      <c r="M46" s="9"/>
      <c r="N46" s="35"/>
    </row>
    <row r="47" spans="1:15" x14ac:dyDescent="0.25">
      <c r="A47" s="1" t="s">
        <v>5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2">
        <f>SUM(M32:M46)</f>
        <v>3218594051.1400003</v>
      </c>
      <c r="N47" s="38"/>
      <c r="O47" s="29"/>
    </row>
    <row r="49" spans="1:8" x14ac:dyDescent="0.25">
      <c r="A49" s="39" t="s">
        <v>28</v>
      </c>
      <c r="B49" s="33"/>
      <c r="D49" s="33"/>
      <c r="F49" s="28"/>
      <c r="G49" s="28"/>
    </row>
    <row r="50" spans="1:8" ht="22.5" x14ac:dyDescent="0.25">
      <c r="A50" s="19" t="s">
        <v>6</v>
      </c>
      <c r="B50" s="19" t="s">
        <v>29</v>
      </c>
      <c r="C50" s="19" t="s">
        <v>17</v>
      </c>
      <c r="D50" s="19" t="s">
        <v>30</v>
      </c>
      <c r="E50" s="19" t="s">
        <v>16</v>
      </c>
      <c r="F50" s="19" t="s">
        <v>31</v>
      </c>
      <c r="G50" s="19" t="s">
        <v>32</v>
      </c>
    </row>
    <row r="51" spans="1:8" hidden="1" x14ac:dyDescent="0.25">
      <c r="B51" s="41"/>
      <c r="C51" s="42"/>
      <c r="D51" s="43"/>
      <c r="G51" s="44"/>
      <c r="H51" s="33"/>
    </row>
    <row r="52" spans="1:8" x14ac:dyDescent="0.25">
      <c r="G52" s="45">
        <f>SUM(G51:G51)</f>
        <v>0</v>
      </c>
    </row>
    <row r="54" spans="1:8" x14ac:dyDescent="0.25">
      <c r="A54" s="46" t="s">
        <v>13</v>
      </c>
      <c r="B54" s="47">
        <f>+L24+B27+M47+G52</f>
        <v>32324712398.201309</v>
      </c>
      <c r="C54" s="32">
        <v>32324712398.20134</v>
      </c>
      <c r="D54" s="29">
        <f>B54-C54</f>
        <v>-3.0517578125E-5</v>
      </c>
    </row>
    <row r="57" spans="1:8" x14ac:dyDescent="0.25">
      <c r="A57" s="24" t="s">
        <v>46</v>
      </c>
      <c r="B57" s="33"/>
    </row>
    <row r="58" spans="1:8" x14ac:dyDescent="0.25">
      <c r="A58" s="48" t="s">
        <v>35</v>
      </c>
      <c r="B58" s="49"/>
    </row>
    <row r="59" spans="1:8" x14ac:dyDescent="0.25">
      <c r="A59" s="48" t="s">
        <v>36</v>
      </c>
      <c r="B59" s="40"/>
    </row>
    <row r="60" spans="1:8" x14ac:dyDescent="0.25">
      <c r="A60" s="48" t="s">
        <v>37</v>
      </c>
      <c r="B60" s="40">
        <v>381823.31000000006</v>
      </c>
    </row>
    <row r="61" spans="1:8" x14ac:dyDescent="0.25">
      <c r="A61" s="48" t="s">
        <v>38</v>
      </c>
      <c r="B61" s="40"/>
    </row>
    <row r="62" spans="1:8" x14ac:dyDescent="0.25">
      <c r="A62" s="48" t="s">
        <v>39</v>
      </c>
      <c r="B62" s="49"/>
    </row>
    <row r="63" spans="1:8" x14ac:dyDescent="0.25">
      <c r="A63" s="48" t="s">
        <v>40</v>
      </c>
      <c r="B63" s="50">
        <v>69734.97</v>
      </c>
    </row>
    <row r="64" spans="1:8" x14ac:dyDescent="0.25">
      <c r="A64" s="48" t="s">
        <v>41</v>
      </c>
      <c r="B64" s="50">
        <v>34772.659999999996</v>
      </c>
    </row>
    <row r="65" spans="1:2" x14ac:dyDescent="0.25">
      <c r="A65" s="48" t="s">
        <v>42</v>
      </c>
      <c r="B65" s="40"/>
    </row>
    <row r="66" spans="1:2" x14ac:dyDescent="0.25">
      <c r="A66" s="48" t="s">
        <v>43</v>
      </c>
      <c r="B66" s="40"/>
    </row>
    <row r="67" spans="1:2" x14ac:dyDescent="0.25">
      <c r="A67" s="48" t="s">
        <v>44</v>
      </c>
      <c r="B67" s="50"/>
    </row>
    <row r="68" spans="1:2" x14ac:dyDescent="0.25">
      <c r="A68" s="48" t="s">
        <v>45</v>
      </c>
      <c r="B68" s="49">
        <f>SUM(B58:B67)</f>
        <v>486330.94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2025-09-25T05:37:35Z</dcterms:created>
  <dcterms:modified xsi:type="dcterms:W3CDTF">2025-09-25T11:43:44Z</dcterms:modified>
</cp:coreProperties>
</file>