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C1D2F16B-86D9-415C-81A5-A63CC7AE84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7" i="1"/>
  <c r="M11" i="1"/>
  <c r="M6" i="1"/>
  <c r="M5" i="1"/>
  <c r="M12" i="1" l="1"/>
  <c r="M18" i="1"/>
  <c r="M7" i="1"/>
  <c r="M9" i="1"/>
  <c r="M15" i="1"/>
  <c r="M21" i="1"/>
  <c r="M13" i="1"/>
  <c r="M4" i="1"/>
  <c r="M10" i="1"/>
  <c r="M16" i="1"/>
  <c r="M22" i="1"/>
  <c r="B51" i="1"/>
  <c r="M19" i="1"/>
  <c r="M8" i="1"/>
  <c r="M14" i="1"/>
</calcChain>
</file>

<file path=xl/sharedStrings.xml><?xml version="1.0" encoding="utf-8"?>
<sst xmlns="http://schemas.openxmlformats.org/spreadsheetml/2006/main" count="185" uniqueCount="127">
  <si>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</si>
  <si>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</si>
  <si>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</si>
  <si>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</si>
  <si>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</si>
  <si>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</si>
  <si>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</si>
  <si>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</si>
  <si>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</si>
  <si>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</si>
  <si>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</si>
  <si>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</si>
  <si>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</si>
  <si>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</si>
  <si>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</si>
  <si>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</si>
  <si>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</si>
  <si>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</si>
  <si>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</si>
  <si>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</si>
  <si>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</si>
  <si>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</si>
  <si>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</si>
  <si>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</si>
  <si>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</si>
  <si>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</si>
  <si>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</si>
  <si>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</si>
  <si>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</si>
  <si>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</si>
  <si>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</si>
  <si>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</si>
  <si>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</si>
  <si>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</si>
  <si>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</si>
  <si>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</si>
  <si>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</si>
  <si>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</si>
  <si>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</si>
  <si>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</si>
  <si>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</si>
  <si>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</si>
  <si>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</si>
  <si>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</si>
  <si>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</si>
  <si>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</si>
  <si>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</si>
  <si>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</si>
  <si>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</si>
  <si>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</si>
  <si>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</si>
  <si>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</si>
  <si>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22.09.2025</t>
  </si>
  <si>
    <t>23.09.2025</t>
  </si>
  <si>
    <t>МИНИСТЕРСТВО ФИНАНСОВ РК, ГЦБ, KZ_25_3707</t>
  </si>
  <si>
    <t>XS3093658014</t>
  </si>
  <si>
    <t>МИНИСТЕРСТВО ФИНАНСОВ РК, ГЦБ, MUM192_0001</t>
  </si>
  <si>
    <t>KZKD00000477</t>
  </si>
  <si>
    <t>МИНИСТЕРСТВО ФИНАНСОВ РК, ГЦБ, MUM216_0002</t>
  </si>
  <si>
    <t>KZKD00001079</t>
  </si>
  <si>
    <t>24.09.2025</t>
  </si>
  <si>
    <t>МИНИСТЕРСТВО ФИНАНСОВ РК, ГЦБ, MKM012_0159</t>
  </si>
  <si>
    <t>KZK100000365</t>
  </si>
  <si>
    <t>МИНИСТЕРСТВО ФИНАНСОВ РК, ГЦБ, MUM156_0005</t>
  </si>
  <si>
    <t>KZKD00000758</t>
  </si>
  <si>
    <t>МИНИСТЕРСТВО ФИНАНСОВ РК, ГЦБ, MUM180_0011</t>
  </si>
  <si>
    <t>KZKD00000790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</si>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</sst>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98.245800000000003</v>
      </c>
      <c r="J4" s="11">
        <v>100.083411111111</v>
      </c>
      <c r="K4" s="11">
        <v>55495855.555555552</v>
      </c>
      <c r="L4" s="11">
        <v>3022519015.5555549</v>
      </c>
      <c r="M4" s="6">
        <f t="shared" ref="M4:M22" si="0">L4/$L$24</f>
        <v>0.10361443630585358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82.917000000000002</v>
      </c>
      <c r="J5" s="11">
        <v>84.52880555555555</v>
      </c>
      <c r="K5" s="11">
        <v>36507395.833333328</v>
      </c>
      <c r="L5" s="11">
        <v>1914577445.833333</v>
      </c>
      <c r="M5" s="6">
        <f t="shared" si="0"/>
        <v>6.5633288589074038E-2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82.917000000000002</v>
      </c>
      <c r="J6" s="11">
        <v>84.528805555555806</v>
      </c>
      <c r="K6" s="11">
        <v>25009516.430555549</v>
      </c>
      <c r="L6" s="11">
        <v>1311587830.2505591</v>
      </c>
      <c r="M6" s="6">
        <f t="shared" si="0"/>
        <v>4.4962308921007804E-2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82.917000000000002</v>
      </c>
      <c r="J7" s="11">
        <v>84.52880555555555</v>
      </c>
      <c r="K7" s="11">
        <v>8795493.9722222202</v>
      </c>
      <c r="L7" s="11">
        <v>461266929.61222202</v>
      </c>
      <c r="M7" s="6">
        <f t="shared" si="0"/>
        <v>1.5812609499668426E-2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87.137799999999999</v>
      </c>
      <c r="J8" s="11">
        <v>91.788911111111105</v>
      </c>
      <c r="K8" s="11">
        <v>105347666.666667</v>
      </c>
      <c r="L8" s="11">
        <v>2079018836.666666</v>
      </c>
      <c r="M8" s="6">
        <f t="shared" si="0"/>
        <v>7.127047463450728E-2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84.994600000000005</v>
      </c>
      <c r="J9" s="11">
        <v>90.280711111111103</v>
      </c>
      <c r="K9" s="11">
        <v>119730416.666667</v>
      </c>
      <c r="L9" s="11">
        <v>2044858106.666666</v>
      </c>
      <c r="M9" s="6">
        <f t="shared" si="0"/>
        <v>7.0099416730642974E-2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77.323000000000008</v>
      </c>
      <c r="J10" s="11">
        <v>82.644666666666652</v>
      </c>
      <c r="K10" s="11">
        <v>120535750</v>
      </c>
      <c r="L10" s="11">
        <v>1871901700</v>
      </c>
      <c r="M10" s="6">
        <f t="shared" si="0"/>
        <v>6.4170328943263535E-2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67.7273</v>
      </c>
      <c r="J11" s="11">
        <v>71.412438888888872</v>
      </c>
      <c r="K11" s="11">
        <v>83468395.833333328</v>
      </c>
      <c r="L11" s="11">
        <v>1617491740.833333</v>
      </c>
      <c r="M11" s="6">
        <f t="shared" si="0"/>
        <v>5.5448946422927525E-2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75.573800000000006</v>
      </c>
      <c r="J12" s="11">
        <v>77.260049999999993</v>
      </c>
      <c r="K12" s="11">
        <v>38193562.5</v>
      </c>
      <c r="L12" s="11">
        <v>1749940132.5</v>
      </c>
      <c r="M12" s="6">
        <f t="shared" si="0"/>
        <v>5.9989386159296276E-2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61.128500000000003</v>
      </c>
      <c r="J13" s="11">
        <v>64.065083333333334</v>
      </c>
      <c r="K13" s="11">
        <v>66513612.5</v>
      </c>
      <c r="L13" s="11">
        <v>1451074137.5</v>
      </c>
      <c r="M13" s="6">
        <f t="shared" si="0"/>
        <v>4.9744014188585553E-2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59.662600000000005</v>
      </c>
      <c r="J14" s="11">
        <v>64.908100000000005</v>
      </c>
      <c r="K14" s="11">
        <v>118810575</v>
      </c>
      <c r="L14" s="11">
        <v>1470168465</v>
      </c>
      <c r="M14" s="6">
        <f t="shared" si="0"/>
        <v>5.0398583430456216E-2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85.7547</v>
      </c>
      <c r="J15" s="11">
        <v>88.438699999999997</v>
      </c>
      <c r="K15" s="11">
        <v>101321000</v>
      </c>
      <c r="L15" s="11">
        <v>3338560925</v>
      </c>
      <c r="M15" s="6">
        <f t="shared" si="0"/>
        <v>0.11444861274199183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56.514500000000005</v>
      </c>
      <c r="J16" s="11">
        <v>58.79088888888888</v>
      </c>
      <c r="K16" s="11">
        <v>63826757.5</v>
      </c>
      <c r="L16" s="11">
        <v>1648414217.2</v>
      </c>
      <c r="M16" s="6">
        <f t="shared" si="0"/>
        <v>5.6508994330458841E-2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85.223100000000002</v>
      </c>
      <c r="J17" s="11">
        <v>91.75643333333332</v>
      </c>
      <c r="K17" s="11">
        <v>67847360</v>
      </c>
      <c r="L17" s="11">
        <v>952872208.88</v>
      </c>
      <c r="M17" s="6">
        <f t="shared" si="0"/>
        <v>3.2665242563070337E-2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98.357800000000012</v>
      </c>
      <c r="J18" s="11">
        <v>103.687661111111</v>
      </c>
      <c r="K18" s="11">
        <v>27021809.548611108</v>
      </c>
      <c r="L18" s="11">
        <v>525685036.190611</v>
      </c>
      <c r="M18" s="6">
        <f t="shared" si="0"/>
        <v>1.8020915143622609E-2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94.581255398426009</v>
      </c>
      <c r="J19" s="11">
        <v>95.375699842870432</v>
      </c>
      <c r="K19" s="11">
        <v>16683333.33333333</v>
      </c>
      <c r="L19" s="11">
        <v>2002889696.700279</v>
      </c>
      <c r="M19" s="6">
        <f t="shared" si="0"/>
        <v>6.866070513976788E-2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98.278045667017892</v>
      </c>
      <c r="J20" s="11">
        <v>102.715129000351</v>
      </c>
      <c r="K20" s="11">
        <v>44370833.333333328</v>
      </c>
      <c r="L20" s="11">
        <v>1027151290.003512</v>
      </c>
      <c r="M20" s="6">
        <f t="shared" si="0"/>
        <v>3.5211590519963115E-2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96.084331104687294</v>
      </c>
      <c r="J21" s="11">
        <v>99.591275549118322</v>
      </c>
      <c r="K21" s="11">
        <v>5812374.6527555604</v>
      </c>
      <c r="L21" s="11">
        <v>165061584.18235299</v>
      </c>
      <c r="M21" s="6">
        <f t="shared" si="0"/>
        <v>5.6584467832246623E-3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102.0292</v>
      </c>
      <c r="J22" s="11">
        <v>104.20270000000001</v>
      </c>
      <c r="K22" s="11">
        <v>10758542.445</v>
      </c>
      <c r="L22" s="11">
        <v>515789818.64899999</v>
      </c>
      <c r="M22" s="6">
        <f t="shared" si="0"/>
        <v>1.7681698952617318E-2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1116050251.7713673</v>
      </c>
      <c r="L24" s="22">
        <f>SUM(L4:L23)</f>
        <v>29170829117.224094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587133.1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9065</v>
      </c>
      <c r="D32" s="7" t="s">
        <v>51</v>
      </c>
      <c r="E32" s="34" t="s">
        <v>52</v>
      </c>
      <c r="F32" s="34" t="s">
        <v>53</v>
      </c>
      <c r="G32" s="15">
        <v>551.66350027578608</v>
      </c>
      <c r="H32" s="15">
        <v>551.90230226144502</v>
      </c>
      <c r="I32" s="16">
        <f t="shared" ref="I32:I42" si="1">+C32*G32</f>
        <v>5000829.6300000008</v>
      </c>
      <c r="J32" s="16">
        <f t="shared" ref="J32:J42" si="2">+C32*H32</f>
        <v>5002994.3699999992</v>
      </c>
      <c r="K32" s="18">
        <v>0.158</v>
      </c>
      <c r="L32" s="17">
        <v>2164.7400000000002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9065</v>
      </c>
      <c r="D33" s="7" t="s">
        <v>51</v>
      </c>
      <c r="E33" s="34" t="s">
        <v>53</v>
      </c>
      <c r="F33" s="34" t="s">
        <v>53</v>
      </c>
      <c r="G33" s="15">
        <v>551.66350027578608</v>
      </c>
      <c r="H33" s="15">
        <v>551.90230226144502</v>
      </c>
      <c r="I33" s="16">
        <f t="shared" si="1"/>
        <v>5000829.6300000008</v>
      </c>
      <c r="J33" s="16">
        <f t="shared" si="2"/>
        <v>5002994.3699999992</v>
      </c>
      <c r="K33" s="18">
        <v>0.158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1306998</v>
      </c>
      <c r="D34" s="7" t="s">
        <v>51</v>
      </c>
      <c r="E34" s="34" t="s">
        <v>52</v>
      </c>
      <c r="F34" s="34" t="s">
        <v>53</v>
      </c>
      <c r="G34" s="15">
        <v>564.70979999969404</v>
      </c>
      <c r="H34" s="15">
        <v>564.95424817788603</v>
      </c>
      <c r="I34" s="16">
        <f t="shared" si="1"/>
        <v>738074579.18000007</v>
      </c>
      <c r="J34" s="16">
        <f t="shared" si="2"/>
        <v>738394072.46000063</v>
      </c>
      <c r="K34" s="18">
        <v>0.157999</v>
      </c>
      <c r="L34" s="17">
        <v>319493.28000000003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1306998</v>
      </c>
      <c r="D35" s="7" t="s">
        <v>51</v>
      </c>
      <c r="E35" s="34" t="s">
        <v>53</v>
      </c>
      <c r="F35" s="34" t="s">
        <v>53</v>
      </c>
      <c r="G35" s="15">
        <v>564.70979999969404</v>
      </c>
      <c r="H35" s="15">
        <v>564.95424817788603</v>
      </c>
      <c r="I35" s="16">
        <f t="shared" si="1"/>
        <v>738074579.18000007</v>
      </c>
      <c r="J35" s="16">
        <f t="shared" si="2"/>
        <v>738394072.46000063</v>
      </c>
      <c r="K35" s="18">
        <v>0.157999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1513200</v>
      </c>
      <c r="D36" s="7" t="s">
        <v>51</v>
      </c>
      <c r="E36" s="34" t="s">
        <v>52</v>
      </c>
      <c r="F36" s="34" t="s">
        <v>53</v>
      </c>
      <c r="G36" s="15">
        <v>859.25600000000009</v>
      </c>
      <c r="H36" s="15">
        <v>859.62677484800406</v>
      </c>
      <c r="I36" s="16">
        <f t="shared" si="1"/>
        <v>1300226179.2</v>
      </c>
      <c r="J36" s="16">
        <f t="shared" si="2"/>
        <v>1300787235.6999998</v>
      </c>
      <c r="K36" s="18">
        <v>0.1575</v>
      </c>
      <c r="L36" s="17">
        <v>561056.5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1513200</v>
      </c>
      <c r="D37" s="7" t="s">
        <v>51</v>
      </c>
      <c r="E37" s="34" t="s">
        <v>53</v>
      </c>
      <c r="F37" s="34" t="s">
        <v>53</v>
      </c>
      <c r="G37" s="15">
        <v>859.25600000000009</v>
      </c>
      <c r="H37" s="15">
        <v>859.62677484800406</v>
      </c>
      <c r="I37" s="16">
        <f t="shared" si="1"/>
        <v>1300226179.2</v>
      </c>
      <c r="J37" s="16">
        <f t="shared" si="2"/>
        <v>1300787235.6999998</v>
      </c>
      <c r="K37" s="18">
        <v>0.1575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1557896</v>
      </c>
      <c r="D38" s="7" t="s">
        <v>51</v>
      </c>
      <c r="E38" s="34" t="s">
        <v>53</v>
      </c>
      <c r="F38" s="34" t="s">
        <v>60</v>
      </c>
      <c r="G38" s="15">
        <v>647.75</v>
      </c>
      <c r="H38" s="15">
        <v>648.03128144625805</v>
      </c>
      <c r="I38" s="16">
        <f t="shared" si="1"/>
        <v>1009127134</v>
      </c>
      <c r="J38" s="16">
        <f t="shared" si="2"/>
        <v>1009565341.2399997</v>
      </c>
      <c r="K38" s="18">
        <v>0.158499</v>
      </c>
      <c r="L38" s="17"/>
      <c r="M38" s="17">
        <v>1009127134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70910</v>
      </c>
      <c r="D39" s="7" t="s">
        <v>51</v>
      </c>
      <c r="E39" s="34" t="s">
        <v>53</v>
      </c>
      <c r="F39" s="34" t="s">
        <v>60</v>
      </c>
      <c r="G39" s="15">
        <v>98.720600056409523</v>
      </c>
      <c r="H39" s="15">
        <v>98.76322577915667</v>
      </c>
      <c r="I39" s="16">
        <f t="shared" si="1"/>
        <v>7000277.7499999991</v>
      </c>
      <c r="J39" s="16">
        <f t="shared" si="2"/>
        <v>7003300.3399999999</v>
      </c>
      <c r="K39" s="18">
        <v>0.15760000000000002</v>
      </c>
      <c r="L39" s="17"/>
      <c r="M39" s="17">
        <v>7000277.75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835070</v>
      </c>
      <c r="D40" s="7" t="s">
        <v>51</v>
      </c>
      <c r="E40" s="34" t="s">
        <v>53</v>
      </c>
      <c r="F40" s="34" t="s">
        <v>60</v>
      </c>
      <c r="G40" s="15">
        <v>885.50800000000004</v>
      </c>
      <c r="H40" s="15">
        <v>885.89616545918307</v>
      </c>
      <c r="I40" s="16">
        <f t="shared" si="1"/>
        <v>739461165.56000006</v>
      </c>
      <c r="J40" s="16">
        <f t="shared" si="2"/>
        <v>739785310.88999999</v>
      </c>
      <c r="K40" s="18">
        <v>0.159999</v>
      </c>
      <c r="L40" s="17"/>
      <c r="M40" s="17">
        <v>739461165.55999994</v>
      </c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217470</v>
      </c>
      <c r="D41" s="7" t="s">
        <v>51</v>
      </c>
      <c r="E41" s="34" t="s">
        <v>53</v>
      </c>
      <c r="F41" s="34" t="s">
        <v>60</v>
      </c>
      <c r="G41" s="15">
        <v>759.26300000000003</v>
      </c>
      <c r="H41" s="15">
        <v>759.59270529268406</v>
      </c>
      <c r="I41" s="16">
        <f t="shared" si="1"/>
        <v>165116924.61000001</v>
      </c>
      <c r="J41" s="16">
        <f t="shared" si="2"/>
        <v>165188625.62</v>
      </c>
      <c r="K41" s="18">
        <v>0.158499</v>
      </c>
      <c r="L41" s="17"/>
      <c r="M41" s="17">
        <v>165116924.61000001</v>
      </c>
      <c r="N41" s="35"/>
    </row>
    <row r="42" spans="1:15" s="36" customFormat="1" ht="12" customHeight="1" x14ac:dyDescent="0.25">
      <c r="A42" s="12" t="s">
        <v>56</v>
      </c>
      <c r="B42" s="7" t="s">
        <v>57</v>
      </c>
      <c r="C42" s="14">
        <v>1513200</v>
      </c>
      <c r="D42" s="7" t="s">
        <v>51</v>
      </c>
      <c r="E42" s="34" t="s">
        <v>53</v>
      </c>
      <c r="F42" s="34" t="s">
        <v>60</v>
      </c>
      <c r="G42" s="15">
        <v>859.17400000000009</v>
      </c>
      <c r="H42" s="15">
        <v>859.54826560930508</v>
      </c>
      <c r="I42" s="16">
        <f t="shared" si="1"/>
        <v>1300102096.8000002</v>
      </c>
      <c r="J42" s="16">
        <f t="shared" si="2"/>
        <v>1300668435.5200005</v>
      </c>
      <c r="K42" s="18">
        <v>0.158998</v>
      </c>
      <c r="L42" s="17"/>
      <c r="M42" s="17">
        <v>1300102096.8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3220807598.7200003</v>
      </c>
      <c r="N44" s="38"/>
      <c r="O44" s="29"/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32392223849.044094</v>
      </c>
      <c r="C51" s="32">
        <v>32392223849.044113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363539.18000000005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64907.08</v>
      </c>
    </row>
    <row r="61" spans="1:7" x14ac:dyDescent="0.25">
      <c r="A61" s="48" t="s">
        <v>41</v>
      </c>
      <c r="B61" s="50">
        <v>32358.709999999995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460804.97000000009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2025-09-24T05:31:26Z</dcterms:created>
  <dcterms:modified xsi:type="dcterms:W3CDTF">2025-09-24T09:20:48Z</dcterms:modified>
</cp:coreProperties>
</file>