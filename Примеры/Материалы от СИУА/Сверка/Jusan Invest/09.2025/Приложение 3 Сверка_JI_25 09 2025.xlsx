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2481478A-6183-4471-831D-622C529198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2" i="1" l="1"/>
  <c r="B116" i="1"/>
  <c r="G100" i="1"/>
  <c r="M95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7" i="1"/>
  <c r="M11" i="1"/>
  <c r="M5" i="1"/>
  <c r="M12" i="1" l="1"/>
  <c r="M9" i="1"/>
  <c r="M15" i="1"/>
  <c r="M21" i="1"/>
  <c r="M6" i="1"/>
  <c r="M4" i="1"/>
  <c r="M10" i="1"/>
  <c r="M16" i="1"/>
  <c r="M22" i="1"/>
  <c r="M7" i="1"/>
  <c r="M13" i="1"/>
  <c r="M19" i="1"/>
  <c r="B102" i="1"/>
  <c r="M18" i="1"/>
  <c r="M8" i="1"/>
  <c r="M14" i="1"/>
</calcChain>
</file>

<file path=xl/sharedStrings.xml><?xml version="1.0" encoding="utf-8"?>
<sst xmlns="http://schemas.openxmlformats.org/spreadsheetml/2006/main" count="440" uniqueCount="175">
  <si>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</si>
  <si>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</si>
  <si>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</si>
  <si>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</si>
  <si>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</si>
  <si>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</si>
  <si>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</si>
  <si>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</si>
  <si>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</si>
  <si>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</si>
  <si>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</si>
  <si>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</si>
  <si>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</si>
  <si>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</si>
  <si>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</si>
  <si>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</si>
  <si>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</si>
  <si>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</si>
  <si>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</si>
  <si>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</si>
  <si>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</si>
  <si>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</si>
  <si>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</si>
  <si>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</si>
  <si>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</si>
  <si>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</si>
  <si>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</si>
  <si>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</si>
  <si>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</si>
  <si>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</si>
  <si>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</si>
  <si>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</si>
  <si>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</si>
  <si>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</si>
  <si>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</si>
  <si>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</si>
  <si>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</si>
  <si>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</si>
  <si>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</si>
  <si>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</si>
  <si>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</si>
  <si>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</si>
  <si>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</si>
  <si>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</si>
  <si>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</si>
  <si>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</si>
  <si>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</si>
  <si>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</si>
  <si>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</si>
  <si>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MUM300_0003</t>
  </si>
  <si>
    <t>KZKD00000857</t>
  </si>
  <si>
    <t>KZT</t>
  </si>
  <si>
    <t>24.09.2025</t>
  </si>
  <si>
    <t>25.09.2025</t>
  </si>
  <si>
    <t>МИНИСТЕРСТВО ФИНАНСОВ РК, ОБЛИГАЦИИ, MFKZ.0435</t>
  </si>
  <si>
    <t>XS2914770545</t>
  </si>
  <si>
    <t>МИНИСТЕРСТВО ФИНАНСОВ РК, ГЦБ, MUM084_0019</t>
  </si>
  <si>
    <t>KZKD00001244</t>
  </si>
  <si>
    <t>МИНИСТЕРСТВО ФИНАНСОВ РК, ГЦБ, MUM096_0011</t>
  </si>
  <si>
    <t>KZKD00001095</t>
  </si>
  <si>
    <t>МИНИСТЕРСТВО ФИНАНСОВ РК, ГЦБ, MKM012_0159</t>
  </si>
  <si>
    <t>KZK100000365</t>
  </si>
  <si>
    <t>26.09.2025</t>
  </si>
  <si>
    <t>АКЦИОНЕРНОЕ ОБЩЕСТВО КАЗАХСТАНСКИЙ ФОНД УСТОЙЧИВОСТИ, ОБЛИГАЦИИ, KFUSb72</t>
  </si>
  <si>
    <t>KZ2C00011989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</si>
  <si>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</si>
  <si>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</si>
  <si>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MUM216_0001</t>
  </si>
  <si>
    <t>KZKD00000972</t>
  </si>
  <si>
    <t>МИНИСТЕРСТВО ФИНАНСОВ РК, ГЦБ, MUM096_0013</t>
  </si>
  <si>
    <t>KZKD00001202</t>
  </si>
  <si>
    <t>АКЦИОНЕРНОЕ ОБЩЕСТВО КАЗАХСТАНСКИЙ ФОНД УСТОЙЧИВОСТИ, ОБЛИГАЦИИ, KFUSb11</t>
  </si>
  <si>
    <t>KZ2C00007334</t>
  </si>
  <si>
    <t>МИНИСТЕРСТВО ФИНАНСОВ РК, ГЦБ, MUM192_0002</t>
  </si>
  <si>
    <t>KZKD00000543</t>
  </si>
  <si>
    <t>АКЦИОНЕРНОЕ ОБЩЕСТВО КАЗАХСТАНСКИЙ ФОНД УСТОЙЧИВОСТИ, ОБЛИГАЦИИ, KFUSb5</t>
  </si>
  <si>
    <t>KZ2C00007110</t>
  </si>
  <si>
    <t>МИНИСТЕРСТВО ФИНАНСОВ РК, ГЦБ, MUM168_0003</t>
  </si>
  <si>
    <t>KZKD00000949</t>
  </si>
  <si>
    <t>АКЦИОНЕРНОЕ ОБЩЕСТВО КАЗАХСТАНСКИЙ ФОНД УСТОЙЧИВОСТИ, ОБЛИГАЦИИ, KFUSb44</t>
  </si>
  <si>
    <t>KZ2C00008902</t>
  </si>
  <si>
    <t>АКЦИОНЕРНОЕ ОБЩЕСТВО КАЗАХСТАНСКИЙ ФОНД УСТОЙЧИВОСТИ, ОБЛИГАЦИИ, KFUSb46</t>
  </si>
  <si>
    <t>KZ2C00008928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</si>
  <si>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</si>
  <si>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</si>
  <si>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MUM168_0005</t>
  </si>
  <si>
    <t>KZKD00001111</t>
  </si>
  <si>
    <t>МИНИСТЕРСТВО ФИНАНСОВ РК, ГЦБ, MUM096_0012</t>
  </si>
  <si>
    <t>KZKD00001160</t>
  </si>
  <si>
    <t>АКЦИОНЕРНОЕ ОБЩЕСТВО КАЗАХСТАНСКИЙ ФОНД УСТОЙЧИВОСТИ, ОБЛИГАЦИИ, KFUSb1</t>
  </si>
  <si>
    <t>KZ2C00006906</t>
  </si>
  <si>
    <t>МИНИСТЕРСТВО ФИНАНСОВ РК, ГЦБ, MUM180_0015</t>
  </si>
  <si>
    <t>KZKD00001186</t>
  </si>
  <si>
    <t>МИНИСТЕРСТВО ФИНАНСОВ РК, ГЦБ, MOM060_0052</t>
  </si>
  <si>
    <t>KZK200000679</t>
  </si>
  <si>
    <t>МИНИСТЕРСТВО ФИНАНСОВ РК, ГЦБ, MUM240_0001</t>
  </si>
  <si>
    <t>KZKD00000550</t>
  </si>
  <si>
    <t>АКЦИОНЕРНОЕ ОБЩЕСТВО КАЗАХСТАНСКИЙ ФОНД УСТОЙЧИВОСТИ, ОБЛИГАЦИИ, KFUSb10</t>
  </si>
  <si>
    <t>KZ2C00007326</t>
  </si>
  <si>
    <t>АКЦИОНЕРНОЕ ОБЩЕСТВО КАЗАХСТАНСКИЙ ФОНД УСТОЙЧИВОСТИ, ОБЛИГАЦИИ, KFUSb47</t>
  </si>
  <si>
    <t>KZ2C00008936</t>
  </si>
  <si>
    <t>АКЦИОНЕРНОЕ ОБЩЕСТВО КАЗАХСТАНСКИЙ ФОНД УСТОЙЧИВОСТИ, ОБЛИГАЦИИ, KFUSb7</t>
  </si>
  <si>
    <t>KZ2C00007136</t>
  </si>
  <si>
    <t>МИНИСТЕРСТВО ФИНАНСОВ РК, ГЦБ, MUM132_0007</t>
  </si>
  <si>
    <t>KZKD00001152</t>
  </si>
  <si>
    <t>МИНИСТЕРСТВО ФИНАНСОВ РК, ГЦБ, MUM168_0002</t>
  </si>
  <si>
    <t>KZKD00000485</t>
  </si>
  <si>
    <t>МИНИСТЕРСТВО ФИНАНСОВ РК, ГЦБ, MUM180_0012</t>
  </si>
  <si>
    <t>KZKD00000840</t>
  </si>
  <si>
    <t>МИНИСТЕРСТВО ФИНАНСОВ РК, ГЦБ, MUM240_0004</t>
  </si>
  <si>
    <t>KZKD00000832</t>
  </si>
  <si>
    <t>ЕВРАЗИЙСКИЙ БАНК РАЗВИТИЯ, ОБЛИГАЦИИ, EABRb40</t>
  </si>
  <si>
    <t>KZ2D00009628</t>
  </si>
  <si>
    <t>МИНИСТЕРСТВО ФИНАНСОВ РК, ГЦБ, MUM120_0019</t>
  </si>
  <si>
    <t>KZKD00001129</t>
  </si>
  <si>
    <t>МИНИСТЕРСТВО ФИНАНСОВ РК, ГЦБ, MUM192_0003</t>
  </si>
  <si>
    <t>KZKD00000626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</si>
  <si>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</si>
  <si>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</si>
  <si>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</si>
  <si>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</si>
  <si>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KFUSb48</t>
  </si>
  <si>
    <t>KZ2C00008944</t>
  </si>
  <si>
    <t>МИНИСТЕРСТВО ФИНАНСОВ РК, ГЦБ, MUM144_0009</t>
  </si>
  <si>
    <t>KZKD00001178</t>
  </si>
  <si>
    <t>МИНИСТЕРСТВО ФИНАНСОВ РК, ГЦБ, MOM048_0053</t>
  </si>
  <si>
    <t>KZK200000711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</si>
  <si>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</si>
  <si>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</si>
  <si>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</si>
  <si>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</si>
  <si>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</si>
  <si>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</si>
  <si>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</si>
  <si>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</si>
  <si>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</si>
  <si>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</si>
  <si>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</si>
  <si>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</si>
  <si>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</si>
  <si>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</si>
  <si>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16.04.2032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</si>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</sst>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"/>
  <sheetViews>
    <sheetView tabSelected="1" topLeftCell="A18" zoomScale="90" zoomScaleNormal="90" workbookViewId="0">
      <selection activeCell="C27" sqref="C2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127</v>
      </c>
      <c r="B4" s="13" t="s">
        <v>128</v>
      </c>
      <c r="C4" s="10">
        <v>3020000</v>
      </c>
      <c r="D4" s="11">
        <v>3020000000</v>
      </c>
      <c r="E4" s="3">
        <v>0.1067</v>
      </c>
      <c r="F4" s="4" t="s">
        <v>129</v>
      </c>
      <c r="G4" s="4" t="s">
        <v>130</v>
      </c>
      <c r="H4" s="11">
        <v>2930617060.0000029</v>
      </c>
      <c r="I4" s="11">
        <v>98.264900000000011</v>
      </c>
      <c r="J4" s="11">
        <v>100.16178888888901</v>
      </c>
      <c r="K4" s="11">
        <v>57286044.44444444</v>
      </c>
      <c r="L4" s="11">
        <v>3024886024.4444442</v>
      </c>
      <c r="M4" s="6">
        <f t="shared" ref="M4:M22" si="0">L4/$L$24</f>
        <v>0.1038948792383432</v>
      </c>
    </row>
    <row r="5" spans="1:13" x14ac:dyDescent="0.25">
      <c r="A5" s="1" t="s">
        <v>87</v>
      </c>
      <c r="B5" s="13" t="s">
        <v>88</v>
      </c>
      <c r="C5" s="10">
        <v>2265000</v>
      </c>
      <c r="D5" s="11">
        <v>2265000000</v>
      </c>
      <c r="E5" s="3">
        <v>0.10550000000000001</v>
      </c>
      <c r="F5" s="4" t="s">
        <v>129</v>
      </c>
      <c r="G5" s="4" t="s">
        <v>131</v>
      </c>
      <c r="H5" s="11">
        <v>2039188560.0000031</v>
      </c>
      <c r="I5" s="11">
        <v>82.334600000000009</v>
      </c>
      <c r="J5" s="11">
        <v>84.005016666666663</v>
      </c>
      <c r="K5" s="11">
        <v>37834937.499999993</v>
      </c>
      <c r="L5" s="11">
        <v>1902713627.499999</v>
      </c>
      <c r="M5" s="6">
        <f t="shared" si="0"/>
        <v>6.535195076996958E-2</v>
      </c>
    </row>
    <row r="6" spans="1:13" x14ac:dyDescent="0.25">
      <c r="A6" s="1" t="s">
        <v>87</v>
      </c>
      <c r="B6" s="13" t="s">
        <v>88</v>
      </c>
      <c r="C6" s="10">
        <v>1551646</v>
      </c>
      <c r="D6" s="11">
        <v>1551646000</v>
      </c>
      <c r="E6" s="3">
        <v>0.10550000000000001</v>
      </c>
      <c r="F6" s="4" t="s">
        <v>132</v>
      </c>
      <c r="G6" s="4" t="s">
        <v>131</v>
      </c>
      <c r="H6" s="11">
        <v>1395452658.7</v>
      </c>
      <c r="I6" s="11">
        <v>82.334600000000009</v>
      </c>
      <c r="J6" s="11">
        <v>84.005016666666918</v>
      </c>
      <c r="K6" s="11">
        <v>25918953.391666658</v>
      </c>
      <c r="L6" s="11">
        <v>1303460480.90767</v>
      </c>
      <c r="M6" s="6">
        <f t="shared" si="0"/>
        <v>4.4769577485395382E-2</v>
      </c>
    </row>
    <row r="7" spans="1:13" x14ac:dyDescent="0.25">
      <c r="A7" s="1" t="s">
        <v>87</v>
      </c>
      <c r="B7" s="13" t="s">
        <v>88</v>
      </c>
      <c r="C7" s="10">
        <v>545692</v>
      </c>
      <c r="D7" s="11">
        <v>545692000</v>
      </c>
      <c r="E7" s="3">
        <v>0.10550000000000001</v>
      </c>
      <c r="F7" s="4" t="s">
        <v>133</v>
      </c>
      <c r="G7" s="4" t="s">
        <v>131</v>
      </c>
      <c r="H7" s="11">
        <v>449784993.92000002</v>
      </c>
      <c r="I7" s="11">
        <v>82.334600000000009</v>
      </c>
      <c r="J7" s="11">
        <v>84.005016666666663</v>
      </c>
      <c r="K7" s="11">
        <v>9115330.1166666709</v>
      </c>
      <c r="L7" s="11">
        <v>458408655.54866701</v>
      </c>
      <c r="M7" s="6">
        <f t="shared" si="0"/>
        <v>1.5744828573759948E-2</v>
      </c>
    </row>
    <row r="8" spans="1:13" x14ac:dyDescent="0.25">
      <c r="A8" s="1" t="s">
        <v>134</v>
      </c>
      <c r="B8" s="13" t="s">
        <v>135</v>
      </c>
      <c r="C8" s="10">
        <v>2265000</v>
      </c>
      <c r="D8" s="11">
        <v>2265000000</v>
      </c>
      <c r="E8" s="3">
        <v>0.10400000000000001</v>
      </c>
      <c r="F8" s="4" t="s">
        <v>129</v>
      </c>
      <c r="G8" s="4" t="s">
        <v>136</v>
      </c>
      <c r="H8" s="11">
        <v>2073109200</v>
      </c>
      <c r="I8" s="11">
        <v>86.248500000000007</v>
      </c>
      <c r="J8" s="11">
        <v>90.957388888888872</v>
      </c>
      <c r="K8" s="11">
        <v>106656333.333333</v>
      </c>
      <c r="L8" s="11">
        <v>2060184858.333333</v>
      </c>
      <c r="M8" s="6">
        <f t="shared" si="0"/>
        <v>7.0760569269553306E-2</v>
      </c>
    </row>
    <row r="9" spans="1:13" x14ac:dyDescent="0.25">
      <c r="A9" s="1" t="s">
        <v>137</v>
      </c>
      <c r="B9" s="13" t="s">
        <v>138</v>
      </c>
      <c r="C9" s="10">
        <v>2265000</v>
      </c>
      <c r="D9" s="11">
        <v>2265000000</v>
      </c>
      <c r="E9" s="3">
        <v>0.11</v>
      </c>
      <c r="F9" s="4" t="s">
        <v>129</v>
      </c>
      <c r="G9" s="4" t="s">
        <v>139</v>
      </c>
      <c r="H9" s="11">
        <v>2080889475</v>
      </c>
      <c r="I9" s="11">
        <v>84.318200000000004</v>
      </c>
      <c r="J9" s="11">
        <v>89.665422222222219</v>
      </c>
      <c r="K9" s="11">
        <v>121114583.333333</v>
      </c>
      <c r="L9" s="11">
        <v>2030921813.333333</v>
      </c>
      <c r="M9" s="6">
        <f t="shared" si="0"/>
        <v>6.9755479986237393E-2</v>
      </c>
    </row>
    <row r="10" spans="1:13" x14ac:dyDescent="0.25">
      <c r="A10" s="1" t="s">
        <v>113</v>
      </c>
      <c r="B10" s="13" t="s">
        <v>114</v>
      </c>
      <c r="C10" s="10">
        <v>2265000</v>
      </c>
      <c r="D10" s="11">
        <v>2265000000</v>
      </c>
      <c r="E10" s="3">
        <v>0.10300000000000001</v>
      </c>
      <c r="F10" s="4" t="s">
        <v>129</v>
      </c>
      <c r="G10" s="4" t="s">
        <v>140</v>
      </c>
      <c r="H10" s="11">
        <v>1963990560.0000031</v>
      </c>
      <c r="I10" s="11">
        <v>77.18910000000001</v>
      </c>
      <c r="J10" s="11">
        <v>82.567988888888877</v>
      </c>
      <c r="K10" s="11">
        <v>121831833.333333</v>
      </c>
      <c r="L10" s="11">
        <v>1870164948.333333</v>
      </c>
      <c r="M10" s="6">
        <f t="shared" si="0"/>
        <v>6.4234010766921229E-2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129</v>
      </c>
      <c r="G11" s="4" t="s">
        <v>141</v>
      </c>
      <c r="H11" s="11">
        <v>1740247065.0000031</v>
      </c>
      <c r="I11" s="11">
        <v>67.85860000000001</v>
      </c>
      <c r="J11" s="11">
        <v>71.590683333333331</v>
      </c>
      <c r="K11" s="11">
        <v>84531687.499999985</v>
      </c>
      <c r="L11" s="11">
        <v>1621528977.499999</v>
      </c>
      <c r="M11" s="6">
        <f t="shared" si="0"/>
        <v>5.569418349565014E-2</v>
      </c>
    </row>
    <row r="12" spans="1:13" x14ac:dyDescent="0.25">
      <c r="A12" s="1" t="s">
        <v>103</v>
      </c>
      <c r="B12" s="13" t="s">
        <v>104</v>
      </c>
      <c r="C12" s="10">
        <v>2265000</v>
      </c>
      <c r="D12" s="11">
        <v>2265000000</v>
      </c>
      <c r="E12" s="3">
        <v>0.10650000000000001</v>
      </c>
      <c r="F12" s="4" t="s">
        <v>129</v>
      </c>
      <c r="G12" s="4" t="s">
        <v>142</v>
      </c>
      <c r="H12" s="11">
        <v>1967775375</v>
      </c>
      <c r="I12" s="11">
        <v>75.703400000000002</v>
      </c>
      <c r="J12" s="11">
        <v>77.448816666666659</v>
      </c>
      <c r="K12" s="11">
        <v>39533687.5</v>
      </c>
      <c r="L12" s="11">
        <v>1754215697.5</v>
      </c>
      <c r="M12" s="6">
        <f t="shared" si="0"/>
        <v>6.0251535620500465E-2</v>
      </c>
    </row>
    <row r="13" spans="1:13" x14ac:dyDescent="0.25">
      <c r="A13" s="1" t="s">
        <v>143</v>
      </c>
      <c r="B13" s="13" t="s">
        <v>144</v>
      </c>
      <c r="C13" s="10">
        <v>2265000</v>
      </c>
      <c r="D13" s="11">
        <v>2265000000</v>
      </c>
      <c r="E13" s="3">
        <v>8.0700000000000008E-2</v>
      </c>
      <c r="F13" s="4" t="s">
        <v>129</v>
      </c>
      <c r="G13" s="4" t="s">
        <v>145</v>
      </c>
      <c r="H13" s="11">
        <v>1622351550</v>
      </c>
      <c r="I13" s="11">
        <v>61.560600000000001</v>
      </c>
      <c r="J13" s="11">
        <v>64.542016666666655</v>
      </c>
      <c r="K13" s="11">
        <v>67529087.5</v>
      </c>
      <c r="L13" s="11">
        <v>1461876677.5</v>
      </c>
      <c r="M13" s="6">
        <f t="shared" si="0"/>
        <v>5.0210652448667945E-2</v>
      </c>
    </row>
    <row r="14" spans="1:13" x14ac:dyDescent="0.25">
      <c r="A14" s="1" t="s">
        <v>109</v>
      </c>
      <c r="B14" s="13" t="s">
        <v>110</v>
      </c>
      <c r="C14" s="10">
        <v>2265000</v>
      </c>
      <c r="D14" s="11">
        <v>2265000000</v>
      </c>
      <c r="E14" s="3">
        <v>8.0700000000000008E-2</v>
      </c>
      <c r="F14" s="4" t="s">
        <v>129</v>
      </c>
      <c r="G14" s="4" t="s">
        <v>146</v>
      </c>
      <c r="H14" s="11">
        <v>1597764975</v>
      </c>
      <c r="I14" s="11">
        <v>60.171900000000001</v>
      </c>
      <c r="J14" s="11">
        <v>65.46223333333333</v>
      </c>
      <c r="K14" s="11">
        <v>119826050</v>
      </c>
      <c r="L14" s="11">
        <v>1482719585</v>
      </c>
      <c r="M14" s="6">
        <f t="shared" si="0"/>
        <v>5.092653772176222E-2</v>
      </c>
    </row>
    <row r="15" spans="1:13" x14ac:dyDescent="0.25">
      <c r="A15" s="1" t="s">
        <v>147</v>
      </c>
      <c r="B15" s="13" t="s">
        <v>148</v>
      </c>
      <c r="C15" s="10">
        <v>3775000</v>
      </c>
      <c r="D15" s="11">
        <v>3775000000</v>
      </c>
      <c r="E15" s="3">
        <v>5.4900000000000004E-2</v>
      </c>
      <c r="F15" s="4" t="s">
        <v>129</v>
      </c>
      <c r="G15" s="4" t="s">
        <v>149</v>
      </c>
      <c r="H15" s="11">
        <v>3136670150</v>
      </c>
      <c r="I15" s="11">
        <v>84.996200000000002</v>
      </c>
      <c r="J15" s="11">
        <v>87.710700000000003</v>
      </c>
      <c r="K15" s="11">
        <v>102472375</v>
      </c>
      <c r="L15" s="11">
        <v>3311078925</v>
      </c>
      <c r="M15" s="6">
        <f t="shared" si="0"/>
        <v>0.11372466343576651</v>
      </c>
    </row>
    <row r="16" spans="1:13" x14ac:dyDescent="0.25">
      <c r="A16" s="1" t="s">
        <v>95</v>
      </c>
      <c r="B16" s="13" t="s">
        <v>96</v>
      </c>
      <c r="C16" s="10">
        <v>2803860</v>
      </c>
      <c r="D16" s="11">
        <v>2803860000</v>
      </c>
      <c r="E16" s="3">
        <v>5.5E-2</v>
      </c>
      <c r="F16" s="4" t="s">
        <v>150</v>
      </c>
      <c r="G16" s="4" t="s">
        <v>151</v>
      </c>
      <c r="H16" s="11">
        <v>1773018067.1400001</v>
      </c>
      <c r="I16" s="11">
        <v>56.710900000000002</v>
      </c>
      <c r="J16" s="11">
        <v>59.017844444444435</v>
      </c>
      <c r="K16" s="11">
        <v>64683492.5</v>
      </c>
      <c r="L16" s="11">
        <v>1654777733.24</v>
      </c>
      <c r="M16" s="6">
        <f t="shared" si="0"/>
        <v>5.6836168824855066E-2</v>
      </c>
    </row>
    <row r="17" spans="1:15" x14ac:dyDescent="0.25">
      <c r="A17" s="1" t="s">
        <v>152</v>
      </c>
      <c r="B17" s="13" t="s">
        <v>153</v>
      </c>
      <c r="C17" s="10">
        <v>1038480</v>
      </c>
      <c r="D17" s="11">
        <v>1038480000</v>
      </c>
      <c r="E17" s="3">
        <v>0.12</v>
      </c>
      <c r="F17" s="4" t="s">
        <v>150</v>
      </c>
      <c r="G17" s="4" t="s">
        <v>154</v>
      </c>
      <c r="H17" s="11">
        <v>979029096.96000004</v>
      </c>
      <c r="I17" s="11">
        <v>84.78540000000001</v>
      </c>
      <c r="J17" s="11">
        <v>91.385400000000004</v>
      </c>
      <c r="K17" s="11">
        <v>68539680</v>
      </c>
      <c r="L17" s="11">
        <v>949019101.91999996</v>
      </c>
      <c r="M17" s="6">
        <f t="shared" si="0"/>
        <v>3.2595682677653295E-2</v>
      </c>
    </row>
    <row r="18" spans="1:15" x14ac:dyDescent="0.25">
      <c r="A18" s="1" t="s">
        <v>155</v>
      </c>
      <c r="B18" s="13" t="s">
        <v>156</v>
      </c>
      <c r="C18" s="10">
        <v>506989</v>
      </c>
      <c r="D18" s="11">
        <v>506989000</v>
      </c>
      <c r="E18" s="3">
        <v>0.1535</v>
      </c>
      <c r="F18" s="4" t="s">
        <v>157</v>
      </c>
      <c r="G18" s="4" t="s">
        <v>158</v>
      </c>
      <c r="H18" s="11">
        <v>492216861.50999999</v>
      </c>
      <c r="I18" s="11">
        <v>97.373500000000007</v>
      </c>
      <c r="J18" s="11">
        <v>102.78863888888901</v>
      </c>
      <c r="K18" s="11">
        <v>27454158.501388881</v>
      </c>
      <c r="L18" s="11">
        <v>521127092.41638899</v>
      </c>
      <c r="M18" s="6">
        <f t="shared" si="0"/>
        <v>1.7899000457173769E-2</v>
      </c>
    </row>
    <row r="19" spans="1:15" x14ac:dyDescent="0.25">
      <c r="A19" s="1" t="s">
        <v>159</v>
      </c>
      <c r="B19" s="13" t="s">
        <v>160</v>
      </c>
      <c r="C19" s="10">
        <v>2100000</v>
      </c>
      <c r="D19" s="11">
        <v>2100000000</v>
      </c>
      <c r="E19" s="3">
        <v>0.14300000000000002</v>
      </c>
      <c r="F19" s="4" t="s">
        <v>161</v>
      </c>
      <c r="G19" s="4" t="s">
        <v>162</v>
      </c>
      <c r="H19" s="11">
        <v>2100000000</v>
      </c>
      <c r="I19" s="11">
        <v>94.491883089001689</v>
      </c>
      <c r="J19" s="11">
        <v>95.365771977890574</v>
      </c>
      <c r="K19" s="11">
        <v>18351666.66666666</v>
      </c>
      <c r="L19" s="11">
        <v>2002681211.535702</v>
      </c>
      <c r="M19" s="6">
        <f t="shared" si="0"/>
        <v>6.8785508261791389E-2</v>
      </c>
    </row>
    <row r="20" spans="1:15" x14ac:dyDescent="0.25">
      <c r="A20" s="1" t="s">
        <v>163</v>
      </c>
      <c r="B20" s="13" t="s">
        <v>164</v>
      </c>
      <c r="C20" s="10">
        <v>1000000</v>
      </c>
      <c r="D20" s="11">
        <v>1000000000</v>
      </c>
      <c r="E20" s="3">
        <v>0.1389</v>
      </c>
      <c r="F20" s="4" t="s">
        <v>165</v>
      </c>
      <c r="G20" s="4" t="s">
        <v>166</v>
      </c>
      <c r="H20" s="11">
        <v>1000000000</v>
      </c>
      <c r="I20" s="11">
        <v>98.26202561880919</v>
      </c>
      <c r="J20" s="11">
        <v>102.77627561880901</v>
      </c>
      <c r="K20" s="11">
        <v>45142499.999999993</v>
      </c>
      <c r="L20" s="11">
        <v>1027762756.188091</v>
      </c>
      <c r="M20" s="6">
        <f t="shared" si="0"/>
        <v>3.5300268035533586E-2</v>
      </c>
    </row>
    <row r="21" spans="1:15" x14ac:dyDescent="0.25">
      <c r="A21" s="1" t="s">
        <v>167</v>
      </c>
      <c r="B21" s="13" t="s">
        <v>168</v>
      </c>
      <c r="C21" s="10">
        <v>165739</v>
      </c>
      <c r="D21" s="11">
        <v>165739000</v>
      </c>
      <c r="E21" s="3">
        <v>0.125</v>
      </c>
      <c r="F21" s="4" t="s">
        <v>169</v>
      </c>
      <c r="G21" s="4" t="s">
        <v>170</v>
      </c>
      <c r="H21" s="11">
        <v>159596381.18279999</v>
      </c>
      <c r="I21" s="11">
        <v>95.765851469633802</v>
      </c>
      <c r="J21" s="11">
        <v>99.342240358509272</v>
      </c>
      <c r="K21" s="11">
        <v>5927471.18053333</v>
      </c>
      <c r="L21" s="11">
        <v>164648835.74779001</v>
      </c>
      <c r="M21" s="6">
        <f t="shared" si="0"/>
        <v>5.6551456049958766E-3</v>
      </c>
    </row>
    <row r="22" spans="1:15" x14ac:dyDescent="0.25">
      <c r="A22" s="1" t="s">
        <v>171</v>
      </c>
      <c r="B22" s="13" t="s">
        <v>172</v>
      </c>
      <c r="C22" s="10">
        <v>494987</v>
      </c>
      <c r="D22" s="11">
        <v>494987000</v>
      </c>
      <c r="E22" s="3">
        <v>0.1701</v>
      </c>
      <c r="F22" s="4" t="s">
        <v>173</v>
      </c>
      <c r="G22" s="4" t="s">
        <v>174</v>
      </c>
      <c r="H22" s="11">
        <v>495088472.34249997</v>
      </c>
      <c r="I22" s="11">
        <v>101.30930000000001</v>
      </c>
      <c r="J22" s="11">
        <v>103.57730000000001</v>
      </c>
      <c r="K22" s="11">
        <v>11226305.16</v>
      </c>
      <c r="L22" s="11">
        <v>512694169.95099998</v>
      </c>
      <c r="M22" s="6">
        <f t="shared" si="0"/>
        <v>1.760935732546972E-2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1134976176.9613657</v>
      </c>
      <c r="L24" s="22">
        <f>SUM(L4:L23)</f>
        <v>29114871171.89975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8048597.5199999996</v>
      </c>
      <c r="C27" s="32">
        <v>8048597.5199999996</v>
      </c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2160600</v>
      </c>
      <c r="D32" s="7" t="s">
        <v>51</v>
      </c>
      <c r="E32" s="34" t="s">
        <v>52</v>
      </c>
      <c r="F32" s="34" t="s">
        <v>53</v>
      </c>
      <c r="G32" s="15">
        <v>601.93799999999999</v>
      </c>
      <c r="H32" s="15">
        <v>602.19938786448199</v>
      </c>
      <c r="I32" s="16">
        <f t="shared" ref="I32:I63" si="1">+C32*G32</f>
        <v>1300547242.8</v>
      </c>
      <c r="J32" s="16">
        <f t="shared" ref="J32:J63" si="2">+C32*H32</f>
        <v>1301111997.4199998</v>
      </c>
      <c r="K32" s="18">
        <v>0.158499</v>
      </c>
      <c r="L32" s="17">
        <v>564754.62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2160600</v>
      </c>
      <c r="D33" s="7" t="s">
        <v>51</v>
      </c>
      <c r="E33" s="34" t="s">
        <v>53</v>
      </c>
      <c r="F33" s="34" t="s">
        <v>53</v>
      </c>
      <c r="G33" s="15">
        <v>601.93799999999999</v>
      </c>
      <c r="H33" s="15">
        <v>602.19938786448199</v>
      </c>
      <c r="I33" s="16">
        <f t="shared" si="1"/>
        <v>1300547242.8</v>
      </c>
      <c r="J33" s="16">
        <f t="shared" si="2"/>
        <v>1301111997.4199998</v>
      </c>
      <c r="K33" s="18">
        <v>0.158499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1922220</v>
      </c>
      <c r="D34" s="7" t="s">
        <v>51</v>
      </c>
      <c r="E34" s="34" t="s">
        <v>52</v>
      </c>
      <c r="F34" s="34" t="s">
        <v>53</v>
      </c>
      <c r="G34" s="15">
        <v>552.78050000000007</v>
      </c>
      <c r="H34" s="15">
        <v>553.02054152490302</v>
      </c>
      <c r="I34" s="16">
        <f t="shared" si="1"/>
        <v>1062565732.7100002</v>
      </c>
      <c r="J34" s="16">
        <f t="shared" si="2"/>
        <v>1063027145.3299991</v>
      </c>
      <c r="K34" s="18">
        <v>0.158499</v>
      </c>
      <c r="L34" s="17">
        <v>461412.62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1922220</v>
      </c>
      <c r="D35" s="7" t="s">
        <v>51</v>
      </c>
      <c r="E35" s="34" t="s">
        <v>53</v>
      </c>
      <c r="F35" s="34" t="s">
        <v>53</v>
      </c>
      <c r="G35" s="15">
        <v>552.78050000000007</v>
      </c>
      <c r="H35" s="15">
        <v>553.02054152490302</v>
      </c>
      <c r="I35" s="16">
        <f t="shared" si="1"/>
        <v>1062565732.7100002</v>
      </c>
      <c r="J35" s="16">
        <f t="shared" si="2"/>
        <v>1063027145.3299991</v>
      </c>
      <c r="K35" s="18">
        <v>0.158499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264656</v>
      </c>
      <c r="D36" s="7" t="s">
        <v>51</v>
      </c>
      <c r="E36" s="34" t="s">
        <v>52</v>
      </c>
      <c r="F36" s="34" t="s">
        <v>53</v>
      </c>
      <c r="G36" s="15">
        <v>900.06300000755709</v>
      </c>
      <c r="H36" s="15">
        <v>900.45384680490906</v>
      </c>
      <c r="I36" s="16">
        <f t="shared" si="1"/>
        <v>238207073.33000004</v>
      </c>
      <c r="J36" s="16">
        <f t="shared" si="2"/>
        <v>238310513.28</v>
      </c>
      <c r="K36" s="18">
        <v>0.158499</v>
      </c>
      <c r="L36" s="17">
        <v>103439.95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264656</v>
      </c>
      <c r="D37" s="7" t="s">
        <v>51</v>
      </c>
      <c r="E37" s="34" t="s">
        <v>53</v>
      </c>
      <c r="F37" s="34" t="s">
        <v>53</v>
      </c>
      <c r="G37" s="15">
        <v>900.06300000755709</v>
      </c>
      <c r="H37" s="15">
        <v>900.45384680490906</v>
      </c>
      <c r="I37" s="16">
        <f t="shared" si="1"/>
        <v>238207073.33000004</v>
      </c>
      <c r="J37" s="16">
        <f t="shared" si="2"/>
        <v>238310513.28</v>
      </c>
      <c r="K37" s="18">
        <v>0.158499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656488</v>
      </c>
      <c r="D38" s="7" t="s">
        <v>51</v>
      </c>
      <c r="E38" s="34" t="s">
        <v>52</v>
      </c>
      <c r="F38" s="34" t="s">
        <v>53</v>
      </c>
      <c r="G38" s="15">
        <v>940.2670000060931</v>
      </c>
      <c r="H38" s="15">
        <v>940.67530515409305</v>
      </c>
      <c r="I38" s="16">
        <f t="shared" si="1"/>
        <v>617274002.30000007</v>
      </c>
      <c r="J38" s="16">
        <f t="shared" si="2"/>
        <v>617542049.73000026</v>
      </c>
      <c r="K38" s="18">
        <v>0.158499</v>
      </c>
      <c r="L38" s="17">
        <v>268047.43</v>
      </c>
      <c r="M38" s="17"/>
      <c r="N38" s="35"/>
    </row>
    <row r="39" spans="1:14" s="36" customFormat="1" ht="12" customHeight="1" x14ac:dyDescent="0.25">
      <c r="A39" s="12" t="s">
        <v>58</v>
      </c>
      <c r="B39" s="7" t="s">
        <v>59</v>
      </c>
      <c r="C39" s="14">
        <v>656488</v>
      </c>
      <c r="D39" s="7" t="s">
        <v>51</v>
      </c>
      <c r="E39" s="34" t="s">
        <v>53</v>
      </c>
      <c r="F39" s="34" t="s">
        <v>53</v>
      </c>
      <c r="G39" s="15">
        <v>940.2670000060931</v>
      </c>
      <c r="H39" s="15">
        <v>940.67530515409305</v>
      </c>
      <c r="I39" s="16">
        <f t="shared" si="1"/>
        <v>617274002.30000007</v>
      </c>
      <c r="J39" s="16">
        <f t="shared" si="2"/>
        <v>617542049.73000026</v>
      </c>
      <c r="K39" s="18">
        <v>0.158499</v>
      </c>
      <c r="L39" s="17"/>
      <c r="M39" s="17"/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12548800</v>
      </c>
      <c r="D40" s="7" t="s">
        <v>51</v>
      </c>
      <c r="E40" s="34" t="s">
        <v>53</v>
      </c>
      <c r="F40" s="34" t="s">
        <v>62</v>
      </c>
      <c r="G40" s="15">
        <v>98.817000000000007</v>
      </c>
      <c r="H40" s="15">
        <v>98.860046850694872</v>
      </c>
      <c r="I40" s="16">
        <f t="shared" si="1"/>
        <v>1240034769.6000001</v>
      </c>
      <c r="J40" s="16">
        <f t="shared" si="2"/>
        <v>1240574955.9199998</v>
      </c>
      <c r="K40" s="18">
        <v>0.159002</v>
      </c>
      <c r="L40" s="17"/>
      <c r="M40" s="17">
        <v>1240034769.5999999</v>
      </c>
      <c r="N40" s="35"/>
    </row>
    <row r="41" spans="1:14" s="36" customFormat="1" ht="12" customHeight="1" x14ac:dyDescent="0.25">
      <c r="A41" s="12" t="s">
        <v>63</v>
      </c>
      <c r="B41" s="7" t="s">
        <v>64</v>
      </c>
      <c r="C41" s="14">
        <v>62100</v>
      </c>
      <c r="D41" s="7" t="s">
        <v>51</v>
      </c>
      <c r="E41" s="34" t="s">
        <v>53</v>
      </c>
      <c r="F41" s="34" t="s">
        <v>62</v>
      </c>
      <c r="G41" s="15">
        <v>966.4140000000001</v>
      </c>
      <c r="H41" s="15">
        <v>966.84028132045103</v>
      </c>
      <c r="I41" s="16">
        <f t="shared" si="1"/>
        <v>60014309.400000006</v>
      </c>
      <c r="J41" s="16">
        <f t="shared" si="2"/>
        <v>60040781.470000006</v>
      </c>
      <c r="K41" s="18">
        <v>0.161</v>
      </c>
      <c r="L41" s="17"/>
      <c r="M41" s="17">
        <v>60014309.399999999</v>
      </c>
      <c r="N41" s="35"/>
    </row>
    <row r="42" spans="1:14" s="36" customFormat="1" ht="12" customHeight="1" x14ac:dyDescent="0.25">
      <c r="A42" s="12" t="s">
        <v>65</v>
      </c>
      <c r="B42" s="7" t="s">
        <v>66</v>
      </c>
      <c r="C42" s="14">
        <v>2198</v>
      </c>
      <c r="D42" s="7" t="s">
        <v>51</v>
      </c>
      <c r="E42" s="34" t="s">
        <v>53</v>
      </c>
      <c r="F42" s="34" t="s">
        <v>62</v>
      </c>
      <c r="G42" s="15">
        <v>910.60399909008208</v>
      </c>
      <c r="H42" s="15">
        <v>911.00815741583301</v>
      </c>
      <c r="I42" s="16">
        <f t="shared" si="1"/>
        <v>2001507.5900000003</v>
      </c>
      <c r="J42" s="16">
        <f t="shared" si="2"/>
        <v>2002395.9300000009</v>
      </c>
      <c r="K42" s="18">
        <v>0.16200000000000001</v>
      </c>
      <c r="L42" s="17"/>
      <c r="M42" s="17">
        <v>2001507.59</v>
      </c>
      <c r="N42" s="35"/>
    </row>
    <row r="43" spans="1:14" s="36" customFormat="1" ht="12" customHeight="1" x14ac:dyDescent="0.25">
      <c r="A43" s="12" t="s">
        <v>67</v>
      </c>
      <c r="B43" s="7" t="s">
        <v>68</v>
      </c>
      <c r="C43" s="14">
        <v>1637</v>
      </c>
      <c r="D43" s="7" t="s">
        <v>51</v>
      </c>
      <c r="E43" s="34" t="s">
        <v>53</v>
      </c>
      <c r="F43" s="34" t="s">
        <v>62</v>
      </c>
      <c r="G43" s="15">
        <v>611.01500305436798</v>
      </c>
      <c r="H43" s="15">
        <v>611.28619425778902</v>
      </c>
      <c r="I43" s="16">
        <f t="shared" si="1"/>
        <v>1000231.5600000004</v>
      </c>
      <c r="J43" s="16">
        <f t="shared" si="2"/>
        <v>1000675.5000000006</v>
      </c>
      <c r="K43" s="18">
        <v>0.16200000000000001</v>
      </c>
      <c r="L43" s="17"/>
      <c r="M43" s="17">
        <v>1000231.56</v>
      </c>
      <c r="N43" s="35"/>
    </row>
    <row r="44" spans="1:14" s="36" customFormat="1" ht="12" customHeight="1" x14ac:dyDescent="0.25">
      <c r="A44" s="12" t="s">
        <v>69</v>
      </c>
      <c r="B44" s="7" t="s">
        <v>70</v>
      </c>
      <c r="C44" s="14">
        <v>2246</v>
      </c>
      <c r="D44" s="7" t="s">
        <v>51</v>
      </c>
      <c r="E44" s="34" t="s">
        <v>53</v>
      </c>
      <c r="F44" s="34" t="s">
        <v>62</v>
      </c>
      <c r="G44" s="15">
        <v>890.7480008904721</v>
      </c>
      <c r="H44" s="15">
        <v>891.143348174533</v>
      </c>
      <c r="I44" s="16">
        <f t="shared" si="1"/>
        <v>2000620.0100000002</v>
      </c>
      <c r="J44" s="16">
        <f t="shared" si="2"/>
        <v>2001507.9600000011</v>
      </c>
      <c r="K44" s="18">
        <v>0.16200000000000001</v>
      </c>
      <c r="L44" s="17"/>
      <c r="M44" s="17">
        <v>2000620.01</v>
      </c>
      <c r="N44" s="35"/>
    </row>
    <row r="45" spans="1:14" s="36" customFormat="1" ht="12" customHeight="1" x14ac:dyDescent="0.25">
      <c r="A45" s="12" t="s">
        <v>71</v>
      </c>
      <c r="B45" s="7" t="s">
        <v>72</v>
      </c>
      <c r="C45" s="14">
        <v>1257</v>
      </c>
      <c r="D45" s="7" t="s">
        <v>51</v>
      </c>
      <c r="E45" s="34" t="s">
        <v>53</v>
      </c>
      <c r="F45" s="34" t="s">
        <v>62</v>
      </c>
      <c r="G45" s="15">
        <v>796.14800318217999</v>
      </c>
      <c r="H45" s="15">
        <v>796.50136038186201</v>
      </c>
      <c r="I45" s="16">
        <f t="shared" si="1"/>
        <v>1000758.0400000003</v>
      </c>
      <c r="J45" s="16">
        <f t="shared" si="2"/>
        <v>1001202.2100000005</v>
      </c>
      <c r="K45" s="18">
        <v>0.16200000000000001</v>
      </c>
      <c r="L45" s="17"/>
      <c r="M45" s="17">
        <v>1000758.04</v>
      </c>
      <c r="N45" s="35"/>
    </row>
    <row r="46" spans="1:14" s="36" customFormat="1" ht="12" customHeight="1" x14ac:dyDescent="0.25">
      <c r="A46" s="12" t="s">
        <v>73</v>
      </c>
      <c r="B46" s="7" t="s">
        <v>74</v>
      </c>
      <c r="C46" s="14">
        <v>1282</v>
      </c>
      <c r="D46" s="7" t="s">
        <v>51</v>
      </c>
      <c r="E46" s="34" t="s">
        <v>53</v>
      </c>
      <c r="F46" s="34" t="s">
        <v>62</v>
      </c>
      <c r="G46" s="15">
        <v>780.18900156006202</v>
      </c>
      <c r="H46" s="15">
        <v>780.53528081123204</v>
      </c>
      <c r="I46" s="16">
        <f t="shared" si="1"/>
        <v>1000202.2999999995</v>
      </c>
      <c r="J46" s="16">
        <f t="shared" si="2"/>
        <v>1000646.2299999995</v>
      </c>
      <c r="K46" s="18">
        <v>0.16200000000000001</v>
      </c>
      <c r="L46" s="17"/>
      <c r="M46" s="17">
        <v>1000202.3</v>
      </c>
      <c r="N46" s="35"/>
    </row>
    <row r="47" spans="1:14" s="36" customFormat="1" ht="12" customHeight="1" x14ac:dyDescent="0.25">
      <c r="A47" s="12" t="s">
        <v>75</v>
      </c>
      <c r="B47" s="7" t="s">
        <v>76</v>
      </c>
      <c r="C47" s="14">
        <v>945</v>
      </c>
      <c r="D47" s="7" t="s">
        <v>51</v>
      </c>
      <c r="E47" s="34" t="s">
        <v>53</v>
      </c>
      <c r="F47" s="34" t="s">
        <v>62</v>
      </c>
      <c r="G47" s="15">
        <v>1058.6100000000001</v>
      </c>
      <c r="H47" s="15">
        <v>1059.0798518518511</v>
      </c>
      <c r="I47" s="16">
        <f t="shared" si="1"/>
        <v>1000386.4500000001</v>
      </c>
      <c r="J47" s="16">
        <f t="shared" si="2"/>
        <v>1000830.4599999993</v>
      </c>
      <c r="K47" s="18">
        <v>0.16200000000000001</v>
      </c>
      <c r="L47" s="17"/>
      <c r="M47" s="17">
        <v>1000386.45</v>
      </c>
      <c r="N47" s="35"/>
    </row>
    <row r="48" spans="1:14" s="36" customFormat="1" ht="12" customHeight="1" x14ac:dyDescent="0.25">
      <c r="A48" s="12" t="s">
        <v>77</v>
      </c>
      <c r="B48" s="7" t="s">
        <v>78</v>
      </c>
      <c r="C48" s="14">
        <v>16764</v>
      </c>
      <c r="D48" s="7" t="s">
        <v>51</v>
      </c>
      <c r="E48" s="34" t="s">
        <v>53</v>
      </c>
      <c r="F48" s="34" t="s">
        <v>62</v>
      </c>
      <c r="G48" s="15">
        <v>715.90700011930301</v>
      </c>
      <c r="H48" s="15">
        <v>716.22474528752105</v>
      </c>
      <c r="I48" s="16">
        <f t="shared" si="1"/>
        <v>12001464.949999996</v>
      </c>
      <c r="J48" s="16">
        <f t="shared" si="2"/>
        <v>12006791.630000003</v>
      </c>
      <c r="K48" s="18">
        <v>0.16200000000000001</v>
      </c>
      <c r="L48" s="17"/>
      <c r="M48" s="17">
        <v>12001464.949999999</v>
      </c>
      <c r="N48" s="35"/>
    </row>
    <row r="49" spans="1:14" s="36" customFormat="1" ht="12" customHeight="1" x14ac:dyDescent="0.25">
      <c r="A49" s="12" t="s">
        <v>79</v>
      </c>
      <c r="B49" s="7" t="s">
        <v>80</v>
      </c>
      <c r="C49" s="14">
        <v>10406</v>
      </c>
      <c r="D49" s="7" t="s">
        <v>51</v>
      </c>
      <c r="E49" s="34" t="s">
        <v>53</v>
      </c>
      <c r="F49" s="34" t="s">
        <v>62</v>
      </c>
      <c r="G49" s="15">
        <v>1057.531999807803</v>
      </c>
      <c r="H49" s="15">
        <v>1058.001370363251</v>
      </c>
      <c r="I49" s="16">
        <f t="shared" si="1"/>
        <v>11004677.989999998</v>
      </c>
      <c r="J49" s="16">
        <f t="shared" si="2"/>
        <v>11009562.25999999</v>
      </c>
      <c r="K49" s="18">
        <v>0.16200000000000001</v>
      </c>
      <c r="L49" s="17"/>
      <c r="M49" s="17">
        <v>11004677.99</v>
      </c>
      <c r="N49" s="35"/>
    </row>
    <row r="50" spans="1:14" s="36" customFormat="1" ht="12" customHeight="1" x14ac:dyDescent="0.25">
      <c r="A50" s="12" t="s">
        <v>81</v>
      </c>
      <c r="B50" s="7" t="s">
        <v>82</v>
      </c>
      <c r="C50" s="14">
        <v>15072</v>
      </c>
      <c r="D50" s="7" t="s">
        <v>51</v>
      </c>
      <c r="E50" s="34" t="s">
        <v>53</v>
      </c>
      <c r="F50" s="34" t="s">
        <v>62</v>
      </c>
      <c r="G50" s="15">
        <v>1062.0050000000001</v>
      </c>
      <c r="H50" s="15">
        <v>1062.4763554936301</v>
      </c>
      <c r="I50" s="16">
        <f t="shared" si="1"/>
        <v>16006539.360000001</v>
      </c>
      <c r="J50" s="16">
        <f t="shared" si="2"/>
        <v>16013643.629999993</v>
      </c>
      <c r="K50" s="18">
        <v>0.16200000000000001</v>
      </c>
      <c r="L50" s="17"/>
      <c r="M50" s="17">
        <v>16006539.359999999</v>
      </c>
      <c r="N50" s="35"/>
    </row>
    <row r="51" spans="1:14" s="36" customFormat="1" ht="12" customHeight="1" x14ac:dyDescent="0.25">
      <c r="A51" s="12" t="s">
        <v>56</v>
      </c>
      <c r="B51" s="7" t="s">
        <v>57</v>
      </c>
      <c r="C51" s="14">
        <v>7777</v>
      </c>
      <c r="D51" s="7" t="s">
        <v>51</v>
      </c>
      <c r="E51" s="34" t="s">
        <v>53</v>
      </c>
      <c r="F51" s="34" t="s">
        <v>62</v>
      </c>
      <c r="G51" s="15">
        <v>900.43700012858403</v>
      </c>
      <c r="H51" s="15">
        <v>900.83664652179505</v>
      </c>
      <c r="I51" s="16">
        <f t="shared" si="1"/>
        <v>7002698.549999998</v>
      </c>
      <c r="J51" s="16">
        <f t="shared" si="2"/>
        <v>7005806.5999999996</v>
      </c>
      <c r="K51" s="18">
        <v>0.16200000000000001</v>
      </c>
      <c r="L51" s="17"/>
      <c r="M51" s="17">
        <v>7002698.5499999998</v>
      </c>
      <c r="N51" s="35"/>
    </row>
    <row r="52" spans="1:14" s="36" customFormat="1" ht="12" customHeight="1" x14ac:dyDescent="0.25">
      <c r="A52" s="12" t="s">
        <v>83</v>
      </c>
      <c r="B52" s="7" t="s">
        <v>84</v>
      </c>
      <c r="C52" s="14">
        <v>9620</v>
      </c>
      <c r="D52" s="7" t="s">
        <v>51</v>
      </c>
      <c r="E52" s="34" t="s">
        <v>53</v>
      </c>
      <c r="F52" s="34" t="s">
        <v>62</v>
      </c>
      <c r="G52" s="15">
        <v>1039.836</v>
      </c>
      <c r="H52" s="15">
        <v>1040.2975166320161</v>
      </c>
      <c r="I52" s="16">
        <f t="shared" si="1"/>
        <v>10003222.32</v>
      </c>
      <c r="J52" s="16">
        <f t="shared" si="2"/>
        <v>10007662.109999996</v>
      </c>
      <c r="K52" s="18">
        <v>0.16200000000000001</v>
      </c>
      <c r="L52" s="17"/>
      <c r="M52" s="17">
        <v>10003222.32</v>
      </c>
      <c r="N52" s="35"/>
    </row>
    <row r="53" spans="1:14" s="36" customFormat="1" ht="12" customHeight="1" x14ac:dyDescent="0.25">
      <c r="A53" s="12" t="s">
        <v>79</v>
      </c>
      <c r="B53" s="7" t="s">
        <v>80</v>
      </c>
      <c r="C53" s="14">
        <v>14190</v>
      </c>
      <c r="D53" s="7" t="s">
        <v>51</v>
      </c>
      <c r="E53" s="34" t="s">
        <v>53</v>
      </c>
      <c r="F53" s="34" t="s">
        <v>62</v>
      </c>
      <c r="G53" s="15">
        <v>1057.5320000000002</v>
      </c>
      <c r="H53" s="15">
        <v>1058.0013706835791</v>
      </c>
      <c r="I53" s="16">
        <f t="shared" si="1"/>
        <v>15006379.080000002</v>
      </c>
      <c r="J53" s="16">
        <f t="shared" si="2"/>
        <v>15013039.449999988</v>
      </c>
      <c r="K53" s="18">
        <v>0.16200000000000001</v>
      </c>
      <c r="L53" s="17"/>
      <c r="M53" s="17">
        <v>15006379.08</v>
      </c>
      <c r="N53" s="35"/>
    </row>
    <row r="54" spans="1:14" s="36" customFormat="1" ht="12" customHeight="1" x14ac:dyDescent="0.25">
      <c r="A54" s="12" t="s">
        <v>65</v>
      </c>
      <c r="B54" s="7" t="s">
        <v>66</v>
      </c>
      <c r="C54" s="14">
        <v>5495</v>
      </c>
      <c r="D54" s="7" t="s">
        <v>51</v>
      </c>
      <c r="E54" s="34" t="s">
        <v>53</v>
      </c>
      <c r="F54" s="34" t="s">
        <v>62</v>
      </c>
      <c r="G54" s="15">
        <v>910.60400000000004</v>
      </c>
      <c r="H54" s="15">
        <v>911.00815832575108</v>
      </c>
      <c r="I54" s="16">
        <f t="shared" si="1"/>
        <v>5003768.9800000004</v>
      </c>
      <c r="J54" s="16">
        <f t="shared" si="2"/>
        <v>5005989.8300000019</v>
      </c>
      <c r="K54" s="18">
        <v>0.16200000000000001</v>
      </c>
      <c r="L54" s="17"/>
      <c r="M54" s="17">
        <v>5003768.9800000004</v>
      </c>
      <c r="N54" s="35"/>
    </row>
    <row r="55" spans="1:14" s="36" customFormat="1" ht="12" customHeight="1" x14ac:dyDescent="0.25">
      <c r="A55" s="12" t="s">
        <v>85</v>
      </c>
      <c r="B55" s="7" t="s">
        <v>86</v>
      </c>
      <c r="C55" s="14">
        <v>7956</v>
      </c>
      <c r="D55" s="7" t="s">
        <v>51</v>
      </c>
      <c r="E55" s="34" t="s">
        <v>53</v>
      </c>
      <c r="F55" s="34" t="s">
        <v>62</v>
      </c>
      <c r="G55" s="15">
        <v>754.43600050276507</v>
      </c>
      <c r="H55" s="15">
        <v>754.77084590246409</v>
      </c>
      <c r="I55" s="16">
        <f t="shared" si="1"/>
        <v>6002292.8199999984</v>
      </c>
      <c r="J55" s="16">
        <f t="shared" si="2"/>
        <v>6004956.8500000043</v>
      </c>
      <c r="K55" s="18">
        <v>0.16200000000000001</v>
      </c>
      <c r="L55" s="17"/>
      <c r="M55" s="17">
        <v>6002292.8200000003</v>
      </c>
      <c r="N55" s="35"/>
    </row>
    <row r="56" spans="1:14" s="36" customFormat="1" ht="12" customHeight="1" x14ac:dyDescent="0.25">
      <c r="A56" s="12" t="s">
        <v>83</v>
      </c>
      <c r="B56" s="7" t="s">
        <v>84</v>
      </c>
      <c r="C56" s="14">
        <v>3848</v>
      </c>
      <c r="D56" s="7" t="s">
        <v>51</v>
      </c>
      <c r="E56" s="34" t="s">
        <v>53</v>
      </c>
      <c r="F56" s="34" t="s">
        <v>62</v>
      </c>
      <c r="G56" s="15">
        <v>1039.8360005197501</v>
      </c>
      <c r="H56" s="15">
        <v>1040.2975155925151</v>
      </c>
      <c r="I56" s="16">
        <f t="shared" si="1"/>
        <v>4001288.9299999983</v>
      </c>
      <c r="J56" s="16">
        <f t="shared" si="2"/>
        <v>4003064.839999998</v>
      </c>
      <c r="K56" s="18">
        <v>0.16200000000000001</v>
      </c>
      <c r="L56" s="17"/>
      <c r="M56" s="17">
        <v>4001288.93</v>
      </c>
      <c r="N56" s="35"/>
    </row>
    <row r="57" spans="1:14" s="36" customFormat="1" ht="12" customHeight="1" x14ac:dyDescent="0.25">
      <c r="A57" s="12" t="s">
        <v>87</v>
      </c>
      <c r="B57" s="7" t="s">
        <v>88</v>
      </c>
      <c r="C57" s="14">
        <v>7146</v>
      </c>
      <c r="D57" s="7" t="s">
        <v>51</v>
      </c>
      <c r="E57" s="34" t="s">
        <v>53</v>
      </c>
      <c r="F57" s="34" t="s">
        <v>62</v>
      </c>
      <c r="G57" s="15">
        <v>840.05</v>
      </c>
      <c r="H57" s="15">
        <v>840.42284354883907</v>
      </c>
      <c r="I57" s="16">
        <f t="shared" si="1"/>
        <v>6002997.2999999998</v>
      </c>
      <c r="J57" s="16">
        <f t="shared" si="2"/>
        <v>6005661.6400000043</v>
      </c>
      <c r="K57" s="18">
        <v>0.16200000000000001</v>
      </c>
      <c r="L57" s="17"/>
      <c r="M57" s="17">
        <v>6002997.2999999998</v>
      </c>
      <c r="N57" s="35"/>
    </row>
    <row r="58" spans="1:14" s="36" customFormat="1" ht="12" customHeight="1" x14ac:dyDescent="0.25">
      <c r="A58" s="12" t="s">
        <v>87</v>
      </c>
      <c r="B58" s="7" t="s">
        <v>88</v>
      </c>
      <c r="C58" s="14">
        <v>19056</v>
      </c>
      <c r="D58" s="7" t="s">
        <v>51</v>
      </c>
      <c r="E58" s="34" t="s">
        <v>53</v>
      </c>
      <c r="F58" s="34" t="s">
        <v>62</v>
      </c>
      <c r="G58" s="15">
        <v>840.05</v>
      </c>
      <c r="H58" s="15">
        <v>840.42284424853108</v>
      </c>
      <c r="I58" s="16">
        <f t="shared" si="1"/>
        <v>16007992.799999999</v>
      </c>
      <c r="J58" s="16">
        <f t="shared" si="2"/>
        <v>16015097.720000008</v>
      </c>
      <c r="K58" s="18">
        <v>0.16200000000000001</v>
      </c>
      <c r="L58" s="17"/>
      <c r="M58" s="17">
        <v>16007992.800000001</v>
      </c>
      <c r="N58" s="35"/>
    </row>
    <row r="59" spans="1:14" s="36" customFormat="1" ht="12" customHeight="1" x14ac:dyDescent="0.25">
      <c r="A59" s="12" t="s">
        <v>89</v>
      </c>
      <c r="B59" s="7" t="s">
        <v>90</v>
      </c>
      <c r="C59" s="14">
        <v>20824</v>
      </c>
      <c r="D59" s="7" t="s">
        <v>51</v>
      </c>
      <c r="E59" s="34" t="s">
        <v>53</v>
      </c>
      <c r="F59" s="34" t="s">
        <v>62</v>
      </c>
      <c r="G59" s="15">
        <v>912.80499999999995</v>
      </c>
      <c r="H59" s="15">
        <v>913.21013542066805</v>
      </c>
      <c r="I59" s="16">
        <f t="shared" si="1"/>
        <v>19008251.32</v>
      </c>
      <c r="J59" s="16">
        <f t="shared" si="2"/>
        <v>19016687.859999992</v>
      </c>
      <c r="K59" s="18">
        <v>0.16200000000000001</v>
      </c>
      <c r="L59" s="17"/>
      <c r="M59" s="17">
        <v>19008251.32</v>
      </c>
      <c r="N59" s="35"/>
    </row>
    <row r="60" spans="1:14" s="36" customFormat="1" ht="12" customHeight="1" x14ac:dyDescent="0.25">
      <c r="A60" s="12" t="s">
        <v>56</v>
      </c>
      <c r="B60" s="7" t="s">
        <v>57</v>
      </c>
      <c r="C60" s="14">
        <v>18887</v>
      </c>
      <c r="D60" s="7" t="s">
        <v>51</v>
      </c>
      <c r="E60" s="34" t="s">
        <v>53</v>
      </c>
      <c r="F60" s="34" t="s">
        <v>62</v>
      </c>
      <c r="G60" s="15">
        <v>900.43700005294602</v>
      </c>
      <c r="H60" s="15">
        <v>900.83664584105509</v>
      </c>
      <c r="I60" s="16">
        <f t="shared" si="1"/>
        <v>17006553.61999999</v>
      </c>
      <c r="J60" s="16">
        <f t="shared" si="2"/>
        <v>17014101.730000008</v>
      </c>
      <c r="K60" s="18">
        <v>0.16200000000000001</v>
      </c>
      <c r="L60" s="17"/>
      <c r="M60" s="17">
        <v>17006553.620000001</v>
      </c>
      <c r="N60" s="35"/>
    </row>
    <row r="61" spans="1:14" s="36" customFormat="1" ht="12" customHeight="1" x14ac:dyDescent="0.25">
      <c r="A61" s="12" t="s">
        <v>67</v>
      </c>
      <c r="B61" s="7" t="s">
        <v>68</v>
      </c>
      <c r="C61" s="14">
        <v>36014</v>
      </c>
      <c r="D61" s="7" t="s">
        <v>51</v>
      </c>
      <c r="E61" s="34" t="s">
        <v>53</v>
      </c>
      <c r="F61" s="34" t="s">
        <v>62</v>
      </c>
      <c r="G61" s="15">
        <v>611.01499999999999</v>
      </c>
      <c r="H61" s="15">
        <v>611.286190092742</v>
      </c>
      <c r="I61" s="16">
        <f t="shared" si="1"/>
        <v>22005094.210000001</v>
      </c>
      <c r="J61" s="16">
        <f t="shared" si="2"/>
        <v>22014860.850000009</v>
      </c>
      <c r="K61" s="18">
        <v>0.16200000000000001</v>
      </c>
      <c r="L61" s="17"/>
      <c r="M61" s="17">
        <v>22005094.210000001</v>
      </c>
      <c r="N61" s="35"/>
    </row>
    <row r="62" spans="1:14" s="36" customFormat="1" ht="12" customHeight="1" x14ac:dyDescent="0.25">
      <c r="A62" s="12" t="s">
        <v>85</v>
      </c>
      <c r="B62" s="7" t="s">
        <v>86</v>
      </c>
      <c r="C62" s="14">
        <v>33150</v>
      </c>
      <c r="D62" s="7" t="s">
        <v>51</v>
      </c>
      <c r="E62" s="34" t="s">
        <v>53</v>
      </c>
      <c r="F62" s="34" t="s">
        <v>62</v>
      </c>
      <c r="G62" s="15">
        <v>754.43600000000004</v>
      </c>
      <c r="H62" s="15">
        <v>754.77084555052807</v>
      </c>
      <c r="I62" s="16">
        <f t="shared" si="1"/>
        <v>25009553.400000002</v>
      </c>
      <c r="J62" s="16">
        <f t="shared" si="2"/>
        <v>25020653.530000005</v>
      </c>
      <c r="K62" s="18">
        <v>0.16200000000000001</v>
      </c>
      <c r="L62" s="17"/>
      <c r="M62" s="17">
        <v>25009553.399999999</v>
      </c>
      <c r="N62" s="35"/>
    </row>
    <row r="63" spans="1:14" s="36" customFormat="1" ht="12" customHeight="1" x14ac:dyDescent="0.25">
      <c r="A63" s="12" t="s">
        <v>91</v>
      </c>
      <c r="B63" s="7" t="s">
        <v>92</v>
      </c>
      <c r="C63" s="14">
        <v>36244</v>
      </c>
      <c r="D63" s="7" t="s">
        <v>51</v>
      </c>
      <c r="E63" s="34" t="s">
        <v>53</v>
      </c>
      <c r="F63" s="34" t="s">
        <v>62</v>
      </c>
      <c r="G63" s="15">
        <v>717.49</v>
      </c>
      <c r="H63" s="15">
        <v>717.80844774307502</v>
      </c>
      <c r="I63" s="16">
        <f t="shared" si="1"/>
        <v>26004707.559999999</v>
      </c>
      <c r="J63" s="16">
        <f t="shared" si="2"/>
        <v>26016249.38000001</v>
      </c>
      <c r="K63" s="18">
        <v>0.16200000000000001</v>
      </c>
      <c r="L63" s="17"/>
      <c r="M63" s="17">
        <v>26004707.559999999</v>
      </c>
      <c r="N63" s="35"/>
    </row>
    <row r="64" spans="1:14" s="36" customFormat="1" ht="12" customHeight="1" x14ac:dyDescent="0.25">
      <c r="A64" s="12" t="s">
        <v>93</v>
      </c>
      <c r="B64" s="7" t="s">
        <v>94</v>
      </c>
      <c r="C64" s="14">
        <v>20720</v>
      </c>
      <c r="D64" s="7" t="s">
        <v>51</v>
      </c>
      <c r="E64" s="34" t="s">
        <v>53</v>
      </c>
      <c r="F64" s="34" t="s">
        <v>62</v>
      </c>
      <c r="G64" s="15">
        <v>965.89700000000005</v>
      </c>
      <c r="H64" s="15">
        <v>966.32569932432409</v>
      </c>
      <c r="I64" s="16">
        <f t="shared" ref="I64:I93" si="3">+C64*G64</f>
        <v>20013385.84</v>
      </c>
      <c r="J64" s="16">
        <f t="shared" ref="J64:J93" si="4">+C64*H64</f>
        <v>20022268.489999995</v>
      </c>
      <c r="K64" s="18">
        <v>0.16200000000000001</v>
      </c>
      <c r="L64" s="17"/>
      <c r="M64" s="17">
        <v>20013385.84</v>
      </c>
      <c r="N64" s="35"/>
    </row>
    <row r="65" spans="1:14" s="36" customFormat="1" ht="12" customHeight="1" x14ac:dyDescent="0.25">
      <c r="A65" s="12" t="s">
        <v>95</v>
      </c>
      <c r="B65" s="7" t="s">
        <v>96</v>
      </c>
      <c r="C65" s="14">
        <v>35595</v>
      </c>
      <c r="D65" s="7" t="s">
        <v>51</v>
      </c>
      <c r="E65" s="34" t="s">
        <v>53</v>
      </c>
      <c r="F65" s="34" t="s">
        <v>62</v>
      </c>
      <c r="G65" s="15">
        <v>590.178</v>
      </c>
      <c r="H65" s="15">
        <v>590.43994212670304</v>
      </c>
      <c r="I65" s="16">
        <f t="shared" si="3"/>
        <v>21007385.91</v>
      </c>
      <c r="J65" s="16">
        <f t="shared" si="4"/>
        <v>21016709.739999995</v>
      </c>
      <c r="K65" s="18">
        <v>0.16200000000000001</v>
      </c>
      <c r="L65" s="17"/>
      <c r="M65" s="17">
        <v>21007385.91</v>
      </c>
      <c r="N65" s="35"/>
    </row>
    <row r="66" spans="1:14" s="36" customFormat="1" ht="12" customHeight="1" x14ac:dyDescent="0.25">
      <c r="A66" s="12" t="s">
        <v>97</v>
      </c>
      <c r="B66" s="7" t="s">
        <v>98</v>
      </c>
      <c r="C66" s="14">
        <v>25200</v>
      </c>
      <c r="D66" s="7" t="s">
        <v>51</v>
      </c>
      <c r="E66" s="34" t="s">
        <v>53</v>
      </c>
      <c r="F66" s="34" t="s">
        <v>62</v>
      </c>
      <c r="G66" s="15">
        <v>952.79600000000005</v>
      </c>
      <c r="H66" s="15">
        <v>953.21888492063499</v>
      </c>
      <c r="I66" s="16">
        <f t="shared" si="3"/>
        <v>24010459.200000003</v>
      </c>
      <c r="J66" s="16">
        <f t="shared" si="4"/>
        <v>24021115.900000002</v>
      </c>
      <c r="K66" s="18">
        <v>0.16200000000000001</v>
      </c>
      <c r="L66" s="17"/>
      <c r="M66" s="17">
        <v>24010459.199999999</v>
      </c>
      <c r="N66" s="35"/>
    </row>
    <row r="67" spans="1:14" s="36" customFormat="1" ht="12" customHeight="1" x14ac:dyDescent="0.25">
      <c r="A67" s="12" t="s">
        <v>99</v>
      </c>
      <c r="B67" s="7" t="s">
        <v>100</v>
      </c>
      <c r="C67" s="14">
        <v>24200</v>
      </c>
      <c r="D67" s="7" t="s">
        <v>51</v>
      </c>
      <c r="E67" s="34" t="s">
        <v>53</v>
      </c>
      <c r="F67" s="34" t="s">
        <v>62</v>
      </c>
      <c r="G67" s="15">
        <v>1033.8120000000001</v>
      </c>
      <c r="H67" s="15">
        <v>1034.270842561983</v>
      </c>
      <c r="I67" s="16">
        <f t="shared" si="3"/>
        <v>25018250.400000002</v>
      </c>
      <c r="J67" s="16">
        <f t="shared" si="4"/>
        <v>25029354.389999989</v>
      </c>
      <c r="K67" s="18">
        <v>0.16200000000000001</v>
      </c>
      <c r="L67" s="17"/>
      <c r="M67" s="17">
        <v>25018250.399999999</v>
      </c>
      <c r="N67" s="35"/>
    </row>
    <row r="68" spans="1:14" s="36" customFormat="1" ht="12" customHeight="1" x14ac:dyDescent="0.25">
      <c r="A68" s="12" t="s">
        <v>77</v>
      </c>
      <c r="B68" s="7" t="s">
        <v>78</v>
      </c>
      <c r="C68" s="14">
        <v>32131</v>
      </c>
      <c r="D68" s="7" t="s">
        <v>51</v>
      </c>
      <c r="E68" s="34" t="s">
        <v>53</v>
      </c>
      <c r="F68" s="34" t="s">
        <v>62</v>
      </c>
      <c r="G68" s="15">
        <v>715.90700009336808</v>
      </c>
      <c r="H68" s="15">
        <v>716.22474526158499</v>
      </c>
      <c r="I68" s="16">
        <f t="shared" si="3"/>
        <v>23002807.820000011</v>
      </c>
      <c r="J68" s="16">
        <f t="shared" si="4"/>
        <v>23013017.289999988</v>
      </c>
      <c r="K68" s="18">
        <v>0.16200000000000001</v>
      </c>
      <c r="L68" s="17"/>
      <c r="M68" s="17">
        <v>23002807.82</v>
      </c>
      <c r="N68" s="35"/>
    </row>
    <row r="69" spans="1:14" s="36" customFormat="1" ht="12" customHeight="1" x14ac:dyDescent="0.25">
      <c r="A69" s="12" t="s">
        <v>101</v>
      </c>
      <c r="B69" s="7" t="s">
        <v>102</v>
      </c>
      <c r="C69" s="14">
        <v>21582</v>
      </c>
      <c r="D69" s="7" t="s">
        <v>51</v>
      </c>
      <c r="E69" s="34" t="s">
        <v>53</v>
      </c>
      <c r="F69" s="34" t="s">
        <v>62</v>
      </c>
      <c r="G69" s="15">
        <v>834.20199981465998</v>
      </c>
      <c r="H69" s="15">
        <v>834.572248169771</v>
      </c>
      <c r="I69" s="16">
        <f t="shared" si="3"/>
        <v>18003747.559999991</v>
      </c>
      <c r="J69" s="16">
        <f t="shared" si="4"/>
        <v>18011738.259999998</v>
      </c>
      <c r="K69" s="18">
        <v>0.16200000000000001</v>
      </c>
      <c r="L69" s="17"/>
      <c r="M69" s="17">
        <v>18003747.559999999</v>
      </c>
      <c r="N69" s="35"/>
    </row>
    <row r="70" spans="1:14" s="36" customFormat="1" ht="12" customHeight="1" x14ac:dyDescent="0.25">
      <c r="A70" s="12" t="s">
        <v>103</v>
      </c>
      <c r="B70" s="7" t="s">
        <v>104</v>
      </c>
      <c r="C70" s="14">
        <v>21964</v>
      </c>
      <c r="D70" s="7" t="s">
        <v>51</v>
      </c>
      <c r="E70" s="34" t="s">
        <v>53</v>
      </c>
      <c r="F70" s="34" t="s">
        <v>62</v>
      </c>
      <c r="G70" s="15">
        <v>774.48799990894202</v>
      </c>
      <c r="H70" s="15">
        <v>774.83174512839207</v>
      </c>
      <c r="I70" s="16">
        <f t="shared" si="3"/>
        <v>17010854.430000003</v>
      </c>
      <c r="J70" s="16">
        <f t="shared" si="4"/>
        <v>17018404.450000003</v>
      </c>
      <c r="K70" s="18">
        <v>0.16200000000000001</v>
      </c>
      <c r="L70" s="17"/>
      <c r="M70" s="17">
        <v>17010854.43</v>
      </c>
      <c r="N70" s="35"/>
    </row>
    <row r="71" spans="1:14" s="36" customFormat="1" ht="12" customHeight="1" x14ac:dyDescent="0.25">
      <c r="A71" s="12" t="s">
        <v>105</v>
      </c>
      <c r="B71" s="7" t="s">
        <v>106</v>
      </c>
      <c r="C71" s="14">
        <v>34090</v>
      </c>
      <c r="D71" s="7" t="s">
        <v>51</v>
      </c>
      <c r="E71" s="34" t="s">
        <v>53</v>
      </c>
      <c r="F71" s="34" t="s">
        <v>62</v>
      </c>
      <c r="G71" s="15">
        <v>1027.5630000000001</v>
      </c>
      <c r="H71" s="15">
        <v>1028.0190689351712</v>
      </c>
      <c r="I71" s="16">
        <f t="shared" si="3"/>
        <v>35029622.670000002</v>
      </c>
      <c r="J71" s="16">
        <f t="shared" si="4"/>
        <v>35045170.059999987</v>
      </c>
      <c r="K71" s="18">
        <v>0.16200000000000001</v>
      </c>
      <c r="L71" s="17"/>
      <c r="M71" s="17">
        <v>35029622.670000002</v>
      </c>
      <c r="N71" s="35"/>
    </row>
    <row r="72" spans="1:14" s="36" customFormat="1" ht="12" customHeight="1" x14ac:dyDescent="0.25">
      <c r="A72" s="12" t="s">
        <v>107</v>
      </c>
      <c r="B72" s="7" t="s">
        <v>108</v>
      </c>
      <c r="C72" s="14">
        <v>34911</v>
      </c>
      <c r="D72" s="7" t="s">
        <v>51</v>
      </c>
      <c r="E72" s="34" t="s">
        <v>53</v>
      </c>
      <c r="F72" s="34" t="s">
        <v>62</v>
      </c>
      <c r="G72" s="15">
        <v>773.89500014322107</v>
      </c>
      <c r="H72" s="15">
        <v>774.23848242674205</v>
      </c>
      <c r="I72" s="16">
        <f t="shared" si="3"/>
        <v>27017448.34999999</v>
      </c>
      <c r="J72" s="16">
        <f t="shared" si="4"/>
        <v>27029439.659999993</v>
      </c>
      <c r="K72" s="18">
        <v>0.16200000000000001</v>
      </c>
      <c r="L72" s="17"/>
      <c r="M72" s="17">
        <v>27017448.350000001</v>
      </c>
      <c r="N72" s="35"/>
    </row>
    <row r="73" spans="1:14" s="36" customFormat="1" ht="12" customHeight="1" x14ac:dyDescent="0.25">
      <c r="A73" s="12" t="s">
        <v>109</v>
      </c>
      <c r="B73" s="7" t="s">
        <v>110</v>
      </c>
      <c r="C73" s="14">
        <v>59592</v>
      </c>
      <c r="D73" s="7" t="s">
        <v>51</v>
      </c>
      <c r="E73" s="34" t="s">
        <v>53</v>
      </c>
      <c r="F73" s="34" t="s">
        <v>62</v>
      </c>
      <c r="G73" s="15">
        <v>654.62199993287709</v>
      </c>
      <c r="H73" s="15">
        <v>654.912544469056</v>
      </c>
      <c r="I73" s="16">
        <f t="shared" si="3"/>
        <v>39010234.220000014</v>
      </c>
      <c r="J73" s="16">
        <f t="shared" si="4"/>
        <v>39027548.349999987</v>
      </c>
      <c r="K73" s="18">
        <v>0.16200000000000001</v>
      </c>
      <c r="L73" s="17"/>
      <c r="M73" s="17">
        <v>39010234.219999999</v>
      </c>
      <c r="N73" s="35"/>
    </row>
    <row r="74" spans="1:14" s="36" customFormat="1" ht="12" customHeight="1" x14ac:dyDescent="0.25">
      <c r="A74" s="12" t="s">
        <v>65</v>
      </c>
      <c r="B74" s="7" t="s">
        <v>66</v>
      </c>
      <c r="C74" s="14">
        <v>70336</v>
      </c>
      <c r="D74" s="7" t="s">
        <v>51</v>
      </c>
      <c r="E74" s="34" t="s">
        <v>53</v>
      </c>
      <c r="F74" s="34" t="s">
        <v>62</v>
      </c>
      <c r="G74" s="15">
        <v>910.60399994313002</v>
      </c>
      <c r="H74" s="15">
        <v>911.008158411056</v>
      </c>
      <c r="I74" s="16">
        <f t="shared" si="3"/>
        <v>64048242.93999999</v>
      </c>
      <c r="J74" s="16">
        <f t="shared" si="4"/>
        <v>64076669.830000035</v>
      </c>
      <c r="K74" s="18">
        <v>0.16200000000000001</v>
      </c>
      <c r="L74" s="17"/>
      <c r="M74" s="17">
        <v>64048242.939999998</v>
      </c>
      <c r="N74" s="35"/>
    </row>
    <row r="75" spans="1:14" s="36" customFormat="1" ht="12" customHeight="1" x14ac:dyDescent="0.25">
      <c r="A75" s="12" t="s">
        <v>111</v>
      </c>
      <c r="B75" s="7" t="s">
        <v>112</v>
      </c>
      <c r="C75" s="14">
        <v>81004</v>
      </c>
      <c r="D75" s="7" t="s">
        <v>51</v>
      </c>
      <c r="E75" s="34" t="s">
        <v>53</v>
      </c>
      <c r="F75" s="34" t="s">
        <v>62</v>
      </c>
      <c r="G75" s="15">
        <v>543.37750000000005</v>
      </c>
      <c r="H75" s="15">
        <v>543.61867031257702</v>
      </c>
      <c r="I75" s="16">
        <f t="shared" si="3"/>
        <v>44015751.010000005</v>
      </c>
      <c r="J75" s="16">
        <f t="shared" si="4"/>
        <v>44035286.769999988</v>
      </c>
      <c r="K75" s="18">
        <v>0.16200000000000001</v>
      </c>
      <c r="L75" s="17"/>
      <c r="M75" s="17">
        <v>44015751.009999998</v>
      </c>
      <c r="N75" s="35"/>
    </row>
    <row r="76" spans="1:14" s="36" customFormat="1" ht="12" customHeight="1" x14ac:dyDescent="0.25">
      <c r="A76" s="12" t="s">
        <v>101</v>
      </c>
      <c r="B76" s="7" t="s">
        <v>102</v>
      </c>
      <c r="C76" s="14">
        <v>64746</v>
      </c>
      <c r="D76" s="7" t="s">
        <v>51</v>
      </c>
      <c r="E76" s="34" t="s">
        <v>53</v>
      </c>
      <c r="F76" s="34" t="s">
        <v>62</v>
      </c>
      <c r="G76" s="15">
        <v>834.20199996911003</v>
      </c>
      <c r="H76" s="15">
        <v>834.57224847867008</v>
      </c>
      <c r="I76" s="16">
        <f t="shared" si="3"/>
        <v>54011242.689999998</v>
      </c>
      <c r="J76" s="16">
        <f t="shared" si="4"/>
        <v>54035214.799999975</v>
      </c>
      <c r="K76" s="18">
        <v>0.16200000000000001</v>
      </c>
      <c r="L76" s="17"/>
      <c r="M76" s="17">
        <v>54011242.689999998</v>
      </c>
      <c r="N76" s="35"/>
    </row>
    <row r="77" spans="1:14" s="36" customFormat="1" ht="12" customHeight="1" x14ac:dyDescent="0.25">
      <c r="A77" s="12" t="s">
        <v>113</v>
      </c>
      <c r="B77" s="7" t="s">
        <v>114</v>
      </c>
      <c r="C77" s="14">
        <v>60600</v>
      </c>
      <c r="D77" s="7" t="s">
        <v>51</v>
      </c>
      <c r="E77" s="34" t="s">
        <v>53</v>
      </c>
      <c r="F77" s="34" t="s">
        <v>62</v>
      </c>
      <c r="G77" s="15">
        <v>825.68</v>
      </c>
      <c r="H77" s="15">
        <v>826.046466171617</v>
      </c>
      <c r="I77" s="16">
        <f t="shared" si="3"/>
        <v>50036208</v>
      </c>
      <c r="J77" s="16">
        <f t="shared" si="4"/>
        <v>50058415.849999987</v>
      </c>
      <c r="K77" s="18">
        <v>0.16200000000000001</v>
      </c>
      <c r="L77" s="17"/>
      <c r="M77" s="17">
        <v>50036208</v>
      </c>
      <c r="N77" s="35"/>
    </row>
    <row r="78" spans="1:14" s="36" customFormat="1" ht="12" customHeight="1" x14ac:dyDescent="0.25">
      <c r="A78" s="12" t="s">
        <v>75</v>
      </c>
      <c r="B78" s="7" t="s">
        <v>76</v>
      </c>
      <c r="C78" s="14">
        <v>25515</v>
      </c>
      <c r="D78" s="7" t="s">
        <v>51</v>
      </c>
      <c r="E78" s="34" t="s">
        <v>53</v>
      </c>
      <c r="F78" s="34" t="s">
        <v>62</v>
      </c>
      <c r="G78" s="15">
        <v>1058.6100000000001</v>
      </c>
      <c r="H78" s="15">
        <v>1059.0798487164411</v>
      </c>
      <c r="I78" s="16">
        <f t="shared" si="3"/>
        <v>27010434.150000002</v>
      </c>
      <c r="J78" s="16">
        <f t="shared" si="4"/>
        <v>27022422.339999996</v>
      </c>
      <c r="K78" s="18">
        <v>0.16200000000000001</v>
      </c>
      <c r="L78" s="17"/>
      <c r="M78" s="17">
        <v>27010434.149999999</v>
      </c>
      <c r="N78" s="35"/>
    </row>
    <row r="79" spans="1:14" s="36" customFormat="1" ht="12" customHeight="1" x14ac:dyDescent="0.25">
      <c r="A79" s="12" t="s">
        <v>89</v>
      </c>
      <c r="B79" s="7" t="s">
        <v>90</v>
      </c>
      <c r="C79" s="14">
        <v>61376</v>
      </c>
      <c r="D79" s="7" t="s">
        <v>51</v>
      </c>
      <c r="E79" s="34" t="s">
        <v>53</v>
      </c>
      <c r="F79" s="34" t="s">
        <v>62</v>
      </c>
      <c r="G79" s="15">
        <v>912.80499999999995</v>
      </c>
      <c r="H79" s="15">
        <v>913.21013539494299</v>
      </c>
      <c r="I79" s="16">
        <f t="shared" si="3"/>
        <v>56024319.68</v>
      </c>
      <c r="J79" s="16">
        <f t="shared" si="4"/>
        <v>56049185.270000018</v>
      </c>
      <c r="K79" s="18">
        <v>0.16200000000000001</v>
      </c>
      <c r="L79" s="17"/>
      <c r="M79" s="17">
        <v>56024319.68</v>
      </c>
      <c r="N79" s="35"/>
    </row>
    <row r="80" spans="1:14" s="36" customFormat="1" ht="12" customHeight="1" x14ac:dyDescent="0.25">
      <c r="A80" s="12" t="s">
        <v>115</v>
      </c>
      <c r="B80" s="7" t="s">
        <v>116</v>
      </c>
      <c r="C80" s="14">
        <v>53960</v>
      </c>
      <c r="D80" s="7" t="s">
        <v>51</v>
      </c>
      <c r="E80" s="34" t="s">
        <v>53</v>
      </c>
      <c r="F80" s="34" t="s">
        <v>62</v>
      </c>
      <c r="G80" s="15">
        <v>741.53300000000002</v>
      </c>
      <c r="H80" s="15">
        <v>741.86211879169798</v>
      </c>
      <c r="I80" s="16">
        <f t="shared" si="3"/>
        <v>40013120.68</v>
      </c>
      <c r="J80" s="16">
        <f t="shared" si="4"/>
        <v>40030879.930000022</v>
      </c>
      <c r="K80" s="18">
        <v>0.16200000000000001</v>
      </c>
      <c r="L80" s="17"/>
      <c r="M80" s="17">
        <v>40013120.68</v>
      </c>
      <c r="N80" s="35"/>
    </row>
    <row r="81" spans="1:15" s="36" customFormat="1" ht="12" customHeight="1" x14ac:dyDescent="0.25">
      <c r="A81" s="12" t="s">
        <v>71</v>
      </c>
      <c r="B81" s="7" t="s">
        <v>72</v>
      </c>
      <c r="C81" s="14">
        <v>32682</v>
      </c>
      <c r="D81" s="7" t="s">
        <v>51</v>
      </c>
      <c r="E81" s="34" t="s">
        <v>53</v>
      </c>
      <c r="F81" s="34" t="s">
        <v>62</v>
      </c>
      <c r="G81" s="15">
        <v>796.14800012239209</v>
      </c>
      <c r="H81" s="15">
        <v>796.50135885196698</v>
      </c>
      <c r="I81" s="16">
        <f t="shared" si="3"/>
        <v>26019708.94000002</v>
      </c>
      <c r="J81" s="16">
        <f t="shared" si="4"/>
        <v>26031257.409999985</v>
      </c>
      <c r="K81" s="18">
        <v>0.16200000000000001</v>
      </c>
      <c r="L81" s="17"/>
      <c r="M81" s="17">
        <v>26019708.940000001</v>
      </c>
      <c r="N81" s="35"/>
    </row>
    <row r="82" spans="1:15" s="36" customFormat="1" ht="12" customHeight="1" x14ac:dyDescent="0.25">
      <c r="A82" s="12" t="s">
        <v>89</v>
      </c>
      <c r="B82" s="7" t="s">
        <v>90</v>
      </c>
      <c r="C82" s="14">
        <v>50416</v>
      </c>
      <c r="D82" s="7" t="s">
        <v>51</v>
      </c>
      <c r="E82" s="34" t="s">
        <v>53</v>
      </c>
      <c r="F82" s="34" t="s">
        <v>62</v>
      </c>
      <c r="G82" s="15">
        <v>912.80499999999995</v>
      </c>
      <c r="H82" s="15">
        <v>913.21013527451601</v>
      </c>
      <c r="I82" s="16">
        <f t="shared" si="3"/>
        <v>46019976.879999995</v>
      </c>
      <c r="J82" s="16">
        <f t="shared" si="4"/>
        <v>46040402.18</v>
      </c>
      <c r="K82" s="18">
        <v>0.16200000000000001</v>
      </c>
      <c r="L82" s="17"/>
      <c r="M82" s="17">
        <v>46019976.880000003</v>
      </c>
      <c r="N82" s="35"/>
    </row>
    <row r="83" spans="1:15" s="36" customFormat="1" ht="12" customHeight="1" x14ac:dyDescent="0.25">
      <c r="A83" s="12" t="s">
        <v>117</v>
      </c>
      <c r="B83" s="7" t="s">
        <v>118</v>
      </c>
      <c r="C83" s="14">
        <v>54636</v>
      </c>
      <c r="D83" s="7" t="s">
        <v>51</v>
      </c>
      <c r="E83" s="34" t="s">
        <v>53</v>
      </c>
      <c r="F83" s="34" t="s">
        <v>62</v>
      </c>
      <c r="G83" s="15">
        <v>1062.3419999633941</v>
      </c>
      <c r="H83" s="15">
        <v>1062.8135051980371</v>
      </c>
      <c r="I83" s="16">
        <f t="shared" si="3"/>
        <v>58042117.509999998</v>
      </c>
      <c r="J83" s="16">
        <f t="shared" si="4"/>
        <v>58067878.669999957</v>
      </c>
      <c r="K83" s="18">
        <v>0.16200000000000001</v>
      </c>
      <c r="L83" s="17"/>
      <c r="M83" s="17">
        <v>58042117.509999998</v>
      </c>
      <c r="N83" s="35"/>
    </row>
    <row r="84" spans="1:15" s="36" customFormat="1" ht="12" customHeight="1" x14ac:dyDescent="0.25">
      <c r="A84" s="12" t="s">
        <v>119</v>
      </c>
      <c r="B84" s="7" t="s">
        <v>120</v>
      </c>
      <c r="C84" s="14">
        <v>74812</v>
      </c>
      <c r="D84" s="7" t="s">
        <v>51</v>
      </c>
      <c r="E84" s="34" t="s">
        <v>53</v>
      </c>
      <c r="F84" s="34" t="s">
        <v>62</v>
      </c>
      <c r="G84" s="15">
        <v>789.12199994653304</v>
      </c>
      <c r="H84" s="15">
        <v>789.47224041597599</v>
      </c>
      <c r="I84" s="16">
        <f t="shared" si="3"/>
        <v>59035795.060000032</v>
      </c>
      <c r="J84" s="16">
        <f t="shared" si="4"/>
        <v>59061997.249999993</v>
      </c>
      <c r="K84" s="18">
        <v>0.16200000000000001</v>
      </c>
      <c r="L84" s="17"/>
      <c r="M84" s="17">
        <v>59035795.060000002</v>
      </c>
      <c r="N84" s="35"/>
    </row>
    <row r="85" spans="1:15" s="36" customFormat="1" ht="12" customHeight="1" x14ac:dyDescent="0.25">
      <c r="A85" s="12" t="s">
        <v>85</v>
      </c>
      <c r="B85" s="7" t="s">
        <v>86</v>
      </c>
      <c r="C85" s="14">
        <v>84864</v>
      </c>
      <c r="D85" s="7" t="s">
        <v>51</v>
      </c>
      <c r="E85" s="34" t="s">
        <v>53</v>
      </c>
      <c r="F85" s="34" t="s">
        <v>62</v>
      </c>
      <c r="G85" s="15">
        <v>754.43599995286604</v>
      </c>
      <c r="H85" s="15">
        <v>754.77084547039999</v>
      </c>
      <c r="I85" s="16">
        <f t="shared" si="3"/>
        <v>64024456.700000025</v>
      </c>
      <c r="J85" s="16">
        <f t="shared" si="4"/>
        <v>64052873.030000024</v>
      </c>
      <c r="K85" s="18">
        <v>0.16200000000000001</v>
      </c>
      <c r="L85" s="17"/>
      <c r="M85" s="17">
        <v>64024456.700000003</v>
      </c>
      <c r="N85" s="35"/>
    </row>
    <row r="86" spans="1:15" s="36" customFormat="1" ht="12" customHeight="1" x14ac:dyDescent="0.25">
      <c r="A86" s="12" t="s">
        <v>87</v>
      </c>
      <c r="B86" s="7" t="s">
        <v>88</v>
      </c>
      <c r="C86" s="14">
        <v>48831</v>
      </c>
      <c r="D86" s="7" t="s">
        <v>51</v>
      </c>
      <c r="E86" s="34" t="s">
        <v>53</v>
      </c>
      <c r="F86" s="34" t="s">
        <v>62</v>
      </c>
      <c r="G86" s="15">
        <v>840.05</v>
      </c>
      <c r="H86" s="15">
        <v>840.42284409494005</v>
      </c>
      <c r="I86" s="16">
        <f t="shared" si="3"/>
        <v>41020481.549999997</v>
      </c>
      <c r="J86" s="16">
        <f t="shared" si="4"/>
        <v>41038687.900000021</v>
      </c>
      <c r="K86" s="18">
        <v>0.16200000000000001</v>
      </c>
      <c r="L86" s="17"/>
      <c r="M86" s="17">
        <v>41020481.549999997</v>
      </c>
      <c r="N86" s="35"/>
    </row>
    <row r="87" spans="1:15" s="36" customFormat="1" ht="12" customHeight="1" x14ac:dyDescent="0.25">
      <c r="A87" s="12" t="s">
        <v>101</v>
      </c>
      <c r="B87" s="7" t="s">
        <v>102</v>
      </c>
      <c r="C87" s="14">
        <v>53955</v>
      </c>
      <c r="D87" s="7" t="s">
        <v>51</v>
      </c>
      <c r="E87" s="34" t="s">
        <v>53</v>
      </c>
      <c r="F87" s="34" t="s">
        <v>62</v>
      </c>
      <c r="G87" s="15">
        <v>834.202</v>
      </c>
      <c r="H87" s="15">
        <v>834.57224854045</v>
      </c>
      <c r="I87" s="16">
        <f t="shared" si="3"/>
        <v>45009368.909999996</v>
      </c>
      <c r="J87" s="16">
        <f t="shared" si="4"/>
        <v>45029345.669999979</v>
      </c>
      <c r="K87" s="18">
        <v>0.16200000000000001</v>
      </c>
      <c r="L87" s="17"/>
      <c r="M87" s="17">
        <v>45009368.909999996</v>
      </c>
      <c r="N87" s="35"/>
    </row>
    <row r="88" spans="1:15" s="36" customFormat="1" ht="12" customHeight="1" x14ac:dyDescent="0.25">
      <c r="A88" s="12" t="s">
        <v>56</v>
      </c>
      <c r="B88" s="7" t="s">
        <v>57</v>
      </c>
      <c r="C88" s="14">
        <v>33330</v>
      </c>
      <c r="D88" s="7" t="s">
        <v>51</v>
      </c>
      <c r="E88" s="34" t="s">
        <v>53</v>
      </c>
      <c r="F88" s="34" t="s">
        <v>62</v>
      </c>
      <c r="G88" s="15">
        <v>900.43700000000001</v>
      </c>
      <c r="H88" s="15">
        <v>900.83664596459607</v>
      </c>
      <c r="I88" s="16">
        <f t="shared" si="3"/>
        <v>30011565.210000001</v>
      </c>
      <c r="J88" s="16">
        <f t="shared" si="4"/>
        <v>30024885.409999989</v>
      </c>
      <c r="K88" s="18">
        <v>0.16200000000000001</v>
      </c>
      <c r="L88" s="17"/>
      <c r="M88" s="17">
        <v>30011565.210000001</v>
      </c>
      <c r="N88" s="35"/>
    </row>
    <row r="89" spans="1:15" s="36" customFormat="1" ht="12" customHeight="1" x14ac:dyDescent="0.25">
      <c r="A89" s="12" t="s">
        <v>121</v>
      </c>
      <c r="B89" s="7" t="s">
        <v>122</v>
      </c>
      <c r="C89" s="14">
        <v>35779</v>
      </c>
      <c r="D89" s="7" t="s">
        <v>51</v>
      </c>
      <c r="E89" s="34" t="s">
        <v>53</v>
      </c>
      <c r="F89" s="34" t="s">
        <v>62</v>
      </c>
      <c r="G89" s="15">
        <v>1034.17899997205</v>
      </c>
      <c r="H89" s="15">
        <v>1034.6380055339721</v>
      </c>
      <c r="I89" s="16">
        <f t="shared" si="3"/>
        <v>37001890.439999975</v>
      </c>
      <c r="J89" s="16">
        <f t="shared" si="4"/>
        <v>37018313.199999988</v>
      </c>
      <c r="K89" s="18">
        <v>0.16200000000000001</v>
      </c>
      <c r="L89" s="17"/>
      <c r="M89" s="17">
        <v>37001890.439999998</v>
      </c>
      <c r="N89" s="35"/>
    </row>
    <row r="90" spans="1:15" s="36" customFormat="1" ht="12" customHeight="1" x14ac:dyDescent="0.25">
      <c r="A90" s="12" t="s">
        <v>97</v>
      </c>
      <c r="B90" s="7" t="s">
        <v>98</v>
      </c>
      <c r="C90" s="14">
        <v>28350</v>
      </c>
      <c r="D90" s="7" t="s">
        <v>51</v>
      </c>
      <c r="E90" s="34" t="s">
        <v>53</v>
      </c>
      <c r="F90" s="34" t="s">
        <v>62</v>
      </c>
      <c r="G90" s="15">
        <v>952.79600000000005</v>
      </c>
      <c r="H90" s="15">
        <v>953.21888465608504</v>
      </c>
      <c r="I90" s="16">
        <f t="shared" si="3"/>
        <v>27011766.600000001</v>
      </c>
      <c r="J90" s="16">
        <f t="shared" si="4"/>
        <v>27023755.38000001</v>
      </c>
      <c r="K90" s="18">
        <v>0.16200000000000001</v>
      </c>
      <c r="L90" s="17"/>
      <c r="M90" s="17">
        <v>27011766.600000001</v>
      </c>
      <c r="N90" s="35"/>
    </row>
    <row r="91" spans="1:15" s="36" customFormat="1" ht="12" customHeight="1" x14ac:dyDescent="0.25">
      <c r="A91" s="12" t="s">
        <v>123</v>
      </c>
      <c r="B91" s="7" t="s">
        <v>124</v>
      </c>
      <c r="C91" s="14">
        <v>77314</v>
      </c>
      <c r="D91" s="7" t="s">
        <v>51</v>
      </c>
      <c r="E91" s="34" t="s">
        <v>53</v>
      </c>
      <c r="F91" s="34" t="s">
        <v>62</v>
      </c>
      <c r="G91" s="15">
        <v>750.54</v>
      </c>
      <c r="H91" s="15">
        <v>750.87311638254403</v>
      </c>
      <c r="I91" s="16">
        <f t="shared" si="3"/>
        <v>58027249.559999995</v>
      </c>
      <c r="J91" s="16">
        <f t="shared" si="4"/>
        <v>58053004.120000012</v>
      </c>
      <c r="K91" s="18">
        <v>0.16200000000000001</v>
      </c>
      <c r="L91" s="17"/>
      <c r="M91" s="17">
        <v>58027249.560000002</v>
      </c>
      <c r="N91" s="35"/>
    </row>
    <row r="92" spans="1:15" s="36" customFormat="1" ht="12" customHeight="1" x14ac:dyDescent="0.25">
      <c r="A92" s="12" t="s">
        <v>125</v>
      </c>
      <c r="B92" s="7" t="s">
        <v>126</v>
      </c>
      <c r="C92" s="14">
        <v>264516</v>
      </c>
      <c r="D92" s="7" t="s">
        <v>51</v>
      </c>
      <c r="E92" s="34" t="s">
        <v>53</v>
      </c>
      <c r="F92" s="34" t="s">
        <v>62</v>
      </c>
      <c r="G92" s="15">
        <v>1014.1380000075601</v>
      </c>
      <c r="H92" s="15">
        <v>1014.5881105868831</v>
      </c>
      <c r="I92" s="16">
        <f t="shared" si="3"/>
        <v>268255727.20999977</v>
      </c>
      <c r="J92" s="16">
        <f t="shared" si="4"/>
        <v>268374788.65999997</v>
      </c>
      <c r="K92" s="18">
        <v>0.16200000000000001</v>
      </c>
      <c r="L92" s="17"/>
      <c r="M92" s="17">
        <v>268255727.21000001</v>
      </c>
      <c r="N92" s="35"/>
    </row>
    <row r="93" spans="1:15" s="36" customFormat="1" ht="12" customHeight="1" x14ac:dyDescent="0.25">
      <c r="A93" s="12" t="s">
        <v>99</v>
      </c>
      <c r="B93" s="7" t="s">
        <v>100</v>
      </c>
      <c r="C93" s="14">
        <v>335896</v>
      </c>
      <c r="D93" s="7" t="s">
        <v>51</v>
      </c>
      <c r="E93" s="34" t="s">
        <v>53</v>
      </c>
      <c r="F93" s="34" t="s">
        <v>62</v>
      </c>
      <c r="G93" s="15">
        <v>1033.811999994045</v>
      </c>
      <c r="H93" s="15">
        <v>1034.270842582227</v>
      </c>
      <c r="I93" s="16">
        <f t="shared" si="3"/>
        <v>347253315.54999971</v>
      </c>
      <c r="J93" s="16">
        <f t="shared" si="4"/>
        <v>347407438.93999976</v>
      </c>
      <c r="K93" s="18">
        <v>0.16200000000000001</v>
      </c>
      <c r="L93" s="17"/>
      <c r="M93" s="17">
        <v>347253315.55000001</v>
      </c>
      <c r="N93" s="35"/>
    </row>
    <row r="94" spans="1:15" s="36" customFormat="1" ht="11.25" hidden="1" x14ac:dyDescent="0.25">
      <c r="A94" s="7"/>
      <c r="B94" s="7"/>
      <c r="C94" s="7"/>
      <c r="D94" s="7"/>
      <c r="E94" s="37"/>
      <c r="F94" s="37"/>
      <c r="G94" s="7"/>
      <c r="H94" s="7"/>
      <c r="I94" s="8"/>
      <c r="J94" s="8"/>
      <c r="K94" s="7"/>
      <c r="L94" s="9"/>
      <c r="M94" s="9"/>
      <c r="N94" s="35"/>
    </row>
    <row r="95" spans="1:15" x14ac:dyDescent="0.25">
      <c r="A95" s="1" t="s">
        <v>5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2">
        <f>SUM(M32:M94)</f>
        <v>3216147203.8099999</v>
      </c>
      <c r="N95" s="38"/>
      <c r="O95" s="29"/>
    </row>
    <row r="97" spans="1:8" x14ac:dyDescent="0.25">
      <c r="A97" s="39" t="s">
        <v>28</v>
      </c>
      <c r="B97" s="33"/>
      <c r="D97" s="33"/>
      <c r="F97" s="28"/>
      <c r="G97" s="28"/>
    </row>
    <row r="98" spans="1:8" ht="22.5" x14ac:dyDescent="0.25">
      <c r="A98" s="19" t="s">
        <v>6</v>
      </c>
      <c r="B98" s="19" t="s">
        <v>29</v>
      </c>
      <c r="C98" s="19" t="s">
        <v>17</v>
      </c>
      <c r="D98" s="19" t="s">
        <v>30</v>
      </c>
      <c r="E98" s="19" t="s">
        <v>16</v>
      </c>
      <c r="F98" s="19" t="s">
        <v>31</v>
      </c>
      <c r="G98" s="19" t="s">
        <v>32</v>
      </c>
    </row>
    <row r="99" spans="1:8" hidden="1" x14ac:dyDescent="0.25">
      <c r="B99" s="41"/>
      <c r="C99" s="42"/>
      <c r="D99" s="43"/>
      <c r="G99" s="44"/>
      <c r="H99" s="33"/>
    </row>
    <row r="100" spans="1:8" x14ac:dyDescent="0.25">
      <c r="G100" s="45">
        <f>SUM(G99:G99)</f>
        <v>0</v>
      </c>
    </row>
    <row r="102" spans="1:8" x14ac:dyDescent="0.25">
      <c r="A102" s="46" t="s">
        <v>13</v>
      </c>
      <c r="B102" s="47">
        <f>+L24+B27+M95+G100</f>
        <v>32339066973.229752</v>
      </c>
      <c r="C102" s="32">
        <v>32339066973.229778</v>
      </c>
      <c r="D102" s="29">
        <f>B102-C102</f>
        <v>0</v>
      </c>
    </row>
    <row r="105" spans="1:8" x14ac:dyDescent="0.25">
      <c r="A105" s="24" t="s">
        <v>46</v>
      </c>
      <c r="B105" s="33"/>
    </row>
    <row r="106" spans="1:8" x14ac:dyDescent="0.25">
      <c r="A106" s="48" t="s">
        <v>35</v>
      </c>
      <c r="B106" s="49"/>
    </row>
    <row r="107" spans="1:8" x14ac:dyDescent="0.25">
      <c r="A107" s="48" t="s">
        <v>36</v>
      </c>
      <c r="B107" s="40"/>
    </row>
    <row r="108" spans="1:8" x14ac:dyDescent="0.25">
      <c r="A108" s="48" t="s">
        <v>37</v>
      </c>
      <c r="B108" s="40">
        <v>399113.34000000008</v>
      </c>
    </row>
    <row r="109" spans="1:8" x14ac:dyDescent="0.25">
      <c r="A109" s="48" t="s">
        <v>38</v>
      </c>
      <c r="B109" s="40"/>
    </row>
    <row r="110" spans="1:8" x14ac:dyDescent="0.25">
      <c r="A110" s="48" t="s">
        <v>39</v>
      </c>
      <c r="B110" s="49"/>
    </row>
    <row r="111" spans="1:8" x14ac:dyDescent="0.25">
      <c r="A111" s="48" t="s">
        <v>40</v>
      </c>
      <c r="B111" s="50">
        <v>75140.03</v>
      </c>
    </row>
    <row r="112" spans="1:8" x14ac:dyDescent="0.25">
      <c r="A112" s="48" t="s">
        <v>41</v>
      </c>
      <c r="B112" s="50">
        <v>37184.75</v>
      </c>
    </row>
    <row r="113" spans="1:2" x14ac:dyDescent="0.25">
      <c r="A113" s="48" t="s">
        <v>42</v>
      </c>
      <c r="B113" s="40"/>
    </row>
    <row r="114" spans="1:2" x14ac:dyDescent="0.25">
      <c r="A114" s="48" t="s">
        <v>43</v>
      </c>
      <c r="B114" s="40"/>
    </row>
    <row r="115" spans="1:2" x14ac:dyDescent="0.25">
      <c r="A115" s="48" t="s">
        <v>44</v>
      </c>
      <c r="B115" s="50"/>
    </row>
    <row r="116" spans="1:2" x14ac:dyDescent="0.25">
      <c r="A116" s="48" t="s">
        <v>45</v>
      </c>
      <c r="B116" s="49">
        <f>SUM(B106:B115)</f>
        <v>511438.12000000011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2025-09-26T05:23:57Z</dcterms:created>
  <dcterms:modified xsi:type="dcterms:W3CDTF">2025-09-26T08:10:50Z</dcterms:modified>
</cp:coreProperties>
</file>