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04590CE4-D5E8-43A5-9AA8-9C6AD8A9E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ДУ!$44:$44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5" i="1"/>
  <c r="D28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M22" i="1" s="1"/>
  <c r="K25" i="1"/>
  <c r="M23" i="1"/>
  <c r="M21" i="1"/>
  <c r="M19" i="1"/>
  <c r="M17" i="1"/>
  <c r="M15" i="1"/>
  <c r="M13" i="1"/>
  <c r="M11" i="1"/>
  <c r="M9" i="1"/>
  <c r="M7" i="1"/>
  <c r="M5" i="1"/>
  <c r="M4" i="1" l="1"/>
  <c r="M8" i="1"/>
  <c r="M12" i="1"/>
  <c r="M16" i="1"/>
  <c r="M20" i="1"/>
  <c r="B48" i="1"/>
  <c r="M6" i="1"/>
  <c r="M10" i="1"/>
  <c r="M14" i="1"/>
  <c r="M18" i="1"/>
</calcChain>
</file>

<file path=xl/sharedStrings.xml><?xml version="1.0" encoding="utf-8"?>
<sst xmlns="http://schemas.openxmlformats.org/spreadsheetml/2006/main" count="167" uniqueCount="124">
  <si>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</si>
  <si>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</si>
  <si>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</si>
  <si>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</si>
  <si>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</si>
  <si>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</si>
  <si>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</si>
  <si>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</si>
  <si>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</si>
  <si>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</si>
  <si>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</si>
  <si>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</si>
  <si>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</si>
  <si>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</si>
  <si>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</si>
  <si>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</si>
  <si>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</si>
  <si>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</si>
  <si>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</si>
  <si>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</si>
  <si>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</si>
  <si>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</si>
  <si>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</si>
  <si>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</si>
  <si>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</si>
  <si>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</si>
  <si>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</si>
  <si>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</si>
  <si>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</si>
  <si>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</si>
  <si>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</si>
  <si>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</si>
  <si>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</si>
  <si>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</si>
  <si>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</si>
  <si>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</si>
  <si>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</si>
  <si>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</si>
  <si>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</si>
  <si>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</si>
  <si>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</si>
  <si>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</si>
  <si>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</si>
  <si>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</si>
  <si>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</si>
  <si>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</si>
  <si>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</si>
  <si>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</si>
  <si>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</si>
  <si>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</si>
  <si>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</si>
  <si>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</si>
  <si>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ГУ "Национальный Банк Республики Казахстан", ГЦБ, NTK028_2866</t>
  </si>
  <si>
    <t>KZW100014320</t>
  </si>
  <si>
    <t>02.09.2025</t>
  </si>
  <si>
    <t>МИНИСТЕРСТВО ФИНАНСОВ РК, ГЦБ, KZ_24_3207</t>
  </si>
  <si>
    <t>XS3093655341</t>
  </si>
  <si>
    <t>04.09.2025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</si>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</sst>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97.985500000000002</v>
      </c>
      <c r="J4" s="11">
        <v>99.23033333333332</v>
      </c>
      <c r="K4" s="11">
        <v>37593966.666666657</v>
      </c>
      <c r="L4" s="11">
        <v>2996756066.666666</v>
      </c>
      <c r="M4" s="6">
        <f t="shared" ref="M4:M23" si="0">L4/$L$25</f>
        <v>9.9830952550704857E-2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82.379800000000003</v>
      </c>
      <c r="J5" s="11">
        <v>83.405494444444443</v>
      </c>
      <c r="K5" s="11">
        <v>23231979.16666666</v>
      </c>
      <c r="L5" s="11">
        <v>1889134449.166666</v>
      </c>
      <c r="M5" s="6">
        <f t="shared" si="0"/>
        <v>6.2932747064206415E-2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82.379800000000003</v>
      </c>
      <c r="J6" s="11">
        <v>83.405494444444699</v>
      </c>
      <c r="K6" s="11">
        <v>15915146.81944444</v>
      </c>
      <c r="L6" s="11">
        <v>1294158018.3274479</v>
      </c>
      <c r="M6" s="6">
        <f t="shared" si="0"/>
        <v>4.3112293709133741E-2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82.379800000000003</v>
      </c>
      <c r="J7" s="11">
        <v>83.405494444444443</v>
      </c>
      <c r="K7" s="11">
        <v>5597132.5277777798</v>
      </c>
      <c r="L7" s="11">
        <v>455137110.74377799</v>
      </c>
      <c r="M7" s="6">
        <f t="shared" si="0"/>
        <v>1.5161985258702408E-2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86.259900000000002</v>
      </c>
      <c r="J8" s="11">
        <v>90.333233333333325</v>
      </c>
      <c r="K8" s="11">
        <v>92260999.999999985</v>
      </c>
      <c r="L8" s="11">
        <v>2046047734.999999</v>
      </c>
      <c r="M8" s="6">
        <f t="shared" si="0"/>
        <v>6.8160000282059027E-2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84.356200000000001</v>
      </c>
      <c r="J9" s="11">
        <v>89.031199999999984</v>
      </c>
      <c r="K9" s="11">
        <v>105888750</v>
      </c>
      <c r="L9" s="11">
        <v>2016556679.999999</v>
      </c>
      <c r="M9" s="6">
        <f t="shared" si="0"/>
        <v>6.7177564592640363E-2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77.137500000000003</v>
      </c>
      <c r="J10" s="11">
        <v>81.886944444444438</v>
      </c>
      <c r="K10" s="11">
        <v>107574916.666667</v>
      </c>
      <c r="L10" s="11">
        <v>1854739291.666666</v>
      </c>
      <c r="M10" s="6">
        <f t="shared" si="0"/>
        <v>6.1786940979236718E-2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67.73190000000001</v>
      </c>
      <c r="J11" s="11">
        <v>70.947594444444434</v>
      </c>
      <c r="K11" s="11">
        <v>72835479.166666657</v>
      </c>
      <c r="L11" s="11">
        <v>1606963014.166666</v>
      </c>
      <c r="M11" s="6">
        <f t="shared" si="0"/>
        <v>5.3532768383264741E-2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75.65740000000001</v>
      </c>
      <c r="J12" s="11">
        <v>76.751983333333328</v>
      </c>
      <c r="K12" s="11">
        <v>24792312.5</v>
      </c>
      <c r="L12" s="11">
        <v>1738432422.5</v>
      </c>
      <c r="M12" s="6">
        <f t="shared" si="0"/>
        <v>5.791240955966289E-2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61.401000000000003</v>
      </c>
      <c r="J13" s="11">
        <v>63.889249999999997</v>
      </c>
      <c r="K13" s="11">
        <v>56358862.5</v>
      </c>
      <c r="L13" s="11">
        <v>1447091512.5</v>
      </c>
      <c r="M13" s="6">
        <f t="shared" si="0"/>
        <v>4.8206968103882128E-2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59.985800000000005</v>
      </c>
      <c r="J14" s="11">
        <v>64.782966666666653</v>
      </c>
      <c r="K14" s="11">
        <v>108655825</v>
      </c>
      <c r="L14" s="11">
        <v>1467334195</v>
      </c>
      <c r="M14" s="6">
        <f t="shared" si="0"/>
        <v>4.8881312705578155E-2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84.663800000000009</v>
      </c>
      <c r="J15" s="11">
        <v>87.0428</v>
      </c>
      <c r="K15" s="11">
        <v>89807250</v>
      </c>
      <c r="L15" s="11">
        <v>3285865700</v>
      </c>
      <c r="M15" s="6">
        <f t="shared" si="0"/>
        <v>0.10946206347370883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56.503300000000003</v>
      </c>
      <c r="J16" s="11">
        <v>58.474133333333327</v>
      </c>
      <c r="K16" s="11">
        <v>55259407.5</v>
      </c>
      <c r="L16" s="11">
        <v>1639532834.8800001</v>
      </c>
      <c r="M16" s="6">
        <f t="shared" si="0"/>
        <v>5.4617767013077967E-2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84.823599999999999</v>
      </c>
      <c r="J17" s="11">
        <v>90.690266666666659</v>
      </c>
      <c r="K17" s="11">
        <v>60924160</v>
      </c>
      <c r="L17" s="11">
        <v>941800281.27999997</v>
      </c>
      <c r="M17" s="6">
        <f t="shared" si="0"/>
        <v>3.1374198333494939E-2</v>
      </c>
    </row>
    <row r="18" spans="1:15" x14ac:dyDescent="0.25">
      <c r="A18" s="1" t="s">
        <v>100</v>
      </c>
      <c r="B18" s="13" t="s">
        <v>101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97.5749</v>
      </c>
      <c r="J18" s="11">
        <v>102.051983333333</v>
      </c>
      <c r="K18" s="11">
        <v>22698320.020833328</v>
      </c>
      <c r="L18" s="11">
        <v>517392329.78183299</v>
      </c>
      <c r="M18" s="6">
        <f t="shared" si="0"/>
        <v>1.7235893738258717E-2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93.304383686204005</v>
      </c>
      <c r="J19" s="11">
        <v>93.304383686204005</v>
      </c>
      <c r="K19" s="11"/>
      <c r="L19" s="11">
        <v>1959392057.410284</v>
      </c>
      <c r="M19" s="6">
        <f t="shared" si="0"/>
        <v>6.5273239182637763E-2</v>
      </c>
    </row>
    <row r="20" spans="1:15" x14ac:dyDescent="0.25">
      <c r="A20" s="1" t="s">
        <v>108</v>
      </c>
      <c r="B20" s="13" t="s">
        <v>109</v>
      </c>
      <c r="C20" s="10">
        <v>1100000</v>
      </c>
      <c r="D20" s="11">
        <v>1100000000</v>
      </c>
      <c r="E20" s="3">
        <v>0.13870000000000002</v>
      </c>
      <c r="F20" s="4" t="s">
        <v>110</v>
      </c>
      <c r="G20" s="4" t="s">
        <v>111</v>
      </c>
      <c r="H20" s="11">
        <v>1100000000</v>
      </c>
      <c r="I20" s="11">
        <v>99.937920703384691</v>
      </c>
      <c r="J20" s="11">
        <v>106.60322625894001</v>
      </c>
      <c r="K20" s="11">
        <v>73318361.111111104</v>
      </c>
      <c r="L20" s="11">
        <v>1172635488.8483419</v>
      </c>
      <c r="M20" s="6">
        <f t="shared" si="0"/>
        <v>3.90640129667627E-2</v>
      </c>
    </row>
    <row r="21" spans="1:15" x14ac:dyDescent="0.25">
      <c r="A21" s="1" t="s">
        <v>112</v>
      </c>
      <c r="B21" s="13" t="s">
        <v>113</v>
      </c>
      <c r="C21" s="10">
        <v>1000000</v>
      </c>
      <c r="D21" s="11">
        <v>1000000000</v>
      </c>
      <c r="E21" s="3">
        <v>0.1389</v>
      </c>
      <c r="F21" s="4" t="s">
        <v>114</v>
      </c>
      <c r="G21" s="4" t="s">
        <v>115</v>
      </c>
      <c r="H21" s="11">
        <v>1000000000</v>
      </c>
      <c r="I21" s="11">
        <v>98.080003979202004</v>
      </c>
      <c r="J21" s="11">
        <v>101.745420645869</v>
      </c>
      <c r="K21" s="11">
        <v>36654166.666666657</v>
      </c>
      <c r="L21" s="11">
        <v>1017454206.458686</v>
      </c>
      <c r="M21" s="6">
        <f t="shared" si="0"/>
        <v>3.3894457989860245E-2</v>
      </c>
    </row>
    <row r="22" spans="1:15" x14ac:dyDescent="0.25">
      <c r="A22" s="1" t="s">
        <v>116</v>
      </c>
      <c r="B22" s="13" t="s">
        <v>117</v>
      </c>
      <c r="C22" s="10">
        <v>165739</v>
      </c>
      <c r="D22" s="11">
        <v>165739000</v>
      </c>
      <c r="E22" s="3">
        <v>0.125</v>
      </c>
      <c r="F22" s="4" t="s">
        <v>118</v>
      </c>
      <c r="G22" s="4" t="s">
        <v>119</v>
      </c>
      <c r="H22" s="11">
        <v>159596381.18279999</v>
      </c>
      <c r="I22" s="11">
        <v>95.487224049049189</v>
      </c>
      <c r="J22" s="11">
        <v>98.299724049035788</v>
      </c>
      <c r="K22" s="11">
        <v>4661409.3749777796</v>
      </c>
      <c r="L22" s="11">
        <v>162920979.64163101</v>
      </c>
      <c r="M22" s="6">
        <f t="shared" si="0"/>
        <v>5.4273875571758876E-3</v>
      </c>
    </row>
    <row r="23" spans="1:15" x14ac:dyDescent="0.25">
      <c r="A23" s="1" t="s">
        <v>120</v>
      </c>
      <c r="B23" s="13" t="s">
        <v>121</v>
      </c>
      <c r="C23" s="10">
        <v>494987</v>
      </c>
      <c r="D23" s="11">
        <v>494987000</v>
      </c>
      <c r="E23" s="3">
        <v>0.1701</v>
      </c>
      <c r="F23" s="4" t="s">
        <v>122</v>
      </c>
      <c r="G23" s="4" t="s">
        <v>123</v>
      </c>
      <c r="H23" s="11">
        <v>495088472.34249997</v>
      </c>
      <c r="I23" s="11">
        <v>101.5947</v>
      </c>
      <c r="J23" s="11">
        <v>102.8232</v>
      </c>
      <c r="K23" s="11">
        <v>6080915.2949999999</v>
      </c>
      <c r="L23" s="11">
        <v>508961472.98400003</v>
      </c>
      <c r="M23" s="6">
        <f t="shared" si="0"/>
        <v>1.6955036555951434E-2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1000109360.9824781</v>
      </c>
      <c r="L25" s="22">
        <f>SUM(L4:L24)</f>
        <v>30018305847.022667</v>
      </c>
      <c r="M25" s="23"/>
      <c r="N25" s="26">
        <v>30018305847.02269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12928404.01</v>
      </c>
      <c r="C28" s="58">
        <v>12928404.01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4195437</v>
      </c>
      <c r="D33" s="7" t="s">
        <v>50</v>
      </c>
      <c r="E33" s="34" t="s">
        <v>54</v>
      </c>
      <c r="F33" s="34" t="s">
        <v>51</v>
      </c>
      <c r="G33" s="15">
        <v>99.399199999904639</v>
      </c>
      <c r="H33" s="15">
        <v>99.442499925514312</v>
      </c>
      <c r="I33" s="16">
        <f t="shared" ref="I33:I38" si="1">+C33*G33</f>
        <v>417023081.44999993</v>
      </c>
      <c r="J33" s="16">
        <f t="shared" ref="J33:J38" si="2">+C33*H33</f>
        <v>417204743.56</v>
      </c>
      <c r="K33" s="18">
        <v>0.159</v>
      </c>
      <c r="L33" s="17">
        <v>181662.11</v>
      </c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4195437</v>
      </c>
      <c r="D34" s="7" t="s">
        <v>50</v>
      </c>
      <c r="E34" s="34" t="s">
        <v>51</v>
      </c>
      <c r="F34" s="34" t="s">
        <v>51</v>
      </c>
      <c r="G34" s="15">
        <v>99.399199999904639</v>
      </c>
      <c r="H34" s="15">
        <v>99.442499925514312</v>
      </c>
      <c r="I34" s="16">
        <f t="shared" si="1"/>
        <v>417023081.44999993</v>
      </c>
      <c r="J34" s="16">
        <f t="shared" si="2"/>
        <v>417204743.56</v>
      </c>
      <c r="K34" s="18">
        <v>0.159</v>
      </c>
      <c r="L34" s="17"/>
      <c r="M34" s="17"/>
      <c r="N34" s="35"/>
    </row>
    <row r="35" spans="1:15" s="36" customFormat="1" ht="12" customHeight="1" x14ac:dyDescent="0.25">
      <c r="A35" s="12" t="s">
        <v>55</v>
      </c>
      <c r="B35" s="7" t="s">
        <v>56</v>
      </c>
      <c r="C35" s="14">
        <v>2367300</v>
      </c>
      <c r="D35" s="7" t="s">
        <v>50</v>
      </c>
      <c r="E35" s="34" t="s">
        <v>54</v>
      </c>
      <c r="F35" s="34" t="s">
        <v>51</v>
      </c>
      <c r="G35" s="15">
        <v>549.40089999999998</v>
      </c>
      <c r="H35" s="15">
        <v>549.63721614075098</v>
      </c>
      <c r="I35" s="16">
        <f t="shared" si="1"/>
        <v>1300596750.5699999</v>
      </c>
      <c r="J35" s="16">
        <f t="shared" si="2"/>
        <v>1301156181.7699997</v>
      </c>
      <c r="K35" s="18">
        <v>0.156999</v>
      </c>
      <c r="L35" s="17">
        <v>559431.19999999995</v>
      </c>
      <c r="M35" s="17"/>
      <c r="N35" s="35"/>
    </row>
    <row r="36" spans="1:15" s="36" customFormat="1" ht="12" customHeight="1" x14ac:dyDescent="0.25">
      <c r="A36" s="12" t="s">
        <v>55</v>
      </c>
      <c r="B36" s="7" t="s">
        <v>56</v>
      </c>
      <c r="C36" s="14">
        <v>2367300</v>
      </c>
      <c r="D36" s="7" t="s">
        <v>50</v>
      </c>
      <c r="E36" s="34" t="s">
        <v>51</v>
      </c>
      <c r="F36" s="34" t="s">
        <v>51</v>
      </c>
      <c r="G36" s="15">
        <v>549.40089999999998</v>
      </c>
      <c r="H36" s="15">
        <v>549.63721614075098</v>
      </c>
      <c r="I36" s="16">
        <f t="shared" si="1"/>
        <v>1300596750.5699999</v>
      </c>
      <c r="J36" s="16">
        <f t="shared" si="2"/>
        <v>1301156181.7699997</v>
      </c>
      <c r="K36" s="18">
        <v>0.156999</v>
      </c>
      <c r="L36" s="17"/>
      <c r="M36" s="17"/>
      <c r="N36" s="35"/>
    </row>
    <row r="37" spans="1:15" s="36" customFormat="1" ht="12" customHeight="1" x14ac:dyDescent="0.25">
      <c r="A37" s="12" t="s">
        <v>52</v>
      </c>
      <c r="B37" s="7" t="s">
        <v>53</v>
      </c>
      <c r="C37" s="14">
        <v>13074100</v>
      </c>
      <c r="D37" s="7" t="s">
        <v>50</v>
      </c>
      <c r="E37" s="34" t="s">
        <v>51</v>
      </c>
      <c r="F37" s="34" t="s">
        <v>57</v>
      </c>
      <c r="G37" s="15">
        <v>99.437300000000008</v>
      </c>
      <c r="H37" s="15">
        <v>99.480480034572153</v>
      </c>
      <c r="I37" s="16">
        <f t="shared" si="1"/>
        <v>1300053203.9300001</v>
      </c>
      <c r="J37" s="16">
        <f t="shared" si="2"/>
        <v>1300617744.0199997</v>
      </c>
      <c r="K37" s="18">
        <v>0.158499</v>
      </c>
      <c r="L37" s="17"/>
      <c r="M37" s="17">
        <v>1300053203.9300001</v>
      </c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444465</v>
      </c>
      <c r="D38" s="7" t="s">
        <v>50</v>
      </c>
      <c r="E38" s="34" t="s">
        <v>51</v>
      </c>
      <c r="F38" s="34" t="s">
        <v>57</v>
      </c>
      <c r="G38" s="15">
        <v>934.28900001124907</v>
      </c>
      <c r="H38" s="15">
        <v>934.68831001316209</v>
      </c>
      <c r="I38" s="16">
        <f t="shared" si="1"/>
        <v>415258760.38999981</v>
      </c>
      <c r="J38" s="16">
        <f t="shared" si="2"/>
        <v>415436239.7100001</v>
      </c>
      <c r="K38" s="18">
        <v>0.155999</v>
      </c>
      <c r="L38" s="17"/>
      <c r="M38" s="17">
        <v>415258760.38999999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SUM(M33:M39)</f>
        <v>1715311964.3200002</v>
      </c>
      <c r="N40" s="38">
        <v>1715311964.3200002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2100000</v>
      </c>
      <c r="F44" s="55">
        <v>300300000</v>
      </c>
      <c r="G44" s="56">
        <v>300300000</v>
      </c>
      <c r="H44" s="58">
        <v>300300000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300300000</v>
      </c>
    </row>
    <row r="48" spans="1:15" x14ac:dyDescent="0.25">
      <c r="A48" s="47" t="s">
        <v>13</v>
      </c>
      <c r="B48" s="48">
        <f>+L25+B28+M40+G46</f>
        <v>32046846215.352665</v>
      </c>
      <c r="C48" s="32">
        <v>32046846215.352692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59522.340000000004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5149.3999999999996</v>
      </c>
    </row>
    <row r="58" spans="1:2" x14ac:dyDescent="0.25">
      <c r="A58" s="49" t="s">
        <v>41</v>
      </c>
      <c r="B58" s="51">
        <v>2574.6999999999998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67246.44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2025-09-04T05:12:41Z</dcterms:created>
  <dcterms:modified xsi:type="dcterms:W3CDTF">2025-09-04T10:08:26Z</dcterms:modified>
</cp:coreProperties>
</file>