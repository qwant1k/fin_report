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Jusan Invest BCK\Сверка\2025\09.2025\"/>
    </mc:Choice>
  </mc:AlternateContent>
  <xr:revisionPtr revIDLastSave="0" documentId="13_ncr:1_{BF538104-522A-458B-8F25-B5C975A8BE9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Лист1" sheetId="2" r:id="rId2"/>
  </sheets>
  <definedNames>
    <definedName name="__mdDATAHead__">ДУ!$1:$1</definedName>
    <definedName name="__mdDATAMoney__">ДУ!$28:$28</definedName>
    <definedName name="__mdDATAOther__">ДУ!$44:$44</definedName>
    <definedName name="__mdDATAREPO__">ДУ!$33:$33</definedName>
    <definedName name="__mdDATASecurities__">ДУ!$4:$4</definedName>
    <definedName name="_FilterDatabase" localSheetId="0" hidden="1">ДУ!$A$3:$M$25</definedName>
    <definedName name="_xlnm._FilterDatabase" localSheetId="0" hidden="1">ДУ!$A$3:$M$3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8" i="1" l="1"/>
  <c r="I44" i="1"/>
  <c r="O40" i="1"/>
  <c r="O25" i="1"/>
  <c r="D28" i="1"/>
  <c r="B62" i="1"/>
  <c r="G46" i="1"/>
  <c r="A44" i="1"/>
  <c r="M40" i="1"/>
  <c r="J38" i="1"/>
  <c r="I38" i="1"/>
  <c r="J37" i="1"/>
  <c r="I37" i="1"/>
  <c r="J36" i="1"/>
  <c r="I36" i="1"/>
  <c r="J35" i="1"/>
  <c r="I35" i="1"/>
  <c r="J34" i="1"/>
  <c r="I34" i="1"/>
  <c r="J33" i="1"/>
  <c r="I33" i="1"/>
  <c r="L25" i="1"/>
  <c r="M18" i="1" s="1"/>
  <c r="K25" i="1"/>
  <c r="M13" i="1" l="1"/>
  <c r="M8" i="1"/>
  <c r="M14" i="1"/>
  <c r="M20" i="1"/>
  <c r="M7" i="1"/>
  <c r="M4" i="1"/>
  <c r="M10" i="1"/>
  <c r="M16" i="1"/>
  <c r="M22" i="1"/>
  <c r="M5" i="1"/>
  <c r="M11" i="1"/>
  <c r="M17" i="1"/>
  <c r="M23" i="1"/>
  <c r="B48" i="1"/>
  <c r="M19" i="1"/>
  <c r="M9" i="1"/>
  <c r="M15" i="1"/>
  <c r="M21" i="1"/>
  <c r="M6" i="1"/>
  <c r="M12" i="1"/>
</calcChain>
</file>

<file path=xl/sharedStrings.xml><?xml version="1.0" encoding="utf-8"?>
<sst xmlns="http://schemas.openxmlformats.org/spreadsheetml/2006/main" count="167" uniqueCount="124">
  <si>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</si>
  <si>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</si>
  <si>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</si>
  <si>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</si>
  <si>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</si>
  <si>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</si>
  <si>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№ п/п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</si>
  <si>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</si>
  <si>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</si>
  <si>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</si>
  <si>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</si>
  <si>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</si>
  <si>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</si>
  <si>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</si>
  <si>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</si>
  <si>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</si>
  <si>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</si>
  <si>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</si>
  <si>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</si>
  <si>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</si>
  <si>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</si>
  <si>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</si>
  <si>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</si>
  <si>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</si>
  <si>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</si>
  <si>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</si>
  <si>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</si>
  <si>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</si>
  <si>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</si>
  <si>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</si>
  <si>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</si>
  <si>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</si>
  <si>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</si>
  <si>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</si>
  <si>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</si>
  <si>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</si>
  <si>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</si>
  <si>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</si>
  <si>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</si>
  <si>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</si>
  <si>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</si>
  <si>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</si>
  <si>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</si>
  <si>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</si>
  <si>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</si>
  <si>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</t>
  </si>
  <si>
    <t>2) Кредиторская задолженность Фонда</t>
  </si>
  <si>
    <t xml:space="preserve">Расчетная цена </t>
  </si>
  <si>
    <t>Расчетная грязная цена</t>
  </si>
  <si>
    <t>KZ2D00011863 _EABRb52</t>
  </si>
  <si>
    <t>KZT</t>
  </si>
  <si>
    <t>03.09.2025</t>
  </si>
  <si>
    <t>ГУ "Национальный Банк Республики Казахстан", ГЦБ, NTK028_2866</t>
  </si>
  <si>
    <t>KZW100014320</t>
  </si>
  <si>
    <t>04.09.2025</t>
  </si>
  <si>
    <t>05.09.2025</t>
  </si>
  <si>
    <t>МИНИСТЕРСТВО ФИНАНСОВ РК, ГЦБ, MKM012_0161</t>
  </si>
  <si>
    <t>KZK100000423</t>
  </si>
  <si>
    <t>МИНИСТЕРСТВО ФИНАНСОВ РК, ГЦБ, MUM096_0011</t>
  </si>
  <si>
    <t>KZKD00001095</t>
  </si>
  <si>
    <t>МИНИСТЕРСТВО ФИНАНСОВ РК, ГЦБ, MOM048_0052</t>
  </si>
  <si>
    <t>KZK200000687</t>
  </si>
  <si>
    <t>18.07.2024</t>
  </si>
  <si>
    <t>21.01.2026</t>
  </si>
  <si>
    <t>МИНИСТЕРСТВО ФИНАНСОВ РК, ГЦБ, MUM096_0012</t>
  </si>
  <si>
    <t>KZKD00001160</t>
  </si>
  <si>
    <t>28.07.2029</t>
  </si>
  <si>
    <t>08.08.2024</t>
  </si>
  <si>
    <t>12.06.2025</t>
  </si>
  <si>
    <t>МИНИСТЕРСТВО ФИНАНСОВ РК, ГЦБ, MUM084_0018</t>
  </si>
  <si>
    <t>KZKD00001137</t>
  </si>
  <si>
    <t>12.04.2028</t>
  </si>
  <si>
    <t>МИНИСТЕРСТВО ФИНАНСОВ РК, ГЦБ, MUM108_0013</t>
  </si>
  <si>
    <t>KZKD00001087</t>
  </si>
  <si>
    <t>31.03.2029</t>
  </si>
  <si>
    <t>МИНИСТЕРСТВО ФИНАНСОВ РК, ГЦБ, MUM120_0019</t>
  </si>
  <si>
    <t>KZKD00001129</t>
  </si>
  <si>
    <t>17.03.2031</t>
  </si>
  <si>
    <t>МИНИСТЕРСТВО ФИНАНСОВ РК, ГЦБ, MUM168_0003</t>
  </si>
  <si>
    <t>KZKD00000949</t>
  </si>
  <si>
    <t>16.04.2032</t>
  </si>
  <si>
    <t>МИНИСТЕРСТВО ФИНАНСОВ РК, ГЦБ, MUM132_0007</t>
  </si>
  <si>
    <t>KZKD00001152</t>
  </si>
  <si>
    <t>26.07.2032</t>
  </si>
  <si>
    <t>МИНИСТЕРСТВО ФИНАНСОВ РК, ГЦБ, MUM240_0002</t>
  </si>
  <si>
    <t>KZKD00000741</t>
  </si>
  <si>
    <t>12.05.2034</t>
  </si>
  <si>
    <t>МИНИСТЕРСТВО ФИНАНСОВ РК, ГЦБ, MUM240_0004</t>
  </si>
  <si>
    <t>KZKD00000832</t>
  </si>
  <si>
    <t>29.01.2035</t>
  </si>
  <si>
    <t>МИНИСТЕРСТВО ФИНАНСОВ РК, ГЦБ, MUM180_0006</t>
  </si>
  <si>
    <t>KZKD00000535</t>
  </si>
  <si>
    <t>27.03.2027</t>
  </si>
  <si>
    <t>МИНИСТЕРСТВО ФИНАНСОВ РК, ГЦБ, MUM240_0001</t>
  </si>
  <si>
    <t>KZKD00000550</t>
  </si>
  <si>
    <t>25.07.2024</t>
  </si>
  <si>
    <t>24.04.2032</t>
  </si>
  <si>
    <t>МИНИСТЕРСТВО ФИНАНСОВ РК, ГЦБ, MUM072_0015</t>
  </si>
  <si>
    <t>KZKD00001251</t>
  </si>
  <si>
    <t>07.03.2030</t>
  </si>
  <si>
    <t>МИНИСТЕРСТВО ФИНАНСОВ РК, ГЦБ, MOM060_0054</t>
  </si>
  <si>
    <t>KZK200000737</t>
  </si>
  <si>
    <t>24.06.2025</t>
  </si>
  <si>
    <t>18.11.2027</t>
  </si>
  <si>
    <t>ЕВРАЗИЙСКИЙ БАНК РАЗВИТИЯ, ОБЛИГАЦИИ, EABRb52</t>
  </si>
  <si>
    <t>KZ2D00011863</t>
  </si>
  <si>
    <t>03.09.2024</t>
  </si>
  <si>
    <t>03.09.2027</t>
  </si>
  <si>
    <t>АКЦИОНЕРНОЕ ОБЩЕСТВО НАЦИОНАЛЬНЫЙ УПРАВЛЯЮЩИЙ ХОЛДИНГ БАЙТЕРЕК, ОБЛИГАЦИИ, BTRKb14</t>
  </si>
  <si>
    <t>KZ2C00011245</t>
  </si>
  <si>
    <t>10.09.2024</t>
  </si>
  <si>
    <t>10.09.2025</t>
  </si>
  <si>
    <t>АКЦИОНЕРНОЕ ОБЩЕСТВО НАЦИОНАЛЬНЫЙ УПРАВЛЯЮЩИЙ ХОЛДИНГ БАЙТЕРЕК, ОБЛИГАЦИИ, BTRKb17</t>
  </si>
  <si>
    <t>KZ2C00012698</t>
  </si>
  <si>
    <t>28.11.2024</t>
  </si>
  <si>
    <t>28.03.2026</t>
  </si>
  <si>
    <t>АКЦИОНЕРНОЕ ОБЩЕСТВО КАЗАХСТАНСКИЙ ФОНД УСТОЙЧИВОСТИ, ОБЛИГАЦИИ, KFUSb83</t>
  </si>
  <si>
    <t>KZ2C00012094</t>
  </si>
  <si>
    <t>19.06.2025</t>
  </si>
  <si>
    <t>12.06.2026</t>
  </si>
  <si>
    <t>МИНИСТЕРСТВО ФИНАНСОВ РК, ГЦБ, MOM048_0056</t>
  </si>
  <si>
    <t>KZK200000760</t>
  </si>
  <si>
    <t>28.08.2025</t>
  </si>
  <si>
    <t>07.08.2029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</si>
</sst>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.0"/>
    <numFmt numFmtId="165" formatCode="0.0000"/>
    <numFmt numFmtId="166" formatCode="_-* #,##0.00\ _₽_-;\-* #,##0.00\ _₽_-;_-* &quot;-&quot;??\ _₽_-;_-@_-"/>
  </numFmts>
  <fonts count="14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9"/>
      <name val="Microsoft Sans Serif"/>
      <family val="2"/>
    </font>
    <font>
      <sz val="8"/>
      <color theme="1"/>
      <name val="Arial"/>
      <family val="2"/>
      <charset val="204"/>
    </font>
    <font>
      <b/>
      <sz val="8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b/>
      <sz val="11"/>
      <color rgb="FF7030A0"/>
      <name val="Calibri"/>
      <family val="2"/>
      <charset val="204"/>
      <scheme val="minor"/>
    </font>
    <font>
      <sz val="10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7">
    <xf numFmtId="0" fontId="0" fillId="0" borderId="0"/>
    <xf numFmtId="0" fontId="3" fillId="0" borderId="0"/>
    <xf numFmtId="43" fontId="6" fillId="0" borderId="0" applyFont="0" applyFill="0" applyBorder="0" applyAlignment="0" applyProtection="0"/>
    <xf numFmtId="0" fontId="7" fillId="0" borderId="0"/>
    <xf numFmtId="43" fontId="6" fillId="0" borderId="0" applyFont="0" applyFill="0" applyBorder="0" applyAlignment="0" applyProtection="0"/>
    <xf numFmtId="0" fontId="3" fillId="0" borderId="0"/>
    <xf numFmtId="9" fontId="6" fillId="0" borderId="0" applyFont="0" applyFill="0" applyBorder="0" applyAlignment="0" applyProtection="0"/>
  </cellStyleXfs>
  <cellXfs count="59">
    <xf numFmtId="0" fontId="0" fillId="0" borderId="0" xfId="0"/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center" vertical="center"/>
    </xf>
    <xf numFmtId="10" fontId="2" fillId="0" borderId="1" xfId="6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2" applyFont="1" applyBorder="1" applyAlignment="1">
      <alignment horizontal="center" vertical="center" wrapText="1"/>
    </xf>
    <xf numFmtId="43" fontId="2" fillId="0" borderId="1" xfId="2" applyFont="1" applyFill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right" vertical="center" wrapText="1"/>
    </xf>
    <xf numFmtId="4" fontId="2" fillId="0" borderId="1" xfId="0" applyNumberFormat="1" applyFont="1" applyBorder="1" applyAlignment="1">
      <alignment horizontal="right" vertical="center" wrapText="1"/>
    </xf>
    <xf numFmtId="4" fontId="2" fillId="0" borderId="1" xfId="2" applyNumberFormat="1" applyFont="1" applyBorder="1" applyAlignment="1">
      <alignment horizontal="right" vertical="center" wrapText="1"/>
    </xf>
    <xf numFmtId="4" fontId="2" fillId="0" borderId="1" xfId="2" applyNumberFormat="1" applyFont="1" applyFill="1" applyBorder="1" applyAlignment="1">
      <alignment horizontal="right"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14" fontId="12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4" fontId="0" fillId="0" borderId="0" xfId="0" applyNumberFormat="1" applyAlignment="1">
      <alignment vertical="center"/>
    </xf>
    <xf numFmtId="0" fontId="4" fillId="0" borderId="2" xfId="0" applyFont="1" applyBorder="1" applyAlignment="1">
      <alignment vertical="center" wrapText="1"/>
    </xf>
    <xf numFmtId="4" fontId="8" fillId="0" borderId="1" xfId="3" applyNumberFormat="1" applyFont="1" applyBorder="1" applyAlignment="1">
      <alignment horizontal="right" vertical="center" wrapText="1"/>
    </xf>
    <xf numFmtId="164" fontId="11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14" fontId="9" fillId="0" borderId="1" xfId="0" applyNumberFormat="1" applyFont="1" applyBorder="1" applyAlignment="1">
      <alignment horizontal="center" vertical="center"/>
    </xf>
    <xf numFmtId="166" fontId="9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14" fontId="9" fillId="0" borderId="1" xfId="0" applyNumberFormat="1" applyFont="1" applyBorder="1" applyAlignment="1">
      <alignment vertical="center"/>
    </xf>
    <xf numFmtId="164" fontId="0" fillId="0" borderId="0" xfId="0" applyNumberForma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1" xfId="3" applyBorder="1" applyAlignment="1">
      <alignment horizontal="left" vertical="center" wrapText="1"/>
    </xf>
    <xf numFmtId="43" fontId="0" fillId="0" borderId="1" xfId="2" applyFont="1" applyBorder="1" applyAlignment="1">
      <alignment vertical="center"/>
    </xf>
    <xf numFmtId="0" fontId="7" fillId="0" borderId="0" xfId="3" applyAlignment="1">
      <alignment vertical="center" wrapText="1"/>
    </xf>
    <xf numFmtId="4" fontId="7" fillId="0" borderId="0" xfId="3" applyNumberFormat="1" applyAlignment="1">
      <alignment horizontal="right" vertical="center" wrapText="1"/>
    </xf>
    <xf numFmtId="14" fontId="0" fillId="0" borderId="0" xfId="0" applyNumberFormat="1" applyAlignment="1">
      <alignment vertical="center"/>
    </xf>
    <xf numFmtId="43" fontId="0" fillId="0" borderId="0" xfId="2" applyFont="1" applyBorder="1" applyAlignment="1">
      <alignment vertical="center"/>
    </xf>
    <xf numFmtId="43" fontId="0" fillId="0" borderId="0" xfId="0" applyNumberFormat="1" applyAlignment="1">
      <alignment vertical="center"/>
    </xf>
    <xf numFmtId="0" fontId="5" fillId="0" borderId="1" xfId="0" applyFont="1" applyBorder="1" applyAlignment="1">
      <alignment vertical="center"/>
    </xf>
    <xf numFmtId="4" fontId="4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43" fontId="4" fillId="0" borderId="1" xfId="2" applyFont="1" applyBorder="1" applyAlignment="1">
      <alignment vertical="center"/>
    </xf>
    <xf numFmtId="43" fontId="0" fillId="0" borderId="1" xfId="2" applyFont="1" applyFill="1" applyBorder="1" applyAlignment="1">
      <alignment vertical="center"/>
    </xf>
    <xf numFmtId="4" fontId="7" fillId="0" borderId="1" xfId="3" applyNumberForma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right" vertical="center"/>
    </xf>
    <xf numFmtId="4" fontId="0" fillId="0" borderId="1" xfId="0" applyNumberFormat="1" applyBorder="1" applyAlignment="1">
      <alignment horizontal="right" vertical="center"/>
    </xf>
    <xf numFmtId="4" fontId="0" fillId="0" borderId="1" xfId="2" applyNumberFormat="1" applyFont="1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4" fontId="11" fillId="0" borderId="0" xfId="0" applyNumberFormat="1" applyFont="1" applyAlignment="1">
      <alignment vertical="center"/>
    </xf>
  </cellXfs>
  <cellStyles count="7">
    <cellStyle name="Обычный" xfId="0" builtinId="0"/>
    <cellStyle name="Обычный 2" xfId="1" xr:uid="{00000000-0005-0000-0000-000003000000}"/>
    <cellStyle name="Обычный 2 2" xfId="5" xr:uid="{00000000-0005-0000-0000-000004000000}"/>
    <cellStyle name="Обычный_ДУ" xfId="3" xr:uid="{00000000-0005-0000-0000-000005000000}"/>
    <cellStyle name="Процентный" xfId="6" builtinId="5"/>
    <cellStyle name="Финансовый" xfId="2" builtinId="3"/>
    <cellStyle name="Финансовый 2" xfId="4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2"/>
  <sheetViews>
    <sheetView tabSelected="1" topLeftCell="A13" zoomScale="90" zoomScaleNormal="90" workbookViewId="0">
      <selection activeCell="D49" sqref="D49"/>
    </sheetView>
  </sheetViews>
  <sheetFormatPr defaultColWidth="8.85546875" defaultRowHeight="15" x14ac:dyDescent="0.25"/>
  <cols>
    <col min="1" max="1" width="58" style="26" customWidth="1"/>
    <col min="2" max="2" width="27.28515625" style="26" customWidth="1"/>
    <col min="3" max="3" width="18.42578125" style="26" customWidth="1"/>
    <col min="4" max="4" width="18.5703125" style="26" customWidth="1"/>
    <col min="5" max="5" width="16.42578125" style="26" customWidth="1"/>
    <col min="6" max="6" width="18.42578125" style="26" customWidth="1"/>
    <col min="7" max="7" width="16" style="26" customWidth="1"/>
    <col min="8" max="8" width="15.7109375" style="26" customWidth="1"/>
    <col min="9" max="9" width="17.28515625" style="26" customWidth="1"/>
    <col min="10" max="10" width="19.140625" style="26" customWidth="1"/>
    <col min="11" max="11" width="16.7109375" style="26" customWidth="1"/>
    <col min="12" max="12" width="21.85546875" style="26" customWidth="1"/>
    <col min="13" max="13" width="21.28515625" style="26" customWidth="1"/>
    <col min="14" max="14" width="13.28515625" style="26" bestFit="1" customWidth="1"/>
    <col min="15" max="16384" width="8.85546875" style="26"/>
  </cols>
  <sheetData>
    <row r="1" spans="1:13" x14ac:dyDescent="0.25">
      <c r="A1" s="24" t="s">
        <v>27</v>
      </c>
      <c r="B1" s="25" t="s">
        <v>54</v>
      </c>
    </row>
    <row r="2" spans="1:13" x14ac:dyDescent="0.25">
      <c r="A2" s="27" t="s">
        <v>12</v>
      </c>
      <c r="E2" s="28"/>
      <c r="F2" s="28"/>
      <c r="H2" s="28"/>
      <c r="I2" s="28"/>
      <c r="J2" s="28"/>
      <c r="K2" s="28"/>
      <c r="L2" s="28"/>
      <c r="M2" s="28"/>
    </row>
    <row r="3" spans="1:13" ht="33.75" x14ac:dyDescent="0.25">
      <c r="A3" s="19" t="s">
        <v>14</v>
      </c>
      <c r="B3" s="19" t="s">
        <v>0</v>
      </c>
      <c r="C3" s="19" t="s">
        <v>33</v>
      </c>
      <c r="D3" s="19" t="s">
        <v>1</v>
      </c>
      <c r="E3" s="19" t="s">
        <v>8</v>
      </c>
      <c r="F3" s="19" t="s">
        <v>7</v>
      </c>
      <c r="G3" s="19" t="s">
        <v>2</v>
      </c>
      <c r="H3" s="19" t="s">
        <v>25</v>
      </c>
      <c r="I3" s="20" t="s">
        <v>47</v>
      </c>
      <c r="J3" s="20" t="s">
        <v>48</v>
      </c>
      <c r="K3" s="19" t="s">
        <v>3</v>
      </c>
      <c r="L3" s="19" t="s">
        <v>34</v>
      </c>
      <c r="M3" s="19" t="s">
        <v>4</v>
      </c>
    </row>
    <row r="4" spans="1:13" x14ac:dyDescent="0.25">
      <c r="A4" s="1" t="s">
        <v>60</v>
      </c>
      <c r="B4" s="13" t="s">
        <v>61</v>
      </c>
      <c r="C4" s="10">
        <v>3020000</v>
      </c>
      <c r="D4" s="11">
        <v>3020000000</v>
      </c>
      <c r="E4" s="3">
        <v>0.1067</v>
      </c>
      <c r="F4" s="4" t="s">
        <v>62</v>
      </c>
      <c r="G4" s="4" t="s">
        <v>63</v>
      </c>
      <c r="H4" s="11">
        <v>2930617060.0000029</v>
      </c>
      <c r="I4" s="11">
        <v>97.912100000000009</v>
      </c>
      <c r="J4" s="11">
        <v>99.18657222222221</v>
      </c>
      <c r="K4" s="11">
        <v>38489061.111111112</v>
      </c>
      <c r="L4" s="11">
        <v>2995434481.1111112</v>
      </c>
      <c r="M4" s="6">
        <f t="shared" ref="M4:M23" si="0">L4/$L$25</f>
        <v>9.9507970236845725E-2</v>
      </c>
    </row>
    <row r="5" spans="1:13" x14ac:dyDescent="0.25">
      <c r="A5" s="1" t="s">
        <v>64</v>
      </c>
      <c r="B5" s="13" t="s">
        <v>65</v>
      </c>
      <c r="C5" s="10">
        <v>2265000</v>
      </c>
      <c r="D5" s="11">
        <v>2265000000</v>
      </c>
      <c r="E5" s="3">
        <v>0.10550000000000001</v>
      </c>
      <c r="F5" s="4" t="s">
        <v>62</v>
      </c>
      <c r="G5" s="4" t="s">
        <v>66</v>
      </c>
      <c r="H5" s="11">
        <v>2039188560.0000031</v>
      </c>
      <c r="I5" s="11">
        <v>82.788300000000007</v>
      </c>
      <c r="J5" s="11">
        <v>83.843299999999985</v>
      </c>
      <c r="K5" s="11">
        <v>23895749.999999989</v>
      </c>
      <c r="L5" s="11">
        <v>1899050744.999999</v>
      </c>
      <c r="M5" s="6">
        <f t="shared" si="0"/>
        <v>6.3086235470462965E-2</v>
      </c>
    </row>
    <row r="6" spans="1:13" x14ac:dyDescent="0.25">
      <c r="A6" s="1" t="s">
        <v>64</v>
      </c>
      <c r="B6" s="13" t="s">
        <v>65</v>
      </c>
      <c r="C6" s="10">
        <v>1551646</v>
      </c>
      <c r="D6" s="11">
        <v>1551646000</v>
      </c>
      <c r="E6" s="3">
        <v>0.10550000000000001</v>
      </c>
      <c r="F6" s="4" t="s">
        <v>67</v>
      </c>
      <c r="G6" s="4" t="s">
        <v>66</v>
      </c>
      <c r="H6" s="11">
        <v>1395452658.7</v>
      </c>
      <c r="I6" s="11">
        <v>82.788300000000007</v>
      </c>
      <c r="J6" s="11">
        <v>83.843300000000241</v>
      </c>
      <c r="K6" s="11">
        <v>16369865.300000001</v>
      </c>
      <c r="L6" s="11">
        <v>1300951210.718004</v>
      </c>
      <c r="M6" s="6">
        <f t="shared" si="0"/>
        <v>4.3217441467020896E-2</v>
      </c>
    </row>
    <row r="7" spans="1:13" x14ac:dyDescent="0.25">
      <c r="A7" s="1" t="s">
        <v>64</v>
      </c>
      <c r="B7" s="13" t="s">
        <v>65</v>
      </c>
      <c r="C7" s="10">
        <v>545692</v>
      </c>
      <c r="D7" s="11">
        <v>545692000</v>
      </c>
      <c r="E7" s="3">
        <v>0.10550000000000001</v>
      </c>
      <c r="F7" s="4" t="s">
        <v>68</v>
      </c>
      <c r="G7" s="4" t="s">
        <v>66</v>
      </c>
      <c r="H7" s="11">
        <v>449784993.92000002</v>
      </c>
      <c r="I7" s="11">
        <v>82.788300000000007</v>
      </c>
      <c r="J7" s="11">
        <v>83.843299999999999</v>
      </c>
      <c r="K7" s="11">
        <v>5757050.5999999996</v>
      </c>
      <c r="L7" s="11">
        <v>457526180.63599998</v>
      </c>
      <c r="M7" s="6">
        <f t="shared" si="0"/>
        <v>1.5198964241213198E-2</v>
      </c>
    </row>
    <row r="8" spans="1:13" x14ac:dyDescent="0.25">
      <c r="A8" s="1" t="s">
        <v>69</v>
      </c>
      <c r="B8" s="13" t="s">
        <v>70</v>
      </c>
      <c r="C8" s="10">
        <v>2265000</v>
      </c>
      <c r="D8" s="11">
        <v>2265000000</v>
      </c>
      <c r="E8" s="3">
        <v>0.10400000000000001</v>
      </c>
      <c r="F8" s="4" t="s">
        <v>62</v>
      </c>
      <c r="G8" s="4" t="s">
        <v>71</v>
      </c>
      <c r="H8" s="11">
        <v>2073109200</v>
      </c>
      <c r="I8" s="11">
        <v>86.768000000000001</v>
      </c>
      <c r="J8" s="11">
        <v>90.87022222222221</v>
      </c>
      <c r="K8" s="11">
        <v>92915333.333333328</v>
      </c>
      <c r="L8" s="11">
        <v>2058210533.333333</v>
      </c>
      <c r="M8" s="6">
        <f t="shared" si="0"/>
        <v>6.8373504339218627E-2</v>
      </c>
    </row>
    <row r="9" spans="1:13" x14ac:dyDescent="0.25">
      <c r="A9" s="1" t="s">
        <v>72</v>
      </c>
      <c r="B9" s="13" t="s">
        <v>73</v>
      </c>
      <c r="C9" s="10">
        <v>2265000</v>
      </c>
      <c r="D9" s="11">
        <v>2265000000</v>
      </c>
      <c r="E9" s="3">
        <v>0.11</v>
      </c>
      <c r="F9" s="4" t="s">
        <v>62</v>
      </c>
      <c r="G9" s="4" t="s">
        <v>74</v>
      </c>
      <c r="H9" s="11">
        <v>2080889475</v>
      </c>
      <c r="I9" s="11">
        <v>84.800700000000006</v>
      </c>
      <c r="J9" s="11">
        <v>89.506255555555541</v>
      </c>
      <c r="K9" s="11">
        <v>106580833.333333</v>
      </c>
      <c r="L9" s="11">
        <v>2027316688.333333</v>
      </c>
      <c r="M9" s="6">
        <f t="shared" si="0"/>
        <v>6.7347214554498852E-2</v>
      </c>
    </row>
    <row r="10" spans="1:13" x14ac:dyDescent="0.25">
      <c r="A10" s="1" t="s">
        <v>75</v>
      </c>
      <c r="B10" s="13" t="s">
        <v>76</v>
      </c>
      <c r="C10" s="10">
        <v>2265000</v>
      </c>
      <c r="D10" s="11">
        <v>2265000000</v>
      </c>
      <c r="E10" s="3">
        <v>0.10300000000000001</v>
      </c>
      <c r="F10" s="4" t="s">
        <v>62</v>
      </c>
      <c r="G10" s="4" t="s">
        <v>77</v>
      </c>
      <c r="H10" s="11">
        <v>1963990560.0000031</v>
      </c>
      <c r="I10" s="11">
        <v>77.361800000000002</v>
      </c>
      <c r="J10" s="11">
        <v>82.139855555555542</v>
      </c>
      <c r="K10" s="11">
        <v>108222958.333333</v>
      </c>
      <c r="L10" s="11">
        <v>1860467728.333333</v>
      </c>
      <c r="M10" s="6">
        <f t="shared" si="0"/>
        <v>6.1804512335363646E-2</v>
      </c>
    </row>
    <row r="11" spans="1:13" x14ac:dyDescent="0.25">
      <c r="A11" s="1" t="s">
        <v>78</v>
      </c>
      <c r="B11" s="13" t="s">
        <v>79</v>
      </c>
      <c r="C11" s="10">
        <v>2265000</v>
      </c>
      <c r="D11" s="11">
        <v>2265000000</v>
      </c>
      <c r="E11" s="3">
        <v>8.4500000000000006E-2</v>
      </c>
      <c r="F11" s="4" t="s">
        <v>62</v>
      </c>
      <c r="G11" s="4" t="s">
        <v>80</v>
      </c>
      <c r="H11" s="11">
        <v>1740247065.0000031</v>
      </c>
      <c r="I11" s="11">
        <v>67.838200000000001</v>
      </c>
      <c r="J11" s="11">
        <v>71.077366666666663</v>
      </c>
      <c r="K11" s="11">
        <v>73367124.999999985</v>
      </c>
      <c r="L11" s="11">
        <v>1609902354.999999</v>
      </c>
      <c r="M11" s="6">
        <f t="shared" si="0"/>
        <v>5.3480761016727253E-2</v>
      </c>
    </row>
    <row r="12" spans="1:13" x14ac:dyDescent="0.25">
      <c r="A12" s="1" t="s">
        <v>81</v>
      </c>
      <c r="B12" s="13" t="s">
        <v>82</v>
      </c>
      <c r="C12" s="10">
        <v>2265000</v>
      </c>
      <c r="D12" s="11">
        <v>2265000000</v>
      </c>
      <c r="E12" s="3">
        <v>0.10650000000000001</v>
      </c>
      <c r="F12" s="4" t="s">
        <v>62</v>
      </c>
      <c r="G12" s="4" t="s">
        <v>83</v>
      </c>
      <c r="H12" s="11">
        <v>1967775375</v>
      </c>
      <c r="I12" s="11">
        <v>75.771600000000007</v>
      </c>
      <c r="J12" s="11">
        <v>76.89576666666666</v>
      </c>
      <c r="K12" s="11">
        <v>25462375</v>
      </c>
      <c r="L12" s="11">
        <v>1741689115</v>
      </c>
      <c r="M12" s="6">
        <f t="shared" si="0"/>
        <v>5.7858701203496433E-2</v>
      </c>
    </row>
    <row r="13" spans="1:13" x14ac:dyDescent="0.25">
      <c r="A13" s="1" t="s">
        <v>84</v>
      </c>
      <c r="B13" s="13" t="s">
        <v>85</v>
      </c>
      <c r="C13" s="10">
        <v>2265000</v>
      </c>
      <c r="D13" s="11">
        <v>2265000000</v>
      </c>
      <c r="E13" s="3">
        <v>8.0700000000000008E-2</v>
      </c>
      <c r="F13" s="4" t="s">
        <v>62</v>
      </c>
      <c r="G13" s="4" t="s">
        <v>86</v>
      </c>
      <c r="H13" s="11">
        <v>1622351550</v>
      </c>
      <c r="I13" s="11">
        <v>61.373100000000001</v>
      </c>
      <c r="J13" s="11">
        <v>63.883766666666659</v>
      </c>
      <c r="K13" s="11">
        <v>56866600</v>
      </c>
      <c r="L13" s="11">
        <v>1446967315</v>
      </c>
      <c r="M13" s="6">
        <f t="shared" si="0"/>
        <v>4.8068078745391082E-2</v>
      </c>
    </row>
    <row r="14" spans="1:13" x14ac:dyDescent="0.25">
      <c r="A14" s="1" t="s">
        <v>87</v>
      </c>
      <c r="B14" s="13" t="s">
        <v>88</v>
      </c>
      <c r="C14" s="10">
        <v>2265000</v>
      </c>
      <c r="D14" s="11">
        <v>2265000000</v>
      </c>
      <c r="E14" s="3">
        <v>8.0700000000000008E-2</v>
      </c>
      <c r="F14" s="4" t="s">
        <v>62</v>
      </c>
      <c r="G14" s="4" t="s">
        <v>89</v>
      </c>
      <c r="H14" s="11">
        <v>1597764975</v>
      </c>
      <c r="I14" s="11">
        <v>59.925800000000002</v>
      </c>
      <c r="J14" s="11">
        <v>64.745383333333322</v>
      </c>
      <c r="K14" s="11">
        <v>109163562.5</v>
      </c>
      <c r="L14" s="11">
        <v>1466482932.5</v>
      </c>
      <c r="M14" s="6">
        <f t="shared" si="0"/>
        <v>4.8716385192281997E-2</v>
      </c>
    </row>
    <row r="15" spans="1:13" x14ac:dyDescent="0.25">
      <c r="A15" s="1" t="s">
        <v>90</v>
      </c>
      <c r="B15" s="13" t="s">
        <v>91</v>
      </c>
      <c r="C15" s="10">
        <v>3775000</v>
      </c>
      <c r="D15" s="11">
        <v>3775000000</v>
      </c>
      <c r="E15" s="3">
        <v>5.4900000000000004E-2</v>
      </c>
      <c r="F15" s="4" t="s">
        <v>62</v>
      </c>
      <c r="G15" s="4" t="s">
        <v>92</v>
      </c>
      <c r="H15" s="11">
        <v>3136670150</v>
      </c>
      <c r="I15" s="11">
        <v>85.023499999999999</v>
      </c>
      <c r="J15" s="11">
        <v>87.417749999999998</v>
      </c>
      <c r="K15" s="11">
        <v>90382937.5</v>
      </c>
      <c r="L15" s="11">
        <v>3300020062.5</v>
      </c>
      <c r="M15" s="6">
        <f t="shared" si="0"/>
        <v>0.1096262663166102</v>
      </c>
    </row>
    <row r="16" spans="1:13" x14ac:dyDescent="0.25">
      <c r="A16" s="1" t="s">
        <v>93</v>
      </c>
      <c r="B16" s="13" t="s">
        <v>94</v>
      </c>
      <c r="C16" s="10">
        <v>2803860</v>
      </c>
      <c r="D16" s="11">
        <v>2803860000</v>
      </c>
      <c r="E16" s="3">
        <v>5.5E-2</v>
      </c>
      <c r="F16" s="4" t="s">
        <v>95</v>
      </c>
      <c r="G16" s="4" t="s">
        <v>96</v>
      </c>
      <c r="H16" s="11">
        <v>1773018067.1400001</v>
      </c>
      <c r="I16" s="11">
        <v>56.573100000000004</v>
      </c>
      <c r="J16" s="11">
        <v>58.559211111111111</v>
      </c>
      <c r="K16" s="11">
        <v>55687775</v>
      </c>
      <c r="L16" s="11">
        <v>1641918296.6600001</v>
      </c>
      <c r="M16" s="6">
        <f t="shared" si="0"/>
        <v>5.4544326716427095E-2</v>
      </c>
    </row>
    <row r="17" spans="1:15" x14ac:dyDescent="0.25">
      <c r="A17" s="1" t="s">
        <v>97</v>
      </c>
      <c r="B17" s="13" t="s">
        <v>98</v>
      </c>
      <c r="C17" s="10">
        <v>1038480</v>
      </c>
      <c r="D17" s="11">
        <v>1038480000</v>
      </c>
      <c r="E17" s="3">
        <v>0.12</v>
      </c>
      <c r="F17" s="4" t="s">
        <v>95</v>
      </c>
      <c r="G17" s="4" t="s">
        <v>99</v>
      </c>
      <c r="H17" s="11">
        <v>979029096.96000004</v>
      </c>
      <c r="I17" s="11">
        <v>85.1751</v>
      </c>
      <c r="J17" s="11">
        <v>91.075100000000006</v>
      </c>
      <c r="K17" s="11">
        <v>61270320</v>
      </c>
      <c r="L17" s="11">
        <v>945796698.48000002</v>
      </c>
      <c r="M17" s="6">
        <f t="shared" si="0"/>
        <v>3.1419251636425213E-2</v>
      </c>
    </row>
    <row r="18" spans="1:15" x14ac:dyDescent="0.25">
      <c r="A18" s="1" t="s">
        <v>100</v>
      </c>
      <c r="B18" s="13" t="s">
        <v>101</v>
      </c>
      <c r="C18" s="10">
        <v>506989</v>
      </c>
      <c r="D18" s="11">
        <v>506989000</v>
      </c>
      <c r="E18" s="3">
        <v>0.1535</v>
      </c>
      <c r="F18" s="4" t="s">
        <v>102</v>
      </c>
      <c r="G18" s="4" t="s">
        <v>103</v>
      </c>
      <c r="H18" s="11">
        <v>492216861.50999999</v>
      </c>
      <c r="I18" s="11">
        <v>98.073700000000002</v>
      </c>
      <c r="J18" s="11">
        <v>102.593422222222</v>
      </c>
      <c r="K18" s="11">
        <v>22914494.497222219</v>
      </c>
      <c r="L18" s="11">
        <v>520137365.39022201</v>
      </c>
      <c r="M18" s="6">
        <f t="shared" si="0"/>
        <v>1.7278900206531236E-2</v>
      </c>
    </row>
    <row r="19" spans="1:15" x14ac:dyDescent="0.25">
      <c r="A19" s="1" t="s">
        <v>104</v>
      </c>
      <c r="B19" s="13" t="s">
        <v>105</v>
      </c>
      <c r="C19" s="10">
        <v>2100000</v>
      </c>
      <c r="D19" s="11">
        <v>2100000000</v>
      </c>
      <c r="E19" s="3">
        <v>0.14300000000000002</v>
      </c>
      <c r="F19" s="4" t="s">
        <v>106</v>
      </c>
      <c r="G19" s="4" t="s">
        <v>107</v>
      </c>
      <c r="H19" s="11">
        <v>2100000000</v>
      </c>
      <c r="I19" s="11">
        <v>93.5968695691991</v>
      </c>
      <c r="J19" s="11">
        <v>93.63659179142131</v>
      </c>
      <c r="K19" s="11">
        <v>834166.66666666663</v>
      </c>
      <c r="L19" s="11">
        <v>1966368427.6198471</v>
      </c>
      <c r="M19" s="6">
        <f t="shared" si="0"/>
        <v>6.532252072416829E-2</v>
      </c>
    </row>
    <row r="20" spans="1:15" x14ac:dyDescent="0.25">
      <c r="A20" s="1" t="s">
        <v>108</v>
      </c>
      <c r="B20" s="13" t="s">
        <v>109</v>
      </c>
      <c r="C20" s="10">
        <v>1100000</v>
      </c>
      <c r="D20" s="11">
        <v>1100000000</v>
      </c>
      <c r="E20" s="3">
        <v>0.13870000000000002</v>
      </c>
      <c r="F20" s="4" t="s">
        <v>110</v>
      </c>
      <c r="G20" s="4" t="s">
        <v>111</v>
      </c>
      <c r="H20" s="11">
        <v>1100000000</v>
      </c>
      <c r="I20" s="11">
        <v>99.943396930899397</v>
      </c>
      <c r="J20" s="11">
        <v>106.647230264233</v>
      </c>
      <c r="K20" s="11">
        <v>73742166.666666657</v>
      </c>
      <c r="L20" s="11">
        <v>1173119532.9065599</v>
      </c>
      <c r="M20" s="6">
        <f t="shared" si="0"/>
        <v>3.8970888630963256E-2</v>
      </c>
    </row>
    <row r="21" spans="1:15" x14ac:dyDescent="0.25">
      <c r="A21" s="1" t="s">
        <v>112</v>
      </c>
      <c r="B21" s="13" t="s">
        <v>113</v>
      </c>
      <c r="C21" s="10">
        <v>1000000</v>
      </c>
      <c r="D21" s="11">
        <v>1000000000</v>
      </c>
      <c r="E21" s="3">
        <v>0.1389</v>
      </c>
      <c r="F21" s="4" t="s">
        <v>114</v>
      </c>
      <c r="G21" s="4" t="s">
        <v>115</v>
      </c>
      <c r="H21" s="11">
        <v>1000000000</v>
      </c>
      <c r="I21" s="11">
        <v>97.956446361246492</v>
      </c>
      <c r="J21" s="11">
        <v>101.660446361246</v>
      </c>
      <c r="K21" s="11">
        <v>37039999.999999993</v>
      </c>
      <c r="L21" s="11">
        <v>1016604463.612464</v>
      </c>
      <c r="M21" s="6">
        <f t="shared" si="0"/>
        <v>3.377147700799308E-2</v>
      </c>
    </row>
    <row r="22" spans="1:15" x14ac:dyDescent="0.25">
      <c r="A22" s="1" t="s">
        <v>116</v>
      </c>
      <c r="B22" s="13" t="s">
        <v>117</v>
      </c>
      <c r="C22" s="10">
        <v>165739</v>
      </c>
      <c r="D22" s="11">
        <v>165739000</v>
      </c>
      <c r="E22" s="3">
        <v>0.125</v>
      </c>
      <c r="F22" s="4" t="s">
        <v>118</v>
      </c>
      <c r="G22" s="4" t="s">
        <v>119</v>
      </c>
      <c r="H22" s="11">
        <v>159596381.18279999</v>
      </c>
      <c r="I22" s="11">
        <v>95.526254142149497</v>
      </c>
      <c r="J22" s="11">
        <v>98.373476364358311</v>
      </c>
      <c r="K22" s="11">
        <v>4718957.6388666704</v>
      </c>
      <c r="L22" s="11">
        <v>163043215.99152401</v>
      </c>
      <c r="M22" s="6">
        <f t="shared" si="0"/>
        <v>5.4162758646572355E-3</v>
      </c>
    </row>
    <row r="23" spans="1:15" x14ac:dyDescent="0.25">
      <c r="A23" s="1" t="s">
        <v>120</v>
      </c>
      <c r="B23" s="13" t="s">
        <v>121</v>
      </c>
      <c r="C23" s="10">
        <v>494987</v>
      </c>
      <c r="D23" s="11">
        <v>494987000</v>
      </c>
      <c r="E23" s="3">
        <v>0.1701</v>
      </c>
      <c r="F23" s="4" t="s">
        <v>122</v>
      </c>
      <c r="G23" s="4" t="s">
        <v>123</v>
      </c>
      <c r="H23" s="11">
        <v>495088472.34249997</v>
      </c>
      <c r="I23" s="11">
        <v>102.05030000000001</v>
      </c>
      <c r="J23" s="11">
        <v>103.32605</v>
      </c>
      <c r="K23" s="11">
        <v>6314796.6524999999</v>
      </c>
      <c r="L23" s="11">
        <v>511450515.1135</v>
      </c>
      <c r="M23" s="6">
        <f t="shared" si="0"/>
        <v>1.6990324093703907E-2</v>
      </c>
    </row>
    <row r="24" spans="1:15" ht="9.75" hidden="1" customHeight="1" thickBot="1" x14ac:dyDescent="0.3">
      <c r="A24" s="1"/>
      <c r="B24" s="1"/>
      <c r="C24" s="1"/>
      <c r="D24" s="2"/>
      <c r="E24" s="3"/>
      <c r="F24" s="4"/>
      <c r="G24" s="4"/>
      <c r="H24" s="2"/>
      <c r="I24" s="5"/>
      <c r="J24" s="5"/>
      <c r="K24" s="2"/>
      <c r="L24" s="2"/>
      <c r="M24" s="6"/>
    </row>
    <row r="25" spans="1:15" x14ac:dyDescent="0.25">
      <c r="A25" s="1"/>
      <c r="B25" s="21"/>
      <c r="C25" s="1"/>
      <c r="D25" s="22"/>
      <c r="E25" s="13"/>
      <c r="F25" s="22"/>
      <c r="G25" s="22"/>
      <c r="H25" s="22"/>
      <c r="I25" s="22"/>
      <c r="J25" s="22"/>
      <c r="K25" s="22">
        <f>SUM(K4:K24)</f>
        <v>1009996129.1330326</v>
      </c>
      <c r="L25" s="22">
        <f>SUM(L4:L24)</f>
        <v>30102457863.239223</v>
      </c>
      <c r="M25" s="23"/>
      <c r="N25" s="26">
        <v>30102457863.23925</v>
      </c>
      <c r="O25" s="29">
        <f>L25-N25</f>
        <v>0</v>
      </c>
    </row>
    <row r="27" spans="1:15" x14ac:dyDescent="0.25">
      <c r="A27" s="30" t="s">
        <v>26</v>
      </c>
    </row>
    <row r="28" spans="1:15" x14ac:dyDescent="0.25">
      <c r="A28" s="19" t="s">
        <v>50</v>
      </c>
      <c r="B28" s="31">
        <v>2933627.77</v>
      </c>
      <c r="C28" s="58">
        <v>2933627.77</v>
      </c>
      <c r="D28" s="29">
        <f>B28-C28</f>
        <v>0</v>
      </c>
    </row>
    <row r="31" spans="1:15" x14ac:dyDescent="0.25">
      <c r="A31" s="27" t="s">
        <v>9</v>
      </c>
      <c r="E31" s="28"/>
      <c r="F31" s="28"/>
      <c r="G31" s="33"/>
      <c r="H31" s="33"/>
      <c r="I31" s="33"/>
      <c r="J31" s="33"/>
      <c r="K31" s="28"/>
      <c r="L31" s="28"/>
      <c r="M31" s="28"/>
    </row>
    <row r="32" spans="1:15" ht="22.5" x14ac:dyDescent="0.25">
      <c r="A32" s="19" t="s">
        <v>14</v>
      </c>
      <c r="B32" s="19" t="s">
        <v>15</v>
      </c>
      <c r="C32" s="19" t="s">
        <v>16</v>
      </c>
      <c r="D32" s="19" t="s">
        <v>17</v>
      </c>
      <c r="E32" s="19" t="s">
        <v>10</v>
      </c>
      <c r="F32" s="19" t="s">
        <v>11</v>
      </c>
      <c r="G32" s="19" t="s">
        <v>18</v>
      </c>
      <c r="H32" s="19" t="s">
        <v>19</v>
      </c>
      <c r="I32" s="19" t="s">
        <v>20</v>
      </c>
      <c r="J32" s="19" t="s">
        <v>21</v>
      </c>
      <c r="K32" s="19" t="s">
        <v>22</v>
      </c>
      <c r="L32" s="19" t="s">
        <v>24</v>
      </c>
      <c r="M32" s="19" t="s">
        <v>23</v>
      </c>
    </row>
    <row r="33" spans="1:15" s="36" customFormat="1" ht="12" customHeight="1" x14ac:dyDescent="0.25">
      <c r="A33" s="12" t="s">
        <v>52</v>
      </c>
      <c r="B33" s="7" t="s">
        <v>53</v>
      </c>
      <c r="C33" s="14">
        <v>4282578</v>
      </c>
      <c r="D33" s="7" t="s">
        <v>50</v>
      </c>
      <c r="E33" s="34" t="s">
        <v>54</v>
      </c>
      <c r="F33" s="34" t="s">
        <v>55</v>
      </c>
      <c r="G33" s="15">
        <v>99.476000000466996</v>
      </c>
      <c r="H33" s="15">
        <v>99.51892430213762</v>
      </c>
      <c r="I33" s="16">
        <f t="shared" ref="I33:I38" si="1">+C33*G33</f>
        <v>426013729.12999994</v>
      </c>
      <c r="J33" s="16">
        <f t="shared" ref="J33:J38" si="2">+C33*H33</f>
        <v>426197555.79999995</v>
      </c>
      <c r="K33" s="18">
        <v>0.157499</v>
      </c>
      <c r="L33" s="17"/>
      <c r="M33" s="17">
        <v>426013729.13</v>
      </c>
      <c r="N33" s="35"/>
    </row>
    <row r="34" spans="1:15" s="36" customFormat="1" ht="12" customHeight="1" x14ac:dyDescent="0.25">
      <c r="A34" s="12" t="s">
        <v>56</v>
      </c>
      <c r="B34" s="7" t="s">
        <v>57</v>
      </c>
      <c r="C34" s="14">
        <v>14523600</v>
      </c>
      <c r="D34" s="7" t="s">
        <v>50</v>
      </c>
      <c r="E34" s="34" t="s">
        <v>54</v>
      </c>
      <c r="F34" s="34" t="s">
        <v>55</v>
      </c>
      <c r="G34" s="15">
        <v>89.511900000000011</v>
      </c>
      <c r="H34" s="15">
        <v>89.550279514720856</v>
      </c>
      <c r="I34" s="16">
        <f t="shared" si="1"/>
        <v>1300035030.8400002</v>
      </c>
      <c r="J34" s="16">
        <f t="shared" si="2"/>
        <v>1300592439.5599997</v>
      </c>
      <c r="K34" s="18">
        <v>0.156499</v>
      </c>
      <c r="L34" s="17"/>
      <c r="M34" s="17">
        <v>1300035030.8399999</v>
      </c>
      <c r="N34" s="35"/>
    </row>
    <row r="35" spans="1:15" s="36" customFormat="1" ht="12" customHeight="1" x14ac:dyDescent="0.25">
      <c r="A35" s="12" t="s">
        <v>52</v>
      </c>
      <c r="B35" s="7" t="s">
        <v>53</v>
      </c>
      <c r="C35" s="14">
        <v>13074100</v>
      </c>
      <c r="D35" s="7" t="s">
        <v>50</v>
      </c>
      <c r="E35" s="34" t="s">
        <v>51</v>
      </c>
      <c r="F35" s="34" t="s">
        <v>54</v>
      </c>
      <c r="G35" s="15">
        <v>99.437300000000008</v>
      </c>
      <c r="H35" s="15">
        <v>99.480480034572153</v>
      </c>
      <c r="I35" s="16">
        <f t="shared" si="1"/>
        <v>1300053203.9300001</v>
      </c>
      <c r="J35" s="16">
        <f t="shared" si="2"/>
        <v>1300617744.0199997</v>
      </c>
      <c r="K35" s="18">
        <v>0.158499</v>
      </c>
      <c r="L35" s="17">
        <v>564540.09</v>
      </c>
      <c r="M35" s="17"/>
      <c r="N35" s="35"/>
    </row>
    <row r="36" spans="1:15" s="36" customFormat="1" ht="12" customHeight="1" x14ac:dyDescent="0.25">
      <c r="A36" s="12" t="s">
        <v>52</v>
      </c>
      <c r="B36" s="7" t="s">
        <v>53</v>
      </c>
      <c r="C36" s="14">
        <v>13074100</v>
      </c>
      <c r="D36" s="7" t="s">
        <v>50</v>
      </c>
      <c r="E36" s="34" t="s">
        <v>54</v>
      </c>
      <c r="F36" s="34" t="s">
        <v>54</v>
      </c>
      <c r="G36" s="15">
        <v>99.437300000000008</v>
      </c>
      <c r="H36" s="15">
        <v>99.480480034572153</v>
      </c>
      <c r="I36" s="16">
        <f t="shared" si="1"/>
        <v>1300053203.9300001</v>
      </c>
      <c r="J36" s="16">
        <f t="shared" si="2"/>
        <v>1300617744.0199997</v>
      </c>
      <c r="K36" s="18">
        <v>0.158499</v>
      </c>
      <c r="L36" s="17"/>
      <c r="M36" s="17"/>
      <c r="N36" s="35"/>
    </row>
    <row r="37" spans="1:15" s="36" customFormat="1" ht="12" customHeight="1" x14ac:dyDescent="0.25">
      <c r="A37" s="12" t="s">
        <v>58</v>
      </c>
      <c r="B37" s="7" t="s">
        <v>59</v>
      </c>
      <c r="C37" s="14">
        <v>444465</v>
      </c>
      <c r="D37" s="7" t="s">
        <v>50</v>
      </c>
      <c r="E37" s="34" t="s">
        <v>51</v>
      </c>
      <c r="F37" s="34" t="s">
        <v>54</v>
      </c>
      <c r="G37" s="15">
        <v>934.28900001124907</v>
      </c>
      <c r="H37" s="15">
        <v>934.68831001316209</v>
      </c>
      <c r="I37" s="16">
        <f t="shared" si="1"/>
        <v>415258760.38999981</v>
      </c>
      <c r="J37" s="16">
        <f t="shared" si="2"/>
        <v>415436239.7100001</v>
      </c>
      <c r="K37" s="18">
        <v>0.155999</v>
      </c>
      <c r="L37" s="17">
        <v>177479.32</v>
      </c>
      <c r="M37" s="17"/>
      <c r="N37" s="35"/>
    </row>
    <row r="38" spans="1:15" s="36" customFormat="1" ht="12" customHeight="1" x14ac:dyDescent="0.25">
      <c r="A38" s="12" t="s">
        <v>58</v>
      </c>
      <c r="B38" s="7" t="s">
        <v>59</v>
      </c>
      <c r="C38" s="14">
        <v>444465</v>
      </c>
      <c r="D38" s="7" t="s">
        <v>50</v>
      </c>
      <c r="E38" s="34" t="s">
        <v>54</v>
      </c>
      <c r="F38" s="34" t="s">
        <v>54</v>
      </c>
      <c r="G38" s="15">
        <v>934.28900001124907</v>
      </c>
      <c r="H38" s="15">
        <v>934.68831001316209</v>
      </c>
      <c r="I38" s="16">
        <f t="shared" si="1"/>
        <v>415258760.38999981</v>
      </c>
      <c r="J38" s="16">
        <f t="shared" si="2"/>
        <v>415436239.7100001</v>
      </c>
      <c r="K38" s="18">
        <v>0.155999</v>
      </c>
      <c r="L38" s="17"/>
      <c r="M38" s="17"/>
      <c r="N38" s="35"/>
    </row>
    <row r="39" spans="1:15" s="36" customFormat="1" ht="11.25" hidden="1" x14ac:dyDescent="0.25">
      <c r="A39" s="7"/>
      <c r="B39" s="7"/>
      <c r="C39" s="7"/>
      <c r="D39" s="7"/>
      <c r="E39" s="37"/>
      <c r="F39" s="37"/>
      <c r="G39" s="7"/>
      <c r="H39" s="7"/>
      <c r="I39" s="8"/>
      <c r="J39" s="8"/>
      <c r="K39" s="7"/>
      <c r="L39" s="9"/>
      <c r="M39" s="9"/>
      <c r="N39" s="35"/>
    </row>
    <row r="40" spans="1:15" x14ac:dyDescent="0.25">
      <c r="A40" s="1" t="s">
        <v>5</v>
      </c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2">
        <f>SUM(M33:M39)</f>
        <v>1726048759.9699998</v>
      </c>
      <c r="N40" s="38">
        <v>1726048759.9699998</v>
      </c>
      <c r="O40" s="29">
        <f>M40-N40</f>
        <v>0</v>
      </c>
    </row>
    <row r="42" spans="1:15" x14ac:dyDescent="0.25">
      <c r="A42" s="39" t="s">
        <v>28</v>
      </c>
      <c r="B42" s="33"/>
      <c r="D42" s="33"/>
      <c r="F42" s="28"/>
      <c r="G42" s="28"/>
    </row>
    <row r="43" spans="1:15" ht="22.5" x14ac:dyDescent="0.25">
      <c r="A43" s="19" t="s">
        <v>6</v>
      </c>
      <c r="B43" s="19" t="s">
        <v>29</v>
      </c>
      <c r="C43" s="19" t="s">
        <v>17</v>
      </c>
      <c r="D43" s="19" t="s">
        <v>30</v>
      </c>
      <c r="E43" s="19" t="s">
        <v>16</v>
      </c>
      <c r="F43" s="19" t="s">
        <v>31</v>
      </c>
      <c r="G43" s="19" t="s">
        <v>32</v>
      </c>
    </row>
    <row r="44" spans="1:15" x14ac:dyDescent="0.25">
      <c r="A44" s="57">
        <f ca="1">IF(OFFSET(A44,-1,0)="№ п/п",1,OFFSET(A44,-1,0)+1)</f>
        <v>1</v>
      </c>
      <c r="B44" s="40" t="s">
        <v>49</v>
      </c>
      <c r="C44" s="52" t="s">
        <v>50</v>
      </c>
      <c r="D44" s="53" t="s">
        <v>51</v>
      </c>
      <c r="E44" s="54">
        <v>2100000</v>
      </c>
      <c r="F44" s="55">
        <v>300300000</v>
      </c>
      <c r="G44" s="56">
        <v>300300000</v>
      </c>
      <c r="H44" s="58">
        <v>300300000</v>
      </c>
      <c r="I44" s="29">
        <f>G44-H44</f>
        <v>0</v>
      </c>
    </row>
    <row r="45" spans="1:15" hidden="1" x14ac:dyDescent="0.25">
      <c r="B45" s="42"/>
      <c r="C45" s="43"/>
      <c r="D45" s="44"/>
      <c r="G45" s="45"/>
      <c r="H45" s="33"/>
    </row>
    <row r="46" spans="1:15" x14ac:dyDescent="0.25">
      <c r="G46" s="46">
        <f>SUM(G44:G45)</f>
        <v>300300000</v>
      </c>
    </row>
    <row r="48" spans="1:15" x14ac:dyDescent="0.25">
      <c r="A48" s="47" t="s">
        <v>13</v>
      </c>
      <c r="B48" s="48">
        <f>+L25+B28+M40+G46</f>
        <v>32131740250.979225</v>
      </c>
      <c r="C48" s="32">
        <v>32131740250.979252</v>
      </c>
      <c r="D48" s="29">
        <f>B48-C48</f>
        <v>0</v>
      </c>
    </row>
    <row r="51" spans="1:2" x14ac:dyDescent="0.25">
      <c r="A51" s="24" t="s">
        <v>46</v>
      </c>
      <c r="B51" s="33"/>
    </row>
    <row r="52" spans="1:2" x14ac:dyDescent="0.25">
      <c r="A52" s="49" t="s">
        <v>35</v>
      </c>
      <c r="B52" s="50"/>
    </row>
    <row r="53" spans="1:2" x14ac:dyDescent="0.25">
      <c r="A53" s="49" t="s">
        <v>36</v>
      </c>
      <c r="B53" s="41"/>
    </row>
    <row r="54" spans="1:2" x14ac:dyDescent="0.25">
      <c r="A54" s="49" t="s">
        <v>37</v>
      </c>
      <c r="B54" s="41">
        <v>74727.16</v>
      </c>
    </row>
    <row r="55" spans="1:2" x14ac:dyDescent="0.25">
      <c r="A55" s="49" t="s">
        <v>38</v>
      </c>
      <c r="B55" s="41"/>
    </row>
    <row r="56" spans="1:2" x14ac:dyDescent="0.25">
      <c r="A56" s="49" t="s">
        <v>39</v>
      </c>
      <c r="B56" s="50"/>
    </row>
    <row r="57" spans="1:2" x14ac:dyDescent="0.25">
      <c r="A57" s="49" t="s">
        <v>40</v>
      </c>
      <c r="B57" s="51">
        <v>7738.4699999999993</v>
      </c>
    </row>
    <row r="58" spans="1:2" x14ac:dyDescent="0.25">
      <c r="A58" s="49" t="s">
        <v>41</v>
      </c>
      <c r="B58" s="51">
        <v>3869.24</v>
      </c>
    </row>
    <row r="59" spans="1:2" x14ac:dyDescent="0.25">
      <c r="A59" s="49" t="s">
        <v>42</v>
      </c>
      <c r="B59" s="41"/>
    </row>
    <row r="60" spans="1:2" x14ac:dyDescent="0.25">
      <c r="A60" s="49" t="s">
        <v>43</v>
      </c>
      <c r="B60" s="41"/>
    </row>
    <row r="61" spans="1:2" x14ac:dyDescent="0.25">
      <c r="A61" s="49" t="s">
        <v>44</v>
      </c>
      <c r="B61" s="51"/>
    </row>
    <row r="62" spans="1:2" x14ac:dyDescent="0.25">
      <c r="A62" s="49" t="s">
        <v>45</v>
      </c>
      <c r="B62" s="50">
        <f>SUM(B52:B61)</f>
        <v>86334.87000000001</v>
      </c>
    </row>
  </sheetData>
  <autoFilter ref="A3:M3" xr:uid="{00000000-0009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5</vt:i4>
      </vt:variant>
    </vt:vector>
  </HeadingPairs>
  <TitlesOfParts>
    <vt:vector size="7" baseType="lpstr">
      <vt:lpstr>ДУ</vt:lpstr>
      <vt:lpstr>Лист1</vt:lpstr>
      <vt:lpstr>__mdDATAHead__</vt:lpstr>
      <vt:lpstr>__mdDATAMoney__</vt:lpstr>
      <vt:lpstr>__mdDATAOther__</vt:lpstr>
      <vt:lpstr>__mdDATAREPO__</vt:lpstr>
      <vt:lpstr>__mdDATASecurities__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2025-09-05T05:57:07Z</dcterms:created>
  <dcterms:modified xsi:type="dcterms:W3CDTF">2025-09-05T09:44:15Z</dcterms:modified>
</cp:coreProperties>
</file>