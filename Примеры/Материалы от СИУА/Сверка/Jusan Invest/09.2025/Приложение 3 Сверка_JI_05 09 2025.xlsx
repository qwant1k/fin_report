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2C9E4DB0-1E37-4A96-BB03-7F31FDC38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ДУ!$44:$44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I44" i="1"/>
  <c r="O40" i="1"/>
  <c r="O25" i="1"/>
  <c r="D28" i="1"/>
  <c r="B62" i="1"/>
  <c r="G46" i="1"/>
  <c r="A44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B48" i="1" s="1"/>
  <c r="K25" i="1"/>
  <c r="M21" i="1"/>
  <c r="M20" i="1"/>
  <c r="M19" i="1"/>
  <c r="M18" i="1"/>
  <c r="M15" i="1"/>
  <c r="M14" i="1"/>
  <c r="M13" i="1"/>
  <c r="M12" i="1"/>
  <c r="M9" i="1"/>
  <c r="M8" i="1"/>
  <c r="M7" i="1"/>
  <c r="M6" i="1"/>
  <c r="M4" i="1" l="1"/>
  <c r="M10" i="1"/>
  <c r="M16" i="1"/>
  <c r="M22" i="1"/>
  <c r="M5" i="1"/>
  <c r="M11" i="1"/>
  <c r="M17" i="1"/>
  <c r="M23" i="1"/>
</calcChain>
</file>

<file path=xl/sharedStrings.xml><?xml version="1.0" encoding="utf-8"?>
<sst xmlns="http://schemas.openxmlformats.org/spreadsheetml/2006/main" count="167" uniqueCount="127">
  <si>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</si>
  <si>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</si>
  <si>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</si>
  <si>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</si>
  <si>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</si>
  <si>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</si>
  <si>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</si>
  <si>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</si>
  <si>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</si>
  <si>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</si>
  <si>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</si>
  <si>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</si>
  <si>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</si>
  <si>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</si>
  <si>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</si>
  <si>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</si>
  <si>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</si>
  <si>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</si>
  <si>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</si>
  <si>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</si>
  <si>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</si>
  <si>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</si>
  <si>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</si>
  <si>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</si>
  <si>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</si>
  <si>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</si>
  <si>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</si>
  <si>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</si>
  <si>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</si>
  <si>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</si>
  <si>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</si>
  <si>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</si>
  <si>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</si>
  <si>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</si>
  <si>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</si>
  <si>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</si>
  <si>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</si>
  <si>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</si>
  <si>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</si>
  <si>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</si>
  <si>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</si>
  <si>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</si>
  <si>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</si>
  <si>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</si>
  <si>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</si>
  <si>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</si>
  <si>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</si>
  <si>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</si>
  <si>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</si>
  <si>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KZ2D00011863 _EABRb52</t>
  </si>
  <si>
    <t>KZT</t>
  </si>
  <si>
    <t>03.09.2025</t>
  </si>
  <si>
    <t>ГУ "Национальный Банк Республики Казахстан", ГЦБ, NTK028_2866</t>
  </si>
  <si>
    <t>KZW100014320</t>
  </si>
  <si>
    <t>04.09.2025</t>
  </si>
  <si>
    <t>05.09.2025</t>
  </si>
  <si>
    <t>МИНИСТЕРСТВО ФИНАНСОВ РК, ГЦБ, MKM012_0161</t>
  </si>
  <si>
    <t>KZK100000423</t>
  </si>
  <si>
    <t>МИНИСТЕРСТВО ФИНАНСОВ РК, ГЦБ, MUM192_0001</t>
  </si>
  <si>
    <t>KZKD00000477</t>
  </si>
  <si>
    <t>08.09.2025</t>
  </si>
  <si>
    <t>МИНИСТЕРСТВО ФИНАНСОВ РК, ОБЛИГАЦИИ, MFKZ.0435</t>
  </si>
  <si>
    <t>XS2914770545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</si>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</sst>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9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97.932400000000001</v>
      </c>
      <c r="J4" s="11">
        <v>99.236511111111099</v>
      </c>
      <c r="K4" s="11">
        <v>39384155.555555552</v>
      </c>
      <c r="L4" s="11">
        <v>2996942635.5555549</v>
      </c>
      <c r="M4" s="6">
        <f t="shared" ref="M4:M23" si="0">L4/$L$25</f>
        <v>9.9520728112857601E-2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82.782300000000006</v>
      </c>
      <c r="J5" s="11">
        <v>83.866605555555552</v>
      </c>
      <c r="K5" s="11">
        <v>24559520.833333328</v>
      </c>
      <c r="L5" s="11">
        <v>1899578615.833333</v>
      </c>
      <c r="M5" s="6">
        <f t="shared" si="0"/>
        <v>6.3080101938722308E-2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82.782300000000006</v>
      </c>
      <c r="J6" s="11">
        <v>83.866605555555807</v>
      </c>
      <c r="K6" s="11">
        <v>16824583.78055555</v>
      </c>
      <c r="L6" s="11">
        <v>1301312830.4385591</v>
      </c>
      <c r="M6" s="6">
        <f t="shared" si="0"/>
        <v>4.3213239670115235E-2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82.782300000000006</v>
      </c>
      <c r="J7" s="11">
        <v>83.866605555555552</v>
      </c>
      <c r="K7" s="11">
        <v>5916968.6722222203</v>
      </c>
      <c r="L7" s="11">
        <v>457653357.18822199</v>
      </c>
      <c r="M7" s="6">
        <f t="shared" si="0"/>
        <v>1.5197486528540947E-2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86.759</v>
      </c>
      <c r="J8" s="11">
        <v>90.890111111111111</v>
      </c>
      <c r="K8" s="11">
        <v>93569666.666666657</v>
      </c>
      <c r="L8" s="11">
        <v>2058661016.666666</v>
      </c>
      <c r="M8" s="6">
        <f t="shared" si="0"/>
        <v>6.8362817788216679E-2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84.79440000000001</v>
      </c>
      <c r="J9" s="11">
        <v>89.53051111111111</v>
      </c>
      <c r="K9" s="11">
        <v>107272916.666667</v>
      </c>
      <c r="L9" s="11">
        <v>2027866076.666666</v>
      </c>
      <c r="M9" s="6">
        <f t="shared" si="0"/>
        <v>6.7340197330076471E-2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77.364100000000008</v>
      </c>
      <c r="J10" s="11">
        <v>82.170766666666651</v>
      </c>
      <c r="K10" s="11">
        <v>108871000</v>
      </c>
      <c r="L10" s="11">
        <v>1861167865</v>
      </c>
      <c r="M10" s="6">
        <f t="shared" si="0"/>
        <v>6.1804580063547603E-2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67.845500000000001</v>
      </c>
      <c r="J11" s="11">
        <v>71.108138888888874</v>
      </c>
      <c r="K11" s="11">
        <v>73898770.833333328</v>
      </c>
      <c r="L11" s="11">
        <v>1610599345.833333</v>
      </c>
      <c r="M11" s="6">
        <f t="shared" si="0"/>
        <v>5.3483846401922282E-2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75.774900000000002</v>
      </c>
      <c r="J12" s="11">
        <v>76.92864999999999</v>
      </c>
      <c r="K12" s="11">
        <v>26132437.5</v>
      </c>
      <c r="L12" s="11">
        <v>1742433922.5</v>
      </c>
      <c r="M12" s="6">
        <f t="shared" si="0"/>
        <v>5.7861732352977494E-2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61.383500000000005</v>
      </c>
      <c r="J13" s="11">
        <v>63.916583333333328</v>
      </c>
      <c r="K13" s="11">
        <v>57374337.5</v>
      </c>
      <c r="L13" s="11">
        <v>1447710612.5</v>
      </c>
      <c r="M13" s="6">
        <f t="shared" si="0"/>
        <v>4.8074732076412566E-2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59.9375</v>
      </c>
      <c r="J14" s="11">
        <v>64.779499999999999</v>
      </c>
      <c r="K14" s="11">
        <v>109671300</v>
      </c>
      <c r="L14" s="11">
        <v>1467255675</v>
      </c>
      <c r="M14" s="6">
        <f t="shared" si="0"/>
        <v>4.8723773145111809E-2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85.031400000000005</v>
      </c>
      <c r="J15" s="11">
        <v>87.440899999999999</v>
      </c>
      <c r="K15" s="11">
        <v>90958625</v>
      </c>
      <c r="L15" s="11">
        <v>3300893975</v>
      </c>
      <c r="M15" s="6">
        <f t="shared" si="0"/>
        <v>0.10961416742447862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56.584099999999999</v>
      </c>
      <c r="J16" s="11">
        <v>58.585488888888875</v>
      </c>
      <c r="K16" s="11">
        <v>56116142.5</v>
      </c>
      <c r="L16" s="11">
        <v>1642655088.76</v>
      </c>
      <c r="M16" s="6">
        <f t="shared" si="0"/>
        <v>5.4548334870407465E-2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85.171199999999999</v>
      </c>
      <c r="J17" s="11">
        <v>91.104533333333322</v>
      </c>
      <c r="K17" s="11">
        <v>61616480</v>
      </c>
      <c r="L17" s="11">
        <v>946102357.75999999</v>
      </c>
      <c r="M17" s="6">
        <f t="shared" si="0"/>
        <v>3.1417616872774168E-2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98.054100000000005</v>
      </c>
      <c r="J18" s="11">
        <v>102.61646111111101</v>
      </c>
      <c r="K18" s="11">
        <v>23130668.973611109</v>
      </c>
      <c r="L18" s="11">
        <v>520254170.02261102</v>
      </c>
      <c r="M18" s="6">
        <f t="shared" si="0"/>
        <v>1.7276297914458658E-2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93.589976299349303</v>
      </c>
      <c r="J19" s="11">
        <v>93.669420743793737</v>
      </c>
      <c r="K19" s="11">
        <v>1668333.33333333</v>
      </c>
      <c r="L19" s="11">
        <v>1967057835.619668</v>
      </c>
      <c r="M19" s="6">
        <f t="shared" si="0"/>
        <v>6.532091262557041E-2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99.949396521840896</v>
      </c>
      <c r="J20" s="11">
        <v>106.691757632952</v>
      </c>
      <c r="K20" s="11">
        <v>74165972.222222224</v>
      </c>
      <c r="L20" s="11">
        <v>1173609333.962472</v>
      </c>
      <c r="M20" s="6">
        <f t="shared" si="0"/>
        <v>3.8972536227520983E-2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97.978855802339396</v>
      </c>
      <c r="J21" s="11">
        <v>101.72143913567301</v>
      </c>
      <c r="K21" s="11">
        <v>37425833.333333328</v>
      </c>
      <c r="L21" s="11">
        <v>1017214391.356727</v>
      </c>
      <c r="M21" s="6">
        <f t="shared" si="0"/>
        <v>3.3779063927906194E-2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95.577521324407201</v>
      </c>
      <c r="J22" s="11">
        <v>98.459465768838228</v>
      </c>
      <c r="K22" s="11">
        <v>4776505.9027555604</v>
      </c>
      <c r="L22" s="11">
        <v>163185733.970615</v>
      </c>
      <c r="M22" s="6">
        <f t="shared" si="0"/>
        <v>5.4189769499462396E-3</v>
      </c>
    </row>
    <row r="23" spans="1:15" x14ac:dyDescent="0.25">
      <c r="A23" s="1" t="s">
        <v>123</v>
      </c>
      <c r="B23" s="13" t="s">
        <v>124</v>
      </c>
      <c r="C23" s="10">
        <v>494987</v>
      </c>
      <c r="D23" s="11">
        <v>494987000</v>
      </c>
      <c r="E23" s="3">
        <v>0.1701</v>
      </c>
      <c r="F23" s="4" t="s">
        <v>125</v>
      </c>
      <c r="G23" s="4" t="s">
        <v>126</v>
      </c>
      <c r="H23" s="11">
        <v>495088472.34249997</v>
      </c>
      <c r="I23" s="11">
        <v>102.0329</v>
      </c>
      <c r="J23" s="11">
        <v>103.35590000000001</v>
      </c>
      <c r="K23" s="11">
        <v>6548678.0099999998</v>
      </c>
      <c r="L23" s="11">
        <v>511598268.73299998</v>
      </c>
      <c r="M23" s="6">
        <f t="shared" si="0"/>
        <v>1.698885777843636E-2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1019882897.2835894</v>
      </c>
      <c r="L25" s="22">
        <f>SUM(L4:L24)</f>
        <v>30113753108.367424</v>
      </c>
      <c r="M25" s="23"/>
      <c r="N25" s="26">
        <v>30113753108.367447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50</v>
      </c>
      <c r="B28" s="31">
        <v>5792422.3799999999</v>
      </c>
      <c r="C28" s="58">
        <v>5792422.3799999999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5" s="36" customFormat="1" ht="12" customHeight="1" x14ac:dyDescent="0.25">
      <c r="A33" s="12" t="s">
        <v>52</v>
      </c>
      <c r="B33" s="7" t="s">
        <v>53</v>
      </c>
      <c r="C33" s="14">
        <v>4282578</v>
      </c>
      <c r="D33" s="7" t="s">
        <v>50</v>
      </c>
      <c r="E33" s="34" t="s">
        <v>54</v>
      </c>
      <c r="F33" s="34" t="s">
        <v>55</v>
      </c>
      <c r="G33" s="15">
        <v>99.476000000466996</v>
      </c>
      <c r="H33" s="15">
        <v>99.51892430213762</v>
      </c>
      <c r="I33" s="16">
        <f t="shared" ref="I33:I38" si="1">+C33*G33</f>
        <v>426013729.12999994</v>
      </c>
      <c r="J33" s="16">
        <f t="shared" ref="J33:J38" si="2">+C33*H33</f>
        <v>426197555.79999995</v>
      </c>
      <c r="K33" s="18">
        <v>0.157499</v>
      </c>
      <c r="L33" s="17">
        <v>183826.67</v>
      </c>
      <c r="M33" s="17"/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4282578</v>
      </c>
      <c r="D34" s="7" t="s">
        <v>50</v>
      </c>
      <c r="E34" s="34" t="s">
        <v>55</v>
      </c>
      <c r="F34" s="34" t="s">
        <v>55</v>
      </c>
      <c r="G34" s="15">
        <v>99.476000000466996</v>
      </c>
      <c r="H34" s="15">
        <v>99.51892430213762</v>
      </c>
      <c r="I34" s="16">
        <f t="shared" si="1"/>
        <v>426013729.12999994</v>
      </c>
      <c r="J34" s="16">
        <f t="shared" si="2"/>
        <v>426197555.79999995</v>
      </c>
      <c r="K34" s="18">
        <v>0.157499</v>
      </c>
      <c r="L34" s="17"/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14523600</v>
      </c>
      <c r="D35" s="7" t="s">
        <v>50</v>
      </c>
      <c r="E35" s="34" t="s">
        <v>54</v>
      </c>
      <c r="F35" s="34" t="s">
        <v>55</v>
      </c>
      <c r="G35" s="15">
        <v>89.511900000000011</v>
      </c>
      <c r="H35" s="15">
        <v>89.550279514720856</v>
      </c>
      <c r="I35" s="16">
        <f t="shared" si="1"/>
        <v>1300035030.8400002</v>
      </c>
      <c r="J35" s="16">
        <f t="shared" si="2"/>
        <v>1300592439.5599997</v>
      </c>
      <c r="K35" s="18">
        <v>0.156499</v>
      </c>
      <c r="L35" s="17">
        <v>557408.72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14523600</v>
      </c>
      <c r="D36" s="7" t="s">
        <v>50</v>
      </c>
      <c r="E36" s="34" t="s">
        <v>55</v>
      </c>
      <c r="F36" s="34" t="s">
        <v>55</v>
      </c>
      <c r="G36" s="15">
        <v>89.511900000000011</v>
      </c>
      <c r="H36" s="15">
        <v>89.550279514720856</v>
      </c>
      <c r="I36" s="16">
        <f t="shared" si="1"/>
        <v>1300035030.8400002</v>
      </c>
      <c r="J36" s="16">
        <f t="shared" si="2"/>
        <v>1300592439.5599997</v>
      </c>
      <c r="K36" s="18">
        <v>0.156499</v>
      </c>
      <c r="L36" s="17"/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1530100</v>
      </c>
      <c r="D37" s="7" t="s">
        <v>50</v>
      </c>
      <c r="E37" s="34" t="s">
        <v>55</v>
      </c>
      <c r="F37" s="34" t="s">
        <v>60</v>
      </c>
      <c r="G37" s="15">
        <v>850.20100000000002</v>
      </c>
      <c r="H37" s="15">
        <v>851.29810169923508</v>
      </c>
      <c r="I37" s="16">
        <f t="shared" si="1"/>
        <v>1300892550.1000001</v>
      </c>
      <c r="J37" s="16">
        <f t="shared" si="2"/>
        <v>1302571225.4099996</v>
      </c>
      <c r="K37" s="18">
        <v>0.156999</v>
      </c>
      <c r="L37" s="17"/>
      <c r="M37" s="17">
        <v>1300892550.0999999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782127</v>
      </c>
      <c r="D38" s="7" t="s">
        <v>50</v>
      </c>
      <c r="E38" s="34" t="s">
        <v>55</v>
      </c>
      <c r="F38" s="34" t="s">
        <v>60</v>
      </c>
      <c r="G38" s="15">
        <v>540.88229999731504</v>
      </c>
      <c r="H38" s="15">
        <v>541.58470605157504</v>
      </c>
      <c r="I38" s="16">
        <f t="shared" si="1"/>
        <v>423038650.65000004</v>
      </c>
      <c r="J38" s="16">
        <f t="shared" si="2"/>
        <v>423588021.39000022</v>
      </c>
      <c r="K38" s="18">
        <v>0.158</v>
      </c>
      <c r="L38" s="17"/>
      <c r="M38" s="17">
        <v>423038650.64999998</v>
      </c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SUM(M33:M39)</f>
        <v>1723931200.75</v>
      </c>
      <c r="N40" s="38">
        <v>1723931200.75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x14ac:dyDescent="0.25">
      <c r="A44" s="57">
        <f ca="1">IF(OFFSET(A44,-1,0)="№ п/п",1,OFFSET(A44,-1,0)+1)</f>
        <v>1</v>
      </c>
      <c r="B44" s="40" t="s">
        <v>49</v>
      </c>
      <c r="C44" s="52" t="s">
        <v>50</v>
      </c>
      <c r="D44" s="53" t="s">
        <v>51</v>
      </c>
      <c r="E44" s="54">
        <v>2100000</v>
      </c>
      <c r="F44" s="55">
        <v>300300000</v>
      </c>
      <c r="G44" s="56">
        <v>300300000</v>
      </c>
      <c r="H44" s="58">
        <v>300300000</v>
      </c>
      <c r="I44" s="29">
        <f>G44-H44</f>
        <v>0</v>
      </c>
    </row>
    <row r="45" spans="1:15" hidden="1" x14ac:dyDescent="0.25">
      <c r="B45" s="42"/>
      <c r="C45" s="43"/>
      <c r="D45" s="44"/>
      <c r="G45" s="45"/>
      <c r="H45" s="33"/>
    </row>
    <row r="46" spans="1:15" x14ac:dyDescent="0.25">
      <c r="G46" s="46">
        <f>SUM(G44:G45)</f>
        <v>300300000</v>
      </c>
    </row>
    <row r="48" spans="1:15" x14ac:dyDescent="0.25">
      <c r="A48" s="47" t="s">
        <v>13</v>
      </c>
      <c r="B48" s="48">
        <f>+L25+B28+M40+G46</f>
        <v>32143776731.497425</v>
      </c>
      <c r="C48" s="32">
        <v>32143776731.497448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9" t="s">
        <v>35</v>
      </c>
      <c r="B52" s="50"/>
    </row>
    <row r="53" spans="1:2" x14ac:dyDescent="0.25">
      <c r="A53" s="49" t="s">
        <v>36</v>
      </c>
      <c r="B53" s="41"/>
    </row>
    <row r="54" spans="1:2" x14ac:dyDescent="0.25">
      <c r="A54" s="49" t="s">
        <v>37</v>
      </c>
      <c r="B54" s="41">
        <v>89936.930000000008</v>
      </c>
    </row>
    <row r="55" spans="1:2" x14ac:dyDescent="0.25">
      <c r="A55" s="49" t="s">
        <v>38</v>
      </c>
      <c r="B55" s="41"/>
    </row>
    <row r="56" spans="1:2" x14ac:dyDescent="0.25">
      <c r="A56" s="49" t="s">
        <v>39</v>
      </c>
      <c r="B56" s="50"/>
    </row>
    <row r="57" spans="1:2" x14ac:dyDescent="0.25">
      <c r="A57" s="49" t="s">
        <v>40</v>
      </c>
      <c r="B57" s="51">
        <v>15496.16</v>
      </c>
    </row>
    <row r="58" spans="1:2" x14ac:dyDescent="0.25">
      <c r="A58" s="49" t="s">
        <v>41</v>
      </c>
      <c r="B58" s="51">
        <v>7748.09</v>
      </c>
    </row>
    <row r="59" spans="1:2" x14ac:dyDescent="0.25">
      <c r="A59" s="49" t="s">
        <v>42</v>
      </c>
      <c r="B59" s="41"/>
    </row>
    <row r="60" spans="1:2" x14ac:dyDescent="0.25">
      <c r="A60" s="49" t="s">
        <v>43</v>
      </c>
      <c r="B60" s="41"/>
    </row>
    <row r="61" spans="1:2" x14ac:dyDescent="0.25">
      <c r="A61" s="49" t="s">
        <v>44</v>
      </c>
      <c r="B61" s="51"/>
    </row>
    <row r="62" spans="1:2" x14ac:dyDescent="0.25">
      <c r="A62" s="49" t="s">
        <v>45</v>
      </c>
      <c r="B62" s="50">
        <f>SUM(B52:B61)</f>
        <v>113181.18000000001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2025-09-08T06:31:57Z</dcterms:created>
  <dcterms:modified xsi:type="dcterms:W3CDTF">2025-09-08T09:56:51Z</dcterms:modified>
</cp:coreProperties>
</file>