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9.2025\"/>
    </mc:Choice>
  </mc:AlternateContent>
  <xr:revisionPtr revIDLastSave="0" documentId="13_ncr:1_{6005A267-50E1-4E34-BD80-106AE32DF6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4" i="1" l="1"/>
  <c r="O47" i="1"/>
  <c r="O24" i="1"/>
  <c r="D27" i="1"/>
  <c r="B68" i="1"/>
  <c r="G52" i="1"/>
  <c r="M47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0" i="1" s="1"/>
  <c r="K24" i="1"/>
  <c r="M21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22" i="1" l="1"/>
  <c r="M19" i="1"/>
  <c r="B54" i="1"/>
</calcChain>
</file>

<file path=xl/sharedStrings.xml><?xml version="1.0" encoding="utf-8"?>
<sst xmlns="http://schemas.openxmlformats.org/spreadsheetml/2006/main" count="200" uniqueCount="128">
  <si>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</si>
  <si>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</si>
  <si>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</si>
  <si>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</si>
  <si>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</si>
  <si>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</si>
  <si>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</si>
  <si>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</si>
  <si>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</si>
  <si>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</si>
  <si>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</si>
  <si>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</si>
  <si>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</si>
  <si>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</si>
  <si>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</si>
  <si>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</si>
  <si>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</si>
  <si>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</si>
  <si>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</si>
  <si>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</si>
  <si>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</si>
  <si>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</si>
  <si>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</si>
  <si>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</si>
  <si>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</si>
  <si>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</si>
  <si>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</si>
  <si>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</si>
  <si>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</si>
  <si>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</si>
  <si>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</si>
  <si>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</si>
  <si>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</si>
  <si>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</si>
  <si>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</si>
  <si>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</si>
  <si>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</si>
  <si>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</si>
  <si>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</si>
  <si>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</si>
  <si>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</si>
  <si>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</si>
  <si>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</si>
  <si>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</si>
  <si>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</si>
  <si>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</si>
  <si>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</si>
  <si>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</si>
  <si>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</si>
  <si>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KZ_06_4410</t>
  </si>
  <si>
    <t>XS1120709826</t>
  </si>
  <si>
    <t>KZT</t>
  </si>
  <si>
    <t>29.09.2025</t>
  </si>
  <si>
    <t>30.09.2025</t>
  </si>
  <si>
    <t>МИНИСТЕРСТВО ФИНАНСОВ РК, ГЦБ, KZ_10_2811</t>
  </si>
  <si>
    <t>XS1901718335</t>
  </si>
  <si>
    <t>МИНИСТЕРСТВО ФИНАНСОВ РК, ОБЛИГАЦИИ, MFKZ.0435</t>
  </si>
  <si>
    <t>XS2914770545</t>
  </si>
  <si>
    <t>06.10.2025</t>
  </si>
  <si>
    <t>МИНИСТЕРСТВО ФИНАНСОВ РК, ГЦБ, MUM120_0018</t>
  </si>
  <si>
    <t>KZKD00000907</t>
  </si>
  <si>
    <t>МИНИСТЕРСТВО ФИНАНСОВ РК, ГЦБ, KZ_24_3207</t>
  </si>
  <si>
    <t>XS3093655341</t>
  </si>
  <si>
    <t>АКЦИОНЕРНОЕ ОБЩЕСТВО КАЗАХСТАНСКИЙ ФОНД УСТОЙЧИВОСТИ, ОБЛИГАЦИИ, KFUSb72</t>
  </si>
  <si>
    <t>KZ2C00011989</t>
  </si>
  <si>
    <t>МИНИСТЕРСТВО ФИНАНСОВ РК, ГЦБ, MUM096_0011</t>
  </si>
  <si>
    <t>KZKD00001095</t>
  </si>
  <si>
    <t>26.09.2025</t>
  </si>
  <si>
    <t>МИНИСТЕРСТВО ФИНАНСОВ РК, ГЦБ, MUM096_0012</t>
  </si>
  <si>
    <t>KZKD00001160</t>
  </si>
  <si>
    <t>МИНИСТЕРСТВО ФИНАНСОВ РК, ГЦБ, MOM060_0054</t>
  </si>
  <si>
    <t>KZK200000737</t>
  </si>
  <si>
    <t>МИНИСТЕРСТВО ФИНАНСОВ РК, ГЦБ, MOM048_0052</t>
  </si>
  <si>
    <t>KZK200000687</t>
  </si>
  <si>
    <t>18.07.2024</t>
  </si>
  <si>
    <t>21.01.2026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</si>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</sst>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8"/>
  <sheetViews>
    <sheetView tabSelected="1" topLeftCell="B19" zoomScale="90" zoomScaleNormal="90" workbookViewId="0">
      <selection activeCell="D55" sqref="D55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52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72</v>
      </c>
      <c r="B4" s="13" t="s">
        <v>73</v>
      </c>
      <c r="C4" s="10">
        <v>3020000</v>
      </c>
      <c r="D4" s="11">
        <v>3020000000</v>
      </c>
      <c r="E4" s="3">
        <v>0.1067</v>
      </c>
      <c r="F4" s="4" t="s">
        <v>74</v>
      </c>
      <c r="G4" s="4" t="s">
        <v>75</v>
      </c>
      <c r="H4" s="11">
        <v>2930617060.0000029</v>
      </c>
      <c r="I4" s="11">
        <v>98.292700000000011</v>
      </c>
      <c r="J4" s="11">
        <v>100.30814444444401</v>
      </c>
      <c r="K4" s="11">
        <v>60866422.222222216</v>
      </c>
      <c r="L4" s="11">
        <v>3029305962.2222219</v>
      </c>
      <c r="M4" s="6">
        <f t="shared" ref="M4:M22" si="0">L4/$L$24</f>
        <v>0.1037089507660055</v>
      </c>
    </row>
    <row r="5" spans="1:13" x14ac:dyDescent="0.25">
      <c r="A5" s="1" t="s">
        <v>68</v>
      </c>
      <c r="B5" s="13" t="s">
        <v>69</v>
      </c>
      <c r="C5" s="10">
        <v>2265000</v>
      </c>
      <c r="D5" s="11">
        <v>2265000000</v>
      </c>
      <c r="E5" s="3">
        <v>0.10550000000000001</v>
      </c>
      <c r="F5" s="4" t="s">
        <v>74</v>
      </c>
      <c r="G5" s="4" t="s">
        <v>76</v>
      </c>
      <c r="H5" s="11">
        <v>2039188560.0000031</v>
      </c>
      <c r="I5" s="11">
        <v>82.733900000000006</v>
      </c>
      <c r="J5" s="11">
        <v>84.52153888888887</v>
      </c>
      <c r="K5" s="11">
        <v>40490020.833333328</v>
      </c>
      <c r="L5" s="11">
        <v>1914412855.833333</v>
      </c>
      <c r="M5" s="6">
        <f t="shared" si="0"/>
        <v>6.5540341942146363E-2</v>
      </c>
    </row>
    <row r="6" spans="1:13" x14ac:dyDescent="0.25">
      <c r="A6" s="1" t="s">
        <v>68</v>
      </c>
      <c r="B6" s="13" t="s">
        <v>69</v>
      </c>
      <c r="C6" s="10">
        <v>1551646</v>
      </c>
      <c r="D6" s="11">
        <v>1551646000</v>
      </c>
      <c r="E6" s="3">
        <v>0.10550000000000001</v>
      </c>
      <c r="F6" s="4" t="s">
        <v>77</v>
      </c>
      <c r="G6" s="4" t="s">
        <v>76</v>
      </c>
      <c r="H6" s="11">
        <v>1395452658.7</v>
      </c>
      <c r="I6" s="11">
        <v>82.733900000000006</v>
      </c>
      <c r="J6" s="11">
        <v>84.52153888888914</v>
      </c>
      <c r="K6" s="11">
        <v>27737827.313888881</v>
      </c>
      <c r="L6" s="11">
        <v>1311475077.3078921</v>
      </c>
      <c r="M6" s="6">
        <f t="shared" si="0"/>
        <v>4.4898635502500617E-2</v>
      </c>
    </row>
    <row r="7" spans="1:13" x14ac:dyDescent="0.25">
      <c r="A7" s="1" t="s">
        <v>68</v>
      </c>
      <c r="B7" s="13" t="s">
        <v>69</v>
      </c>
      <c r="C7" s="10">
        <v>545692</v>
      </c>
      <c r="D7" s="11">
        <v>545692000</v>
      </c>
      <c r="E7" s="3">
        <v>0.10550000000000001</v>
      </c>
      <c r="F7" s="4" t="s">
        <v>78</v>
      </c>
      <c r="G7" s="4" t="s">
        <v>76</v>
      </c>
      <c r="H7" s="11">
        <v>449784993.92000002</v>
      </c>
      <c r="I7" s="11">
        <v>82.733900000000006</v>
      </c>
      <c r="J7" s="11">
        <v>84.521538888888884</v>
      </c>
      <c r="K7" s="11">
        <v>9755002.4055555593</v>
      </c>
      <c r="L7" s="11">
        <v>461227275.99355602</v>
      </c>
      <c r="M7" s="6">
        <f t="shared" si="0"/>
        <v>1.5790216456995042E-2</v>
      </c>
    </row>
    <row r="8" spans="1:13" x14ac:dyDescent="0.25">
      <c r="A8" s="1" t="s">
        <v>79</v>
      </c>
      <c r="B8" s="13" t="s">
        <v>80</v>
      </c>
      <c r="C8" s="10">
        <v>2265000</v>
      </c>
      <c r="D8" s="11">
        <v>2265000000</v>
      </c>
      <c r="E8" s="3">
        <v>0.10400000000000001</v>
      </c>
      <c r="F8" s="4" t="s">
        <v>74</v>
      </c>
      <c r="G8" s="4" t="s">
        <v>81</v>
      </c>
      <c r="H8" s="11">
        <v>2073109200</v>
      </c>
      <c r="I8" s="11">
        <v>86.794200000000004</v>
      </c>
      <c r="J8" s="11">
        <v>91.618644444444442</v>
      </c>
      <c r="K8" s="11">
        <v>109273666.666667</v>
      </c>
      <c r="L8" s="11">
        <v>2075162296.666666</v>
      </c>
      <c r="M8" s="6">
        <f t="shared" si="0"/>
        <v>7.1043634132816169E-2</v>
      </c>
    </row>
    <row r="9" spans="1:13" x14ac:dyDescent="0.25">
      <c r="A9" s="1" t="s">
        <v>82</v>
      </c>
      <c r="B9" s="13" t="s">
        <v>83</v>
      </c>
      <c r="C9" s="10">
        <v>2265000</v>
      </c>
      <c r="D9" s="11">
        <v>2265000000</v>
      </c>
      <c r="E9" s="3">
        <v>0.11</v>
      </c>
      <c r="F9" s="4" t="s">
        <v>74</v>
      </c>
      <c r="G9" s="4" t="s">
        <v>84</v>
      </c>
      <c r="H9" s="11">
        <v>2080889475</v>
      </c>
      <c r="I9" s="11">
        <v>84.77300000000001</v>
      </c>
      <c r="J9" s="11">
        <v>90.24244444444443</v>
      </c>
      <c r="K9" s="11">
        <v>123882916.666667</v>
      </c>
      <c r="L9" s="11">
        <v>2043991366.666666</v>
      </c>
      <c r="M9" s="6">
        <f t="shared" si="0"/>
        <v>6.9976490541176731E-2</v>
      </c>
    </row>
    <row r="10" spans="1:13" x14ac:dyDescent="0.25">
      <c r="A10" s="1" t="s">
        <v>85</v>
      </c>
      <c r="B10" s="13" t="s">
        <v>86</v>
      </c>
      <c r="C10" s="10">
        <v>2265000</v>
      </c>
      <c r="D10" s="11">
        <v>2265000000</v>
      </c>
      <c r="E10" s="3">
        <v>0.10300000000000001</v>
      </c>
      <c r="F10" s="4" t="s">
        <v>74</v>
      </c>
      <c r="G10" s="4" t="s">
        <v>87</v>
      </c>
      <c r="H10" s="11">
        <v>1963990560.0000031</v>
      </c>
      <c r="I10" s="11">
        <v>77.332300000000004</v>
      </c>
      <c r="J10" s="11">
        <v>82.825633333333329</v>
      </c>
      <c r="K10" s="11">
        <v>124424000</v>
      </c>
      <c r="L10" s="11">
        <v>1876000595</v>
      </c>
      <c r="M10" s="6">
        <f t="shared" si="0"/>
        <v>6.4225289808999414E-2</v>
      </c>
    </row>
    <row r="11" spans="1:13" x14ac:dyDescent="0.25">
      <c r="A11" s="1" t="s">
        <v>88</v>
      </c>
      <c r="B11" s="13" t="s">
        <v>89</v>
      </c>
      <c r="C11" s="10">
        <v>2265000</v>
      </c>
      <c r="D11" s="11">
        <v>2265000000</v>
      </c>
      <c r="E11" s="3">
        <v>8.4500000000000006E-2</v>
      </c>
      <c r="F11" s="4" t="s">
        <v>74</v>
      </c>
      <c r="G11" s="4" t="s">
        <v>90</v>
      </c>
      <c r="H11" s="11">
        <v>1740247065.0000031</v>
      </c>
      <c r="I11" s="11">
        <v>67.844999999999999</v>
      </c>
      <c r="J11" s="11">
        <v>71.670972222222218</v>
      </c>
      <c r="K11" s="11">
        <v>86658270.833333328</v>
      </c>
      <c r="L11" s="11">
        <v>1623347520.833333</v>
      </c>
      <c r="M11" s="6">
        <f t="shared" si="0"/>
        <v>5.5575656673094775E-2</v>
      </c>
    </row>
    <row r="12" spans="1:13" x14ac:dyDescent="0.25">
      <c r="A12" s="1" t="s">
        <v>91</v>
      </c>
      <c r="B12" s="13" t="s">
        <v>92</v>
      </c>
      <c r="C12" s="10">
        <v>2265000</v>
      </c>
      <c r="D12" s="11">
        <v>2265000000</v>
      </c>
      <c r="E12" s="3">
        <v>0.10650000000000001</v>
      </c>
      <c r="F12" s="4" t="s">
        <v>74</v>
      </c>
      <c r="G12" s="4" t="s">
        <v>93</v>
      </c>
      <c r="H12" s="11">
        <v>1967775375</v>
      </c>
      <c r="I12" s="11">
        <v>75.668900000000008</v>
      </c>
      <c r="J12" s="11">
        <v>77.53264999999999</v>
      </c>
      <c r="K12" s="11">
        <v>42213937.5</v>
      </c>
      <c r="L12" s="11">
        <v>1756114522.5</v>
      </c>
      <c r="M12" s="6">
        <f t="shared" si="0"/>
        <v>6.012096395169593E-2</v>
      </c>
    </row>
    <row r="13" spans="1:13" x14ac:dyDescent="0.25">
      <c r="A13" s="1" t="s">
        <v>94</v>
      </c>
      <c r="B13" s="13" t="s">
        <v>95</v>
      </c>
      <c r="C13" s="10">
        <v>2265000</v>
      </c>
      <c r="D13" s="11">
        <v>2265000000</v>
      </c>
      <c r="E13" s="3">
        <v>8.0700000000000008E-2</v>
      </c>
      <c r="F13" s="4" t="s">
        <v>74</v>
      </c>
      <c r="G13" s="4" t="s">
        <v>96</v>
      </c>
      <c r="H13" s="11">
        <v>1622351550</v>
      </c>
      <c r="I13" s="11">
        <v>61.351600000000005</v>
      </c>
      <c r="J13" s="11">
        <v>64.422683333333325</v>
      </c>
      <c r="K13" s="11">
        <v>69560037.5</v>
      </c>
      <c r="L13" s="11">
        <v>1459173777.5</v>
      </c>
      <c r="M13" s="6">
        <f t="shared" si="0"/>
        <v>4.9955132738979717E-2</v>
      </c>
    </row>
    <row r="14" spans="1:13" x14ac:dyDescent="0.25">
      <c r="A14" s="1" t="s">
        <v>97</v>
      </c>
      <c r="B14" s="13" t="s">
        <v>98</v>
      </c>
      <c r="C14" s="10">
        <v>2265000</v>
      </c>
      <c r="D14" s="11">
        <v>2265000000</v>
      </c>
      <c r="E14" s="3">
        <v>8.0700000000000008E-2</v>
      </c>
      <c r="F14" s="4" t="s">
        <v>74</v>
      </c>
      <c r="G14" s="4" t="s">
        <v>99</v>
      </c>
      <c r="H14" s="11">
        <v>1597764975</v>
      </c>
      <c r="I14" s="11">
        <v>59.919499999999999</v>
      </c>
      <c r="J14" s="11">
        <v>65.299500000000009</v>
      </c>
      <c r="K14" s="11">
        <v>121857000</v>
      </c>
      <c r="L14" s="11">
        <v>1479033675</v>
      </c>
      <c r="M14" s="6">
        <f t="shared" si="0"/>
        <v>5.0635040664336488E-2</v>
      </c>
    </row>
    <row r="15" spans="1:13" x14ac:dyDescent="0.25">
      <c r="A15" s="1" t="s">
        <v>100</v>
      </c>
      <c r="B15" s="13" t="s">
        <v>101</v>
      </c>
      <c r="C15" s="10">
        <v>3775000</v>
      </c>
      <c r="D15" s="11">
        <v>3775000000</v>
      </c>
      <c r="E15" s="3">
        <v>5.4900000000000004E-2</v>
      </c>
      <c r="F15" s="4" t="s">
        <v>74</v>
      </c>
      <c r="G15" s="4" t="s">
        <v>102</v>
      </c>
      <c r="H15" s="11">
        <v>3136670150</v>
      </c>
      <c r="I15" s="11">
        <v>85.42410000000001</v>
      </c>
      <c r="J15" s="11">
        <v>88.199600000000004</v>
      </c>
      <c r="K15" s="11">
        <v>104775125</v>
      </c>
      <c r="L15" s="11">
        <v>3329534900</v>
      </c>
      <c r="M15" s="6">
        <f t="shared" si="0"/>
        <v>0.11398735397612061</v>
      </c>
    </row>
    <row r="16" spans="1:13" x14ac:dyDescent="0.25">
      <c r="A16" s="1" t="s">
        <v>103</v>
      </c>
      <c r="B16" s="13" t="s">
        <v>104</v>
      </c>
      <c r="C16" s="10">
        <v>2803860</v>
      </c>
      <c r="D16" s="11">
        <v>2803860000</v>
      </c>
      <c r="E16" s="3">
        <v>5.5E-2</v>
      </c>
      <c r="F16" s="4" t="s">
        <v>105</v>
      </c>
      <c r="G16" s="4" t="s">
        <v>106</v>
      </c>
      <c r="H16" s="11">
        <v>1773018067.1400001</v>
      </c>
      <c r="I16" s="11">
        <v>56.675200000000004</v>
      </c>
      <c r="J16" s="11">
        <v>59.043255555555547</v>
      </c>
      <c r="K16" s="11">
        <v>66396962.5</v>
      </c>
      <c r="L16" s="11">
        <v>1655490225.22</v>
      </c>
      <c r="M16" s="6">
        <f t="shared" si="0"/>
        <v>5.6676069172952585E-2</v>
      </c>
    </row>
    <row r="17" spans="1:15" x14ac:dyDescent="0.25">
      <c r="A17" s="1" t="s">
        <v>107</v>
      </c>
      <c r="B17" s="13" t="s">
        <v>108</v>
      </c>
      <c r="C17" s="10">
        <v>1038480</v>
      </c>
      <c r="D17" s="11">
        <v>1038480000</v>
      </c>
      <c r="E17" s="3">
        <v>0.12</v>
      </c>
      <c r="F17" s="4" t="s">
        <v>105</v>
      </c>
      <c r="G17" s="4" t="s">
        <v>109</v>
      </c>
      <c r="H17" s="11">
        <v>979029096.96000004</v>
      </c>
      <c r="I17" s="11">
        <v>85.100500000000011</v>
      </c>
      <c r="J17" s="11">
        <v>91.833833333333331</v>
      </c>
      <c r="K17" s="11">
        <v>69924320</v>
      </c>
      <c r="L17" s="11">
        <v>953675992.39999998</v>
      </c>
      <c r="M17" s="6">
        <f t="shared" si="0"/>
        <v>3.26493057406387E-2</v>
      </c>
    </row>
    <row r="18" spans="1:15" x14ac:dyDescent="0.25">
      <c r="A18" s="1" t="s">
        <v>70</v>
      </c>
      <c r="B18" s="13" t="s">
        <v>71</v>
      </c>
      <c r="C18" s="10">
        <v>506989</v>
      </c>
      <c r="D18" s="11">
        <v>506989000</v>
      </c>
      <c r="E18" s="3">
        <v>0.1535</v>
      </c>
      <c r="F18" s="4" t="s">
        <v>110</v>
      </c>
      <c r="G18" s="4" t="s">
        <v>111</v>
      </c>
      <c r="H18" s="11">
        <v>492216861.50999999</v>
      </c>
      <c r="I18" s="11">
        <v>97.883499999999998</v>
      </c>
      <c r="J18" s="11">
        <v>103.469194444444</v>
      </c>
      <c r="K18" s="11">
        <v>28318856.406944439</v>
      </c>
      <c r="L18" s="11">
        <v>524577434.22194397</v>
      </c>
      <c r="M18" s="6">
        <f t="shared" si="0"/>
        <v>1.7959022950184981E-2</v>
      </c>
    </row>
    <row r="19" spans="1:15" x14ac:dyDescent="0.25">
      <c r="A19" s="1" t="s">
        <v>112</v>
      </c>
      <c r="B19" s="13" t="s">
        <v>113</v>
      </c>
      <c r="C19" s="10">
        <v>2100000</v>
      </c>
      <c r="D19" s="11">
        <v>2100000000</v>
      </c>
      <c r="E19" s="3">
        <v>0.14300000000000002</v>
      </c>
      <c r="F19" s="4" t="s">
        <v>114</v>
      </c>
      <c r="G19" s="4" t="s">
        <v>115</v>
      </c>
      <c r="H19" s="11">
        <v>2100000000</v>
      </c>
      <c r="I19" s="11">
        <v>94.556425116577401</v>
      </c>
      <c r="J19" s="11">
        <v>95.589202894355168</v>
      </c>
      <c r="K19" s="11">
        <v>21688333.333333328</v>
      </c>
      <c r="L19" s="11">
        <v>2007373260.7814579</v>
      </c>
      <c r="M19" s="6">
        <f t="shared" si="0"/>
        <v>6.8722861694255108E-2</v>
      </c>
    </row>
    <row r="20" spans="1:15" x14ac:dyDescent="0.25">
      <c r="A20" s="1" t="s">
        <v>116</v>
      </c>
      <c r="B20" s="13" t="s">
        <v>117</v>
      </c>
      <c r="C20" s="10">
        <v>1000000</v>
      </c>
      <c r="D20" s="11">
        <v>1000000000</v>
      </c>
      <c r="E20" s="3">
        <v>0.1389</v>
      </c>
      <c r="F20" s="4" t="s">
        <v>118</v>
      </c>
      <c r="G20" s="4" t="s">
        <v>119</v>
      </c>
      <c r="H20" s="11">
        <v>1000000000</v>
      </c>
      <c r="I20" s="11">
        <v>98.236112801994096</v>
      </c>
      <c r="J20" s="11">
        <v>102.904696135327</v>
      </c>
      <c r="K20" s="11">
        <v>46685833.333333328</v>
      </c>
      <c r="L20" s="11">
        <v>1029046961.353274</v>
      </c>
      <c r="M20" s="6">
        <f t="shared" si="0"/>
        <v>3.5229647312550155E-2</v>
      </c>
    </row>
    <row r="21" spans="1:15" x14ac:dyDescent="0.25">
      <c r="A21" s="1" t="s">
        <v>120</v>
      </c>
      <c r="B21" s="13" t="s">
        <v>121</v>
      </c>
      <c r="C21" s="10">
        <v>165739</v>
      </c>
      <c r="D21" s="11">
        <v>165739000</v>
      </c>
      <c r="E21" s="3">
        <v>0.125</v>
      </c>
      <c r="F21" s="4" t="s">
        <v>122</v>
      </c>
      <c r="G21" s="4" t="s">
        <v>123</v>
      </c>
      <c r="H21" s="11">
        <v>159596381.18279999</v>
      </c>
      <c r="I21" s="11">
        <v>95.858092131477491</v>
      </c>
      <c r="J21" s="11">
        <v>99.573369909241862</v>
      </c>
      <c r="K21" s="11">
        <v>6157664.2360888897</v>
      </c>
      <c r="L21" s="11">
        <v>165031907.55387801</v>
      </c>
      <c r="M21" s="6">
        <f t="shared" si="0"/>
        <v>5.6499033735006969E-3</v>
      </c>
    </row>
    <row r="22" spans="1:15" x14ac:dyDescent="0.25">
      <c r="A22" s="1" t="s">
        <v>124</v>
      </c>
      <c r="B22" s="13" t="s">
        <v>125</v>
      </c>
      <c r="C22" s="10">
        <v>494987</v>
      </c>
      <c r="D22" s="11">
        <v>494987000</v>
      </c>
      <c r="E22" s="3">
        <v>0.1701</v>
      </c>
      <c r="F22" s="4" t="s">
        <v>126</v>
      </c>
      <c r="G22" s="4" t="s">
        <v>127</v>
      </c>
      <c r="H22" s="11">
        <v>495088472.34249997</v>
      </c>
      <c r="I22" s="11">
        <v>101.72980000000001</v>
      </c>
      <c r="J22" s="11">
        <v>104.18680000000001</v>
      </c>
      <c r="K22" s="11">
        <v>12161830.59</v>
      </c>
      <c r="L22" s="11">
        <v>515711115.71600002</v>
      </c>
      <c r="M22" s="6">
        <f t="shared" si="0"/>
        <v>1.765548260105031E-2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1172828027.3413672</v>
      </c>
      <c r="L24" s="22">
        <f>SUM(L4:L23)</f>
        <v>29209686722.770226</v>
      </c>
      <c r="M24" s="23"/>
      <c r="N24" s="26">
        <v>29209686722.770245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15279443.16</v>
      </c>
      <c r="C27" s="51">
        <v>15279443.16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76640</v>
      </c>
      <c r="D32" s="7" t="s">
        <v>51</v>
      </c>
      <c r="E32" s="34" t="s">
        <v>52</v>
      </c>
      <c r="F32" s="34" t="s">
        <v>53</v>
      </c>
      <c r="G32" s="15">
        <v>522.069599947808</v>
      </c>
      <c r="H32" s="15">
        <v>522.29687904488503</v>
      </c>
      <c r="I32" s="16">
        <f t="shared" ref="I32:I45" si="1">+C32*G32</f>
        <v>40011414.140000008</v>
      </c>
      <c r="J32" s="16">
        <f t="shared" ref="J32:J45" si="2">+C32*H32</f>
        <v>40028832.809999987</v>
      </c>
      <c r="K32" s="18">
        <v>0.15890000000000001</v>
      </c>
      <c r="L32" s="17"/>
      <c r="M32" s="17">
        <v>40011414.140000001</v>
      </c>
      <c r="N32" s="35"/>
    </row>
    <row r="33" spans="1:15" s="36" customFormat="1" ht="12" customHeight="1" x14ac:dyDescent="0.25">
      <c r="A33" s="12" t="s">
        <v>54</v>
      </c>
      <c r="B33" s="7" t="s">
        <v>55</v>
      </c>
      <c r="C33" s="14">
        <v>584936</v>
      </c>
      <c r="D33" s="7" t="s">
        <v>51</v>
      </c>
      <c r="E33" s="34" t="s">
        <v>52</v>
      </c>
      <c r="F33" s="34" t="s">
        <v>53</v>
      </c>
      <c r="G33" s="15">
        <v>639.56419999794798</v>
      </c>
      <c r="H33" s="15">
        <v>639.84262945005901</v>
      </c>
      <c r="I33" s="16">
        <f t="shared" si="1"/>
        <v>374104124.88999969</v>
      </c>
      <c r="J33" s="16">
        <f t="shared" si="2"/>
        <v>374266988.29999971</v>
      </c>
      <c r="K33" s="18">
        <v>0.15890000000000001</v>
      </c>
      <c r="L33" s="17"/>
      <c r="M33" s="17">
        <v>374104124.88999999</v>
      </c>
      <c r="N33" s="35"/>
    </row>
    <row r="34" spans="1:15" s="36" customFormat="1" ht="12" customHeight="1" x14ac:dyDescent="0.25">
      <c r="A34" s="12" t="s">
        <v>56</v>
      </c>
      <c r="B34" s="7" t="s">
        <v>57</v>
      </c>
      <c r="C34" s="14">
        <v>349330</v>
      </c>
      <c r="D34" s="7" t="s">
        <v>51</v>
      </c>
      <c r="E34" s="34" t="s">
        <v>52</v>
      </c>
      <c r="F34" s="34" t="s">
        <v>58</v>
      </c>
      <c r="G34" s="15">
        <v>552.491300002863</v>
      </c>
      <c r="H34" s="15">
        <v>554.19191363467201</v>
      </c>
      <c r="I34" s="16">
        <f t="shared" si="1"/>
        <v>193001785.83000013</v>
      </c>
      <c r="J34" s="16">
        <f t="shared" si="2"/>
        <v>193595861.18999997</v>
      </c>
      <c r="K34" s="18">
        <v>0.1605</v>
      </c>
      <c r="L34" s="17"/>
      <c r="M34" s="17">
        <v>193001785.83000001</v>
      </c>
      <c r="N34" s="35"/>
    </row>
    <row r="35" spans="1:15" s="36" customFormat="1" ht="12" customHeight="1" x14ac:dyDescent="0.25">
      <c r="A35" s="12" t="s">
        <v>59</v>
      </c>
      <c r="B35" s="7" t="s">
        <v>60</v>
      </c>
      <c r="C35" s="14">
        <v>1440400</v>
      </c>
      <c r="D35" s="7" t="s">
        <v>51</v>
      </c>
      <c r="E35" s="34" t="s">
        <v>52</v>
      </c>
      <c r="F35" s="34" t="s">
        <v>58</v>
      </c>
      <c r="G35" s="15">
        <v>903.21300000000008</v>
      </c>
      <c r="H35" s="15">
        <v>905.98450290197206</v>
      </c>
      <c r="I35" s="16">
        <f t="shared" si="1"/>
        <v>1300988005.2</v>
      </c>
      <c r="J35" s="16">
        <f t="shared" si="2"/>
        <v>1304980077.9800005</v>
      </c>
      <c r="K35" s="18">
        <v>0.16</v>
      </c>
      <c r="L35" s="17"/>
      <c r="M35" s="17">
        <v>1300988005.2</v>
      </c>
      <c r="N35" s="35"/>
    </row>
    <row r="36" spans="1:15" s="36" customFormat="1" ht="12" customHeight="1" x14ac:dyDescent="0.25">
      <c r="A36" s="12" t="s">
        <v>61</v>
      </c>
      <c r="B36" s="7" t="s">
        <v>62</v>
      </c>
      <c r="C36" s="14">
        <v>10632</v>
      </c>
      <c r="D36" s="7" t="s">
        <v>51</v>
      </c>
      <c r="E36" s="34" t="s">
        <v>52</v>
      </c>
      <c r="F36" s="34" t="s">
        <v>58</v>
      </c>
      <c r="G36" s="15">
        <v>564.63099981188907</v>
      </c>
      <c r="H36" s="15">
        <v>566.363566591422</v>
      </c>
      <c r="I36" s="16">
        <f t="shared" si="1"/>
        <v>6003156.7900000047</v>
      </c>
      <c r="J36" s="16">
        <f t="shared" si="2"/>
        <v>6021577.4399999985</v>
      </c>
      <c r="K36" s="18">
        <v>0.16</v>
      </c>
      <c r="L36" s="17"/>
      <c r="M36" s="17">
        <v>6003156.79</v>
      </c>
      <c r="N36" s="35"/>
    </row>
    <row r="37" spans="1:15" s="36" customFormat="1" ht="12" customHeight="1" x14ac:dyDescent="0.25">
      <c r="A37" s="12" t="s">
        <v>63</v>
      </c>
      <c r="B37" s="7" t="s">
        <v>64</v>
      </c>
      <c r="C37" s="14">
        <v>1341600</v>
      </c>
      <c r="D37" s="7" t="s">
        <v>51</v>
      </c>
      <c r="E37" s="34" t="s">
        <v>52</v>
      </c>
      <c r="F37" s="34" t="s">
        <v>53</v>
      </c>
      <c r="G37" s="15">
        <v>969.32800000000009</v>
      </c>
      <c r="H37" s="15">
        <v>969.74892736285005</v>
      </c>
      <c r="I37" s="16">
        <f t="shared" si="1"/>
        <v>1300450444.8000002</v>
      </c>
      <c r="J37" s="16">
        <f t="shared" si="2"/>
        <v>1301015160.9499996</v>
      </c>
      <c r="K37" s="18">
        <v>0.1585</v>
      </c>
      <c r="L37" s="17"/>
      <c r="M37" s="17">
        <v>1300450444.8</v>
      </c>
      <c r="N37" s="35"/>
    </row>
    <row r="38" spans="1:15" s="36" customFormat="1" ht="12" customHeight="1" x14ac:dyDescent="0.25">
      <c r="A38" s="12" t="s">
        <v>65</v>
      </c>
      <c r="B38" s="7" t="s">
        <v>66</v>
      </c>
      <c r="C38" s="14">
        <v>1383200</v>
      </c>
      <c r="D38" s="7" t="s">
        <v>51</v>
      </c>
      <c r="E38" s="34" t="s">
        <v>67</v>
      </c>
      <c r="F38" s="34" t="s">
        <v>52</v>
      </c>
      <c r="G38" s="15">
        <v>940.5150000000001</v>
      </c>
      <c r="H38" s="15">
        <v>941.75183391411201</v>
      </c>
      <c r="I38" s="16">
        <f t="shared" si="1"/>
        <v>1300920348.0000002</v>
      </c>
      <c r="J38" s="16">
        <f t="shared" si="2"/>
        <v>1302631136.6699998</v>
      </c>
      <c r="K38" s="18">
        <v>0.159999</v>
      </c>
      <c r="L38" s="17">
        <v>570262.89</v>
      </c>
      <c r="M38" s="17"/>
      <c r="N38" s="35"/>
    </row>
    <row r="39" spans="1:15" s="36" customFormat="1" ht="12" customHeight="1" x14ac:dyDescent="0.25">
      <c r="A39" s="12" t="s">
        <v>65</v>
      </c>
      <c r="B39" s="7" t="s">
        <v>66</v>
      </c>
      <c r="C39" s="14">
        <v>1383200</v>
      </c>
      <c r="D39" s="7" t="s">
        <v>51</v>
      </c>
      <c r="E39" s="34" t="s">
        <v>52</v>
      </c>
      <c r="F39" s="34" t="s">
        <v>52</v>
      </c>
      <c r="G39" s="15">
        <v>940.5150000000001</v>
      </c>
      <c r="H39" s="15">
        <v>941.75183391411201</v>
      </c>
      <c r="I39" s="16">
        <f t="shared" si="1"/>
        <v>1300920348.0000002</v>
      </c>
      <c r="J39" s="16">
        <f t="shared" si="2"/>
        <v>1302631136.6699998</v>
      </c>
      <c r="K39" s="18">
        <v>0.159999</v>
      </c>
      <c r="L39" s="17"/>
      <c r="M39" s="17"/>
      <c r="N39" s="35"/>
    </row>
    <row r="40" spans="1:15" s="36" customFormat="1" ht="12" customHeight="1" x14ac:dyDescent="0.25">
      <c r="A40" s="12" t="s">
        <v>68</v>
      </c>
      <c r="B40" s="7" t="s">
        <v>69</v>
      </c>
      <c r="C40" s="14">
        <v>414468</v>
      </c>
      <c r="D40" s="7" t="s">
        <v>51</v>
      </c>
      <c r="E40" s="34" t="s">
        <v>67</v>
      </c>
      <c r="F40" s="34" t="s">
        <v>52</v>
      </c>
      <c r="G40" s="15">
        <v>839.89899999517502</v>
      </c>
      <c r="H40" s="15">
        <v>841.00351781078405</v>
      </c>
      <c r="I40" s="16">
        <f t="shared" si="1"/>
        <v>348111258.7300002</v>
      </c>
      <c r="J40" s="16">
        <f t="shared" si="2"/>
        <v>348569046.02000004</v>
      </c>
      <c r="K40" s="18">
        <v>0.159999</v>
      </c>
      <c r="L40" s="17">
        <v>152595.76333333331</v>
      </c>
      <c r="M40" s="17"/>
      <c r="N40" s="35"/>
    </row>
    <row r="41" spans="1:15" s="36" customFormat="1" ht="12" customHeight="1" x14ac:dyDescent="0.25">
      <c r="A41" s="12" t="s">
        <v>68</v>
      </c>
      <c r="B41" s="7" t="s">
        <v>69</v>
      </c>
      <c r="C41" s="14">
        <v>414468</v>
      </c>
      <c r="D41" s="7" t="s">
        <v>51</v>
      </c>
      <c r="E41" s="34" t="s">
        <v>52</v>
      </c>
      <c r="F41" s="34" t="s">
        <v>52</v>
      </c>
      <c r="G41" s="15">
        <v>839.89899999517502</v>
      </c>
      <c r="H41" s="15">
        <v>841.00351781078405</v>
      </c>
      <c r="I41" s="16">
        <f t="shared" si="1"/>
        <v>348111258.7300002</v>
      </c>
      <c r="J41" s="16">
        <f t="shared" si="2"/>
        <v>348569046.02000004</v>
      </c>
      <c r="K41" s="18">
        <v>0.159999</v>
      </c>
      <c r="L41" s="17"/>
      <c r="M41" s="17"/>
      <c r="N41" s="35"/>
    </row>
    <row r="42" spans="1:15" s="36" customFormat="1" ht="12" customHeight="1" x14ac:dyDescent="0.25">
      <c r="A42" s="12" t="s">
        <v>70</v>
      </c>
      <c r="B42" s="7" t="s">
        <v>71</v>
      </c>
      <c r="C42" s="14">
        <v>256162</v>
      </c>
      <c r="D42" s="7" t="s">
        <v>51</v>
      </c>
      <c r="E42" s="34" t="s">
        <v>67</v>
      </c>
      <c r="F42" s="34" t="s">
        <v>52</v>
      </c>
      <c r="G42" s="15">
        <v>1027.4569999843841</v>
      </c>
      <c r="H42" s="15">
        <v>1028.8081678781391</v>
      </c>
      <c r="I42" s="16">
        <f t="shared" si="1"/>
        <v>263195440.02999979</v>
      </c>
      <c r="J42" s="16">
        <f t="shared" si="2"/>
        <v>263541557.89999986</v>
      </c>
      <c r="K42" s="18">
        <v>0.159999</v>
      </c>
      <c r="L42" s="17">
        <v>115372.62333333331</v>
      </c>
      <c r="M42" s="17"/>
      <c r="N42" s="35"/>
    </row>
    <row r="43" spans="1:15" s="36" customFormat="1" ht="12" customHeight="1" x14ac:dyDescent="0.25">
      <c r="A43" s="12" t="s">
        <v>70</v>
      </c>
      <c r="B43" s="7" t="s">
        <v>71</v>
      </c>
      <c r="C43" s="14">
        <v>256162</v>
      </c>
      <c r="D43" s="7" t="s">
        <v>51</v>
      </c>
      <c r="E43" s="34" t="s">
        <v>52</v>
      </c>
      <c r="F43" s="34" t="s">
        <v>52</v>
      </c>
      <c r="G43" s="15">
        <v>1027.4569999843841</v>
      </c>
      <c r="H43" s="15">
        <v>1028.8081678781391</v>
      </c>
      <c r="I43" s="16">
        <f t="shared" si="1"/>
        <v>263195440.02999979</v>
      </c>
      <c r="J43" s="16">
        <f t="shared" si="2"/>
        <v>263541557.89999986</v>
      </c>
      <c r="K43" s="18">
        <v>0.159999</v>
      </c>
      <c r="L43" s="17"/>
      <c r="M43" s="17"/>
      <c r="N43" s="35"/>
    </row>
    <row r="44" spans="1:15" s="36" customFormat="1" ht="12" customHeight="1" x14ac:dyDescent="0.25">
      <c r="A44" s="12" t="s">
        <v>65</v>
      </c>
      <c r="B44" s="7" t="s">
        <v>66</v>
      </c>
      <c r="C44" s="14">
        <v>1383200</v>
      </c>
      <c r="D44" s="7" t="s">
        <v>51</v>
      </c>
      <c r="E44" s="34" t="s">
        <v>67</v>
      </c>
      <c r="F44" s="34" t="s">
        <v>52</v>
      </c>
      <c r="G44" s="15">
        <v>940.5150000000001</v>
      </c>
      <c r="H44" s="15">
        <v>941.75183391411201</v>
      </c>
      <c r="I44" s="16">
        <f t="shared" si="1"/>
        <v>1300920348.0000002</v>
      </c>
      <c r="J44" s="16">
        <f t="shared" si="2"/>
        <v>1302631136.6699998</v>
      </c>
      <c r="K44" s="18">
        <v>0.159999</v>
      </c>
      <c r="L44" s="17">
        <v>570262.89</v>
      </c>
      <c r="M44" s="17"/>
      <c r="N44" s="35"/>
    </row>
    <row r="45" spans="1:15" s="36" customFormat="1" ht="12" customHeight="1" x14ac:dyDescent="0.25">
      <c r="A45" s="12" t="s">
        <v>65</v>
      </c>
      <c r="B45" s="7" t="s">
        <v>66</v>
      </c>
      <c r="C45" s="14">
        <v>1383200</v>
      </c>
      <c r="D45" s="7" t="s">
        <v>51</v>
      </c>
      <c r="E45" s="34" t="s">
        <v>52</v>
      </c>
      <c r="F45" s="34" t="s">
        <v>52</v>
      </c>
      <c r="G45" s="15">
        <v>940.5150000000001</v>
      </c>
      <c r="H45" s="15">
        <v>941.75183391411201</v>
      </c>
      <c r="I45" s="16">
        <f t="shared" si="1"/>
        <v>1300920348.0000002</v>
      </c>
      <c r="J45" s="16">
        <f t="shared" si="2"/>
        <v>1302631136.6699998</v>
      </c>
      <c r="K45" s="18">
        <v>0.159999</v>
      </c>
      <c r="L45" s="17"/>
      <c r="M45" s="17"/>
      <c r="N45" s="35"/>
    </row>
    <row r="46" spans="1:15" s="36" customFormat="1" ht="11.25" hidden="1" x14ac:dyDescent="0.25">
      <c r="A46" s="7"/>
      <c r="B46" s="7"/>
      <c r="C46" s="7"/>
      <c r="D46" s="7"/>
      <c r="E46" s="37"/>
      <c r="F46" s="37"/>
      <c r="G46" s="7"/>
      <c r="H46" s="7"/>
      <c r="I46" s="8"/>
      <c r="J46" s="8"/>
      <c r="K46" s="7"/>
      <c r="L46" s="9"/>
      <c r="M46" s="9"/>
      <c r="N46" s="35"/>
    </row>
    <row r="47" spans="1:15" x14ac:dyDescent="0.25">
      <c r="A47" s="1" t="s">
        <v>5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2">
        <f>SUM(M32:M46)</f>
        <v>3214558931.6499996</v>
      </c>
      <c r="N47" s="38">
        <v>3214558931.6499996</v>
      </c>
      <c r="O47" s="29">
        <f>M47-N47</f>
        <v>0</v>
      </c>
    </row>
    <row r="49" spans="1:8" x14ac:dyDescent="0.25">
      <c r="A49" s="39" t="s">
        <v>28</v>
      </c>
      <c r="B49" s="33"/>
      <c r="D49" s="33"/>
      <c r="F49" s="28"/>
      <c r="G49" s="28"/>
    </row>
    <row r="50" spans="1:8" ht="22.5" x14ac:dyDescent="0.25">
      <c r="A50" s="19" t="s">
        <v>6</v>
      </c>
      <c r="B50" s="19" t="s">
        <v>29</v>
      </c>
      <c r="C50" s="19" t="s">
        <v>17</v>
      </c>
      <c r="D50" s="19" t="s">
        <v>30</v>
      </c>
      <c r="E50" s="19" t="s">
        <v>16</v>
      </c>
      <c r="F50" s="19" t="s">
        <v>31</v>
      </c>
      <c r="G50" s="19" t="s">
        <v>32</v>
      </c>
    </row>
    <row r="51" spans="1:8" hidden="1" x14ac:dyDescent="0.25">
      <c r="B51" s="41"/>
      <c r="C51" s="42"/>
      <c r="D51" s="43"/>
      <c r="G51" s="44"/>
      <c r="H51" s="33"/>
    </row>
    <row r="52" spans="1:8" x14ac:dyDescent="0.25">
      <c r="G52" s="45">
        <f>SUM(G51:G51)</f>
        <v>0</v>
      </c>
    </row>
    <row r="54" spans="1:8" x14ac:dyDescent="0.25">
      <c r="A54" s="46" t="s">
        <v>13</v>
      </c>
      <c r="B54" s="47">
        <f>+L24+B27+M47+G52</f>
        <v>32439525097.580223</v>
      </c>
      <c r="C54" s="32">
        <v>32439525097.580242</v>
      </c>
      <c r="D54" s="29">
        <f>B54-C54</f>
        <v>0</v>
      </c>
    </row>
    <row r="57" spans="1:8" x14ac:dyDescent="0.25">
      <c r="A57" s="24" t="s">
        <v>46</v>
      </c>
      <c r="B57" s="33"/>
    </row>
    <row r="58" spans="1:8" x14ac:dyDescent="0.25">
      <c r="A58" s="48" t="s">
        <v>35</v>
      </c>
      <c r="B58" s="49"/>
    </row>
    <row r="59" spans="1:8" x14ac:dyDescent="0.25">
      <c r="A59" s="48" t="s">
        <v>36</v>
      </c>
      <c r="B59" s="40"/>
    </row>
    <row r="60" spans="1:8" x14ac:dyDescent="0.25">
      <c r="A60" s="48" t="s">
        <v>37</v>
      </c>
      <c r="B60" s="40">
        <v>510344.5400000001</v>
      </c>
    </row>
    <row r="61" spans="1:8" x14ac:dyDescent="0.25">
      <c r="A61" s="48" t="s">
        <v>38</v>
      </c>
      <c r="B61" s="40"/>
    </row>
    <row r="62" spans="1:8" x14ac:dyDescent="0.25">
      <c r="A62" s="48" t="s">
        <v>39</v>
      </c>
      <c r="B62" s="49"/>
    </row>
    <row r="63" spans="1:8" x14ac:dyDescent="0.25">
      <c r="A63" s="48" t="s">
        <v>40</v>
      </c>
      <c r="B63" s="50">
        <v>107920.97</v>
      </c>
    </row>
    <row r="64" spans="1:8" x14ac:dyDescent="0.25">
      <c r="A64" s="48" t="s">
        <v>41</v>
      </c>
      <c r="B64" s="50">
        <v>53575.23</v>
      </c>
    </row>
    <row r="65" spans="1:2" x14ac:dyDescent="0.25">
      <c r="A65" s="48" t="s">
        <v>42</v>
      </c>
      <c r="B65" s="40"/>
    </row>
    <row r="66" spans="1:2" x14ac:dyDescent="0.25">
      <c r="A66" s="48" t="s">
        <v>43</v>
      </c>
      <c r="B66" s="40"/>
    </row>
    <row r="67" spans="1:2" x14ac:dyDescent="0.25">
      <c r="A67" s="48" t="s">
        <v>44</v>
      </c>
      <c r="B67" s="50"/>
    </row>
    <row r="68" spans="1:2" x14ac:dyDescent="0.25">
      <c r="A68" s="48" t="s">
        <v>45</v>
      </c>
      <c r="B68" s="49">
        <f>SUM(B58:B67)</f>
        <v>671840.74000000011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2025-09-30T05:25:38Z</dcterms:created>
  <dcterms:modified xsi:type="dcterms:W3CDTF">2025-09-30T09:40:25Z</dcterms:modified>
</cp:coreProperties>
</file>