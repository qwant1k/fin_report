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EE26EE86-9BCC-48F7-AF12-5A36DDC3ED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ДУ!$48:$48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" i="1" l="1"/>
  <c r="B67" i="1"/>
  <c r="G51" i="1"/>
  <c r="A48" i="1"/>
  <c r="A49" i="1" s="1"/>
  <c r="M44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7" i="1"/>
  <c r="M11" i="1"/>
  <c r="M5" i="1"/>
  <c r="M8" i="1" l="1"/>
  <c r="M14" i="1"/>
  <c r="M20" i="1"/>
  <c r="M6" i="1"/>
  <c r="M12" i="1"/>
  <c r="M18" i="1"/>
  <c r="M7" i="1"/>
  <c r="M19" i="1"/>
  <c r="M9" i="1"/>
  <c r="M15" i="1"/>
  <c r="M21" i="1"/>
  <c r="B53" i="1"/>
  <c r="M13" i="1"/>
  <c r="M4" i="1"/>
  <c r="M10" i="1"/>
  <c r="M16" i="1"/>
</calcChain>
</file>

<file path=xl/sharedStrings.xml><?xml version="1.0" encoding="utf-8"?>
<sst xmlns="http://schemas.openxmlformats.org/spreadsheetml/2006/main" count="191" uniqueCount="127">
  <si>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</si>
  <si>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</si>
  <si>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</si>
  <si>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</si>
  <si>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</si>
  <si>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</si>
  <si>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</si>
  <si>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</si>
  <si>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</si>
  <si>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</si>
  <si>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</si>
  <si>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</si>
  <si>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</si>
  <si>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</si>
  <si>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</si>
  <si>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</si>
  <si>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</si>
  <si>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</si>
  <si>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</si>
  <si>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</si>
  <si>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</si>
  <si>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</si>
  <si>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</si>
  <si>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</si>
  <si>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</si>
  <si>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</si>
  <si>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</si>
  <si>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</si>
  <si>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</si>
  <si>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</si>
  <si>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</si>
  <si>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</si>
  <si>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</si>
  <si>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</si>
  <si>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</si>
  <si>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</si>
  <si>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</si>
  <si>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</si>
  <si>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</si>
  <si>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</si>
  <si>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</si>
  <si>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</si>
  <si>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</si>
  <si>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</si>
  <si>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</si>
  <si>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</si>
  <si>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</si>
  <si>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</si>
  <si>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</si>
  <si>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</si>
  <si>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</si>
  <si>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</si>
  <si>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МИНИСТЕРСТВО ФИНАНСОВ РК, ОБЛИГАЦИИ, MFKZ.0435</t>
  </si>
  <si>
    <t>XS2914770545</t>
  </si>
  <si>
    <t>22.09.2025</t>
  </si>
  <si>
    <t>23.09.2025</t>
  </si>
  <si>
    <t>МИНИСТЕРСТВО ФИНАНСОВ РК, ГЦБ, KZ_25_3707</t>
  </si>
  <si>
    <t>XS3093658014</t>
  </si>
  <si>
    <t>МИНИСТЕРСТВО ФИНАНСОВ РК, ГЦБ, MUM192_0001</t>
  </si>
  <si>
    <t>KZKD00000477</t>
  </si>
  <si>
    <t>МИНИСТЕРСТВО ФИНАНСОВ РК, ГЦБ, MUM216_0002</t>
  </si>
  <si>
    <t>KZKD00001079</t>
  </si>
  <si>
    <t>19.09.2025</t>
  </si>
  <si>
    <t>АКЦИОНЕРНОЕ ОБЩЕСТВО КАЗАХСТАНСКИЙ ФОНД УСТОЙЧИВОСТИ, ОБЛИГАЦИИ, KFUSb54</t>
  </si>
  <si>
    <t>KZ2C00009462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</si>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</sst>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18" zoomScale="90" zoomScaleNormal="90" workbookViewId="0">
      <selection activeCell="D53" sqref="D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8.85546875" style="26" bestFit="1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67</v>
      </c>
      <c r="B4" s="13" t="s">
        <v>68</v>
      </c>
      <c r="C4" s="10">
        <v>3020000</v>
      </c>
      <c r="D4" s="11">
        <v>3020000000</v>
      </c>
      <c r="E4" s="3">
        <v>0.1067</v>
      </c>
      <c r="F4" s="4" t="s">
        <v>69</v>
      </c>
      <c r="G4" s="4" t="s">
        <v>70</v>
      </c>
      <c r="H4" s="11">
        <v>2930617060.0000029</v>
      </c>
      <c r="I4" s="11">
        <v>98.301000000000002</v>
      </c>
      <c r="J4" s="11">
        <v>100.10897222222201</v>
      </c>
      <c r="K4" s="11">
        <v>54600761.111111112</v>
      </c>
      <c r="L4" s="11">
        <v>3023290961.1111112</v>
      </c>
      <c r="M4" s="6">
        <f t="shared" ref="M4:M22" si="0">L4/$L$24</f>
        <v>0.10365439346158298</v>
      </c>
    </row>
    <row r="5" spans="1:13" x14ac:dyDescent="0.25">
      <c r="A5" s="1" t="s">
        <v>71</v>
      </c>
      <c r="B5" s="13" t="s">
        <v>72</v>
      </c>
      <c r="C5" s="10">
        <v>2265000</v>
      </c>
      <c r="D5" s="11">
        <v>2265000000</v>
      </c>
      <c r="E5" s="3">
        <v>0.10550000000000001</v>
      </c>
      <c r="F5" s="4" t="s">
        <v>69</v>
      </c>
      <c r="G5" s="4" t="s">
        <v>73</v>
      </c>
      <c r="H5" s="11">
        <v>2039188560.0000031</v>
      </c>
      <c r="I5" s="11">
        <v>82.938299999999998</v>
      </c>
      <c r="J5" s="11">
        <v>84.52079999999998</v>
      </c>
      <c r="K5" s="11">
        <v>35843624.999999993</v>
      </c>
      <c r="L5" s="11">
        <v>1914396119.999999</v>
      </c>
      <c r="M5" s="6">
        <f t="shared" si="0"/>
        <v>6.5635617350861666E-2</v>
      </c>
    </row>
    <row r="6" spans="1:13" x14ac:dyDescent="0.25">
      <c r="A6" s="1" t="s">
        <v>71</v>
      </c>
      <c r="B6" s="13" t="s">
        <v>72</v>
      </c>
      <c r="C6" s="10">
        <v>1551646</v>
      </c>
      <c r="D6" s="11">
        <v>1551646000</v>
      </c>
      <c r="E6" s="3">
        <v>0.10550000000000001</v>
      </c>
      <c r="F6" s="4" t="s">
        <v>74</v>
      </c>
      <c r="G6" s="4" t="s">
        <v>73</v>
      </c>
      <c r="H6" s="11">
        <v>1395452658.7</v>
      </c>
      <c r="I6" s="11">
        <v>82.938299999999998</v>
      </c>
      <c r="J6" s="11">
        <v>84.52080000000025</v>
      </c>
      <c r="K6" s="11">
        <v>24554797.949999999</v>
      </c>
      <c r="L6" s="11">
        <v>1311463612.3680041</v>
      </c>
      <c r="M6" s="6">
        <f t="shared" si="0"/>
        <v>4.4963904247238624E-2</v>
      </c>
    </row>
    <row r="7" spans="1:13" x14ac:dyDescent="0.25">
      <c r="A7" s="1" t="s">
        <v>71</v>
      </c>
      <c r="B7" s="13" t="s">
        <v>72</v>
      </c>
      <c r="C7" s="10">
        <v>545692</v>
      </c>
      <c r="D7" s="11">
        <v>545692000</v>
      </c>
      <c r="E7" s="3">
        <v>0.10550000000000001</v>
      </c>
      <c r="F7" s="4" t="s">
        <v>75</v>
      </c>
      <c r="G7" s="4" t="s">
        <v>73</v>
      </c>
      <c r="H7" s="11">
        <v>449784993.92000002</v>
      </c>
      <c r="I7" s="11">
        <v>82.938299999999998</v>
      </c>
      <c r="J7" s="11">
        <v>84.520799999999994</v>
      </c>
      <c r="K7" s="11">
        <v>8635575.9000000004</v>
      </c>
      <c r="L7" s="11">
        <v>461223243.93599999</v>
      </c>
      <c r="M7" s="6">
        <f t="shared" si="0"/>
        <v>1.5813170553389148E-2</v>
      </c>
    </row>
    <row r="8" spans="1:13" x14ac:dyDescent="0.25">
      <c r="A8" s="1" t="s">
        <v>76</v>
      </c>
      <c r="B8" s="13" t="s">
        <v>77</v>
      </c>
      <c r="C8" s="10">
        <v>2265000</v>
      </c>
      <c r="D8" s="11">
        <v>2265000000</v>
      </c>
      <c r="E8" s="3">
        <v>0.10400000000000001</v>
      </c>
      <c r="F8" s="4" t="s">
        <v>69</v>
      </c>
      <c r="G8" s="4" t="s">
        <v>78</v>
      </c>
      <c r="H8" s="11">
        <v>2073109200</v>
      </c>
      <c r="I8" s="11">
        <v>87.173600000000008</v>
      </c>
      <c r="J8" s="11">
        <v>91.795822222222213</v>
      </c>
      <c r="K8" s="11">
        <v>104693333.333333</v>
      </c>
      <c r="L8" s="11">
        <v>2079175373.333333</v>
      </c>
      <c r="M8" s="6">
        <f t="shared" si="0"/>
        <v>7.1285121080083294E-2</v>
      </c>
    </row>
    <row r="9" spans="1:13" x14ac:dyDescent="0.25">
      <c r="A9" s="1" t="s">
        <v>79</v>
      </c>
      <c r="B9" s="13" t="s">
        <v>80</v>
      </c>
      <c r="C9" s="10">
        <v>2265000</v>
      </c>
      <c r="D9" s="11">
        <v>2265000000</v>
      </c>
      <c r="E9" s="3">
        <v>0.11</v>
      </c>
      <c r="F9" s="4" t="s">
        <v>69</v>
      </c>
      <c r="G9" s="4" t="s">
        <v>81</v>
      </c>
      <c r="H9" s="11">
        <v>2080889475</v>
      </c>
      <c r="I9" s="11">
        <v>85.021600000000007</v>
      </c>
      <c r="J9" s="11">
        <v>90.277155555555552</v>
      </c>
      <c r="K9" s="11">
        <v>119038333.333333</v>
      </c>
      <c r="L9" s="11">
        <v>2044777573.333333</v>
      </c>
      <c r="M9" s="6">
        <f t="shared" si="0"/>
        <v>7.0105782689807272E-2</v>
      </c>
    </row>
    <row r="10" spans="1:13" x14ac:dyDescent="0.25">
      <c r="A10" s="1" t="s">
        <v>82</v>
      </c>
      <c r="B10" s="13" t="s">
        <v>83</v>
      </c>
      <c r="C10" s="10">
        <v>2265000</v>
      </c>
      <c r="D10" s="11">
        <v>2265000000</v>
      </c>
      <c r="E10" s="3">
        <v>0.10300000000000001</v>
      </c>
      <c r="F10" s="4" t="s">
        <v>69</v>
      </c>
      <c r="G10" s="4" t="s">
        <v>84</v>
      </c>
      <c r="H10" s="11">
        <v>1963990560.0000031</v>
      </c>
      <c r="I10" s="11">
        <v>77.331900000000005</v>
      </c>
      <c r="J10" s="11">
        <v>82.624955555555545</v>
      </c>
      <c r="K10" s="11">
        <v>119887708.333333</v>
      </c>
      <c r="L10" s="11">
        <v>1871455243.333333</v>
      </c>
      <c r="M10" s="6">
        <f t="shared" si="0"/>
        <v>6.4163377138839184E-2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69</v>
      </c>
      <c r="G11" s="4" t="s">
        <v>87</v>
      </c>
      <c r="H11" s="11">
        <v>1740247065.0000031</v>
      </c>
      <c r="I11" s="11">
        <v>67.725099999999998</v>
      </c>
      <c r="J11" s="11">
        <v>71.386766666666659</v>
      </c>
      <c r="K11" s="11">
        <v>82936749.999999985</v>
      </c>
      <c r="L11" s="11">
        <v>1616910264.999999</v>
      </c>
      <c r="M11" s="6">
        <f t="shared" si="0"/>
        <v>5.5436229908479094E-2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69</v>
      </c>
      <c r="G12" s="4" t="s">
        <v>90</v>
      </c>
      <c r="H12" s="11">
        <v>1967775375</v>
      </c>
      <c r="I12" s="11">
        <v>75.5749</v>
      </c>
      <c r="J12" s="11">
        <v>77.231566666666652</v>
      </c>
      <c r="K12" s="11">
        <v>37523500</v>
      </c>
      <c r="L12" s="11">
        <v>1749294985</v>
      </c>
      <c r="M12" s="6">
        <f t="shared" si="0"/>
        <v>5.9975077816832062E-2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69</v>
      </c>
      <c r="G13" s="4" t="s">
        <v>93</v>
      </c>
      <c r="H13" s="11">
        <v>1622351550</v>
      </c>
      <c r="I13" s="11">
        <v>61.118100000000005</v>
      </c>
      <c r="J13" s="11">
        <v>64.032266666666658</v>
      </c>
      <c r="K13" s="11">
        <v>66005875</v>
      </c>
      <c r="L13" s="11">
        <v>1450330840</v>
      </c>
      <c r="M13" s="6">
        <f t="shared" si="0"/>
        <v>4.9725006779889336E-2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69</v>
      </c>
      <c r="G14" s="4" t="s">
        <v>96</v>
      </c>
      <c r="H14" s="11">
        <v>1597764975</v>
      </c>
      <c r="I14" s="11">
        <v>59.650700000000001</v>
      </c>
      <c r="J14" s="11">
        <v>64.873783333333321</v>
      </c>
      <c r="K14" s="11">
        <v>118302837.5</v>
      </c>
      <c r="L14" s="11">
        <v>1469391192.5</v>
      </c>
      <c r="M14" s="6">
        <f t="shared" si="0"/>
        <v>5.0378496405256178E-2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69</v>
      </c>
      <c r="G15" s="4" t="s">
        <v>99</v>
      </c>
      <c r="H15" s="11">
        <v>3136670150</v>
      </c>
      <c r="I15" s="11">
        <v>85.789100000000005</v>
      </c>
      <c r="J15" s="11">
        <v>88.457849999999993</v>
      </c>
      <c r="K15" s="11">
        <v>100745312.5</v>
      </c>
      <c r="L15" s="11">
        <v>3339283837.5</v>
      </c>
      <c r="M15" s="6">
        <f t="shared" si="0"/>
        <v>0.11448829941426493</v>
      </c>
    </row>
    <row r="16" spans="1:13" x14ac:dyDescent="0.25">
      <c r="A16" s="1" t="s">
        <v>100</v>
      </c>
      <c r="B16" s="13" t="s">
        <v>101</v>
      </c>
      <c r="C16" s="10">
        <v>2803860</v>
      </c>
      <c r="D16" s="11">
        <v>2803860000</v>
      </c>
      <c r="E16" s="3">
        <v>5.5E-2</v>
      </c>
      <c r="F16" s="4" t="s">
        <v>102</v>
      </c>
      <c r="G16" s="4" t="s">
        <v>103</v>
      </c>
      <c r="H16" s="11">
        <v>1773018067.1400001</v>
      </c>
      <c r="I16" s="11">
        <v>56.504600000000003</v>
      </c>
      <c r="J16" s="11">
        <v>58.765711111111109</v>
      </c>
      <c r="K16" s="11">
        <v>63398390</v>
      </c>
      <c r="L16" s="11">
        <v>1647708267.5599999</v>
      </c>
      <c r="M16" s="6">
        <f t="shared" si="0"/>
        <v>5.6492148216127504E-2</v>
      </c>
    </row>
    <row r="17" spans="1:15" x14ac:dyDescent="0.25">
      <c r="A17" s="1" t="s">
        <v>104</v>
      </c>
      <c r="B17" s="13" t="s">
        <v>105</v>
      </c>
      <c r="C17" s="10">
        <v>1038480</v>
      </c>
      <c r="D17" s="11">
        <v>1038480000</v>
      </c>
      <c r="E17" s="3">
        <v>0.12</v>
      </c>
      <c r="F17" s="4" t="s">
        <v>102</v>
      </c>
      <c r="G17" s="4" t="s">
        <v>106</v>
      </c>
      <c r="H17" s="11">
        <v>979029096.96000004</v>
      </c>
      <c r="I17" s="11">
        <v>85.244700000000009</v>
      </c>
      <c r="J17" s="11">
        <v>91.744700000000009</v>
      </c>
      <c r="K17" s="11">
        <v>67501200</v>
      </c>
      <c r="L17" s="11">
        <v>952750360.55999994</v>
      </c>
      <c r="M17" s="6">
        <f t="shared" si="0"/>
        <v>3.2665318030738424E-2</v>
      </c>
    </row>
    <row r="18" spans="1:15" x14ac:dyDescent="0.25">
      <c r="A18" s="1" t="s">
        <v>107</v>
      </c>
      <c r="B18" s="13" t="s">
        <v>108</v>
      </c>
      <c r="C18" s="10">
        <v>506989</v>
      </c>
      <c r="D18" s="11">
        <v>506989000</v>
      </c>
      <c r="E18" s="3">
        <v>0.1535</v>
      </c>
      <c r="F18" s="4" t="s">
        <v>109</v>
      </c>
      <c r="G18" s="4" t="s">
        <v>110</v>
      </c>
      <c r="H18" s="11">
        <v>492216861.50999999</v>
      </c>
      <c r="I18" s="11">
        <v>98.412800000000004</v>
      </c>
      <c r="J18" s="11">
        <v>103.700022222222</v>
      </c>
      <c r="K18" s="11">
        <v>26805635.072222222</v>
      </c>
      <c r="L18" s="11">
        <v>525747705.664222</v>
      </c>
      <c r="M18" s="6">
        <f t="shared" si="0"/>
        <v>1.8025410139292562E-2</v>
      </c>
    </row>
    <row r="19" spans="1:15" x14ac:dyDescent="0.25">
      <c r="A19" s="1" t="s">
        <v>111</v>
      </c>
      <c r="B19" s="13" t="s">
        <v>112</v>
      </c>
      <c r="C19" s="10">
        <v>2100000</v>
      </c>
      <c r="D19" s="11">
        <v>2100000000</v>
      </c>
      <c r="E19" s="3">
        <v>0.14300000000000002</v>
      </c>
      <c r="F19" s="4" t="s">
        <v>113</v>
      </c>
      <c r="G19" s="4" t="s">
        <v>114</v>
      </c>
      <c r="H19" s="11">
        <v>2100000000</v>
      </c>
      <c r="I19" s="11">
        <v>94.578004782431009</v>
      </c>
      <c r="J19" s="11">
        <v>95.332727004653222</v>
      </c>
      <c r="K19" s="11">
        <v>15849166.66666666</v>
      </c>
      <c r="L19" s="11">
        <v>2001987267.097717</v>
      </c>
      <c r="M19" s="6">
        <f t="shared" si="0"/>
        <v>6.8638704827986757E-2</v>
      </c>
    </row>
    <row r="20" spans="1:15" x14ac:dyDescent="0.25">
      <c r="A20" s="1" t="s">
        <v>115</v>
      </c>
      <c r="B20" s="13" t="s">
        <v>116</v>
      </c>
      <c r="C20" s="10">
        <v>1000000</v>
      </c>
      <c r="D20" s="11">
        <v>1000000000</v>
      </c>
      <c r="E20" s="3">
        <v>0.1389</v>
      </c>
      <c r="F20" s="4" t="s">
        <v>117</v>
      </c>
      <c r="G20" s="4" t="s">
        <v>118</v>
      </c>
      <c r="H20" s="11">
        <v>1000000000</v>
      </c>
      <c r="I20" s="11">
        <v>98.306281573260492</v>
      </c>
      <c r="J20" s="11">
        <v>102.70478157326001</v>
      </c>
      <c r="K20" s="11">
        <v>43984999.999999993</v>
      </c>
      <c r="L20" s="11">
        <v>1027047815.732604</v>
      </c>
      <c r="M20" s="6">
        <f t="shared" si="0"/>
        <v>3.5212627486135691E-2</v>
      </c>
    </row>
    <row r="21" spans="1:15" x14ac:dyDescent="0.25">
      <c r="A21" s="1" t="s">
        <v>119</v>
      </c>
      <c r="B21" s="13" t="s">
        <v>120</v>
      </c>
      <c r="C21" s="10">
        <v>165739</v>
      </c>
      <c r="D21" s="11">
        <v>165739000</v>
      </c>
      <c r="E21" s="3">
        <v>0.125</v>
      </c>
      <c r="F21" s="4" t="s">
        <v>121</v>
      </c>
      <c r="G21" s="4" t="s">
        <v>122</v>
      </c>
      <c r="H21" s="11">
        <v>159596381.18279999</v>
      </c>
      <c r="I21" s="11">
        <v>96.101521747489201</v>
      </c>
      <c r="J21" s="11">
        <v>99.573743969698</v>
      </c>
      <c r="K21" s="11">
        <v>5754826.3888666704</v>
      </c>
      <c r="L21" s="11">
        <v>165032527.51793799</v>
      </c>
      <c r="M21" s="6">
        <f t="shared" si="0"/>
        <v>5.6581873069262868E-3</v>
      </c>
    </row>
    <row r="22" spans="1:15" x14ac:dyDescent="0.25">
      <c r="A22" s="1" t="s">
        <v>123</v>
      </c>
      <c r="B22" s="13" t="s">
        <v>124</v>
      </c>
      <c r="C22" s="10">
        <v>494987</v>
      </c>
      <c r="D22" s="11">
        <v>494987000</v>
      </c>
      <c r="E22" s="3">
        <v>0.1701</v>
      </c>
      <c r="F22" s="4" t="s">
        <v>125</v>
      </c>
      <c r="G22" s="4" t="s">
        <v>126</v>
      </c>
      <c r="H22" s="11">
        <v>495088472.34249997</v>
      </c>
      <c r="I22" s="11">
        <v>102.07130000000001</v>
      </c>
      <c r="J22" s="11">
        <v>104.19755000000001</v>
      </c>
      <c r="K22" s="11">
        <v>10524661.0875</v>
      </c>
      <c r="L22" s="11">
        <v>515764326.81849998</v>
      </c>
      <c r="M22" s="6">
        <f t="shared" si="0"/>
        <v>1.7683127146268896E-2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1106587289.1763656</v>
      </c>
      <c r="L24" s="22">
        <f>SUM(L4:L23)</f>
        <v>29167031518.366096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925429.29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9065</v>
      </c>
      <c r="D32" s="7" t="s">
        <v>50</v>
      </c>
      <c r="E32" s="34" t="s">
        <v>54</v>
      </c>
      <c r="F32" s="34" t="s">
        <v>55</v>
      </c>
      <c r="G32" s="15">
        <v>551.66350027578608</v>
      </c>
      <c r="H32" s="15">
        <v>551.90230226144502</v>
      </c>
      <c r="I32" s="16">
        <f t="shared" ref="I32:I42" si="1">+C32*G32</f>
        <v>5000829.6300000008</v>
      </c>
      <c r="J32" s="16">
        <f t="shared" ref="J32:J42" si="2">+C32*H32</f>
        <v>5002994.3699999992</v>
      </c>
      <c r="K32" s="18">
        <v>0.158</v>
      </c>
      <c r="L32" s="17"/>
      <c r="M32" s="17">
        <v>5000829.63</v>
      </c>
      <c r="N32" s="35"/>
    </row>
    <row r="33" spans="1:15" s="36" customFormat="1" ht="12" customHeight="1" x14ac:dyDescent="0.25">
      <c r="A33" s="12" t="s">
        <v>56</v>
      </c>
      <c r="B33" s="7" t="s">
        <v>57</v>
      </c>
      <c r="C33" s="14">
        <v>1306998</v>
      </c>
      <c r="D33" s="7" t="s">
        <v>50</v>
      </c>
      <c r="E33" s="34" t="s">
        <v>54</v>
      </c>
      <c r="F33" s="34" t="s">
        <v>55</v>
      </c>
      <c r="G33" s="15">
        <v>564.70979999969404</v>
      </c>
      <c r="H33" s="15">
        <v>564.95424817788603</v>
      </c>
      <c r="I33" s="16">
        <f t="shared" si="1"/>
        <v>738074579.18000007</v>
      </c>
      <c r="J33" s="16">
        <f t="shared" si="2"/>
        <v>738394072.46000063</v>
      </c>
      <c r="K33" s="18">
        <v>0.157999</v>
      </c>
      <c r="L33" s="17"/>
      <c r="M33" s="17">
        <v>738074579.17999995</v>
      </c>
      <c r="N33" s="35"/>
    </row>
    <row r="34" spans="1:15" s="36" customFormat="1" ht="12" customHeight="1" x14ac:dyDescent="0.25">
      <c r="A34" s="12" t="s">
        <v>58</v>
      </c>
      <c r="B34" s="7" t="s">
        <v>59</v>
      </c>
      <c r="C34" s="14">
        <v>1513200</v>
      </c>
      <c r="D34" s="7" t="s">
        <v>50</v>
      </c>
      <c r="E34" s="34" t="s">
        <v>54</v>
      </c>
      <c r="F34" s="34" t="s">
        <v>55</v>
      </c>
      <c r="G34" s="15">
        <v>859.25600000000009</v>
      </c>
      <c r="H34" s="15">
        <v>859.62677484800406</v>
      </c>
      <c r="I34" s="16">
        <f t="shared" si="1"/>
        <v>1300226179.2</v>
      </c>
      <c r="J34" s="16">
        <f t="shared" si="2"/>
        <v>1300787235.6999998</v>
      </c>
      <c r="K34" s="18">
        <v>0.1575</v>
      </c>
      <c r="L34" s="17"/>
      <c r="M34" s="17">
        <v>1300226179.2</v>
      </c>
      <c r="N34" s="35"/>
    </row>
    <row r="35" spans="1:15" s="36" customFormat="1" ht="12" customHeight="1" x14ac:dyDescent="0.25">
      <c r="A35" s="12" t="s">
        <v>60</v>
      </c>
      <c r="B35" s="7" t="s">
        <v>61</v>
      </c>
      <c r="C35" s="14">
        <v>2011100</v>
      </c>
      <c r="D35" s="7" t="s">
        <v>50</v>
      </c>
      <c r="E35" s="34" t="s">
        <v>62</v>
      </c>
      <c r="F35" s="34" t="s">
        <v>54</v>
      </c>
      <c r="G35" s="15">
        <v>646.50700000000006</v>
      </c>
      <c r="H35" s="15">
        <v>647.34125440306298</v>
      </c>
      <c r="I35" s="16">
        <f t="shared" si="1"/>
        <v>1300190227.7</v>
      </c>
      <c r="J35" s="16">
        <f t="shared" si="2"/>
        <v>1301867996.73</v>
      </c>
      <c r="K35" s="18">
        <v>0.156999</v>
      </c>
      <c r="L35" s="17">
        <v>559256.34333333327</v>
      </c>
      <c r="M35" s="17"/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2011100</v>
      </c>
      <c r="D36" s="7" t="s">
        <v>50</v>
      </c>
      <c r="E36" s="34" t="s">
        <v>54</v>
      </c>
      <c r="F36" s="34" t="s">
        <v>54</v>
      </c>
      <c r="G36" s="15">
        <v>646.50700000000006</v>
      </c>
      <c r="H36" s="15">
        <v>647.34125440306298</v>
      </c>
      <c r="I36" s="16">
        <f t="shared" si="1"/>
        <v>1300190227.7</v>
      </c>
      <c r="J36" s="16">
        <f t="shared" si="2"/>
        <v>1301867996.73</v>
      </c>
      <c r="K36" s="18">
        <v>0.156999</v>
      </c>
      <c r="L36" s="17"/>
      <c r="M36" s="17"/>
      <c r="N36" s="35"/>
    </row>
    <row r="37" spans="1:15" s="36" customFormat="1" ht="12" customHeight="1" x14ac:dyDescent="0.25">
      <c r="A37" s="12" t="s">
        <v>63</v>
      </c>
      <c r="B37" s="7" t="s">
        <v>64</v>
      </c>
      <c r="C37" s="14">
        <v>12894</v>
      </c>
      <c r="D37" s="7" t="s">
        <v>50</v>
      </c>
      <c r="E37" s="34" t="s">
        <v>62</v>
      </c>
      <c r="F37" s="34" t="s">
        <v>54</v>
      </c>
      <c r="G37" s="15">
        <v>1085.9059996897781</v>
      </c>
      <c r="H37" s="15">
        <v>1087.3118341864431</v>
      </c>
      <c r="I37" s="16">
        <f t="shared" si="1"/>
        <v>14001671.959999999</v>
      </c>
      <c r="J37" s="16">
        <f t="shared" si="2"/>
        <v>14019798.789999997</v>
      </c>
      <c r="K37" s="18">
        <v>0.15751199999999999</v>
      </c>
      <c r="L37" s="17">
        <v>6042.2766666666666</v>
      </c>
      <c r="M37" s="17"/>
      <c r="N37" s="35"/>
    </row>
    <row r="38" spans="1:15" s="36" customFormat="1" ht="12" customHeight="1" x14ac:dyDescent="0.25">
      <c r="A38" s="12" t="s">
        <v>63</v>
      </c>
      <c r="B38" s="7" t="s">
        <v>64</v>
      </c>
      <c r="C38" s="14">
        <v>12894</v>
      </c>
      <c r="D38" s="7" t="s">
        <v>50</v>
      </c>
      <c r="E38" s="34" t="s">
        <v>54</v>
      </c>
      <c r="F38" s="34" t="s">
        <v>54</v>
      </c>
      <c r="G38" s="15">
        <v>1085.9059996897781</v>
      </c>
      <c r="H38" s="15">
        <v>1087.3118341864431</v>
      </c>
      <c r="I38" s="16">
        <f t="shared" si="1"/>
        <v>14001671.959999999</v>
      </c>
      <c r="J38" s="16">
        <f t="shared" si="2"/>
        <v>14019798.789999997</v>
      </c>
      <c r="K38" s="18">
        <v>0.15751199999999999</v>
      </c>
      <c r="L38" s="17"/>
      <c r="M38" s="17"/>
      <c r="N38" s="35"/>
    </row>
    <row r="39" spans="1:15" s="36" customFormat="1" ht="12" customHeight="1" x14ac:dyDescent="0.25">
      <c r="A39" s="12" t="s">
        <v>65</v>
      </c>
      <c r="B39" s="7" t="s">
        <v>66</v>
      </c>
      <c r="C39" s="14">
        <v>763154</v>
      </c>
      <c r="D39" s="7" t="s">
        <v>50</v>
      </c>
      <c r="E39" s="34" t="s">
        <v>62</v>
      </c>
      <c r="F39" s="34" t="s">
        <v>54</v>
      </c>
      <c r="G39" s="15">
        <v>946.79700000262108</v>
      </c>
      <c r="H39" s="15">
        <v>948.01875722331306</v>
      </c>
      <c r="I39" s="16">
        <f t="shared" si="1"/>
        <v>722551917.74000025</v>
      </c>
      <c r="J39" s="16">
        <f t="shared" si="2"/>
        <v>723484306.65000021</v>
      </c>
      <c r="K39" s="18">
        <v>0.157</v>
      </c>
      <c r="L39" s="17">
        <v>310796.30333333329</v>
      </c>
      <c r="M39" s="17"/>
      <c r="N39" s="35"/>
    </row>
    <row r="40" spans="1:15" s="36" customFormat="1" ht="12" customHeight="1" x14ac:dyDescent="0.25">
      <c r="A40" s="12" t="s">
        <v>65</v>
      </c>
      <c r="B40" s="7" t="s">
        <v>66</v>
      </c>
      <c r="C40" s="14">
        <v>763154</v>
      </c>
      <c r="D40" s="7" t="s">
        <v>50</v>
      </c>
      <c r="E40" s="34" t="s">
        <v>54</v>
      </c>
      <c r="F40" s="34" t="s">
        <v>54</v>
      </c>
      <c r="G40" s="15">
        <v>946.79700000262108</v>
      </c>
      <c r="H40" s="15">
        <v>948.01875722331306</v>
      </c>
      <c r="I40" s="16">
        <f t="shared" si="1"/>
        <v>722551917.74000025</v>
      </c>
      <c r="J40" s="16">
        <f t="shared" si="2"/>
        <v>723484306.65000021</v>
      </c>
      <c r="K40" s="18">
        <v>0.157</v>
      </c>
      <c r="L40" s="17"/>
      <c r="M40" s="17"/>
      <c r="N40" s="35"/>
    </row>
    <row r="41" spans="1:15" s="36" customFormat="1" ht="12" customHeight="1" x14ac:dyDescent="0.25">
      <c r="A41" s="12" t="s">
        <v>65</v>
      </c>
      <c r="B41" s="7" t="s">
        <v>66</v>
      </c>
      <c r="C41" s="14">
        <v>4228</v>
      </c>
      <c r="D41" s="7" t="s">
        <v>50</v>
      </c>
      <c r="E41" s="34" t="s">
        <v>62</v>
      </c>
      <c r="F41" s="34" t="s">
        <v>54</v>
      </c>
      <c r="G41" s="15">
        <v>946.79700094607404</v>
      </c>
      <c r="H41" s="15">
        <v>948.01875827814604</v>
      </c>
      <c r="I41" s="16">
        <f t="shared" si="1"/>
        <v>4003057.7200000011</v>
      </c>
      <c r="J41" s="16">
        <f t="shared" si="2"/>
        <v>4008223.3100000015</v>
      </c>
      <c r="K41" s="18">
        <v>0.157</v>
      </c>
      <c r="L41" s="17">
        <v>1721.863333333333</v>
      </c>
      <c r="M41" s="17"/>
      <c r="N41" s="35"/>
    </row>
    <row r="42" spans="1:15" s="36" customFormat="1" ht="12" customHeight="1" x14ac:dyDescent="0.25">
      <c r="A42" s="12" t="s">
        <v>65</v>
      </c>
      <c r="B42" s="7" t="s">
        <v>66</v>
      </c>
      <c r="C42" s="14">
        <v>4228</v>
      </c>
      <c r="D42" s="7" t="s">
        <v>50</v>
      </c>
      <c r="E42" s="34" t="s">
        <v>54</v>
      </c>
      <c r="F42" s="34" t="s">
        <v>54</v>
      </c>
      <c r="G42" s="15">
        <v>946.79700094607404</v>
      </c>
      <c r="H42" s="15">
        <v>948.01875827814604</v>
      </c>
      <c r="I42" s="16">
        <f t="shared" si="1"/>
        <v>4003057.7200000011</v>
      </c>
      <c r="J42" s="16">
        <f t="shared" si="2"/>
        <v>4008223.3100000015</v>
      </c>
      <c r="K42" s="18">
        <v>0.157</v>
      </c>
      <c r="L42" s="17"/>
      <c r="M42" s="17"/>
      <c r="N42" s="35"/>
    </row>
    <row r="43" spans="1:15" s="36" customFormat="1" ht="11.25" hidden="1" x14ac:dyDescent="0.25">
      <c r="A43" s="7"/>
      <c r="B43" s="7"/>
      <c r="C43" s="7"/>
      <c r="D43" s="7"/>
      <c r="E43" s="37"/>
      <c r="F43" s="37"/>
      <c r="G43" s="7"/>
      <c r="H43" s="7"/>
      <c r="I43" s="8"/>
      <c r="J43" s="8"/>
      <c r="K43" s="7"/>
      <c r="L43" s="9"/>
      <c r="M43" s="9"/>
      <c r="N43" s="35"/>
    </row>
    <row r="44" spans="1:15" x14ac:dyDescent="0.25">
      <c r="A44" s="1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>
        <f>SUM(M32:M43)</f>
        <v>2043301588.01</v>
      </c>
      <c r="N44" s="38"/>
      <c r="O44" s="29"/>
    </row>
    <row r="46" spans="1:15" x14ac:dyDescent="0.25">
      <c r="A46" s="39" t="s">
        <v>28</v>
      </c>
      <c r="B46" s="33"/>
      <c r="D46" s="33"/>
      <c r="F46" s="28"/>
      <c r="G46" s="28"/>
    </row>
    <row r="47" spans="1:15" ht="22.5" x14ac:dyDescent="0.25">
      <c r="A47" s="19" t="s">
        <v>6</v>
      </c>
      <c r="B47" s="19" t="s">
        <v>29</v>
      </c>
      <c r="C47" s="19" t="s">
        <v>17</v>
      </c>
      <c r="D47" s="19" t="s">
        <v>30</v>
      </c>
      <c r="E47" s="19" t="s">
        <v>16</v>
      </c>
      <c r="F47" s="19" t="s">
        <v>31</v>
      </c>
      <c r="G47" s="19" t="s">
        <v>32</v>
      </c>
    </row>
    <row r="48" spans="1:15" x14ac:dyDescent="0.25">
      <c r="A48" s="57">
        <f ca="1">IF(OFFSET(A48,-1,0)="№ п/п",1,OFFSET(A48,-1,0)+1)</f>
        <v>1</v>
      </c>
      <c r="B48" s="40" t="s">
        <v>49</v>
      </c>
      <c r="C48" s="52" t="s">
        <v>50</v>
      </c>
      <c r="D48" s="53" t="s">
        <v>51</v>
      </c>
      <c r="E48" s="54">
        <v>1100000</v>
      </c>
      <c r="F48" s="55">
        <v>1100000000</v>
      </c>
      <c r="G48" s="56">
        <v>1100000000</v>
      </c>
      <c r="H48" s="33"/>
    </row>
    <row r="49" spans="1:8" x14ac:dyDescent="0.25">
      <c r="A49" s="57">
        <f ca="1">IF(OFFSET(A49,-1,0)="№ п/п",1,OFFSET(A49,-1,0)+1)</f>
        <v>2</v>
      </c>
      <c r="B49" s="40" t="s">
        <v>49</v>
      </c>
      <c r="C49" s="52" t="s">
        <v>50</v>
      </c>
      <c r="D49" s="53" t="s">
        <v>51</v>
      </c>
      <c r="E49" s="54">
        <v>1</v>
      </c>
      <c r="F49" s="55">
        <v>76285000</v>
      </c>
      <c r="G49" s="56">
        <v>76285000</v>
      </c>
      <c r="H49" s="33"/>
    </row>
    <row r="50" spans="1:8" hidden="1" x14ac:dyDescent="0.25">
      <c r="B50" s="42"/>
      <c r="C50" s="43"/>
      <c r="D50" s="44"/>
      <c r="G50" s="45"/>
      <c r="H50" s="33"/>
    </row>
    <row r="51" spans="1:8" x14ac:dyDescent="0.25">
      <c r="G51" s="46">
        <f>SUM(G48:G50)</f>
        <v>1176285000</v>
      </c>
    </row>
    <row r="53" spans="1:8" x14ac:dyDescent="0.25">
      <c r="A53" s="47" t="s">
        <v>13</v>
      </c>
      <c r="B53" s="48">
        <f>+L24+B27+M44+G51</f>
        <v>32387543535.666096</v>
      </c>
      <c r="C53" s="32">
        <v>32387543535.666122</v>
      </c>
      <c r="D53" s="29">
        <f>B53-C53</f>
        <v>0</v>
      </c>
    </row>
    <row r="56" spans="1:8" x14ac:dyDescent="0.25">
      <c r="A56" s="24" t="s">
        <v>46</v>
      </c>
      <c r="B56" s="33"/>
    </row>
    <row r="57" spans="1:8" x14ac:dyDescent="0.25">
      <c r="A57" s="49" t="s">
        <v>35</v>
      </c>
      <c r="B57" s="50"/>
    </row>
    <row r="58" spans="1:8" x14ac:dyDescent="0.25">
      <c r="A58" s="49" t="s">
        <v>36</v>
      </c>
      <c r="B58" s="41"/>
    </row>
    <row r="59" spans="1:8" x14ac:dyDescent="0.25">
      <c r="A59" s="49" t="s">
        <v>37</v>
      </c>
      <c r="B59" s="41">
        <v>347227.31000000006</v>
      </c>
    </row>
    <row r="60" spans="1:8" x14ac:dyDescent="0.25">
      <c r="A60" s="49" t="s">
        <v>38</v>
      </c>
      <c r="B60" s="41"/>
    </row>
    <row r="61" spans="1:8" x14ac:dyDescent="0.25">
      <c r="A61" s="49" t="s">
        <v>39</v>
      </c>
      <c r="B61" s="50"/>
    </row>
    <row r="62" spans="1:8" x14ac:dyDescent="0.25">
      <c r="A62" s="49" t="s">
        <v>40</v>
      </c>
      <c r="B62" s="51">
        <v>60047.05</v>
      </c>
    </row>
    <row r="63" spans="1:8" x14ac:dyDescent="0.25">
      <c r="A63" s="49" t="s">
        <v>41</v>
      </c>
      <c r="B63" s="51">
        <v>29943.089999999997</v>
      </c>
    </row>
    <row r="64" spans="1:8" x14ac:dyDescent="0.25">
      <c r="A64" s="49" t="s">
        <v>42</v>
      </c>
      <c r="B64" s="41"/>
    </row>
    <row r="65" spans="1:2" x14ac:dyDescent="0.25">
      <c r="A65" s="49" t="s">
        <v>43</v>
      </c>
      <c r="B65" s="41"/>
    </row>
    <row r="66" spans="1:2" x14ac:dyDescent="0.25">
      <c r="A66" s="49" t="s">
        <v>44</v>
      </c>
      <c r="B66" s="51"/>
    </row>
    <row r="67" spans="1:2" x14ac:dyDescent="0.25">
      <c r="A67" s="49" t="s">
        <v>45</v>
      </c>
      <c r="B67" s="50">
        <f>SUM(B57:B66)</f>
        <v>437217.45000000007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2025-09-23T06:11:46Z</dcterms:created>
  <dcterms:modified xsi:type="dcterms:W3CDTF">2025-09-23T12:33:09Z</dcterms:modified>
</cp:coreProperties>
</file>