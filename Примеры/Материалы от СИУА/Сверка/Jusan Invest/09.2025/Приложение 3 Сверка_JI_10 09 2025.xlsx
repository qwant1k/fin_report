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AB290A76-BB28-4FB5-9A56-431FCCFC3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ДУ!$45:$45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I48" i="1"/>
  <c r="O41" i="1"/>
  <c r="O24" i="1"/>
  <c r="D27" i="1"/>
  <c r="B64" i="1"/>
  <c r="G48" i="1"/>
  <c r="A45" i="1"/>
  <c r="A46" i="1" s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8" i="1"/>
  <c r="M17" i="1"/>
  <c r="M12" i="1"/>
  <c r="M11" i="1"/>
  <c r="M6" i="1"/>
  <c r="M5" i="1"/>
  <c r="M7" i="1" l="1"/>
  <c r="M13" i="1"/>
  <c r="M19" i="1"/>
  <c r="M8" i="1"/>
  <c r="M14" i="1"/>
  <c r="M20" i="1"/>
  <c r="M9" i="1"/>
  <c r="M15" i="1"/>
  <c r="M21" i="1"/>
  <c r="B50" i="1"/>
  <c r="M4" i="1"/>
  <c r="M10" i="1"/>
  <c r="M16" i="1"/>
</calcChain>
</file>

<file path=xl/sharedStrings.xml><?xml version="1.0" encoding="utf-8"?>
<sst xmlns="http://schemas.openxmlformats.org/spreadsheetml/2006/main" count="176" uniqueCount="124">
  <si>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</si>
  <si>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</si>
  <si>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</si>
  <si>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</si>
  <si>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</si>
  <si>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</si>
  <si>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</si>
  <si>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</si>
  <si>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</si>
  <si>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</si>
  <si>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</si>
  <si>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</si>
  <si>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</si>
  <si>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</si>
  <si>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</si>
  <si>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</si>
  <si>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</si>
  <si>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</si>
  <si>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</si>
  <si>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</si>
  <si>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</si>
  <si>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</si>
  <si>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</si>
  <si>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</si>
  <si>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</si>
  <si>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</si>
  <si>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</si>
  <si>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</si>
  <si>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</si>
  <si>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</si>
  <si>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</si>
  <si>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</si>
  <si>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</si>
  <si>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</si>
  <si>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</si>
  <si>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</si>
  <si>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</si>
  <si>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</si>
  <si>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</si>
  <si>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</si>
  <si>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</si>
  <si>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</si>
  <si>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</si>
  <si>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</si>
  <si>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</si>
  <si>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</si>
  <si>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</si>
  <si>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</si>
  <si>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</si>
  <si>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</si>
  <si>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</si>
  <si>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</si>
  <si>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MOM060_0054</t>
  </si>
  <si>
    <t>KZK200000737</t>
  </si>
  <si>
    <t>09.09.2025</t>
  </si>
  <si>
    <t>МИНИСТЕРСТВО ФИНАНСОВ РК, ГЦБ, MUM180_0004</t>
  </si>
  <si>
    <t>KZKD00000444</t>
  </si>
  <si>
    <t>МИНИСТЕРСТВО ФИНАНСОВ РК, ОБЛИГАЦИИ, MFKZ.0435</t>
  </si>
  <si>
    <t>XS2914770545</t>
  </si>
  <si>
    <t>11.09.2025</t>
  </si>
  <si>
    <t>ЕВРАЗИЙСКИЙ БАНК РАЗВИТИЯ, ОБЛИГАЦИИ, EABRb53</t>
  </si>
  <si>
    <t>KZ2D00013620</t>
  </si>
  <si>
    <t>МИНИСТЕРСТВО ФИНАНСОВ РК, ГЦБ, MUM180_0009</t>
  </si>
  <si>
    <t>KZKD00000717</t>
  </si>
  <si>
    <t>МИНИСТЕРСТВО ФИНАНСОВ РК, ГЦБ, MUM072_0014</t>
  </si>
  <si>
    <t>KZKD00001210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</si>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</sst>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6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51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66</v>
      </c>
      <c r="B4" s="13" t="s">
        <v>67</v>
      </c>
      <c r="C4" s="10">
        <v>3020000</v>
      </c>
      <c r="D4" s="11">
        <v>3020000000</v>
      </c>
      <c r="E4" s="3">
        <v>0.1067</v>
      </c>
      <c r="F4" s="4" t="s">
        <v>68</v>
      </c>
      <c r="G4" s="4" t="s">
        <v>69</v>
      </c>
      <c r="H4" s="11">
        <v>2930617060.0000029</v>
      </c>
      <c r="I4" s="11">
        <v>98.029899999999998</v>
      </c>
      <c r="J4" s="11">
        <v>99.482205555555552</v>
      </c>
      <c r="K4" s="11">
        <v>43859627.777777769</v>
      </c>
      <c r="L4" s="11">
        <v>3004362607.7777772</v>
      </c>
      <c r="M4" s="6">
        <f t="shared" ref="M4:M22" si="0">L4/$L$24</f>
        <v>0.10373570799804692</v>
      </c>
    </row>
    <row r="5" spans="1:13" x14ac:dyDescent="0.25">
      <c r="A5" s="1" t="s">
        <v>70</v>
      </c>
      <c r="B5" s="13" t="s">
        <v>71</v>
      </c>
      <c r="C5" s="10">
        <v>2265000</v>
      </c>
      <c r="D5" s="11">
        <v>2265000000</v>
      </c>
      <c r="E5" s="3">
        <v>0.10550000000000001</v>
      </c>
      <c r="F5" s="4" t="s">
        <v>68</v>
      </c>
      <c r="G5" s="4" t="s">
        <v>72</v>
      </c>
      <c r="H5" s="11">
        <v>2039188560.0000031</v>
      </c>
      <c r="I5" s="11">
        <v>82.4392</v>
      </c>
      <c r="J5" s="11">
        <v>83.670033333333322</v>
      </c>
      <c r="K5" s="11">
        <v>27878374.999999989</v>
      </c>
      <c r="L5" s="11">
        <v>1895126254.999999</v>
      </c>
      <c r="M5" s="6">
        <f t="shared" si="0"/>
        <v>6.5435597986464283E-2</v>
      </c>
    </row>
    <row r="6" spans="1:13" x14ac:dyDescent="0.25">
      <c r="A6" s="1" t="s">
        <v>70</v>
      </c>
      <c r="B6" s="13" t="s">
        <v>71</v>
      </c>
      <c r="C6" s="10">
        <v>1551646</v>
      </c>
      <c r="D6" s="11">
        <v>1551646000</v>
      </c>
      <c r="E6" s="3">
        <v>0.10550000000000001</v>
      </c>
      <c r="F6" s="4" t="s">
        <v>73</v>
      </c>
      <c r="G6" s="4" t="s">
        <v>72</v>
      </c>
      <c r="H6" s="11">
        <v>1395452658.7</v>
      </c>
      <c r="I6" s="11">
        <v>82.4392</v>
      </c>
      <c r="J6" s="11">
        <v>83.670033333333592</v>
      </c>
      <c r="K6" s="11">
        <v>19098176.18333333</v>
      </c>
      <c r="L6" s="11">
        <v>1298262725.4153371</v>
      </c>
      <c r="M6" s="6">
        <f t="shared" si="0"/>
        <v>4.4826880297265212E-2</v>
      </c>
    </row>
    <row r="7" spans="1:13" x14ac:dyDescent="0.25">
      <c r="A7" s="1" t="s">
        <v>70</v>
      </c>
      <c r="B7" s="13" t="s">
        <v>71</v>
      </c>
      <c r="C7" s="10">
        <v>545692</v>
      </c>
      <c r="D7" s="11">
        <v>545692000</v>
      </c>
      <c r="E7" s="3">
        <v>0.10550000000000001</v>
      </c>
      <c r="F7" s="4" t="s">
        <v>74</v>
      </c>
      <c r="G7" s="4" t="s">
        <v>72</v>
      </c>
      <c r="H7" s="11">
        <v>449784993.92000002</v>
      </c>
      <c r="I7" s="11">
        <v>82.4392</v>
      </c>
      <c r="J7" s="11">
        <v>83.670033333333322</v>
      </c>
      <c r="K7" s="11">
        <v>6716559.0333333304</v>
      </c>
      <c r="L7" s="11">
        <v>456580678.297333</v>
      </c>
      <c r="M7" s="6">
        <f t="shared" si="0"/>
        <v>1.5764981163986606E-2</v>
      </c>
    </row>
    <row r="8" spans="1:13" x14ac:dyDescent="0.25">
      <c r="A8" s="1" t="s">
        <v>75</v>
      </c>
      <c r="B8" s="13" t="s">
        <v>76</v>
      </c>
      <c r="C8" s="10">
        <v>2265000</v>
      </c>
      <c r="D8" s="11">
        <v>2265000000</v>
      </c>
      <c r="E8" s="3">
        <v>0.10400000000000001</v>
      </c>
      <c r="F8" s="4" t="s">
        <v>68</v>
      </c>
      <c r="G8" s="4" t="s">
        <v>77</v>
      </c>
      <c r="H8" s="11">
        <v>2073109200</v>
      </c>
      <c r="I8" s="11">
        <v>86.334699999999998</v>
      </c>
      <c r="J8" s="11">
        <v>90.61025555555554</v>
      </c>
      <c r="K8" s="11">
        <v>96841333.333333328</v>
      </c>
      <c r="L8" s="11">
        <v>2052322288.333333</v>
      </c>
      <c r="M8" s="6">
        <f t="shared" si="0"/>
        <v>7.0863318918053031E-2</v>
      </c>
    </row>
    <row r="9" spans="1:13" x14ac:dyDescent="0.25">
      <c r="A9" s="1" t="s">
        <v>78</v>
      </c>
      <c r="B9" s="13" t="s">
        <v>79</v>
      </c>
      <c r="C9" s="10">
        <v>2265000</v>
      </c>
      <c r="D9" s="11">
        <v>2265000000</v>
      </c>
      <c r="E9" s="3">
        <v>0.11</v>
      </c>
      <c r="F9" s="4" t="s">
        <v>68</v>
      </c>
      <c r="G9" s="4" t="s">
        <v>80</v>
      </c>
      <c r="H9" s="11">
        <v>2080889475</v>
      </c>
      <c r="I9" s="11">
        <v>84.41940000000001</v>
      </c>
      <c r="J9" s="11">
        <v>89.308288888888882</v>
      </c>
      <c r="K9" s="11">
        <v>110733333.333333</v>
      </c>
      <c r="L9" s="11">
        <v>2022832743.333333</v>
      </c>
      <c r="M9" s="6">
        <f t="shared" si="0"/>
        <v>6.984509334794517E-2</v>
      </c>
    </row>
    <row r="10" spans="1:13" x14ac:dyDescent="0.25">
      <c r="A10" s="1" t="s">
        <v>81</v>
      </c>
      <c r="B10" s="13" t="s">
        <v>82</v>
      </c>
      <c r="C10" s="10">
        <v>2265000</v>
      </c>
      <c r="D10" s="11">
        <v>2265000000</v>
      </c>
      <c r="E10" s="3">
        <v>0.10300000000000001</v>
      </c>
      <c r="F10" s="4" t="s">
        <v>68</v>
      </c>
      <c r="G10" s="4" t="s">
        <v>83</v>
      </c>
      <c r="H10" s="11">
        <v>1963990560.0000031</v>
      </c>
      <c r="I10" s="11">
        <v>77.208300000000008</v>
      </c>
      <c r="J10" s="11">
        <v>82.158022222222215</v>
      </c>
      <c r="K10" s="11">
        <v>112111208.333333</v>
      </c>
      <c r="L10" s="11">
        <v>1860879203.333333</v>
      </c>
      <c r="M10" s="6">
        <f t="shared" si="0"/>
        <v>6.425310352248377E-2</v>
      </c>
    </row>
    <row r="11" spans="1:13" x14ac:dyDescent="0.25">
      <c r="A11" s="1" t="s">
        <v>84</v>
      </c>
      <c r="B11" s="13" t="s">
        <v>85</v>
      </c>
      <c r="C11" s="10">
        <v>2265000</v>
      </c>
      <c r="D11" s="11">
        <v>2265000000</v>
      </c>
      <c r="E11" s="3">
        <v>8.4500000000000006E-2</v>
      </c>
      <c r="F11" s="4" t="s">
        <v>68</v>
      </c>
      <c r="G11" s="4" t="s">
        <v>86</v>
      </c>
      <c r="H11" s="11">
        <v>1740247065.0000031</v>
      </c>
      <c r="I11" s="11">
        <v>67.813200000000009</v>
      </c>
      <c r="J11" s="11">
        <v>71.19319999999999</v>
      </c>
      <c r="K11" s="11">
        <v>76556999.999999985</v>
      </c>
      <c r="L11" s="11">
        <v>1612525979.999999</v>
      </c>
      <c r="M11" s="6">
        <f t="shared" si="0"/>
        <v>5.5677874490746973E-2</v>
      </c>
    </row>
    <row r="12" spans="1:13" x14ac:dyDescent="0.25">
      <c r="A12" s="1" t="s">
        <v>87</v>
      </c>
      <c r="B12" s="13" t="s">
        <v>88</v>
      </c>
      <c r="C12" s="10">
        <v>2265000</v>
      </c>
      <c r="D12" s="11">
        <v>2265000000</v>
      </c>
      <c r="E12" s="3">
        <v>0.10650000000000001</v>
      </c>
      <c r="F12" s="4" t="s">
        <v>68</v>
      </c>
      <c r="G12" s="4" t="s">
        <v>89</v>
      </c>
      <c r="H12" s="11">
        <v>1967775375</v>
      </c>
      <c r="I12" s="11">
        <v>75.71820000000001</v>
      </c>
      <c r="J12" s="11">
        <v>77.019866666666658</v>
      </c>
      <c r="K12" s="11">
        <v>29482750</v>
      </c>
      <c r="L12" s="11">
        <v>1744499980</v>
      </c>
      <c r="M12" s="6">
        <f t="shared" si="0"/>
        <v>6.0234720023270981E-2</v>
      </c>
    </row>
    <row r="13" spans="1:13" x14ac:dyDescent="0.25">
      <c r="A13" s="1" t="s">
        <v>90</v>
      </c>
      <c r="B13" s="13" t="s">
        <v>91</v>
      </c>
      <c r="C13" s="10">
        <v>2265000</v>
      </c>
      <c r="D13" s="11">
        <v>2265000000</v>
      </c>
      <c r="E13" s="3">
        <v>8.0700000000000008E-2</v>
      </c>
      <c r="F13" s="4" t="s">
        <v>68</v>
      </c>
      <c r="G13" s="4" t="s">
        <v>92</v>
      </c>
      <c r="H13" s="11">
        <v>1622351550</v>
      </c>
      <c r="I13" s="11">
        <v>61.478500000000004</v>
      </c>
      <c r="J13" s="11">
        <v>64.123666666666651</v>
      </c>
      <c r="K13" s="11">
        <v>59913025</v>
      </c>
      <c r="L13" s="11">
        <v>1452401050</v>
      </c>
      <c r="M13" s="6">
        <f t="shared" si="0"/>
        <v>5.0149023566199637E-2</v>
      </c>
    </row>
    <row r="14" spans="1:13" x14ac:dyDescent="0.25">
      <c r="A14" s="1" t="s">
        <v>93</v>
      </c>
      <c r="B14" s="13" t="s">
        <v>94</v>
      </c>
      <c r="C14" s="10">
        <v>2265000</v>
      </c>
      <c r="D14" s="11">
        <v>2265000000</v>
      </c>
      <c r="E14" s="3">
        <v>8.0700000000000008E-2</v>
      </c>
      <c r="F14" s="4" t="s">
        <v>68</v>
      </c>
      <c r="G14" s="4" t="s">
        <v>95</v>
      </c>
      <c r="H14" s="11">
        <v>1597764975</v>
      </c>
      <c r="I14" s="11">
        <v>60.066900000000004</v>
      </c>
      <c r="J14" s="11">
        <v>65.020983333333334</v>
      </c>
      <c r="K14" s="11">
        <v>112209987.5</v>
      </c>
      <c r="L14" s="11">
        <v>1472725272.5</v>
      </c>
      <c r="M14" s="6">
        <f t="shared" si="0"/>
        <v>5.085078559888144E-2</v>
      </c>
    </row>
    <row r="15" spans="1:13" x14ac:dyDescent="0.25">
      <c r="A15" s="1" t="s">
        <v>96</v>
      </c>
      <c r="B15" s="13" t="s">
        <v>97</v>
      </c>
      <c r="C15" s="10">
        <v>3775000</v>
      </c>
      <c r="D15" s="11">
        <v>3775000000</v>
      </c>
      <c r="E15" s="3">
        <v>5.4900000000000004E-2</v>
      </c>
      <c r="F15" s="4" t="s">
        <v>68</v>
      </c>
      <c r="G15" s="4" t="s">
        <v>98</v>
      </c>
      <c r="H15" s="11">
        <v>3136670150</v>
      </c>
      <c r="I15" s="11">
        <v>84.819900000000004</v>
      </c>
      <c r="J15" s="11">
        <v>87.30565</v>
      </c>
      <c r="K15" s="11">
        <v>93837062.5</v>
      </c>
      <c r="L15" s="11">
        <v>3295788287.5</v>
      </c>
      <c r="M15" s="6">
        <f t="shared" si="0"/>
        <v>0.11379815822843301</v>
      </c>
    </row>
    <row r="16" spans="1:13" x14ac:dyDescent="0.25">
      <c r="A16" s="1" t="s">
        <v>99</v>
      </c>
      <c r="B16" s="13" t="s">
        <v>100</v>
      </c>
      <c r="C16" s="10">
        <v>2803860</v>
      </c>
      <c r="D16" s="11">
        <v>2803860000</v>
      </c>
      <c r="E16" s="3">
        <v>5.5E-2</v>
      </c>
      <c r="F16" s="4" t="s">
        <v>101</v>
      </c>
      <c r="G16" s="4" t="s">
        <v>102</v>
      </c>
      <c r="H16" s="11">
        <v>1773018067.1400001</v>
      </c>
      <c r="I16" s="11">
        <v>56.602900000000005</v>
      </c>
      <c r="J16" s="11">
        <v>58.680677777777767</v>
      </c>
      <c r="K16" s="11">
        <v>58257980</v>
      </c>
      <c r="L16" s="11">
        <v>1645324051.9400001</v>
      </c>
      <c r="M16" s="6">
        <f t="shared" si="0"/>
        <v>5.6810338063838589E-2</v>
      </c>
    </row>
    <row r="17" spans="1:15" x14ac:dyDescent="0.25">
      <c r="A17" s="1" t="s">
        <v>103</v>
      </c>
      <c r="B17" s="13" t="s">
        <v>104</v>
      </c>
      <c r="C17" s="10">
        <v>1038480</v>
      </c>
      <c r="D17" s="11">
        <v>1038480000</v>
      </c>
      <c r="E17" s="3">
        <v>0.12</v>
      </c>
      <c r="F17" s="4" t="s">
        <v>101</v>
      </c>
      <c r="G17" s="4" t="s">
        <v>105</v>
      </c>
      <c r="H17" s="11">
        <v>979029096.96000004</v>
      </c>
      <c r="I17" s="11">
        <v>84.879100000000008</v>
      </c>
      <c r="J17" s="11">
        <v>90.979100000000003</v>
      </c>
      <c r="K17" s="11">
        <v>63347280</v>
      </c>
      <c r="L17" s="11">
        <v>944799757.67999995</v>
      </c>
      <c r="M17" s="6">
        <f t="shared" si="0"/>
        <v>3.2622384370511175E-2</v>
      </c>
    </row>
    <row r="18" spans="1:15" x14ac:dyDescent="0.25">
      <c r="A18" s="1" t="s">
        <v>52</v>
      </c>
      <c r="B18" s="13" t="s">
        <v>53</v>
      </c>
      <c r="C18" s="10">
        <v>506989</v>
      </c>
      <c r="D18" s="11">
        <v>506989000</v>
      </c>
      <c r="E18" s="3">
        <v>0.1535</v>
      </c>
      <c r="F18" s="4" t="s">
        <v>106</v>
      </c>
      <c r="G18" s="4" t="s">
        <v>107</v>
      </c>
      <c r="H18" s="11">
        <v>492216861.50999999</v>
      </c>
      <c r="I18" s="11">
        <v>97.585599999999999</v>
      </c>
      <c r="J18" s="11">
        <v>102.36115555555601</v>
      </c>
      <c r="K18" s="11">
        <v>24211541.355555549</v>
      </c>
      <c r="L18" s="11">
        <v>518959798.939556</v>
      </c>
      <c r="M18" s="6">
        <f t="shared" si="0"/>
        <v>1.7918829779784321E-2</v>
      </c>
    </row>
    <row r="19" spans="1:15" x14ac:dyDescent="0.25">
      <c r="A19" s="1" t="s">
        <v>108</v>
      </c>
      <c r="B19" s="13" t="s">
        <v>109</v>
      </c>
      <c r="C19" s="10">
        <v>2100000</v>
      </c>
      <c r="D19" s="11">
        <v>2100000000</v>
      </c>
      <c r="E19" s="3">
        <v>0.14300000000000002</v>
      </c>
      <c r="F19" s="4" t="s">
        <v>110</v>
      </c>
      <c r="G19" s="4" t="s">
        <v>111</v>
      </c>
      <c r="H19" s="11">
        <v>2100000000</v>
      </c>
      <c r="I19" s="11">
        <v>94.474602025955789</v>
      </c>
      <c r="J19" s="11">
        <v>94.752657581511343</v>
      </c>
      <c r="K19" s="11">
        <v>5839166.6666666698</v>
      </c>
      <c r="L19" s="11">
        <v>1989805809.2117381</v>
      </c>
      <c r="M19" s="6">
        <f t="shared" si="0"/>
        <v>6.870472753949082E-2</v>
      </c>
    </row>
    <row r="20" spans="1:15" x14ac:dyDescent="0.25">
      <c r="A20" s="1" t="s">
        <v>112</v>
      </c>
      <c r="B20" s="13" t="s">
        <v>113</v>
      </c>
      <c r="C20" s="10">
        <v>1000000</v>
      </c>
      <c r="D20" s="11">
        <v>1000000000</v>
      </c>
      <c r="E20" s="3">
        <v>0.1389</v>
      </c>
      <c r="F20" s="4" t="s">
        <v>114</v>
      </c>
      <c r="G20" s="4" t="s">
        <v>115</v>
      </c>
      <c r="H20" s="11">
        <v>1000000000</v>
      </c>
      <c r="I20" s="11">
        <v>98.108727388556289</v>
      </c>
      <c r="J20" s="11">
        <v>102.04422738855601</v>
      </c>
      <c r="K20" s="11">
        <v>39354999.999999993</v>
      </c>
      <c r="L20" s="11">
        <v>1020442273.8855619</v>
      </c>
      <c r="M20" s="6">
        <f t="shared" si="0"/>
        <v>3.5234196258005591E-2</v>
      </c>
    </row>
    <row r="21" spans="1:15" x14ac:dyDescent="0.25">
      <c r="A21" s="1" t="s">
        <v>116</v>
      </c>
      <c r="B21" s="13" t="s">
        <v>117</v>
      </c>
      <c r="C21" s="10">
        <v>165739</v>
      </c>
      <c r="D21" s="11">
        <v>165739000</v>
      </c>
      <c r="E21" s="3">
        <v>0.125</v>
      </c>
      <c r="F21" s="4" t="s">
        <v>118</v>
      </c>
      <c r="G21" s="4" t="s">
        <v>119</v>
      </c>
      <c r="H21" s="11">
        <v>159596381.18279999</v>
      </c>
      <c r="I21" s="11">
        <v>95.601116886831008</v>
      </c>
      <c r="J21" s="11">
        <v>98.656672442373136</v>
      </c>
      <c r="K21" s="11">
        <v>5064247.2221999997</v>
      </c>
      <c r="L21" s="11">
        <v>163512582.33926499</v>
      </c>
      <c r="M21" s="6">
        <f t="shared" si="0"/>
        <v>5.6458209976521009E-3</v>
      </c>
    </row>
    <row r="22" spans="1:15" x14ac:dyDescent="0.25">
      <c r="A22" s="1" t="s">
        <v>120</v>
      </c>
      <c r="B22" s="13" t="s">
        <v>121</v>
      </c>
      <c r="C22" s="10">
        <v>494987</v>
      </c>
      <c r="D22" s="11">
        <v>494987000</v>
      </c>
      <c r="E22" s="3">
        <v>0.1701</v>
      </c>
      <c r="F22" s="4" t="s">
        <v>122</v>
      </c>
      <c r="G22" s="4" t="s">
        <v>123</v>
      </c>
      <c r="H22" s="11">
        <v>495088472.34249997</v>
      </c>
      <c r="I22" s="11">
        <v>101.5849</v>
      </c>
      <c r="J22" s="11">
        <v>103.14415</v>
      </c>
      <c r="K22" s="11">
        <v>7718084.7975000003</v>
      </c>
      <c r="L22" s="11">
        <v>510550133.76050001</v>
      </c>
      <c r="M22" s="6">
        <f t="shared" si="0"/>
        <v>1.7628457848940342E-2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993031738.03636599</v>
      </c>
      <c r="L24" s="22">
        <f>SUM(L4:L23)</f>
        <v>28961701479.247066</v>
      </c>
      <c r="M24" s="23"/>
      <c r="N24" s="26">
        <v>28961701479.247089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301166613.89999998</v>
      </c>
      <c r="C27" s="58">
        <v>301166613.89999998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407949</v>
      </c>
      <c r="D32" s="7" t="s">
        <v>50</v>
      </c>
      <c r="E32" s="34" t="s">
        <v>54</v>
      </c>
      <c r="F32" s="34" t="s">
        <v>51</v>
      </c>
      <c r="G32" s="15">
        <v>1032.166999992646</v>
      </c>
      <c r="H32" s="15">
        <v>1032.6166289168491</v>
      </c>
      <c r="I32" s="16">
        <f t="shared" ref="I32:I39" si="1">+C32*G32</f>
        <v>421071495.47999996</v>
      </c>
      <c r="J32" s="16">
        <f t="shared" ref="J32:J39" si="2">+C32*H32</f>
        <v>421254921.14999968</v>
      </c>
      <c r="K32" s="18">
        <v>0.159</v>
      </c>
      <c r="L32" s="17">
        <v>183425.67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407949</v>
      </c>
      <c r="D33" s="7" t="s">
        <v>50</v>
      </c>
      <c r="E33" s="34" t="s">
        <v>51</v>
      </c>
      <c r="F33" s="34" t="s">
        <v>51</v>
      </c>
      <c r="G33" s="15">
        <v>1032.166999992646</v>
      </c>
      <c r="H33" s="15">
        <v>1032.6166289168491</v>
      </c>
      <c r="I33" s="16">
        <f t="shared" si="1"/>
        <v>421071495.47999996</v>
      </c>
      <c r="J33" s="16">
        <f t="shared" si="2"/>
        <v>421254921.14999968</v>
      </c>
      <c r="K33" s="18">
        <v>0.159</v>
      </c>
      <c r="L33" s="17"/>
      <c r="M33" s="17"/>
      <c r="N33" s="35"/>
    </row>
    <row r="34" spans="1:15" s="36" customFormat="1" ht="12" customHeight="1" x14ac:dyDescent="0.25">
      <c r="A34" s="12" t="s">
        <v>55</v>
      </c>
      <c r="B34" s="7" t="s">
        <v>56</v>
      </c>
      <c r="C34" s="14">
        <v>1427400</v>
      </c>
      <c r="D34" s="7" t="s">
        <v>50</v>
      </c>
      <c r="E34" s="34" t="s">
        <v>54</v>
      </c>
      <c r="F34" s="34" t="s">
        <v>51</v>
      </c>
      <c r="G34" s="15">
        <v>910.91399999999999</v>
      </c>
      <c r="H34" s="15">
        <v>911.31205694269306</v>
      </c>
      <c r="I34" s="16">
        <f t="shared" si="1"/>
        <v>1300238643.5999999</v>
      </c>
      <c r="J34" s="16">
        <f t="shared" si="2"/>
        <v>1300806830.0800002</v>
      </c>
      <c r="K34" s="18">
        <v>0.1595</v>
      </c>
      <c r="L34" s="17">
        <v>568186.48</v>
      </c>
      <c r="M34" s="17"/>
      <c r="N34" s="35"/>
    </row>
    <row r="35" spans="1:15" s="36" customFormat="1" ht="12" customHeight="1" x14ac:dyDescent="0.25">
      <c r="A35" s="12" t="s">
        <v>55</v>
      </c>
      <c r="B35" s="7" t="s">
        <v>56</v>
      </c>
      <c r="C35" s="14">
        <v>1427400</v>
      </c>
      <c r="D35" s="7" t="s">
        <v>50</v>
      </c>
      <c r="E35" s="34" t="s">
        <v>51</v>
      </c>
      <c r="F35" s="34" t="s">
        <v>51</v>
      </c>
      <c r="G35" s="15">
        <v>910.91399999999999</v>
      </c>
      <c r="H35" s="15">
        <v>911.31205694269306</v>
      </c>
      <c r="I35" s="16">
        <f t="shared" si="1"/>
        <v>1300238643.5999999</v>
      </c>
      <c r="J35" s="16">
        <f t="shared" si="2"/>
        <v>1300806830.0800002</v>
      </c>
      <c r="K35" s="18">
        <v>0.1595</v>
      </c>
      <c r="L35" s="17"/>
      <c r="M35" s="17"/>
      <c r="N35" s="35"/>
    </row>
    <row r="36" spans="1:15" s="36" customFormat="1" ht="12" customHeight="1" x14ac:dyDescent="0.25">
      <c r="A36" s="12" t="s">
        <v>57</v>
      </c>
      <c r="B36" s="7" t="s">
        <v>58</v>
      </c>
      <c r="C36" s="14">
        <v>773474</v>
      </c>
      <c r="D36" s="7" t="s">
        <v>50</v>
      </c>
      <c r="E36" s="34" t="s">
        <v>51</v>
      </c>
      <c r="F36" s="34" t="s">
        <v>59</v>
      </c>
      <c r="G36" s="15">
        <v>541.91409999560403</v>
      </c>
      <c r="H36" s="15">
        <v>542.15833103633702</v>
      </c>
      <c r="I36" s="16">
        <f t="shared" si="1"/>
        <v>419156466.5799998</v>
      </c>
      <c r="J36" s="16">
        <f t="shared" si="2"/>
        <v>419345372.93999976</v>
      </c>
      <c r="K36" s="18">
        <v>0.16449900000000001</v>
      </c>
      <c r="L36" s="17"/>
      <c r="M36" s="17">
        <v>419156466.57999998</v>
      </c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324054</v>
      </c>
      <c r="D37" s="7" t="s">
        <v>50</v>
      </c>
      <c r="E37" s="34" t="s">
        <v>51</v>
      </c>
      <c r="F37" s="34" t="s">
        <v>59</v>
      </c>
      <c r="G37" s="15">
        <v>1089.7829999938281</v>
      </c>
      <c r="H37" s="15">
        <v>1090.2756386281289</v>
      </c>
      <c r="I37" s="16">
        <f t="shared" si="1"/>
        <v>353148540.27999997</v>
      </c>
      <c r="J37" s="16">
        <f t="shared" si="2"/>
        <v>353308181.79999971</v>
      </c>
      <c r="K37" s="18">
        <v>0.16499899999999998</v>
      </c>
      <c r="L37" s="17"/>
      <c r="M37" s="17">
        <v>353148540.27999997</v>
      </c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1155340</v>
      </c>
      <c r="D38" s="7" t="s">
        <v>50</v>
      </c>
      <c r="E38" s="34" t="s">
        <v>51</v>
      </c>
      <c r="F38" s="34" t="s">
        <v>59</v>
      </c>
      <c r="G38" s="15">
        <v>819.91100000000006</v>
      </c>
      <c r="H38" s="15">
        <v>820.28164245157302</v>
      </c>
      <c r="I38" s="16">
        <f t="shared" si="1"/>
        <v>947275974.74000001</v>
      </c>
      <c r="J38" s="16">
        <f t="shared" si="2"/>
        <v>947704192.79000032</v>
      </c>
      <c r="K38" s="18">
        <v>0.16499899999999998</v>
      </c>
      <c r="L38" s="17"/>
      <c r="M38" s="17">
        <v>947275974.74000001</v>
      </c>
      <c r="N38" s="35"/>
    </row>
    <row r="39" spans="1:15" s="36" customFormat="1" ht="12" customHeight="1" x14ac:dyDescent="0.25">
      <c r="A39" s="12" t="s">
        <v>64</v>
      </c>
      <c r="B39" s="7" t="s">
        <v>65</v>
      </c>
      <c r="C39" s="14">
        <v>12610</v>
      </c>
      <c r="D39" s="7" t="s">
        <v>50</v>
      </c>
      <c r="E39" s="34" t="s">
        <v>51</v>
      </c>
      <c r="F39" s="34" t="s">
        <v>59</v>
      </c>
      <c r="G39" s="15">
        <v>1031.2920000000001</v>
      </c>
      <c r="H39" s="15">
        <v>1031.7567819191111</v>
      </c>
      <c r="I39" s="16">
        <f t="shared" si="1"/>
        <v>13004592.120000001</v>
      </c>
      <c r="J39" s="16">
        <f t="shared" si="2"/>
        <v>13010453.01999999</v>
      </c>
      <c r="K39" s="18">
        <v>0.16449800000000001</v>
      </c>
      <c r="L39" s="17"/>
      <c r="M39" s="17">
        <v>13004592.119999999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1732585573.7199998</v>
      </c>
      <c r="N41" s="38">
        <v>1732585573.7199998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x14ac:dyDescent="0.25">
      <c r="A45" s="57">
        <f ca="1">IF(OFFSET(A45,-1,0)="№ п/п",1,OFFSET(A45,-1,0)+1)</f>
        <v>1</v>
      </c>
      <c r="B45" s="40" t="s">
        <v>49</v>
      </c>
      <c r="C45" s="52" t="s">
        <v>50</v>
      </c>
      <c r="D45" s="53" t="s">
        <v>51</v>
      </c>
      <c r="E45" s="54">
        <v>1100000</v>
      </c>
      <c r="F45" s="55">
        <v>1100000000</v>
      </c>
      <c r="G45" s="56">
        <v>1100000000</v>
      </c>
      <c r="H45" s="33"/>
    </row>
    <row r="46" spans="1:15" x14ac:dyDescent="0.25">
      <c r="A46" s="57">
        <f ca="1">IF(OFFSET(A46,-1,0)="№ п/п",1,OFFSET(A46,-1,0)+1)</f>
        <v>2</v>
      </c>
      <c r="B46" s="40" t="s">
        <v>49</v>
      </c>
      <c r="C46" s="52" t="s">
        <v>50</v>
      </c>
      <c r="D46" s="53" t="s">
        <v>51</v>
      </c>
      <c r="E46" s="54">
        <v>1</v>
      </c>
      <c r="F46" s="55">
        <v>76285000</v>
      </c>
      <c r="G46" s="56">
        <v>76285000</v>
      </c>
      <c r="H46" s="33"/>
    </row>
    <row r="47" spans="1:15" hidden="1" x14ac:dyDescent="0.25">
      <c r="B47" s="42"/>
      <c r="C47" s="43"/>
      <c r="D47" s="44"/>
      <c r="G47" s="45"/>
      <c r="H47" s="33"/>
    </row>
    <row r="48" spans="1:15" x14ac:dyDescent="0.25">
      <c r="G48" s="46">
        <f>SUM(G45:G47)</f>
        <v>1176285000</v>
      </c>
      <c r="H48" s="29">
        <v>1176285000</v>
      </c>
      <c r="I48" s="59">
        <f>G48-H48</f>
        <v>0</v>
      </c>
    </row>
    <row r="50" spans="1:4" x14ac:dyDescent="0.25">
      <c r="A50" s="47" t="s">
        <v>13</v>
      </c>
      <c r="B50" s="48">
        <f>+L24+B27+M41+G48</f>
        <v>32171738666.867069</v>
      </c>
      <c r="C50" s="32">
        <v>32171738666.867092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9" t="s">
        <v>35</v>
      </c>
      <c r="B54" s="50"/>
    </row>
    <row r="55" spans="1:4" x14ac:dyDescent="0.25">
      <c r="A55" s="49" t="s">
        <v>36</v>
      </c>
      <c r="B55" s="41"/>
    </row>
    <row r="56" spans="1:4" x14ac:dyDescent="0.25">
      <c r="A56" s="49" t="s">
        <v>37</v>
      </c>
      <c r="B56" s="41">
        <v>162144.97</v>
      </c>
    </row>
    <row r="57" spans="1:4" x14ac:dyDescent="0.25">
      <c r="A57" s="49" t="s">
        <v>38</v>
      </c>
      <c r="B57" s="41"/>
    </row>
    <row r="58" spans="1:4" x14ac:dyDescent="0.25">
      <c r="A58" s="49" t="s">
        <v>39</v>
      </c>
      <c r="B58" s="50"/>
    </row>
    <row r="59" spans="1:4" x14ac:dyDescent="0.25">
      <c r="A59" s="49" t="s">
        <v>40</v>
      </c>
      <c r="B59" s="51">
        <v>23281.74</v>
      </c>
    </row>
    <row r="60" spans="1:4" x14ac:dyDescent="0.25">
      <c r="A60" s="49" t="s">
        <v>41</v>
      </c>
      <c r="B60" s="51">
        <v>11630.98</v>
      </c>
    </row>
    <row r="61" spans="1:4" x14ac:dyDescent="0.25">
      <c r="A61" s="49" t="s">
        <v>42</v>
      </c>
      <c r="B61" s="41"/>
    </row>
    <row r="62" spans="1:4" x14ac:dyDescent="0.25">
      <c r="A62" s="49" t="s">
        <v>43</v>
      </c>
      <c r="B62" s="41"/>
    </row>
    <row r="63" spans="1:4" x14ac:dyDescent="0.25">
      <c r="A63" s="49" t="s">
        <v>44</v>
      </c>
      <c r="B63" s="51"/>
    </row>
    <row r="64" spans="1:4" x14ac:dyDescent="0.25">
      <c r="A64" s="49" t="s">
        <v>45</v>
      </c>
      <c r="B64" s="50">
        <f>SUM(B54:B63)</f>
        <v>197057.69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2025-09-11T06:20:24Z</dcterms:created>
  <dcterms:modified xsi:type="dcterms:W3CDTF">2025-09-11T10:56:34Z</dcterms:modified>
</cp:coreProperties>
</file>