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1310E723-85EE-43FD-AB00-4A309990AF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ДУ!$45:$45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  <c r="B64" i="1"/>
  <c r="G48" i="1"/>
  <c r="A45" i="1"/>
  <c r="A46" i="1" s="1"/>
  <c r="M41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18" i="1"/>
  <c r="M12" i="1"/>
  <c r="M6" i="1"/>
  <c r="M7" i="1" l="1"/>
  <c r="M13" i="1"/>
  <c r="M19" i="1"/>
  <c r="M5" i="1"/>
  <c r="M11" i="1"/>
  <c r="M17" i="1"/>
  <c r="M8" i="1"/>
  <c r="M14" i="1"/>
  <c r="M20" i="1"/>
  <c r="M9" i="1"/>
  <c r="M15" i="1"/>
  <c r="M21" i="1"/>
  <c r="B50" i="1"/>
  <c r="M4" i="1"/>
  <c r="M10" i="1"/>
  <c r="M16" i="1"/>
</calcChain>
</file>

<file path=xl/sharedStrings.xml><?xml version="1.0" encoding="utf-8"?>
<sst xmlns="http://schemas.openxmlformats.org/spreadsheetml/2006/main" count="176" uniqueCount="123">
  <si>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</si>
  <si>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</si>
  <si>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</si>
  <si>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</si>
  <si>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</si>
  <si>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</si>
  <si>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</si>
  <si>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</si>
  <si>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</si>
  <si>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</si>
  <si>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</si>
  <si>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</si>
  <si>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</si>
  <si>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</si>
  <si>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</si>
  <si>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</si>
  <si>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</si>
  <si>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</si>
  <si>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</si>
  <si>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</si>
  <si>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</si>
  <si>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</si>
  <si>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</si>
  <si>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</si>
  <si>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</si>
  <si>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</si>
  <si>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</si>
  <si>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</si>
  <si>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</si>
  <si>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</si>
  <si>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</si>
  <si>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</si>
  <si>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</si>
  <si>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</si>
  <si>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</si>
  <si>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</si>
  <si>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</si>
  <si>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</si>
  <si>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</si>
  <si>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</si>
  <si>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</si>
  <si>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</si>
  <si>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</si>
  <si>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</si>
  <si>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</si>
  <si>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</si>
  <si>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</si>
  <si>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</si>
  <si>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</si>
  <si>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KZ2C00011245 _BTRKb14</t>
  </si>
  <si>
    <t>KZT</t>
  </si>
  <si>
    <t>10.09.2025</t>
  </si>
  <si>
    <t>МИНИСТЕРСТВО ФИНАНСОВ РК, ГЦБ, MKM012_0161</t>
  </si>
  <si>
    <t>KZK100000423</t>
  </si>
  <si>
    <t>17.09.2025</t>
  </si>
  <si>
    <t>18.09.2025</t>
  </si>
  <si>
    <t>МИНИСТЕРСТВО ФИНАНСОВ РК, ГЦБ, MUM084_0020</t>
  </si>
  <si>
    <t>KZKD00001285</t>
  </si>
  <si>
    <t>МИНИСТЕРСТВО ФИНАНСОВ РК, ГЦБ, MOM060_0054</t>
  </si>
  <si>
    <t>KZK200000737</t>
  </si>
  <si>
    <t>МИНИСТЕРСТВО ФИНАНСОВ РК, ГЦБ, MKM012_0160</t>
  </si>
  <si>
    <t>KZK100000373</t>
  </si>
  <si>
    <t>16.09.2025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</si>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</sst>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8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A24" zoomScale="90" zoomScaleNormal="90" workbookViewId="0">
      <selection activeCell="E36" sqref="E36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8.85546875" style="26" bestFit="1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54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65</v>
      </c>
      <c r="B4" s="13" t="s">
        <v>66</v>
      </c>
      <c r="C4" s="10">
        <v>3020000</v>
      </c>
      <c r="D4" s="11">
        <v>3020000000</v>
      </c>
      <c r="E4" s="3">
        <v>0.1067</v>
      </c>
      <c r="F4" s="4" t="s">
        <v>67</v>
      </c>
      <c r="G4" s="4" t="s">
        <v>68</v>
      </c>
      <c r="H4" s="11">
        <v>2930617060.0000029</v>
      </c>
      <c r="I4" s="11">
        <v>98.131100000000004</v>
      </c>
      <c r="J4" s="11">
        <v>99.790877777777766</v>
      </c>
      <c r="K4" s="11">
        <v>50125288.888888881</v>
      </c>
      <c r="L4" s="11">
        <v>3013684508.8888879</v>
      </c>
      <c r="M4" s="6">
        <f t="shared" ref="M4:M22" si="0">L4/$L$24</f>
        <v>0.1035890963399806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67</v>
      </c>
      <c r="G5" s="4" t="s">
        <v>71</v>
      </c>
      <c r="H5" s="11">
        <v>2039188560.0000031</v>
      </c>
      <c r="I5" s="11">
        <v>82.8673</v>
      </c>
      <c r="J5" s="11">
        <v>84.303272222222219</v>
      </c>
      <c r="K5" s="11">
        <v>32524770.833333328</v>
      </c>
      <c r="L5" s="11">
        <v>1909469115.833333</v>
      </c>
      <c r="M5" s="6">
        <f t="shared" si="0"/>
        <v>6.5634003697090187E-2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82.8673</v>
      </c>
      <c r="J6" s="11">
        <v>84.303272222222475</v>
      </c>
      <c r="K6" s="11">
        <v>22281205.547222219</v>
      </c>
      <c r="L6" s="11">
        <v>1308088351.3052261</v>
      </c>
      <c r="M6" s="6">
        <f t="shared" si="0"/>
        <v>4.4962798808201115E-2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82.8673</v>
      </c>
      <c r="J7" s="11">
        <v>84.303272222222219</v>
      </c>
      <c r="K7" s="11">
        <v>7835985.5388888903</v>
      </c>
      <c r="L7" s="11">
        <v>460036212.25488901</v>
      </c>
      <c r="M7" s="6">
        <f t="shared" si="0"/>
        <v>1.5812781786080598E-2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67</v>
      </c>
      <c r="G8" s="4" t="s">
        <v>76</v>
      </c>
      <c r="H8" s="11">
        <v>2073109200</v>
      </c>
      <c r="I8" s="11">
        <v>87.054500000000004</v>
      </c>
      <c r="J8" s="11">
        <v>91.532277777777765</v>
      </c>
      <c r="K8" s="11">
        <v>101421666.666667</v>
      </c>
      <c r="L8" s="11">
        <v>2073206091.666666</v>
      </c>
      <c r="M8" s="6">
        <f t="shared" si="0"/>
        <v>7.1262119484920186E-2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67</v>
      </c>
      <c r="G9" s="4" t="s">
        <v>79</v>
      </c>
      <c r="H9" s="11">
        <v>2080889475</v>
      </c>
      <c r="I9" s="11">
        <v>84.933500000000009</v>
      </c>
      <c r="J9" s="11">
        <v>90.036277777777769</v>
      </c>
      <c r="K9" s="11">
        <v>115577916.666667</v>
      </c>
      <c r="L9" s="11">
        <v>2039321691.666666</v>
      </c>
      <c r="M9" s="6">
        <f t="shared" si="0"/>
        <v>7.0097414166341049E-2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67</v>
      </c>
      <c r="G10" s="4" t="s">
        <v>82</v>
      </c>
      <c r="H10" s="11">
        <v>1963990560.0000031</v>
      </c>
      <c r="I10" s="11">
        <v>77.2834</v>
      </c>
      <c r="J10" s="11">
        <v>82.433399999999992</v>
      </c>
      <c r="K10" s="11">
        <v>116647500</v>
      </c>
      <c r="L10" s="11">
        <v>1867116510</v>
      </c>
      <c r="M10" s="6">
        <f t="shared" si="0"/>
        <v>6.4178221529786986E-2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67</v>
      </c>
      <c r="G11" s="4" t="s">
        <v>85</v>
      </c>
      <c r="H11" s="11">
        <v>1740247065.0000031</v>
      </c>
      <c r="I11" s="11">
        <v>67.692099999999996</v>
      </c>
      <c r="J11" s="11">
        <v>71.23640555555555</v>
      </c>
      <c r="K11" s="11">
        <v>80278520.833333328</v>
      </c>
      <c r="L11" s="11">
        <v>1613504585.833333</v>
      </c>
      <c r="M11" s="6">
        <f t="shared" si="0"/>
        <v>5.5460842531427697E-2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67</v>
      </c>
      <c r="G12" s="4" t="s">
        <v>88</v>
      </c>
      <c r="H12" s="11">
        <v>1967775375</v>
      </c>
      <c r="I12" s="11">
        <v>75.561300000000003</v>
      </c>
      <c r="J12" s="11">
        <v>77.070049999999995</v>
      </c>
      <c r="K12" s="11">
        <v>34173187.5</v>
      </c>
      <c r="L12" s="11">
        <v>1745636632.5</v>
      </c>
      <c r="M12" s="6">
        <f t="shared" si="0"/>
        <v>6.0002605038876958E-2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67</v>
      </c>
      <c r="G13" s="4" t="s">
        <v>91</v>
      </c>
      <c r="H13" s="11">
        <v>1622351550</v>
      </c>
      <c r="I13" s="11">
        <v>61.112499999999997</v>
      </c>
      <c r="J13" s="11">
        <v>63.914583333333326</v>
      </c>
      <c r="K13" s="11">
        <v>63467187.5</v>
      </c>
      <c r="L13" s="11">
        <v>1447665312.5</v>
      </c>
      <c r="M13" s="6">
        <f t="shared" si="0"/>
        <v>4.9760464667849412E-2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67</v>
      </c>
      <c r="G14" s="4" t="s">
        <v>94</v>
      </c>
      <c r="H14" s="11">
        <v>1597764975</v>
      </c>
      <c r="I14" s="11">
        <v>59.645400000000002</v>
      </c>
      <c r="J14" s="11">
        <v>64.756399999999999</v>
      </c>
      <c r="K14" s="11">
        <v>115764150</v>
      </c>
      <c r="L14" s="11">
        <v>1466732460</v>
      </c>
      <c r="M14" s="6">
        <f t="shared" si="0"/>
        <v>5.0415857949223229E-2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67</v>
      </c>
      <c r="G15" s="4" t="s">
        <v>97</v>
      </c>
      <c r="H15" s="11">
        <v>3136670150</v>
      </c>
      <c r="I15" s="11">
        <v>85.589600000000004</v>
      </c>
      <c r="J15" s="11">
        <v>88.182100000000005</v>
      </c>
      <c r="K15" s="11">
        <v>97866875</v>
      </c>
      <c r="L15" s="11">
        <v>3328874275</v>
      </c>
      <c r="M15" s="6">
        <f t="shared" si="0"/>
        <v>0.11442308475209137</v>
      </c>
    </row>
    <row r="16" spans="1:13" x14ac:dyDescent="0.25">
      <c r="A16" s="1" t="s">
        <v>98</v>
      </c>
      <c r="B16" s="13" t="s">
        <v>99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56.464400000000005</v>
      </c>
      <c r="J16" s="11">
        <v>58.649122222222218</v>
      </c>
      <c r="K16" s="11">
        <v>61256552.5</v>
      </c>
      <c r="L16" s="11">
        <v>1644439278.3399999</v>
      </c>
      <c r="M16" s="6">
        <f t="shared" si="0"/>
        <v>5.6524157829651221E-2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85.180800000000005</v>
      </c>
      <c r="J17" s="11">
        <v>91.514133333333319</v>
      </c>
      <c r="K17" s="11">
        <v>65770400</v>
      </c>
      <c r="L17" s="11">
        <v>950355971.84000003</v>
      </c>
      <c r="M17" s="6">
        <f t="shared" si="0"/>
        <v>3.2666497118009806E-2</v>
      </c>
    </row>
    <row r="18" spans="1:15" x14ac:dyDescent="0.25">
      <c r="A18" s="1" t="s">
        <v>58</v>
      </c>
      <c r="B18" s="13" t="s">
        <v>59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98.320100000000011</v>
      </c>
      <c r="J18" s="11">
        <v>103.39412777777801</v>
      </c>
      <c r="K18" s="11">
        <v>25724762.69027777</v>
      </c>
      <c r="L18" s="11">
        <v>524196854.47927803</v>
      </c>
      <c r="M18" s="6">
        <f t="shared" si="0"/>
        <v>1.8018169552787372E-2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94.560687773166009</v>
      </c>
      <c r="J19" s="11">
        <v>95.116798884277102</v>
      </c>
      <c r="K19" s="11">
        <v>11678333.33333333</v>
      </c>
      <c r="L19" s="11">
        <v>1997452776.569819</v>
      </c>
      <c r="M19" s="6">
        <f t="shared" si="0"/>
        <v>6.8658257855577512E-2</v>
      </c>
    </row>
    <row r="20" spans="1:15" x14ac:dyDescent="0.25">
      <c r="A20" s="1" t="s">
        <v>111</v>
      </c>
      <c r="B20" s="13" t="s">
        <v>112</v>
      </c>
      <c r="C20" s="10">
        <v>1000000</v>
      </c>
      <c r="D20" s="11">
        <v>1000000000</v>
      </c>
      <c r="E20" s="3">
        <v>0.1389</v>
      </c>
      <c r="F20" s="4" t="s">
        <v>113</v>
      </c>
      <c r="G20" s="4" t="s">
        <v>114</v>
      </c>
      <c r="H20" s="11">
        <v>1000000000</v>
      </c>
      <c r="I20" s="11">
        <v>98.193267185004601</v>
      </c>
      <c r="J20" s="11">
        <v>102.39885051833801</v>
      </c>
      <c r="K20" s="11">
        <v>42055833.333333328</v>
      </c>
      <c r="L20" s="11">
        <v>1023988505.1833791</v>
      </c>
      <c r="M20" s="6">
        <f t="shared" si="0"/>
        <v>3.5197461314084966E-2</v>
      </c>
    </row>
    <row r="21" spans="1:15" x14ac:dyDescent="0.25">
      <c r="A21" s="1" t="s">
        <v>115</v>
      </c>
      <c r="B21" s="13" t="s">
        <v>116</v>
      </c>
      <c r="C21" s="10">
        <v>165739</v>
      </c>
      <c r="D21" s="11">
        <v>165739000</v>
      </c>
      <c r="E21" s="3">
        <v>0.125</v>
      </c>
      <c r="F21" s="4" t="s">
        <v>117</v>
      </c>
      <c r="G21" s="4" t="s">
        <v>118</v>
      </c>
      <c r="H21" s="11">
        <v>159596381.18279999</v>
      </c>
      <c r="I21" s="11">
        <v>95.962392543699593</v>
      </c>
      <c r="J21" s="11">
        <v>99.261003654797292</v>
      </c>
      <c r="K21" s="11">
        <v>5467085.0694222199</v>
      </c>
      <c r="L21" s="11">
        <v>164514194.84742501</v>
      </c>
      <c r="M21" s="6">
        <f t="shared" si="0"/>
        <v>5.6548310644591662E-3</v>
      </c>
    </row>
    <row r="22" spans="1:15" x14ac:dyDescent="0.25">
      <c r="A22" s="1" t="s">
        <v>119</v>
      </c>
      <c r="B22" s="13" t="s">
        <v>120</v>
      </c>
      <c r="C22" s="10">
        <v>494987</v>
      </c>
      <c r="D22" s="11">
        <v>494987000</v>
      </c>
      <c r="E22" s="3">
        <v>0.1701</v>
      </c>
      <c r="F22" s="4" t="s">
        <v>121</v>
      </c>
      <c r="G22" s="4" t="s">
        <v>122</v>
      </c>
      <c r="H22" s="11">
        <v>495088472.34249997</v>
      </c>
      <c r="I22" s="11">
        <v>102.0314</v>
      </c>
      <c r="J22" s="11">
        <v>103.92140000000001</v>
      </c>
      <c r="K22" s="11">
        <v>9355254.3000000007</v>
      </c>
      <c r="L22" s="11">
        <v>514397420.21799999</v>
      </c>
      <c r="M22" s="6">
        <f t="shared" si="0"/>
        <v>1.7681334513560555E-2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1059272476.2013674</v>
      </c>
      <c r="L24" s="22">
        <f>SUM(L4:L23)</f>
        <v>29092680748.926903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9575650.0700000003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14411800</v>
      </c>
      <c r="D32" s="7" t="s">
        <v>50</v>
      </c>
      <c r="E32" s="34" t="s">
        <v>54</v>
      </c>
      <c r="F32" s="34" t="s">
        <v>55</v>
      </c>
      <c r="G32" s="15">
        <v>90.2072</v>
      </c>
      <c r="H32" s="15">
        <v>90.245754310356787</v>
      </c>
      <c r="I32" s="16">
        <f t="shared" ref="I32:I39" si="1">+C32*G32</f>
        <v>1300048124.96</v>
      </c>
      <c r="J32" s="16">
        <f t="shared" ref="J32:J39" si="2">+C32*H32</f>
        <v>1300603761.97</v>
      </c>
      <c r="K32" s="18">
        <v>0.156</v>
      </c>
      <c r="L32" s="17"/>
      <c r="M32" s="17">
        <v>1300048124.96</v>
      </c>
      <c r="N32" s="35"/>
    </row>
    <row r="33" spans="1:15" s="36" customFormat="1" ht="12" customHeight="1" x14ac:dyDescent="0.25">
      <c r="A33" s="12" t="s">
        <v>52</v>
      </c>
      <c r="B33" s="7" t="s">
        <v>53</v>
      </c>
      <c r="C33" s="14">
        <v>4123992</v>
      </c>
      <c r="D33" s="7" t="s">
        <v>50</v>
      </c>
      <c r="E33" s="34" t="s">
        <v>54</v>
      </c>
      <c r="F33" s="34" t="s">
        <v>55</v>
      </c>
      <c r="G33" s="15">
        <v>90.207199999418023</v>
      </c>
      <c r="H33" s="15">
        <v>90.24575431038663</v>
      </c>
      <c r="I33" s="16">
        <f t="shared" si="1"/>
        <v>372013771.13999993</v>
      </c>
      <c r="J33" s="16">
        <f t="shared" si="2"/>
        <v>372172768.81</v>
      </c>
      <c r="K33" s="18">
        <v>0.156</v>
      </c>
      <c r="L33" s="17"/>
      <c r="M33" s="17">
        <v>372013771.13999999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358602</v>
      </c>
      <c r="D34" s="7" t="s">
        <v>50</v>
      </c>
      <c r="E34" s="34" t="s">
        <v>54</v>
      </c>
      <c r="F34" s="34" t="s">
        <v>55</v>
      </c>
      <c r="G34" s="15">
        <v>987.76900000557703</v>
      </c>
      <c r="H34" s="15">
        <v>988.19116976480905</v>
      </c>
      <c r="I34" s="16">
        <f t="shared" si="1"/>
        <v>354215938.93999994</v>
      </c>
      <c r="J34" s="16">
        <f t="shared" si="2"/>
        <v>354367329.86000007</v>
      </c>
      <c r="K34" s="18">
        <v>0.156</v>
      </c>
      <c r="L34" s="17"/>
      <c r="M34" s="17">
        <v>354215938.94</v>
      </c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3872</v>
      </c>
      <c r="D35" s="7" t="s">
        <v>50</v>
      </c>
      <c r="E35" s="34" t="s">
        <v>54</v>
      </c>
      <c r="F35" s="34" t="s">
        <v>55</v>
      </c>
      <c r="G35" s="15">
        <v>1033.9409994834712</v>
      </c>
      <c r="H35" s="15">
        <v>1034.382053202479</v>
      </c>
      <c r="I35" s="16">
        <f t="shared" si="1"/>
        <v>4003419.5500000003</v>
      </c>
      <c r="J35" s="16">
        <f t="shared" si="2"/>
        <v>4005127.3099999987</v>
      </c>
      <c r="K35" s="18">
        <v>0.15570000000000001</v>
      </c>
      <c r="L35" s="17"/>
      <c r="M35" s="17">
        <v>4003419.55</v>
      </c>
      <c r="N35" s="35"/>
    </row>
    <row r="36" spans="1:15" s="36" customFormat="1" ht="12" customHeight="1" x14ac:dyDescent="0.25">
      <c r="A36" s="12" t="s">
        <v>60</v>
      </c>
      <c r="B36" s="7" t="s">
        <v>61</v>
      </c>
      <c r="C36" s="14">
        <v>13821600</v>
      </c>
      <c r="D36" s="7" t="s">
        <v>50</v>
      </c>
      <c r="E36" s="34" t="s">
        <v>62</v>
      </c>
      <c r="F36" s="34" t="s">
        <v>54</v>
      </c>
      <c r="G36" s="15">
        <v>94.061500000000009</v>
      </c>
      <c r="H36" s="15">
        <v>94.102471385367821</v>
      </c>
      <c r="I36" s="16">
        <f t="shared" si="1"/>
        <v>1300080428.4000001</v>
      </c>
      <c r="J36" s="16">
        <f t="shared" si="2"/>
        <v>1300646718.4999998</v>
      </c>
      <c r="K36" s="18">
        <v>0.15898699999999999</v>
      </c>
      <c r="L36" s="17">
        <v>566290.1</v>
      </c>
      <c r="M36" s="17"/>
      <c r="N36" s="35"/>
    </row>
    <row r="37" spans="1:15" s="36" customFormat="1" ht="12" customHeight="1" x14ac:dyDescent="0.25">
      <c r="A37" s="12" t="s">
        <v>60</v>
      </c>
      <c r="B37" s="7" t="s">
        <v>61</v>
      </c>
      <c r="C37" s="14">
        <v>13821600</v>
      </c>
      <c r="D37" s="7" t="s">
        <v>50</v>
      </c>
      <c r="E37" s="34" t="s">
        <v>54</v>
      </c>
      <c r="F37" s="34" t="s">
        <v>54</v>
      </c>
      <c r="G37" s="15">
        <v>94.061500000000009</v>
      </c>
      <c r="H37" s="15">
        <v>94.102471385367821</v>
      </c>
      <c r="I37" s="16">
        <f t="shared" si="1"/>
        <v>1300080428.4000001</v>
      </c>
      <c r="J37" s="16">
        <f t="shared" si="2"/>
        <v>1300646718.4999998</v>
      </c>
      <c r="K37" s="18">
        <v>0.15898699999999999</v>
      </c>
      <c r="L37" s="17"/>
      <c r="M37" s="17"/>
      <c r="N37" s="35"/>
    </row>
    <row r="38" spans="1:15" s="36" customFormat="1" ht="12" customHeight="1" x14ac:dyDescent="0.25">
      <c r="A38" s="12" t="s">
        <v>63</v>
      </c>
      <c r="B38" s="7" t="s">
        <v>64</v>
      </c>
      <c r="C38" s="14">
        <v>778180</v>
      </c>
      <c r="D38" s="7" t="s">
        <v>50</v>
      </c>
      <c r="E38" s="34" t="s">
        <v>62</v>
      </c>
      <c r="F38" s="34" t="s">
        <v>54</v>
      </c>
      <c r="G38" s="15">
        <v>938.48500000000001</v>
      </c>
      <c r="H38" s="15">
        <v>938.89355723611504</v>
      </c>
      <c r="I38" s="16">
        <f t="shared" si="1"/>
        <v>730310257.29999995</v>
      </c>
      <c r="J38" s="16">
        <f t="shared" si="2"/>
        <v>730628188.37</v>
      </c>
      <c r="K38" s="18">
        <v>0.15889799999999998</v>
      </c>
      <c r="L38" s="17">
        <v>317931.07</v>
      </c>
      <c r="M38" s="17"/>
      <c r="N38" s="35"/>
    </row>
    <row r="39" spans="1:15" s="36" customFormat="1" ht="12" customHeight="1" x14ac:dyDescent="0.25">
      <c r="A39" s="12" t="s">
        <v>63</v>
      </c>
      <c r="B39" s="7" t="s">
        <v>64</v>
      </c>
      <c r="C39" s="14">
        <v>778180</v>
      </c>
      <c r="D39" s="7" t="s">
        <v>50</v>
      </c>
      <c r="E39" s="34" t="s">
        <v>54</v>
      </c>
      <c r="F39" s="34" t="s">
        <v>54</v>
      </c>
      <c r="G39" s="15">
        <v>938.48500000000001</v>
      </c>
      <c r="H39" s="15">
        <v>938.89355723611504</v>
      </c>
      <c r="I39" s="16">
        <f t="shared" si="1"/>
        <v>730310257.29999995</v>
      </c>
      <c r="J39" s="16">
        <f t="shared" si="2"/>
        <v>730628188.37</v>
      </c>
      <c r="K39" s="18">
        <v>0.15889799999999998</v>
      </c>
      <c r="L39" s="17"/>
      <c r="M39" s="17"/>
      <c r="N39" s="35"/>
    </row>
    <row r="40" spans="1:15" s="36" customFormat="1" ht="11.25" hidden="1" x14ac:dyDescent="0.25">
      <c r="A40" s="7"/>
      <c r="B40" s="7"/>
      <c r="C40" s="7"/>
      <c r="D40" s="7"/>
      <c r="E40" s="37"/>
      <c r="F40" s="37"/>
      <c r="G40" s="7"/>
      <c r="H40" s="7"/>
      <c r="I40" s="8"/>
      <c r="J40" s="8"/>
      <c r="K40" s="7"/>
      <c r="L40" s="9"/>
      <c r="M40" s="9"/>
      <c r="N40" s="35"/>
    </row>
    <row r="41" spans="1:15" x14ac:dyDescent="0.25">
      <c r="A41" s="1" t="s">
        <v>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>
        <f>SUM(M32:M40)</f>
        <v>2030281254.5899999</v>
      </c>
      <c r="N41" s="38"/>
      <c r="O41" s="29"/>
    </row>
    <row r="43" spans="1:15" x14ac:dyDescent="0.25">
      <c r="A43" s="39" t="s">
        <v>28</v>
      </c>
      <c r="B43" s="33"/>
      <c r="D43" s="33"/>
      <c r="F43" s="28"/>
      <c r="G43" s="28"/>
    </row>
    <row r="44" spans="1:15" ht="22.5" x14ac:dyDescent="0.25">
      <c r="A44" s="19" t="s">
        <v>6</v>
      </c>
      <c r="B44" s="19" t="s">
        <v>29</v>
      </c>
      <c r="C44" s="19" t="s">
        <v>17</v>
      </c>
      <c r="D44" s="19" t="s">
        <v>30</v>
      </c>
      <c r="E44" s="19" t="s">
        <v>16</v>
      </c>
      <c r="F44" s="19" t="s">
        <v>31</v>
      </c>
      <c r="G44" s="19" t="s">
        <v>32</v>
      </c>
    </row>
    <row r="45" spans="1:15" x14ac:dyDescent="0.25">
      <c r="A45" s="57">
        <f ca="1">IF(OFFSET(A45,-1,0)="№ п/п",1,OFFSET(A45,-1,0)+1)</f>
        <v>1</v>
      </c>
      <c r="B45" s="40" t="s">
        <v>49</v>
      </c>
      <c r="C45" s="52" t="s">
        <v>50</v>
      </c>
      <c r="D45" s="53" t="s">
        <v>51</v>
      </c>
      <c r="E45" s="54">
        <v>1100000</v>
      </c>
      <c r="F45" s="55">
        <v>1100000000</v>
      </c>
      <c r="G45" s="56">
        <v>1100000000</v>
      </c>
      <c r="H45" s="33"/>
    </row>
    <row r="46" spans="1:15" x14ac:dyDescent="0.25">
      <c r="A46" s="57">
        <f ca="1">IF(OFFSET(A46,-1,0)="№ п/п",1,OFFSET(A46,-1,0)+1)</f>
        <v>2</v>
      </c>
      <c r="B46" s="40" t="s">
        <v>49</v>
      </c>
      <c r="C46" s="52" t="s">
        <v>50</v>
      </c>
      <c r="D46" s="53" t="s">
        <v>51</v>
      </c>
      <c r="E46" s="54">
        <v>1</v>
      </c>
      <c r="F46" s="55">
        <v>76285000</v>
      </c>
      <c r="G46" s="56">
        <v>76285000</v>
      </c>
      <c r="H46" s="33"/>
    </row>
    <row r="47" spans="1:15" hidden="1" x14ac:dyDescent="0.25">
      <c r="B47" s="42"/>
      <c r="C47" s="43"/>
      <c r="D47" s="44"/>
      <c r="G47" s="45"/>
      <c r="H47" s="33"/>
    </row>
    <row r="48" spans="1:15" x14ac:dyDescent="0.25">
      <c r="G48" s="46">
        <f>SUM(G45:G47)</f>
        <v>1176285000</v>
      </c>
    </row>
    <row r="50" spans="1:4" x14ac:dyDescent="0.25">
      <c r="A50" s="47" t="s">
        <v>13</v>
      </c>
      <c r="B50" s="48">
        <f>+L24+B27+M41+G48</f>
        <v>32308822653.586903</v>
      </c>
      <c r="C50" s="32">
        <v>32308822653.586926</v>
      </c>
      <c r="D50" s="29">
        <f>B50-C50</f>
        <v>0</v>
      </c>
    </row>
    <row r="53" spans="1:4" x14ac:dyDescent="0.25">
      <c r="A53" s="24" t="s">
        <v>46</v>
      </c>
      <c r="B53" s="33"/>
    </row>
    <row r="54" spans="1:4" x14ac:dyDescent="0.25">
      <c r="A54" s="49" t="s">
        <v>35</v>
      </c>
      <c r="B54" s="50"/>
    </row>
    <row r="55" spans="1:4" x14ac:dyDescent="0.25">
      <c r="A55" s="49" t="s">
        <v>36</v>
      </c>
      <c r="B55" s="41"/>
    </row>
    <row r="56" spans="1:4" x14ac:dyDescent="0.25">
      <c r="A56" s="49" t="s">
        <v>37</v>
      </c>
      <c r="B56" s="41">
        <v>270745.44</v>
      </c>
    </row>
    <row r="57" spans="1:4" x14ac:dyDescent="0.25">
      <c r="A57" s="49" t="s">
        <v>38</v>
      </c>
      <c r="B57" s="41"/>
    </row>
    <row r="58" spans="1:4" x14ac:dyDescent="0.25">
      <c r="A58" s="49" t="s">
        <v>39</v>
      </c>
      <c r="B58" s="50"/>
    </row>
    <row r="59" spans="1:4" x14ac:dyDescent="0.25">
      <c r="A59" s="49" t="s">
        <v>40</v>
      </c>
      <c r="B59" s="51">
        <v>44705.720000000008</v>
      </c>
    </row>
    <row r="60" spans="1:4" x14ac:dyDescent="0.25">
      <c r="A60" s="49" t="s">
        <v>41</v>
      </c>
      <c r="B60" s="51">
        <v>22298.989999999998</v>
      </c>
    </row>
    <row r="61" spans="1:4" x14ac:dyDescent="0.25">
      <c r="A61" s="49" t="s">
        <v>42</v>
      </c>
      <c r="B61" s="41"/>
    </row>
    <row r="62" spans="1:4" x14ac:dyDescent="0.25">
      <c r="A62" s="49" t="s">
        <v>43</v>
      </c>
      <c r="B62" s="41"/>
    </row>
    <row r="63" spans="1:4" x14ac:dyDescent="0.25">
      <c r="A63" s="49" t="s">
        <v>44</v>
      </c>
      <c r="B63" s="51"/>
    </row>
    <row r="64" spans="1:4" x14ac:dyDescent="0.25">
      <c r="A64" s="49" t="s">
        <v>45</v>
      </c>
      <c r="B64" s="50">
        <f>SUM(B54:B63)</f>
        <v>337750.15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2025-09-18T05:16:36Z</dcterms:created>
  <dcterms:modified xsi:type="dcterms:W3CDTF">2025-09-18T10:26:45Z</dcterms:modified>
</cp:coreProperties>
</file>