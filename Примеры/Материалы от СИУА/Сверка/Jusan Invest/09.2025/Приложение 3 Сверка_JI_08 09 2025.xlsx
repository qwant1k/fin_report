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B75E98AD-3C8E-427E-A22E-73366FB952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ДУ!$28:$28</definedName>
    <definedName name="__mdDATAOther__">ДУ!$44:$44</definedName>
    <definedName name="__mdDATAREPO__">ДУ!$33:$33</definedName>
    <definedName name="__mdDATASecurities__">ДУ!$4:$4</definedName>
    <definedName name="_FilterDatabase" localSheetId="0" hidden="1">ДУ!$A$3:$M$25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I44" i="1"/>
  <c r="O40" i="1"/>
  <c r="O25" i="1"/>
  <c r="D28" i="1"/>
  <c r="B62" i="1"/>
  <c r="G46" i="1"/>
  <c r="A44" i="1"/>
  <c r="M40" i="1"/>
  <c r="J38" i="1"/>
  <c r="I38" i="1"/>
  <c r="J37" i="1"/>
  <c r="I37" i="1"/>
  <c r="J36" i="1"/>
  <c r="I36" i="1"/>
  <c r="J35" i="1"/>
  <c r="I35" i="1"/>
  <c r="J34" i="1"/>
  <c r="I34" i="1"/>
  <c r="J33" i="1"/>
  <c r="I33" i="1"/>
  <c r="L25" i="1"/>
  <c r="M18" i="1" s="1"/>
  <c r="K25" i="1"/>
  <c r="M22" i="1"/>
  <c r="M21" i="1"/>
  <c r="M16" i="1"/>
  <c r="M15" i="1"/>
  <c r="M13" i="1"/>
  <c r="M10" i="1"/>
  <c r="M9" i="1"/>
  <c r="M7" i="1"/>
  <c r="M4" i="1"/>
  <c r="M19" i="1" l="1"/>
  <c r="M8" i="1"/>
  <c r="M14" i="1"/>
  <c r="M20" i="1"/>
  <c r="M5" i="1"/>
  <c r="M11" i="1"/>
  <c r="M17" i="1"/>
  <c r="M23" i="1"/>
  <c r="B48" i="1"/>
  <c r="M6" i="1"/>
  <c r="M12" i="1"/>
</calcChain>
</file>

<file path=xl/sharedStrings.xml><?xml version="1.0" encoding="utf-8"?>
<sst xmlns="http://schemas.openxmlformats.org/spreadsheetml/2006/main" count="167" uniqueCount="127">
  <si>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</si>
  <si>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</si>
  <si>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</si>
  <si>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</si>
  <si>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</si>
  <si>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</si>
  <si>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</si>
  <si>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</si>
  <si>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</si>
  <si>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</si>
  <si>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</si>
  <si>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</si>
  <si>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</si>
  <si>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</si>
  <si>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</si>
  <si>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</si>
  <si>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</si>
  <si>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</si>
  <si>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</si>
  <si>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</si>
  <si>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</si>
  <si>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</si>
  <si>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</si>
  <si>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</si>
  <si>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</si>
  <si>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</si>
  <si>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</si>
  <si>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</si>
  <si>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</si>
  <si>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</si>
  <si>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</si>
  <si>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</si>
  <si>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</si>
  <si>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</si>
  <si>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</si>
  <si>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</si>
  <si>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</si>
  <si>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</si>
  <si>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</si>
  <si>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</si>
  <si>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</si>
  <si>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</si>
  <si>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</si>
  <si>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</si>
  <si>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</si>
  <si>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</si>
  <si>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</si>
  <si>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</si>
  <si>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</si>
  <si>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KZ2D00011863 _EABRb52</t>
  </si>
  <si>
    <t>KZT</t>
  </si>
  <si>
    <t>03.09.2025</t>
  </si>
  <si>
    <t>МИНИСТЕРСТВО ФИНАНСОВ РК, ГЦБ, MUM192_0001</t>
  </si>
  <si>
    <t>KZKD00000477</t>
  </si>
  <si>
    <t>05.09.2025</t>
  </si>
  <si>
    <t>08.09.2025</t>
  </si>
  <si>
    <t>МИНИСТЕРСТВО ФИНАНСОВ РК, ОБЛИГАЦИИ, MFKZ.0435</t>
  </si>
  <si>
    <t>XS2914770545</t>
  </si>
  <si>
    <t>МИНИСТЕРСТВО ФИНАНСОВ РК, ГЦБ, KZ_24_3207</t>
  </si>
  <si>
    <t>XS3093655341</t>
  </si>
  <si>
    <t>09.09.2025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</si>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</sst>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0" zoomScale="90" zoomScaleNormal="90" workbookViewId="0">
      <selection activeCell="D48" sqref="D48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63</v>
      </c>
      <c r="B4" s="13" t="s">
        <v>64</v>
      </c>
      <c r="C4" s="10">
        <v>3020000</v>
      </c>
      <c r="D4" s="11">
        <v>3020000000</v>
      </c>
      <c r="E4" s="3">
        <v>0.1067</v>
      </c>
      <c r="F4" s="4" t="s">
        <v>65</v>
      </c>
      <c r="G4" s="4" t="s">
        <v>66</v>
      </c>
      <c r="H4" s="11">
        <v>2930617060.0000029</v>
      </c>
      <c r="I4" s="11">
        <v>97.924599999999998</v>
      </c>
      <c r="J4" s="11">
        <v>99.317627777777759</v>
      </c>
      <c r="K4" s="11">
        <v>42069438.888888881</v>
      </c>
      <c r="L4" s="11">
        <v>2999392358.8888879</v>
      </c>
      <c r="M4" s="6">
        <f t="shared" ref="M4:M23" si="0">L4/$L$25</f>
        <v>9.9364074135524269E-2</v>
      </c>
    </row>
    <row r="5" spans="1:13" x14ac:dyDescent="0.25">
      <c r="A5" s="1" t="s">
        <v>67</v>
      </c>
      <c r="B5" s="13" t="s">
        <v>68</v>
      </c>
      <c r="C5" s="10">
        <v>2265000</v>
      </c>
      <c r="D5" s="11">
        <v>2265000000</v>
      </c>
      <c r="E5" s="3">
        <v>0.10550000000000001</v>
      </c>
      <c r="F5" s="4" t="s">
        <v>65</v>
      </c>
      <c r="G5" s="4" t="s">
        <v>69</v>
      </c>
      <c r="H5" s="11">
        <v>2039188560.0000031</v>
      </c>
      <c r="I5" s="11">
        <v>82.945999999999998</v>
      </c>
      <c r="J5" s="11">
        <v>84.118222222222215</v>
      </c>
      <c r="K5" s="11">
        <v>26550833.333333328</v>
      </c>
      <c r="L5" s="11">
        <v>1905277733.333333</v>
      </c>
      <c r="M5" s="6">
        <f t="shared" si="0"/>
        <v>6.3118170379625929E-2</v>
      </c>
    </row>
    <row r="6" spans="1:13" x14ac:dyDescent="0.25">
      <c r="A6" s="1" t="s">
        <v>67</v>
      </c>
      <c r="B6" s="13" t="s">
        <v>68</v>
      </c>
      <c r="C6" s="10">
        <v>1551646</v>
      </c>
      <c r="D6" s="11">
        <v>1551646000</v>
      </c>
      <c r="E6" s="3">
        <v>0.10550000000000001</v>
      </c>
      <c r="F6" s="4" t="s">
        <v>70</v>
      </c>
      <c r="G6" s="4" t="s">
        <v>69</v>
      </c>
      <c r="H6" s="11">
        <v>1395452658.7</v>
      </c>
      <c r="I6" s="11">
        <v>82.945999999999998</v>
      </c>
      <c r="J6" s="11">
        <v>84.118222222222471</v>
      </c>
      <c r="K6" s="11">
        <v>18188739.22222222</v>
      </c>
      <c r="L6" s="11">
        <v>1305217030.382226</v>
      </c>
      <c r="M6" s="6">
        <f t="shared" si="0"/>
        <v>4.3239318585812515E-2</v>
      </c>
    </row>
    <row r="7" spans="1:13" x14ac:dyDescent="0.25">
      <c r="A7" s="1" t="s">
        <v>67</v>
      </c>
      <c r="B7" s="13" t="s">
        <v>68</v>
      </c>
      <c r="C7" s="10">
        <v>545692</v>
      </c>
      <c r="D7" s="11">
        <v>545692000</v>
      </c>
      <c r="E7" s="3">
        <v>0.10550000000000001</v>
      </c>
      <c r="F7" s="4" t="s">
        <v>71</v>
      </c>
      <c r="G7" s="4" t="s">
        <v>69</v>
      </c>
      <c r="H7" s="11">
        <v>449784993.92000002</v>
      </c>
      <c r="I7" s="11">
        <v>82.945999999999998</v>
      </c>
      <c r="J7" s="11">
        <v>84.118222222222215</v>
      </c>
      <c r="K7" s="11">
        <v>6396722.8888888899</v>
      </c>
      <c r="L7" s="11">
        <v>459026409.20888901</v>
      </c>
      <c r="M7" s="6">
        <f t="shared" si="0"/>
        <v>1.5206658115142978E-2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65</v>
      </c>
      <c r="G8" s="4" t="s">
        <v>74</v>
      </c>
      <c r="H8" s="11">
        <v>2073109200</v>
      </c>
      <c r="I8" s="11">
        <v>86.962400000000002</v>
      </c>
      <c r="J8" s="11">
        <v>91.180177777777772</v>
      </c>
      <c r="K8" s="11">
        <v>95532666.666666657</v>
      </c>
      <c r="L8" s="11">
        <v>2065231026.666666</v>
      </c>
      <c r="M8" s="6">
        <f t="shared" si="0"/>
        <v>6.8417113963946549E-2</v>
      </c>
    </row>
    <row r="9" spans="1:13" x14ac:dyDescent="0.25">
      <c r="A9" s="1" t="s">
        <v>75</v>
      </c>
      <c r="B9" s="13" t="s">
        <v>76</v>
      </c>
      <c r="C9" s="10">
        <v>2265000</v>
      </c>
      <c r="D9" s="11">
        <v>2265000000</v>
      </c>
      <c r="E9" s="3">
        <v>0.11</v>
      </c>
      <c r="F9" s="4" t="s">
        <v>65</v>
      </c>
      <c r="G9" s="4" t="s">
        <v>77</v>
      </c>
      <c r="H9" s="11">
        <v>2080889475</v>
      </c>
      <c r="I9" s="11">
        <v>84.967700000000008</v>
      </c>
      <c r="J9" s="11">
        <v>89.795477777777762</v>
      </c>
      <c r="K9" s="11">
        <v>109349166.666667</v>
      </c>
      <c r="L9" s="11">
        <v>2033867571.666666</v>
      </c>
      <c r="M9" s="6">
        <f t="shared" si="0"/>
        <v>6.737810329282494E-2</v>
      </c>
    </row>
    <row r="10" spans="1:13" x14ac:dyDescent="0.25">
      <c r="A10" s="1" t="s">
        <v>78</v>
      </c>
      <c r="B10" s="13" t="s">
        <v>79</v>
      </c>
      <c r="C10" s="10">
        <v>2265000</v>
      </c>
      <c r="D10" s="11">
        <v>2265000000</v>
      </c>
      <c r="E10" s="3">
        <v>0.10300000000000001</v>
      </c>
      <c r="F10" s="4" t="s">
        <v>65</v>
      </c>
      <c r="G10" s="4" t="s">
        <v>80</v>
      </c>
      <c r="H10" s="11">
        <v>1963990560.0000031</v>
      </c>
      <c r="I10" s="11">
        <v>77.487800000000007</v>
      </c>
      <c r="J10" s="11">
        <v>82.380299999999991</v>
      </c>
      <c r="K10" s="11">
        <v>110815125</v>
      </c>
      <c r="L10" s="11">
        <v>1865913795</v>
      </c>
      <c r="M10" s="6">
        <f t="shared" si="0"/>
        <v>6.1814119152307188E-2</v>
      </c>
    </row>
    <row r="11" spans="1:13" x14ac:dyDescent="0.25">
      <c r="A11" s="1" t="s">
        <v>81</v>
      </c>
      <c r="B11" s="13" t="s">
        <v>82</v>
      </c>
      <c r="C11" s="10">
        <v>2265000</v>
      </c>
      <c r="D11" s="11">
        <v>2265000000</v>
      </c>
      <c r="E11" s="3">
        <v>8.4500000000000006E-2</v>
      </c>
      <c r="F11" s="4" t="s">
        <v>65</v>
      </c>
      <c r="G11" s="4" t="s">
        <v>83</v>
      </c>
      <c r="H11" s="11">
        <v>1740247065.0000031</v>
      </c>
      <c r="I11" s="11">
        <v>67.943600000000004</v>
      </c>
      <c r="J11" s="11">
        <v>71.27665555555555</v>
      </c>
      <c r="K11" s="11">
        <v>75493708.333333328</v>
      </c>
      <c r="L11" s="11">
        <v>1614416248.333333</v>
      </c>
      <c r="M11" s="6">
        <f t="shared" si="0"/>
        <v>5.3482491315145347E-2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0.10650000000000001</v>
      </c>
      <c r="F12" s="4" t="s">
        <v>65</v>
      </c>
      <c r="G12" s="4" t="s">
        <v>86</v>
      </c>
      <c r="H12" s="11">
        <v>1967775375</v>
      </c>
      <c r="I12" s="11">
        <v>75.873900000000006</v>
      </c>
      <c r="J12" s="11">
        <v>77.116399999999999</v>
      </c>
      <c r="K12" s="11">
        <v>28142625</v>
      </c>
      <c r="L12" s="11">
        <v>1746686460</v>
      </c>
      <c r="M12" s="6">
        <f t="shared" si="0"/>
        <v>5.7864347886533336E-2</v>
      </c>
    </row>
    <row r="13" spans="1:13" x14ac:dyDescent="0.25">
      <c r="A13" s="1" t="s">
        <v>87</v>
      </c>
      <c r="B13" s="13" t="s">
        <v>88</v>
      </c>
      <c r="C13" s="10">
        <v>2265000</v>
      </c>
      <c r="D13" s="11">
        <v>2265000000</v>
      </c>
      <c r="E13" s="3">
        <v>8.0700000000000008E-2</v>
      </c>
      <c r="F13" s="4" t="s">
        <v>65</v>
      </c>
      <c r="G13" s="4" t="s">
        <v>89</v>
      </c>
      <c r="H13" s="11">
        <v>1622351550</v>
      </c>
      <c r="I13" s="11">
        <v>61.449400000000004</v>
      </c>
      <c r="J13" s="11">
        <v>64.049733333333322</v>
      </c>
      <c r="K13" s="11">
        <v>58897550</v>
      </c>
      <c r="L13" s="11">
        <v>1450726460</v>
      </c>
      <c r="M13" s="6">
        <f t="shared" si="0"/>
        <v>4.8059764870244076E-2</v>
      </c>
    </row>
    <row r="14" spans="1:13" x14ac:dyDescent="0.25">
      <c r="A14" s="1" t="s">
        <v>90</v>
      </c>
      <c r="B14" s="13" t="s">
        <v>91</v>
      </c>
      <c r="C14" s="10">
        <v>2265000</v>
      </c>
      <c r="D14" s="11">
        <v>2265000000</v>
      </c>
      <c r="E14" s="3">
        <v>8.0700000000000008E-2</v>
      </c>
      <c r="F14" s="4" t="s">
        <v>65</v>
      </c>
      <c r="G14" s="4" t="s">
        <v>92</v>
      </c>
      <c r="H14" s="11">
        <v>1597764975</v>
      </c>
      <c r="I14" s="11">
        <v>59.996300000000005</v>
      </c>
      <c r="J14" s="11">
        <v>64.905549999999991</v>
      </c>
      <c r="K14" s="11">
        <v>111194512.5</v>
      </c>
      <c r="L14" s="11">
        <v>1470110707.5</v>
      </c>
      <c r="M14" s="6">
        <f t="shared" si="0"/>
        <v>4.870192754027397E-2</v>
      </c>
    </row>
    <row r="15" spans="1:13" x14ac:dyDescent="0.25">
      <c r="A15" s="1" t="s">
        <v>93</v>
      </c>
      <c r="B15" s="13" t="s">
        <v>94</v>
      </c>
      <c r="C15" s="10">
        <v>3775000</v>
      </c>
      <c r="D15" s="11">
        <v>3775000000</v>
      </c>
      <c r="E15" s="3">
        <v>5.4900000000000004E-2</v>
      </c>
      <c r="F15" s="4" t="s">
        <v>65</v>
      </c>
      <c r="G15" s="4" t="s">
        <v>95</v>
      </c>
      <c r="H15" s="11">
        <v>3136670150</v>
      </c>
      <c r="I15" s="11">
        <v>85.261800000000008</v>
      </c>
      <c r="J15" s="11">
        <v>87.71705</v>
      </c>
      <c r="K15" s="11">
        <v>92685687.5</v>
      </c>
      <c r="L15" s="11">
        <v>3311318637.5</v>
      </c>
      <c r="M15" s="6">
        <f t="shared" si="0"/>
        <v>0.10969758911594332</v>
      </c>
    </row>
    <row r="16" spans="1:13" x14ac:dyDescent="0.25">
      <c r="A16" s="1" t="s">
        <v>96</v>
      </c>
      <c r="B16" s="13" t="s">
        <v>97</v>
      </c>
      <c r="C16" s="10">
        <v>2803860</v>
      </c>
      <c r="D16" s="11">
        <v>2803860000</v>
      </c>
      <c r="E16" s="3">
        <v>5.5E-2</v>
      </c>
      <c r="F16" s="4" t="s">
        <v>98</v>
      </c>
      <c r="G16" s="4" t="s">
        <v>99</v>
      </c>
      <c r="H16" s="11">
        <v>1773018067.1400001</v>
      </c>
      <c r="I16" s="11">
        <v>56.674200000000006</v>
      </c>
      <c r="J16" s="11">
        <v>58.721422222222216</v>
      </c>
      <c r="K16" s="11">
        <v>57401245</v>
      </c>
      <c r="L16" s="11">
        <v>1646466469.1199999</v>
      </c>
      <c r="M16" s="6">
        <f t="shared" si="0"/>
        <v>5.4544253209973283E-2</v>
      </c>
    </row>
    <row r="17" spans="1:15" x14ac:dyDescent="0.25">
      <c r="A17" s="1" t="s">
        <v>100</v>
      </c>
      <c r="B17" s="13" t="s">
        <v>101</v>
      </c>
      <c r="C17" s="10">
        <v>1038480</v>
      </c>
      <c r="D17" s="11">
        <v>1038480000</v>
      </c>
      <c r="E17" s="3">
        <v>0.12</v>
      </c>
      <c r="F17" s="4" t="s">
        <v>98</v>
      </c>
      <c r="G17" s="4" t="s">
        <v>102</v>
      </c>
      <c r="H17" s="11">
        <v>979029096.96000004</v>
      </c>
      <c r="I17" s="11">
        <v>85.320300000000003</v>
      </c>
      <c r="J17" s="11">
        <v>91.35363333333332</v>
      </c>
      <c r="K17" s="11">
        <v>62654960</v>
      </c>
      <c r="L17" s="11">
        <v>948689211.44000006</v>
      </c>
      <c r="M17" s="6">
        <f t="shared" si="0"/>
        <v>3.1428240742740483E-2</v>
      </c>
    </row>
    <row r="18" spans="1:15" x14ac:dyDescent="0.25">
      <c r="A18" s="1" t="s">
        <v>103</v>
      </c>
      <c r="B18" s="13" t="s">
        <v>104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98.246600000000001</v>
      </c>
      <c r="J18" s="11">
        <v>102.93687777777801</v>
      </c>
      <c r="K18" s="11">
        <v>23779192.402777769</v>
      </c>
      <c r="L18" s="11">
        <v>521878647.27677798</v>
      </c>
      <c r="M18" s="6">
        <f t="shared" si="0"/>
        <v>1.7288831334146201E-2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93.705454615247092</v>
      </c>
      <c r="J19" s="11">
        <v>93.904065726358212</v>
      </c>
      <c r="K19" s="11">
        <v>4170833.3333333302</v>
      </c>
      <c r="L19" s="11">
        <v>1971985380.2535219</v>
      </c>
      <c r="M19" s="6">
        <f t="shared" si="0"/>
        <v>6.5328065845399352E-2</v>
      </c>
    </row>
    <row r="20" spans="1:15" x14ac:dyDescent="0.25">
      <c r="A20" s="1" t="s">
        <v>111</v>
      </c>
      <c r="B20" s="13" t="s">
        <v>112</v>
      </c>
      <c r="C20" s="10">
        <v>1100000</v>
      </c>
      <c r="D20" s="11">
        <v>1100000000</v>
      </c>
      <c r="E20" s="3">
        <v>0.13870000000000002</v>
      </c>
      <c r="F20" s="4" t="s">
        <v>113</v>
      </c>
      <c r="G20" s="4" t="s">
        <v>114</v>
      </c>
      <c r="H20" s="11">
        <v>1100000000</v>
      </c>
      <c r="I20" s="11">
        <v>99.957400000000007</v>
      </c>
      <c r="J20" s="11">
        <v>106.81534444444401</v>
      </c>
      <c r="K20" s="11">
        <v>75437388.888888881</v>
      </c>
      <c r="L20" s="11">
        <v>1174968788.8888879</v>
      </c>
      <c r="M20" s="6">
        <f t="shared" si="0"/>
        <v>3.8924445979895757E-2</v>
      </c>
    </row>
    <row r="21" spans="1:15" x14ac:dyDescent="0.25">
      <c r="A21" s="1" t="s">
        <v>115</v>
      </c>
      <c r="B21" s="13" t="s">
        <v>116</v>
      </c>
      <c r="C21" s="10">
        <v>1000000</v>
      </c>
      <c r="D21" s="11">
        <v>1000000000</v>
      </c>
      <c r="E21" s="3">
        <v>0.1389</v>
      </c>
      <c r="F21" s="4" t="s">
        <v>117</v>
      </c>
      <c r="G21" s="4" t="s">
        <v>118</v>
      </c>
      <c r="H21" s="11">
        <v>1000000000</v>
      </c>
      <c r="I21" s="11">
        <v>97.955989836427392</v>
      </c>
      <c r="J21" s="11">
        <v>101.81432316976101</v>
      </c>
      <c r="K21" s="11">
        <v>38583333.333333328</v>
      </c>
      <c r="L21" s="11">
        <v>1018143231.697607</v>
      </c>
      <c r="M21" s="6">
        <f t="shared" si="0"/>
        <v>3.3729118251291448E-2</v>
      </c>
    </row>
    <row r="22" spans="1:15" x14ac:dyDescent="0.25">
      <c r="A22" s="1" t="s">
        <v>119</v>
      </c>
      <c r="B22" s="13" t="s">
        <v>120</v>
      </c>
      <c r="C22" s="10">
        <v>165739</v>
      </c>
      <c r="D22" s="11">
        <v>165739000</v>
      </c>
      <c r="E22" s="3">
        <v>0.125</v>
      </c>
      <c r="F22" s="4" t="s">
        <v>121</v>
      </c>
      <c r="G22" s="4" t="s">
        <v>122</v>
      </c>
      <c r="H22" s="11">
        <v>159596381.18279999</v>
      </c>
      <c r="I22" s="11">
        <v>95.659159097666901</v>
      </c>
      <c r="J22" s="11">
        <v>98.6452702087646</v>
      </c>
      <c r="K22" s="11">
        <v>4949150.6944222199</v>
      </c>
      <c r="L22" s="11">
        <v>163493684.39130399</v>
      </c>
      <c r="M22" s="6">
        <f t="shared" si="0"/>
        <v>5.416229900167371E-3</v>
      </c>
    </row>
    <row r="23" spans="1:15" x14ac:dyDescent="0.25">
      <c r="A23" s="1" t="s">
        <v>123</v>
      </c>
      <c r="B23" s="13" t="s">
        <v>124</v>
      </c>
      <c r="C23" s="10">
        <v>494987</v>
      </c>
      <c r="D23" s="11">
        <v>494987000</v>
      </c>
      <c r="E23" s="3">
        <v>0.1701</v>
      </c>
      <c r="F23" s="4" t="s">
        <v>125</v>
      </c>
      <c r="G23" s="4" t="s">
        <v>126</v>
      </c>
      <c r="H23" s="11">
        <v>495088472.34249997</v>
      </c>
      <c r="I23" s="11">
        <v>102.1892</v>
      </c>
      <c r="J23" s="11">
        <v>103.65394999999999</v>
      </c>
      <c r="K23" s="11">
        <v>7250322.0824999996</v>
      </c>
      <c r="L23" s="11">
        <v>513073577.48650002</v>
      </c>
      <c r="M23" s="6">
        <f t="shared" si="0"/>
        <v>1.6997136383061592E-2</v>
      </c>
    </row>
    <row r="24" spans="1:15" ht="9.75" hidden="1" customHeight="1" thickBot="1" x14ac:dyDescent="0.3">
      <c r="A24" s="1"/>
      <c r="B24" s="1"/>
      <c r="C24" s="1"/>
      <c r="D24" s="2"/>
      <c r="E24" s="3"/>
      <c r="F24" s="4"/>
      <c r="G24" s="4"/>
      <c r="H24" s="2"/>
      <c r="I24" s="5"/>
      <c r="J24" s="5"/>
      <c r="K24" s="2"/>
      <c r="L24" s="2"/>
      <c r="M24" s="6"/>
    </row>
    <row r="25" spans="1:15" x14ac:dyDescent="0.25">
      <c r="A25" s="1"/>
      <c r="B25" s="21"/>
      <c r="C25" s="1"/>
      <c r="D25" s="22"/>
      <c r="E25" s="13"/>
      <c r="F25" s="22"/>
      <c r="G25" s="22"/>
      <c r="H25" s="22"/>
      <c r="I25" s="22"/>
      <c r="J25" s="22"/>
      <c r="K25" s="22">
        <f>SUM(K4:K24)</f>
        <v>1049543201.7352558</v>
      </c>
      <c r="L25" s="22">
        <f>SUM(L4:L24)</f>
        <v>30185883429.034603</v>
      </c>
      <c r="M25" s="23"/>
      <c r="N25" s="26">
        <v>30185883429.034622</v>
      </c>
      <c r="O25" s="29">
        <f>L25-N25</f>
        <v>0</v>
      </c>
    </row>
    <row r="27" spans="1:15" x14ac:dyDescent="0.25">
      <c r="A27" s="30" t="s">
        <v>26</v>
      </c>
    </row>
    <row r="28" spans="1:15" x14ac:dyDescent="0.25">
      <c r="A28" s="19" t="s">
        <v>50</v>
      </c>
      <c r="B28" s="31">
        <v>8661564.2899999991</v>
      </c>
      <c r="C28" s="58">
        <v>8661564.2899999991</v>
      </c>
      <c r="D28" s="29">
        <f>B28-C28</f>
        <v>0</v>
      </c>
    </row>
    <row r="31" spans="1:15" x14ac:dyDescent="0.25">
      <c r="A31" s="27" t="s">
        <v>9</v>
      </c>
      <c r="E31" s="28"/>
      <c r="F31" s="28"/>
      <c r="G31" s="33"/>
      <c r="H31" s="33"/>
      <c r="I31" s="33"/>
      <c r="J31" s="33"/>
      <c r="K31" s="28"/>
      <c r="L31" s="28"/>
      <c r="M31" s="28"/>
    </row>
    <row r="32" spans="1:15" ht="22.5" x14ac:dyDescent="0.25">
      <c r="A32" s="19" t="s">
        <v>14</v>
      </c>
      <c r="B32" s="19" t="s">
        <v>15</v>
      </c>
      <c r="C32" s="19" t="s">
        <v>16</v>
      </c>
      <c r="D32" s="19" t="s">
        <v>17</v>
      </c>
      <c r="E32" s="19" t="s">
        <v>10</v>
      </c>
      <c r="F32" s="19" t="s">
        <v>11</v>
      </c>
      <c r="G32" s="19" t="s">
        <v>18</v>
      </c>
      <c r="H32" s="19" t="s">
        <v>19</v>
      </c>
      <c r="I32" s="19" t="s">
        <v>20</v>
      </c>
      <c r="J32" s="19" t="s">
        <v>21</v>
      </c>
      <c r="K32" s="19" t="s">
        <v>22</v>
      </c>
      <c r="L32" s="19" t="s">
        <v>24</v>
      </c>
      <c r="M32" s="19" t="s">
        <v>23</v>
      </c>
    </row>
    <row r="33" spans="1:15" s="36" customFormat="1" ht="12" customHeight="1" x14ac:dyDescent="0.25">
      <c r="A33" s="12" t="s">
        <v>52</v>
      </c>
      <c r="B33" s="7" t="s">
        <v>53</v>
      </c>
      <c r="C33" s="14">
        <v>1530100</v>
      </c>
      <c r="D33" s="7" t="s">
        <v>50</v>
      </c>
      <c r="E33" s="34" t="s">
        <v>54</v>
      </c>
      <c r="F33" s="34" t="s">
        <v>55</v>
      </c>
      <c r="G33" s="15">
        <v>850.20100000000002</v>
      </c>
      <c r="H33" s="15">
        <v>851.29810169923508</v>
      </c>
      <c r="I33" s="16">
        <f t="shared" ref="I33:I38" si="1">+C33*G33</f>
        <v>1300892550.1000001</v>
      </c>
      <c r="J33" s="16">
        <f t="shared" ref="J33:J38" si="2">+C33*H33</f>
        <v>1302571225.4099996</v>
      </c>
      <c r="K33" s="18">
        <v>0.156999</v>
      </c>
      <c r="L33" s="17">
        <v>559558.43666666665</v>
      </c>
      <c r="M33" s="17"/>
      <c r="N33" s="35"/>
    </row>
    <row r="34" spans="1:15" s="36" customFormat="1" ht="12" customHeight="1" x14ac:dyDescent="0.25">
      <c r="A34" s="12" t="s">
        <v>52</v>
      </c>
      <c r="B34" s="7" t="s">
        <v>53</v>
      </c>
      <c r="C34" s="14">
        <v>1530100</v>
      </c>
      <c r="D34" s="7" t="s">
        <v>50</v>
      </c>
      <c r="E34" s="34" t="s">
        <v>55</v>
      </c>
      <c r="F34" s="34" t="s">
        <v>55</v>
      </c>
      <c r="G34" s="15">
        <v>850.20100000000002</v>
      </c>
      <c r="H34" s="15">
        <v>851.29810169923508</v>
      </c>
      <c r="I34" s="16">
        <f t="shared" si="1"/>
        <v>1300892550.1000001</v>
      </c>
      <c r="J34" s="16">
        <f t="shared" si="2"/>
        <v>1302571225.4099996</v>
      </c>
      <c r="K34" s="18">
        <v>0.156999</v>
      </c>
      <c r="L34" s="17"/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782127</v>
      </c>
      <c r="D35" s="7" t="s">
        <v>50</v>
      </c>
      <c r="E35" s="34" t="s">
        <v>54</v>
      </c>
      <c r="F35" s="34" t="s">
        <v>55</v>
      </c>
      <c r="G35" s="15">
        <v>540.88229999731504</v>
      </c>
      <c r="H35" s="15">
        <v>541.58470605157504</v>
      </c>
      <c r="I35" s="16">
        <f t="shared" si="1"/>
        <v>423038650.65000004</v>
      </c>
      <c r="J35" s="16">
        <f t="shared" si="2"/>
        <v>423588021.39000022</v>
      </c>
      <c r="K35" s="18">
        <v>0.158</v>
      </c>
      <c r="L35" s="17">
        <v>183123.58</v>
      </c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782127</v>
      </c>
      <c r="D36" s="7" t="s">
        <v>50</v>
      </c>
      <c r="E36" s="34" t="s">
        <v>55</v>
      </c>
      <c r="F36" s="34" t="s">
        <v>55</v>
      </c>
      <c r="G36" s="15">
        <v>540.88229999731504</v>
      </c>
      <c r="H36" s="15">
        <v>541.58470605157504</v>
      </c>
      <c r="I36" s="16">
        <f t="shared" si="1"/>
        <v>423038650.65000004</v>
      </c>
      <c r="J36" s="16">
        <f t="shared" si="2"/>
        <v>423588021.39000022</v>
      </c>
      <c r="K36" s="18">
        <v>0.158</v>
      </c>
      <c r="L36" s="17"/>
      <c r="M36" s="17"/>
      <c r="N36" s="35"/>
    </row>
    <row r="37" spans="1:15" s="36" customFormat="1" ht="12" customHeight="1" x14ac:dyDescent="0.25">
      <c r="A37" s="12" t="s">
        <v>58</v>
      </c>
      <c r="B37" s="7" t="s">
        <v>59</v>
      </c>
      <c r="C37" s="14">
        <v>767618</v>
      </c>
      <c r="D37" s="7" t="s">
        <v>50</v>
      </c>
      <c r="E37" s="34" t="s">
        <v>55</v>
      </c>
      <c r="F37" s="34" t="s">
        <v>60</v>
      </c>
      <c r="G37" s="15">
        <v>549.85160000156304</v>
      </c>
      <c r="H37" s="15">
        <v>550.09112288925007</v>
      </c>
      <c r="I37" s="16">
        <f t="shared" si="1"/>
        <v>422075985.48999983</v>
      </c>
      <c r="J37" s="16">
        <f t="shared" si="2"/>
        <v>422259847.57000035</v>
      </c>
      <c r="K37" s="18">
        <v>0.158999</v>
      </c>
      <c r="L37" s="17"/>
      <c r="M37" s="17">
        <v>422075985.49000001</v>
      </c>
      <c r="N37" s="35"/>
    </row>
    <row r="38" spans="1:15" s="36" customFormat="1" ht="12" customHeight="1" x14ac:dyDescent="0.25">
      <c r="A38" s="12" t="s">
        <v>61</v>
      </c>
      <c r="B38" s="7" t="s">
        <v>62</v>
      </c>
      <c r="C38" s="14">
        <v>1380600</v>
      </c>
      <c r="D38" s="7" t="s">
        <v>50</v>
      </c>
      <c r="E38" s="34" t="s">
        <v>55</v>
      </c>
      <c r="F38" s="34" t="s">
        <v>60</v>
      </c>
      <c r="G38" s="15">
        <v>942.49900000000002</v>
      </c>
      <c r="H38" s="15">
        <v>942.90827438070403</v>
      </c>
      <c r="I38" s="16">
        <f t="shared" si="1"/>
        <v>1301214119.4000001</v>
      </c>
      <c r="J38" s="16">
        <f t="shared" si="2"/>
        <v>1301779163.6099999</v>
      </c>
      <c r="K38" s="18">
        <v>0.158499</v>
      </c>
      <c r="L38" s="17"/>
      <c r="M38" s="17">
        <v>1301214119.4000001</v>
      </c>
      <c r="N38" s="35"/>
    </row>
    <row r="39" spans="1:15" s="36" customFormat="1" ht="11.25" hidden="1" x14ac:dyDescent="0.25">
      <c r="A39" s="7"/>
      <c r="B39" s="7"/>
      <c r="C39" s="7"/>
      <c r="D39" s="7"/>
      <c r="E39" s="37"/>
      <c r="F39" s="37"/>
      <c r="G39" s="7"/>
      <c r="H39" s="7"/>
      <c r="I39" s="8"/>
      <c r="J39" s="8"/>
      <c r="K39" s="7"/>
      <c r="L39" s="9"/>
      <c r="M39" s="9"/>
      <c r="N39" s="35"/>
    </row>
    <row r="40" spans="1:15" x14ac:dyDescent="0.25">
      <c r="A40" s="1" t="s">
        <v>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>
        <f>SUM(M33:M39)</f>
        <v>1723290104.8900001</v>
      </c>
      <c r="N40" s="38">
        <v>1723290104.8900001</v>
      </c>
      <c r="O40" s="29">
        <f>M40-N40</f>
        <v>0</v>
      </c>
    </row>
    <row r="42" spans="1:15" x14ac:dyDescent="0.25">
      <c r="A42" s="39" t="s">
        <v>28</v>
      </c>
      <c r="B42" s="33"/>
      <c r="D42" s="33"/>
      <c r="F42" s="28"/>
      <c r="G42" s="28"/>
    </row>
    <row r="43" spans="1:15" ht="22.5" x14ac:dyDescent="0.25">
      <c r="A43" s="19" t="s">
        <v>6</v>
      </c>
      <c r="B43" s="19" t="s">
        <v>29</v>
      </c>
      <c r="C43" s="19" t="s">
        <v>17</v>
      </c>
      <c r="D43" s="19" t="s">
        <v>30</v>
      </c>
      <c r="E43" s="19" t="s">
        <v>16</v>
      </c>
      <c r="F43" s="19" t="s">
        <v>31</v>
      </c>
      <c r="G43" s="19" t="s">
        <v>32</v>
      </c>
    </row>
    <row r="44" spans="1:15" x14ac:dyDescent="0.25">
      <c r="A44" s="57">
        <f ca="1">IF(OFFSET(A44,-1,0)="№ п/п",1,OFFSET(A44,-1,0)+1)</f>
        <v>1</v>
      </c>
      <c r="B44" s="40" t="s">
        <v>49</v>
      </c>
      <c r="C44" s="52" t="s">
        <v>50</v>
      </c>
      <c r="D44" s="53" t="s">
        <v>51</v>
      </c>
      <c r="E44" s="54">
        <v>2100000</v>
      </c>
      <c r="F44" s="55">
        <v>300300000</v>
      </c>
      <c r="G44" s="56">
        <v>300300000</v>
      </c>
      <c r="H44" s="58">
        <v>300300000</v>
      </c>
      <c r="I44" s="29">
        <f>G44-H44</f>
        <v>0</v>
      </c>
    </row>
    <row r="45" spans="1:15" hidden="1" x14ac:dyDescent="0.25">
      <c r="B45" s="42"/>
      <c r="C45" s="43"/>
      <c r="D45" s="44"/>
      <c r="G45" s="45"/>
      <c r="H45" s="33"/>
    </row>
    <row r="46" spans="1:15" x14ac:dyDescent="0.25">
      <c r="G46" s="46">
        <f>SUM(G44:G45)</f>
        <v>300300000</v>
      </c>
    </row>
    <row r="48" spans="1:15" x14ac:dyDescent="0.25">
      <c r="A48" s="47" t="s">
        <v>13</v>
      </c>
      <c r="B48" s="48">
        <f>+L25+B28+M40+G46</f>
        <v>32218135098.214603</v>
      </c>
      <c r="C48" s="32">
        <v>32218135098.214622</v>
      </c>
      <c r="D48" s="29">
        <f>C48-B48</f>
        <v>0</v>
      </c>
    </row>
    <row r="51" spans="1:2" x14ac:dyDescent="0.25">
      <c r="A51" s="24" t="s">
        <v>46</v>
      </c>
      <c r="B51" s="33"/>
    </row>
    <row r="52" spans="1:2" x14ac:dyDescent="0.25">
      <c r="A52" s="49" t="s">
        <v>35</v>
      </c>
      <c r="B52" s="50"/>
    </row>
    <row r="53" spans="1:2" x14ac:dyDescent="0.25">
      <c r="A53" s="49" t="s">
        <v>36</v>
      </c>
      <c r="B53" s="41"/>
    </row>
    <row r="54" spans="1:2" x14ac:dyDescent="0.25">
      <c r="A54" s="49" t="s">
        <v>37</v>
      </c>
      <c r="B54" s="41">
        <v>131609.91</v>
      </c>
    </row>
    <row r="55" spans="1:2" x14ac:dyDescent="0.25">
      <c r="A55" s="49" t="s">
        <v>38</v>
      </c>
      <c r="B55" s="41"/>
    </row>
    <row r="56" spans="1:2" x14ac:dyDescent="0.25">
      <c r="A56" s="49" t="s">
        <v>39</v>
      </c>
      <c r="B56" s="50"/>
    </row>
    <row r="57" spans="1:2" x14ac:dyDescent="0.25">
      <c r="A57" s="49" t="s">
        <v>40</v>
      </c>
      <c r="B57" s="51">
        <v>18081.09</v>
      </c>
    </row>
    <row r="58" spans="1:2" x14ac:dyDescent="0.25">
      <c r="A58" s="49" t="s">
        <v>41</v>
      </c>
      <c r="B58" s="51">
        <v>9040.56</v>
      </c>
    </row>
    <row r="59" spans="1:2" x14ac:dyDescent="0.25">
      <c r="A59" s="49" t="s">
        <v>42</v>
      </c>
      <c r="B59" s="41"/>
    </row>
    <row r="60" spans="1:2" x14ac:dyDescent="0.25">
      <c r="A60" s="49" t="s">
        <v>43</v>
      </c>
      <c r="B60" s="41"/>
    </row>
    <row r="61" spans="1:2" x14ac:dyDescent="0.25">
      <c r="A61" s="49" t="s">
        <v>44</v>
      </c>
      <c r="B61" s="51"/>
    </row>
    <row r="62" spans="1:2" x14ac:dyDescent="0.25">
      <c r="A62" s="49" t="s">
        <v>45</v>
      </c>
      <c r="B62" s="50">
        <f>SUM(B52:B61)</f>
        <v>158731.56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2025-09-09T05:49:00Z</dcterms:created>
  <dcterms:modified xsi:type="dcterms:W3CDTF">2025-09-09T10:20:14Z</dcterms:modified>
</cp:coreProperties>
</file>