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EFEF11E5-E905-40F5-A5F8-0321A5765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ДУ!$40:$40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I40" i="1"/>
  <c r="O36" i="1"/>
  <c r="O25" i="1"/>
  <c r="D28" i="1"/>
  <c r="B58" i="1"/>
  <c r="G42" i="1"/>
  <c r="A40" i="1"/>
  <c r="M36" i="1"/>
  <c r="J34" i="1"/>
  <c r="I34" i="1"/>
  <c r="J33" i="1"/>
  <c r="I33" i="1"/>
  <c r="L25" i="1"/>
  <c r="M22" i="1" s="1"/>
  <c r="K25" i="1"/>
  <c r="M23" i="1"/>
  <c r="M17" i="1"/>
  <c r="M11" i="1"/>
  <c r="M5" i="1"/>
  <c r="M6" i="1" l="1"/>
  <c r="M12" i="1"/>
  <c r="M18" i="1"/>
  <c r="M8" i="1"/>
  <c r="M14" i="1"/>
  <c r="M20" i="1"/>
  <c r="M9" i="1"/>
  <c r="M15" i="1"/>
  <c r="M21" i="1"/>
  <c r="B44" i="1"/>
  <c r="M7" i="1"/>
  <c r="M13" i="1"/>
  <c r="M19" i="1"/>
  <c r="M4" i="1"/>
  <c r="M10" i="1"/>
  <c r="M16" i="1"/>
</calcChain>
</file>

<file path=xl/sharedStrings.xml><?xml version="1.0" encoding="utf-8"?>
<sst xmlns="http://schemas.openxmlformats.org/spreadsheetml/2006/main" count="147" uniqueCount="123">
  <si>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</si>
  <si>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</si>
  <si>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</si>
  <si>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</si>
  <si>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</si>
  <si>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</si>
  <si>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</si>
  <si>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</si>
  <si>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</si>
  <si>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</si>
  <si>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</si>
  <si>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</si>
  <si>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</si>
  <si>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</si>
  <si>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</si>
  <si>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</si>
  <si>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</si>
  <si>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</si>
  <si>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</si>
  <si>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</si>
  <si>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</si>
  <si>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</si>
  <si>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</si>
  <si>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</si>
  <si>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</si>
  <si>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</si>
  <si>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</si>
  <si>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</si>
  <si>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</si>
  <si>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</si>
  <si>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</si>
  <si>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</si>
  <si>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</si>
  <si>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</si>
  <si>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</si>
  <si>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</si>
  <si>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</si>
  <si>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</si>
  <si>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</si>
  <si>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</si>
  <si>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</si>
  <si>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</si>
  <si>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</si>
  <si>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</si>
  <si>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</si>
  <si>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</si>
  <si>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</si>
  <si>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</si>
  <si>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</si>
  <si>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KZ2D00011863 _EABRb52</t>
  </si>
  <si>
    <t>KZT</t>
  </si>
  <si>
    <t>03.09.2025</t>
  </si>
  <si>
    <t>МИНИСТЕРСТВО ФИНАНСОВ РК, ГЦБ, MUM192_0001</t>
  </si>
  <si>
    <t>KZKD00000477</t>
  </si>
  <si>
    <t>05.09.2025</t>
  </si>
  <si>
    <t>08.09.2025</t>
  </si>
  <si>
    <t>МИНИСТЕРСТВО ФИНАНСОВ РК, ОБЛИГАЦИИ, MFKZ.0435</t>
  </si>
  <si>
    <t>XS2914770545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</si>
  <si>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</si>
  <si>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</si>
  <si>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</si>
  <si>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</si>
  <si>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</si>
  <si>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</si>
  <si>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</si>
  <si>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</si>
  <si>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</si>
  <si>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</si>
  <si>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</si>
  <si>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</si>
  <si>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</si>
  <si>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</si>
  <si>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</si>
  <si>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</si>
  <si>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</si>
  <si>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</si>
  <si>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</si>
  <si>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</si>
  <si>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</si>
  <si>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</si>
  <si>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</si>
  <si>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</si>
  <si>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</si>
  <si>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</si>
  <si>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</si>
  <si>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</si>
  <si>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</si>
  <si>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</si>
  <si>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</si>
  <si>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</si>
  <si>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</si>
  <si>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</si>
  <si>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</si>
  <si>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</si>
  <si>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</si>
  <si>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</si>
  <si>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</si>
  <si>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</si>
  <si>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</si>
  <si>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</si>
  <si>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</si>
  <si>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</si>
  <si>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</si>
  <si>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</si>
  <si>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</si>
  <si>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</si>
  <si>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</si>
  <si>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</si>
  <si>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</si>
  <si>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</si>
  <si>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</si>
  <si>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</si>
  <si>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</si>
  <si>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</si>
  <si>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</si>
  <si>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</si>
  <si>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</si>
  <si>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</si>
  <si>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</si>
  <si>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</si>
  <si>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</si>
  <si>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</si>
  <si>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06.09.2025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</si>
</sst>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20" zoomScale="90" zoomScaleNormal="90" workbookViewId="0">
      <selection activeCell="D45" sqref="D4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97.932400000000001</v>
      </c>
      <c r="J4" s="11">
        <v>99.266149999999982</v>
      </c>
      <c r="K4" s="11">
        <v>40279249.999999993</v>
      </c>
      <c r="L4" s="11">
        <v>2997837729.999999</v>
      </c>
      <c r="M4" s="6">
        <f t="shared" ref="M4:M23" si="0">L4/$L$25</f>
        <v>9.9517778803911328E-2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82.782300000000006</v>
      </c>
      <c r="J5" s="11">
        <v>83.895911111111104</v>
      </c>
      <c r="K5" s="11">
        <v>25223291.66666666</v>
      </c>
      <c r="L5" s="11">
        <v>1900242386.666666</v>
      </c>
      <c r="M5" s="6">
        <f t="shared" si="0"/>
        <v>6.3081433533798997E-2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82.782300000000006</v>
      </c>
      <c r="J6" s="11">
        <v>83.89591111111136</v>
      </c>
      <c r="K6" s="11">
        <v>17279302.26111111</v>
      </c>
      <c r="L6" s="11">
        <v>1301767548.9191151</v>
      </c>
      <c r="M6" s="6">
        <f t="shared" si="0"/>
        <v>4.3214151883878768E-2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82.782300000000006</v>
      </c>
      <c r="J7" s="11">
        <v>83.895911111111104</v>
      </c>
      <c r="K7" s="11">
        <v>6076886.7444444401</v>
      </c>
      <c r="L7" s="11">
        <v>457813275.26044399</v>
      </c>
      <c r="M7" s="6">
        <f t="shared" si="0"/>
        <v>1.5197807341247604E-2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86.759</v>
      </c>
      <c r="J8" s="11">
        <v>90.918999999999983</v>
      </c>
      <c r="K8" s="11">
        <v>94223999.999999985</v>
      </c>
      <c r="L8" s="11">
        <v>2059315349.999999</v>
      </c>
      <c r="M8" s="6">
        <f t="shared" si="0"/>
        <v>6.8362102270558597E-2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84.79440000000001</v>
      </c>
      <c r="J9" s="11">
        <v>89.561066666666662</v>
      </c>
      <c r="K9" s="11">
        <v>107965000</v>
      </c>
      <c r="L9" s="11">
        <v>2028558159.999999</v>
      </c>
      <c r="M9" s="6">
        <f t="shared" si="0"/>
        <v>6.7341070611500159E-2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77.364100000000008</v>
      </c>
      <c r="J10" s="11">
        <v>82.199377777777769</v>
      </c>
      <c r="K10" s="11">
        <v>109519041.666667</v>
      </c>
      <c r="L10" s="11">
        <v>1861815906.666666</v>
      </c>
      <c r="M10" s="6">
        <f t="shared" si="0"/>
        <v>6.18058081393408E-2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67.845500000000001</v>
      </c>
      <c r="J11" s="11">
        <v>71.131611111111113</v>
      </c>
      <c r="K11" s="11">
        <v>74430416.666666657</v>
      </c>
      <c r="L11" s="11">
        <v>1611130991.666666</v>
      </c>
      <c r="M11" s="6">
        <f t="shared" si="0"/>
        <v>5.3483941458302223E-2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75.774900000000002</v>
      </c>
      <c r="J12" s="11">
        <v>76.958233333333325</v>
      </c>
      <c r="K12" s="11">
        <v>26802500</v>
      </c>
      <c r="L12" s="11">
        <v>1743103985</v>
      </c>
      <c r="M12" s="6">
        <f t="shared" si="0"/>
        <v>5.7864985511222593E-2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61.383500000000005</v>
      </c>
      <c r="J13" s="11">
        <v>63.939</v>
      </c>
      <c r="K13" s="11">
        <v>57882075</v>
      </c>
      <c r="L13" s="11">
        <v>1448218350</v>
      </c>
      <c r="M13" s="6">
        <f t="shared" si="0"/>
        <v>4.8075808764694375E-2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59.9375</v>
      </c>
      <c r="J14" s="11">
        <v>64.801916666666656</v>
      </c>
      <c r="K14" s="11">
        <v>110179037.5</v>
      </c>
      <c r="L14" s="11">
        <v>1467763412.5</v>
      </c>
      <c r="M14" s="6">
        <f t="shared" si="0"/>
        <v>4.8724636814030997E-2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85.031400000000005</v>
      </c>
      <c r="J15" s="11">
        <v>87.456149999999994</v>
      </c>
      <c r="K15" s="11">
        <v>91534312.5</v>
      </c>
      <c r="L15" s="11">
        <v>3301469662.5</v>
      </c>
      <c r="M15" s="6">
        <f t="shared" si="0"/>
        <v>0.10959730218636581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56.584099999999999</v>
      </c>
      <c r="J16" s="11">
        <v>58.600766666666658</v>
      </c>
      <c r="K16" s="11">
        <v>56544510</v>
      </c>
      <c r="L16" s="11">
        <v>1643083456.26</v>
      </c>
      <c r="M16" s="6">
        <f t="shared" si="0"/>
        <v>5.4544652073762794E-2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85.171199999999999</v>
      </c>
      <c r="J17" s="11">
        <v>91.137866666666653</v>
      </c>
      <c r="K17" s="11">
        <v>61962640</v>
      </c>
      <c r="L17" s="11">
        <v>946448517.75999999</v>
      </c>
      <c r="M17" s="6">
        <f t="shared" si="0"/>
        <v>3.1418796720438055E-2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98.054100000000005</v>
      </c>
      <c r="J18" s="11">
        <v>102.65910000000001</v>
      </c>
      <c r="K18" s="11">
        <v>23346843.449999999</v>
      </c>
      <c r="L18" s="11">
        <v>520470344.49900001</v>
      </c>
      <c r="M18" s="6">
        <f t="shared" si="0"/>
        <v>1.7277803965008817E-2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93.589976299349303</v>
      </c>
      <c r="J19" s="11">
        <v>93.70914296601596</v>
      </c>
      <c r="K19" s="11">
        <v>2502500</v>
      </c>
      <c r="L19" s="11">
        <v>1967892002.286335</v>
      </c>
      <c r="M19" s="6">
        <f t="shared" si="0"/>
        <v>6.5327165321092187E-2</v>
      </c>
    </row>
    <row r="20" spans="1:15" x14ac:dyDescent="0.25">
      <c r="A20" s="1" t="s">
        <v>106</v>
      </c>
      <c r="B20" s="13" t="s">
        <v>107</v>
      </c>
      <c r="C20" s="10">
        <v>1100000</v>
      </c>
      <c r="D20" s="11">
        <v>1100000000</v>
      </c>
      <c r="E20" s="3">
        <v>0.13870000000000002</v>
      </c>
      <c r="F20" s="4" t="s">
        <v>108</v>
      </c>
      <c r="G20" s="4" t="s">
        <v>109</v>
      </c>
      <c r="H20" s="11">
        <v>1100000000</v>
      </c>
      <c r="I20" s="11">
        <v>99.949396521840896</v>
      </c>
      <c r="J20" s="11">
        <v>106.73028541073</v>
      </c>
      <c r="K20" s="11">
        <v>74589777.777777776</v>
      </c>
      <c r="L20" s="11">
        <v>1174033139.5180271</v>
      </c>
      <c r="M20" s="6">
        <f t="shared" si="0"/>
        <v>3.8973814065318545E-2</v>
      </c>
    </row>
    <row r="21" spans="1:15" x14ac:dyDescent="0.25">
      <c r="A21" s="1" t="s">
        <v>110</v>
      </c>
      <c r="B21" s="13" t="s">
        <v>111</v>
      </c>
      <c r="C21" s="10">
        <v>1000000</v>
      </c>
      <c r="D21" s="11">
        <v>1000000000</v>
      </c>
      <c r="E21" s="3">
        <v>0.1389</v>
      </c>
      <c r="F21" s="4" t="s">
        <v>112</v>
      </c>
      <c r="G21" s="4" t="s">
        <v>113</v>
      </c>
      <c r="H21" s="11">
        <v>1000000000</v>
      </c>
      <c r="I21" s="11">
        <v>97.978855802339396</v>
      </c>
      <c r="J21" s="11">
        <v>101.760022469006</v>
      </c>
      <c r="K21" s="11">
        <v>37811666.666666657</v>
      </c>
      <c r="L21" s="11">
        <v>1017600224.69006</v>
      </c>
      <c r="M21" s="6">
        <f t="shared" si="0"/>
        <v>3.3780785750373452E-2</v>
      </c>
    </row>
    <row r="22" spans="1:15" x14ac:dyDescent="0.25">
      <c r="A22" s="1" t="s">
        <v>114</v>
      </c>
      <c r="B22" s="13" t="s">
        <v>115</v>
      </c>
      <c r="C22" s="10">
        <v>165739</v>
      </c>
      <c r="D22" s="11">
        <v>165739000</v>
      </c>
      <c r="E22" s="3">
        <v>0.125</v>
      </c>
      <c r="F22" s="4" t="s">
        <v>116</v>
      </c>
      <c r="G22" s="4" t="s">
        <v>117</v>
      </c>
      <c r="H22" s="11">
        <v>159596381.18279999</v>
      </c>
      <c r="I22" s="11">
        <v>95.577521324407201</v>
      </c>
      <c r="J22" s="11">
        <v>98.494187991060443</v>
      </c>
      <c r="K22" s="11">
        <v>4834054.16664444</v>
      </c>
      <c r="L22" s="11">
        <v>163243282.23450401</v>
      </c>
      <c r="M22" s="6">
        <f t="shared" si="0"/>
        <v>5.4191088096812515E-3</v>
      </c>
    </row>
    <row r="23" spans="1:15" x14ac:dyDescent="0.25">
      <c r="A23" s="1" t="s">
        <v>118</v>
      </c>
      <c r="B23" s="13" t="s">
        <v>119</v>
      </c>
      <c r="C23" s="10">
        <v>494987</v>
      </c>
      <c r="D23" s="11">
        <v>494987000</v>
      </c>
      <c r="E23" s="3">
        <v>0.1701</v>
      </c>
      <c r="F23" s="4" t="s">
        <v>120</v>
      </c>
      <c r="G23" s="4" t="s">
        <v>121</v>
      </c>
      <c r="H23" s="11">
        <v>495088472.34249997</v>
      </c>
      <c r="I23" s="11">
        <v>102.0329</v>
      </c>
      <c r="J23" s="11">
        <v>103.40315</v>
      </c>
      <c r="K23" s="11">
        <v>6782559.3674999997</v>
      </c>
      <c r="L23" s="11">
        <v>511832150.0905</v>
      </c>
      <c r="M23" s="6">
        <f t="shared" si="0"/>
        <v>1.6991045975472709E-2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1029769665.4341447</v>
      </c>
      <c r="L25" s="22">
        <f>SUM(L4:L24)</f>
        <v>30123639876.517979</v>
      </c>
      <c r="M25" s="23"/>
      <c r="N25" s="26">
        <v>30123639876.518005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50</v>
      </c>
      <c r="B28" s="31">
        <v>5792422.3799999999</v>
      </c>
      <c r="C28" s="58">
        <v>5792422.3799999999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5" s="36" customFormat="1" ht="12" customHeight="1" x14ac:dyDescent="0.25">
      <c r="A33" s="12" t="s">
        <v>52</v>
      </c>
      <c r="B33" s="7" t="s">
        <v>53</v>
      </c>
      <c r="C33" s="14">
        <v>1530100</v>
      </c>
      <c r="D33" s="7" t="s">
        <v>50</v>
      </c>
      <c r="E33" s="34" t="s">
        <v>54</v>
      </c>
      <c r="F33" s="34" t="s">
        <v>55</v>
      </c>
      <c r="G33" s="15">
        <v>850.20100000000002</v>
      </c>
      <c r="H33" s="15">
        <v>851.29810169923508</v>
      </c>
      <c r="I33" s="16">
        <f>+C33*G33</f>
        <v>1300892550.1000001</v>
      </c>
      <c r="J33" s="16">
        <f>+C33*H33</f>
        <v>1302571225.4099996</v>
      </c>
      <c r="K33" s="18">
        <v>0.156999</v>
      </c>
      <c r="L33" s="17">
        <v>559558.43666666665</v>
      </c>
      <c r="M33" s="17">
        <v>1301452108.5366659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782127</v>
      </c>
      <c r="D34" s="7" t="s">
        <v>50</v>
      </c>
      <c r="E34" s="34" t="s">
        <v>54</v>
      </c>
      <c r="F34" s="34" t="s">
        <v>55</v>
      </c>
      <c r="G34" s="15">
        <v>540.88229999731504</v>
      </c>
      <c r="H34" s="15">
        <v>541.58470605157504</v>
      </c>
      <c r="I34" s="16">
        <f>+C34*G34</f>
        <v>423038650.65000004</v>
      </c>
      <c r="J34" s="16">
        <f>+C34*H34</f>
        <v>423588021.39000022</v>
      </c>
      <c r="K34" s="18">
        <v>0.158</v>
      </c>
      <c r="L34" s="17">
        <v>183123.58</v>
      </c>
      <c r="M34" s="17">
        <v>423221774.23000002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SUM(M33:M35)</f>
        <v>1724673882.7666659</v>
      </c>
      <c r="N36" s="38">
        <v>1724673882.7666667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x14ac:dyDescent="0.25">
      <c r="A40" s="57">
        <f ca="1">IF(OFFSET(A40,-1,0)="№ п/п",1,OFFSET(A40,-1,0)+1)</f>
        <v>1</v>
      </c>
      <c r="B40" s="40" t="s">
        <v>49</v>
      </c>
      <c r="C40" s="52" t="s">
        <v>50</v>
      </c>
      <c r="D40" s="53" t="s">
        <v>51</v>
      </c>
      <c r="E40" s="54">
        <v>2100000</v>
      </c>
      <c r="F40" s="55">
        <v>300300000</v>
      </c>
      <c r="G40" s="56">
        <v>300300000</v>
      </c>
      <c r="H40" s="58">
        <v>300300000</v>
      </c>
      <c r="I40" s="29">
        <f>G40-H40</f>
        <v>0</v>
      </c>
    </row>
    <row r="41" spans="1:15" hidden="1" x14ac:dyDescent="0.25">
      <c r="B41" s="42"/>
      <c r="C41" s="43"/>
      <c r="D41" s="44"/>
      <c r="G41" s="45"/>
      <c r="H41" s="33"/>
    </row>
    <row r="42" spans="1:15" x14ac:dyDescent="0.25">
      <c r="G42" s="46">
        <f>SUM(G40:G41)</f>
        <v>300300000</v>
      </c>
    </row>
    <row r="44" spans="1:15" x14ac:dyDescent="0.25">
      <c r="A44" s="47" t="s">
        <v>13</v>
      </c>
      <c r="B44" s="48">
        <f>+L25+B28+M36+G42</f>
        <v>32154406181.664646</v>
      </c>
      <c r="C44" s="32">
        <v>32154406181.664673</v>
      </c>
      <c r="D44" s="29">
        <f>B44-C44</f>
        <v>0</v>
      </c>
    </row>
    <row r="47" spans="1:15" x14ac:dyDescent="0.25">
      <c r="A47" s="24" t="s">
        <v>46</v>
      </c>
      <c r="B47" s="33"/>
    </row>
    <row r="48" spans="1:15" x14ac:dyDescent="0.25">
      <c r="A48" s="49" t="s">
        <v>35</v>
      </c>
      <c r="B48" s="50"/>
    </row>
    <row r="49" spans="1:2" x14ac:dyDescent="0.25">
      <c r="A49" s="49" t="s">
        <v>36</v>
      </c>
      <c r="B49" s="41"/>
    </row>
    <row r="50" spans="1:2" x14ac:dyDescent="0.25">
      <c r="A50" s="49" t="s">
        <v>37</v>
      </c>
      <c r="B50" s="41">
        <v>103151.07</v>
      </c>
    </row>
    <row r="51" spans="1:2" x14ac:dyDescent="0.25">
      <c r="A51" s="49" t="s">
        <v>38</v>
      </c>
      <c r="B51" s="41"/>
    </row>
    <row r="52" spans="1:2" x14ac:dyDescent="0.25">
      <c r="A52" s="49" t="s">
        <v>39</v>
      </c>
      <c r="B52" s="50"/>
    </row>
    <row r="53" spans="1:2" x14ac:dyDescent="0.25">
      <c r="A53" s="49" t="s">
        <v>40</v>
      </c>
      <c r="B53" s="51">
        <v>15496.16</v>
      </c>
    </row>
    <row r="54" spans="1:2" x14ac:dyDescent="0.25">
      <c r="A54" s="49" t="s">
        <v>41</v>
      </c>
      <c r="B54" s="51">
        <v>7748.09</v>
      </c>
    </row>
    <row r="55" spans="1:2" x14ac:dyDescent="0.25">
      <c r="A55" s="49" t="s">
        <v>42</v>
      </c>
      <c r="B55" s="41"/>
    </row>
    <row r="56" spans="1:2" x14ac:dyDescent="0.25">
      <c r="A56" s="49" t="s">
        <v>43</v>
      </c>
      <c r="B56" s="41"/>
    </row>
    <row r="57" spans="1:2" x14ac:dyDescent="0.25">
      <c r="A57" s="49" t="s">
        <v>44</v>
      </c>
      <c r="B57" s="51"/>
    </row>
    <row r="58" spans="1:2" x14ac:dyDescent="0.25">
      <c r="A58" s="49" t="s">
        <v>45</v>
      </c>
      <c r="B58" s="50">
        <f>SUM(B48:B57)</f>
        <v>126395.32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2025-09-08T06:40:27Z</dcterms:created>
  <dcterms:modified xsi:type="dcterms:W3CDTF">2025-09-08T10:09:02Z</dcterms:modified>
</cp:coreProperties>
</file>