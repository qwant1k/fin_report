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BAC8C3EF-7873-4C36-A60A-D7B29552E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ДУ!$42:$42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I42" i="1"/>
  <c r="O38" i="1"/>
  <c r="O24" i="1"/>
  <c r="D27" i="1"/>
  <c r="B60" i="1"/>
  <c r="G44" i="1"/>
  <c r="A42" i="1"/>
  <c r="M38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7" i="1"/>
  <c r="M16" i="1"/>
  <c r="M11" i="1"/>
  <c r="M10" i="1"/>
  <c r="M5" i="1"/>
  <c r="M4" i="1"/>
  <c r="M12" i="1" l="1"/>
  <c r="M7" i="1"/>
  <c r="M13" i="1"/>
  <c r="M19" i="1"/>
  <c r="M8" i="1"/>
  <c r="M14" i="1"/>
  <c r="M20" i="1"/>
  <c r="B46" i="1"/>
  <c r="M6" i="1"/>
  <c r="M18" i="1"/>
  <c r="M9" i="1"/>
  <c r="M15" i="1"/>
</calcChain>
</file>

<file path=xl/sharedStrings.xml><?xml version="1.0" encoding="utf-8"?>
<sst xmlns="http://schemas.openxmlformats.org/spreadsheetml/2006/main" count="158" uniqueCount="123">
  <si>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</si>
  <si>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</si>
  <si>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</si>
  <si>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</si>
  <si>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</si>
  <si>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</si>
  <si>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</si>
  <si>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</si>
  <si>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</si>
  <si>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</si>
  <si>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</si>
  <si>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</si>
  <si>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</si>
  <si>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</si>
  <si>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</si>
  <si>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</si>
  <si>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</si>
  <si>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</si>
  <si>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</si>
  <si>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</si>
  <si>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</si>
  <si>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</si>
  <si>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</si>
  <si>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</si>
  <si>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</si>
  <si>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</si>
  <si>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</si>
  <si>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</si>
  <si>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</si>
  <si>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</si>
  <si>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</si>
  <si>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</si>
  <si>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</si>
  <si>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</si>
  <si>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</si>
  <si>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</si>
  <si>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</si>
  <si>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</si>
  <si>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</si>
  <si>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</si>
  <si>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</si>
  <si>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</si>
  <si>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</si>
  <si>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</si>
  <si>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</si>
  <si>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</si>
  <si>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</si>
  <si>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</si>
  <si>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</si>
  <si>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</si>
  <si>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</si>
  <si>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</si>
  <si>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MUM132_0007</t>
  </si>
  <si>
    <t>KZKD00001152</t>
  </si>
  <si>
    <t>05.12.2025</t>
  </si>
  <si>
    <t>08.12.2025</t>
  </si>
  <si>
    <t>АО КФУ, ОБЛИГАЦИИ, KFUSb1</t>
  </si>
  <si>
    <t>KZ2C00006906</t>
  </si>
  <si>
    <t>МИНИСТЕРСТВО ФИНАНСОВ РК, ГЦБ, KZ_06_4410</t>
  </si>
  <si>
    <t>XS1120709826</t>
  </si>
  <si>
    <t>МИНИСТЕРСТВО ФИНАНСОВ РК, ГЦБ, MUM084_0019</t>
  </si>
  <si>
    <t>KZKD00001244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</si>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</sst>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3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64</v>
      </c>
      <c r="B4" s="13" t="s">
        <v>65</v>
      </c>
      <c r="C4" s="10">
        <v>3020000</v>
      </c>
      <c r="D4" s="11">
        <v>3020000000</v>
      </c>
      <c r="E4" s="3">
        <v>0.1067</v>
      </c>
      <c r="F4" s="4" t="s">
        <v>66</v>
      </c>
      <c r="G4" s="4" t="s">
        <v>67</v>
      </c>
      <c r="H4" s="11">
        <v>2930617060.0000029</v>
      </c>
      <c r="I4" s="11">
        <v>99.227699999999999</v>
      </c>
      <c r="J4" s="11">
        <v>103.25858888888901</v>
      </c>
      <c r="K4" s="11">
        <v>121732844.444444</v>
      </c>
      <c r="L4" s="11">
        <v>3118409384.4444442</v>
      </c>
      <c r="M4" s="6">
        <f t="shared" ref="M4:M22" si="0">L4/$L$24</f>
        <v>0.10277579192654014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66</v>
      </c>
      <c r="G5" s="4" t="s">
        <v>70</v>
      </c>
      <c r="H5" s="11">
        <v>2039188560.0000031</v>
      </c>
      <c r="I5" s="11">
        <v>84.115700000000004</v>
      </c>
      <c r="J5" s="11">
        <v>87.896116666666657</v>
      </c>
      <c r="K5" s="11">
        <v>85626437.499999985</v>
      </c>
      <c r="L5" s="11">
        <v>1990847042.499999</v>
      </c>
      <c r="M5" s="6">
        <f t="shared" si="0"/>
        <v>6.5613861482782795E-2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71</v>
      </c>
      <c r="G6" s="4" t="s">
        <v>70</v>
      </c>
      <c r="H6" s="11">
        <v>1395452658.7</v>
      </c>
      <c r="I6" s="11">
        <v>84.115700000000004</v>
      </c>
      <c r="J6" s="11">
        <v>87.896116666666913</v>
      </c>
      <c r="K6" s="11">
        <v>58658683.99166666</v>
      </c>
      <c r="L6" s="11">
        <v>1363836578.4136701</v>
      </c>
      <c r="M6" s="6">
        <f t="shared" si="0"/>
        <v>4.4949000315370545E-2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72</v>
      </c>
      <c r="G7" s="4" t="s">
        <v>70</v>
      </c>
      <c r="H7" s="11">
        <v>449784993.92000002</v>
      </c>
      <c r="I7" s="11">
        <v>84.115700000000004</v>
      </c>
      <c r="J7" s="11">
        <v>87.896116666666657</v>
      </c>
      <c r="K7" s="11">
        <v>20629431.316666659</v>
      </c>
      <c r="L7" s="11">
        <v>479642076.96066701</v>
      </c>
      <c r="M7" s="6">
        <f t="shared" si="0"/>
        <v>1.5807929050888632E-2</v>
      </c>
    </row>
    <row r="8" spans="1:13" x14ac:dyDescent="0.25">
      <c r="A8" s="1" t="s">
        <v>73</v>
      </c>
      <c r="B8" s="13" t="s">
        <v>74</v>
      </c>
      <c r="C8" s="10">
        <v>2265000</v>
      </c>
      <c r="D8" s="11">
        <v>2265000000</v>
      </c>
      <c r="E8" s="3">
        <v>0.10400000000000001</v>
      </c>
      <c r="F8" s="4" t="s">
        <v>66</v>
      </c>
      <c r="G8" s="4" t="s">
        <v>75</v>
      </c>
      <c r="H8" s="11">
        <v>2073109200</v>
      </c>
      <c r="I8" s="11">
        <v>87.875900000000001</v>
      </c>
      <c r="J8" s="11">
        <v>94.664788888888879</v>
      </c>
      <c r="K8" s="11">
        <v>153768333.33333299</v>
      </c>
      <c r="L8" s="11">
        <v>2144157468.333333</v>
      </c>
      <c r="M8" s="6">
        <f t="shared" si="0"/>
        <v>7.0666629892284963E-2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66</v>
      </c>
      <c r="G9" s="4" t="s">
        <v>78</v>
      </c>
      <c r="H9" s="11">
        <v>2080889475</v>
      </c>
      <c r="I9" s="11">
        <v>86.088999999999999</v>
      </c>
      <c r="J9" s="11">
        <v>93.636222222222216</v>
      </c>
      <c r="K9" s="11">
        <v>170944583.33333299</v>
      </c>
      <c r="L9" s="11">
        <v>2120860433.333333</v>
      </c>
      <c r="M9" s="6">
        <f t="shared" si="0"/>
        <v>6.9898811775263775E-2</v>
      </c>
    </row>
    <row r="10" spans="1:13" x14ac:dyDescent="0.25">
      <c r="A10" s="1" t="s">
        <v>79</v>
      </c>
      <c r="B10" s="13" t="s">
        <v>80</v>
      </c>
      <c r="C10" s="10">
        <v>2265000</v>
      </c>
      <c r="D10" s="11">
        <v>2265000000</v>
      </c>
      <c r="E10" s="3">
        <v>0.10300000000000001</v>
      </c>
      <c r="F10" s="4" t="s">
        <v>66</v>
      </c>
      <c r="G10" s="4" t="s">
        <v>81</v>
      </c>
      <c r="H10" s="11">
        <v>1963990560.0000031</v>
      </c>
      <c r="I10" s="11">
        <v>79.460800000000006</v>
      </c>
      <c r="J10" s="11">
        <v>86.899688888888875</v>
      </c>
      <c r="K10" s="11">
        <v>168490833.33333299</v>
      </c>
      <c r="L10" s="11">
        <v>1968277953.333333</v>
      </c>
      <c r="M10" s="6">
        <f t="shared" si="0"/>
        <v>6.4870034830728882E-2</v>
      </c>
    </row>
    <row r="11" spans="1:13" x14ac:dyDescent="0.25">
      <c r="A11" s="1" t="s">
        <v>82</v>
      </c>
      <c r="B11" s="13" t="s">
        <v>83</v>
      </c>
      <c r="C11" s="10">
        <v>2265000</v>
      </c>
      <c r="D11" s="11">
        <v>2265000000</v>
      </c>
      <c r="E11" s="3">
        <v>8.4500000000000006E-2</v>
      </c>
      <c r="F11" s="4" t="s">
        <v>66</v>
      </c>
      <c r="G11" s="4" t="s">
        <v>84</v>
      </c>
      <c r="H11" s="11">
        <v>1740247065.0000031</v>
      </c>
      <c r="I11" s="11">
        <v>70.329700000000003</v>
      </c>
      <c r="J11" s="11">
        <v>75.751783333333321</v>
      </c>
      <c r="K11" s="11">
        <v>122810187.5</v>
      </c>
      <c r="L11" s="11">
        <v>1715777892.499999</v>
      </c>
      <c r="M11" s="6">
        <f t="shared" si="0"/>
        <v>5.6548198113876937E-2</v>
      </c>
    </row>
    <row r="12" spans="1:13" x14ac:dyDescent="0.25">
      <c r="A12" s="1" t="s">
        <v>52</v>
      </c>
      <c r="B12" s="13" t="s">
        <v>53</v>
      </c>
      <c r="C12" s="10">
        <v>2265000</v>
      </c>
      <c r="D12" s="11">
        <v>2265000000</v>
      </c>
      <c r="E12" s="3">
        <v>0.10650000000000001</v>
      </c>
      <c r="F12" s="4" t="s">
        <v>66</v>
      </c>
      <c r="G12" s="4" t="s">
        <v>85</v>
      </c>
      <c r="H12" s="11">
        <v>1967775375</v>
      </c>
      <c r="I12" s="11">
        <v>78.1297</v>
      </c>
      <c r="J12" s="11">
        <v>82.005116666666652</v>
      </c>
      <c r="K12" s="11">
        <v>87778187.5</v>
      </c>
      <c r="L12" s="11">
        <v>1857415892.5</v>
      </c>
      <c r="M12" s="6">
        <f t="shared" si="0"/>
        <v>6.1216269499726986E-2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66</v>
      </c>
      <c r="G13" s="4" t="s">
        <v>88</v>
      </c>
      <c r="H13" s="11">
        <v>1622351550</v>
      </c>
      <c r="I13" s="11">
        <v>64.215299999999999</v>
      </c>
      <c r="J13" s="11">
        <v>68.81071666666665</v>
      </c>
      <c r="K13" s="11">
        <v>104086187.5</v>
      </c>
      <c r="L13" s="11">
        <v>1558562732.5</v>
      </c>
      <c r="M13" s="6">
        <f t="shared" si="0"/>
        <v>5.1366738408022375E-2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66</v>
      </c>
      <c r="G14" s="4" t="s">
        <v>91</v>
      </c>
      <c r="H14" s="11">
        <v>1597764975</v>
      </c>
      <c r="I14" s="11">
        <v>62.936</v>
      </c>
      <c r="J14" s="11">
        <v>69.840333333333334</v>
      </c>
      <c r="K14" s="11">
        <v>156383150</v>
      </c>
      <c r="L14" s="11">
        <v>1581883550</v>
      </c>
      <c r="M14" s="6">
        <f t="shared" si="0"/>
        <v>5.2135340343000137E-2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66</v>
      </c>
      <c r="G15" s="4" t="s">
        <v>94</v>
      </c>
      <c r="H15" s="11">
        <v>3136670150</v>
      </c>
      <c r="I15" s="11">
        <v>87.12</v>
      </c>
      <c r="J15" s="11">
        <v>90.932500000000005</v>
      </c>
      <c r="K15" s="11">
        <v>143921875</v>
      </c>
      <c r="L15" s="11">
        <v>3432701875</v>
      </c>
      <c r="M15" s="6">
        <f t="shared" si="0"/>
        <v>0.11313416878832813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59.195900000000002</v>
      </c>
      <c r="J16" s="11">
        <v>62.602844444444436</v>
      </c>
      <c r="K16" s="11">
        <v>95525952.5</v>
      </c>
      <c r="L16" s="11">
        <v>1755296114.24</v>
      </c>
      <c r="M16" s="6">
        <f t="shared" si="0"/>
        <v>5.7850630230428815E-2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86.743000000000009</v>
      </c>
      <c r="J17" s="11">
        <v>95.743000000000009</v>
      </c>
      <c r="K17" s="11">
        <v>93463200</v>
      </c>
      <c r="L17" s="11">
        <v>994271906.39999998</v>
      </c>
      <c r="M17" s="6">
        <f t="shared" si="0"/>
        <v>3.2768976094130049E-2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98.248400000000004</v>
      </c>
      <c r="J18" s="11">
        <v>99.058538888888876</v>
      </c>
      <c r="K18" s="11">
        <v>4107315.05138889</v>
      </c>
      <c r="L18" s="11">
        <v>502215895.72738898</v>
      </c>
      <c r="M18" s="6">
        <f t="shared" si="0"/>
        <v>1.655191157997192E-2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94.453081592475101</v>
      </c>
      <c r="J19" s="11">
        <v>98.186970481363971</v>
      </c>
      <c r="K19" s="11">
        <v>78411666.666666657</v>
      </c>
      <c r="L19" s="11">
        <v>2061926380.1086431</v>
      </c>
      <c r="M19" s="6">
        <f t="shared" si="0"/>
        <v>6.7956477320454067E-2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98.58284614679549</v>
      </c>
      <c r="J20" s="11">
        <v>98.930096146795492</v>
      </c>
      <c r="K20" s="11">
        <v>3472500</v>
      </c>
      <c r="L20" s="11">
        <v>989300961.46795499</v>
      </c>
      <c r="M20" s="6">
        <f t="shared" si="0"/>
        <v>3.2605144877945726E-2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96.950785669296593</v>
      </c>
      <c r="J21" s="11">
        <v>103.02717455817201</v>
      </c>
      <c r="K21" s="11">
        <v>10070946.180533331</v>
      </c>
      <c r="L21" s="11">
        <v>170756208.840969</v>
      </c>
      <c r="M21" s="6">
        <f t="shared" si="0"/>
        <v>5.6277423604312263E-3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102.5604</v>
      </c>
      <c r="J22" s="11">
        <v>108.2304</v>
      </c>
      <c r="K22" s="11">
        <v>28065762.899999999</v>
      </c>
      <c r="L22" s="11">
        <v>535726410.04799998</v>
      </c>
      <c r="M22" s="6">
        <f t="shared" si="0"/>
        <v>1.7656343109823808E-2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1707948078.0513656</v>
      </c>
      <c r="L24" s="22">
        <f>SUM(L4:L23)</f>
        <v>30341866756.651737</v>
      </c>
      <c r="M24" s="23"/>
      <c r="N24" s="26">
        <v>30341866756.651752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3163563.14</v>
      </c>
      <c r="C27" s="58">
        <v>3163563.14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904761</v>
      </c>
      <c r="D32" s="7" t="s">
        <v>50</v>
      </c>
      <c r="E32" s="34" t="s">
        <v>54</v>
      </c>
      <c r="F32" s="34" t="s">
        <v>55</v>
      </c>
      <c r="G32" s="15">
        <v>819.46</v>
      </c>
      <c r="H32" s="15">
        <v>820.61172746172701</v>
      </c>
      <c r="I32" s="16">
        <f>+C32*G32</f>
        <v>741415449.06000006</v>
      </c>
      <c r="J32" s="16">
        <f>+C32*H32</f>
        <v>742457487.14999962</v>
      </c>
      <c r="K32" s="18">
        <v>0.17099899999999998</v>
      </c>
      <c r="L32" s="17">
        <v>347346.03</v>
      </c>
      <c r="M32" s="17">
        <v>742110141.12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999888</v>
      </c>
      <c r="D33" s="7" t="s">
        <v>50</v>
      </c>
      <c r="E33" s="34" t="s">
        <v>54</v>
      </c>
      <c r="F33" s="34" t="s">
        <v>55</v>
      </c>
      <c r="G33" s="15">
        <v>888.57899999800009</v>
      </c>
      <c r="H33" s="15">
        <v>889.82787222168906</v>
      </c>
      <c r="I33" s="16">
        <f>+C33*G33</f>
        <v>888479479.15000033</v>
      </c>
      <c r="J33" s="16">
        <f>+C33*H33</f>
        <v>889728211.50000024</v>
      </c>
      <c r="K33" s="18">
        <v>0.17099899999999998</v>
      </c>
      <c r="L33" s="17">
        <v>416244.11666666658</v>
      </c>
      <c r="M33" s="17">
        <v>889311967.38333297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125080</v>
      </c>
      <c r="D34" s="7" t="s">
        <v>50</v>
      </c>
      <c r="E34" s="34" t="s">
        <v>54</v>
      </c>
      <c r="F34" s="34" t="s">
        <v>55</v>
      </c>
      <c r="G34" s="15">
        <v>471.74789998401002</v>
      </c>
      <c r="H34" s="15">
        <v>472.41092812599902</v>
      </c>
      <c r="I34" s="16">
        <f>+C34*G34</f>
        <v>59006227.329999976</v>
      </c>
      <c r="J34" s="16">
        <f>+C34*H34</f>
        <v>59089158.889999956</v>
      </c>
      <c r="K34" s="18">
        <v>0.17099899999999998</v>
      </c>
      <c r="L34" s="17">
        <v>27643.8533333333</v>
      </c>
      <c r="M34" s="17">
        <v>59061515.036666662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1599696</v>
      </c>
      <c r="D35" s="7" t="s">
        <v>50</v>
      </c>
      <c r="E35" s="34" t="s">
        <v>54</v>
      </c>
      <c r="F35" s="34" t="s">
        <v>55</v>
      </c>
      <c r="G35" s="15">
        <v>946.03500000000008</v>
      </c>
      <c r="H35" s="15">
        <v>947.36462497874606</v>
      </c>
      <c r="I35" s="16">
        <f>+C35*G35</f>
        <v>1513368405.3600001</v>
      </c>
      <c r="J35" s="16">
        <f>+C35*H35</f>
        <v>1515495401.1200001</v>
      </c>
      <c r="K35" s="18">
        <v>0.17099899999999998</v>
      </c>
      <c r="L35" s="17">
        <v>708998.58666666667</v>
      </c>
      <c r="M35" s="17">
        <v>1514786402.5333331</v>
      </c>
      <c r="N35" s="35"/>
    </row>
    <row r="36" spans="1:15" s="36" customFormat="1" ht="12" customHeight="1" x14ac:dyDescent="0.25">
      <c r="A36" s="12" t="s">
        <v>62</v>
      </c>
      <c r="B36" s="7" t="s">
        <v>63</v>
      </c>
      <c r="C36" s="14">
        <v>175065</v>
      </c>
      <c r="D36" s="7" t="s">
        <v>50</v>
      </c>
      <c r="E36" s="34" t="s">
        <v>54</v>
      </c>
      <c r="F36" s="34" t="s">
        <v>55</v>
      </c>
      <c r="G36" s="15">
        <v>943.00100002856107</v>
      </c>
      <c r="H36" s="15">
        <v>944.33798686202306</v>
      </c>
      <c r="I36" s="16">
        <f>+C36*G36</f>
        <v>165086470.07000005</v>
      </c>
      <c r="J36" s="16">
        <f>+C36*H36</f>
        <v>165320529.67000008</v>
      </c>
      <c r="K36" s="18">
        <v>0.17249899999999999</v>
      </c>
      <c r="L36" s="17">
        <v>78019.866666666698</v>
      </c>
      <c r="M36" s="17">
        <v>165242509.80333301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3370512535.8766656</v>
      </c>
      <c r="N38" s="38">
        <v>3370512535.8766665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x14ac:dyDescent="0.25">
      <c r="A42" s="57">
        <f ca="1">IF(OFFSET(A42,-1,0)="№ п/п",1,OFFSET(A42,-1,0)+1)</f>
        <v>1</v>
      </c>
      <c r="B42" s="40" t="s">
        <v>49</v>
      </c>
      <c r="C42" s="52" t="s">
        <v>50</v>
      </c>
      <c r="D42" s="53" t="s">
        <v>51</v>
      </c>
      <c r="E42" s="54">
        <v>1000000</v>
      </c>
      <c r="F42" s="55">
        <v>69450000</v>
      </c>
      <c r="G42" s="56">
        <v>69450000</v>
      </c>
      <c r="H42" s="58">
        <v>69450000</v>
      </c>
      <c r="I42" s="29">
        <f>G42-H42</f>
        <v>0</v>
      </c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SUM(G42:G43)</f>
        <v>69450000</v>
      </c>
    </row>
    <row r="46" spans="1:15" x14ac:dyDescent="0.25">
      <c r="A46" s="47" t="s">
        <v>13</v>
      </c>
      <c r="B46" s="48">
        <f>+L24+B27+M38+G44</f>
        <v>33784992855.668404</v>
      </c>
      <c r="C46" s="32">
        <v>33784992855.668419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/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585680.04999999993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50"/>
    </row>
    <row r="55" spans="1:2" x14ac:dyDescent="0.25">
      <c r="A55" s="49" t="s">
        <v>40</v>
      </c>
      <c r="B55" s="51">
        <v>170125.49</v>
      </c>
    </row>
    <row r="56" spans="1:2" x14ac:dyDescent="0.25">
      <c r="A56" s="49" t="s">
        <v>41</v>
      </c>
      <c r="B56" s="51">
        <v>84837.8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840643.34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2025-12-08T06:11:35Z</dcterms:created>
  <dcterms:modified xsi:type="dcterms:W3CDTF">2025-12-08T07:38:53Z</dcterms:modified>
</cp:coreProperties>
</file>