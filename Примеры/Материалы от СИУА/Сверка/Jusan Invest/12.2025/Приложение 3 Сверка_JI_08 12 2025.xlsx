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96688EFB-9558-4D0E-8C1B-A547C1B262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ДУ!$50:$50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4" i="1" l="1"/>
  <c r="I50" i="1"/>
  <c r="O46" i="1"/>
  <c r="O24" i="1"/>
  <c r="D27" i="1"/>
  <c r="B68" i="1"/>
  <c r="G52" i="1"/>
  <c r="A50" i="1"/>
  <c r="M46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19" i="1" s="1"/>
  <c r="K24" i="1"/>
  <c r="M22" i="1"/>
  <c r="M17" i="1"/>
  <c r="M16" i="1"/>
  <c r="M11" i="1"/>
  <c r="M10" i="1"/>
  <c r="M5" i="1"/>
  <c r="M4" i="1"/>
  <c r="M12" i="1" l="1"/>
  <c r="B54" i="1"/>
  <c r="M8" i="1"/>
  <c r="M14" i="1"/>
  <c r="M20" i="1"/>
  <c r="M9" i="1"/>
  <c r="M15" i="1"/>
  <c r="M21" i="1"/>
  <c r="M6" i="1"/>
  <c r="M18" i="1"/>
  <c r="M7" i="1"/>
  <c r="M13" i="1"/>
</calcChain>
</file>

<file path=xl/sharedStrings.xml><?xml version="1.0" encoding="utf-8"?>
<sst xmlns="http://schemas.openxmlformats.org/spreadsheetml/2006/main" count="198" uniqueCount="127">
  <si>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</si>
  <si>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</si>
  <si>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</si>
  <si>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</si>
  <si>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</si>
  <si>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</si>
  <si>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</si>
  <si>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</si>
  <si>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</si>
  <si>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</si>
  <si>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</si>
  <si>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</si>
  <si>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</si>
  <si>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</si>
  <si>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</si>
  <si>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</si>
  <si>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</si>
  <si>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</si>
  <si>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</si>
  <si>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</si>
  <si>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</si>
  <si>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</si>
  <si>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</si>
  <si>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</si>
  <si>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</si>
  <si>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</si>
  <si>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</si>
  <si>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</si>
  <si>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</si>
  <si>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</si>
  <si>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</si>
  <si>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</si>
  <si>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</si>
  <si>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</si>
  <si>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</si>
  <si>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</si>
  <si>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</si>
  <si>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</si>
  <si>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</si>
  <si>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</si>
  <si>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</si>
  <si>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</si>
  <si>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</si>
  <si>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</si>
  <si>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</si>
  <si>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</si>
  <si>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</si>
  <si>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</si>
  <si>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</si>
  <si>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KZ2C00012698 _BTRKb17</t>
  </si>
  <si>
    <t>KZT</t>
  </si>
  <si>
    <t>28.11.2025</t>
  </si>
  <si>
    <t>МИНИСТЕРСТВО ФИНАНСОВ РК, ГЦБ, MKM012_0160</t>
  </si>
  <si>
    <t>KZK100000373</t>
  </si>
  <si>
    <t>08.12.2025</t>
  </si>
  <si>
    <t>09.12.2025</t>
  </si>
  <si>
    <t>МИНИСТЕРСТВО ФИНАНСОВ РК, ГЦБ, MUM096_0011</t>
  </si>
  <si>
    <t>KZKD00001095</t>
  </si>
  <si>
    <t>МИНИСТЕРСТВО ФИНАНСОВ РК, ГЦБ, MUM132_0007</t>
  </si>
  <si>
    <t>KZKD00001152</t>
  </si>
  <si>
    <t>05.12.2025</t>
  </si>
  <si>
    <t>АО КФУ, ОБЛИГАЦИИ, KFUSb1</t>
  </si>
  <si>
    <t>KZ2C00006906</t>
  </si>
  <si>
    <t>МИНИСТЕРСТВО ФИНАНСОВ РК, ГЦБ, KZ_06_4410</t>
  </si>
  <si>
    <t>XS1120709826</t>
  </si>
  <si>
    <t>МИНИСТЕРСТВО ФИНАНСОВ РК, ГЦБ, MUM084_0019</t>
  </si>
  <si>
    <t>KZKD00001244</t>
  </si>
  <si>
    <t>МИНИСТЕРСТВО ФИНАНСОВ РК, ГЦБ, MUM180_0004</t>
  </si>
  <si>
    <t>KZKD00000444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</si>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</sst>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topLeftCell="A13" zoomScale="90" zoomScaleNormal="90" workbookViewId="0">
      <selection activeCell="D55" sqref="D55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54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69</v>
      </c>
      <c r="B4" s="13" t="s">
        <v>70</v>
      </c>
      <c r="C4" s="10">
        <v>3020000</v>
      </c>
      <c r="D4" s="11">
        <v>3020000000</v>
      </c>
      <c r="E4" s="3">
        <v>0.1067</v>
      </c>
      <c r="F4" s="4" t="s">
        <v>71</v>
      </c>
      <c r="G4" s="4" t="s">
        <v>72</v>
      </c>
      <c r="H4" s="11">
        <v>2930617060.0000029</v>
      </c>
      <c r="I4" s="11">
        <v>99.284199999999998</v>
      </c>
      <c r="J4" s="11">
        <v>103.344727777778</v>
      </c>
      <c r="K4" s="11">
        <v>122627938.888889</v>
      </c>
      <c r="L4" s="11">
        <v>3121010778.8888879</v>
      </c>
      <c r="M4" s="6">
        <f t="shared" ref="M4:M22" si="0">L4/$L$24</f>
        <v>0.10280204873145073</v>
      </c>
    </row>
    <row r="5" spans="1:13" x14ac:dyDescent="0.25">
      <c r="A5" s="1" t="s">
        <v>73</v>
      </c>
      <c r="B5" s="13" t="s">
        <v>74</v>
      </c>
      <c r="C5" s="10">
        <v>2265000</v>
      </c>
      <c r="D5" s="11">
        <v>2265000000</v>
      </c>
      <c r="E5" s="3">
        <v>0.10550000000000001</v>
      </c>
      <c r="F5" s="4" t="s">
        <v>71</v>
      </c>
      <c r="G5" s="4" t="s">
        <v>75</v>
      </c>
      <c r="H5" s="11">
        <v>2039188560.0000031</v>
      </c>
      <c r="I5" s="11">
        <v>84.119</v>
      </c>
      <c r="J5" s="11">
        <v>87.92872222222222</v>
      </c>
      <c r="K5" s="11">
        <v>86290208.333333328</v>
      </c>
      <c r="L5" s="11">
        <v>1991585558.333333</v>
      </c>
      <c r="M5" s="6">
        <f t="shared" si="0"/>
        <v>6.5600246242509305E-2</v>
      </c>
    </row>
    <row r="6" spans="1:13" x14ac:dyDescent="0.25">
      <c r="A6" s="1" t="s">
        <v>73</v>
      </c>
      <c r="B6" s="13" t="s">
        <v>74</v>
      </c>
      <c r="C6" s="10">
        <v>1551646</v>
      </c>
      <c r="D6" s="11">
        <v>1551646000</v>
      </c>
      <c r="E6" s="3">
        <v>0.10550000000000001</v>
      </c>
      <c r="F6" s="4" t="s">
        <v>76</v>
      </c>
      <c r="G6" s="4" t="s">
        <v>75</v>
      </c>
      <c r="H6" s="11">
        <v>1395452658.7</v>
      </c>
      <c r="I6" s="11">
        <v>84.119</v>
      </c>
      <c r="J6" s="11">
        <v>87.928722222222476</v>
      </c>
      <c r="K6" s="11">
        <v>59113402.472222216</v>
      </c>
      <c r="L6" s="11">
        <v>1364342501.2122259</v>
      </c>
      <c r="M6" s="6">
        <f t="shared" si="0"/>
        <v>4.4939673148434826E-2</v>
      </c>
    </row>
    <row r="7" spans="1:13" x14ac:dyDescent="0.25">
      <c r="A7" s="1" t="s">
        <v>73</v>
      </c>
      <c r="B7" s="13" t="s">
        <v>74</v>
      </c>
      <c r="C7" s="10">
        <v>545692</v>
      </c>
      <c r="D7" s="11">
        <v>545692000</v>
      </c>
      <c r="E7" s="3">
        <v>0.10550000000000001</v>
      </c>
      <c r="F7" s="4" t="s">
        <v>77</v>
      </c>
      <c r="G7" s="4" t="s">
        <v>75</v>
      </c>
      <c r="H7" s="11">
        <v>449784993.92000002</v>
      </c>
      <c r="I7" s="11">
        <v>84.119</v>
      </c>
      <c r="J7" s="11">
        <v>87.92872222222222</v>
      </c>
      <c r="K7" s="11">
        <v>20789349.388888881</v>
      </c>
      <c r="L7" s="11">
        <v>479820002.86888897</v>
      </c>
      <c r="M7" s="6">
        <f t="shared" si="0"/>
        <v>1.5804648817910553E-2</v>
      </c>
    </row>
    <row r="8" spans="1:13" x14ac:dyDescent="0.25">
      <c r="A8" s="1" t="s">
        <v>78</v>
      </c>
      <c r="B8" s="13" t="s">
        <v>79</v>
      </c>
      <c r="C8" s="10">
        <v>2265000</v>
      </c>
      <c r="D8" s="11">
        <v>2265000000</v>
      </c>
      <c r="E8" s="3">
        <v>0.10400000000000001</v>
      </c>
      <c r="F8" s="4" t="s">
        <v>71</v>
      </c>
      <c r="G8" s="4" t="s">
        <v>80</v>
      </c>
      <c r="H8" s="11">
        <v>2073109200</v>
      </c>
      <c r="I8" s="11">
        <v>87.899000000000001</v>
      </c>
      <c r="J8" s="11">
        <v>94.716777777777764</v>
      </c>
      <c r="K8" s="11">
        <v>154422666.66666701</v>
      </c>
      <c r="L8" s="11">
        <v>2145335016.666666</v>
      </c>
      <c r="M8" s="6">
        <f t="shared" si="0"/>
        <v>7.0664554067054686E-2</v>
      </c>
    </row>
    <row r="9" spans="1:13" x14ac:dyDescent="0.25">
      <c r="A9" s="1" t="s">
        <v>81</v>
      </c>
      <c r="B9" s="13" t="s">
        <v>82</v>
      </c>
      <c r="C9" s="10">
        <v>2265000</v>
      </c>
      <c r="D9" s="11">
        <v>2265000000</v>
      </c>
      <c r="E9" s="3">
        <v>0.11</v>
      </c>
      <c r="F9" s="4" t="s">
        <v>71</v>
      </c>
      <c r="G9" s="4" t="s">
        <v>83</v>
      </c>
      <c r="H9" s="11">
        <v>2080889475</v>
      </c>
      <c r="I9" s="11">
        <v>86.097000000000008</v>
      </c>
      <c r="J9" s="11">
        <v>93.674777777777763</v>
      </c>
      <c r="K9" s="11">
        <v>171636666.66666701</v>
      </c>
      <c r="L9" s="11">
        <v>2121733716.666666</v>
      </c>
      <c r="M9" s="6">
        <f t="shared" si="0"/>
        <v>6.988715784364613E-2</v>
      </c>
    </row>
    <row r="10" spans="1:13" x14ac:dyDescent="0.25">
      <c r="A10" s="1" t="s">
        <v>84</v>
      </c>
      <c r="B10" s="13" t="s">
        <v>85</v>
      </c>
      <c r="C10" s="10">
        <v>2265000</v>
      </c>
      <c r="D10" s="11">
        <v>2265000000</v>
      </c>
      <c r="E10" s="3">
        <v>0.10300000000000001</v>
      </c>
      <c r="F10" s="4" t="s">
        <v>71</v>
      </c>
      <c r="G10" s="4" t="s">
        <v>86</v>
      </c>
      <c r="H10" s="11">
        <v>1963990560.0000031</v>
      </c>
      <c r="I10" s="11">
        <v>79.469300000000004</v>
      </c>
      <c r="J10" s="11">
        <v>86.936799999999991</v>
      </c>
      <c r="K10" s="11">
        <v>169138875</v>
      </c>
      <c r="L10" s="11">
        <v>1969118520</v>
      </c>
      <c r="M10" s="6">
        <f t="shared" si="0"/>
        <v>6.4860211127854256E-2</v>
      </c>
    </row>
    <row r="11" spans="1:13" x14ac:dyDescent="0.25">
      <c r="A11" s="1" t="s">
        <v>87</v>
      </c>
      <c r="B11" s="13" t="s">
        <v>88</v>
      </c>
      <c r="C11" s="10">
        <v>2265000</v>
      </c>
      <c r="D11" s="11">
        <v>2265000000</v>
      </c>
      <c r="E11" s="3">
        <v>8.4500000000000006E-2</v>
      </c>
      <c r="F11" s="4" t="s">
        <v>71</v>
      </c>
      <c r="G11" s="4" t="s">
        <v>89</v>
      </c>
      <c r="H11" s="11">
        <v>1740247065.0000031</v>
      </c>
      <c r="I11" s="11">
        <v>70.345200000000006</v>
      </c>
      <c r="J11" s="11">
        <v>75.790755555555549</v>
      </c>
      <c r="K11" s="11">
        <v>123341833.333333</v>
      </c>
      <c r="L11" s="11">
        <v>1716660613.333333</v>
      </c>
      <c r="M11" s="6">
        <f t="shared" si="0"/>
        <v>5.6544574988646068E-2</v>
      </c>
    </row>
    <row r="12" spans="1:13" x14ac:dyDescent="0.25">
      <c r="A12" s="1" t="s">
        <v>58</v>
      </c>
      <c r="B12" s="13" t="s">
        <v>59</v>
      </c>
      <c r="C12" s="10">
        <v>2265000</v>
      </c>
      <c r="D12" s="11">
        <v>2265000000</v>
      </c>
      <c r="E12" s="3">
        <v>0.10650000000000001</v>
      </c>
      <c r="F12" s="4" t="s">
        <v>71</v>
      </c>
      <c r="G12" s="4" t="s">
        <v>90</v>
      </c>
      <c r="H12" s="11">
        <v>1967775375</v>
      </c>
      <c r="I12" s="11">
        <v>78.135000000000005</v>
      </c>
      <c r="J12" s="11">
        <v>82.04</v>
      </c>
      <c r="K12" s="11">
        <v>88448250</v>
      </c>
      <c r="L12" s="11">
        <v>1858206000</v>
      </c>
      <c r="M12" s="6">
        <f t="shared" si="0"/>
        <v>6.1206896514814937E-2</v>
      </c>
    </row>
    <row r="13" spans="1:13" x14ac:dyDescent="0.25">
      <c r="A13" s="1" t="s">
        <v>91</v>
      </c>
      <c r="B13" s="13" t="s">
        <v>92</v>
      </c>
      <c r="C13" s="10">
        <v>2265000</v>
      </c>
      <c r="D13" s="11">
        <v>2265000000</v>
      </c>
      <c r="E13" s="3">
        <v>8.0700000000000008E-2</v>
      </c>
      <c r="F13" s="4" t="s">
        <v>71</v>
      </c>
      <c r="G13" s="4" t="s">
        <v>93</v>
      </c>
      <c r="H13" s="11">
        <v>1622351550</v>
      </c>
      <c r="I13" s="11">
        <v>64.234200000000001</v>
      </c>
      <c r="J13" s="11">
        <v>68.852033333333324</v>
      </c>
      <c r="K13" s="11">
        <v>104593925</v>
      </c>
      <c r="L13" s="11">
        <v>1559498555</v>
      </c>
      <c r="M13" s="6">
        <f t="shared" si="0"/>
        <v>5.1367860544465162E-2</v>
      </c>
    </row>
    <row r="14" spans="1:13" x14ac:dyDescent="0.25">
      <c r="A14" s="1" t="s">
        <v>94</v>
      </c>
      <c r="B14" s="13" t="s">
        <v>95</v>
      </c>
      <c r="C14" s="10">
        <v>2265000</v>
      </c>
      <c r="D14" s="11">
        <v>2265000000</v>
      </c>
      <c r="E14" s="3">
        <v>8.0700000000000008E-2</v>
      </c>
      <c r="F14" s="4" t="s">
        <v>71</v>
      </c>
      <c r="G14" s="4" t="s">
        <v>96</v>
      </c>
      <c r="H14" s="11">
        <v>1597764975</v>
      </c>
      <c r="I14" s="11">
        <v>62.958300000000001</v>
      </c>
      <c r="J14" s="11">
        <v>69.885049999999993</v>
      </c>
      <c r="K14" s="11">
        <v>156890887.5</v>
      </c>
      <c r="L14" s="11">
        <v>1582896382.5</v>
      </c>
      <c r="M14" s="6">
        <f t="shared" si="0"/>
        <v>5.2138554647521547E-2</v>
      </c>
    </row>
    <row r="15" spans="1:13" x14ac:dyDescent="0.25">
      <c r="A15" s="1" t="s">
        <v>97</v>
      </c>
      <c r="B15" s="13" t="s">
        <v>98</v>
      </c>
      <c r="C15" s="10">
        <v>3775000</v>
      </c>
      <c r="D15" s="11">
        <v>3775000000</v>
      </c>
      <c r="E15" s="3">
        <v>5.4900000000000004E-2</v>
      </c>
      <c r="F15" s="4" t="s">
        <v>71</v>
      </c>
      <c r="G15" s="4" t="s">
        <v>99</v>
      </c>
      <c r="H15" s="11">
        <v>3136670150</v>
      </c>
      <c r="I15" s="11">
        <v>87.201800000000006</v>
      </c>
      <c r="J15" s="11">
        <v>91.02955</v>
      </c>
      <c r="K15" s="11">
        <v>144497562.5</v>
      </c>
      <c r="L15" s="11">
        <v>3436365512.5</v>
      </c>
      <c r="M15" s="6">
        <f t="shared" si="0"/>
        <v>0.11318942480578929</v>
      </c>
    </row>
    <row r="16" spans="1:13" x14ac:dyDescent="0.25">
      <c r="A16" s="1" t="s">
        <v>100</v>
      </c>
      <c r="B16" s="13" t="s">
        <v>101</v>
      </c>
      <c r="C16" s="10">
        <v>2803860</v>
      </c>
      <c r="D16" s="11">
        <v>2803860000</v>
      </c>
      <c r="E16" s="3">
        <v>5.5E-2</v>
      </c>
      <c r="F16" s="4" t="s">
        <v>102</v>
      </c>
      <c r="G16" s="4" t="s">
        <v>103</v>
      </c>
      <c r="H16" s="11">
        <v>1773018067.1400001</v>
      </c>
      <c r="I16" s="11">
        <v>59.220600000000005</v>
      </c>
      <c r="J16" s="11">
        <v>62.642822222222215</v>
      </c>
      <c r="K16" s="11">
        <v>95954320</v>
      </c>
      <c r="L16" s="11">
        <v>1756417035.1600001</v>
      </c>
      <c r="M16" s="6">
        <f t="shared" si="0"/>
        <v>5.7854099980247722E-2</v>
      </c>
    </row>
    <row r="17" spans="1:15" x14ac:dyDescent="0.25">
      <c r="A17" s="1" t="s">
        <v>104</v>
      </c>
      <c r="B17" s="13" t="s">
        <v>105</v>
      </c>
      <c r="C17" s="10">
        <v>1038480</v>
      </c>
      <c r="D17" s="11">
        <v>1038480000</v>
      </c>
      <c r="E17" s="3">
        <v>0.12</v>
      </c>
      <c r="F17" s="4" t="s">
        <v>102</v>
      </c>
      <c r="G17" s="4" t="s">
        <v>106</v>
      </c>
      <c r="H17" s="11">
        <v>979029096.96000004</v>
      </c>
      <c r="I17" s="11">
        <v>86.744700000000009</v>
      </c>
      <c r="J17" s="11">
        <v>95.778033333333326</v>
      </c>
      <c r="K17" s="11">
        <v>93809360</v>
      </c>
      <c r="L17" s="11">
        <v>994635720.55999994</v>
      </c>
      <c r="M17" s="6">
        <f t="shared" si="0"/>
        <v>3.276201111085332E-2</v>
      </c>
    </row>
    <row r="18" spans="1:15" x14ac:dyDescent="0.25">
      <c r="A18" s="1" t="s">
        <v>107</v>
      </c>
      <c r="B18" s="13" t="s">
        <v>108</v>
      </c>
      <c r="C18" s="10">
        <v>506989</v>
      </c>
      <c r="D18" s="11">
        <v>506989000</v>
      </c>
      <c r="E18" s="3">
        <v>0.1535</v>
      </c>
      <c r="F18" s="4" t="s">
        <v>109</v>
      </c>
      <c r="G18" s="4" t="s">
        <v>110</v>
      </c>
      <c r="H18" s="11">
        <v>492216861.50999999</v>
      </c>
      <c r="I18" s="11">
        <v>98.244</v>
      </c>
      <c r="J18" s="11">
        <v>99.09677777777776</v>
      </c>
      <c r="K18" s="11">
        <v>4323489.5277777798</v>
      </c>
      <c r="L18" s="11">
        <v>502409762.687778</v>
      </c>
      <c r="M18" s="6">
        <f t="shared" si="0"/>
        <v>1.6548726219193975E-2</v>
      </c>
    </row>
    <row r="19" spans="1:15" x14ac:dyDescent="0.25">
      <c r="A19" s="1" t="s">
        <v>111</v>
      </c>
      <c r="B19" s="13" t="s">
        <v>112</v>
      </c>
      <c r="C19" s="10">
        <v>2100000</v>
      </c>
      <c r="D19" s="11">
        <v>2100000000</v>
      </c>
      <c r="E19" s="3">
        <v>0.14300000000000002</v>
      </c>
      <c r="F19" s="4" t="s">
        <v>113</v>
      </c>
      <c r="G19" s="4" t="s">
        <v>114</v>
      </c>
      <c r="H19" s="11">
        <v>2100000000</v>
      </c>
      <c r="I19" s="11">
        <v>94.458670567647403</v>
      </c>
      <c r="J19" s="11">
        <v>98.232281678758511</v>
      </c>
      <c r="K19" s="11">
        <v>79245833.333333328</v>
      </c>
      <c r="L19" s="11">
        <v>2062877915.2539279</v>
      </c>
      <c r="M19" s="6">
        <f t="shared" si="0"/>
        <v>6.7948524050425174E-2</v>
      </c>
    </row>
    <row r="20" spans="1:15" x14ac:dyDescent="0.25">
      <c r="A20" s="1" t="s">
        <v>115</v>
      </c>
      <c r="B20" s="13" t="s">
        <v>116</v>
      </c>
      <c r="C20" s="10">
        <v>1000000</v>
      </c>
      <c r="D20" s="11">
        <v>1000000000</v>
      </c>
      <c r="E20" s="3">
        <v>0.1389</v>
      </c>
      <c r="F20" s="4" t="s">
        <v>117</v>
      </c>
      <c r="G20" s="4" t="s">
        <v>118</v>
      </c>
      <c r="H20" s="11">
        <v>1000000000</v>
      </c>
      <c r="I20" s="11">
        <v>98.608217297241794</v>
      </c>
      <c r="J20" s="11">
        <v>98.994050630575131</v>
      </c>
      <c r="K20" s="11">
        <v>3858333.3333333302</v>
      </c>
      <c r="L20" s="11">
        <v>989940506.30575097</v>
      </c>
      <c r="M20" s="6">
        <f t="shared" si="0"/>
        <v>3.2607356840565364E-2</v>
      </c>
    </row>
    <row r="21" spans="1:15" x14ac:dyDescent="0.25">
      <c r="A21" s="1" t="s">
        <v>119</v>
      </c>
      <c r="B21" s="13" t="s">
        <v>120</v>
      </c>
      <c r="C21" s="10">
        <v>165739</v>
      </c>
      <c r="D21" s="11">
        <v>165739000</v>
      </c>
      <c r="E21" s="3">
        <v>0.125</v>
      </c>
      <c r="F21" s="4" t="s">
        <v>121</v>
      </c>
      <c r="G21" s="4" t="s">
        <v>122</v>
      </c>
      <c r="H21" s="11">
        <v>159596381.18279999</v>
      </c>
      <c r="I21" s="11">
        <v>96.899868560234694</v>
      </c>
      <c r="J21" s="11">
        <v>103.01097967133201</v>
      </c>
      <c r="K21" s="11">
        <v>10128494.444422221</v>
      </c>
      <c r="L21" s="11">
        <v>170729367.59746999</v>
      </c>
      <c r="M21" s="6">
        <f t="shared" si="0"/>
        <v>5.623604021609092E-3</v>
      </c>
    </row>
    <row r="22" spans="1:15" x14ac:dyDescent="0.25">
      <c r="A22" s="1" t="s">
        <v>123</v>
      </c>
      <c r="B22" s="13" t="s">
        <v>124</v>
      </c>
      <c r="C22" s="10">
        <v>494987</v>
      </c>
      <c r="D22" s="11">
        <v>494987000</v>
      </c>
      <c r="E22" s="3">
        <v>0.1701</v>
      </c>
      <c r="F22" s="4" t="s">
        <v>125</v>
      </c>
      <c r="G22" s="4" t="s">
        <v>126</v>
      </c>
      <c r="H22" s="11">
        <v>495088472.34249997</v>
      </c>
      <c r="I22" s="11">
        <v>102.53580000000001</v>
      </c>
      <c r="J22" s="11">
        <v>108.25305</v>
      </c>
      <c r="K22" s="11">
        <v>28299644.2575</v>
      </c>
      <c r="L22" s="11">
        <v>535838524.60350001</v>
      </c>
      <c r="M22" s="6">
        <f t="shared" si="0"/>
        <v>1.7649826297007728E-2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1717411040.6463668</v>
      </c>
      <c r="L24" s="22">
        <f>SUM(L4:L23)</f>
        <v>30359421990.138432</v>
      </c>
      <c r="M24" s="23"/>
      <c r="N24" s="26">
        <v>30359421990.138454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4280027.5999999996</v>
      </c>
      <c r="C27" s="58">
        <v>4280027.5999999996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1662768</v>
      </c>
      <c r="D32" s="7" t="s">
        <v>50</v>
      </c>
      <c r="E32" s="34" t="s">
        <v>54</v>
      </c>
      <c r="F32" s="34" t="s">
        <v>55</v>
      </c>
      <c r="G32" s="15">
        <v>97.428699999037732</v>
      </c>
      <c r="H32" s="15">
        <v>97.474477876649047</v>
      </c>
      <c r="I32" s="16">
        <f t="shared" ref="I32:I44" si="1">+C32*G32</f>
        <v>162001324.63999999</v>
      </c>
      <c r="J32" s="16">
        <f t="shared" ref="J32:J44" si="2">+C32*H32</f>
        <v>162077442.63</v>
      </c>
      <c r="K32" s="18">
        <v>0.17149899999999998</v>
      </c>
      <c r="L32" s="17"/>
      <c r="M32" s="17">
        <v>162001324.63999999</v>
      </c>
      <c r="N32" s="35"/>
    </row>
    <row r="33" spans="1:15" s="36" customFormat="1" ht="12" customHeight="1" x14ac:dyDescent="0.25">
      <c r="A33" s="12" t="s">
        <v>56</v>
      </c>
      <c r="B33" s="7" t="s">
        <v>57</v>
      </c>
      <c r="C33" s="14">
        <v>552552</v>
      </c>
      <c r="D33" s="7" t="s">
        <v>50</v>
      </c>
      <c r="E33" s="34" t="s">
        <v>54</v>
      </c>
      <c r="F33" s="34" t="s">
        <v>55</v>
      </c>
      <c r="G33" s="15">
        <v>874.39099999638006</v>
      </c>
      <c r="H33" s="15">
        <v>874.80064379461101</v>
      </c>
      <c r="I33" s="16">
        <f t="shared" si="1"/>
        <v>483146495.8299998</v>
      </c>
      <c r="J33" s="16">
        <f t="shared" si="2"/>
        <v>483372845.32999992</v>
      </c>
      <c r="K33" s="18">
        <v>0.17099899999999998</v>
      </c>
      <c r="L33" s="17"/>
      <c r="M33" s="17">
        <v>483146495.82999998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3117400</v>
      </c>
      <c r="D34" s="7" t="s">
        <v>50</v>
      </c>
      <c r="E34" s="34" t="s">
        <v>54</v>
      </c>
      <c r="F34" s="34" t="s">
        <v>55</v>
      </c>
      <c r="G34" s="15">
        <v>874.39100000000008</v>
      </c>
      <c r="H34" s="15">
        <v>874.80064379932003</v>
      </c>
      <c r="I34" s="16">
        <f t="shared" si="1"/>
        <v>2725826503.4000001</v>
      </c>
      <c r="J34" s="16">
        <f t="shared" si="2"/>
        <v>2727103526.98</v>
      </c>
      <c r="K34" s="18">
        <v>0.17099899999999998</v>
      </c>
      <c r="L34" s="17"/>
      <c r="M34" s="17">
        <v>2725826503.4000001</v>
      </c>
      <c r="N34" s="35"/>
    </row>
    <row r="35" spans="1:15" s="36" customFormat="1" ht="12" customHeight="1" x14ac:dyDescent="0.25">
      <c r="A35" s="12" t="s">
        <v>58</v>
      </c>
      <c r="B35" s="7" t="s">
        <v>59</v>
      </c>
      <c r="C35" s="14">
        <v>904761</v>
      </c>
      <c r="D35" s="7" t="s">
        <v>50</v>
      </c>
      <c r="E35" s="34" t="s">
        <v>60</v>
      </c>
      <c r="F35" s="34" t="s">
        <v>54</v>
      </c>
      <c r="G35" s="15">
        <v>819.46</v>
      </c>
      <c r="H35" s="15">
        <v>820.61172746172701</v>
      </c>
      <c r="I35" s="16">
        <f t="shared" si="1"/>
        <v>741415449.06000006</v>
      </c>
      <c r="J35" s="16">
        <f t="shared" si="2"/>
        <v>742457487.14999962</v>
      </c>
      <c r="K35" s="18">
        <v>0.17099899999999998</v>
      </c>
      <c r="L35" s="17">
        <v>347346.03</v>
      </c>
      <c r="M35" s="17"/>
      <c r="N35" s="35"/>
    </row>
    <row r="36" spans="1:15" s="36" customFormat="1" ht="12" customHeight="1" x14ac:dyDescent="0.25">
      <c r="A36" s="12" t="s">
        <v>58</v>
      </c>
      <c r="B36" s="7" t="s">
        <v>59</v>
      </c>
      <c r="C36" s="14">
        <v>904761</v>
      </c>
      <c r="D36" s="7" t="s">
        <v>50</v>
      </c>
      <c r="E36" s="34" t="s">
        <v>54</v>
      </c>
      <c r="F36" s="34" t="s">
        <v>54</v>
      </c>
      <c r="G36" s="15">
        <v>819.46</v>
      </c>
      <c r="H36" s="15">
        <v>820.61172746172701</v>
      </c>
      <c r="I36" s="16">
        <f t="shared" si="1"/>
        <v>741415449.06000006</v>
      </c>
      <c r="J36" s="16">
        <f t="shared" si="2"/>
        <v>742457487.14999962</v>
      </c>
      <c r="K36" s="18">
        <v>0.17099899999999998</v>
      </c>
      <c r="L36" s="17"/>
      <c r="M36" s="17"/>
      <c r="N36" s="35"/>
    </row>
    <row r="37" spans="1:15" s="36" customFormat="1" ht="12" customHeight="1" x14ac:dyDescent="0.25">
      <c r="A37" s="12" t="s">
        <v>61</v>
      </c>
      <c r="B37" s="7" t="s">
        <v>62</v>
      </c>
      <c r="C37" s="14">
        <v>999888</v>
      </c>
      <c r="D37" s="7" t="s">
        <v>50</v>
      </c>
      <c r="E37" s="34" t="s">
        <v>60</v>
      </c>
      <c r="F37" s="34" t="s">
        <v>54</v>
      </c>
      <c r="G37" s="15">
        <v>888.57899999800009</v>
      </c>
      <c r="H37" s="15">
        <v>889.82787222168906</v>
      </c>
      <c r="I37" s="16">
        <f t="shared" si="1"/>
        <v>888479479.15000033</v>
      </c>
      <c r="J37" s="16">
        <f t="shared" si="2"/>
        <v>889728211.50000024</v>
      </c>
      <c r="K37" s="18">
        <v>0.17099899999999998</v>
      </c>
      <c r="L37" s="17">
        <v>416244.11666666658</v>
      </c>
      <c r="M37" s="17"/>
      <c r="N37" s="35"/>
    </row>
    <row r="38" spans="1:15" s="36" customFormat="1" ht="12" customHeight="1" x14ac:dyDescent="0.25">
      <c r="A38" s="12" t="s">
        <v>61</v>
      </c>
      <c r="B38" s="7" t="s">
        <v>62</v>
      </c>
      <c r="C38" s="14">
        <v>999888</v>
      </c>
      <c r="D38" s="7" t="s">
        <v>50</v>
      </c>
      <c r="E38" s="34" t="s">
        <v>54</v>
      </c>
      <c r="F38" s="34" t="s">
        <v>54</v>
      </c>
      <c r="G38" s="15">
        <v>888.57899999800009</v>
      </c>
      <c r="H38" s="15">
        <v>889.82787222168906</v>
      </c>
      <c r="I38" s="16">
        <f t="shared" si="1"/>
        <v>888479479.15000033</v>
      </c>
      <c r="J38" s="16">
        <f t="shared" si="2"/>
        <v>889728211.50000024</v>
      </c>
      <c r="K38" s="18">
        <v>0.17099899999999998</v>
      </c>
      <c r="L38" s="17"/>
      <c r="M38" s="17"/>
      <c r="N38" s="35"/>
    </row>
    <row r="39" spans="1:15" s="36" customFormat="1" ht="12" customHeight="1" x14ac:dyDescent="0.25">
      <c r="A39" s="12" t="s">
        <v>63</v>
      </c>
      <c r="B39" s="7" t="s">
        <v>64</v>
      </c>
      <c r="C39" s="14">
        <v>125080</v>
      </c>
      <c r="D39" s="7" t="s">
        <v>50</v>
      </c>
      <c r="E39" s="34" t="s">
        <v>60</v>
      </c>
      <c r="F39" s="34" t="s">
        <v>54</v>
      </c>
      <c r="G39" s="15">
        <v>471.74789998401002</v>
      </c>
      <c r="H39" s="15">
        <v>472.41092812599902</v>
      </c>
      <c r="I39" s="16">
        <f t="shared" si="1"/>
        <v>59006227.329999976</v>
      </c>
      <c r="J39" s="16">
        <f t="shared" si="2"/>
        <v>59089158.889999956</v>
      </c>
      <c r="K39" s="18">
        <v>0.17099899999999998</v>
      </c>
      <c r="L39" s="17">
        <v>27643.8533333333</v>
      </c>
      <c r="M39" s="17"/>
      <c r="N39" s="35"/>
    </row>
    <row r="40" spans="1:15" s="36" customFormat="1" ht="12" customHeight="1" x14ac:dyDescent="0.25">
      <c r="A40" s="12" t="s">
        <v>63</v>
      </c>
      <c r="B40" s="7" t="s">
        <v>64</v>
      </c>
      <c r="C40" s="14">
        <v>125080</v>
      </c>
      <c r="D40" s="7" t="s">
        <v>50</v>
      </c>
      <c r="E40" s="34" t="s">
        <v>54</v>
      </c>
      <c r="F40" s="34" t="s">
        <v>54</v>
      </c>
      <c r="G40" s="15">
        <v>471.74789998401002</v>
      </c>
      <c r="H40" s="15">
        <v>472.41092812599902</v>
      </c>
      <c r="I40" s="16">
        <f t="shared" si="1"/>
        <v>59006227.329999976</v>
      </c>
      <c r="J40" s="16">
        <f t="shared" si="2"/>
        <v>59089158.889999956</v>
      </c>
      <c r="K40" s="18">
        <v>0.17099899999999998</v>
      </c>
      <c r="L40" s="17"/>
      <c r="M40" s="17"/>
      <c r="N40" s="35"/>
    </row>
    <row r="41" spans="1:15" s="36" customFormat="1" ht="12" customHeight="1" x14ac:dyDescent="0.25">
      <c r="A41" s="12" t="s">
        <v>65</v>
      </c>
      <c r="B41" s="7" t="s">
        <v>66</v>
      </c>
      <c r="C41" s="14">
        <v>1599696</v>
      </c>
      <c r="D41" s="7" t="s">
        <v>50</v>
      </c>
      <c r="E41" s="34" t="s">
        <v>60</v>
      </c>
      <c r="F41" s="34" t="s">
        <v>54</v>
      </c>
      <c r="G41" s="15">
        <v>946.03500000000008</v>
      </c>
      <c r="H41" s="15">
        <v>947.36462497874606</v>
      </c>
      <c r="I41" s="16">
        <f t="shared" si="1"/>
        <v>1513368405.3600001</v>
      </c>
      <c r="J41" s="16">
        <f t="shared" si="2"/>
        <v>1515495401.1200001</v>
      </c>
      <c r="K41" s="18">
        <v>0.17099899999999998</v>
      </c>
      <c r="L41" s="17">
        <v>708998.58666666667</v>
      </c>
      <c r="M41" s="17"/>
      <c r="N41" s="35"/>
    </row>
    <row r="42" spans="1:15" s="36" customFormat="1" ht="12" customHeight="1" x14ac:dyDescent="0.25">
      <c r="A42" s="12" t="s">
        <v>65</v>
      </c>
      <c r="B42" s="7" t="s">
        <v>66</v>
      </c>
      <c r="C42" s="14">
        <v>1599696</v>
      </c>
      <c r="D42" s="7" t="s">
        <v>50</v>
      </c>
      <c r="E42" s="34" t="s">
        <v>54</v>
      </c>
      <c r="F42" s="34" t="s">
        <v>54</v>
      </c>
      <c r="G42" s="15">
        <v>946.03500000000008</v>
      </c>
      <c r="H42" s="15">
        <v>947.36462497874606</v>
      </c>
      <c r="I42" s="16">
        <f t="shared" si="1"/>
        <v>1513368405.3600001</v>
      </c>
      <c r="J42" s="16">
        <f t="shared" si="2"/>
        <v>1515495401.1200001</v>
      </c>
      <c r="K42" s="18">
        <v>0.17099899999999998</v>
      </c>
      <c r="L42" s="17"/>
      <c r="M42" s="17"/>
      <c r="N42" s="35"/>
    </row>
    <row r="43" spans="1:15" s="36" customFormat="1" ht="12" customHeight="1" x14ac:dyDescent="0.25">
      <c r="A43" s="12" t="s">
        <v>67</v>
      </c>
      <c r="B43" s="7" t="s">
        <v>68</v>
      </c>
      <c r="C43" s="14">
        <v>175065</v>
      </c>
      <c r="D43" s="7" t="s">
        <v>50</v>
      </c>
      <c r="E43" s="34" t="s">
        <v>60</v>
      </c>
      <c r="F43" s="34" t="s">
        <v>54</v>
      </c>
      <c r="G43" s="15">
        <v>943.00100002856107</v>
      </c>
      <c r="H43" s="15">
        <v>944.33798686202306</v>
      </c>
      <c r="I43" s="16">
        <f t="shared" si="1"/>
        <v>165086470.07000005</v>
      </c>
      <c r="J43" s="16">
        <f t="shared" si="2"/>
        <v>165320529.67000008</v>
      </c>
      <c r="K43" s="18">
        <v>0.17249899999999999</v>
      </c>
      <c r="L43" s="17">
        <v>78019.866666666698</v>
      </c>
      <c r="M43" s="17"/>
      <c r="N43" s="35"/>
    </row>
    <row r="44" spans="1:15" s="36" customFormat="1" ht="12" customHeight="1" x14ac:dyDescent="0.25">
      <c r="A44" s="12" t="s">
        <v>67</v>
      </c>
      <c r="B44" s="7" t="s">
        <v>68</v>
      </c>
      <c r="C44" s="14">
        <v>175065</v>
      </c>
      <c r="D44" s="7" t="s">
        <v>50</v>
      </c>
      <c r="E44" s="34" t="s">
        <v>54</v>
      </c>
      <c r="F44" s="34" t="s">
        <v>54</v>
      </c>
      <c r="G44" s="15">
        <v>943.00100002856107</v>
      </c>
      <c r="H44" s="15">
        <v>944.33798686202306</v>
      </c>
      <c r="I44" s="16">
        <f t="shared" si="1"/>
        <v>165086470.07000005</v>
      </c>
      <c r="J44" s="16">
        <f t="shared" si="2"/>
        <v>165320529.67000008</v>
      </c>
      <c r="K44" s="18">
        <v>0.17249899999999999</v>
      </c>
      <c r="L44" s="17"/>
      <c r="M44" s="17"/>
      <c r="N44" s="35"/>
    </row>
    <row r="45" spans="1:15" s="36" customFormat="1" ht="11.25" hidden="1" x14ac:dyDescent="0.25">
      <c r="A45" s="7"/>
      <c r="B45" s="7"/>
      <c r="C45" s="7"/>
      <c r="D45" s="7"/>
      <c r="E45" s="37"/>
      <c r="F45" s="37"/>
      <c r="G45" s="7"/>
      <c r="H45" s="7"/>
      <c r="I45" s="8"/>
      <c r="J45" s="8"/>
      <c r="K45" s="7"/>
      <c r="L45" s="9"/>
      <c r="M45" s="9"/>
      <c r="N45" s="35"/>
    </row>
    <row r="46" spans="1:15" x14ac:dyDescent="0.25">
      <c r="A46" s="1" t="s">
        <v>5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2">
        <f>SUM(M32:M45)</f>
        <v>3370974323.8699999</v>
      </c>
      <c r="N46" s="38">
        <v>3370974323.8699999</v>
      </c>
      <c r="O46" s="29">
        <f>M46-N46</f>
        <v>0</v>
      </c>
    </row>
    <row r="48" spans="1:15" x14ac:dyDescent="0.25">
      <c r="A48" s="39" t="s">
        <v>28</v>
      </c>
      <c r="B48" s="33"/>
      <c r="D48" s="33"/>
      <c r="F48" s="28"/>
      <c r="G48" s="28"/>
    </row>
    <row r="49" spans="1:9" ht="22.5" x14ac:dyDescent="0.25">
      <c r="A49" s="19" t="s">
        <v>6</v>
      </c>
      <c r="B49" s="19" t="s">
        <v>29</v>
      </c>
      <c r="C49" s="19" t="s">
        <v>17</v>
      </c>
      <c r="D49" s="19" t="s">
        <v>30</v>
      </c>
      <c r="E49" s="19" t="s">
        <v>16</v>
      </c>
      <c r="F49" s="19" t="s">
        <v>31</v>
      </c>
      <c r="G49" s="19" t="s">
        <v>32</v>
      </c>
    </row>
    <row r="50" spans="1:9" x14ac:dyDescent="0.25">
      <c r="A50" s="57">
        <f ca="1">IF(OFFSET(A50,-1,0)="№ п/п",1,OFFSET(A50,-1,0)+1)</f>
        <v>1</v>
      </c>
      <c r="B50" s="40" t="s">
        <v>49</v>
      </c>
      <c r="C50" s="52" t="s">
        <v>50</v>
      </c>
      <c r="D50" s="53" t="s">
        <v>51</v>
      </c>
      <c r="E50" s="54">
        <v>1000000</v>
      </c>
      <c r="F50" s="55">
        <v>69450000</v>
      </c>
      <c r="G50" s="56">
        <v>69450000</v>
      </c>
      <c r="H50" s="58">
        <v>69450000</v>
      </c>
      <c r="I50" s="29">
        <f>G50-H50</f>
        <v>0</v>
      </c>
    </row>
    <row r="51" spans="1:9" hidden="1" x14ac:dyDescent="0.25">
      <c r="B51" s="42"/>
      <c r="C51" s="43"/>
      <c r="D51" s="44"/>
      <c r="G51" s="45"/>
      <c r="H51" s="33"/>
    </row>
    <row r="52" spans="1:9" x14ac:dyDescent="0.25">
      <c r="G52" s="46">
        <f>SUM(G50:G51)</f>
        <v>69450000</v>
      </c>
    </row>
    <row r="54" spans="1:9" x14ac:dyDescent="0.25">
      <c r="A54" s="47" t="s">
        <v>13</v>
      </c>
      <c r="B54" s="48">
        <f>+L24+B27+M46+G52</f>
        <v>33804126341.608429</v>
      </c>
      <c r="C54" s="32">
        <v>33804126341.608452</v>
      </c>
      <c r="D54" s="29">
        <f>B54-C54</f>
        <v>0</v>
      </c>
    </row>
    <row r="57" spans="1:9" x14ac:dyDescent="0.25">
      <c r="A57" s="24" t="s">
        <v>46</v>
      </c>
      <c r="B57" s="33"/>
    </row>
    <row r="58" spans="1:9" x14ac:dyDescent="0.25">
      <c r="A58" s="49" t="s">
        <v>35</v>
      </c>
      <c r="B58" s="50"/>
    </row>
    <row r="59" spans="1:9" x14ac:dyDescent="0.25">
      <c r="A59" s="49" t="s">
        <v>36</v>
      </c>
      <c r="B59" s="41"/>
    </row>
    <row r="60" spans="1:9" x14ac:dyDescent="0.25">
      <c r="A60" s="49" t="s">
        <v>37</v>
      </c>
      <c r="B60" s="41">
        <v>604572.15999999992</v>
      </c>
    </row>
    <row r="61" spans="1:9" x14ac:dyDescent="0.25">
      <c r="A61" s="49" t="s">
        <v>38</v>
      </c>
      <c r="B61" s="41"/>
    </row>
    <row r="62" spans="1:9" x14ac:dyDescent="0.25">
      <c r="A62" s="49" t="s">
        <v>39</v>
      </c>
      <c r="B62" s="50"/>
    </row>
    <row r="63" spans="1:9" x14ac:dyDescent="0.25">
      <c r="A63" s="49" t="s">
        <v>40</v>
      </c>
      <c r="B63" s="51">
        <v>175181.94999999998</v>
      </c>
    </row>
    <row r="64" spans="1:9" x14ac:dyDescent="0.25">
      <c r="A64" s="49" t="s">
        <v>41</v>
      </c>
      <c r="B64" s="51">
        <v>87366.03</v>
      </c>
    </row>
    <row r="65" spans="1:2" x14ac:dyDescent="0.25">
      <c r="A65" s="49" t="s">
        <v>42</v>
      </c>
      <c r="B65" s="41"/>
    </row>
    <row r="66" spans="1:2" x14ac:dyDescent="0.25">
      <c r="A66" s="49" t="s">
        <v>43</v>
      </c>
      <c r="B66" s="41"/>
    </row>
    <row r="67" spans="1:2" x14ac:dyDescent="0.25">
      <c r="A67" s="49" t="s">
        <v>44</v>
      </c>
      <c r="B67" s="51"/>
    </row>
    <row r="68" spans="1:2" x14ac:dyDescent="0.25">
      <c r="A68" s="49" t="s">
        <v>45</v>
      </c>
      <c r="B68" s="50">
        <f>SUM(B58:B67)</f>
        <v>867120.1399999999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2025-12-09T06:48:29Z</dcterms:created>
  <dcterms:modified xsi:type="dcterms:W3CDTF">2025-12-09T06:59:34Z</dcterms:modified>
</cp:coreProperties>
</file>