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97782719-8F42-4A32-9667-C5B3C2DCB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O47" i="1"/>
  <c r="O24" i="1"/>
  <c r="D27" i="1"/>
  <c r="B68" i="1"/>
  <c r="G52" i="1"/>
  <c r="M47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2" i="1" l="1"/>
  <c r="M13" i="1"/>
  <c r="B54" i="1"/>
  <c r="M9" i="1"/>
  <c r="M15" i="1"/>
  <c r="M21" i="1"/>
  <c r="M7" i="1"/>
  <c r="M4" i="1"/>
  <c r="M10" i="1"/>
  <c r="M16" i="1"/>
  <c r="M22" i="1"/>
  <c r="M18" i="1"/>
  <c r="M5" i="1"/>
  <c r="M11" i="1"/>
  <c r="M17" i="1"/>
  <c r="M6" i="1"/>
  <c r="M19" i="1"/>
  <c r="M8" i="1"/>
  <c r="M14" i="1"/>
</calcChain>
</file>

<file path=xl/sharedStrings.xml><?xml version="1.0" encoding="utf-8"?>
<sst xmlns="http://schemas.openxmlformats.org/spreadsheetml/2006/main" count="200" uniqueCount="125">
  <si>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</si>
  <si>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</si>
  <si>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</si>
  <si>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</si>
  <si>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</si>
  <si>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</si>
  <si>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</si>
  <si>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</si>
  <si>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</si>
  <si>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</si>
  <si>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</si>
  <si>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</si>
  <si>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</si>
  <si>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</si>
  <si>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</si>
  <si>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</si>
  <si>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</si>
  <si>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</si>
  <si>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</si>
  <si>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</si>
  <si>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</si>
  <si>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</si>
  <si>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</si>
  <si>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</si>
  <si>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</si>
  <si>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</si>
  <si>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</si>
  <si>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</si>
  <si>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</si>
  <si>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</si>
  <si>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</si>
  <si>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</si>
  <si>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</si>
  <si>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</si>
  <si>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</si>
  <si>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</si>
  <si>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</si>
  <si>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</si>
  <si>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</si>
  <si>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</si>
  <si>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</si>
  <si>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</si>
  <si>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</si>
  <si>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</si>
  <si>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</si>
  <si>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</si>
  <si>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</si>
  <si>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</si>
  <si>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</si>
  <si>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MUM108_0012</t>
  </si>
  <si>
    <t>KZKD00000915</t>
  </si>
  <si>
    <t>KZT</t>
  </si>
  <si>
    <t>25.12.2025</t>
  </si>
  <si>
    <t>26.12.2025</t>
  </si>
  <si>
    <t>МИНИСТЕРСТВО ФИНАНСОВ РК, ОБЛИГАЦИИ, MFKZ.0435</t>
  </si>
  <si>
    <t>XS2914770545</t>
  </si>
  <si>
    <t>24.12.2025</t>
  </si>
  <si>
    <t>МИНИСТЕРСТВО ФИНАНСОВ РК, ГЦБ, MUM096_0014</t>
  </si>
  <si>
    <t>KZKD00001228</t>
  </si>
  <si>
    <t>МИНИСТЕРСТВО ФИНАНСОВ РК, ГЦБ, MOM048_0054</t>
  </si>
  <si>
    <t>KZK200000729</t>
  </si>
  <si>
    <t>МИНИСТЕРСТВО ФИНАНСОВ РК, ГЦБ, KZ_10_2811</t>
  </si>
  <si>
    <t>XS1901718335</t>
  </si>
  <si>
    <t>АО КФУ, ОБЛИГАЦИИ, KFUSb54</t>
  </si>
  <si>
    <t>KZ2C00009462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</si>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</sst>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16" zoomScale="90" zoomScaleNormal="90" workbookViewId="0">
      <selection activeCell="D55" sqref="D5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99.551500000000004</v>
      </c>
      <c r="J4" s="11">
        <v>104.115888888889</v>
      </c>
      <c r="K4" s="11">
        <v>137844544.444444</v>
      </c>
      <c r="L4" s="11">
        <v>3144299844.4444442</v>
      </c>
      <c r="M4" s="6">
        <f t="shared" ref="M4:M22" si="0">L4/$L$24</f>
        <v>0.10147540921131321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85.509799999999998</v>
      </c>
      <c r="J5" s="11">
        <v>89.817716666666655</v>
      </c>
      <c r="K5" s="11">
        <v>97574312.499999985</v>
      </c>
      <c r="L5" s="11">
        <v>2034371282.499999</v>
      </c>
      <c r="M5" s="6">
        <f t="shared" si="0"/>
        <v>6.5654889352928875E-2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85.509799999999998</v>
      </c>
      <c r="J6" s="11">
        <v>89.817716666666911</v>
      </c>
      <c r="K6" s="11">
        <v>66843616.641666658</v>
      </c>
      <c r="L6" s="11">
        <v>1393653007.9496701</v>
      </c>
      <c r="M6" s="6">
        <f t="shared" si="0"/>
        <v>4.497710659819646E-2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85.509799999999998</v>
      </c>
      <c r="J7" s="11">
        <v>89.817716666666655</v>
      </c>
      <c r="K7" s="11">
        <v>23507956.61666666</v>
      </c>
      <c r="L7" s="11">
        <v>490128094.43266702</v>
      </c>
      <c r="M7" s="6">
        <f t="shared" si="0"/>
        <v>1.5817813633897795E-2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88.945900000000009</v>
      </c>
      <c r="J8" s="11">
        <v>96.254788888888882</v>
      </c>
      <c r="K8" s="11">
        <v>165546333.33333299</v>
      </c>
      <c r="L8" s="11">
        <v>2180170968.333333</v>
      </c>
      <c r="M8" s="6">
        <f t="shared" si="0"/>
        <v>7.0360255734878543E-2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87.427700000000002</v>
      </c>
      <c r="J9" s="11">
        <v>95.524922222222216</v>
      </c>
      <c r="K9" s="11">
        <v>183402083.33333299</v>
      </c>
      <c r="L9" s="11">
        <v>2163639488.333333</v>
      </c>
      <c r="M9" s="6">
        <f t="shared" si="0"/>
        <v>6.9826738328505028E-2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81.214800000000011</v>
      </c>
      <c r="J10" s="11">
        <v>89.16868888888888</v>
      </c>
      <c r="K10" s="11">
        <v>180155583.33333299</v>
      </c>
      <c r="L10" s="11">
        <v>2019670803.333333</v>
      </c>
      <c r="M10" s="6">
        <f t="shared" si="0"/>
        <v>6.5180463498894781E-2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72.169800000000009</v>
      </c>
      <c r="J11" s="11">
        <v>78.014383333333328</v>
      </c>
      <c r="K11" s="11">
        <v>132379812.5</v>
      </c>
      <c r="L11" s="11">
        <v>1767025782.499999</v>
      </c>
      <c r="M11" s="6">
        <f t="shared" si="0"/>
        <v>5.7026897317997337E-2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80.065100000000001</v>
      </c>
      <c r="J12" s="11">
        <v>84.473016666666652</v>
      </c>
      <c r="K12" s="11">
        <v>99839312.5</v>
      </c>
      <c r="L12" s="11">
        <v>1913313827.5</v>
      </c>
      <c r="M12" s="6">
        <f t="shared" si="0"/>
        <v>6.1748024425301237E-2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66.194699999999997</v>
      </c>
      <c r="J13" s="11">
        <v>71.193616666666657</v>
      </c>
      <c r="K13" s="11">
        <v>113225462.5</v>
      </c>
      <c r="L13" s="11">
        <v>1612535417.5</v>
      </c>
      <c r="M13" s="6">
        <f t="shared" si="0"/>
        <v>5.2041058249474928E-2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64.970399999999998</v>
      </c>
      <c r="J14" s="11">
        <v>72.278233333333333</v>
      </c>
      <c r="K14" s="11">
        <v>165522425</v>
      </c>
      <c r="L14" s="11">
        <v>1637101985</v>
      </c>
      <c r="M14" s="6">
        <f t="shared" si="0"/>
        <v>5.2833890553424717E-2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88.020800000000008</v>
      </c>
      <c r="J15" s="11">
        <v>92.107799999999997</v>
      </c>
      <c r="K15" s="11">
        <v>154284250</v>
      </c>
      <c r="L15" s="11">
        <v>3477069450</v>
      </c>
      <c r="M15" s="6">
        <f t="shared" si="0"/>
        <v>0.11221482134355648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60.925800000000002</v>
      </c>
      <c r="J16" s="11">
        <v>64.607744444444435</v>
      </c>
      <c r="K16" s="11">
        <v>103236567.5</v>
      </c>
      <c r="L16" s="11">
        <v>1811510703.3800001</v>
      </c>
      <c r="M16" s="6">
        <f t="shared" si="0"/>
        <v>5.8462550968525248E-2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88.317900000000009</v>
      </c>
      <c r="J17" s="11">
        <v>97.917900000000003</v>
      </c>
      <c r="K17" s="11">
        <v>99694080</v>
      </c>
      <c r="L17" s="11">
        <v>1016857807.92</v>
      </c>
      <c r="M17" s="6">
        <f t="shared" si="0"/>
        <v>3.2816864571843185E-2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98.957700000000003</v>
      </c>
      <c r="J18" s="11">
        <v>100.535338888889</v>
      </c>
      <c r="K18" s="11">
        <v>7998455.6263888897</v>
      </c>
      <c r="L18" s="11">
        <v>509703109.27938902</v>
      </c>
      <c r="M18" s="6">
        <f t="shared" si="0"/>
        <v>1.6449554479287691E-2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95.319046975971901</v>
      </c>
      <c r="J19" s="11">
        <v>99.767935864860775</v>
      </c>
      <c r="K19" s="11">
        <v>93426666.666666657</v>
      </c>
      <c r="L19" s="11">
        <v>2095126653.162076</v>
      </c>
      <c r="M19" s="6">
        <f t="shared" si="0"/>
        <v>6.7615636229729548E-2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99.049906941099195</v>
      </c>
      <c r="J20" s="11">
        <v>100.091656941099</v>
      </c>
      <c r="K20" s="11">
        <v>10417499.999999991</v>
      </c>
      <c r="L20" s="11">
        <v>1000916569.410991</v>
      </c>
      <c r="M20" s="6">
        <f t="shared" si="0"/>
        <v>3.2302395920294255E-2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97.201336830076499</v>
      </c>
      <c r="J21" s="11">
        <v>103.902725718952</v>
      </c>
      <c r="K21" s="11">
        <v>11106814.930533331</v>
      </c>
      <c r="L21" s="11">
        <v>172207338.57933399</v>
      </c>
      <c r="M21" s="6">
        <f t="shared" si="0"/>
        <v>5.5576156906297358E-3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103.8922</v>
      </c>
      <c r="J22" s="11">
        <v>110.4127</v>
      </c>
      <c r="K22" s="11">
        <v>32275627.335000001</v>
      </c>
      <c r="L22" s="11">
        <v>546528511.34899998</v>
      </c>
      <c r="M22" s="6">
        <f t="shared" si="0"/>
        <v>1.7638013891321011E-2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1878281404.7613654</v>
      </c>
      <c r="L24" s="22">
        <f>SUM(L4:L23)</f>
        <v>30985830644.907566</v>
      </c>
      <c r="M24" s="23"/>
      <c r="N24" s="26">
        <v>30985830644.907589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7191638.5499999998</v>
      </c>
      <c r="C27" s="51">
        <v>7191638.5499999998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255715</v>
      </c>
      <c r="D32" s="7" t="s">
        <v>51</v>
      </c>
      <c r="E32" s="34" t="s">
        <v>52</v>
      </c>
      <c r="F32" s="34" t="s">
        <v>53</v>
      </c>
      <c r="G32" s="15">
        <v>1005.25</v>
      </c>
      <c r="H32" s="15">
        <v>1005.720674579121</v>
      </c>
      <c r="I32" s="16">
        <f t="shared" ref="I32:I45" si="1">+C32*G32</f>
        <v>257057503.75</v>
      </c>
      <c r="J32" s="16">
        <f t="shared" ref="J32:J45" si="2">+C32*H32</f>
        <v>257177862.29999992</v>
      </c>
      <c r="K32" s="18">
        <v>0.170899</v>
      </c>
      <c r="L32" s="17"/>
      <c r="M32" s="17">
        <v>257057503.75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3190965</v>
      </c>
      <c r="D33" s="7" t="s">
        <v>51</v>
      </c>
      <c r="E33" s="34" t="s">
        <v>52</v>
      </c>
      <c r="F33" s="34" t="s">
        <v>53</v>
      </c>
      <c r="G33" s="15">
        <v>1005.25</v>
      </c>
      <c r="H33" s="15">
        <v>1005.720674573365</v>
      </c>
      <c r="I33" s="16">
        <f t="shared" si="1"/>
        <v>3207717566.25</v>
      </c>
      <c r="J33" s="16">
        <f t="shared" si="2"/>
        <v>3209219472.3399978</v>
      </c>
      <c r="K33" s="18">
        <v>0.170899</v>
      </c>
      <c r="L33" s="17"/>
      <c r="M33" s="17">
        <v>3207717566.25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164388</v>
      </c>
      <c r="D34" s="7" t="s">
        <v>51</v>
      </c>
      <c r="E34" s="34" t="s">
        <v>56</v>
      </c>
      <c r="F34" s="34" t="s">
        <v>52</v>
      </c>
      <c r="G34" s="15">
        <v>511.02290002919904</v>
      </c>
      <c r="H34" s="15">
        <v>511.26091071124404</v>
      </c>
      <c r="I34" s="16">
        <f t="shared" si="1"/>
        <v>84006032.489999965</v>
      </c>
      <c r="J34" s="16">
        <f t="shared" si="2"/>
        <v>84045158.589999989</v>
      </c>
      <c r="K34" s="18">
        <v>0.17</v>
      </c>
      <c r="L34" s="17">
        <v>39126.1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164388</v>
      </c>
      <c r="D35" s="7" t="s">
        <v>51</v>
      </c>
      <c r="E35" s="34" t="s">
        <v>52</v>
      </c>
      <c r="F35" s="34" t="s">
        <v>52</v>
      </c>
      <c r="G35" s="15">
        <v>511.02290002919904</v>
      </c>
      <c r="H35" s="15">
        <v>511.26091071124404</v>
      </c>
      <c r="I35" s="16">
        <f t="shared" si="1"/>
        <v>84006032.489999965</v>
      </c>
      <c r="J35" s="16">
        <f t="shared" si="2"/>
        <v>84045158.589999989</v>
      </c>
      <c r="K35" s="18">
        <v>0.17</v>
      </c>
      <c r="L35" s="17"/>
      <c r="M35" s="17"/>
      <c r="N35" s="35"/>
    </row>
    <row r="36" spans="1:15" s="36" customFormat="1" ht="12" customHeight="1" x14ac:dyDescent="0.25">
      <c r="A36" s="12" t="s">
        <v>57</v>
      </c>
      <c r="B36" s="7" t="s">
        <v>58</v>
      </c>
      <c r="C36" s="14">
        <v>1075677</v>
      </c>
      <c r="D36" s="7" t="s">
        <v>51</v>
      </c>
      <c r="E36" s="34" t="s">
        <v>56</v>
      </c>
      <c r="F36" s="34" t="s">
        <v>52</v>
      </c>
      <c r="G36" s="15">
        <v>1023.5540000018591</v>
      </c>
      <c r="H36" s="15">
        <v>1024.0307237860432</v>
      </c>
      <c r="I36" s="16">
        <f t="shared" si="1"/>
        <v>1101013496.0599997</v>
      </c>
      <c r="J36" s="16">
        <f t="shared" si="2"/>
        <v>1101526296.8699996</v>
      </c>
      <c r="K36" s="18">
        <v>0.17</v>
      </c>
      <c r="L36" s="17">
        <v>512800.81</v>
      </c>
      <c r="M36" s="17"/>
      <c r="N36" s="35"/>
    </row>
    <row r="37" spans="1:15" s="36" customFormat="1" ht="12" customHeight="1" x14ac:dyDescent="0.25">
      <c r="A37" s="12" t="s">
        <v>57</v>
      </c>
      <c r="B37" s="7" t="s">
        <v>58</v>
      </c>
      <c r="C37" s="14">
        <v>1075677</v>
      </c>
      <c r="D37" s="7" t="s">
        <v>51</v>
      </c>
      <c r="E37" s="34" t="s">
        <v>52</v>
      </c>
      <c r="F37" s="34" t="s">
        <v>52</v>
      </c>
      <c r="G37" s="15">
        <v>1023.5540000018591</v>
      </c>
      <c r="H37" s="15">
        <v>1024.0307237860432</v>
      </c>
      <c r="I37" s="16">
        <f t="shared" si="1"/>
        <v>1101013496.0599997</v>
      </c>
      <c r="J37" s="16">
        <f t="shared" si="2"/>
        <v>1101526296.8699996</v>
      </c>
      <c r="K37" s="18">
        <v>0.17</v>
      </c>
      <c r="L37" s="17"/>
      <c r="M37" s="17"/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15664</v>
      </c>
      <c r="D38" s="7" t="s">
        <v>51</v>
      </c>
      <c r="E38" s="34" t="s">
        <v>56</v>
      </c>
      <c r="F38" s="34" t="s">
        <v>52</v>
      </c>
      <c r="G38" s="15">
        <v>1021.5779998723181</v>
      </c>
      <c r="H38" s="15">
        <v>1022.053803626149</v>
      </c>
      <c r="I38" s="16">
        <f t="shared" si="1"/>
        <v>16001997.78999999</v>
      </c>
      <c r="J38" s="16">
        <f t="shared" si="2"/>
        <v>16009450.779999999</v>
      </c>
      <c r="K38" s="18">
        <v>0.17</v>
      </c>
      <c r="L38" s="17">
        <v>7452.99</v>
      </c>
      <c r="M38" s="17"/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15664</v>
      </c>
      <c r="D39" s="7" t="s">
        <v>51</v>
      </c>
      <c r="E39" s="34" t="s">
        <v>52</v>
      </c>
      <c r="F39" s="34" t="s">
        <v>52</v>
      </c>
      <c r="G39" s="15">
        <v>1021.5779998723181</v>
      </c>
      <c r="H39" s="15">
        <v>1022.053803626149</v>
      </c>
      <c r="I39" s="16">
        <f t="shared" si="1"/>
        <v>16001997.78999999</v>
      </c>
      <c r="J39" s="16">
        <f t="shared" si="2"/>
        <v>16009450.779999999</v>
      </c>
      <c r="K39" s="18">
        <v>0.17</v>
      </c>
      <c r="L39" s="17"/>
      <c r="M39" s="17"/>
      <c r="N39" s="35"/>
    </row>
    <row r="40" spans="1:15" s="36" customFormat="1" ht="12" customHeight="1" x14ac:dyDescent="0.25">
      <c r="A40" s="12" t="s">
        <v>61</v>
      </c>
      <c r="B40" s="7" t="s">
        <v>62</v>
      </c>
      <c r="C40" s="14">
        <v>30456</v>
      </c>
      <c r="D40" s="7" t="s">
        <v>51</v>
      </c>
      <c r="E40" s="34" t="s">
        <v>56</v>
      </c>
      <c r="F40" s="34" t="s">
        <v>52</v>
      </c>
      <c r="G40" s="15">
        <v>591.25350013133698</v>
      </c>
      <c r="H40" s="15">
        <v>591.52887838192805</v>
      </c>
      <c r="I40" s="16">
        <f t="shared" si="1"/>
        <v>18007216.599999998</v>
      </c>
      <c r="J40" s="16">
        <f t="shared" si="2"/>
        <v>18015603.52</v>
      </c>
      <c r="K40" s="18">
        <v>0.17</v>
      </c>
      <c r="L40" s="17">
        <v>8386.92</v>
      </c>
      <c r="M40" s="17"/>
      <c r="N40" s="35"/>
    </row>
    <row r="41" spans="1:15" s="36" customFormat="1" ht="12" customHeight="1" x14ac:dyDescent="0.25">
      <c r="A41" s="12" t="s">
        <v>61</v>
      </c>
      <c r="B41" s="7" t="s">
        <v>62</v>
      </c>
      <c r="C41" s="14">
        <v>30456</v>
      </c>
      <c r="D41" s="7" t="s">
        <v>51</v>
      </c>
      <c r="E41" s="34" t="s">
        <v>52</v>
      </c>
      <c r="F41" s="34" t="s">
        <v>52</v>
      </c>
      <c r="G41" s="15">
        <v>591.25350013133698</v>
      </c>
      <c r="H41" s="15">
        <v>591.52887838192805</v>
      </c>
      <c r="I41" s="16">
        <f t="shared" si="1"/>
        <v>18007216.599999998</v>
      </c>
      <c r="J41" s="16">
        <f t="shared" si="2"/>
        <v>18015603.52</v>
      </c>
      <c r="K41" s="18">
        <v>0.17</v>
      </c>
      <c r="L41" s="17"/>
      <c r="M41" s="17"/>
      <c r="N41" s="35"/>
    </row>
    <row r="42" spans="1:15" s="36" customFormat="1" ht="12" customHeight="1" x14ac:dyDescent="0.25">
      <c r="A42" s="12" t="s">
        <v>63</v>
      </c>
      <c r="B42" s="7" t="s">
        <v>64</v>
      </c>
      <c r="C42" s="14">
        <v>1904504</v>
      </c>
      <c r="D42" s="7" t="s">
        <v>51</v>
      </c>
      <c r="E42" s="34" t="s">
        <v>56</v>
      </c>
      <c r="F42" s="34" t="s">
        <v>52</v>
      </c>
      <c r="G42" s="15">
        <v>1044.4329999989491</v>
      </c>
      <c r="H42" s="15">
        <v>1044.919448244792</v>
      </c>
      <c r="I42" s="16">
        <f t="shared" si="1"/>
        <v>1989126826.2299986</v>
      </c>
      <c r="J42" s="16">
        <f t="shared" si="2"/>
        <v>1990053268.8599992</v>
      </c>
      <c r="K42" s="18">
        <v>0.17</v>
      </c>
      <c r="L42" s="17">
        <v>926442.63</v>
      </c>
      <c r="M42" s="17"/>
      <c r="N42" s="35"/>
    </row>
    <row r="43" spans="1:15" s="36" customFormat="1" ht="12" customHeight="1" x14ac:dyDescent="0.25">
      <c r="A43" s="12" t="s">
        <v>63</v>
      </c>
      <c r="B43" s="7" t="s">
        <v>64</v>
      </c>
      <c r="C43" s="14">
        <v>1904504</v>
      </c>
      <c r="D43" s="7" t="s">
        <v>51</v>
      </c>
      <c r="E43" s="34" t="s">
        <v>52</v>
      </c>
      <c r="F43" s="34" t="s">
        <v>52</v>
      </c>
      <c r="G43" s="15">
        <v>1044.4329999989491</v>
      </c>
      <c r="H43" s="15">
        <v>1044.919448244792</v>
      </c>
      <c r="I43" s="16">
        <f t="shared" si="1"/>
        <v>1989126826.2299986</v>
      </c>
      <c r="J43" s="16">
        <f t="shared" si="2"/>
        <v>1990053268.8599992</v>
      </c>
      <c r="K43" s="18">
        <v>0.17</v>
      </c>
      <c r="L43" s="17"/>
      <c r="M43" s="17"/>
      <c r="N43" s="35"/>
    </row>
    <row r="44" spans="1:15" s="36" customFormat="1" ht="12" customHeight="1" x14ac:dyDescent="0.25">
      <c r="A44" s="12" t="s">
        <v>57</v>
      </c>
      <c r="B44" s="7" t="s">
        <v>58</v>
      </c>
      <c r="C44" s="14">
        <v>251089</v>
      </c>
      <c r="D44" s="7" t="s">
        <v>51</v>
      </c>
      <c r="E44" s="34" t="s">
        <v>56</v>
      </c>
      <c r="F44" s="34" t="s">
        <v>52</v>
      </c>
      <c r="G44" s="15">
        <v>1023.55400001593</v>
      </c>
      <c r="H44" s="15">
        <v>1024.0307238070961</v>
      </c>
      <c r="I44" s="16">
        <f t="shared" si="1"/>
        <v>257003150.30999985</v>
      </c>
      <c r="J44" s="16">
        <f t="shared" si="2"/>
        <v>257122850.40999997</v>
      </c>
      <c r="K44" s="18">
        <v>0.17</v>
      </c>
      <c r="L44" s="17">
        <v>119700.1</v>
      </c>
      <c r="M44" s="17"/>
      <c r="N44" s="35"/>
    </row>
    <row r="45" spans="1:15" s="36" customFormat="1" ht="12" customHeight="1" x14ac:dyDescent="0.25">
      <c r="A45" s="12" t="s">
        <v>57</v>
      </c>
      <c r="B45" s="7" t="s">
        <v>58</v>
      </c>
      <c r="C45" s="14">
        <v>251089</v>
      </c>
      <c r="D45" s="7" t="s">
        <v>51</v>
      </c>
      <c r="E45" s="34" t="s">
        <v>52</v>
      </c>
      <c r="F45" s="34" t="s">
        <v>52</v>
      </c>
      <c r="G45" s="15">
        <v>1023.55400001593</v>
      </c>
      <c r="H45" s="15">
        <v>1024.0307238070961</v>
      </c>
      <c r="I45" s="16">
        <f t="shared" si="1"/>
        <v>257003150.30999985</v>
      </c>
      <c r="J45" s="16">
        <f t="shared" si="2"/>
        <v>257122850.40999997</v>
      </c>
      <c r="K45" s="18">
        <v>0.17</v>
      </c>
      <c r="L45" s="17"/>
      <c r="M45" s="17"/>
      <c r="N45" s="35"/>
    </row>
    <row r="46" spans="1:15" s="36" customFormat="1" ht="11.25" hidden="1" x14ac:dyDescent="0.25">
      <c r="A46" s="7"/>
      <c r="B46" s="7"/>
      <c r="C46" s="7"/>
      <c r="D46" s="7"/>
      <c r="E46" s="37"/>
      <c r="F46" s="37"/>
      <c r="G46" s="7"/>
      <c r="H46" s="7"/>
      <c r="I46" s="8"/>
      <c r="J46" s="8"/>
      <c r="K46" s="7"/>
      <c r="L46" s="9"/>
      <c r="M46" s="9"/>
      <c r="N46" s="35"/>
    </row>
    <row r="47" spans="1:15" x14ac:dyDescent="0.25">
      <c r="A47" s="1" t="s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>
        <f>SUM(M32:M46)</f>
        <v>3464775070</v>
      </c>
      <c r="N47" s="38">
        <v>3464775070</v>
      </c>
      <c r="O47" s="29">
        <f>M47-N47</f>
        <v>0</v>
      </c>
    </row>
    <row r="49" spans="1:8" x14ac:dyDescent="0.25">
      <c r="A49" s="39" t="s">
        <v>28</v>
      </c>
      <c r="B49" s="33"/>
      <c r="D49" s="33"/>
      <c r="F49" s="28"/>
      <c r="G49" s="28"/>
    </row>
    <row r="50" spans="1:8" ht="22.5" x14ac:dyDescent="0.25">
      <c r="A50" s="19" t="s">
        <v>6</v>
      </c>
      <c r="B50" s="19" t="s">
        <v>29</v>
      </c>
      <c r="C50" s="19" t="s">
        <v>17</v>
      </c>
      <c r="D50" s="19" t="s">
        <v>30</v>
      </c>
      <c r="E50" s="19" t="s">
        <v>16</v>
      </c>
      <c r="F50" s="19" t="s">
        <v>31</v>
      </c>
      <c r="G50" s="19" t="s">
        <v>32</v>
      </c>
    </row>
    <row r="51" spans="1:8" hidden="1" x14ac:dyDescent="0.25">
      <c r="B51" s="41"/>
      <c r="C51" s="42"/>
      <c r="D51" s="43"/>
      <c r="G51" s="44"/>
      <c r="H51" s="33"/>
    </row>
    <row r="52" spans="1:8" x14ac:dyDescent="0.25">
      <c r="G52" s="45">
        <f>SUM(G51:G51)</f>
        <v>0</v>
      </c>
    </row>
    <row r="54" spans="1:8" x14ac:dyDescent="0.25">
      <c r="A54" s="46" t="s">
        <v>13</v>
      </c>
      <c r="B54" s="47">
        <f>+L24+B27+M47+G52</f>
        <v>34457797353.457565</v>
      </c>
      <c r="C54" s="32">
        <v>34457797353.457588</v>
      </c>
      <c r="D54" s="29">
        <f>B54-C54</f>
        <v>0</v>
      </c>
    </row>
    <row r="57" spans="1:8" x14ac:dyDescent="0.25">
      <c r="A57" s="24" t="s">
        <v>46</v>
      </c>
      <c r="B57" s="33"/>
    </row>
    <row r="58" spans="1:8" x14ac:dyDescent="0.25">
      <c r="A58" s="48" t="s">
        <v>35</v>
      </c>
      <c r="B58" s="49"/>
    </row>
    <row r="59" spans="1:8" x14ac:dyDescent="0.25">
      <c r="A59" s="48" t="s">
        <v>36</v>
      </c>
      <c r="B59" s="40"/>
    </row>
    <row r="60" spans="1:8" x14ac:dyDescent="0.25">
      <c r="A60" s="48" t="s">
        <v>37</v>
      </c>
      <c r="B60" s="40">
        <v>880436.95</v>
      </c>
    </row>
    <row r="61" spans="1:8" x14ac:dyDescent="0.25">
      <c r="A61" s="48" t="s">
        <v>38</v>
      </c>
      <c r="B61" s="40"/>
    </row>
    <row r="62" spans="1:8" x14ac:dyDescent="0.25">
      <c r="A62" s="48" t="s">
        <v>39</v>
      </c>
      <c r="B62" s="49"/>
    </row>
    <row r="63" spans="1:8" x14ac:dyDescent="0.25">
      <c r="A63" s="48" t="s">
        <v>40</v>
      </c>
      <c r="B63" s="40">
        <v>262973.67</v>
      </c>
    </row>
    <row r="64" spans="1:8" x14ac:dyDescent="0.25">
      <c r="A64" s="48" t="s">
        <v>41</v>
      </c>
      <c r="B64" s="40">
        <v>131235.00999999998</v>
      </c>
    </row>
    <row r="65" spans="1:2" x14ac:dyDescent="0.25">
      <c r="A65" s="48" t="s">
        <v>42</v>
      </c>
      <c r="B65" s="40"/>
    </row>
    <row r="66" spans="1:2" x14ac:dyDescent="0.25">
      <c r="A66" s="48" t="s">
        <v>43</v>
      </c>
      <c r="B66" s="40"/>
    </row>
    <row r="67" spans="1:2" x14ac:dyDescent="0.25">
      <c r="A67" s="48" t="s">
        <v>44</v>
      </c>
      <c r="B67" s="50"/>
    </row>
    <row r="68" spans="1:2" x14ac:dyDescent="0.25">
      <c r="A68" s="48" t="s">
        <v>45</v>
      </c>
      <c r="B68" s="49">
        <f>SUM(B58:B67)</f>
        <v>1274645.6299999999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2025-12-26T04:51:44Z</dcterms:created>
  <dcterms:modified xsi:type="dcterms:W3CDTF">2025-12-26T07:44:22Z</dcterms:modified>
</cp:coreProperties>
</file>