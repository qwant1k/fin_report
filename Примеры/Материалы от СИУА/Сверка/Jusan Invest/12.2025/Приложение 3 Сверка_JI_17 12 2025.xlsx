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A39C1ED6-0279-4031-9147-C44064459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B46" i="1" s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1" i="1"/>
  <c r="M20" i="1"/>
  <c r="M18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7" i="1" l="1"/>
  <c r="M19" i="1"/>
</calcChain>
</file>

<file path=xl/sharedStrings.xml><?xml version="1.0" encoding="utf-8"?>
<sst xmlns="http://schemas.openxmlformats.org/spreadsheetml/2006/main" count="160" uniqueCount="117">
  <si>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</si>
  <si>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</si>
  <si>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</si>
  <si>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</si>
  <si>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</si>
  <si>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</si>
  <si>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</si>
  <si>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</si>
  <si>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</si>
  <si>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</si>
  <si>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</si>
  <si>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</si>
  <si>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</si>
  <si>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</si>
  <si>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</si>
  <si>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</si>
  <si>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</si>
  <si>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</si>
  <si>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</si>
  <si>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</si>
  <si>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</si>
  <si>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</si>
  <si>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</si>
  <si>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</si>
  <si>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</si>
  <si>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</si>
  <si>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</si>
  <si>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</si>
  <si>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</si>
  <si>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</si>
  <si>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</si>
  <si>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</si>
  <si>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</si>
  <si>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</si>
  <si>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</si>
  <si>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</si>
  <si>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</si>
  <si>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</si>
  <si>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</si>
  <si>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</si>
  <si>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</si>
  <si>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</si>
  <si>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</si>
  <si>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</si>
  <si>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</si>
  <si>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</si>
  <si>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</si>
  <si>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</si>
  <si>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</si>
  <si>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MKM012_0160</t>
  </si>
  <si>
    <t>KZK100000373</t>
  </si>
  <si>
    <t>KZT</t>
  </si>
  <si>
    <t>15.12.2025</t>
  </si>
  <si>
    <t>17.12.2025</t>
  </si>
  <si>
    <t>МИНИСТЕРСТВО ФИНАНСОВ РК, ГЦБ, MUM180_0004</t>
  </si>
  <si>
    <t>KZKD00000444</t>
  </si>
  <si>
    <t>18.12.2025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</si>
  <si>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</si>
  <si>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</si>
  <si>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</si>
  <si>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</si>
  <si>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</si>
  <si>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</si>
  <si>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</si>
  <si>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</si>
  <si>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</si>
  <si>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</si>
  <si>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</si>
  <si>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</si>
  <si>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</si>
  <si>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</si>
  <si>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</si>
  <si>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</si>
  <si>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</si>
  <si>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</si>
  <si>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</si>
  <si>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</si>
  <si>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</si>
  <si>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</si>
  <si>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</si>
  <si>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</si>
  <si>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</si>
  <si>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</si>
  <si>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</si>
  <si>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</si>
  <si>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</si>
  <si>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</si>
  <si>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</si>
  <si>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</si>
  <si>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</si>
  <si>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</si>
  <si>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</si>
  <si>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</si>
  <si>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</si>
  <si>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</si>
  <si>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</si>
  <si>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</si>
  <si>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</si>
  <si>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</si>
  <si>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</si>
  <si>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</si>
  <si>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</si>
  <si>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</si>
  <si>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</si>
  <si>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</si>
  <si>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МИНИСТЕРСТВО ФИНАНСОВ РК, ГЦБ, MOM048_0056</t>
  </si>
  <si>
    <t>KZK200000760</t>
  </si>
  <si>
    <t>28.08.2025</t>
  </si>
  <si>
    <t>07.08.2029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</si>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</sst>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7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57</v>
      </c>
      <c r="B4" s="13" t="s">
        <v>58</v>
      </c>
      <c r="C4" s="10">
        <v>3020000</v>
      </c>
      <c r="D4" s="11">
        <v>3020000000</v>
      </c>
      <c r="E4" s="3">
        <v>0.1067</v>
      </c>
      <c r="F4" s="4" t="s">
        <v>59</v>
      </c>
      <c r="G4" s="4" t="s">
        <v>60</v>
      </c>
      <c r="H4" s="11">
        <v>2930617060.0000029</v>
      </c>
      <c r="I4" s="11">
        <v>99.431600000000003</v>
      </c>
      <c r="J4" s="11">
        <v>103.75887777777801</v>
      </c>
      <c r="K4" s="11">
        <v>130683788.888889</v>
      </c>
      <c r="L4" s="11">
        <v>3133518108.8888879</v>
      </c>
      <c r="M4" s="6">
        <f t="shared" ref="M4:M22" si="0">L4/$L$24</f>
        <v>0.1017147278367634</v>
      </c>
    </row>
    <row r="5" spans="1:13" x14ac:dyDescent="0.25">
      <c r="A5" s="1" t="s">
        <v>61</v>
      </c>
      <c r="B5" s="13" t="s">
        <v>62</v>
      </c>
      <c r="C5" s="10">
        <v>2265000</v>
      </c>
      <c r="D5" s="11">
        <v>2265000000</v>
      </c>
      <c r="E5" s="3">
        <v>0.10550000000000001</v>
      </c>
      <c r="F5" s="4" t="s">
        <v>59</v>
      </c>
      <c r="G5" s="4" t="s">
        <v>63</v>
      </c>
      <c r="H5" s="11">
        <v>2039188560.0000031</v>
      </c>
      <c r="I5" s="11">
        <v>85.274300000000011</v>
      </c>
      <c r="J5" s="11">
        <v>89.347772222222218</v>
      </c>
      <c r="K5" s="11">
        <v>92264145.833333328</v>
      </c>
      <c r="L5" s="11">
        <v>2023727040.833333</v>
      </c>
      <c r="M5" s="6">
        <f t="shared" si="0"/>
        <v>6.5690651217347115E-2</v>
      </c>
    </row>
    <row r="6" spans="1:13" x14ac:dyDescent="0.25">
      <c r="A6" s="1" t="s">
        <v>61</v>
      </c>
      <c r="B6" s="13" t="s">
        <v>62</v>
      </c>
      <c r="C6" s="10">
        <v>1551646</v>
      </c>
      <c r="D6" s="11">
        <v>1551646000</v>
      </c>
      <c r="E6" s="3">
        <v>0.10550000000000001</v>
      </c>
      <c r="F6" s="4" t="s">
        <v>64</v>
      </c>
      <c r="G6" s="4" t="s">
        <v>63</v>
      </c>
      <c r="H6" s="11">
        <v>1395452658.7</v>
      </c>
      <c r="I6" s="11">
        <v>85.274300000000011</v>
      </c>
      <c r="J6" s="11">
        <v>89.347772222222474</v>
      </c>
      <c r="K6" s="11">
        <v>63205868.797222219</v>
      </c>
      <c r="L6" s="11">
        <v>1386361133.7752261</v>
      </c>
      <c r="M6" s="6">
        <f t="shared" si="0"/>
        <v>4.5001605385780165E-2</v>
      </c>
    </row>
    <row r="7" spans="1:13" x14ac:dyDescent="0.25">
      <c r="A7" s="1" t="s">
        <v>61</v>
      </c>
      <c r="B7" s="13" t="s">
        <v>62</v>
      </c>
      <c r="C7" s="10">
        <v>545692</v>
      </c>
      <c r="D7" s="11">
        <v>545692000</v>
      </c>
      <c r="E7" s="3">
        <v>0.10550000000000001</v>
      </c>
      <c r="F7" s="4" t="s">
        <v>65</v>
      </c>
      <c r="G7" s="4" t="s">
        <v>63</v>
      </c>
      <c r="H7" s="11">
        <v>449784993.92000002</v>
      </c>
      <c r="I7" s="11">
        <v>85.274300000000011</v>
      </c>
      <c r="J7" s="11">
        <v>89.347772222222218</v>
      </c>
      <c r="K7" s="11">
        <v>22228612.038888879</v>
      </c>
      <c r="L7" s="11">
        <v>487563645.19488901</v>
      </c>
      <c r="M7" s="6">
        <f t="shared" si="0"/>
        <v>1.5826429511742426E-2</v>
      </c>
    </row>
    <row r="8" spans="1:13" x14ac:dyDescent="0.25">
      <c r="A8" s="1" t="s">
        <v>66</v>
      </c>
      <c r="B8" s="13" t="s">
        <v>67</v>
      </c>
      <c r="C8" s="10">
        <v>2265000</v>
      </c>
      <c r="D8" s="11">
        <v>2265000000</v>
      </c>
      <c r="E8" s="3">
        <v>0.10400000000000001</v>
      </c>
      <c r="F8" s="4" t="s">
        <v>59</v>
      </c>
      <c r="G8" s="4" t="s">
        <v>68</v>
      </c>
      <c r="H8" s="11">
        <v>2073109200</v>
      </c>
      <c r="I8" s="11">
        <v>88.790900000000008</v>
      </c>
      <c r="J8" s="11">
        <v>95.868677777777762</v>
      </c>
      <c r="K8" s="11">
        <v>160311666.66666701</v>
      </c>
      <c r="L8" s="11">
        <v>2171425551.666666</v>
      </c>
      <c r="M8" s="6">
        <f t="shared" si="0"/>
        <v>7.048497928862632E-2</v>
      </c>
    </row>
    <row r="9" spans="1:13" x14ac:dyDescent="0.25">
      <c r="A9" s="1" t="s">
        <v>69</v>
      </c>
      <c r="B9" s="13" t="s">
        <v>70</v>
      </c>
      <c r="C9" s="10">
        <v>2265000</v>
      </c>
      <c r="D9" s="11">
        <v>2265000000</v>
      </c>
      <c r="E9" s="3">
        <v>0.11</v>
      </c>
      <c r="F9" s="4" t="s">
        <v>59</v>
      </c>
      <c r="G9" s="4" t="s">
        <v>71</v>
      </c>
      <c r="H9" s="11">
        <v>2080889475</v>
      </c>
      <c r="I9" s="11">
        <v>87.209600000000009</v>
      </c>
      <c r="J9" s="11">
        <v>95.062377777777769</v>
      </c>
      <c r="K9" s="11">
        <v>177865416.66666701</v>
      </c>
      <c r="L9" s="11">
        <v>2153162856.666666</v>
      </c>
      <c r="M9" s="6">
        <f t="shared" si="0"/>
        <v>6.9892167954228285E-2</v>
      </c>
    </row>
    <row r="10" spans="1:13" x14ac:dyDescent="0.25">
      <c r="A10" s="1" t="s">
        <v>72</v>
      </c>
      <c r="B10" s="13" t="s">
        <v>73</v>
      </c>
      <c r="C10" s="10">
        <v>2265000</v>
      </c>
      <c r="D10" s="11">
        <v>2265000000</v>
      </c>
      <c r="E10" s="3">
        <v>0.10300000000000001</v>
      </c>
      <c r="F10" s="4" t="s">
        <v>59</v>
      </c>
      <c r="G10" s="4" t="s">
        <v>74</v>
      </c>
      <c r="H10" s="11">
        <v>1963990560.0000031</v>
      </c>
      <c r="I10" s="11">
        <v>80.844999999999999</v>
      </c>
      <c r="J10" s="11">
        <v>88.57</v>
      </c>
      <c r="K10" s="11">
        <v>174971250</v>
      </c>
      <c r="L10" s="11">
        <v>2006110500</v>
      </c>
      <c r="M10" s="6">
        <f t="shared" si="0"/>
        <v>6.5118814197734964E-2</v>
      </c>
    </row>
    <row r="11" spans="1:13" x14ac:dyDescent="0.25">
      <c r="A11" s="1" t="s">
        <v>75</v>
      </c>
      <c r="B11" s="13" t="s">
        <v>76</v>
      </c>
      <c r="C11" s="10">
        <v>2265000</v>
      </c>
      <c r="D11" s="11">
        <v>2265000000</v>
      </c>
      <c r="E11" s="3">
        <v>8.4500000000000006E-2</v>
      </c>
      <c r="F11" s="4" t="s">
        <v>59</v>
      </c>
      <c r="G11" s="4" t="s">
        <v>77</v>
      </c>
      <c r="H11" s="11">
        <v>1740247065.0000031</v>
      </c>
      <c r="I11" s="11">
        <v>71.739999999999995</v>
      </c>
      <c r="J11" s="11">
        <v>77.396805555555545</v>
      </c>
      <c r="K11" s="11">
        <v>128126645.833333</v>
      </c>
      <c r="L11" s="11">
        <v>1753037645.833333</v>
      </c>
      <c r="M11" s="6">
        <f t="shared" si="0"/>
        <v>5.6904010392575852E-2</v>
      </c>
    </row>
    <row r="12" spans="1:13" x14ac:dyDescent="0.25">
      <c r="A12" s="1" t="s">
        <v>78</v>
      </c>
      <c r="B12" s="13" t="s">
        <v>79</v>
      </c>
      <c r="C12" s="10">
        <v>2265000</v>
      </c>
      <c r="D12" s="11">
        <v>2265000000</v>
      </c>
      <c r="E12" s="3">
        <v>0.10650000000000001</v>
      </c>
      <c r="F12" s="4" t="s">
        <v>59</v>
      </c>
      <c r="G12" s="4" t="s">
        <v>80</v>
      </c>
      <c r="H12" s="11">
        <v>1967775375</v>
      </c>
      <c r="I12" s="11">
        <v>79.626000000000005</v>
      </c>
      <c r="J12" s="11">
        <v>83.797249999999991</v>
      </c>
      <c r="K12" s="11">
        <v>94478812.5</v>
      </c>
      <c r="L12" s="11">
        <v>1898007712.5</v>
      </c>
      <c r="M12" s="6">
        <f t="shared" si="0"/>
        <v>6.1609772530553761E-2</v>
      </c>
    </row>
    <row r="13" spans="1:13" x14ac:dyDescent="0.25">
      <c r="A13" s="1" t="s">
        <v>81</v>
      </c>
      <c r="B13" s="13" t="s">
        <v>82</v>
      </c>
      <c r="C13" s="10">
        <v>2265000</v>
      </c>
      <c r="D13" s="11">
        <v>2265000000</v>
      </c>
      <c r="E13" s="3">
        <v>8.0700000000000008E-2</v>
      </c>
      <c r="F13" s="4" t="s">
        <v>59</v>
      </c>
      <c r="G13" s="4" t="s">
        <v>83</v>
      </c>
      <c r="H13" s="11">
        <v>1622351550</v>
      </c>
      <c r="I13" s="11">
        <v>65.690100000000001</v>
      </c>
      <c r="J13" s="11">
        <v>70.509683333333328</v>
      </c>
      <c r="K13" s="11">
        <v>109163562.5</v>
      </c>
      <c r="L13" s="11">
        <v>1597044327.5</v>
      </c>
      <c r="M13" s="6">
        <f t="shared" si="0"/>
        <v>5.1840430937388098E-2</v>
      </c>
    </row>
    <row r="14" spans="1:13" x14ac:dyDescent="0.25">
      <c r="A14" s="1" t="s">
        <v>84</v>
      </c>
      <c r="B14" s="13" t="s">
        <v>85</v>
      </c>
      <c r="C14" s="10">
        <v>2265000</v>
      </c>
      <c r="D14" s="11">
        <v>2265000000</v>
      </c>
      <c r="E14" s="3">
        <v>8.0700000000000008E-2</v>
      </c>
      <c r="F14" s="4" t="s">
        <v>59</v>
      </c>
      <c r="G14" s="4" t="s">
        <v>86</v>
      </c>
      <c r="H14" s="11">
        <v>1597764975</v>
      </c>
      <c r="I14" s="11">
        <v>64.438400000000001</v>
      </c>
      <c r="J14" s="11">
        <v>71.566900000000004</v>
      </c>
      <c r="K14" s="11">
        <v>161460525</v>
      </c>
      <c r="L14" s="11">
        <v>1620990285</v>
      </c>
      <c r="M14" s="6">
        <f t="shared" si="0"/>
        <v>5.2617722296577608E-2</v>
      </c>
    </row>
    <row r="15" spans="1:13" x14ac:dyDescent="0.25">
      <c r="A15" s="1" t="s">
        <v>87</v>
      </c>
      <c r="B15" s="13" t="s">
        <v>88</v>
      </c>
      <c r="C15" s="10">
        <v>3775000</v>
      </c>
      <c r="D15" s="11">
        <v>3775000000</v>
      </c>
      <c r="E15" s="3">
        <v>5.4900000000000004E-2</v>
      </c>
      <c r="F15" s="4" t="s">
        <v>59</v>
      </c>
      <c r="G15" s="4" t="s">
        <v>89</v>
      </c>
      <c r="H15" s="11">
        <v>3136670150</v>
      </c>
      <c r="I15" s="11">
        <v>87.827399999999997</v>
      </c>
      <c r="J15" s="11">
        <v>91.792400000000001</v>
      </c>
      <c r="K15" s="11">
        <v>149678750</v>
      </c>
      <c r="L15" s="11">
        <v>3465163100</v>
      </c>
      <c r="M15" s="6">
        <f t="shared" si="0"/>
        <v>0.11248000151225335</v>
      </c>
    </row>
    <row r="16" spans="1:13" x14ac:dyDescent="0.25">
      <c r="A16" s="1" t="s">
        <v>90</v>
      </c>
      <c r="B16" s="13" t="s">
        <v>91</v>
      </c>
      <c r="C16" s="10">
        <v>2803860</v>
      </c>
      <c r="D16" s="11">
        <v>2803860000</v>
      </c>
      <c r="E16" s="3">
        <v>5.5E-2</v>
      </c>
      <c r="F16" s="4" t="s">
        <v>92</v>
      </c>
      <c r="G16" s="4" t="s">
        <v>93</v>
      </c>
      <c r="H16" s="11">
        <v>1773018067.1400001</v>
      </c>
      <c r="I16" s="11">
        <v>60.501000000000005</v>
      </c>
      <c r="J16" s="11">
        <v>64.060722222222211</v>
      </c>
      <c r="K16" s="11">
        <v>99809627.5</v>
      </c>
      <c r="L16" s="11">
        <v>1796172966.0999999</v>
      </c>
      <c r="M16" s="6">
        <f t="shared" si="0"/>
        <v>5.830419293775712E-2</v>
      </c>
    </row>
    <row r="17" spans="1:15" x14ac:dyDescent="0.25">
      <c r="A17" s="1" t="s">
        <v>94</v>
      </c>
      <c r="B17" s="13" t="s">
        <v>95</v>
      </c>
      <c r="C17" s="10">
        <v>1038480</v>
      </c>
      <c r="D17" s="11">
        <v>1038480000</v>
      </c>
      <c r="E17" s="3">
        <v>0.12</v>
      </c>
      <c r="F17" s="4" t="s">
        <v>92</v>
      </c>
      <c r="G17" s="4" t="s">
        <v>96</v>
      </c>
      <c r="H17" s="11">
        <v>979029096.96000004</v>
      </c>
      <c r="I17" s="11">
        <v>88.030500000000004</v>
      </c>
      <c r="J17" s="11">
        <v>97.363833333333332</v>
      </c>
      <c r="K17" s="11">
        <v>96924800</v>
      </c>
      <c r="L17" s="11">
        <v>1011103936.4</v>
      </c>
      <c r="M17" s="6">
        <f t="shared" si="0"/>
        <v>3.2820669334530692E-2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98.9255</v>
      </c>
      <c r="J18" s="11">
        <v>100.16202777777801</v>
      </c>
      <c r="K18" s="11">
        <v>6269059.8152777804</v>
      </c>
      <c r="L18" s="11">
        <v>507810463.01027799</v>
      </c>
      <c r="M18" s="6">
        <f t="shared" si="0"/>
        <v>1.6483645934973201E-2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95.232860886519589</v>
      </c>
      <c r="J19" s="11">
        <v>99.363971997630699</v>
      </c>
      <c r="K19" s="11">
        <v>86753333.333333328</v>
      </c>
      <c r="L19" s="11">
        <v>2086643411.9502439</v>
      </c>
      <c r="M19" s="6">
        <f t="shared" si="0"/>
        <v>6.7732931281559855E-2</v>
      </c>
    </row>
    <row r="20" spans="1:15" x14ac:dyDescent="0.25">
      <c r="A20" s="1" t="s">
        <v>105</v>
      </c>
      <c r="B20" s="13" t="s">
        <v>106</v>
      </c>
      <c r="C20" s="10">
        <v>494987</v>
      </c>
      <c r="D20" s="11">
        <v>494987000</v>
      </c>
      <c r="E20" s="3">
        <v>0.1701</v>
      </c>
      <c r="F20" s="4" t="s">
        <v>107</v>
      </c>
      <c r="G20" s="4" t="s">
        <v>108</v>
      </c>
      <c r="H20" s="11">
        <v>495088472.34249997</v>
      </c>
      <c r="I20" s="11">
        <v>103.7197</v>
      </c>
      <c r="J20" s="11">
        <v>109.8622</v>
      </c>
      <c r="K20" s="11">
        <v>30404576.475000001</v>
      </c>
      <c r="L20" s="11">
        <v>543803607.91400003</v>
      </c>
      <c r="M20" s="6">
        <f t="shared" si="0"/>
        <v>1.7651991803945839E-2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98.646253022529592</v>
      </c>
      <c r="J21" s="11">
        <v>99.379336355862932</v>
      </c>
      <c r="K21" s="11">
        <v>7330833.3333333302</v>
      </c>
      <c r="L21" s="11">
        <v>993793363.55862904</v>
      </c>
      <c r="M21" s="6">
        <f t="shared" si="0"/>
        <v>3.2258764107219638E-2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97.044186898040792</v>
      </c>
      <c r="J22" s="11">
        <v>103.467798009139</v>
      </c>
      <c r="K22" s="11">
        <v>10646428.819422221</v>
      </c>
      <c r="L22" s="11">
        <v>171486493.74236599</v>
      </c>
      <c r="M22" s="6">
        <f t="shared" si="0"/>
        <v>5.5664915384422602E-3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1802577704.0013669</v>
      </c>
      <c r="L24" s="22">
        <f>SUM(L4:L23)</f>
        <v>30806926150.534519</v>
      </c>
      <c r="M24" s="23"/>
      <c r="N24" s="26">
        <v>30806926150.534538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5782452.5899999999</v>
      </c>
      <c r="C27" s="51">
        <v>5782452.5899999999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32817231</v>
      </c>
      <c r="D32" s="7" t="s">
        <v>51</v>
      </c>
      <c r="E32" s="34" t="s">
        <v>52</v>
      </c>
      <c r="F32" s="34" t="s">
        <v>53</v>
      </c>
      <c r="G32" s="15">
        <v>97.725700000100545</v>
      </c>
      <c r="H32" s="15">
        <v>97.816999365059161</v>
      </c>
      <c r="I32" s="16">
        <f t="shared" ref="I32:I37" si="1">+C32*G32</f>
        <v>3207086871.5399995</v>
      </c>
      <c r="J32" s="16">
        <f t="shared" ref="J32:J37" si="2">+C32*H32</f>
        <v>3210083063.8899999</v>
      </c>
      <c r="K32" s="18">
        <v>0.17049899999999998</v>
      </c>
      <c r="L32" s="17">
        <v>1498096.175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32817231</v>
      </c>
      <c r="D33" s="7" t="s">
        <v>51</v>
      </c>
      <c r="E33" s="34" t="s">
        <v>53</v>
      </c>
      <c r="F33" s="34" t="s">
        <v>53</v>
      </c>
      <c r="G33" s="15">
        <v>97.725700000100545</v>
      </c>
      <c r="H33" s="15">
        <v>97.816999365059161</v>
      </c>
      <c r="I33" s="16">
        <f t="shared" si="1"/>
        <v>3207086871.5399995</v>
      </c>
      <c r="J33" s="16">
        <f t="shared" si="2"/>
        <v>3210083063.8899999</v>
      </c>
      <c r="K33" s="18">
        <v>0.17049899999999998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258965</v>
      </c>
      <c r="D34" s="7" t="s">
        <v>51</v>
      </c>
      <c r="E34" s="34" t="s">
        <v>52</v>
      </c>
      <c r="F34" s="34" t="s">
        <v>53</v>
      </c>
      <c r="G34" s="15">
        <v>946.75400000000002</v>
      </c>
      <c r="H34" s="15">
        <v>947.63606348348208</v>
      </c>
      <c r="I34" s="16">
        <f t="shared" si="1"/>
        <v>245176149.61000001</v>
      </c>
      <c r="J34" s="16">
        <f t="shared" si="2"/>
        <v>245404573.17999995</v>
      </c>
      <c r="K34" s="18">
        <v>0.17002999999999999</v>
      </c>
      <c r="L34" s="17">
        <v>114211.785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258965</v>
      </c>
      <c r="D35" s="7" t="s">
        <v>51</v>
      </c>
      <c r="E35" s="34" t="s">
        <v>53</v>
      </c>
      <c r="F35" s="34" t="s">
        <v>53</v>
      </c>
      <c r="G35" s="15">
        <v>946.75400000000002</v>
      </c>
      <c r="H35" s="15">
        <v>947.63606348348208</v>
      </c>
      <c r="I35" s="16">
        <f t="shared" si="1"/>
        <v>245176149.61000001</v>
      </c>
      <c r="J35" s="16">
        <f t="shared" si="2"/>
        <v>245404573.17999995</v>
      </c>
      <c r="K35" s="18">
        <v>0.17002999999999999</v>
      </c>
      <c r="L35" s="17"/>
      <c r="M35" s="17"/>
      <c r="N35" s="35"/>
    </row>
    <row r="36" spans="1:15" s="36" customFormat="1" ht="12" customHeight="1" x14ac:dyDescent="0.25">
      <c r="A36" s="12" t="s">
        <v>49</v>
      </c>
      <c r="B36" s="7" t="s">
        <v>50</v>
      </c>
      <c r="C36" s="14">
        <v>32785161</v>
      </c>
      <c r="D36" s="7" t="s">
        <v>51</v>
      </c>
      <c r="E36" s="34" t="s">
        <v>53</v>
      </c>
      <c r="F36" s="34" t="s">
        <v>56</v>
      </c>
      <c r="G36" s="15">
        <v>97.826599999920688</v>
      </c>
      <c r="H36" s="15">
        <v>97.872243211189343</v>
      </c>
      <c r="I36" s="16">
        <f t="shared" si="1"/>
        <v>3207260831.0799999</v>
      </c>
      <c r="J36" s="16">
        <f t="shared" si="2"/>
        <v>3208757251.1099997</v>
      </c>
      <c r="K36" s="18">
        <v>0.17029900000000001</v>
      </c>
      <c r="L36" s="17"/>
      <c r="M36" s="17">
        <v>3207260831.0799999</v>
      </c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2514858</v>
      </c>
      <c r="D37" s="7" t="s">
        <v>51</v>
      </c>
      <c r="E37" s="34" t="s">
        <v>53</v>
      </c>
      <c r="F37" s="34" t="s">
        <v>56</v>
      </c>
      <c r="G37" s="15">
        <v>97.826599998886607</v>
      </c>
      <c r="H37" s="15">
        <v>97.872270012859559</v>
      </c>
      <c r="I37" s="16">
        <f t="shared" si="1"/>
        <v>246020007.61999997</v>
      </c>
      <c r="J37" s="16">
        <f t="shared" si="2"/>
        <v>246134861.21999997</v>
      </c>
      <c r="K37" s="18">
        <v>0.17039899999999999</v>
      </c>
      <c r="L37" s="17"/>
      <c r="M37" s="17">
        <v>246020007.62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3453280838.6999998</v>
      </c>
      <c r="N39" s="38">
        <v>3453280838.6999998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34265989441.82452</v>
      </c>
      <c r="C46" s="32">
        <v>34265989441.824539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744499.52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221413.11000000002</v>
      </c>
    </row>
    <row r="56" spans="1:2" x14ac:dyDescent="0.25">
      <c r="A56" s="48" t="s">
        <v>41</v>
      </c>
      <c r="B56" s="50">
        <v>110481.59999999999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1076394.23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2025-12-18T05:31:12Z</dcterms:created>
  <dcterms:modified xsi:type="dcterms:W3CDTF">2025-12-18T07:32:58Z</dcterms:modified>
</cp:coreProperties>
</file>