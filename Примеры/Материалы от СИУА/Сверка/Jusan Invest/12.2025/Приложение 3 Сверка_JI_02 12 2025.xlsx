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6157B7CD-DA9E-4781-811F-52A9DF4AC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ДУ!$49:$49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  <c r="I49" i="1"/>
  <c r="O45" i="1"/>
  <c r="O24" i="1"/>
  <c r="D27" i="1"/>
  <c r="B67" i="1"/>
  <c r="G51" i="1"/>
  <c r="A49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7" i="1" s="1"/>
  <c r="K24" i="1"/>
  <c r="M18" i="1"/>
  <c r="M12" i="1"/>
  <c r="M6" i="1"/>
  <c r="M7" i="1" l="1"/>
  <c r="M13" i="1"/>
  <c r="M19" i="1"/>
  <c r="M8" i="1"/>
  <c r="M14" i="1"/>
  <c r="M20" i="1"/>
  <c r="M9" i="1"/>
  <c r="M15" i="1"/>
  <c r="M21" i="1"/>
  <c r="M4" i="1"/>
  <c r="M10" i="1"/>
  <c r="M16" i="1"/>
  <c r="M22" i="1"/>
  <c r="B53" i="1"/>
  <c r="M5" i="1"/>
  <c r="M11" i="1"/>
</calcChain>
</file>

<file path=xl/sharedStrings.xml><?xml version="1.0" encoding="utf-8"?>
<sst xmlns="http://schemas.openxmlformats.org/spreadsheetml/2006/main" count="193" uniqueCount="128">
  <si>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</si>
  <si>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</si>
  <si>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</si>
  <si>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</si>
  <si>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</si>
  <si>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</si>
  <si>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</si>
  <si>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</si>
  <si>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</si>
  <si>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</si>
  <si>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</si>
  <si>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</si>
  <si>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</si>
  <si>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</si>
  <si>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</si>
  <si>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</si>
  <si>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</si>
  <si>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</si>
  <si>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</si>
  <si>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</si>
  <si>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</si>
  <si>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</si>
  <si>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</si>
  <si>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</si>
  <si>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</si>
  <si>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</si>
  <si>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</si>
  <si>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</si>
  <si>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</si>
  <si>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</si>
  <si>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</si>
  <si>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</si>
  <si>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</si>
  <si>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</si>
  <si>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</si>
  <si>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</si>
  <si>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</si>
  <si>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</si>
  <si>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</si>
  <si>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</si>
  <si>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</si>
  <si>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</si>
  <si>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</si>
  <si>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</si>
  <si>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</si>
  <si>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</si>
  <si>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</si>
  <si>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</si>
  <si>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</si>
  <si>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</si>
  <si>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</si>
  <si>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</si>
  <si>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MUM084_0019</t>
  </si>
  <si>
    <t>KZKD00001244</t>
  </si>
  <si>
    <t>02.12.2025</t>
  </si>
  <si>
    <t>03.12.2025</t>
  </si>
  <si>
    <t>МИНИСТЕРСТВО ФИНАНСОВ РК, ГЦБ, MKM012_0160</t>
  </si>
  <si>
    <t>KZK100000373</t>
  </si>
  <si>
    <t>МИНИСТЕРСТВО ФИНАНСОВ РК, ГЦБ, KZ_10_2811</t>
  </si>
  <si>
    <t>XS1901718335</t>
  </si>
  <si>
    <t>01.12.2025</t>
  </si>
  <si>
    <t>МИНИСТЕРСТВО ФИНАНСОВ РК, ГЦБ, MUM096_0011</t>
  </si>
  <si>
    <t>KZKD00001095</t>
  </si>
  <si>
    <t>25.11.2025</t>
  </si>
  <si>
    <t>МИНИСТЕРСТВО ФИНАНСОВ РК, ГЦБ, MUM156_0005</t>
  </si>
  <si>
    <t>KZKD00000758</t>
  </si>
  <si>
    <t>МИНИСТЕРСТВО ФИНАНСОВ РК, ГЦБ, MUM120_0018</t>
  </si>
  <si>
    <t>KZKD00000907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</si>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</sst>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19" zoomScale="90" zoomScaleNormal="90" workbookViewId="0">
      <selection activeCell="D54" sqref="D5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68</v>
      </c>
      <c r="B4" s="13" t="s">
        <v>69</v>
      </c>
      <c r="C4" s="10">
        <v>3020000</v>
      </c>
      <c r="D4" s="11">
        <v>3020000000</v>
      </c>
      <c r="E4" s="3">
        <v>0.1067</v>
      </c>
      <c r="F4" s="4" t="s">
        <v>70</v>
      </c>
      <c r="G4" s="4" t="s">
        <v>71</v>
      </c>
      <c r="H4" s="11">
        <v>2930617060.0000029</v>
      </c>
      <c r="I4" s="11">
        <v>99.076100000000011</v>
      </c>
      <c r="J4" s="11">
        <v>102.95879444444401</v>
      </c>
      <c r="K4" s="11">
        <v>117257372.222222</v>
      </c>
      <c r="L4" s="11">
        <v>3109355592.2222219</v>
      </c>
      <c r="M4" s="6">
        <f t="shared" ref="M4:M22" si="0">L4/$L$24</f>
        <v>0.10329024033274604</v>
      </c>
    </row>
    <row r="5" spans="1:13" x14ac:dyDescent="0.25">
      <c r="A5" s="1" t="s">
        <v>72</v>
      </c>
      <c r="B5" s="13" t="s">
        <v>73</v>
      </c>
      <c r="C5" s="10">
        <v>2265000</v>
      </c>
      <c r="D5" s="11">
        <v>2265000000</v>
      </c>
      <c r="E5" s="3">
        <v>0.10550000000000001</v>
      </c>
      <c r="F5" s="4" t="s">
        <v>70</v>
      </c>
      <c r="G5" s="4" t="s">
        <v>74</v>
      </c>
      <c r="H5" s="11">
        <v>2039188560.0000031</v>
      </c>
      <c r="I5" s="11">
        <v>83.927499999999995</v>
      </c>
      <c r="J5" s="11">
        <v>87.561388888888871</v>
      </c>
      <c r="K5" s="11">
        <v>82307583.333333328</v>
      </c>
      <c r="L5" s="11">
        <v>1983265458.333333</v>
      </c>
      <c r="M5" s="6">
        <f t="shared" si="0"/>
        <v>6.5882450481798471E-2</v>
      </c>
    </row>
    <row r="6" spans="1:13" x14ac:dyDescent="0.25">
      <c r="A6" s="1" t="s">
        <v>72</v>
      </c>
      <c r="B6" s="13" t="s">
        <v>73</v>
      </c>
      <c r="C6" s="10">
        <v>1551646</v>
      </c>
      <c r="D6" s="11">
        <v>1551646000</v>
      </c>
      <c r="E6" s="3">
        <v>0.10550000000000001</v>
      </c>
      <c r="F6" s="4" t="s">
        <v>75</v>
      </c>
      <c r="G6" s="4" t="s">
        <v>74</v>
      </c>
      <c r="H6" s="11">
        <v>1395452658.7</v>
      </c>
      <c r="I6" s="11">
        <v>83.927499999999995</v>
      </c>
      <c r="J6" s="11">
        <v>87.561388888889141</v>
      </c>
      <c r="K6" s="11">
        <v>56385091.588888884</v>
      </c>
      <c r="L6" s="11">
        <v>1358642788.2388921</v>
      </c>
      <c r="M6" s="6">
        <f t="shared" si="0"/>
        <v>4.5132998128159352E-2</v>
      </c>
    </row>
    <row r="7" spans="1:13" x14ac:dyDescent="0.25">
      <c r="A7" s="1" t="s">
        <v>72</v>
      </c>
      <c r="B7" s="13" t="s">
        <v>73</v>
      </c>
      <c r="C7" s="10">
        <v>545692</v>
      </c>
      <c r="D7" s="11">
        <v>545692000</v>
      </c>
      <c r="E7" s="3">
        <v>0.10550000000000001</v>
      </c>
      <c r="F7" s="4" t="s">
        <v>76</v>
      </c>
      <c r="G7" s="4" t="s">
        <v>74</v>
      </c>
      <c r="H7" s="11">
        <v>449784993.92000002</v>
      </c>
      <c r="I7" s="11">
        <v>83.927499999999995</v>
      </c>
      <c r="J7" s="11">
        <v>87.561388888888885</v>
      </c>
      <c r="K7" s="11">
        <v>19829840.955555551</v>
      </c>
      <c r="L7" s="11">
        <v>477815494.25555599</v>
      </c>
      <c r="M7" s="6">
        <f t="shared" si="0"/>
        <v>1.5872638484906672E-2</v>
      </c>
    </row>
    <row r="8" spans="1:13" x14ac:dyDescent="0.25">
      <c r="A8" s="1" t="s">
        <v>77</v>
      </c>
      <c r="B8" s="13" t="s">
        <v>78</v>
      </c>
      <c r="C8" s="10">
        <v>2265000</v>
      </c>
      <c r="D8" s="11">
        <v>2265000000</v>
      </c>
      <c r="E8" s="3">
        <v>0.10400000000000001</v>
      </c>
      <c r="F8" s="4" t="s">
        <v>70</v>
      </c>
      <c r="G8" s="4" t="s">
        <v>79</v>
      </c>
      <c r="H8" s="11">
        <v>2073109200</v>
      </c>
      <c r="I8" s="11">
        <v>88.139600000000002</v>
      </c>
      <c r="J8" s="11">
        <v>94.784044444444433</v>
      </c>
      <c r="K8" s="11">
        <v>150496666.66666701</v>
      </c>
      <c r="L8" s="11">
        <v>2146858606.666666</v>
      </c>
      <c r="M8" s="6">
        <f t="shared" si="0"/>
        <v>7.1316880577348918E-2</v>
      </c>
    </row>
    <row r="9" spans="1:13" x14ac:dyDescent="0.25">
      <c r="A9" s="1" t="s">
        <v>80</v>
      </c>
      <c r="B9" s="13" t="s">
        <v>81</v>
      </c>
      <c r="C9" s="10">
        <v>2265000</v>
      </c>
      <c r="D9" s="11">
        <v>2265000000</v>
      </c>
      <c r="E9" s="3">
        <v>0.11</v>
      </c>
      <c r="F9" s="4" t="s">
        <v>70</v>
      </c>
      <c r="G9" s="4" t="s">
        <v>82</v>
      </c>
      <c r="H9" s="11">
        <v>2080889475</v>
      </c>
      <c r="I9" s="11">
        <v>86.029700000000005</v>
      </c>
      <c r="J9" s="11">
        <v>93.424144444444437</v>
      </c>
      <c r="K9" s="11">
        <v>167484166.66666701</v>
      </c>
      <c r="L9" s="11">
        <v>2116056871.666666</v>
      </c>
      <c r="M9" s="6">
        <f t="shared" si="0"/>
        <v>7.029367222550463E-2</v>
      </c>
    </row>
    <row r="10" spans="1:13" x14ac:dyDescent="0.25">
      <c r="A10" s="1" t="s">
        <v>83</v>
      </c>
      <c r="B10" s="13" t="s">
        <v>84</v>
      </c>
      <c r="C10" s="10">
        <v>2265000</v>
      </c>
      <c r="D10" s="11">
        <v>2265000000</v>
      </c>
      <c r="E10" s="3">
        <v>0.10300000000000001</v>
      </c>
      <c r="F10" s="4" t="s">
        <v>70</v>
      </c>
      <c r="G10" s="4" t="s">
        <v>85</v>
      </c>
      <c r="H10" s="11">
        <v>1963990560.0000031</v>
      </c>
      <c r="I10" s="11">
        <v>78.542500000000004</v>
      </c>
      <c r="J10" s="11">
        <v>85.838333333333324</v>
      </c>
      <c r="K10" s="11">
        <v>165250625</v>
      </c>
      <c r="L10" s="11">
        <v>1944238250</v>
      </c>
      <c r="M10" s="6">
        <f t="shared" si="0"/>
        <v>6.4585998658034854E-2</v>
      </c>
    </row>
    <row r="11" spans="1:13" x14ac:dyDescent="0.25">
      <c r="A11" s="1" t="s">
        <v>86</v>
      </c>
      <c r="B11" s="13" t="s">
        <v>87</v>
      </c>
      <c r="C11" s="10">
        <v>2265000</v>
      </c>
      <c r="D11" s="11">
        <v>2265000000</v>
      </c>
      <c r="E11" s="3">
        <v>8.4500000000000006E-2</v>
      </c>
      <c r="F11" s="4" t="s">
        <v>70</v>
      </c>
      <c r="G11" s="4" t="s">
        <v>88</v>
      </c>
      <c r="H11" s="11">
        <v>1740247065.0000031</v>
      </c>
      <c r="I11" s="11">
        <v>69.034900000000007</v>
      </c>
      <c r="J11" s="11">
        <v>74.339622222222218</v>
      </c>
      <c r="K11" s="11">
        <v>120151958.333333</v>
      </c>
      <c r="L11" s="11">
        <v>1683792443.333333</v>
      </c>
      <c r="M11" s="6">
        <f t="shared" si="0"/>
        <v>5.5934202758090926E-2</v>
      </c>
    </row>
    <row r="12" spans="1:13" x14ac:dyDescent="0.25">
      <c r="A12" s="1" t="s">
        <v>89</v>
      </c>
      <c r="B12" s="13" t="s">
        <v>90</v>
      </c>
      <c r="C12" s="10">
        <v>2265000</v>
      </c>
      <c r="D12" s="11">
        <v>2265000000</v>
      </c>
      <c r="E12" s="3">
        <v>0.10650000000000001</v>
      </c>
      <c r="F12" s="4" t="s">
        <v>70</v>
      </c>
      <c r="G12" s="4" t="s">
        <v>91</v>
      </c>
      <c r="H12" s="11">
        <v>1967775375</v>
      </c>
      <c r="I12" s="11">
        <v>76.713200000000001</v>
      </c>
      <c r="J12" s="11">
        <v>80.440700000000007</v>
      </c>
      <c r="K12" s="11">
        <v>84427875</v>
      </c>
      <c r="L12" s="11">
        <v>1821981855</v>
      </c>
      <c r="M12" s="6">
        <f t="shared" si="0"/>
        <v>6.052474157526417E-2</v>
      </c>
    </row>
    <row r="13" spans="1:13" x14ac:dyDescent="0.25">
      <c r="A13" s="1" t="s">
        <v>92</v>
      </c>
      <c r="B13" s="13" t="s">
        <v>93</v>
      </c>
      <c r="C13" s="10">
        <v>2265000</v>
      </c>
      <c r="D13" s="11">
        <v>2265000000</v>
      </c>
      <c r="E13" s="3">
        <v>8.0700000000000008E-2</v>
      </c>
      <c r="F13" s="4" t="s">
        <v>70</v>
      </c>
      <c r="G13" s="4" t="s">
        <v>94</v>
      </c>
      <c r="H13" s="11">
        <v>1622351550</v>
      </c>
      <c r="I13" s="11">
        <v>62.398200000000003</v>
      </c>
      <c r="J13" s="11">
        <v>66.881533333333323</v>
      </c>
      <c r="K13" s="11">
        <v>101547500</v>
      </c>
      <c r="L13" s="11">
        <v>1514866730</v>
      </c>
      <c r="M13" s="6">
        <f t="shared" si="0"/>
        <v>5.0322629230693125E-2</v>
      </c>
    </row>
    <row r="14" spans="1:13" x14ac:dyDescent="0.25">
      <c r="A14" s="1" t="s">
        <v>95</v>
      </c>
      <c r="B14" s="13" t="s">
        <v>96</v>
      </c>
      <c r="C14" s="10">
        <v>2265000</v>
      </c>
      <c r="D14" s="11">
        <v>2265000000</v>
      </c>
      <c r="E14" s="3">
        <v>8.0700000000000008E-2</v>
      </c>
      <c r="F14" s="4" t="s">
        <v>70</v>
      </c>
      <c r="G14" s="4" t="s">
        <v>97</v>
      </c>
      <c r="H14" s="11">
        <v>1597764975</v>
      </c>
      <c r="I14" s="11">
        <v>60.986700000000006</v>
      </c>
      <c r="J14" s="11">
        <v>67.778949999999995</v>
      </c>
      <c r="K14" s="11">
        <v>153844462.5</v>
      </c>
      <c r="L14" s="11">
        <v>1535193217.5</v>
      </c>
      <c r="M14" s="6">
        <f t="shared" si="0"/>
        <v>5.099785845961996E-2</v>
      </c>
    </row>
    <row r="15" spans="1:13" x14ac:dyDescent="0.25">
      <c r="A15" s="1" t="s">
        <v>98</v>
      </c>
      <c r="B15" s="13" t="s">
        <v>99</v>
      </c>
      <c r="C15" s="10">
        <v>3775000</v>
      </c>
      <c r="D15" s="11">
        <v>3775000000</v>
      </c>
      <c r="E15" s="3">
        <v>5.4900000000000004E-2</v>
      </c>
      <c r="F15" s="4" t="s">
        <v>70</v>
      </c>
      <c r="G15" s="4" t="s">
        <v>100</v>
      </c>
      <c r="H15" s="11">
        <v>3136670150</v>
      </c>
      <c r="I15" s="11">
        <v>87.351100000000002</v>
      </c>
      <c r="J15" s="11">
        <v>91.087350000000001</v>
      </c>
      <c r="K15" s="11">
        <v>141043437.5</v>
      </c>
      <c r="L15" s="11">
        <v>3438547462.5</v>
      </c>
      <c r="M15" s="6">
        <f t="shared" si="0"/>
        <v>0.1142257240328515</v>
      </c>
    </row>
    <row r="16" spans="1:13" x14ac:dyDescent="0.25">
      <c r="A16" s="1" t="s">
        <v>101</v>
      </c>
      <c r="B16" s="13" t="s">
        <v>102</v>
      </c>
      <c r="C16" s="10">
        <v>2803860</v>
      </c>
      <c r="D16" s="11">
        <v>2803860000</v>
      </c>
      <c r="E16" s="3">
        <v>5.5E-2</v>
      </c>
      <c r="F16" s="4" t="s">
        <v>103</v>
      </c>
      <c r="G16" s="4" t="s">
        <v>104</v>
      </c>
      <c r="H16" s="11">
        <v>1773018067.1400001</v>
      </c>
      <c r="I16" s="11">
        <v>57.948100000000004</v>
      </c>
      <c r="J16" s="11">
        <v>61.278655555555545</v>
      </c>
      <c r="K16" s="11">
        <v>93384115</v>
      </c>
      <c r="L16" s="11">
        <v>1718167711.6600001</v>
      </c>
      <c r="M16" s="6">
        <f t="shared" si="0"/>
        <v>5.7076120953567074E-2</v>
      </c>
    </row>
    <row r="17" spans="1:15" x14ac:dyDescent="0.25">
      <c r="A17" s="1" t="s">
        <v>105</v>
      </c>
      <c r="B17" s="13" t="s">
        <v>106</v>
      </c>
      <c r="C17" s="10">
        <v>1038480</v>
      </c>
      <c r="D17" s="11">
        <v>1038480000</v>
      </c>
      <c r="E17" s="3">
        <v>0.12</v>
      </c>
      <c r="F17" s="4" t="s">
        <v>103</v>
      </c>
      <c r="G17" s="4" t="s">
        <v>107</v>
      </c>
      <c r="H17" s="11">
        <v>979029096.96000004</v>
      </c>
      <c r="I17" s="11">
        <v>86.273300000000006</v>
      </c>
      <c r="J17" s="11">
        <v>95.10663333333332</v>
      </c>
      <c r="K17" s="11">
        <v>91732400</v>
      </c>
      <c r="L17" s="11">
        <v>987663365.84000003</v>
      </c>
      <c r="M17" s="6">
        <f t="shared" si="0"/>
        <v>3.2809366249600548E-2</v>
      </c>
    </row>
    <row r="18" spans="1:15" x14ac:dyDescent="0.25">
      <c r="A18" s="1" t="s">
        <v>108</v>
      </c>
      <c r="B18" s="13" t="s">
        <v>109</v>
      </c>
      <c r="C18" s="10">
        <v>506989</v>
      </c>
      <c r="D18" s="11">
        <v>506989000</v>
      </c>
      <c r="E18" s="3">
        <v>0.1535</v>
      </c>
      <c r="F18" s="4" t="s">
        <v>110</v>
      </c>
      <c r="G18" s="4" t="s">
        <v>111</v>
      </c>
      <c r="H18" s="11">
        <v>492216861.50999999</v>
      </c>
      <c r="I18" s="11">
        <v>98.631200000000007</v>
      </c>
      <c r="J18" s="11">
        <v>99.228144444444439</v>
      </c>
      <c r="K18" s="11">
        <v>3026442.6694444399</v>
      </c>
      <c r="L18" s="11">
        <v>503075777.23744398</v>
      </c>
      <c r="M18" s="6">
        <f t="shared" si="0"/>
        <v>1.6711764349635339E-2</v>
      </c>
    </row>
    <row r="19" spans="1:15" x14ac:dyDescent="0.25">
      <c r="A19" s="1" t="s">
        <v>112</v>
      </c>
      <c r="B19" s="13" t="s">
        <v>113</v>
      </c>
      <c r="C19" s="10">
        <v>2100000</v>
      </c>
      <c r="D19" s="11">
        <v>2100000000</v>
      </c>
      <c r="E19" s="3">
        <v>0.14300000000000002</v>
      </c>
      <c r="F19" s="4" t="s">
        <v>114</v>
      </c>
      <c r="G19" s="4" t="s">
        <v>115</v>
      </c>
      <c r="H19" s="11">
        <v>2100000000</v>
      </c>
      <c r="I19" s="11">
        <v>95.209514696746197</v>
      </c>
      <c r="J19" s="11">
        <v>98.744792474523962</v>
      </c>
      <c r="K19" s="11">
        <v>74240833.333333328</v>
      </c>
      <c r="L19" s="11">
        <v>2073640641.965003</v>
      </c>
      <c r="M19" s="6">
        <f t="shared" si="0"/>
        <v>6.8884639893900979E-2</v>
      </c>
    </row>
    <row r="20" spans="1:15" x14ac:dyDescent="0.25">
      <c r="A20" s="1" t="s">
        <v>116</v>
      </c>
      <c r="B20" s="13" t="s">
        <v>117</v>
      </c>
      <c r="C20" s="10">
        <v>1000000</v>
      </c>
      <c r="D20" s="11">
        <v>1000000000</v>
      </c>
      <c r="E20" s="3">
        <v>0.1389</v>
      </c>
      <c r="F20" s="4" t="s">
        <v>118</v>
      </c>
      <c r="G20" s="4" t="s">
        <v>119</v>
      </c>
      <c r="H20" s="11">
        <v>1000000000</v>
      </c>
      <c r="I20" s="11">
        <v>98.415924365340899</v>
      </c>
      <c r="J20" s="11">
        <v>98.570257698674226</v>
      </c>
      <c r="K20" s="11">
        <v>1543333.33333333</v>
      </c>
      <c r="L20" s="11">
        <v>985702576.98674202</v>
      </c>
      <c r="M20" s="6">
        <f t="shared" si="0"/>
        <v>3.2744230453488517E-2</v>
      </c>
    </row>
    <row r="21" spans="1:15" x14ac:dyDescent="0.25">
      <c r="A21" s="1" t="s">
        <v>120</v>
      </c>
      <c r="B21" s="13" t="s">
        <v>121</v>
      </c>
      <c r="C21" s="10">
        <v>165739</v>
      </c>
      <c r="D21" s="11">
        <v>165739000</v>
      </c>
      <c r="E21" s="3">
        <v>0.125</v>
      </c>
      <c r="F21" s="4" t="s">
        <v>122</v>
      </c>
      <c r="G21" s="4" t="s">
        <v>123</v>
      </c>
      <c r="H21" s="11">
        <v>159596381.18279999</v>
      </c>
      <c r="I21" s="11">
        <v>96.898492485323189</v>
      </c>
      <c r="J21" s="11">
        <v>102.801270263088</v>
      </c>
      <c r="K21" s="11">
        <v>9783204.8610888906</v>
      </c>
      <c r="L21" s="11">
        <v>170381797.32133901</v>
      </c>
      <c r="M21" s="6">
        <f t="shared" si="0"/>
        <v>5.6599434421936547E-3</v>
      </c>
    </row>
    <row r="22" spans="1:15" x14ac:dyDescent="0.25">
      <c r="A22" s="1" t="s">
        <v>124</v>
      </c>
      <c r="B22" s="13" t="s">
        <v>125</v>
      </c>
      <c r="C22" s="10">
        <v>494987</v>
      </c>
      <c r="D22" s="11">
        <v>494987000</v>
      </c>
      <c r="E22" s="3">
        <v>0.1701</v>
      </c>
      <c r="F22" s="4" t="s">
        <v>126</v>
      </c>
      <c r="G22" s="4" t="s">
        <v>127</v>
      </c>
      <c r="H22" s="11">
        <v>495088472.34249997</v>
      </c>
      <c r="I22" s="11">
        <v>102.4166</v>
      </c>
      <c r="J22" s="11">
        <v>107.85035000000001</v>
      </c>
      <c r="K22" s="11">
        <v>26896356.112500001</v>
      </c>
      <c r="L22" s="11">
        <v>533845211.95450002</v>
      </c>
      <c r="M22" s="6">
        <f t="shared" si="0"/>
        <v>1.7733899712595237E-2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1660633265.0763667</v>
      </c>
      <c r="L24" s="22">
        <f>SUM(L4:L23)</f>
        <v>30103091852.681698</v>
      </c>
      <c r="M24" s="23"/>
      <c r="N24" s="26">
        <v>30103091852.681717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7828388.4299999997</v>
      </c>
      <c r="C27" s="58">
        <v>7828388.4299999997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3420800</v>
      </c>
      <c r="D32" s="7" t="s">
        <v>50</v>
      </c>
      <c r="E32" s="34" t="s">
        <v>54</v>
      </c>
      <c r="F32" s="34" t="s">
        <v>55</v>
      </c>
      <c r="G32" s="15">
        <v>936.02700000000004</v>
      </c>
      <c r="H32" s="15">
        <v>936.46551967376104</v>
      </c>
      <c r="I32" s="16">
        <f t="shared" ref="I32:I43" si="1">+C32*G32</f>
        <v>3201961161.6000004</v>
      </c>
      <c r="J32" s="16">
        <f t="shared" ref="J32:J43" si="2">+C32*H32</f>
        <v>3203461249.7000017</v>
      </c>
      <c r="K32" s="18">
        <v>0.17099899999999998</v>
      </c>
      <c r="L32" s="17"/>
      <c r="M32" s="17">
        <v>3201961161.5999999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1607736</v>
      </c>
      <c r="D33" s="7" t="s">
        <v>50</v>
      </c>
      <c r="E33" s="34" t="s">
        <v>54</v>
      </c>
      <c r="F33" s="34" t="s">
        <v>55</v>
      </c>
      <c r="G33" s="15">
        <v>97.033800001990372</v>
      </c>
      <c r="H33" s="15">
        <v>97.079126485940463</v>
      </c>
      <c r="I33" s="16">
        <f t="shared" si="1"/>
        <v>156004733.47999999</v>
      </c>
      <c r="J33" s="16">
        <f t="shared" si="2"/>
        <v>156077606.49999997</v>
      </c>
      <c r="K33" s="18">
        <v>0.17049899999999998</v>
      </c>
      <c r="L33" s="17"/>
      <c r="M33" s="17">
        <v>156004733.47999999</v>
      </c>
      <c r="N33" s="35"/>
    </row>
    <row r="34" spans="1:15" s="36" customFormat="1" ht="12" customHeight="1" x14ac:dyDescent="0.25">
      <c r="A34" s="12" t="s">
        <v>58</v>
      </c>
      <c r="B34" s="7" t="s">
        <v>59</v>
      </c>
      <c r="C34" s="14">
        <v>20448</v>
      </c>
      <c r="D34" s="7" t="s">
        <v>50</v>
      </c>
      <c r="E34" s="34" t="s">
        <v>60</v>
      </c>
      <c r="F34" s="34" t="s">
        <v>54</v>
      </c>
      <c r="G34" s="15">
        <v>587.12240023474203</v>
      </c>
      <c r="H34" s="15">
        <v>587.39907472613504</v>
      </c>
      <c r="I34" s="16">
        <f t="shared" si="1"/>
        <v>12005478.840000005</v>
      </c>
      <c r="J34" s="16">
        <f t="shared" si="2"/>
        <v>12011136.280000009</v>
      </c>
      <c r="K34" s="18">
        <v>0.17200199999999999</v>
      </c>
      <c r="L34" s="17">
        <v>5657.44</v>
      </c>
      <c r="M34" s="17"/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20448</v>
      </c>
      <c r="D35" s="7" t="s">
        <v>50</v>
      </c>
      <c r="E35" s="34" t="s">
        <v>54</v>
      </c>
      <c r="F35" s="34" t="s">
        <v>54</v>
      </c>
      <c r="G35" s="15">
        <v>587.12240023474203</v>
      </c>
      <c r="H35" s="15">
        <v>587.39907472613504</v>
      </c>
      <c r="I35" s="16">
        <f t="shared" si="1"/>
        <v>12005478.840000005</v>
      </c>
      <c r="J35" s="16">
        <f t="shared" si="2"/>
        <v>12011136.280000009</v>
      </c>
      <c r="K35" s="18">
        <v>0.17200199999999999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17939116</v>
      </c>
      <c r="D36" s="7" t="s">
        <v>50</v>
      </c>
      <c r="E36" s="34" t="s">
        <v>60</v>
      </c>
      <c r="F36" s="34" t="s">
        <v>54</v>
      </c>
      <c r="G36" s="15">
        <v>97.108500000222961</v>
      </c>
      <c r="H36" s="15">
        <v>97.154765948333235</v>
      </c>
      <c r="I36" s="16">
        <f t="shared" si="1"/>
        <v>1742040646.0899997</v>
      </c>
      <c r="J36" s="16">
        <f t="shared" si="2"/>
        <v>1742870616.3</v>
      </c>
      <c r="K36" s="18">
        <v>0.173899</v>
      </c>
      <c r="L36" s="17">
        <v>829970.21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17939116</v>
      </c>
      <c r="D37" s="7" t="s">
        <v>50</v>
      </c>
      <c r="E37" s="34" t="s">
        <v>54</v>
      </c>
      <c r="F37" s="34" t="s">
        <v>54</v>
      </c>
      <c r="G37" s="15">
        <v>97.108500000222961</v>
      </c>
      <c r="H37" s="15">
        <v>97.154765948333235</v>
      </c>
      <c r="I37" s="16">
        <f t="shared" si="1"/>
        <v>1742040646.0899997</v>
      </c>
      <c r="J37" s="16">
        <f t="shared" si="2"/>
        <v>1742870616.3</v>
      </c>
      <c r="K37" s="18">
        <v>0.173899</v>
      </c>
      <c r="L37" s="17"/>
      <c r="M37" s="17"/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9240</v>
      </c>
      <c r="D38" s="7" t="s">
        <v>50</v>
      </c>
      <c r="E38" s="34" t="s">
        <v>63</v>
      </c>
      <c r="F38" s="34" t="s">
        <v>54</v>
      </c>
      <c r="G38" s="15">
        <v>866.47700000000009</v>
      </c>
      <c r="H38" s="15">
        <v>869.38503896103907</v>
      </c>
      <c r="I38" s="16">
        <f t="shared" si="1"/>
        <v>8006247.4800000004</v>
      </c>
      <c r="J38" s="16">
        <f t="shared" si="2"/>
        <v>8033117.7600000007</v>
      </c>
      <c r="K38" s="18">
        <v>0.17499999999999999</v>
      </c>
      <c r="L38" s="17">
        <v>3838.6114285714284</v>
      </c>
      <c r="M38" s="17"/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9240</v>
      </c>
      <c r="D39" s="7" t="s">
        <v>50</v>
      </c>
      <c r="E39" s="34" t="s">
        <v>54</v>
      </c>
      <c r="F39" s="34" t="s">
        <v>54</v>
      </c>
      <c r="G39" s="15">
        <v>866.47700000000009</v>
      </c>
      <c r="H39" s="15">
        <v>869.38503896103907</v>
      </c>
      <c r="I39" s="16">
        <f t="shared" si="1"/>
        <v>8006247.4800000004</v>
      </c>
      <c r="J39" s="16">
        <f t="shared" si="2"/>
        <v>8033117.7600000007</v>
      </c>
      <c r="K39" s="18">
        <v>0.17499999999999999</v>
      </c>
      <c r="L39" s="17"/>
      <c r="M39" s="17"/>
      <c r="N39" s="35"/>
    </row>
    <row r="40" spans="1:15" s="36" customFormat="1" ht="12" customHeight="1" x14ac:dyDescent="0.25">
      <c r="A40" s="12" t="s">
        <v>64</v>
      </c>
      <c r="B40" s="7" t="s">
        <v>65</v>
      </c>
      <c r="C40" s="14">
        <v>1656000</v>
      </c>
      <c r="D40" s="7" t="s">
        <v>50</v>
      </c>
      <c r="E40" s="34" t="s">
        <v>63</v>
      </c>
      <c r="F40" s="34" t="s">
        <v>54</v>
      </c>
      <c r="G40" s="15">
        <v>906.46800000000007</v>
      </c>
      <c r="H40" s="15">
        <v>909.51025561594201</v>
      </c>
      <c r="I40" s="16">
        <f t="shared" si="1"/>
        <v>1501111008.0000002</v>
      </c>
      <c r="J40" s="16">
        <f t="shared" si="2"/>
        <v>1506148983.3</v>
      </c>
      <c r="K40" s="18">
        <v>0.17499999999999999</v>
      </c>
      <c r="L40" s="17">
        <v>719710.75714285707</v>
      </c>
      <c r="M40" s="17"/>
      <c r="N40" s="35"/>
    </row>
    <row r="41" spans="1:15" s="36" customFormat="1" ht="12" customHeight="1" x14ac:dyDescent="0.25">
      <c r="A41" s="12" t="s">
        <v>64</v>
      </c>
      <c r="B41" s="7" t="s">
        <v>65</v>
      </c>
      <c r="C41" s="14">
        <v>1656000</v>
      </c>
      <c r="D41" s="7" t="s">
        <v>50</v>
      </c>
      <c r="E41" s="34" t="s">
        <v>54</v>
      </c>
      <c r="F41" s="34" t="s">
        <v>54</v>
      </c>
      <c r="G41" s="15">
        <v>906.46800000000007</v>
      </c>
      <c r="H41" s="15">
        <v>909.51025561594201</v>
      </c>
      <c r="I41" s="16">
        <f t="shared" si="1"/>
        <v>1501111008.0000002</v>
      </c>
      <c r="J41" s="16">
        <f t="shared" si="2"/>
        <v>1506148983.3</v>
      </c>
      <c r="K41" s="18">
        <v>0.17499999999999999</v>
      </c>
      <c r="L41" s="17"/>
      <c r="M41" s="17"/>
      <c r="N41" s="35"/>
    </row>
    <row r="42" spans="1:15" s="36" customFormat="1" ht="12" customHeight="1" x14ac:dyDescent="0.25">
      <c r="A42" s="12" t="s">
        <v>66</v>
      </c>
      <c r="B42" s="7" t="s">
        <v>67</v>
      </c>
      <c r="C42" s="14">
        <v>97110</v>
      </c>
      <c r="D42" s="7" t="s">
        <v>50</v>
      </c>
      <c r="E42" s="34" t="s">
        <v>63</v>
      </c>
      <c r="F42" s="34" t="s">
        <v>54</v>
      </c>
      <c r="G42" s="15">
        <v>927.21900000000005</v>
      </c>
      <c r="H42" s="15">
        <v>930.33089939244201</v>
      </c>
      <c r="I42" s="16">
        <f t="shared" si="1"/>
        <v>90042237.090000004</v>
      </c>
      <c r="J42" s="16">
        <f t="shared" si="2"/>
        <v>90344433.640000045</v>
      </c>
      <c r="K42" s="18">
        <v>0.17499999999999999</v>
      </c>
      <c r="L42" s="17">
        <v>43170.935714285704</v>
      </c>
      <c r="M42" s="17"/>
      <c r="N42" s="35"/>
    </row>
    <row r="43" spans="1:15" s="36" customFormat="1" ht="12" customHeight="1" x14ac:dyDescent="0.25">
      <c r="A43" s="12" t="s">
        <v>66</v>
      </c>
      <c r="B43" s="7" t="s">
        <v>67</v>
      </c>
      <c r="C43" s="14">
        <v>97110</v>
      </c>
      <c r="D43" s="7" t="s">
        <v>50</v>
      </c>
      <c r="E43" s="34" t="s">
        <v>54</v>
      </c>
      <c r="F43" s="34" t="s">
        <v>54</v>
      </c>
      <c r="G43" s="15">
        <v>927.21900000000005</v>
      </c>
      <c r="H43" s="15">
        <v>930.33089939244201</v>
      </c>
      <c r="I43" s="16">
        <f t="shared" si="1"/>
        <v>90042237.090000004</v>
      </c>
      <c r="J43" s="16">
        <f t="shared" si="2"/>
        <v>90344433.640000045</v>
      </c>
      <c r="K43" s="18">
        <v>0.17499999999999999</v>
      </c>
      <c r="L43" s="17"/>
      <c r="M43" s="17"/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3357965895.0799999</v>
      </c>
      <c r="N45" s="38">
        <v>3357965895.0799999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9" x14ac:dyDescent="0.25">
      <c r="A49" s="57">
        <f ca="1">IF(OFFSET(A49,-1,0)="№ п/п",1,OFFSET(A49,-1,0)+1)</f>
        <v>1</v>
      </c>
      <c r="B49" s="40" t="s">
        <v>49</v>
      </c>
      <c r="C49" s="52" t="s">
        <v>50</v>
      </c>
      <c r="D49" s="53" t="s">
        <v>51</v>
      </c>
      <c r="E49" s="54">
        <v>1000000</v>
      </c>
      <c r="F49" s="55">
        <v>69450000</v>
      </c>
      <c r="G49" s="56">
        <v>69450000</v>
      </c>
      <c r="H49" s="58">
        <v>69450000</v>
      </c>
      <c r="I49" s="29">
        <f>G49-H49</f>
        <v>0</v>
      </c>
    </row>
    <row r="50" spans="1:9" hidden="1" x14ac:dyDescent="0.25">
      <c r="B50" s="42"/>
      <c r="C50" s="43"/>
      <c r="D50" s="44"/>
      <c r="G50" s="45"/>
      <c r="H50" s="33"/>
    </row>
    <row r="51" spans="1:9" x14ac:dyDescent="0.25">
      <c r="G51" s="46">
        <f>SUM(G49:G50)</f>
        <v>69450000</v>
      </c>
    </row>
    <row r="53" spans="1:9" x14ac:dyDescent="0.25">
      <c r="A53" s="47" t="s">
        <v>13</v>
      </c>
      <c r="B53" s="48">
        <f>+L24+B27+M45+G51</f>
        <v>33538336136.191696</v>
      </c>
      <c r="C53" s="32">
        <v>33538336136.191719</v>
      </c>
      <c r="D53" s="29">
        <f>B53-C53</f>
        <v>0</v>
      </c>
    </row>
    <row r="56" spans="1:9" x14ac:dyDescent="0.25">
      <c r="A56" s="24" t="s">
        <v>46</v>
      </c>
      <c r="B56" s="33"/>
    </row>
    <row r="57" spans="1:9" x14ac:dyDescent="0.25">
      <c r="A57" s="49" t="s">
        <v>35</v>
      </c>
      <c r="B57" s="50"/>
    </row>
    <row r="58" spans="1:9" x14ac:dyDescent="0.25">
      <c r="A58" s="49" t="s">
        <v>36</v>
      </c>
      <c r="B58" s="41"/>
    </row>
    <row r="59" spans="1:9" x14ac:dyDescent="0.25">
      <c r="A59" s="49" t="s">
        <v>37</v>
      </c>
      <c r="B59" s="41">
        <v>508379.37999999995</v>
      </c>
    </row>
    <row r="60" spans="1:9" x14ac:dyDescent="0.25">
      <c r="A60" s="49" t="s">
        <v>38</v>
      </c>
      <c r="B60" s="41"/>
    </row>
    <row r="61" spans="1:9" x14ac:dyDescent="0.25">
      <c r="A61" s="49" t="s">
        <v>39</v>
      </c>
      <c r="B61" s="50"/>
    </row>
    <row r="62" spans="1:9" x14ac:dyDescent="0.25">
      <c r="A62" s="49" t="s">
        <v>40</v>
      </c>
      <c r="B62" s="51">
        <v>144885.6</v>
      </c>
    </row>
    <row r="63" spans="1:9" x14ac:dyDescent="0.25">
      <c r="A63" s="49" t="s">
        <v>41</v>
      </c>
      <c r="B63" s="51">
        <v>72217.88</v>
      </c>
    </row>
    <row r="64" spans="1:9" x14ac:dyDescent="0.25">
      <c r="A64" s="49" t="s">
        <v>42</v>
      </c>
      <c r="B64" s="41"/>
    </row>
    <row r="65" spans="1:2" x14ac:dyDescent="0.25">
      <c r="A65" s="49" t="s">
        <v>43</v>
      </c>
      <c r="B65" s="41"/>
    </row>
    <row r="66" spans="1:2" x14ac:dyDescent="0.25">
      <c r="A66" s="49" t="s">
        <v>44</v>
      </c>
      <c r="B66" s="51"/>
    </row>
    <row r="67" spans="1:2" x14ac:dyDescent="0.25">
      <c r="A67" s="49" t="s">
        <v>45</v>
      </c>
      <c r="B67" s="50">
        <f>SUM(B57:B66)</f>
        <v>725482.86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2025-12-03T05:18:48Z</dcterms:created>
  <dcterms:modified xsi:type="dcterms:W3CDTF">2025-12-03T09:59:40Z</dcterms:modified>
</cp:coreProperties>
</file>