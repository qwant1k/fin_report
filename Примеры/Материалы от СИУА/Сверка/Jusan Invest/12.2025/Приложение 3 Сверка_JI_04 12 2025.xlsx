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0AC28235-2D0E-480E-9553-468C1BC35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ДУ!$46:$46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I46" i="1"/>
  <c r="O42" i="1"/>
  <c r="O24" i="1"/>
  <c r="D27" i="1"/>
  <c r="B64" i="1"/>
  <c r="G48" i="1"/>
  <c r="A46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6" i="1" l="1"/>
  <c r="M18" i="1"/>
  <c r="M7" i="1"/>
  <c r="M13" i="1"/>
  <c r="M19" i="1"/>
  <c r="M12" i="1"/>
  <c r="M9" i="1"/>
  <c r="M15" i="1"/>
  <c r="M21" i="1"/>
  <c r="M8" i="1"/>
  <c r="M14" i="1"/>
  <c r="M20" i="1"/>
  <c r="M4" i="1"/>
  <c r="M10" i="1"/>
  <c r="M16" i="1"/>
  <c r="M22" i="1"/>
  <c r="B50" i="1"/>
  <c r="M5" i="1"/>
  <c r="M11" i="1"/>
</calcChain>
</file>

<file path=xl/sharedStrings.xml><?xml version="1.0" encoding="utf-8"?>
<sst xmlns="http://schemas.openxmlformats.org/spreadsheetml/2006/main" count="178" uniqueCount="127">
  <si>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</si>
  <si>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</si>
  <si>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</si>
  <si>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</si>
  <si>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</si>
  <si>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</si>
  <si>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</si>
  <si>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</si>
  <si>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</si>
  <si>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</si>
  <si>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</si>
  <si>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</si>
  <si>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</si>
  <si>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</si>
  <si>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</si>
  <si>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</si>
  <si>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</si>
  <si>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</si>
  <si>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</si>
  <si>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</si>
  <si>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</si>
  <si>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</si>
  <si>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</si>
  <si>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</si>
  <si>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</si>
  <si>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</si>
  <si>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</si>
  <si>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</si>
  <si>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</si>
  <si>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</si>
  <si>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</si>
  <si>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</si>
  <si>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</si>
  <si>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</si>
  <si>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</si>
  <si>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</si>
  <si>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</si>
  <si>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</si>
  <si>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</si>
  <si>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</si>
  <si>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</si>
  <si>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</si>
  <si>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</si>
  <si>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</si>
  <si>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</si>
  <si>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</si>
  <si>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</si>
  <si>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</si>
  <si>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</si>
  <si>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</si>
  <si>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</si>
  <si>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</si>
  <si>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MUM216_0001</t>
  </si>
  <si>
    <t>KZKD00000972</t>
  </si>
  <si>
    <t>03.12.2025</t>
  </si>
  <si>
    <t>04.12.2025</t>
  </si>
  <si>
    <t>МИНИСТЕРСТВО ФИНАНСОВ РК, ГЦБ, KZ_06_4410</t>
  </si>
  <si>
    <t>XS1120709826</t>
  </si>
  <si>
    <t>МИНИСТЕРСТВО ФИНАНСОВ РК, ГЦБ, KZ_10_2811</t>
  </si>
  <si>
    <t>XS1901718335</t>
  </si>
  <si>
    <t>МИНИСТЕРСТВО ФИНАНСОВ РК, ГЦБ, MOM048_0054</t>
  </si>
  <si>
    <t>KZK200000729</t>
  </si>
  <si>
    <t>05.12.2025</t>
  </si>
  <si>
    <t>МИНИСТЕРСТВО ФИНАНСОВ РК, ГЦБ, KZ_24_3207</t>
  </si>
  <si>
    <t>XS3093655341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</si>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</sst>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22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99.219800000000006</v>
      </c>
      <c r="J4" s="11">
        <v>103.161772222222</v>
      </c>
      <c r="K4" s="11">
        <v>119047561.111111</v>
      </c>
      <c r="L4" s="11">
        <v>3115485521.1111112</v>
      </c>
      <c r="M4" s="6">
        <f t="shared" ref="M4:M22" si="0">L4/$L$24</f>
        <v>0.10302645621252451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83.848200000000006</v>
      </c>
      <c r="J5" s="11">
        <v>87.540699999999987</v>
      </c>
      <c r="K5" s="11">
        <v>83635124.999999985</v>
      </c>
      <c r="L5" s="11">
        <v>1982796854.999999</v>
      </c>
      <c r="M5" s="6">
        <f t="shared" si="0"/>
        <v>6.5569405466899364E-2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83.848200000000006</v>
      </c>
      <c r="J6" s="11">
        <v>87.540700000000243</v>
      </c>
      <c r="K6" s="11">
        <v>57294528.549999997</v>
      </c>
      <c r="L6" s="11">
        <v>1358321769.922004</v>
      </c>
      <c r="M6" s="6">
        <f t="shared" si="0"/>
        <v>4.4918545569577431E-2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83.848200000000006</v>
      </c>
      <c r="J7" s="11">
        <v>87.540700000000001</v>
      </c>
      <c r="K7" s="11">
        <v>20149677.09999999</v>
      </c>
      <c r="L7" s="11">
        <v>477702596.64399999</v>
      </c>
      <c r="M7" s="6">
        <f t="shared" si="0"/>
        <v>1.579721854659747E-2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87.677000000000007</v>
      </c>
      <c r="J8" s="11">
        <v>94.379222222222211</v>
      </c>
      <c r="K8" s="11">
        <v>151805333.33333299</v>
      </c>
      <c r="L8" s="11">
        <v>2137689383.333333</v>
      </c>
      <c r="M8" s="6">
        <f t="shared" si="0"/>
        <v>7.0691569630348977E-2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85.83250000000001</v>
      </c>
      <c r="J9" s="11">
        <v>93.288055555555545</v>
      </c>
      <c r="K9" s="11">
        <v>168868333.33333299</v>
      </c>
      <c r="L9" s="11">
        <v>2112974458.333333</v>
      </c>
      <c r="M9" s="6">
        <f t="shared" si="0"/>
        <v>6.987426808262738E-2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79.151300000000006</v>
      </c>
      <c r="J10" s="11">
        <v>86.504355555555549</v>
      </c>
      <c r="K10" s="11">
        <v>166546708.33333299</v>
      </c>
      <c r="L10" s="11">
        <v>1959323653.333333</v>
      </c>
      <c r="M10" s="6">
        <f t="shared" si="0"/>
        <v>6.4793166653625722E-2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70.02300000000001</v>
      </c>
      <c r="J11" s="11">
        <v>75.374666666666656</v>
      </c>
      <c r="K11" s="11">
        <v>121215250</v>
      </c>
      <c r="L11" s="11">
        <v>1707236199.999999</v>
      </c>
      <c r="M11" s="6">
        <f t="shared" si="0"/>
        <v>5.6456848992514914E-2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77.7988</v>
      </c>
      <c r="J12" s="11">
        <v>81.585466666666662</v>
      </c>
      <c r="K12" s="11">
        <v>85768000</v>
      </c>
      <c r="L12" s="11">
        <v>1847910820</v>
      </c>
      <c r="M12" s="6">
        <f t="shared" si="0"/>
        <v>6.1108839020853983E-2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63.903600000000004</v>
      </c>
      <c r="J13" s="11">
        <v>68.431766666666661</v>
      </c>
      <c r="K13" s="11">
        <v>102562975</v>
      </c>
      <c r="L13" s="11">
        <v>1549979515</v>
      </c>
      <c r="M13" s="6">
        <f t="shared" si="0"/>
        <v>5.1256504179003792E-2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62.621900000000004</v>
      </c>
      <c r="J14" s="11">
        <v>69.458983333333322</v>
      </c>
      <c r="K14" s="11">
        <v>154859937.5</v>
      </c>
      <c r="L14" s="11">
        <v>1573245972.5</v>
      </c>
      <c r="M14" s="6">
        <f t="shared" si="0"/>
        <v>5.2025906138538316E-2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87.011600000000001</v>
      </c>
      <c r="J15" s="11">
        <v>90.778349999999989</v>
      </c>
      <c r="K15" s="11">
        <v>142194812.5</v>
      </c>
      <c r="L15" s="11">
        <v>3426882712.5</v>
      </c>
      <c r="M15" s="6">
        <f t="shared" si="0"/>
        <v>0.11332409646343752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58.918500000000002</v>
      </c>
      <c r="J16" s="11">
        <v>62.279611111111109</v>
      </c>
      <c r="K16" s="11">
        <v>94240850</v>
      </c>
      <c r="L16" s="11">
        <v>1746233104.0999999</v>
      </c>
      <c r="M16" s="6">
        <f t="shared" si="0"/>
        <v>5.7746443441103426E-2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86.447100000000006</v>
      </c>
      <c r="J17" s="11">
        <v>95.347099999999998</v>
      </c>
      <c r="K17" s="11">
        <v>92424720</v>
      </c>
      <c r="L17" s="11">
        <v>990160564.08000004</v>
      </c>
      <c r="M17" s="6">
        <f t="shared" si="0"/>
        <v>3.2743767643052549E-2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98.091100000000012</v>
      </c>
      <c r="J18" s="11">
        <v>98.77332222222222</v>
      </c>
      <c r="K18" s="11">
        <v>3458791.6222222201</v>
      </c>
      <c r="L18" s="11">
        <v>500769878.60122198</v>
      </c>
      <c r="M18" s="6">
        <f t="shared" si="0"/>
        <v>1.6560033940347114E-2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94.529665261659702</v>
      </c>
      <c r="J19" s="11">
        <v>98.144387483881914</v>
      </c>
      <c r="K19" s="11">
        <v>75909166.666666657</v>
      </c>
      <c r="L19" s="11">
        <v>2061032137.16152</v>
      </c>
      <c r="M19" s="6">
        <f t="shared" si="0"/>
        <v>6.8156579702590828E-2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98.54060890179359</v>
      </c>
      <c r="J20" s="11">
        <v>98.772108901793587</v>
      </c>
      <c r="K20" s="11">
        <v>2315000</v>
      </c>
      <c r="L20" s="11">
        <v>987721089.01793599</v>
      </c>
      <c r="M20" s="6">
        <f t="shared" si="0"/>
        <v>3.2663096277719524E-2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96.946995865252291</v>
      </c>
      <c r="J21" s="11">
        <v>102.919218087461</v>
      </c>
      <c r="K21" s="11">
        <v>9898301.3888666704</v>
      </c>
      <c r="L21" s="11">
        <v>170577282.86597699</v>
      </c>
      <c r="M21" s="6">
        <f t="shared" si="0"/>
        <v>5.640845654700838E-3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102.27690000000001</v>
      </c>
      <c r="J22" s="11">
        <v>107.80515</v>
      </c>
      <c r="K22" s="11">
        <v>27364118.827500001</v>
      </c>
      <c r="L22" s="11">
        <v>533621477.83050001</v>
      </c>
      <c r="M22" s="6">
        <f t="shared" si="0"/>
        <v>1.7646408383936097E-2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1679559190.2663655</v>
      </c>
      <c r="L24" s="22">
        <f>SUM(L4:L23)</f>
        <v>30239664991.334274</v>
      </c>
      <c r="M24" s="23"/>
      <c r="N24" s="26">
        <v>30239664991.334293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2129917.17</v>
      </c>
      <c r="C27" s="58">
        <v>2129917.17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1899120</v>
      </c>
      <c r="D32" s="7" t="s">
        <v>50</v>
      </c>
      <c r="E32" s="34" t="s">
        <v>54</v>
      </c>
      <c r="F32" s="34" t="s">
        <v>55</v>
      </c>
      <c r="G32" s="15">
        <v>647.78</v>
      </c>
      <c r="H32" s="15">
        <v>648.08312376785</v>
      </c>
      <c r="I32" s="16">
        <f t="shared" ref="I32:I40" si="1">+C32*G32</f>
        <v>1230211953.5999999</v>
      </c>
      <c r="J32" s="16">
        <f t="shared" ref="J32:J40" si="2">+C32*H32</f>
        <v>1230787622.0099993</v>
      </c>
      <c r="K32" s="18">
        <v>0.17079899999999998</v>
      </c>
      <c r="L32" s="17">
        <v>575668.41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1899120</v>
      </c>
      <c r="D33" s="7" t="s">
        <v>50</v>
      </c>
      <c r="E33" s="34" t="s">
        <v>55</v>
      </c>
      <c r="F33" s="34" t="s">
        <v>55</v>
      </c>
      <c r="G33" s="15">
        <v>647.78</v>
      </c>
      <c r="H33" s="15">
        <v>648.08312376785</v>
      </c>
      <c r="I33" s="16">
        <f t="shared" si="1"/>
        <v>1230211953.5999999</v>
      </c>
      <c r="J33" s="16">
        <f t="shared" si="2"/>
        <v>1230787622.0099993</v>
      </c>
      <c r="K33" s="18">
        <v>0.17079899999999998</v>
      </c>
      <c r="L33" s="17"/>
      <c r="M33" s="17"/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4159608</v>
      </c>
      <c r="D34" s="7" t="s">
        <v>50</v>
      </c>
      <c r="E34" s="34" t="s">
        <v>54</v>
      </c>
      <c r="F34" s="34" t="s">
        <v>55</v>
      </c>
      <c r="G34" s="15">
        <v>475.39</v>
      </c>
      <c r="H34" s="15">
        <v>475.61245516885202</v>
      </c>
      <c r="I34" s="16">
        <f t="shared" si="1"/>
        <v>1977436047.1199999</v>
      </c>
      <c r="J34" s="16">
        <f t="shared" si="2"/>
        <v>1978361373.4199982</v>
      </c>
      <c r="K34" s="18">
        <v>0.17079899999999998</v>
      </c>
      <c r="L34" s="17">
        <v>925326.3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4159608</v>
      </c>
      <c r="D35" s="7" t="s">
        <v>50</v>
      </c>
      <c r="E35" s="34" t="s">
        <v>55</v>
      </c>
      <c r="F35" s="34" t="s">
        <v>55</v>
      </c>
      <c r="G35" s="15">
        <v>475.39</v>
      </c>
      <c r="H35" s="15">
        <v>475.61245516885202</v>
      </c>
      <c r="I35" s="16">
        <f t="shared" si="1"/>
        <v>1977436047.1199999</v>
      </c>
      <c r="J35" s="16">
        <f t="shared" si="2"/>
        <v>1978361373.4199982</v>
      </c>
      <c r="K35" s="18">
        <v>0.17079899999999998</v>
      </c>
      <c r="L35" s="17"/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258300</v>
      </c>
      <c r="D36" s="7" t="s">
        <v>50</v>
      </c>
      <c r="E36" s="34" t="s">
        <v>54</v>
      </c>
      <c r="F36" s="34" t="s">
        <v>55</v>
      </c>
      <c r="G36" s="15">
        <v>580.95090000000005</v>
      </c>
      <c r="H36" s="15">
        <v>581.22307150600102</v>
      </c>
      <c r="I36" s="16">
        <f t="shared" si="1"/>
        <v>150059617.47</v>
      </c>
      <c r="J36" s="16">
        <f t="shared" si="2"/>
        <v>150129919.37000006</v>
      </c>
      <c r="K36" s="18">
        <v>0.17100000000000001</v>
      </c>
      <c r="L36" s="17">
        <v>70301.900000000009</v>
      </c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258300</v>
      </c>
      <c r="D37" s="7" t="s">
        <v>50</v>
      </c>
      <c r="E37" s="34" t="s">
        <v>55</v>
      </c>
      <c r="F37" s="34" t="s">
        <v>55</v>
      </c>
      <c r="G37" s="15">
        <v>580.95090000000005</v>
      </c>
      <c r="H37" s="15">
        <v>581.22307150600102</v>
      </c>
      <c r="I37" s="16">
        <f t="shared" si="1"/>
        <v>150059617.47</v>
      </c>
      <c r="J37" s="16">
        <f t="shared" si="2"/>
        <v>150129919.37000006</v>
      </c>
      <c r="K37" s="18">
        <v>0.17100000000000001</v>
      </c>
      <c r="L37" s="17"/>
      <c r="M37" s="17"/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2570654</v>
      </c>
      <c r="D38" s="7" t="s">
        <v>50</v>
      </c>
      <c r="E38" s="34" t="s">
        <v>55</v>
      </c>
      <c r="F38" s="34" t="s">
        <v>62</v>
      </c>
      <c r="G38" s="15">
        <v>1009.68</v>
      </c>
      <c r="H38" s="15">
        <v>1010.1541318979521</v>
      </c>
      <c r="I38" s="16">
        <f t="shared" si="1"/>
        <v>2595537930.7199998</v>
      </c>
      <c r="J38" s="16">
        <f t="shared" si="2"/>
        <v>2596756759.7799983</v>
      </c>
      <c r="K38" s="18">
        <v>0.171399</v>
      </c>
      <c r="L38" s="17"/>
      <c r="M38" s="17">
        <v>2595537930.7199998</v>
      </c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1161702</v>
      </c>
      <c r="D39" s="7" t="s">
        <v>50</v>
      </c>
      <c r="E39" s="34" t="s">
        <v>55</v>
      </c>
      <c r="F39" s="34" t="s">
        <v>62</v>
      </c>
      <c r="G39" s="15">
        <v>521.87219999621198</v>
      </c>
      <c r="H39" s="15">
        <v>522.11726403156706</v>
      </c>
      <c r="I39" s="16">
        <f t="shared" si="1"/>
        <v>606259978.47999942</v>
      </c>
      <c r="J39" s="16">
        <f t="shared" si="2"/>
        <v>606544669.85999954</v>
      </c>
      <c r="K39" s="18">
        <v>0.171399</v>
      </c>
      <c r="L39" s="17"/>
      <c r="M39" s="17">
        <v>606259978.48000002</v>
      </c>
      <c r="N39" s="35"/>
    </row>
    <row r="40" spans="1:15" s="36" customFormat="1" ht="12" customHeight="1" x14ac:dyDescent="0.25">
      <c r="A40" s="12" t="s">
        <v>65</v>
      </c>
      <c r="B40" s="7" t="s">
        <v>66</v>
      </c>
      <c r="C40" s="14">
        <v>1696695</v>
      </c>
      <c r="D40" s="7" t="s">
        <v>50</v>
      </c>
      <c r="E40" s="34" t="s">
        <v>55</v>
      </c>
      <c r="F40" s="34" t="s">
        <v>62</v>
      </c>
      <c r="G40" s="15">
        <v>97.254200000589378</v>
      </c>
      <c r="H40" s="15">
        <v>97.299896151046582</v>
      </c>
      <c r="I40" s="16">
        <f t="shared" si="1"/>
        <v>165010714.87</v>
      </c>
      <c r="J40" s="16">
        <f t="shared" si="2"/>
        <v>165088247.29999998</v>
      </c>
      <c r="K40" s="18">
        <v>0.17150000000000001</v>
      </c>
      <c r="L40" s="17"/>
      <c r="M40" s="17">
        <v>165010714.87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3366808624.0699997</v>
      </c>
      <c r="N42" s="38">
        <v>3366808624.0699997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x14ac:dyDescent="0.25">
      <c r="A46" s="57">
        <f ca="1">IF(OFFSET(A46,-1,0)="№ п/п",1,OFFSET(A46,-1,0)+1)</f>
        <v>1</v>
      </c>
      <c r="B46" s="40" t="s">
        <v>49</v>
      </c>
      <c r="C46" s="52" t="s">
        <v>50</v>
      </c>
      <c r="D46" s="53" t="s">
        <v>51</v>
      </c>
      <c r="E46" s="54">
        <v>1000000</v>
      </c>
      <c r="F46" s="55">
        <v>69450000</v>
      </c>
      <c r="G46" s="56">
        <v>69450000</v>
      </c>
      <c r="H46" s="58">
        <v>69450000</v>
      </c>
      <c r="I46" s="29">
        <f>G46-H46</f>
        <v>0</v>
      </c>
    </row>
    <row r="47" spans="1:15" hidden="1" x14ac:dyDescent="0.25">
      <c r="B47" s="42"/>
      <c r="C47" s="43"/>
      <c r="D47" s="44"/>
      <c r="G47" s="45"/>
      <c r="H47" s="33"/>
    </row>
    <row r="48" spans="1:15" x14ac:dyDescent="0.25">
      <c r="G48" s="46">
        <f>SUM(G46:G47)</f>
        <v>69450000</v>
      </c>
    </row>
    <row r="50" spans="1:4" x14ac:dyDescent="0.25">
      <c r="A50" s="47" t="s">
        <v>13</v>
      </c>
      <c r="B50" s="48">
        <f>+L24+B27+M42+G48</f>
        <v>33678053532.574272</v>
      </c>
      <c r="C50" s="32">
        <v>33678053532.574291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9" t="s">
        <v>35</v>
      </c>
      <c r="B54" s="50"/>
    </row>
    <row r="55" spans="1:4" x14ac:dyDescent="0.25">
      <c r="A55" s="49" t="s">
        <v>36</v>
      </c>
      <c r="B55" s="41"/>
    </row>
    <row r="56" spans="1:4" x14ac:dyDescent="0.25">
      <c r="A56" s="49" t="s">
        <v>37</v>
      </c>
      <c r="B56" s="41">
        <v>541040.92999999993</v>
      </c>
    </row>
    <row r="57" spans="1:4" x14ac:dyDescent="0.25">
      <c r="A57" s="49" t="s">
        <v>38</v>
      </c>
      <c r="B57" s="41"/>
    </row>
    <row r="58" spans="1:4" x14ac:dyDescent="0.25">
      <c r="A58" s="49" t="s">
        <v>39</v>
      </c>
      <c r="B58" s="50"/>
    </row>
    <row r="59" spans="1:4" x14ac:dyDescent="0.25">
      <c r="A59" s="49" t="s">
        <v>40</v>
      </c>
      <c r="B59" s="51">
        <v>154972.38</v>
      </c>
    </row>
    <row r="60" spans="1:4" x14ac:dyDescent="0.25">
      <c r="A60" s="49" t="s">
        <v>41</v>
      </c>
      <c r="B60" s="51">
        <v>77261.260000000009</v>
      </c>
    </row>
    <row r="61" spans="1:4" x14ac:dyDescent="0.25">
      <c r="A61" s="49" t="s">
        <v>42</v>
      </c>
      <c r="B61" s="41"/>
    </row>
    <row r="62" spans="1:4" x14ac:dyDescent="0.25">
      <c r="A62" s="49" t="s">
        <v>43</v>
      </c>
      <c r="B62" s="41"/>
    </row>
    <row r="63" spans="1:4" x14ac:dyDescent="0.25">
      <c r="A63" s="49" t="s">
        <v>44</v>
      </c>
      <c r="B63" s="51"/>
    </row>
    <row r="64" spans="1:4" x14ac:dyDescent="0.25">
      <c r="A64" s="49" t="s">
        <v>45</v>
      </c>
      <c r="B64" s="50">
        <f>SUM(B54:B63)</f>
        <v>773274.57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2025-12-05T05:25:36Z</dcterms:created>
  <dcterms:modified xsi:type="dcterms:W3CDTF">2025-12-05T05:47:41Z</dcterms:modified>
</cp:coreProperties>
</file>