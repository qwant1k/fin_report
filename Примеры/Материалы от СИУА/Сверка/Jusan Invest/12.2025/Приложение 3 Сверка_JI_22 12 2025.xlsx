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95C0E65A-7FCE-4082-B06D-ABF7B7503D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4" i="1"/>
  <c r="D27" i="1"/>
  <c r="B61" i="1"/>
  <c r="G45" i="1"/>
  <c r="M40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47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<sst xmlns="http://schemas.openxmlformats.org/spreadsheetml/2006/main" count="165" uniqueCount="123">
  <si>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</si>
  <si>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</si>
  <si>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</si>
  <si>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</si>
  <si>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</si>
  <si>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</si>
  <si>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</si>
  <si>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</si>
  <si>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</si>
  <si>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</si>
  <si>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</si>
  <si>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</si>
  <si>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</si>
  <si>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</si>
  <si>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</si>
  <si>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</si>
  <si>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</si>
  <si>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</si>
  <si>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</si>
  <si>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</si>
  <si>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</si>
  <si>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</si>
  <si>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</si>
  <si>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</si>
  <si>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</si>
  <si>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</si>
  <si>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</si>
  <si>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</si>
  <si>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</si>
  <si>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</si>
  <si>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</si>
  <si>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</si>
  <si>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</si>
  <si>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</si>
  <si>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</si>
  <si>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</si>
  <si>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</si>
  <si>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</si>
  <si>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</si>
  <si>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</si>
  <si>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</si>
  <si>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</si>
  <si>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</si>
  <si>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</si>
  <si>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</si>
  <si>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</si>
  <si>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</si>
  <si>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</si>
  <si>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</si>
  <si>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MUM156_0007</t>
  </si>
  <si>
    <t>KZKD00001103</t>
  </si>
  <si>
    <t>KZT</t>
  </si>
  <si>
    <t>19.12.2025</t>
  </si>
  <si>
    <t>22.12.2025</t>
  </si>
  <si>
    <t>МИНИСТЕРСТВО ФИНАНСОВ РК, ГЦБ, MKM012_0160</t>
  </si>
  <si>
    <t>KZK100000373</t>
  </si>
  <si>
    <t>МИНИСТЕРСТВО ФИНАНСОВ РК, ГЦБ, MUM096_0014</t>
  </si>
  <si>
    <t>KZKD00001228</t>
  </si>
  <si>
    <t>23.12.2025</t>
  </si>
  <si>
    <t>МИНИСТЕРСТВО ФИНАНСОВ РК, ГЦБ, KZ_10_2811</t>
  </si>
  <si>
    <t>XS1901718335</t>
  </si>
  <si>
    <t>МИНИСТЕРСТВО ФИНАНСОВ РК, ОБЛИГАЦИИ, MFKZ.0435</t>
  </si>
  <si>
    <t>XS2914770545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</si>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</sst>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topLeftCell="A10" zoomScale="90" zoomScaleNormal="90" workbookViewId="0">
      <selection activeCell="D48" sqref="D48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99.506200000000007</v>
      </c>
      <c r="J4" s="11">
        <v>103.981672222222</v>
      </c>
      <c r="K4" s="11">
        <v>135159261.11111099</v>
      </c>
      <c r="L4" s="11">
        <v>3140246501.1111112</v>
      </c>
      <c r="M4" s="6">
        <f t="shared" ref="M4:M22" si="0">L4/$L$24</f>
        <v>0.10168881201958253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85.226100000000002</v>
      </c>
      <c r="J5" s="11">
        <v>89.446099999999987</v>
      </c>
      <c r="K5" s="11">
        <v>95582999.999999985</v>
      </c>
      <c r="L5" s="11">
        <v>2025954164.999999</v>
      </c>
      <c r="M5" s="6">
        <f t="shared" si="0"/>
        <v>6.5605318618165931E-2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85.226100000000002</v>
      </c>
      <c r="J6" s="11">
        <v>89.446100000000243</v>
      </c>
      <c r="K6" s="11">
        <v>65479461.200000003</v>
      </c>
      <c r="L6" s="11">
        <v>1387886832.806004</v>
      </c>
      <c r="M6" s="6">
        <f t="shared" si="0"/>
        <v>4.4943147996734233E-2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85.226100000000002</v>
      </c>
      <c r="J7" s="11">
        <v>89.446100000000001</v>
      </c>
      <c r="K7" s="11">
        <v>23028202.399999991</v>
      </c>
      <c r="L7" s="11">
        <v>488100212.01200002</v>
      </c>
      <c r="M7" s="6">
        <f t="shared" si="0"/>
        <v>1.5805870873017314E-2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88.685200000000009</v>
      </c>
      <c r="J8" s="11">
        <v>95.907422222222209</v>
      </c>
      <c r="K8" s="11">
        <v>163583333.33333299</v>
      </c>
      <c r="L8" s="11">
        <v>2172303113.333333</v>
      </c>
      <c r="M8" s="6">
        <f t="shared" si="0"/>
        <v>7.0344453170522334E-2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87.141000000000005</v>
      </c>
      <c r="J9" s="11">
        <v>95.146555555555551</v>
      </c>
      <c r="K9" s="11">
        <v>181325833.33333299</v>
      </c>
      <c r="L9" s="11">
        <v>2155069483.333333</v>
      </c>
      <c r="M9" s="6">
        <f t="shared" si="0"/>
        <v>6.9786386356065266E-2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80.945100000000011</v>
      </c>
      <c r="J10" s="11">
        <v>88.813155555555539</v>
      </c>
      <c r="K10" s="11">
        <v>178211458.33333299</v>
      </c>
      <c r="L10" s="11">
        <v>2011617973.333333</v>
      </c>
      <c r="M10" s="6">
        <f t="shared" si="0"/>
        <v>6.51410778972695E-2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71.933400000000006</v>
      </c>
      <c r="J11" s="11">
        <v>77.707566666666651</v>
      </c>
      <c r="K11" s="11">
        <v>130784875</v>
      </c>
      <c r="L11" s="11">
        <v>1760076384.999999</v>
      </c>
      <c r="M11" s="6">
        <f t="shared" si="0"/>
        <v>5.699555005985768E-2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79.820800000000006</v>
      </c>
      <c r="J12" s="11">
        <v>84.139966666666652</v>
      </c>
      <c r="K12" s="11">
        <v>97829125</v>
      </c>
      <c r="L12" s="11">
        <v>1905770245</v>
      </c>
      <c r="M12" s="6">
        <f t="shared" si="0"/>
        <v>6.1713471260217381E-2</v>
      </c>
    </row>
    <row r="13" spans="1:13" x14ac:dyDescent="0.25">
      <c r="A13" s="1" t="s">
        <v>87</v>
      </c>
      <c r="B13" s="13" t="s">
        <v>88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89</v>
      </c>
      <c r="H13" s="11">
        <v>1622351550</v>
      </c>
      <c r="I13" s="11">
        <v>66.00030000000001</v>
      </c>
      <c r="J13" s="11">
        <v>70.931966666666654</v>
      </c>
      <c r="K13" s="11">
        <v>111702250</v>
      </c>
      <c r="L13" s="11">
        <v>1606609045</v>
      </c>
      <c r="M13" s="6">
        <f t="shared" si="0"/>
        <v>5.2025904688743206E-2</v>
      </c>
    </row>
    <row r="14" spans="1:13" x14ac:dyDescent="0.25">
      <c r="A14" s="1" t="s">
        <v>90</v>
      </c>
      <c r="B14" s="13" t="s">
        <v>91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92</v>
      </c>
      <c r="H14" s="11">
        <v>1597764975</v>
      </c>
      <c r="I14" s="11">
        <v>64.784000000000006</v>
      </c>
      <c r="J14" s="11">
        <v>72.024583333333325</v>
      </c>
      <c r="K14" s="11">
        <v>163999212.5</v>
      </c>
      <c r="L14" s="11">
        <v>1631356812.5</v>
      </c>
      <c r="M14" s="6">
        <f t="shared" si="0"/>
        <v>5.2827297533642931E-2</v>
      </c>
    </row>
    <row r="15" spans="1:13" x14ac:dyDescent="0.25">
      <c r="A15" s="1" t="s">
        <v>93</v>
      </c>
      <c r="B15" s="13" t="s">
        <v>94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95</v>
      </c>
      <c r="H15" s="11">
        <v>3136670150</v>
      </c>
      <c r="I15" s="11">
        <v>87.821400000000011</v>
      </c>
      <c r="J15" s="11">
        <v>91.862650000000002</v>
      </c>
      <c r="K15" s="11">
        <v>152557187.5</v>
      </c>
      <c r="L15" s="11">
        <v>3467815037.5</v>
      </c>
      <c r="M15" s="6">
        <f t="shared" si="0"/>
        <v>0.11229627716876538</v>
      </c>
    </row>
    <row r="16" spans="1:13" x14ac:dyDescent="0.25">
      <c r="A16" s="1" t="s">
        <v>96</v>
      </c>
      <c r="B16" s="13" t="s">
        <v>97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60.711400000000005</v>
      </c>
      <c r="J16" s="11">
        <v>64.347511111111103</v>
      </c>
      <c r="K16" s="11">
        <v>101951465</v>
      </c>
      <c r="L16" s="11">
        <v>1804214125.04</v>
      </c>
      <c r="M16" s="6">
        <f t="shared" si="0"/>
        <v>5.8424837330238767E-2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88.02770000000001</v>
      </c>
      <c r="J17" s="11">
        <v>97.52770000000001</v>
      </c>
      <c r="K17" s="11">
        <v>98655600</v>
      </c>
      <c r="L17" s="11">
        <v>1012805658.96</v>
      </c>
      <c r="M17" s="6">
        <f t="shared" si="0"/>
        <v>3.2797108198325077E-2</v>
      </c>
    </row>
    <row r="18" spans="1:15" x14ac:dyDescent="0.25">
      <c r="A18" s="1" t="s">
        <v>103</v>
      </c>
      <c r="B18" s="13" t="s">
        <v>104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98.753200000000007</v>
      </c>
      <c r="J18" s="11">
        <v>100.202922222222</v>
      </c>
      <c r="K18" s="11">
        <v>7349932.1972222198</v>
      </c>
      <c r="L18" s="11">
        <v>508017793.345222</v>
      </c>
      <c r="M18" s="6">
        <f t="shared" si="0"/>
        <v>1.6450850553230988E-2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95.210351728547394</v>
      </c>
      <c r="J19" s="11">
        <v>99.54007395076961</v>
      </c>
      <c r="K19" s="11">
        <v>90924166.666666657</v>
      </c>
      <c r="L19" s="11">
        <v>2090341552.966162</v>
      </c>
      <c r="M19" s="6">
        <f t="shared" si="0"/>
        <v>6.7690338691910573E-2</v>
      </c>
    </row>
    <row r="20" spans="1:15" x14ac:dyDescent="0.25">
      <c r="A20" s="1" t="s">
        <v>111</v>
      </c>
      <c r="B20" s="13" t="s">
        <v>112</v>
      </c>
      <c r="C20" s="10">
        <v>1000000</v>
      </c>
      <c r="D20" s="11">
        <v>1000000000</v>
      </c>
      <c r="E20" s="3">
        <v>0.1389</v>
      </c>
      <c r="F20" s="4" t="s">
        <v>113</v>
      </c>
      <c r="G20" s="4" t="s">
        <v>114</v>
      </c>
      <c r="H20" s="11">
        <v>1000000000</v>
      </c>
      <c r="I20" s="11">
        <v>98.718098046100096</v>
      </c>
      <c r="J20" s="11">
        <v>99.644098046100083</v>
      </c>
      <c r="K20" s="11">
        <v>9260000</v>
      </c>
      <c r="L20" s="11">
        <v>996440980.46100104</v>
      </c>
      <c r="M20" s="6">
        <f t="shared" si="0"/>
        <v>3.2267180144888247E-2</v>
      </c>
    </row>
    <row r="21" spans="1:15" x14ac:dyDescent="0.25">
      <c r="A21" s="1" t="s">
        <v>115</v>
      </c>
      <c r="B21" s="13" t="s">
        <v>116</v>
      </c>
      <c r="C21" s="10">
        <v>165739</v>
      </c>
      <c r="D21" s="11">
        <v>165739000</v>
      </c>
      <c r="E21" s="3">
        <v>0.125</v>
      </c>
      <c r="F21" s="4" t="s">
        <v>117</v>
      </c>
      <c r="G21" s="4" t="s">
        <v>118</v>
      </c>
      <c r="H21" s="11">
        <v>159596381.18279999</v>
      </c>
      <c r="I21" s="11">
        <v>97.1244680768107</v>
      </c>
      <c r="J21" s="11">
        <v>103.72169029902001</v>
      </c>
      <c r="K21" s="11">
        <v>10934170.138866659</v>
      </c>
      <c r="L21" s="11">
        <v>171907292.28469199</v>
      </c>
      <c r="M21" s="6">
        <f t="shared" si="0"/>
        <v>5.5667758323265917E-3</v>
      </c>
    </row>
    <row r="22" spans="1:15" x14ac:dyDescent="0.25">
      <c r="A22" s="1" t="s">
        <v>119</v>
      </c>
      <c r="B22" s="13" t="s">
        <v>120</v>
      </c>
      <c r="C22" s="10">
        <v>494987</v>
      </c>
      <c r="D22" s="11">
        <v>494987000</v>
      </c>
      <c r="E22" s="3">
        <v>0.1701</v>
      </c>
      <c r="F22" s="4" t="s">
        <v>121</v>
      </c>
      <c r="G22" s="4" t="s">
        <v>122</v>
      </c>
      <c r="H22" s="11">
        <v>495088472.34249997</v>
      </c>
      <c r="I22" s="11">
        <v>103.6061</v>
      </c>
      <c r="J22" s="11">
        <v>109.98484999999999</v>
      </c>
      <c r="K22" s="11">
        <v>31573983.262499999</v>
      </c>
      <c r="L22" s="11">
        <v>544410709.46949995</v>
      </c>
      <c r="M22" s="6">
        <f t="shared" si="0"/>
        <v>1.7629341606495982E-2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1849892516.9763658</v>
      </c>
      <c r="L24" s="22">
        <f>SUM(L4:L23)</f>
        <v>30880943918.455692</v>
      </c>
      <c r="M24" s="23"/>
      <c r="N24" s="26">
        <v>30880943918.455708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652476.14</v>
      </c>
      <c r="C27" s="51">
        <v>652476.14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292040</v>
      </c>
      <c r="D32" s="7" t="s">
        <v>51</v>
      </c>
      <c r="E32" s="34" t="s">
        <v>52</v>
      </c>
      <c r="F32" s="34" t="s">
        <v>53</v>
      </c>
      <c r="G32" s="15">
        <v>839.26400000000001</v>
      </c>
      <c r="H32" s="15">
        <v>840.43872585947099</v>
      </c>
      <c r="I32" s="16">
        <f t="shared" ref="I32:I38" si="1">+C32*G32</f>
        <v>245098658.56</v>
      </c>
      <c r="J32" s="16">
        <f t="shared" ref="J32:J38" si="2">+C32*H32</f>
        <v>245441725.49999991</v>
      </c>
      <c r="K32" s="18">
        <v>0.170298</v>
      </c>
      <c r="L32" s="17">
        <v>114355.64666666661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292040</v>
      </c>
      <c r="D33" s="7" t="s">
        <v>51</v>
      </c>
      <c r="E33" s="34" t="s">
        <v>53</v>
      </c>
      <c r="F33" s="34" t="s">
        <v>53</v>
      </c>
      <c r="G33" s="15">
        <v>839.26400000000001</v>
      </c>
      <c r="H33" s="15">
        <v>840.43872585947099</v>
      </c>
      <c r="I33" s="16">
        <f t="shared" si="1"/>
        <v>245098658.56</v>
      </c>
      <c r="J33" s="16">
        <f t="shared" si="2"/>
        <v>245441725.49999991</v>
      </c>
      <c r="K33" s="18">
        <v>0.170298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32756298</v>
      </c>
      <c r="D34" s="7" t="s">
        <v>51</v>
      </c>
      <c r="E34" s="34" t="s">
        <v>52</v>
      </c>
      <c r="F34" s="34" t="s">
        <v>53</v>
      </c>
      <c r="G34" s="15">
        <v>97.907500000152638</v>
      </c>
      <c r="H34" s="15">
        <v>98.044542871419708</v>
      </c>
      <c r="I34" s="16">
        <f t="shared" si="1"/>
        <v>3207087246.4400001</v>
      </c>
      <c r="J34" s="16">
        <f t="shared" si="2"/>
        <v>3211576263.5699997</v>
      </c>
      <c r="K34" s="18">
        <v>0.17029900000000001</v>
      </c>
      <c r="L34" s="17">
        <v>1496339.04333333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32756298</v>
      </c>
      <c r="D35" s="7" t="s">
        <v>51</v>
      </c>
      <c r="E35" s="34" t="s">
        <v>53</v>
      </c>
      <c r="F35" s="34" t="s">
        <v>53</v>
      </c>
      <c r="G35" s="15">
        <v>97.907500000152638</v>
      </c>
      <c r="H35" s="15">
        <v>98.044542871419708</v>
      </c>
      <c r="I35" s="16">
        <f t="shared" si="1"/>
        <v>3207087246.4400001</v>
      </c>
      <c r="J35" s="16">
        <f t="shared" si="2"/>
        <v>3211576263.5699997</v>
      </c>
      <c r="K35" s="18">
        <v>0.17029900000000001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10813</v>
      </c>
      <c r="D36" s="7" t="s">
        <v>51</v>
      </c>
      <c r="E36" s="34" t="s">
        <v>53</v>
      </c>
      <c r="F36" s="34" t="s">
        <v>58</v>
      </c>
      <c r="G36" s="15">
        <v>1017.577999630074</v>
      </c>
      <c r="H36" s="15">
        <v>1018.0519430315361</v>
      </c>
      <c r="I36" s="16">
        <f t="shared" si="1"/>
        <v>11003070.909999991</v>
      </c>
      <c r="J36" s="16">
        <f t="shared" si="2"/>
        <v>11008195.66</v>
      </c>
      <c r="K36" s="18">
        <v>0.17000099999999999</v>
      </c>
      <c r="L36" s="17"/>
      <c r="M36" s="17">
        <v>11003070.91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5370192</v>
      </c>
      <c r="D37" s="7" t="s">
        <v>51</v>
      </c>
      <c r="E37" s="34" t="s">
        <v>53</v>
      </c>
      <c r="F37" s="34" t="s">
        <v>58</v>
      </c>
      <c r="G37" s="15">
        <v>597.45290000059606</v>
      </c>
      <c r="H37" s="15">
        <v>597.73118210298605</v>
      </c>
      <c r="I37" s="16">
        <f t="shared" si="1"/>
        <v>3208436783.960001</v>
      </c>
      <c r="J37" s="16">
        <f t="shared" si="2"/>
        <v>3209931212.2799988</v>
      </c>
      <c r="K37" s="18">
        <v>0.17000999999999999</v>
      </c>
      <c r="L37" s="17"/>
      <c r="M37" s="17">
        <v>3208436783.96</v>
      </c>
      <c r="N37" s="35"/>
    </row>
    <row r="38" spans="1:15" s="36" customFormat="1" ht="12" customHeight="1" x14ac:dyDescent="0.25">
      <c r="A38" s="12" t="s">
        <v>61</v>
      </c>
      <c r="B38" s="7" t="s">
        <v>62</v>
      </c>
      <c r="C38" s="14">
        <v>478192</v>
      </c>
      <c r="D38" s="7" t="s">
        <v>51</v>
      </c>
      <c r="E38" s="34" t="s">
        <v>53</v>
      </c>
      <c r="F38" s="34" t="s">
        <v>58</v>
      </c>
      <c r="G38" s="15">
        <v>516.58530000501901</v>
      </c>
      <c r="H38" s="15">
        <v>516.82590137434306</v>
      </c>
      <c r="I38" s="16">
        <f t="shared" si="1"/>
        <v>247026957.78000006</v>
      </c>
      <c r="J38" s="16">
        <f t="shared" si="2"/>
        <v>247142011.42999986</v>
      </c>
      <c r="K38" s="18">
        <v>0.17</v>
      </c>
      <c r="L38" s="17"/>
      <c r="M38" s="17">
        <v>247026957.78</v>
      </c>
      <c r="N38" s="35"/>
    </row>
    <row r="39" spans="1:15" s="36" customFormat="1" ht="11.25" hidden="1" x14ac:dyDescent="0.25">
      <c r="A39" s="7"/>
      <c r="B39" s="7"/>
      <c r="C39" s="7"/>
      <c r="D39" s="7"/>
      <c r="E39" s="37"/>
      <c r="F39" s="37"/>
      <c r="G39" s="7"/>
      <c r="H39" s="7"/>
      <c r="I39" s="8"/>
      <c r="J39" s="8"/>
      <c r="K39" s="7"/>
      <c r="L39" s="9"/>
      <c r="M39" s="9"/>
      <c r="N39" s="35"/>
    </row>
    <row r="40" spans="1:15" x14ac:dyDescent="0.25">
      <c r="A40" s="1" t="s">
        <v>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f>SUM(M32:M39)</f>
        <v>3466466812.6500001</v>
      </c>
      <c r="N40" s="38">
        <v>3466466812.6500001</v>
      </c>
      <c r="O40" s="29">
        <f>M40-N40</f>
        <v>0</v>
      </c>
    </row>
    <row r="42" spans="1:15" x14ac:dyDescent="0.25">
      <c r="A42" s="39" t="s">
        <v>28</v>
      </c>
      <c r="B42" s="33"/>
      <c r="D42" s="33"/>
      <c r="F42" s="28"/>
      <c r="G42" s="28"/>
    </row>
    <row r="43" spans="1:15" ht="22.5" x14ac:dyDescent="0.25">
      <c r="A43" s="19" t="s">
        <v>6</v>
      </c>
      <c r="B43" s="19" t="s">
        <v>29</v>
      </c>
      <c r="C43" s="19" t="s">
        <v>17</v>
      </c>
      <c r="D43" s="19" t="s">
        <v>30</v>
      </c>
      <c r="E43" s="19" t="s">
        <v>16</v>
      </c>
      <c r="F43" s="19" t="s">
        <v>31</v>
      </c>
      <c r="G43" s="19" t="s">
        <v>32</v>
      </c>
    </row>
    <row r="44" spans="1:15" hidden="1" x14ac:dyDescent="0.25">
      <c r="B44" s="41"/>
      <c r="C44" s="42"/>
      <c r="D44" s="43"/>
      <c r="G44" s="44"/>
      <c r="H44" s="33"/>
    </row>
    <row r="45" spans="1:15" x14ac:dyDescent="0.25">
      <c r="G45" s="45">
        <f>SUM(G44:G44)</f>
        <v>0</v>
      </c>
    </row>
    <row r="47" spans="1:15" x14ac:dyDescent="0.25">
      <c r="A47" s="46" t="s">
        <v>13</v>
      </c>
      <c r="B47" s="47">
        <f>+L24+B27+M40+G45</f>
        <v>34348063207.245693</v>
      </c>
      <c r="C47" s="32">
        <v>34348063207.245708</v>
      </c>
      <c r="D47" s="29">
        <f>B47-C47</f>
        <v>0</v>
      </c>
    </row>
    <row r="50" spans="1:2" x14ac:dyDescent="0.25">
      <c r="A50" s="24" t="s">
        <v>46</v>
      </c>
      <c r="B50" s="33"/>
    </row>
    <row r="51" spans="1:2" x14ac:dyDescent="0.25">
      <c r="A51" s="48" t="s">
        <v>35</v>
      </c>
      <c r="B51" s="49"/>
    </row>
    <row r="52" spans="1:2" x14ac:dyDescent="0.25">
      <c r="A52" s="48" t="s">
        <v>36</v>
      </c>
      <c r="B52" s="40"/>
    </row>
    <row r="53" spans="1:2" x14ac:dyDescent="0.25">
      <c r="A53" s="48" t="s">
        <v>37</v>
      </c>
      <c r="B53" s="40">
        <v>820974.91999999993</v>
      </c>
    </row>
    <row r="54" spans="1:2" x14ac:dyDescent="0.25">
      <c r="A54" s="48" t="s">
        <v>38</v>
      </c>
      <c r="B54" s="40"/>
    </row>
    <row r="55" spans="1:2" x14ac:dyDescent="0.25">
      <c r="A55" s="48" t="s">
        <v>39</v>
      </c>
      <c r="B55" s="49"/>
    </row>
    <row r="56" spans="1:2" x14ac:dyDescent="0.25">
      <c r="A56" s="48" t="s">
        <v>40</v>
      </c>
      <c r="B56" s="40">
        <v>247349.31</v>
      </c>
    </row>
    <row r="57" spans="1:2" x14ac:dyDescent="0.25">
      <c r="A57" s="48" t="s">
        <v>41</v>
      </c>
      <c r="B57" s="40">
        <v>123438.29</v>
      </c>
    </row>
    <row r="58" spans="1:2" x14ac:dyDescent="0.25">
      <c r="A58" s="48" t="s">
        <v>42</v>
      </c>
      <c r="B58" s="40"/>
    </row>
    <row r="59" spans="1:2" x14ac:dyDescent="0.25">
      <c r="A59" s="48" t="s">
        <v>43</v>
      </c>
      <c r="B59" s="40"/>
    </row>
    <row r="60" spans="1:2" x14ac:dyDescent="0.25">
      <c r="A60" s="48" t="s">
        <v>44</v>
      </c>
      <c r="B60" s="50"/>
    </row>
    <row r="61" spans="1:2" x14ac:dyDescent="0.25">
      <c r="A61" s="48" t="s">
        <v>45</v>
      </c>
      <c r="B61" s="49">
        <f>SUM(B51:B60)</f>
        <v>1191762.52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2025-12-23T05:07:23Z</dcterms:created>
  <dcterms:modified xsi:type="dcterms:W3CDTF">2025-12-23T10:45:03Z</dcterms:modified>
</cp:coreProperties>
</file>