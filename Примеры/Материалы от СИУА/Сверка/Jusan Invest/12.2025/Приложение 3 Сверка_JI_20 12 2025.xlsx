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186177DB-998A-47C2-9C9D-1D6079FAE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M17" i="1" s="1"/>
  <c r="K24" i="1"/>
  <c r="M6" i="1" l="1"/>
  <c r="M12" i="1"/>
  <c r="M18" i="1"/>
  <c r="M7" i="1"/>
  <c r="M15" i="1"/>
  <c r="M4" i="1"/>
  <c r="M10" i="1"/>
  <c r="M16" i="1"/>
  <c r="M22" i="1"/>
  <c r="M13" i="1"/>
  <c r="M19" i="1"/>
  <c r="B42" i="1"/>
  <c r="M8" i="1"/>
  <c r="M14" i="1"/>
  <c r="M20" i="1"/>
  <c r="M9" i="1"/>
  <c r="M21" i="1"/>
  <c r="M5" i="1"/>
  <c r="M11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<sst xmlns="http://schemas.openxmlformats.org/spreadsheetml/2006/main" count="140" uniqueCount="117">
  <si>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</si>
  <si>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</si>
  <si>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</si>
  <si>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</si>
  <si>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</si>
  <si>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</si>
  <si>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</si>
  <si>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</si>
  <si>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</si>
  <si>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</si>
  <si>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</si>
  <si>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</si>
  <si>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</si>
  <si>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</si>
  <si>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</si>
  <si>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</si>
  <si>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</si>
  <si>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</si>
  <si>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</si>
  <si>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</si>
  <si>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</si>
  <si>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</si>
  <si>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</si>
  <si>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</si>
  <si>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</si>
  <si>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</si>
  <si>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</si>
  <si>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</si>
  <si>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</si>
  <si>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</si>
  <si>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</si>
  <si>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</si>
  <si>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</si>
  <si>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</si>
  <si>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</si>
  <si>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</si>
  <si>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</si>
  <si>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</si>
  <si>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</si>
  <si>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</si>
  <si>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</si>
  <si>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</si>
  <si>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</si>
  <si>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</si>
  <si>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</si>
  <si>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</si>
  <si>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</si>
  <si>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</si>
  <si>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</si>
  <si>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MUM156_0007</t>
  </si>
  <si>
    <t>KZKD00001103</t>
  </si>
  <si>
    <t>KZT</t>
  </si>
  <si>
    <t>19.12.2025</t>
  </si>
  <si>
    <t>22.12.2025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</si>
  <si>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</si>
  <si>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</si>
  <si>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</si>
  <si>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</si>
  <si>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</si>
  <si>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</si>
  <si>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</si>
  <si>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</si>
  <si>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</si>
  <si>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</si>
  <si>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</si>
  <si>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</si>
  <si>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</si>
  <si>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</si>
  <si>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</si>
  <si>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</si>
  <si>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</si>
  <si>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</si>
  <si>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</si>
  <si>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</si>
  <si>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</si>
  <si>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</si>
  <si>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</si>
  <si>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</si>
  <si>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</si>
  <si>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</si>
  <si>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</si>
  <si>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</si>
  <si>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</si>
  <si>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</si>
  <si>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</si>
  <si>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</si>
  <si>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</si>
  <si>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</si>
  <si>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</si>
  <si>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</si>
  <si>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</si>
  <si>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</si>
  <si>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</si>
  <si>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</si>
  <si>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</si>
  <si>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</si>
  <si>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</si>
  <si>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</si>
  <si>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</si>
  <si>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</si>
  <si>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</si>
  <si>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</si>
  <si>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</si>
  <si>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</si>
  <si>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</si>
  <si>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</si>
  <si>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</si>
  <si>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</si>
  <si>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МИНИСТЕРСТВО ФИНАНСОВ РК, ГЦБ, MOM048_0056</t>
  </si>
  <si>
    <t>KZK200000760</t>
  </si>
  <si>
    <t>28.08.2025</t>
  </si>
  <si>
    <t>07.08.2029</t>
  </si>
  <si>
    <t>АО КФУ, ОБЛИГАЦИИ, KFUSb83</t>
  </si>
  <si>
    <t>KZ2C00012094</t>
  </si>
  <si>
    <t>19.06.2025</t>
  </si>
  <si>
    <t>12.06.2026</t>
  </si>
  <si>
    <t>20.12.2025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</si>
</sst>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3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99.4602</v>
      </c>
      <c r="J4" s="11">
        <v>103.876394444444</v>
      </c>
      <c r="K4" s="11">
        <v>133369072.222222</v>
      </c>
      <c r="L4" s="11">
        <v>3137067112.2222219</v>
      </c>
      <c r="M4" s="6">
        <f t="shared" ref="M4:M22" si="0">L4/$L$24</f>
        <v>0.10169103430799964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85.184400000000011</v>
      </c>
      <c r="J5" s="11">
        <v>89.345788888888876</v>
      </c>
      <c r="K5" s="11">
        <v>94255458.333333328</v>
      </c>
      <c r="L5" s="11">
        <v>2023682118.333333</v>
      </c>
      <c r="M5" s="6">
        <f t="shared" si="0"/>
        <v>6.5599593621107941E-2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85.184400000000011</v>
      </c>
      <c r="J6" s="11">
        <v>89.345788888889132</v>
      </c>
      <c r="K6" s="11">
        <v>64570024.238888882</v>
      </c>
      <c r="L6" s="11">
        <v>1386330359.4628921</v>
      </c>
      <c r="M6" s="6">
        <f t="shared" si="0"/>
        <v>4.4939226067910766E-2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85.184400000000011</v>
      </c>
      <c r="J7" s="11">
        <v>89.34578888888889</v>
      </c>
      <c r="K7" s="11">
        <v>22708366.255555551</v>
      </c>
      <c r="L7" s="11">
        <v>487552822.30355603</v>
      </c>
      <c r="M7" s="6">
        <f t="shared" si="0"/>
        <v>1.5804491585999857E-2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88.629900000000006</v>
      </c>
      <c r="J8" s="11">
        <v>95.794344444444434</v>
      </c>
      <c r="K8" s="11">
        <v>162274666.66666701</v>
      </c>
      <c r="L8" s="11">
        <v>2169741901.666666</v>
      </c>
      <c r="M8" s="6">
        <f t="shared" si="0"/>
        <v>7.0334261355853175E-2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87.094099999999997</v>
      </c>
      <c r="J9" s="11">
        <v>95.03854444444444</v>
      </c>
      <c r="K9" s="11">
        <v>179941666.66666701</v>
      </c>
      <c r="L9" s="11">
        <v>2152623031.666666</v>
      </c>
      <c r="M9" s="6">
        <f t="shared" si="0"/>
        <v>6.9779336792810898E-2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80.911500000000004</v>
      </c>
      <c r="J10" s="11">
        <v>88.722333333333324</v>
      </c>
      <c r="K10" s="11">
        <v>176915375</v>
      </c>
      <c r="L10" s="11">
        <v>2009560850</v>
      </c>
      <c r="M10" s="6">
        <f t="shared" si="0"/>
        <v>6.5141839186412337E-2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71.905200000000008</v>
      </c>
      <c r="J11" s="11">
        <v>77.632422222222218</v>
      </c>
      <c r="K11" s="11">
        <v>129721583.333333</v>
      </c>
      <c r="L11" s="11">
        <v>1758374363.333333</v>
      </c>
      <c r="M11" s="6">
        <f t="shared" si="0"/>
        <v>5.6999388700158124E-2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79.802900000000008</v>
      </c>
      <c r="J12" s="11">
        <v>84.062899999999999</v>
      </c>
      <c r="K12" s="11">
        <v>96489000</v>
      </c>
      <c r="L12" s="11">
        <v>1904024685</v>
      </c>
      <c r="M12" s="6">
        <f t="shared" si="0"/>
        <v>6.1720783342902708E-2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65.986000000000004</v>
      </c>
      <c r="J13" s="11">
        <v>70.872833333333332</v>
      </c>
      <c r="K13" s="11">
        <v>110686775</v>
      </c>
      <c r="L13" s="11">
        <v>1605269675</v>
      </c>
      <c r="M13" s="6">
        <f t="shared" si="0"/>
        <v>5.2036353624063884E-2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64.770499999999998</v>
      </c>
      <c r="J14" s="11">
        <v>71.966250000000002</v>
      </c>
      <c r="K14" s="11">
        <v>162983737.5</v>
      </c>
      <c r="L14" s="11">
        <v>1630035562.5</v>
      </c>
      <c r="M14" s="6">
        <f t="shared" si="0"/>
        <v>5.2839163581689094E-2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87.734800000000007</v>
      </c>
      <c r="J15" s="11">
        <v>91.745549999999994</v>
      </c>
      <c r="K15" s="11">
        <v>151405812.5</v>
      </c>
      <c r="L15" s="11">
        <v>3463394512.5</v>
      </c>
      <c r="M15" s="6">
        <f t="shared" si="0"/>
        <v>0.1122692494593423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60.677100000000003</v>
      </c>
      <c r="J16" s="11">
        <v>64.28265555555555</v>
      </c>
      <c r="K16" s="11">
        <v>101094730</v>
      </c>
      <c r="L16" s="11">
        <v>1802395666.0599999</v>
      </c>
      <c r="M16" s="6">
        <f t="shared" si="0"/>
        <v>5.8426381380174218E-2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87.990400000000008</v>
      </c>
      <c r="J17" s="11">
        <v>97.423733333333331</v>
      </c>
      <c r="K17" s="11">
        <v>97963280</v>
      </c>
      <c r="L17" s="11">
        <v>1011725985.92</v>
      </c>
      <c r="M17" s="6">
        <f t="shared" si="0"/>
        <v>3.2796066601076104E-2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98.7333</v>
      </c>
      <c r="J18" s="11">
        <v>100.097744444444</v>
      </c>
      <c r="K18" s="11">
        <v>6917583.2444444401</v>
      </c>
      <c r="L18" s="11">
        <v>507484553.58144403</v>
      </c>
      <c r="M18" s="6">
        <f t="shared" si="0"/>
        <v>1.6450597740790322E-2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95.20542868837849</v>
      </c>
      <c r="J19" s="11">
        <v>99.455706466156272</v>
      </c>
      <c r="K19" s="11">
        <v>89255833.333333328</v>
      </c>
      <c r="L19" s="11">
        <v>2088569835.7892809</v>
      </c>
      <c r="M19" s="6">
        <f t="shared" si="0"/>
        <v>6.7702991114987621E-2</v>
      </c>
    </row>
    <row r="20" spans="1:15" x14ac:dyDescent="0.25">
      <c r="A20" s="1" t="s">
        <v>104</v>
      </c>
      <c r="B20" s="13" t="s">
        <v>105</v>
      </c>
      <c r="C20" s="10">
        <v>1000000</v>
      </c>
      <c r="D20" s="11">
        <v>1000000000</v>
      </c>
      <c r="E20" s="3">
        <v>0.1389</v>
      </c>
      <c r="F20" s="4" t="s">
        <v>106</v>
      </c>
      <c r="G20" s="4" t="s">
        <v>107</v>
      </c>
      <c r="H20" s="11">
        <v>1000000000</v>
      </c>
      <c r="I20" s="11">
        <v>98.705892959183203</v>
      </c>
      <c r="J20" s="11">
        <v>99.55472629251652</v>
      </c>
      <c r="K20" s="11">
        <v>8488333.3333333302</v>
      </c>
      <c r="L20" s="11">
        <v>995547262.92516506</v>
      </c>
      <c r="M20" s="6">
        <f t="shared" si="0"/>
        <v>3.2271617803434051E-2</v>
      </c>
    </row>
    <row r="21" spans="1:15" x14ac:dyDescent="0.25">
      <c r="A21" s="1" t="s">
        <v>108</v>
      </c>
      <c r="B21" s="13" t="s">
        <v>109</v>
      </c>
      <c r="C21" s="10">
        <v>494987</v>
      </c>
      <c r="D21" s="11">
        <v>494987000</v>
      </c>
      <c r="E21" s="3">
        <v>0.1701</v>
      </c>
      <c r="F21" s="4" t="s">
        <v>110</v>
      </c>
      <c r="G21" s="4" t="s">
        <v>111</v>
      </c>
      <c r="H21" s="11">
        <v>495088472.34249997</v>
      </c>
      <c r="I21" s="11">
        <v>103.5895</v>
      </c>
      <c r="J21" s="11">
        <v>109.87375</v>
      </c>
      <c r="K21" s="11">
        <v>31106220.547499999</v>
      </c>
      <c r="L21" s="11">
        <v>543860778.91250002</v>
      </c>
      <c r="M21" s="6">
        <f t="shared" si="0"/>
        <v>1.7629767916564971E-2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97.106735347940898</v>
      </c>
      <c r="J22" s="11">
        <v>103.634513125705</v>
      </c>
      <c r="K22" s="11">
        <v>10819073.611088879</v>
      </c>
      <c r="L22" s="11">
        <v>171762805.70941299</v>
      </c>
      <c r="M22" s="6">
        <f t="shared" si="0"/>
        <v>5.5678558167221301E-3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1830966591.7863665</v>
      </c>
      <c r="L24" s="22">
        <f>SUM(L4:L23)</f>
        <v>30849003882.886467</v>
      </c>
      <c r="M24" s="23"/>
      <c r="N24" s="26">
        <v>30849003882.886494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10101299.720000001</v>
      </c>
      <c r="C27" s="51">
        <v>10101299.720000001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292040</v>
      </c>
      <c r="D32" s="7" t="s">
        <v>51</v>
      </c>
      <c r="E32" s="34" t="s">
        <v>52</v>
      </c>
      <c r="F32" s="34" t="s">
        <v>53</v>
      </c>
      <c r="G32" s="15">
        <v>839.26400000000001</v>
      </c>
      <c r="H32" s="15">
        <v>840.43872585947099</v>
      </c>
      <c r="I32" s="16">
        <f>+C32*G32</f>
        <v>245098658.56</v>
      </c>
      <c r="J32" s="16">
        <f>+C32*H32</f>
        <v>245441725.49999991</v>
      </c>
      <c r="K32" s="18">
        <v>0.170298</v>
      </c>
      <c r="L32" s="17">
        <v>114355.64666666661</v>
      </c>
      <c r="M32" s="17">
        <v>245213014.20666701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32756298</v>
      </c>
      <c r="D33" s="7" t="s">
        <v>51</v>
      </c>
      <c r="E33" s="34" t="s">
        <v>52</v>
      </c>
      <c r="F33" s="34" t="s">
        <v>53</v>
      </c>
      <c r="G33" s="15">
        <v>97.907500000152638</v>
      </c>
      <c r="H33" s="15">
        <v>98.044542871419708</v>
      </c>
      <c r="I33" s="16">
        <f>+C33*G33</f>
        <v>3207087246.4400001</v>
      </c>
      <c r="J33" s="16">
        <f>+C33*H33</f>
        <v>3211576263.5699997</v>
      </c>
      <c r="K33" s="18">
        <v>0.17029900000000001</v>
      </c>
      <c r="L33" s="17">
        <v>1496339.04333333</v>
      </c>
      <c r="M33" s="17">
        <v>3208583585.4833331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3453796599.6900001</v>
      </c>
      <c r="N35" s="38">
        <v>3453796599.6900001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34312901782.296467</v>
      </c>
      <c r="C42" s="32">
        <v>34312901782.296494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790753.53999999992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242126.79</v>
      </c>
    </row>
    <row r="52" spans="1:2" x14ac:dyDescent="0.25">
      <c r="A52" s="48" t="s">
        <v>41</v>
      </c>
      <c r="B52" s="50">
        <v>120838.43999999999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1153718.77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2025-12-22T06:57:23Z</dcterms:created>
  <dcterms:modified xsi:type="dcterms:W3CDTF">2025-12-22T07:45:14Z</dcterms:modified>
</cp:coreProperties>
</file>