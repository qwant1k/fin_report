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2978DC57-3422-4803-8471-190AB37D34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ДУ!$43:$43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I43" i="1"/>
  <c r="O39" i="1"/>
  <c r="O24" i="1"/>
  <c r="D27" i="1"/>
  <c r="B61" i="1"/>
  <c r="G45" i="1"/>
  <c r="A43" i="1"/>
  <c r="M39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17" i="1" s="1"/>
  <c r="K24" i="1"/>
  <c r="M22" i="1"/>
  <c r="M21" i="1"/>
  <c r="M20" i="1"/>
  <c r="M18" i="1"/>
  <c r="M16" i="1"/>
  <c r="M15" i="1"/>
  <c r="M14" i="1"/>
  <c r="M12" i="1"/>
  <c r="M10" i="1"/>
  <c r="M9" i="1"/>
  <c r="M8" i="1"/>
  <c r="M6" i="1"/>
  <c r="M4" i="1"/>
  <c r="M7" i="1" l="1"/>
  <c r="M13" i="1"/>
  <c r="M19" i="1"/>
  <c r="B47" i="1"/>
  <c r="M5" i="1"/>
  <c r="M11" i="1"/>
</calcChain>
</file>

<file path=xl/sharedStrings.xml><?xml version="1.0" encoding="utf-8"?>
<sst xmlns="http://schemas.openxmlformats.org/spreadsheetml/2006/main" count="163" uniqueCount="119">
  <si>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</si>
  <si>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</si>
  <si>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</si>
  <si>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</si>
  <si>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</si>
  <si>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</si>
  <si>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</si>
  <si>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</si>
  <si>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</si>
  <si>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</si>
  <si>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</si>
  <si>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</si>
  <si>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</si>
  <si>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</si>
  <si>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</si>
  <si>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</si>
  <si>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</si>
  <si>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</si>
  <si>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</si>
  <si>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</si>
  <si>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</si>
  <si>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</si>
  <si>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</si>
  <si>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</si>
  <si>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</si>
  <si>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</si>
  <si>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</si>
  <si>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</si>
  <si>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</si>
  <si>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</si>
  <si>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</si>
  <si>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</si>
  <si>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</si>
  <si>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</si>
  <si>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</si>
  <si>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</si>
  <si>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</si>
  <si>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</si>
  <si>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</si>
  <si>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</si>
  <si>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</si>
  <si>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</si>
  <si>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</si>
  <si>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</si>
  <si>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</si>
  <si>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</si>
  <si>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</si>
  <si>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</si>
  <si>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</si>
  <si>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KZ2C00012698 _BTRKb17</t>
  </si>
  <si>
    <t>KZT</t>
  </si>
  <si>
    <t>28.11.2025</t>
  </si>
  <si>
    <t>МИНИСТЕРСТВО ФИНАНСОВ РК, ГЦБ, MUM180_0004</t>
  </si>
  <si>
    <t>KZKD00000444</t>
  </si>
  <si>
    <t>10.12.2025</t>
  </si>
  <si>
    <t>11.12.2025</t>
  </si>
  <si>
    <t>МИНИСТЕРСТВО ФИНАНСОВ РК, ГЦБ, MKM012_0160</t>
  </si>
  <si>
    <t>KZK100000373</t>
  </si>
  <si>
    <t>09.12.2025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</si>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</sst>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topLeftCell="A14" zoomScale="90" zoomScaleNormal="90" workbookViewId="0">
      <selection activeCell="C47" sqref="C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59</v>
      </c>
      <c r="B4" s="13" t="s">
        <v>60</v>
      </c>
      <c r="C4" s="10">
        <v>3020000</v>
      </c>
      <c r="D4" s="11">
        <v>3020000000</v>
      </c>
      <c r="E4" s="3">
        <v>0.1067</v>
      </c>
      <c r="F4" s="4" t="s">
        <v>61</v>
      </c>
      <c r="G4" s="4" t="s">
        <v>62</v>
      </c>
      <c r="H4" s="11">
        <v>2930617060.0000029</v>
      </c>
      <c r="I4" s="11">
        <v>99.310299999999998</v>
      </c>
      <c r="J4" s="11">
        <v>103.43010555555601</v>
      </c>
      <c r="K4" s="11">
        <v>124418127.777778</v>
      </c>
      <c r="L4" s="11">
        <v>3123589187.7777772</v>
      </c>
      <c r="M4" s="6">
        <f t="shared" ref="M4:M22" si="0">L4/$L$24</f>
        <v>0.10227289395822639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61</v>
      </c>
      <c r="G5" s="4" t="s">
        <v>65</v>
      </c>
      <c r="H5" s="11">
        <v>2039188560.0000031</v>
      </c>
      <c r="I5" s="11">
        <v>84.424900000000008</v>
      </c>
      <c r="J5" s="11">
        <v>88.293233333333319</v>
      </c>
      <c r="K5" s="11">
        <v>87617749.999999985</v>
      </c>
      <c r="L5" s="11">
        <v>1999841734.999999</v>
      </c>
      <c r="M5" s="6">
        <f t="shared" si="0"/>
        <v>6.5479033701739561E-2</v>
      </c>
    </row>
    <row r="6" spans="1:13" x14ac:dyDescent="0.25">
      <c r="A6" s="1" t="s">
        <v>63</v>
      </c>
      <c r="B6" s="13" t="s">
        <v>64</v>
      </c>
      <c r="C6" s="10">
        <v>1551646</v>
      </c>
      <c r="D6" s="11">
        <v>1551646000</v>
      </c>
      <c r="E6" s="3">
        <v>0.10550000000000001</v>
      </c>
      <c r="F6" s="4" t="s">
        <v>66</v>
      </c>
      <c r="G6" s="4" t="s">
        <v>65</v>
      </c>
      <c r="H6" s="11">
        <v>1395452658.7</v>
      </c>
      <c r="I6" s="11">
        <v>84.424900000000008</v>
      </c>
      <c r="J6" s="11">
        <v>88.293233333333589</v>
      </c>
      <c r="K6" s="11">
        <v>60022839.43333333</v>
      </c>
      <c r="L6" s="11">
        <v>1369998423.2873371</v>
      </c>
      <c r="M6" s="6">
        <f t="shared" si="0"/>
        <v>4.485663608263564E-2</v>
      </c>
    </row>
    <row r="7" spans="1:13" x14ac:dyDescent="0.25">
      <c r="A7" s="1" t="s">
        <v>63</v>
      </c>
      <c r="B7" s="13" t="s">
        <v>64</v>
      </c>
      <c r="C7" s="10">
        <v>545692</v>
      </c>
      <c r="D7" s="11">
        <v>545692000</v>
      </c>
      <c r="E7" s="3">
        <v>0.10550000000000001</v>
      </c>
      <c r="F7" s="4" t="s">
        <v>67</v>
      </c>
      <c r="G7" s="4" t="s">
        <v>65</v>
      </c>
      <c r="H7" s="11">
        <v>449784993.92000002</v>
      </c>
      <c r="I7" s="11">
        <v>84.424900000000008</v>
      </c>
      <c r="J7" s="11">
        <v>88.293233333333319</v>
      </c>
      <c r="K7" s="11">
        <v>21109185.533333331</v>
      </c>
      <c r="L7" s="11">
        <v>481809110.84133297</v>
      </c>
      <c r="M7" s="6">
        <f t="shared" si="0"/>
        <v>1.5775445853761439E-2</v>
      </c>
    </row>
    <row r="8" spans="1:13" x14ac:dyDescent="0.25">
      <c r="A8" s="1" t="s">
        <v>68</v>
      </c>
      <c r="B8" s="13" t="s">
        <v>69</v>
      </c>
      <c r="C8" s="10">
        <v>2265000</v>
      </c>
      <c r="D8" s="11">
        <v>2265000000</v>
      </c>
      <c r="E8" s="3">
        <v>0.10400000000000001</v>
      </c>
      <c r="F8" s="4" t="s">
        <v>61</v>
      </c>
      <c r="G8" s="4" t="s">
        <v>70</v>
      </c>
      <c r="H8" s="11">
        <v>2073109200</v>
      </c>
      <c r="I8" s="11">
        <v>87.9221</v>
      </c>
      <c r="J8" s="11">
        <v>94.797655555555551</v>
      </c>
      <c r="K8" s="11">
        <v>155731333.33333299</v>
      </c>
      <c r="L8" s="11">
        <v>2147166898.333333</v>
      </c>
      <c r="M8" s="6">
        <f t="shared" si="0"/>
        <v>7.0302770083567639E-2</v>
      </c>
    </row>
    <row r="9" spans="1:13" x14ac:dyDescent="0.25">
      <c r="A9" s="1" t="s">
        <v>71</v>
      </c>
      <c r="B9" s="13" t="s">
        <v>72</v>
      </c>
      <c r="C9" s="10">
        <v>2265000</v>
      </c>
      <c r="D9" s="11">
        <v>2265000000</v>
      </c>
      <c r="E9" s="3">
        <v>0.11</v>
      </c>
      <c r="F9" s="4" t="s">
        <v>61</v>
      </c>
      <c r="G9" s="4" t="s">
        <v>73</v>
      </c>
      <c r="H9" s="11">
        <v>2080889475</v>
      </c>
      <c r="I9" s="11">
        <v>86.326100000000011</v>
      </c>
      <c r="J9" s="11">
        <v>93.964988888888882</v>
      </c>
      <c r="K9" s="11">
        <v>173020833.33333299</v>
      </c>
      <c r="L9" s="11">
        <v>2128306998.333333</v>
      </c>
      <c r="M9" s="6">
        <f t="shared" si="0"/>
        <v>6.9685257204374004E-2</v>
      </c>
    </row>
    <row r="10" spans="1:13" x14ac:dyDescent="0.25">
      <c r="A10" s="1" t="s">
        <v>74</v>
      </c>
      <c r="B10" s="13" t="s">
        <v>75</v>
      </c>
      <c r="C10" s="10">
        <v>2265000</v>
      </c>
      <c r="D10" s="11">
        <v>2265000000</v>
      </c>
      <c r="E10" s="3">
        <v>0.10300000000000001</v>
      </c>
      <c r="F10" s="4" t="s">
        <v>61</v>
      </c>
      <c r="G10" s="4" t="s">
        <v>76</v>
      </c>
      <c r="H10" s="11">
        <v>1963990560.0000031</v>
      </c>
      <c r="I10" s="11">
        <v>80.171400000000006</v>
      </c>
      <c r="J10" s="11">
        <v>87.696122222222215</v>
      </c>
      <c r="K10" s="11">
        <v>170434958.33333299</v>
      </c>
      <c r="L10" s="11">
        <v>1986317168.333333</v>
      </c>
      <c r="M10" s="6">
        <f t="shared" si="0"/>
        <v>6.5036210881778744E-2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61</v>
      </c>
      <c r="G11" s="4" t="s">
        <v>79</v>
      </c>
      <c r="H11" s="11">
        <v>1740247065.0000031</v>
      </c>
      <c r="I11" s="11">
        <v>71.239999999999995</v>
      </c>
      <c r="J11" s="11">
        <v>76.732499999999987</v>
      </c>
      <c r="K11" s="11">
        <v>124405125</v>
      </c>
      <c r="L11" s="11">
        <v>1737991124.999999</v>
      </c>
      <c r="M11" s="6">
        <f t="shared" si="0"/>
        <v>5.6905492797508429E-2</v>
      </c>
    </row>
    <row r="12" spans="1:13" x14ac:dyDescent="0.25">
      <c r="A12" s="1" t="s">
        <v>80</v>
      </c>
      <c r="B12" s="13" t="s">
        <v>81</v>
      </c>
      <c r="C12" s="10">
        <v>2265000</v>
      </c>
      <c r="D12" s="11">
        <v>2265000000</v>
      </c>
      <c r="E12" s="3">
        <v>0.10650000000000001</v>
      </c>
      <c r="F12" s="4" t="s">
        <v>61</v>
      </c>
      <c r="G12" s="4" t="s">
        <v>82</v>
      </c>
      <c r="H12" s="11">
        <v>1967775375</v>
      </c>
      <c r="I12" s="11">
        <v>79.115200000000002</v>
      </c>
      <c r="J12" s="11">
        <v>83.079366666666658</v>
      </c>
      <c r="K12" s="11">
        <v>89788375</v>
      </c>
      <c r="L12" s="11">
        <v>1881747655</v>
      </c>
      <c r="M12" s="6">
        <f t="shared" si="0"/>
        <v>6.1612384601981748E-2</v>
      </c>
    </row>
    <row r="13" spans="1:13" x14ac:dyDescent="0.25">
      <c r="A13" s="1" t="s">
        <v>83</v>
      </c>
      <c r="B13" s="13" t="s">
        <v>84</v>
      </c>
      <c r="C13" s="10">
        <v>2265000</v>
      </c>
      <c r="D13" s="11">
        <v>2265000000</v>
      </c>
      <c r="E13" s="3">
        <v>8.0700000000000008E-2</v>
      </c>
      <c r="F13" s="4" t="s">
        <v>61</v>
      </c>
      <c r="G13" s="4" t="s">
        <v>85</v>
      </c>
      <c r="H13" s="11">
        <v>1622351550</v>
      </c>
      <c r="I13" s="11">
        <v>65.412700000000001</v>
      </c>
      <c r="J13" s="11">
        <v>70.075366666666653</v>
      </c>
      <c r="K13" s="11">
        <v>105609400</v>
      </c>
      <c r="L13" s="11">
        <v>1587207055</v>
      </c>
      <c r="M13" s="6">
        <f t="shared" si="0"/>
        <v>5.1968504520675911E-2</v>
      </c>
    </row>
    <row r="14" spans="1:13" x14ac:dyDescent="0.25">
      <c r="A14" s="1" t="s">
        <v>86</v>
      </c>
      <c r="B14" s="13" t="s">
        <v>87</v>
      </c>
      <c r="C14" s="10">
        <v>2265000</v>
      </c>
      <c r="D14" s="11">
        <v>2265000000</v>
      </c>
      <c r="E14" s="3">
        <v>8.0700000000000008E-2</v>
      </c>
      <c r="F14" s="4" t="s">
        <v>61</v>
      </c>
      <c r="G14" s="4" t="s">
        <v>88</v>
      </c>
      <c r="H14" s="11">
        <v>1597764975</v>
      </c>
      <c r="I14" s="11">
        <v>64.212699999999998</v>
      </c>
      <c r="J14" s="11">
        <v>71.184283333333326</v>
      </c>
      <c r="K14" s="11">
        <v>157906362.5</v>
      </c>
      <c r="L14" s="11">
        <v>1612324017.5</v>
      </c>
      <c r="M14" s="6">
        <f t="shared" si="0"/>
        <v>5.2790886814854221E-2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61</v>
      </c>
      <c r="G15" s="4" t="s">
        <v>91</v>
      </c>
      <c r="H15" s="11">
        <v>3136670150</v>
      </c>
      <c r="I15" s="11">
        <v>87.1511</v>
      </c>
      <c r="J15" s="11">
        <v>91.009349999999998</v>
      </c>
      <c r="K15" s="11">
        <v>145648937.5</v>
      </c>
      <c r="L15" s="11">
        <v>3435602962.5</v>
      </c>
      <c r="M15" s="6">
        <f t="shared" si="0"/>
        <v>0.11248888261017011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60.069800000000001</v>
      </c>
      <c r="J16" s="11">
        <v>63.522577777777769</v>
      </c>
      <c r="K16" s="11">
        <v>96811055</v>
      </c>
      <c r="L16" s="11">
        <v>1781084149.28</v>
      </c>
      <c r="M16" s="6">
        <f t="shared" si="0"/>
        <v>5.8316449244589508E-2</v>
      </c>
    </row>
    <row r="17" spans="1:15" x14ac:dyDescent="0.25">
      <c r="A17" s="1" t="s">
        <v>96</v>
      </c>
      <c r="B17" s="13" t="s">
        <v>97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98</v>
      </c>
      <c r="H17" s="11">
        <v>979029096.96000004</v>
      </c>
      <c r="I17" s="11">
        <v>87.2089</v>
      </c>
      <c r="J17" s="11">
        <v>96.308900000000008</v>
      </c>
      <c r="K17" s="11">
        <v>94501680</v>
      </c>
      <c r="L17" s="11">
        <v>1000148664.72</v>
      </c>
      <c r="M17" s="6">
        <f t="shared" si="0"/>
        <v>3.2746975412007162E-2</v>
      </c>
    </row>
    <row r="18" spans="1:15" x14ac:dyDescent="0.25">
      <c r="A18" s="1" t="s">
        <v>99</v>
      </c>
      <c r="B18" s="13" t="s">
        <v>100</v>
      </c>
      <c r="C18" s="10">
        <v>506989</v>
      </c>
      <c r="D18" s="11">
        <v>506989000</v>
      </c>
      <c r="E18" s="3">
        <v>0.1535</v>
      </c>
      <c r="F18" s="4" t="s">
        <v>101</v>
      </c>
      <c r="G18" s="4" t="s">
        <v>102</v>
      </c>
      <c r="H18" s="11">
        <v>492216861.50999999</v>
      </c>
      <c r="I18" s="11">
        <v>98.176400000000001</v>
      </c>
      <c r="J18" s="11">
        <v>99.114455555555551</v>
      </c>
      <c r="K18" s="11">
        <v>4755838.4805555604</v>
      </c>
      <c r="L18" s="11">
        <v>502499387.07655603</v>
      </c>
      <c r="M18" s="6">
        <f t="shared" si="0"/>
        <v>1.6452889108992071E-2</v>
      </c>
    </row>
    <row r="19" spans="1:15" x14ac:dyDescent="0.25">
      <c r="A19" s="1" t="s">
        <v>103</v>
      </c>
      <c r="B19" s="13" t="s">
        <v>104</v>
      </c>
      <c r="C19" s="10">
        <v>2100000</v>
      </c>
      <c r="D19" s="11">
        <v>2100000000</v>
      </c>
      <c r="E19" s="3">
        <v>0.14300000000000002</v>
      </c>
      <c r="F19" s="4" t="s">
        <v>105</v>
      </c>
      <c r="G19" s="4" t="s">
        <v>106</v>
      </c>
      <c r="H19" s="11">
        <v>2100000000</v>
      </c>
      <c r="I19" s="11">
        <v>94.562832548719101</v>
      </c>
      <c r="J19" s="11">
        <v>98.415888104274643</v>
      </c>
      <c r="K19" s="11">
        <v>80914166.666666657</v>
      </c>
      <c r="L19" s="11">
        <v>2066733650.1897669</v>
      </c>
      <c r="M19" s="6">
        <f t="shared" si="0"/>
        <v>6.7669216000882715E-2</v>
      </c>
    </row>
    <row r="20" spans="1:15" x14ac:dyDescent="0.25">
      <c r="A20" s="1" t="s">
        <v>107</v>
      </c>
      <c r="B20" s="13" t="s">
        <v>108</v>
      </c>
      <c r="C20" s="10">
        <v>1000000</v>
      </c>
      <c r="D20" s="11">
        <v>1000000000</v>
      </c>
      <c r="E20" s="3">
        <v>0.1389</v>
      </c>
      <c r="F20" s="4" t="s">
        <v>109</v>
      </c>
      <c r="G20" s="4" t="s">
        <v>110</v>
      </c>
      <c r="H20" s="11">
        <v>1000000000</v>
      </c>
      <c r="I20" s="11">
        <v>98.610354907565593</v>
      </c>
      <c r="J20" s="11">
        <v>99.073354907565587</v>
      </c>
      <c r="K20" s="11">
        <v>4630000</v>
      </c>
      <c r="L20" s="11">
        <v>990733549.07565606</v>
      </c>
      <c r="M20" s="6">
        <f t="shared" si="0"/>
        <v>3.2438704680482613E-2</v>
      </c>
    </row>
    <row r="21" spans="1:15" x14ac:dyDescent="0.25">
      <c r="A21" s="1" t="s">
        <v>111</v>
      </c>
      <c r="B21" s="13" t="s">
        <v>112</v>
      </c>
      <c r="C21" s="10">
        <v>165739</v>
      </c>
      <c r="D21" s="11">
        <v>165739000</v>
      </c>
      <c r="E21" s="3">
        <v>0.125</v>
      </c>
      <c r="F21" s="4" t="s">
        <v>113</v>
      </c>
      <c r="G21" s="4" t="s">
        <v>114</v>
      </c>
      <c r="H21" s="11">
        <v>159596381.18279999</v>
      </c>
      <c r="I21" s="11">
        <v>96.900139748619495</v>
      </c>
      <c r="J21" s="11">
        <v>103.08069530416201</v>
      </c>
      <c r="K21" s="11">
        <v>10243590.972200001</v>
      </c>
      <c r="L21" s="11">
        <v>170844913.59016401</v>
      </c>
      <c r="M21" s="6">
        <f t="shared" si="0"/>
        <v>5.5938225805359232E-3</v>
      </c>
    </row>
    <row r="22" spans="1:15" x14ac:dyDescent="0.25">
      <c r="A22" s="1" t="s">
        <v>115</v>
      </c>
      <c r="B22" s="13" t="s">
        <v>116</v>
      </c>
      <c r="C22" s="10">
        <v>494987</v>
      </c>
      <c r="D22" s="11">
        <v>494987000</v>
      </c>
      <c r="E22" s="3">
        <v>0.1701</v>
      </c>
      <c r="F22" s="4" t="s">
        <v>117</v>
      </c>
      <c r="G22" s="4" t="s">
        <v>118</v>
      </c>
      <c r="H22" s="11">
        <v>495088472.34249997</v>
      </c>
      <c r="I22" s="11">
        <v>102.83040000000001</v>
      </c>
      <c r="J22" s="11">
        <v>108.64215</v>
      </c>
      <c r="K22" s="11">
        <v>28767406.9725</v>
      </c>
      <c r="L22" s="11">
        <v>537764519.02049994</v>
      </c>
      <c r="M22" s="6">
        <f t="shared" si="0"/>
        <v>1.7607543861236148E-2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1736336965.8363659</v>
      </c>
      <c r="L24" s="22">
        <f>SUM(L4:L23)</f>
        <v>30541711169.859089</v>
      </c>
      <c r="M24" s="23"/>
      <c r="N24" s="26">
        <v>30541711169.859108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7256231.5099999998</v>
      </c>
      <c r="C27" s="58">
        <v>7256231.5099999998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3396213</v>
      </c>
      <c r="D32" s="7" t="s">
        <v>50</v>
      </c>
      <c r="E32" s="34" t="s">
        <v>54</v>
      </c>
      <c r="F32" s="34" t="s">
        <v>55</v>
      </c>
      <c r="G32" s="15">
        <v>944.6109999991171</v>
      </c>
      <c r="H32" s="15">
        <v>945.05328239718801</v>
      </c>
      <c r="I32" s="16">
        <f t="shared" ref="I32:I37" si="1">+C32*G32</f>
        <v>3208100158.1400013</v>
      </c>
      <c r="J32" s="16">
        <f t="shared" ref="J32:J37" si="2">+C32*H32</f>
        <v>3209602243.3700013</v>
      </c>
      <c r="K32" s="18">
        <v>0.170899</v>
      </c>
      <c r="L32" s="17"/>
      <c r="M32" s="17">
        <v>3208100158.1399999</v>
      </c>
      <c r="N32" s="35"/>
    </row>
    <row r="33" spans="1:15" s="36" customFormat="1" ht="12" customHeight="1" x14ac:dyDescent="0.25">
      <c r="A33" s="12" t="s">
        <v>52</v>
      </c>
      <c r="B33" s="7" t="s">
        <v>53</v>
      </c>
      <c r="C33" s="14">
        <v>172617</v>
      </c>
      <c r="D33" s="7" t="s">
        <v>50</v>
      </c>
      <c r="E33" s="34" t="s">
        <v>54</v>
      </c>
      <c r="F33" s="34" t="s">
        <v>55</v>
      </c>
      <c r="G33" s="15">
        <v>944.61100001738009</v>
      </c>
      <c r="H33" s="15">
        <v>945.05354119235108</v>
      </c>
      <c r="I33" s="16">
        <f t="shared" si="1"/>
        <v>163055916.9900001</v>
      </c>
      <c r="J33" s="16">
        <f t="shared" si="2"/>
        <v>163132307.12000006</v>
      </c>
      <c r="K33" s="18">
        <v>0.17099899999999998</v>
      </c>
      <c r="L33" s="17"/>
      <c r="M33" s="17">
        <v>163055916.99000001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32896766</v>
      </c>
      <c r="D34" s="7" t="s">
        <v>50</v>
      </c>
      <c r="E34" s="34" t="s">
        <v>58</v>
      </c>
      <c r="F34" s="34" t="s">
        <v>54</v>
      </c>
      <c r="G34" s="15">
        <v>97.460199999902713</v>
      </c>
      <c r="H34" s="15">
        <v>97.505832467544067</v>
      </c>
      <c r="I34" s="16">
        <f t="shared" si="1"/>
        <v>3206125393.7099996</v>
      </c>
      <c r="J34" s="16">
        <f t="shared" si="2"/>
        <v>3207626554.3199997</v>
      </c>
      <c r="K34" s="18">
        <v>0.170899</v>
      </c>
      <c r="L34" s="17">
        <v>1501160.61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32896766</v>
      </c>
      <c r="D35" s="7" t="s">
        <v>50</v>
      </c>
      <c r="E35" s="34" t="s">
        <v>54</v>
      </c>
      <c r="F35" s="34" t="s">
        <v>54</v>
      </c>
      <c r="G35" s="15">
        <v>97.460199999902713</v>
      </c>
      <c r="H35" s="15">
        <v>97.505832467544067</v>
      </c>
      <c r="I35" s="16">
        <f t="shared" si="1"/>
        <v>3206125393.7099996</v>
      </c>
      <c r="J35" s="16">
        <f t="shared" si="2"/>
        <v>3207626554.3199997</v>
      </c>
      <c r="K35" s="18">
        <v>0.170899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1693065</v>
      </c>
      <c r="D36" s="7" t="s">
        <v>50</v>
      </c>
      <c r="E36" s="34" t="s">
        <v>58</v>
      </c>
      <c r="F36" s="34" t="s">
        <v>54</v>
      </c>
      <c r="G36" s="15">
        <v>97.460199998228049</v>
      </c>
      <c r="H36" s="15">
        <v>97.505858900869129</v>
      </c>
      <c r="I36" s="16">
        <f t="shared" si="1"/>
        <v>165006453.50999996</v>
      </c>
      <c r="J36" s="16">
        <f t="shared" si="2"/>
        <v>165083757</v>
      </c>
      <c r="K36" s="18">
        <v>0.17099799999999998</v>
      </c>
      <c r="L36" s="17">
        <v>77303.490000000005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1693065</v>
      </c>
      <c r="D37" s="7" t="s">
        <v>50</v>
      </c>
      <c r="E37" s="34" t="s">
        <v>54</v>
      </c>
      <c r="F37" s="34" t="s">
        <v>54</v>
      </c>
      <c r="G37" s="15">
        <v>97.460199998228049</v>
      </c>
      <c r="H37" s="15">
        <v>97.505858900869129</v>
      </c>
      <c r="I37" s="16">
        <f t="shared" si="1"/>
        <v>165006453.50999996</v>
      </c>
      <c r="J37" s="16">
        <f t="shared" si="2"/>
        <v>165083757</v>
      </c>
      <c r="K37" s="18">
        <v>0.17099799999999998</v>
      </c>
      <c r="L37" s="17"/>
      <c r="M37" s="17"/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3371156075.1300001</v>
      </c>
      <c r="N39" s="38">
        <v>3371156075.1300001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x14ac:dyDescent="0.25">
      <c r="A43" s="57">
        <f ca="1">IF(OFFSET(A43,-1,0)="№ п/п",1,OFFSET(A43,-1,0)+1)</f>
        <v>1</v>
      </c>
      <c r="B43" s="40" t="s">
        <v>49</v>
      </c>
      <c r="C43" s="52" t="s">
        <v>50</v>
      </c>
      <c r="D43" s="53" t="s">
        <v>51</v>
      </c>
      <c r="E43" s="54">
        <v>1000000</v>
      </c>
      <c r="F43" s="55">
        <v>69450000</v>
      </c>
      <c r="G43" s="56">
        <v>69450000</v>
      </c>
      <c r="H43" s="58">
        <v>69450000</v>
      </c>
      <c r="I43" s="29">
        <f>G43-H43</f>
        <v>0</v>
      </c>
    </row>
    <row r="44" spans="1:15" hidden="1" x14ac:dyDescent="0.25">
      <c r="B44" s="42"/>
      <c r="C44" s="43"/>
      <c r="D44" s="44"/>
      <c r="G44" s="45"/>
      <c r="H44" s="33"/>
    </row>
    <row r="45" spans="1:15" x14ac:dyDescent="0.25">
      <c r="G45" s="46">
        <f>SUM(G43:G44)</f>
        <v>69450000</v>
      </c>
    </row>
    <row r="47" spans="1:15" x14ac:dyDescent="0.25">
      <c r="A47" s="47" t="s">
        <v>13</v>
      </c>
      <c r="B47" s="48">
        <f>+L24+B27+M39+G45</f>
        <v>33989573476.499088</v>
      </c>
      <c r="C47" s="32">
        <v>33989573476.499107</v>
      </c>
      <c r="D47" s="29">
        <f>B47-C47</f>
        <v>0</v>
      </c>
    </row>
    <row r="50" spans="1:2" x14ac:dyDescent="0.25">
      <c r="A50" s="24" t="s">
        <v>46</v>
      </c>
      <c r="B50" s="33"/>
    </row>
    <row r="51" spans="1:2" x14ac:dyDescent="0.25">
      <c r="A51" s="49" t="s">
        <v>35</v>
      </c>
      <c r="B51" s="50"/>
    </row>
    <row r="52" spans="1:2" x14ac:dyDescent="0.25">
      <c r="A52" s="49" t="s">
        <v>36</v>
      </c>
      <c r="B52" s="41"/>
    </row>
    <row r="53" spans="1:2" x14ac:dyDescent="0.25">
      <c r="A53" s="49" t="s">
        <v>37</v>
      </c>
      <c r="B53" s="41">
        <v>637439.20999999985</v>
      </c>
    </row>
    <row r="54" spans="1:2" x14ac:dyDescent="0.25">
      <c r="A54" s="49" t="s">
        <v>38</v>
      </c>
      <c r="B54" s="41"/>
    </row>
    <row r="55" spans="1:2" x14ac:dyDescent="0.25">
      <c r="A55" s="49" t="s">
        <v>39</v>
      </c>
      <c r="B55" s="50"/>
    </row>
    <row r="56" spans="1:2" x14ac:dyDescent="0.25">
      <c r="A56" s="49" t="s">
        <v>40</v>
      </c>
      <c r="B56" s="51">
        <v>185295.38</v>
      </c>
    </row>
    <row r="57" spans="1:2" x14ac:dyDescent="0.25">
      <c r="A57" s="49" t="s">
        <v>41</v>
      </c>
      <c r="B57" s="51">
        <v>92422.739999999991</v>
      </c>
    </row>
    <row r="58" spans="1:2" x14ac:dyDescent="0.25">
      <c r="A58" s="49" t="s">
        <v>42</v>
      </c>
      <c r="B58" s="41"/>
    </row>
    <row r="59" spans="1:2" x14ac:dyDescent="0.25">
      <c r="A59" s="49" t="s">
        <v>43</v>
      </c>
      <c r="B59" s="41"/>
    </row>
    <row r="60" spans="1:2" x14ac:dyDescent="0.25">
      <c r="A60" s="49" t="s">
        <v>44</v>
      </c>
      <c r="B60" s="51"/>
    </row>
    <row r="61" spans="1:2" x14ac:dyDescent="0.25">
      <c r="A61" s="49" t="s">
        <v>45</v>
      </c>
      <c r="B61" s="50">
        <f>SUM(B51:B60)</f>
        <v>915157.32999999984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2025-12-11T05:20:27Z</cp:lastPrinted>
  <dcterms:created xsi:type="dcterms:W3CDTF">2025-12-11T05:20:04Z</dcterms:created>
  <dcterms:modified xsi:type="dcterms:W3CDTF">2025-12-11T09:56:53Z</dcterms:modified>
</cp:coreProperties>
</file>