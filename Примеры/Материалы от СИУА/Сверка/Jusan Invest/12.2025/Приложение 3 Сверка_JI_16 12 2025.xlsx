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68CD20B0-056C-46CB-BE76-FA395D9509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5" i="1"/>
  <c r="O24" i="1"/>
  <c r="D27" i="1"/>
  <c r="B56" i="1"/>
  <c r="G40" i="1"/>
  <c r="M35" i="1"/>
  <c r="J33" i="1"/>
  <c r="I33" i="1"/>
  <c r="J32" i="1"/>
  <c r="I32" i="1"/>
  <c r="L24" i="1"/>
  <c r="M20" i="1" s="1"/>
  <c r="K24" i="1"/>
  <c r="B42" i="1" l="1"/>
  <c r="M9" i="1"/>
  <c r="M15" i="1"/>
  <c r="M21" i="1"/>
  <c r="M7" i="1"/>
  <c r="M19" i="1"/>
  <c r="M4" i="1"/>
  <c r="M10" i="1"/>
  <c r="M16" i="1"/>
  <c r="M22" i="1"/>
  <c r="M12" i="1"/>
  <c r="M13" i="1"/>
  <c r="M5" i="1"/>
  <c r="M11" i="1"/>
  <c r="M17" i="1"/>
  <c r="M6" i="1"/>
  <c r="M18" i="1"/>
  <c r="M8" i="1"/>
  <c r="M14" i="1"/>
</calcChain>
</file>

<file path=xl/sharedStrings.xml><?xml version="1.0" encoding="utf-8"?>
<sst xmlns="http://schemas.openxmlformats.org/spreadsheetml/2006/main" count="140" uniqueCount="117">
  <si>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</si>
  <si>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</si>
  <si>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</si>
  <si>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</si>
  <si>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</si>
  <si>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</si>
  <si>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</si>
  <si>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</si>
  <si>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</si>
  <si>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</si>
  <si>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</si>
  <si>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</si>
  <si>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</si>
  <si>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</si>
  <si>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</si>
  <si>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</si>
  <si>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</si>
  <si>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</si>
  <si>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</si>
  <si>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</si>
  <si>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</si>
  <si>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</si>
  <si>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</si>
  <si>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</si>
  <si>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</si>
  <si>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</si>
  <si>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</si>
  <si>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</si>
  <si>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</si>
  <si>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</si>
  <si>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</si>
  <si>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</si>
  <si>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</si>
  <si>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</si>
  <si>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</si>
  <si>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</si>
  <si>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</si>
  <si>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</si>
  <si>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</si>
  <si>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</si>
  <si>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</si>
  <si>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</si>
  <si>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</si>
  <si>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</si>
  <si>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</si>
  <si>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</si>
  <si>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</si>
  <si>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</si>
  <si>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</si>
  <si>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MKM012_0160</t>
  </si>
  <si>
    <t>KZK100000373</t>
  </si>
  <si>
    <t>KZT</t>
  </si>
  <si>
    <t>15.12.2025</t>
  </si>
  <si>
    <t>17.12.2025</t>
  </si>
  <si>
    <t>МИНИСТЕРСТВО ФИНАНСОВ РК, ГЦБ, MUM180_0004</t>
  </si>
  <si>
    <t>KZKD00000444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</si>
  <si>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</si>
  <si>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</si>
  <si>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</si>
  <si>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</si>
  <si>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</si>
  <si>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</si>
  <si>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</si>
  <si>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</si>
  <si>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</si>
  <si>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</si>
  <si>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</si>
  <si>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</si>
  <si>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</si>
  <si>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</si>
  <si>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</si>
  <si>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</si>
  <si>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</si>
  <si>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</si>
  <si>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</si>
  <si>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</si>
  <si>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</si>
  <si>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</si>
  <si>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</si>
  <si>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</si>
  <si>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</si>
  <si>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</si>
  <si>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</si>
  <si>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</si>
  <si>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</si>
  <si>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</si>
  <si>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</si>
  <si>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</si>
  <si>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</si>
  <si>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</si>
  <si>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</si>
  <si>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</si>
  <si>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</si>
  <si>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</si>
  <si>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</si>
  <si>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</si>
  <si>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</si>
  <si>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</si>
  <si>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</si>
  <si>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</si>
  <si>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</si>
  <si>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</si>
  <si>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</si>
  <si>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</si>
  <si>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</si>
  <si>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</si>
  <si>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</si>
  <si>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</si>
  <si>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</si>
  <si>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</si>
  <si>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</si>
  <si>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</si>
  <si>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</si>
  <si>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</si>
  <si>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</si>
  <si>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</si>
  <si>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16.12.2025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</si>
</sst>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7" zoomScale="90" zoomScaleNormal="90" workbookViewId="0">
      <selection activeCell="D43" sqref="D4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116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58</v>
      </c>
      <c r="G4" s="4" t="s">
        <v>59</v>
      </c>
      <c r="H4" s="11">
        <v>2930617060.0000029</v>
      </c>
      <c r="I4" s="11">
        <v>99.392600000000002</v>
      </c>
      <c r="J4" s="11">
        <v>103.690238888889</v>
      </c>
      <c r="K4" s="11">
        <v>129788694.444444</v>
      </c>
      <c r="L4" s="11">
        <v>3131445214.4444442</v>
      </c>
      <c r="M4" s="6">
        <f t="shared" ref="M4:M22" si="0">L4/$L$24</f>
        <v>0.10223236886239091</v>
      </c>
    </row>
    <row r="5" spans="1:13" x14ac:dyDescent="0.25">
      <c r="A5" s="1" t="s">
        <v>60</v>
      </c>
      <c r="B5" s="13" t="s">
        <v>61</v>
      </c>
      <c r="C5" s="10">
        <v>2265000</v>
      </c>
      <c r="D5" s="11">
        <v>2265000000</v>
      </c>
      <c r="E5" s="3">
        <v>0.10550000000000001</v>
      </c>
      <c r="F5" s="4" t="s">
        <v>58</v>
      </c>
      <c r="G5" s="4" t="s">
        <v>62</v>
      </c>
      <c r="H5" s="11">
        <v>2039188560.0000031</v>
      </c>
      <c r="I5" s="11">
        <v>84.485600000000005</v>
      </c>
      <c r="J5" s="11">
        <v>88.52976666666666</v>
      </c>
      <c r="K5" s="11">
        <v>91600374.999999985</v>
      </c>
      <c r="L5" s="11">
        <v>2005199214.999999</v>
      </c>
      <c r="M5" s="6">
        <f t="shared" si="0"/>
        <v>6.5463788044213114E-2</v>
      </c>
    </row>
    <row r="6" spans="1:13" x14ac:dyDescent="0.25">
      <c r="A6" s="1" t="s">
        <v>60</v>
      </c>
      <c r="B6" s="13" t="s">
        <v>61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84.485600000000005</v>
      </c>
      <c r="J6" s="11">
        <v>88.529766666666916</v>
      </c>
      <c r="K6" s="11">
        <v>62751150.316666663</v>
      </c>
      <c r="L6" s="11">
        <v>1373668583.29267</v>
      </c>
      <c r="M6" s="6">
        <f t="shared" si="0"/>
        <v>4.4846191992782079E-2</v>
      </c>
    </row>
    <row r="7" spans="1:13" x14ac:dyDescent="0.25">
      <c r="A7" s="1" t="s">
        <v>60</v>
      </c>
      <c r="B7" s="13" t="s">
        <v>61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84.485600000000005</v>
      </c>
      <c r="J7" s="11">
        <v>88.52976666666666</v>
      </c>
      <c r="K7" s="11">
        <v>22068693.966666661</v>
      </c>
      <c r="L7" s="11">
        <v>483099854.31866699</v>
      </c>
      <c r="M7" s="6">
        <f t="shared" si="0"/>
        <v>1.5771772814756196E-2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58</v>
      </c>
      <c r="G8" s="4" t="s">
        <v>67</v>
      </c>
      <c r="H8" s="11">
        <v>2073109200</v>
      </c>
      <c r="I8" s="11">
        <v>87.973300000000009</v>
      </c>
      <c r="J8" s="11">
        <v>95.022188888888877</v>
      </c>
      <c r="K8" s="11">
        <v>159657333.33333299</v>
      </c>
      <c r="L8" s="11">
        <v>2152252578.333333</v>
      </c>
      <c r="M8" s="6">
        <f t="shared" si="0"/>
        <v>7.0264642810377601E-2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58</v>
      </c>
      <c r="G9" s="4" t="s">
        <v>70</v>
      </c>
      <c r="H9" s="11">
        <v>2080889475</v>
      </c>
      <c r="I9" s="11">
        <v>86.384500000000003</v>
      </c>
      <c r="J9" s="11">
        <v>94.206722222222211</v>
      </c>
      <c r="K9" s="11">
        <v>177173333.33333299</v>
      </c>
      <c r="L9" s="11">
        <v>2133782258.333333</v>
      </c>
      <c r="M9" s="6">
        <f t="shared" si="0"/>
        <v>6.9661641819481646E-2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58</v>
      </c>
      <c r="G10" s="4" t="s">
        <v>73</v>
      </c>
      <c r="H10" s="11">
        <v>1963990560.0000031</v>
      </c>
      <c r="I10" s="11">
        <v>80.2834</v>
      </c>
      <c r="J10" s="11">
        <v>87.979788888888876</v>
      </c>
      <c r="K10" s="11">
        <v>174323208.33333299</v>
      </c>
      <c r="L10" s="11">
        <v>1992742218.333333</v>
      </c>
      <c r="M10" s="6">
        <f t="shared" si="0"/>
        <v>6.5057104167940957E-2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58</v>
      </c>
      <c r="G11" s="4" t="s">
        <v>76</v>
      </c>
      <c r="H11" s="11">
        <v>1740247065.0000031</v>
      </c>
      <c r="I11" s="11">
        <v>71.381100000000004</v>
      </c>
      <c r="J11" s="11">
        <v>77.014433333333329</v>
      </c>
      <c r="K11" s="11">
        <v>127595000</v>
      </c>
      <c r="L11" s="11">
        <v>1744376914.999999</v>
      </c>
      <c r="M11" s="6">
        <f t="shared" si="0"/>
        <v>5.6948716007141645E-2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58</v>
      </c>
      <c r="G12" s="4" t="s">
        <v>79</v>
      </c>
      <c r="H12" s="11">
        <v>1967775375</v>
      </c>
      <c r="I12" s="11">
        <v>79.25030000000001</v>
      </c>
      <c r="J12" s="11">
        <v>83.391966666666661</v>
      </c>
      <c r="K12" s="11">
        <v>93808750</v>
      </c>
      <c r="L12" s="11">
        <v>1888828045</v>
      </c>
      <c r="M12" s="6">
        <f t="shared" si="0"/>
        <v>6.1664615597730274E-2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58</v>
      </c>
      <c r="G13" s="4" t="s">
        <v>82</v>
      </c>
      <c r="H13" s="11">
        <v>1622351550</v>
      </c>
      <c r="I13" s="11">
        <v>65.585800000000006</v>
      </c>
      <c r="J13" s="11">
        <v>70.382966666666661</v>
      </c>
      <c r="K13" s="11">
        <v>108655825</v>
      </c>
      <c r="L13" s="11">
        <v>1594174195</v>
      </c>
      <c r="M13" s="6">
        <f t="shared" si="0"/>
        <v>5.2045044116493994E-2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58</v>
      </c>
      <c r="G14" s="4" t="s">
        <v>85</v>
      </c>
      <c r="H14" s="11">
        <v>1597764975</v>
      </c>
      <c r="I14" s="11">
        <v>64.398899999999998</v>
      </c>
      <c r="J14" s="11">
        <v>71.504983333333328</v>
      </c>
      <c r="K14" s="11">
        <v>160952787.5</v>
      </c>
      <c r="L14" s="11">
        <v>1619587872.5</v>
      </c>
      <c r="M14" s="6">
        <f t="shared" si="0"/>
        <v>5.2874725070305849E-2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58</v>
      </c>
      <c r="G15" s="4" t="s">
        <v>88</v>
      </c>
      <c r="H15" s="11">
        <v>3136670150</v>
      </c>
      <c r="I15" s="11">
        <v>87.268200000000007</v>
      </c>
      <c r="J15" s="11">
        <v>91.217950000000002</v>
      </c>
      <c r="K15" s="11">
        <v>149103062.5</v>
      </c>
      <c r="L15" s="11">
        <v>3443477612.5</v>
      </c>
      <c r="M15" s="6">
        <f t="shared" si="0"/>
        <v>0.11241929822902566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60.218600000000002</v>
      </c>
      <c r="J16" s="11">
        <v>63.763044444444439</v>
      </c>
      <c r="K16" s="11">
        <v>99381260</v>
      </c>
      <c r="L16" s="11">
        <v>1787826497.96</v>
      </c>
      <c r="M16" s="6">
        <f t="shared" si="0"/>
        <v>5.8367215609687599E-2</v>
      </c>
    </row>
    <row r="17" spans="1:15" x14ac:dyDescent="0.25">
      <c r="A17" s="1" t="s">
        <v>93</v>
      </c>
      <c r="B17" s="13" t="s">
        <v>94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95</v>
      </c>
      <c r="H17" s="11">
        <v>979029096.96000004</v>
      </c>
      <c r="I17" s="11">
        <v>87.28540000000001</v>
      </c>
      <c r="J17" s="11">
        <v>96.585400000000007</v>
      </c>
      <c r="K17" s="11">
        <v>96578640</v>
      </c>
      <c r="L17" s="11">
        <v>1003020061.92</v>
      </c>
      <c r="M17" s="6">
        <f t="shared" si="0"/>
        <v>3.2745620607887792E-2</v>
      </c>
    </row>
    <row r="18" spans="1:15" x14ac:dyDescent="0.25">
      <c r="A18" s="1" t="s">
        <v>96</v>
      </c>
      <c r="B18" s="13" t="s">
        <v>97</v>
      </c>
      <c r="C18" s="10">
        <v>506989</v>
      </c>
      <c r="D18" s="11">
        <v>506989000</v>
      </c>
      <c r="E18" s="3">
        <v>0.1535</v>
      </c>
      <c r="F18" s="4" t="s">
        <v>98</v>
      </c>
      <c r="G18" s="4" t="s">
        <v>99</v>
      </c>
      <c r="H18" s="11">
        <v>492216861.50999999</v>
      </c>
      <c r="I18" s="11">
        <v>98.166800000000009</v>
      </c>
      <c r="J18" s="11">
        <v>99.360688888888873</v>
      </c>
      <c r="K18" s="11">
        <v>6052885.3388888901</v>
      </c>
      <c r="L18" s="11">
        <v>503747762.99088901</v>
      </c>
      <c r="M18" s="6">
        <f t="shared" si="0"/>
        <v>1.6445865596542278E-2</v>
      </c>
    </row>
    <row r="19" spans="1:15" x14ac:dyDescent="0.25">
      <c r="A19" s="1" t="s">
        <v>100</v>
      </c>
      <c r="B19" s="13" t="s">
        <v>101</v>
      </c>
      <c r="C19" s="10">
        <v>2100000</v>
      </c>
      <c r="D19" s="11">
        <v>2100000000</v>
      </c>
      <c r="E19" s="3">
        <v>0.14300000000000002</v>
      </c>
      <c r="F19" s="4" t="s">
        <v>102</v>
      </c>
      <c r="G19" s="4" t="s">
        <v>103</v>
      </c>
      <c r="H19" s="11">
        <v>2100000000</v>
      </c>
      <c r="I19" s="11">
        <v>94.457092101667101</v>
      </c>
      <c r="J19" s="11">
        <v>98.548480990555973</v>
      </c>
      <c r="K19" s="11">
        <v>85919166.666666657</v>
      </c>
      <c r="L19" s="11">
        <v>2069518100.8016751</v>
      </c>
      <c r="M19" s="6">
        <f t="shared" si="0"/>
        <v>6.7563608289435417E-2</v>
      </c>
    </row>
    <row r="20" spans="1:15" x14ac:dyDescent="0.25">
      <c r="A20" s="1" t="s">
        <v>104</v>
      </c>
      <c r="B20" s="13" t="s">
        <v>105</v>
      </c>
      <c r="C20" s="10">
        <v>1000000</v>
      </c>
      <c r="D20" s="11">
        <v>1000000000</v>
      </c>
      <c r="E20" s="3">
        <v>0.1389</v>
      </c>
      <c r="F20" s="4" t="s">
        <v>106</v>
      </c>
      <c r="G20" s="4" t="s">
        <v>107</v>
      </c>
      <c r="H20" s="11">
        <v>1000000000</v>
      </c>
      <c r="I20" s="11">
        <v>98.648115030339795</v>
      </c>
      <c r="J20" s="11">
        <v>99.342615030339786</v>
      </c>
      <c r="K20" s="11">
        <v>6945000</v>
      </c>
      <c r="L20" s="11">
        <v>993426150.30339801</v>
      </c>
      <c r="M20" s="6">
        <f t="shared" si="0"/>
        <v>3.2432407939597306E-2</v>
      </c>
    </row>
    <row r="21" spans="1:15" x14ac:dyDescent="0.25">
      <c r="A21" s="1" t="s">
        <v>108</v>
      </c>
      <c r="B21" s="13" t="s">
        <v>109</v>
      </c>
      <c r="C21" s="10">
        <v>165739</v>
      </c>
      <c r="D21" s="11">
        <v>165739000</v>
      </c>
      <c r="E21" s="3">
        <v>0.125</v>
      </c>
      <c r="F21" s="4" t="s">
        <v>110</v>
      </c>
      <c r="G21" s="4" t="s">
        <v>111</v>
      </c>
      <c r="H21" s="11">
        <v>159596381.18279999</v>
      </c>
      <c r="I21" s="11">
        <v>96.932665087477389</v>
      </c>
      <c r="J21" s="11">
        <v>103.321553976353</v>
      </c>
      <c r="K21" s="11">
        <v>10588880.555533331</v>
      </c>
      <c r="L21" s="11">
        <v>171244110.344868</v>
      </c>
      <c r="M21" s="6">
        <f t="shared" si="0"/>
        <v>5.590610678269335E-3</v>
      </c>
    </row>
    <row r="22" spans="1:15" x14ac:dyDescent="0.25">
      <c r="A22" s="1" t="s">
        <v>112</v>
      </c>
      <c r="B22" s="13" t="s">
        <v>113</v>
      </c>
      <c r="C22" s="10">
        <v>494987</v>
      </c>
      <c r="D22" s="11">
        <v>494987000</v>
      </c>
      <c r="E22" s="3">
        <v>0.1701</v>
      </c>
      <c r="F22" s="4" t="s">
        <v>114</v>
      </c>
      <c r="G22" s="4" t="s">
        <v>115</v>
      </c>
      <c r="H22" s="11">
        <v>495088472.34249997</v>
      </c>
      <c r="I22" s="11">
        <v>102.84610000000001</v>
      </c>
      <c r="J22" s="11">
        <v>108.94135</v>
      </c>
      <c r="K22" s="11">
        <v>30170695.1175</v>
      </c>
      <c r="L22" s="11">
        <v>539245520.12450004</v>
      </c>
      <c r="M22" s="6">
        <f t="shared" si="0"/>
        <v>1.7604761745940414E-2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1793114741.4063654</v>
      </c>
      <c r="L24" s="22">
        <f>SUM(L4:L23)</f>
        <v>30630662766.501106</v>
      </c>
      <c r="M24" s="23"/>
      <c r="N24" s="26">
        <v>30630662766.501133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3575654.22</v>
      </c>
      <c r="C27" s="51">
        <v>3575654.22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32817231</v>
      </c>
      <c r="D32" s="7" t="s">
        <v>51</v>
      </c>
      <c r="E32" s="34" t="s">
        <v>52</v>
      </c>
      <c r="F32" s="34" t="s">
        <v>53</v>
      </c>
      <c r="G32" s="15">
        <v>97.725700000100545</v>
      </c>
      <c r="H32" s="15">
        <v>97.816999365059161</v>
      </c>
      <c r="I32" s="16">
        <f>+C32*G32</f>
        <v>3207086871.5399995</v>
      </c>
      <c r="J32" s="16">
        <f>+C32*H32</f>
        <v>3210083063.8899999</v>
      </c>
      <c r="K32" s="18">
        <v>0.17049899999999998</v>
      </c>
      <c r="L32" s="17">
        <v>1498096.175</v>
      </c>
      <c r="M32" s="17">
        <v>3208584967.7150002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258965</v>
      </c>
      <c r="D33" s="7" t="s">
        <v>51</v>
      </c>
      <c r="E33" s="34" t="s">
        <v>52</v>
      </c>
      <c r="F33" s="34" t="s">
        <v>53</v>
      </c>
      <c r="G33" s="15">
        <v>946.75400000000002</v>
      </c>
      <c r="H33" s="15">
        <v>947.63606348348208</v>
      </c>
      <c r="I33" s="16">
        <f>+C33*G33</f>
        <v>245176149.61000001</v>
      </c>
      <c r="J33" s="16">
        <f>+C33*H33</f>
        <v>245404573.17999995</v>
      </c>
      <c r="K33" s="18">
        <v>0.17002999999999999</v>
      </c>
      <c r="L33" s="17">
        <v>114211.785</v>
      </c>
      <c r="M33" s="17">
        <v>245290361.39500001</v>
      </c>
      <c r="N33" s="35"/>
    </row>
    <row r="34" spans="1:15" s="36" customFormat="1" ht="11.25" hidden="1" x14ac:dyDescent="0.25">
      <c r="A34" s="7"/>
      <c r="B34" s="7"/>
      <c r="C34" s="7"/>
      <c r="D34" s="7"/>
      <c r="E34" s="37"/>
      <c r="F34" s="37"/>
      <c r="G34" s="7"/>
      <c r="H34" s="7"/>
      <c r="I34" s="8"/>
      <c r="J34" s="8"/>
      <c r="K34" s="7"/>
      <c r="L34" s="9"/>
      <c r="M34" s="9"/>
      <c r="N34" s="35"/>
    </row>
    <row r="35" spans="1:15" x14ac:dyDescent="0.25">
      <c r="A35" s="1" t="s">
        <v>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f>SUM(M32:M34)</f>
        <v>3453875329.1100001</v>
      </c>
      <c r="N35" s="38">
        <v>3453875329.1100001</v>
      </c>
      <c r="O35" s="29">
        <f>M35-N35</f>
        <v>0</v>
      </c>
    </row>
    <row r="37" spans="1:15" x14ac:dyDescent="0.25">
      <c r="A37" s="39" t="s">
        <v>28</v>
      </c>
      <c r="B37" s="33"/>
      <c r="D37" s="33"/>
      <c r="F37" s="28"/>
      <c r="G37" s="28"/>
    </row>
    <row r="38" spans="1:15" ht="22.5" x14ac:dyDescent="0.25">
      <c r="A38" s="19" t="s">
        <v>6</v>
      </c>
      <c r="B38" s="19" t="s">
        <v>29</v>
      </c>
      <c r="C38" s="19" t="s">
        <v>17</v>
      </c>
      <c r="D38" s="19" t="s">
        <v>30</v>
      </c>
      <c r="E38" s="19" t="s">
        <v>16</v>
      </c>
      <c r="F38" s="19" t="s">
        <v>31</v>
      </c>
      <c r="G38" s="19" t="s">
        <v>32</v>
      </c>
    </row>
    <row r="39" spans="1:15" hidden="1" x14ac:dyDescent="0.25">
      <c r="B39" s="41"/>
      <c r="C39" s="42"/>
      <c r="D39" s="43"/>
      <c r="G39" s="44"/>
      <c r="H39" s="33"/>
    </row>
    <row r="40" spans="1:15" x14ac:dyDescent="0.25">
      <c r="G40" s="45">
        <f>SUM(G39:G39)</f>
        <v>0</v>
      </c>
    </row>
    <row r="42" spans="1:15" x14ac:dyDescent="0.25">
      <c r="A42" s="46" t="s">
        <v>13</v>
      </c>
      <c r="B42" s="47">
        <f>+L24+B27+M35+G40</f>
        <v>34088113749.831108</v>
      </c>
      <c r="C42" s="32">
        <v>34088113749.831135</v>
      </c>
      <c r="D42" s="29">
        <f>B42-C42</f>
        <v>0</v>
      </c>
    </row>
    <row r="45" spans="1:15" x14ac:dyDescent="0.25">
      <c r="A45" s="24" t="s">
        <v>46</v>
      </c>
      <c r="B45" s="33"/>
    </row>
    <row r="46" spans="1:15" x14ac:dyDescent="0.25">
      <c r="A46" s="48" t="s">
        <v>35</v>
      </c>
      <c r="B46" s="49"/>
    </row>
    <row r="47" spans="1:15" x14ac:dyDescent="0.25">
      <c r="A47" s="48" t="s">
        <v>36</v>
      </c>
      <c r="B47" s="40"/>
    </row>
    <row r="48" spans="1:15" x14ac:dyDescent="0.25">
      <c r="A48" s="48" t="s">
        <v>37</v>
      </c>
      <c r="B48" s="40">
        <v>728417.61</v>
      </c>
    </row>
    <row r="49" spans="1:2" x14ac:dyDescent="0.25">
      <c r="A49" s="48" t="s">
        <v>38</v>
      </c>
      <c r="B49" s="40"/>
    </row>
    <row r="50" spans="1:2" x14ac:dyDescent="0.25">
      <c r="A50" s="48" t="s">
        <v>39</v>
      </c>
      <c r="B50" s="49"/>
    </row>
    <row r="51" spans="1:2" x14ac:dyDescent="0.25">
      <c r="A51" s="48" t="s">
        <v>40</v>
      </c>
      <c r="B51" s="50">
        <v>216233.19</v>
      </c>
    </row>
    <row r="52" spans="1:2" x14ac:dyDescent="0.25">
      <c r="A52" s="48" t="s">
        <v>41</v>
      </c>
      <c r="B52" s="50">
        <v>107891.62999999999</v>
      </c>
    </row>
    <row r="53" spans="1:2" x14ac:dyDescent="0.25">
      <c r="A53" s="48" t="s">
        <v>42</v>
      </c>
      <c r="B53" s="40"/>
    </row>
    <row r="54" spans="1:2" x14ac:dyDescent="0.25">
      <c r="A54" s="48" t="s">
        <v>43</v>
      </c>
      <c r="B54" s="40"/>
    </row>
    <row r="55" spans="1:2" x14ac:dyDescent="0.25">
      <c r="A55" s="48" t="s">
        <v>44</v>
      </c>
      <c r="B55" s="50"/>
    </row>
    <row r="56" spans="1:2" x14ac:dyDescent="0.25">
      <c r="A56" s="48" t="s">
        <v>45</v>
      </c>
      <c r="B56" s="49">
        <f>SUM(B46:B55)</f>
        <v>1052542.43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2025-12-17T06:35:29Z</dcterms:created>
  <dcterms:modified xsi:type="dcterms:W3CDTF">2025-12-17T07:42:18Z</dcterms:modified>
</cp:coreProperties>
</file>