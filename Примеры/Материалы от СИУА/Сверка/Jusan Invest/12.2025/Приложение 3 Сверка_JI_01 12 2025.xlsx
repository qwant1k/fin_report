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3126A4AA-DF63-49D5-863A-33D3C8390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ДУ!$46:$46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I46" i="1"/>
  <c r="O42" i="1"/>
  <c r="O24" i="1"/>
  <c r="D27" i="1"/>
  <c r="B64" i="1"/>
  <c r="G48" i="1"/>
  <c r="A46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18" i="1"/>
  <c r="M12" i="1"/>
  <c r="M6" i="1"/>
  <c r="M7" i="1" l="1"/>
  <c r="M13" i="1"/>
  <c r="M19" i="1"/>
  <c r="M8" i="1"/>
  <c r="M14" i="1"/>
  <c r="M20" i="1"/>
  <c r="M9" i="1"/>
  <c r="M15" i="1"/>
  <c r="M21" i="1"/>
  <c r="M4" i="1"/>
  <c r="M10" i="1"/>
  <c r="M16" i="1"/>
  <c r="M22" i="1"/>
  <c r="B50" i="1"/>
  <c r="M5" i="1"/>
  <c r="M11" i="1"/>
</calcChain>
</file>

<file path=xl/sharedStrings.xml><?xml version="1.0" encoding="utf-8"?>
<sst xmlns="http://schemas.openxmlformats.org/spreadsheetml/2006/main" count="178" uniqueCount="129">
  <si>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</si>
  <si>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</si>
  <si>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</si>
  <si>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</si>
  <si>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</si>
  <si>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</si>
  <si>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</si>
  <si>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</si>
  <si>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</si>
  <si>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</si>
  <si>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</si>
  <si>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</si>
  <si>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</si>
  <si>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</si>
  <si>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</si>
  <si>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</si>
  <si>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</si>
  <si>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</si>
  <si>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</si>
  <si>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</si>
  <si>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</si>
  <si>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</si>
  <si>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</si>
  <si>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</si>
  <si>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</si>
  <si>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</si>
  <si>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</si>
  <si>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</si>
  <si>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</si>
  <si>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</si>
  <si>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</si>
  <si>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</si>
  <si>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</si>
  <si>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</si>
  <si>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</si>
  <si>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</si>
  <si>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</si>
  <si>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</si>
  <si>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</si>
  <si>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</si>
  <si>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</si>
  <si>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</si>
  <si>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</si>
  <si>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</si>
  <si>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</si>
  <si>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</si>
  <si>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</si>
  <si>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</si>
  <si>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</si>
  <si>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</si>
  <si>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</si>
  <si>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</si>
  <si>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KZ_10_2811</t>
  </si>
  <si>
    <t>XS1901718335</t>
  </si>
  <si>
    <t>01.12.2025</t>
  </si>
  <si>
    <t>02.12.2025</t>
  </si>
  <si>
    <t>МИНИСТЕРСТВО ФИНАНСОВ РК, ГЦБ, MKM012_0160</t>
  </si>
  <si>
    <t>KZK100000373</t>
  </si>
  <si>
    <t>МИНИСТЕРСТВО ФИНАНСОВ РК, ГЦБ, MUM084_0019</t>
  </si>
  <si>
    <t>KZKD00001244</t>
  </si>
  <si>
    <t>ЕВРАЗИЙСКИЙ БАНК РАЗВИТИЯ, ОБЛИГАЦИИ, EABRb40</t>
  </si>
  <si>
    <t>KZ2D00009628</t>
  </si>
  <si>
    <t>МИНИСТЕРСТВО ФИНАНСОВ РК, ГЦБ, MUM096_0011</t>
  </si>
  <si>
    <t>KZKD00001095</t>
  </si>
  <si>
    <t>25.11.2025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</si>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</sst>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3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99.150300000000001</v>
      </c>
      <c r="J4" s="11">
        <v>103.003355555556</v>
      </c>
      <c r="K4" s="11">
        <v>116362277.777778</v>
      </c>
      <c r="L4" s="11">
        <v>3110701337.7777772</v>
      </c>
      <c r="M4" s="6">
        <f t="shared" ref="M4:M22" si="0">L4/$L$24</f>
        <v>0.10315437208378354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84.228200000000001</v>
      </c>
      <c r="J5" s="11">
        <v>87.832783333333325</v>
      </c>
      <c r="K5" s="11">
        <v>81643812.499999985</v>
      </c>
      <c r="L5" s="11">
        <v>1989412542.499999</v>
      </c>
      <c r="M5" s="6">
        <f t="shared" si="0"/>
        <v>6.5971168348740727E-2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84.228200000000001</v>
      </c>
      <c r="J6" s="11">
        <v>87.83278333333358</v>
      </c>
      <c r="K6" s="11">
        <v>55930373.108333327</v>
      </c>
      <c r="L6" s="11">
        <v>1362853869.2803371</v>
      </c>
      <c r="M6" s="6">
        <f t="shared" si="0"/>
        <v>4.5193774606468208E-2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84.228200000000001</v>
      </c>
      <c r="J7" s="11">
        <v>87.832783333333325</v>
      </c>
      <c r="K7" s="11">
        <v>19669922.883333329</v>
      </c>
      <c r="L7" s="11">
        <v>479296472.02733302</v>
      </c>
      <c r="M7" s="6">
        <f t="shared" si="0"/>
        <v>1.5894012714596478E-2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88.427199999999999</v>
      </c>
      <c r="J8" s="11">
        <v>95.042755555555544</v>
      </c>
      <c r="K8" s="11">
        <v>149842333.33333299</v>
      </c>
      <c r="L8" s="11">
        <v>2152718413.333333</v>
      </c>
      <c r="M8" s="6">
        <f t="shared" si="0"/>
        <v>7.1386575594311358E-2</v>
      </c>
    </row>
    <row r="9" spans="1:13" x14ac:dyDescent="0.25">
      <c r="A9" s="1" t="s">
        <v>81</v>
      </c>
      <c r="B9" s="13" t="s">
        <v>82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83</v>
      </c>
      <c r="H9" s="11">
        <v>2080889475</v>
      </c>
      <c r="I9" s="11">
        <v>86.343299999999999</v>
      </c>
      <c r="J9" s="11">
        <v>93.707188888888879</v>
      </c>
      <c r="K9" s="11">
        <v>166792083.33333299</v>
      </c>
      <c r="L9" s="11">
        <v>2122467828.333333</v>
      </c>
      <c r="M9" s="6">
        <f t="shared" si="0"/>
        <v>7.0383432006418306E-2</v>
      </c>
    </row>
    <row r="10" spans="1:13" x14ac:dyDescent="0.25">
      <c r="A10" s="1" t="s">
        <v>84</v>
      </c>
      <c r="B10" s="13" t="s">
        <v>85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86</v>
      </c>
      <c r="H10" s="11">
        <v>1963990560.0000031</v>
      </c>
      <c r="I10" s="11">
        <v>78.786799999999999</v>
      </c>
      <c r="J10" s="11">
        <v>86.054022222222216</v>
      </c>
      <c r="K10" s="11">
        <v>164602583.33333299</v>
      </c>
      <c r="L10" s="11">
        <v>1949123603.333333</v>
      </c>
      <c r="M10" s="6">
        <f t="shared" si="0"/>
        <v>6.4635141591305983E-2</v>
      </c>
    </row>
    <row r="11" spans="1:13" x14ac:dyDescent="0.25">
      <c r="A11" s="1" t="s">
        <v>87</v>
      </c>
      <c r="B11" s="13" t="s">
        <v>88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89</v>
      </c>
      <c r="H11" s="11">
        <v>1740247065.0000031</v>
      </c>
      <c r="I11" s="11">
        <v>69.20920000000001</v>
      </c>
      <c r="J11" s="11">
        <v>74.490449999999981</v>
      </c>
      <c r="K11" s="11">
        <v>119620312.5</v>
      </c>
      <c r="L11" s="11">
        <v>1687208692.499999</v>
      </c>
      <c r="M11" s="6">
        <f t="shared" si="0"/>
        <v>5.5949747131131412E-2</v>
      </c>
    </row>
    <row r="12" spans="1:13" x14ac:dyDescent="0.25">
      <c r="A12" s="1" t="s">
        <v>90</v>
      </c>
      <c r="B12" s="13" t="s">
        <v>91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92</v>
      </c>
      <c r="H12" s="11">
        <v>1967775375</v>
      </c>
      <c r="I12" s="11">
        <v>76.90100000000001</v>
      </c>
      <c r="J12" s="11">
        <v>80.598916666666653</v>
      </c>
      <c r="K12" s="11">
        <v>83757812.5</v>
      </c>
      <c r="L12" s="11">
        <v>1825565462.5</v>
      </c>
      <c r="M12" s="6">
        <f t="shared" si="0"/>
        <v>6.053781399552742E-2</v>
      </c>
    </row>
    <row r="13" spans="1:13" x14ac:dyDescent="0.25">
      <c r="A13" s="1" t="s">
        <v>93</v>
      </c>
      <c r="B13" s="13" t="s">
        <v>94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95</v>
      </c>
      <c r="H13" s="11">
        <v>1622351550</v>
      </c>
      <c r="I13" s="11">
        <v>62.494100000000003</v>
      </c>
      <c r="J13" s="11">
        <v>66.955016666666651</v>
      </c>
      <c r="K13" s="11">
        <v>101039762.5</v>
      </c>
      <c r="L13" s="11">
        <v>1516531127.5</v>
      </c>
      <c r="M13" s="6">
        <f t="shared" si="0"/>
        <v>5.0289886175485465E-2</v>
      </c>
    </row>
    <row r="14" spans="1:13" x14ac:dyDescent="0.25">
      <c r="A14" s="1" t="s">
        <v>96</v>
      </c>
      <c r="B14" s="13" t="s">
        <v>97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98</v>
      </c>
      <c r="H14" s="11">
        <v>1597764975</v>
      </c>
      <c r="I14" s="11">
        <v>61.060100000000006</v>
      </c>
      <c r="J14" s="11">
        <v>67.829933333333329</v>
      </c>
      <c r="K14" s="11">
        <v>153336725</v>
      </c>
      <c r="L14" s="11">
        <v>1536347990</v>
      </c>
      <c r="M14" s="6">
        <f t="shared" si="0"/>
        <v>5.094703573305711E-2</v>
      </c>
    </row>
    <row r="15" spans="1:13" x14ac:dyDescent="0.25">
      <c r="A15" s="1" t="s">
        <v>99</v>
      </c>
      <c r="B15" s="13" t="s">
        <v>100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101</v>
      </c>
      <c r="H15" s="11">
        <v>3136670150</v>
      </c>
      <c r="I15" s="11">
        <v>87.52470000000001</v>
      </c>
      <c r="J15" s="11">
        <v>91.245699999999999</v>
      </c>
      <c r="K15" s="11">
        <v>140467750</v>
      </c>
      <c r="L15" s="11">
        <v>3444525175</v>
      </c>
      <c r="M15" s="6">
        <f t="shared" si="0"/>
        <v>0.11422434781467693</v>
      </c>
    </row>
    <row r="16" spans="1:13" x14ac:dyDescent="0.25">
      <c r="A16" s="1" t="s">
        <v>102</v>
      </c>
      <c r="B16" s="13" t="s">
        <v>103</v>
      </c>
      <c r="C16" s="10">
        <v>2803860</v>
      </c>
      <c r="D16" s="11">
        <v>2803860000</v>
      </c>
      <c r="E16" s="3">
        <v>5.5E-2</v>
      </c>
      <c r="F16" s="4" t="s">
        <v>104</v>
      </c>
      <c r="G16" s="4" t="s">
        <v>105</v>
      </c>
      <c r="H16" s="11">
        <v>1773018067.1400001</v>
      </c>
      <c r="I16" s="11">
        <v>58.082599999999999</v>
      </c>
      <c r="J16" s="11">
        <v>61.397877777777765</v>
      </c>
      <c r="K16" s="11">
        <v>92955747.5</v>
      </c>
      <c r="L16" s="11">
        <v>1721510535.8599999</v>
      </c>
      <c r="M16" s="6">
        <f t="shared" si="0"/>
        <v>5.7087235024985257E-2</v>
      </c>
    </row>
    <row r="17" spans="1:15" x14ac:dyDescent="0.25">
      <c r="A17" s="1" t="s">
        <v>106</v>
      </c>
      <c r="B17" s="13" t="s">
        <v>107</v>
      </c>
      <c r="C17" s="10">
        <v>1038480</v>
      </c>
      <c r="D17" s="11">
        <v>1038480000</v>
      </c>
      <c r="E17" s="3">
        <v>0.12</v>
      </c>
      <c r="F17" s="4" t="s">
        <v>104</v>
      </c>
      <c r="G17" s="4" t="s">
        <v>108</v>
      </c>
      <c r="H17" s="11">
        <v>979029096.96000004</v>
      </c>
      <c r="I17" s="11">
        <v>86.577100000000002</v>
      </c>
      <c r="J17" s="11">
        <v>95.377099999999999</v>
      </c>
      <c r="K17" s="11">
        <v>91386240</v>
      </c>
      <c r="L17" s="11">
        <v>990472108.08000004</v>
      </c>
      <c r="M17" s="6">
        <f t="shared" si="0"/>
        <v>3.2845174538190504E-2</v>
      </c>
    </row>
    <row r="18" spans="1:15" x14ac:dyDescent="0.25">
      <c r="A18" s="1" t="s">
        <v>109</v>
      </c>
      <c r="B18" s="13" t="s">
        <v>110</v>
      </c>
      <c r="C18" s="10">
        <v>506989</v>
      </c>
      <c r="D18" s="11">
        <v>506989000</v>
      </c>
      <c r="E18" s="3">
        <v>0.1535</v>
      </c>
      <c r="F18" s="4" t="s">
        <v>111</v>
      </c>
      <c r="G18" s="4" t="s">
        <v>112</v>
      </c>
      <c r="H18" s="11">
        <v>492216861.50999999</v>
      </c>
      <c r="I18" s="11">
        <v>98.910300000000007</v>
      </c>
      <c r="J18" s="11">
        <v>99.464605555555551</v>
      </c>
      <c r="K18" s="11">
        <v>2810268.1930555599</v>
      </c>
      <c r="L18" s="11">
        <v>504274609.06005597</v>
      </c>
      <c r="M18" s="6">
        <f t="shared" si="0"/>
        <v>1.6722315968959661E-2</v>
      </c>
    </row>
    <row r="19" spans="1:15" x14ac:dyDescent="0.25">
      <c r="A19" s="1" t="s">
        <v>113</v>
      </c>
      <c r="B19" s="13" t="s">
        <v>114</v>
      </c>
      <c r="C19" s="10">
        <v>2100000</v>
      </c>
      <c r="D19" s="11">
        <v>2100000000</v>
      </c>
      <c r="E19" s="3">
        <v>0.14300000000000002</v>
      </c>
      <c r="F19" s="4" t="s">
        <v>115</v>
      </c>
      <c r="G19" s="4" t="s">
        <v>116</v>
      </c>
      <c r="H19" s="11">
        <v>2100000000</v>
      </c>
      <c r="I19" s="11">
        <v>95.111221900619299</v>
      </c>
      <c r="J19" s="11">
        <v>98.606777456174839</v>
      </c>
      <c r="K19" s="11">
        <v>73406666.666666657</v>
      </c>
      <c r="L19" s="11">
        <v>2070742326.5796709</v>
      </c>
      <c r="M19" s="6">
        <f t="shared" si="0"/>
        <v>6.8668155907964767E-2</v>
      </c>
    </row>
    <row r="20" spans="1:15" x14ac:dyDescent="0.25">
      <c r="A20" s="1" t="s">
        <v>117</v>
      </c>
      <c r="B20" s="13" t="s">
        <v>118</v>
      </c>
      <c r="C20" s="10">
        <v>1000000</v>
      </c>
      <c r="D20" s="11">
        <v>1000000000</v>
      </c>
      <c r="E20" s="3">
        <v>0.1389</v>
      </c>
      <c r="F20" s="4" t="s">
        <v>119</v>
      </c>
      <c r="G20" s="4" t="s">
        <v>120</v>
      </c>
      <c r="H20" s="11">
        <v>1000000000</v>
      </c>
      <c r="I20" s="11">
        <v>98.4963222632271</v>
      </c>
      <c r="J20" s="11">
        <v>98.612072263227091</v>
      </c>
      <c r="K20" s="11">
        <v>1157500</v>
      </c>
      <c r="L20" s="11">
        <v>986120722.63227105</v>
      </c>
      <c r="M20" s="6">
        <f t="shared" si="0"/>
        <v>3.2700877678796203E-2</v>
      </c>
    </row>
    <row r="21" spans="1:15" x14ac:dyDescent="0.25">
      <c r="A21" s="1" t="s">
        <v>121</v>
      </c>
      <c r="B21" s="13" t="s">
        <v>122</v>
      </c>
      <c r="C21" s="10">
        <v>165739</v>
      </c>
      <c r="D21" s="11">
        <v>165739000</v>
      </c>
      <c r="E21" s="3">
        <v>0.125</v>
      </c>
      <c r="F21" s="4" t="s">
        <v>123</v>
      </c>
      <c r="G21" s="4" t="s">
        <v>124</v>
      </c>
      <c r="H21" s="11">
        <v>159596381.18279999</v>
      </c>
      <c r="I21" s="11">
        <v>97.028574399956497</v>
      </c>
      <c r="J21" s="11">
        <v>102.89662995549901</v>
      </c>
      <c r="K21" s="11">
        <v>9725656.5972000007</v>
      </c>
      <c r="L21" s="11">
        <v>170539845.52194399</v>
      </c>
      <c r="M21" s="6">
        <f t="shared" si="0"/>
        <v>5.6552940221027137E-3</v>
      </c>
    </row>
    <row r="22" spans="1:15" x14ac:dyDescent="0.25">
      <c r="A22" s="1" t="s">
        <v>125</v>
      </c>
      <c r="B22" s="13" t="s">
        <v>126</v>
      </c>
      <c r="C22" s="10">
        <v>494987</v>
      </c>
      <c r="D22" s="11">
        <v>494987000</v>
      </c>
      <c r="E22" s="3">
        <v>0.1701</v>
      </c>
      <c r="F22" s="4" t="s">
        <v>127</v>
      </c>
      <c r="G22" s="4" t="s">
        <v>128</v>
      </c>
      <c r="H22" s="11">
        <v>495088472.34249997</v>
      </c>
      <c r="I22" s="11">
        <v>102.77290000000001</v>
      </c>
      <c r="J22" s="11">
        <v>108.15940000000001</v>
      </c>
      <c r="K22" s="11">
        <v>26662474.754999999</v>
      </c>
      <c r="L22" s="11">
        <v>535374969.278</v>
      </c>
      <c r="M22" s="6">
        <f t="shared" si="0"/>
        <v>1.775363906349799E-2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1651170302.4813659</v>
      </c>
      <c r="L24" s="22">
        <f>SUM(L4:L23)</f>
        <v>30155787631.097385</v>
      </c>
      <c r="M24" s="23"/>
      <c r="N24" s="26">
        <v>30155787631.097412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6385996.2300000004</v>
      </c>
      <c r="C27" s="58">
        <v>6385996.2300000004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20448</v>
      </c>
      <c r="D32" s="7" t="s">
        <v>50</v>
      </c>
      <c r="E32" s="34" t="s">
        <v>54</v>
      </c>
      <c r="F32" s="34" t="s">
        <v>55</v>
      </c>
      <c r="G32" s="15">
        <v>587.12240023474203</v>
      </c>
      <c r="H32" s="15">
        <v>587.39907472613504</v>
      </c>
      <c r="I32" s="16">
        <f t="shared" ref="I32:I40" si="1">+C32*G32</f>
        <v>12005478.840000005</v>
      </c>
      <c r="J32" s="16">
        <f t="shared" ref="J32:J40" si="2">+C32*H32</f>
        <v>12011136.280000009</v>
      </c>
      <c r="K32" s="18">
        <v>0.17200199999999999</v>
      </c>
      <c r="L32" s="17"/>
      <c r="M32" s="17">
        <v>12005478.84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17939116</v>
      </c>
      <c r="D33" s="7" t="s">
        <v>50</v>
      </c>
      <c r="E33" s="34" t="s">
        <v>54</v>
      </c>
      <c r="F33" s="34" t="s">
        <v>55</v>
      </c>
      <c r="G33" s="15">
        <v>97.108500000222961</v>
      </c>
      <c r="H33" s="15">
        <v>97.154765948333235</v>
      </c>
      <c r="I33" s="16">
        <f t="shared" si="1"/>
        <v>1742040646.0899997</v>
      </c>
      <c r="J33" s="16">
        <f t="shared" si="2"/>
        <v>1742870616.3</v>
      </c>
      <c r="K33" s="18">
        <v>0.173899</v>
      </c>
      <c r="L33" s="17"/>
      <c r="M33" s="17">
        <v>1742040646.0899999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1858320</v>
      </c>
      <c r="D34" s="7" t="s">
        <v>50</v>
      </c>
      <c r="E34" s="34" t="s">
        <v>51</v>
      </c>
      <c r="F34" s="34" t="s">
        <v>54</v>
      </c>
      <c r="G34" s="15">
        <v>937.18600000000004</v>
      </c>
      <c r="H34" s="15">
        <v>938.54170245705802</v>
      </c>
      <c r="I34" s="16">
        <f t="shared" si="1"/>
        <v>1741591487.52</v>
      </c>
      <c r="J34" s="16">
        <f t="shared" si="2"/>
        <v>1744110816.51</v>
      </c>
      <c r="K34" s="18">
        <v>0.17599899999999999</v>
      </c>
      <c r="L34" s="17">
        <v>839776.33</v>
      </c>
      <c r="M34" s="17"/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1858320</v>
      </c>
      <c r="D35" s="7" t="s">
        <v>50</v>
      </c>
      <c r="E35" s="34" t="s">
        <v>54</v>
      </c>
      <c r="F35" s="34" t="s">
        <v>54</v>
      </c>
      <c r="G35" s="15">
        <v>937.18600000000004</v>
      </c>
      <c r="H35" s="15">
        <v>938.54170245705802</v>
      </c>
      <c r="I35" s="16">
        <f t="shared" si="1"/>
        <v>1741591487.52</v>
      </c>
      <c r="J35" s="16">
        <f t="shared" si="2"/>
        <v>1744110816.51</v>
      </c>
      <c r="K35" s="18">
        <v>0.17599899999999999</v>
      </c>
      <c r="L35" s="17"/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19170</v>
      </c>
      <c r="D36" s="7" t="s">
        <v>50</v>
      </c>
      <c r="E36" s="34" t="s">
        <v>51</v>
      </c>
      <c r="F36" s="34" t="s">
        <v>54</v>
      </c>
      <c r="G36" s="15">
        <v>521.84619979134106</v>
      </c>
      <c r="H36" s="15">
        <v>522.60108555033901</v>
      </c>
      <c r="I36" s="16">
        <f t="shared" si="1"/>
        <v>10003791.650000008</v>
      </c>
      <c r="J36" s="16">
        <f t="shared" si="2"/>
        <v>10018262.809999999</v>
      </c>
      <c r="K36" s="18">
        <v>0.17599899999999999</v>
      </c>
      <c r="L36" s="17">
        <v>4823.72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19170</v>
      </c>
      <c r="D37" s="7" t="s">
        <v>50</v>
      </c>
      <c r="E37" s="34" t="s">
        <v>54</v>
      </c>
      <c r="F37" s="34" t="s">
        <v>54</v>
      </c>
      <c r="G37" s="15">
        <v>521.84619979134106</v>
      </c>
      <c r="H37" s="15">
        <v>522.60108555033901</v>
      </c>
      <c r="I37" s="16">
        <f t="shared" si="1"/>
        <v>10003791.650000008</v>
      </c>
      <c r="J37" s="16">
        <f t="shared" si="2"/>
        <v>10018262.809999999</v>
      </c>
      <c r="K37" s="18">
        <v>0.17599899999999999</v>
      </c>
      <c r="L37" s="17"/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9240</v>
      </c>
      <c r="D38" s="7" t="s">
        <v>50</v>
      </c>
      <c r="E38" s="34" t="s">
        <v>64</v>
      </c>
      <c r="F38" s="34" t="s">
        <v>55</v>
      </c>
      <c r="G38" s="15">
        <v>866.47700000000009</v>
      </c>
      <c r="H38" s="15">
        <v>869.38503896103907</v>
      </c>
      <c r="I38" s="16">
        <f t="shared" si="1"/>
        <v>8006247.4800000004</v>
      </c>
      <c r="J38" s="16">
        <f t="shared" si="2"/>
        <v>8033117.7600000007</v>
      </c>
      <c r="K38" s="18">
        <v>0.17499999999999999</v>
      </c>
      <c r="L38" s="17">
        <v>3838.6114285714284</v>
      </c>
      <c r="M38" s="17">
        <v>8029279.1485714298</v>
      </c>
      <c r="N38" s="35"/>
    </row>
    <row r="39" spans="1:15" s="36" customFormat="1" ht="12" customHeight="1" x14ac:dyDescent="0.25">
      <c r="A39" s="12" t="s">
        <v>65</v>
      </c>
      <c r="B39" s="7" t="s">
        <v>66</v>
      </c>
      <c r="C39" s="14">
        <v>1656000</v>
      </c>
      <c r="D39" s="7" t="s">
        <v>50</v>
      </c>
      <c r="E39" s="34" t="s">
        <v>64</v>
      </c>
      <c r="F39" s="34" t="s">
        <v>55</v>
      </c>
      <c r="G39" s="15">
        <v>906.46800000000007</v>
      </c>
      <c r="H39" s="15">
        <v>909.51025561594201</v>
      </c>
      <c r="I39" s="16">
        <f t="shared" si="1"/>
        <v>1501111008.0000002</v>
      </c>
      <c r="J39" s="16">
        <f t="shared" si="2"/>
        <v>1506148983.3</v>
      </c>
      <c r="K39" s="18">
        <v>0.17499999999999999</v>
      </c>
      <c r="L39" s="17">
        <v>719710.75714285707</v>
      </c>
      <c r="M39" s="17">
        <v>1505429272.5428569</v>
      </c>
      <c r="N39" s="35"/>
    </row>
    <row r="40" spans="1:15" s="36" customFormat="1" ht="12" customHeight="1" x14ac:dyDescent="0.25">
      <c r="A40" s="12" t="s">
        <v>67</v>
      </c>
      <c r="B40" s="7" t="s">
        <v>68</v>
      </c>
      <c r="C40" s="14">
        <v>97110</v>
      </c>
      <c r="D40" s="7" t="s">
        <v>50</v>
      </c>
      <c r="E40" s="34" t="s">
        <v>64</v>
      </c>
      <c r="F40" s="34" t="s">
        <v>55</v>
      </c>
      <c r="G40" s="15">
        <v>927.21900000000005</v>
      </c>
      <c r="H40" s="15">
        <v>930.33089939244201</v>
      </c>
      <c r="I40" s="16">
        <f t="shared" si="1"/>
        <v>90042237.090000004</v>
      </c>
      <c r="J40" s="16">
        <f t="shared" si="2"/>
        <v>90344433.640000045</v>
      </c>
      <c r="K40" s="18">
        <v>0.17499999999999999</v>
      </c>
      <c r="L40" s="17">
        <v>43170.935714285704</v>
      </c>
      <c r="M40" s="17">
        <v>90301262.704285711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3357805939.3257141</v>
      </c>
      <c r="N42" s="38">
        <v>3357805939.3257141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x14ac:dyDescent="0.25">
      <c r="A46" s="57">
        <f ca="1">IF(OFFSET(A46,-1,0)="№ п/п",1,OFFSET(A46,-1,0)+1)</f>
        <v>1</v>
      </c>
      <c r="B46" s="40" t="s">
        <v>49</v>
      </c>
      <c r="C46" s="52" t="s">
        <v>50</v>
      </c>
      <c r="D46" s="53" t="s">
        <v>51</v>
      </c>
      <c r="E46" s="54">
        <v>1000000</v>
      </c>
      <c r="F46" s="55">
        <v>69450000</v>
      </c>
      <c r="G46" s="56">
        <v>69450000</v>
      </c>
      <c r="H46" s="58">
        <v>69450000</v>
      </c>
      <c r="I46" s="29">
        <f>G46-H46</f>
        <v>0</v>
      </c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SUM(G46:G47)</f>
        <v>69450000</v>
      </c>
    </row>
    <row r="50" spans="1:4" x14ac:dyDescent="0.25">
      <c r="A50" s="47" t="s">
        <v>13</v>
      </c>
      <c r="B50" s="48">
        <f>+L24+B27+M42+G48</f>
        <v>33589429566.653099</v>
      </c>
      <c r="C50" s="32">
        <v>33589429566.653126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5">
      <c r="A56" s="49" t="s">
        <v>37</v>
      </c>
      <c r="B56" s="41">
        <v>489596.49999999994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139848.65</v>
      </c>
    </row>
    <row r="60" spans="1:4" x14ac:dyDescent="0.25">
      <c r="A60" s="49" t="s">
        <v>41</v>
      </c>
      <c r="B60" s="51">
        <v>69699.41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699144.55999999994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2025-12-02T07:07:35Z</dcterms:created>
  <dcterms:modified xsi:type="dcterms:W3CDTF">2025-12-02T07:26:29Z</dcterms:modified>
</cp:coreProperties>
</file>