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27CEC4FA-72FC-4555-B66E-DA18E5689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6" i="1"/>
  <c r="O24" i="1"/>
  <c r="D27" i="1"/>
  <c r="B57" i="1"/>
  <c r="G41" i="1"/>
  <c r="M36" i="1"/>
  <c r="J34" i="1"/>
  <c r="I34" i="1"/>
  <c r="J33" i="1"/>
  <c r="I33" i="1"/>
  <c r="J32" i="1"/>
  <c r="I32" i="1"/>
  <c r="L24" i="1"/>
  <c r="M22" i="1" s="1"/>
  <c r="K24" i="1"/>
  <c r="M20" i="1"/>
  <c r="M18" i="1"/>
  <c r="M17" i="1"/>
  <c r="M16" i="1"/>
  <c r="M14" i="1"/>
  <c r="M13" i="1"/>
  <c r="M12" i="1"/>
  <c r="M11" i="1"/>
  <c r="M10" i="1"/>
  <c r="M8" i="1"/>
  <c r="M7" i="1"/>
  <c r="M6" i="1"/>
  <c r="M5" i="1"/>
  <c r="M4" i="1"/>
  <c r="M19" i="1" l="1"/>
  <c r="M9" i="1"/>
  <c r="M15" i="1"/>
  <c r="M21" i="1"/>
  <c r="B43" i="1"/>
</calcChain>
</file>

<file path=xl/sharedStrings.xml><?xml version="1.0" encoding="utf-8"?>
<sst xmlns="http://schemas.openxmlformats.org/spreadsheetml/2006/main" count="145" uniqueCount="115">
  <si>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</si>
  <si>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</si>
  <si>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</si>
  <si>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</si>
  <si>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</si>
  <si>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</si>
  <si>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</si>
  <si>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</si>
  <si>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</si>
  <si>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</si>
  <si>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</si>
  <si>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</si>
  <si>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</si>
  <si>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</si>
  <si>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</si>
  <si>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</si>
  <si>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</si>
  <si>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</si>
  <si>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</si>
  <si>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</si>
  <si>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</si>
  <si>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</si>
  <si>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</si>
  <si>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</si>
  <si>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</si>
  <si>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</si>
  <si>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</si>
  <si>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</si>
  <si>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</si>
  <si>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</si>
  <si>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</si>
  <si>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</si>
  <si>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</si>
  <si>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</si>
  <si>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</si>
  <si>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</si>
  <si>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</si>
  <si>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</si>
  <si>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</si>
  <si>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</si>
  <si>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</si>
  <si>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</si>
  <si>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</si>
  <si>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</si>
  <si>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</si>
  <si>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</si>
  <si>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</si>
  <si>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</si>
  <si>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</si>
  <si>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MUM240_0004</t>
  </si>
  <si>
    <t>KZKD00000832</t>
  </si>
  <si>
    <t>KZT</t>
  </si>
  <si>
    <t>12.12.2025</t>
  </si>
  <si>
    <t>15.12.2025</t>
  </si>
  <si>
    <t>МИНИСТЕРСТВО ФИНАНСОВ РК, ГЦБ, MUM156_0007</t>
  </si>
  <si>
    <t>KZKD00001103</t>
  </si>
  <si>
    <t>МИНИСТЕРСТВО ФИНАНСОВ РК, ГЦБ, MUM072_0015</t>
  </si>
  <si>
    <t>KZKD00001251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</si>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</sst>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topLeftCell="A13" zoomScale="90" zoomScaleNormal="90" workbookViewId="0">
      <selection activeCell="C43" sqref="C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58</v>
      </c>
      <c r="B4" s="13" t="s">
        <v>59</v>
      </c>
      <c r="C4" s="10">
        <v>3020000</v>
      </c>
      <c r="D4" s="11">
        <v>3020000000</v>
      </c>
      <c r="E4" s="3">
        <v>0.1067</v>
      </c>
      <c r="F4" s="4" t="s">
        <v>60</v>
      </c>
      <c r="G4" s="4" t="s">
        <v>61</v>
      </c>
      <c r="H4" s="11">
        <v>2930617060.0000029</v>
      </c>
      <c r="I4" s="11">
        <v>99.343600000000009</v>
      </c>
      <c r="J4" s="11">
        <v>103.581961111111</v>
      </c>
      <c r="K4" s="11">
        <v>127998505.555556</v>
      </c>
      <c r="L4" s="11">
        <v>3128175225.5555549</v>
      </c>
      <c r="M4" s="6">
        <f t="shared" ref="M4:M22" si="0">L4/$L$24</f>
        <v>0.10220358531885541</v>
      </c>
    </row>
    <row r="5" spans="1:13" x14ac:dyDescent="0.25">
      <c r="A5" s="1" t="s">
        <v>62</v>
      </c>
      <c r="B5" s="13" t="s">
        <v>63</v>
      </c>
      <c r="C5" s="10">
        <v>2265000</v>
      </c>
      <c r="D5" s="11">
        <v>2265000000</v>
      </c>
      <c r="E5" s="3">
        <v>0.10550000000000001</v>
      </c>
      <c r="F5" s="4" t="s">
        <v>60</v>
      </c>
      <c r="G5" s="4" t="s">
        <v>64</v>
      </c>
      <c r="H5" s="11">
        <v>2039188560.0000031</v>
      </c>
      <c r="I5" s="11">
        <v>84.482399999999998</v>
      </c>
      <c r="J5" s="11">
        <v>88.467955555555548</v>
      </c>
      <c r="K5" s="11">
        <v>90272833.333333328</v>
      </c>
      <c r="L5" s="11">
        <v>2003799193.333333</v>
      </c>
      <c r="M5" s="6">
        <f t="shared" si="0"/>
        <v>6.5468027540345308E-2</v>
      </c>
    </row>
    <row r="6" spans="1:13" x14ac:dyDescent="0.25">
      <c r="A6" s="1" t="s">
        <v>62</v>
      </c>
      <c r="B6" s="13" t="s">
        <v>63</v>
      </c>
      <c r="C6" s="10">
        <v>1551646</v>
      </c>
      <c r="D6" s="11">
        <v>1551646000</v>
      </c>
      <c r="E6" s="3">
        <v>0.10550000000000001</v>
      </c>
      <c r="F6" s="4" t="s">
        <v>65</v>
      </c>
      <c r="G6" s="4" t="s">
        <v>64</v>
      </c>
      <c r="H6" s="11">
        <v>1395452658.7</v>
      </c>
      <c r="I6" s="11">
        <v>84.482399999999998</v>
      </c>
      <c r="J6" s="11">
        <v>88.467955555555804</v>
      </c>
      <c r="K6" s="11">
        <v>61841713.355555549</v>
      </c>
      <c r="L6" s="11">
        <v>1372709493.659559</v>
      </c>
      <c r="M6" s="6">
        <f t="shared" si="0"/>
        <v>4.4849096274113424E-2</v>
      </c>
    </row>
    <row r="7" spans="1:13" x14ac:dyDescent="0.25">
      <c r="A7" s="1" t="s">
        <v>62</v>
      </c>
      <c r="B7" s="13" t="s">
        <v>63</v>
      </c>
      <c r="C7" s="10">
        <v>545692</v>
      </c>
      <c r="D7" s="11">
        <v>545692000</v>
      </c>
      <c r="E7" s="3">
        <v>0.10550000000000001</v>
      </c>
      <c r="F7" s="4" t="s">
        <v>66</v>
      </c>
      <c r="G7" s="4" t="s">
        <v>64</v>
      </c>
      <c r="H7" s="11">
        <v>449784993.92000002</v>
      </c>
      <c r="I7" s="11">
        <v>84.482399999999998</v>
      </c>
      <c r="J7" s="11">
        <v>88.467955555555548</v>
      </c>
      <c r="K7" s="11">
        <v>21748857.822222222</v>
      </c>
      <c r="L7" s="11">
        <v>482762556.030222</v>
      </c>
      <c r="M7" s="6">
        <f t="shared" si="0"/>
        <v>1.5772794209512626E-2</v>
      </c>
    </row>
    <row r="8" spans="1:13" x14ac:dyDescent="0.25">
      <c r="A8" s="1" t="s">
        <v>67</v>
      </c>
      <c r="B8" s="13" t="s">
        <v>68</v>
      </c>
      <c r="C8" s="10">
        <v>2265000</v>
      </c>
      <c r="D8" s="11">
        <v>2265000000</v>
      </c>
      <c r="E8" s="3">
        <v>0.10400000000000001</v>
      </c>
      <c r="F8" s="4" t="s">
        <v>60</v>
      </c>
      <c r="G8" s="4" t="s">
        <v>69</v>
      </c>
      <c r="H8" s="11">
        <v>2073109200</v>
      </c>
      <c r="I8" s="11">
        <v>87.950500000000005</v>
      </c>
      <c r="J8" s="11">
        <v>94.941611111111101</v>
      </c>
      <c r="K8" s="11">
        <v>158348666.66666701</v>
      </c>
      <c r="L8" s="11">
        <v>2150427491.666666</v>
      </c>
      <c r="M8" s="6">
        <f t="shared" si="0"/>
        <v>7.0258660007619558E-2</v>
      </c>
    </row>
    <row r="9" spans="1:13" x14ac:dyDescent="0.25">
      <c r="A9" s="1" t="s">
        <v>70</v>
      </c>
      <c r="B9" s="13" t="s">
        <v>71</v>
      </c>
      <c r="C9" s="10">
        <v>2265000</v>
      </c>
      <c r="D9" s="11">
        <v>2265000000</v>
      </c>
      <c r="E9" s="3">
        <v>0.11</v>
      </c>
      <c r="F9" s="4" t="s">
        <v>60</v>
      </c>
      <c r="G9" s="4" t="s">
        <v>72</v>
      </c>
      <c r="H9" s="11">
        <v>2080889475</v>
      </c>
      <c r="I9" s="11">
        <v>86.375900000000001</v>
      </c>
      <c r="J9" s="11">
        <v>94.137011111111107</v>
      </c>
      <c r="K9" s="11">
        <v>175789166.66666701</v>
      </c>
      <c r="L9" s="11">
        <v>2132203301.666666</v>
      </c>
      <c r="M9" s="6">
        <f t="shared" si="0"/>
        <v>6.9663240178731531E-2</v>
      </c>
    </row>
    <row r="10" spans="1:13" x14ac:dyDescent="0.25">
      <c r="A10" s="1" t="s">
        <v>73</v>
      </c>
      <c r="B10" s="13" t="s">
        <v>74</v>
      </c>
      <c r="C10" s="10">
        <v>2265000</v>
      </c>
      <c r="D10" s="11">
        <v>2265000000</v>
      </c>
      <c r="E10" s="3">
        <v>0.10300000000000001</v>
      </c>
      <c r="F10" s="4" t="s">
        <v>60</v>
      </c>
      <c r="G10" s="4" t="s">
        <v>75</v>
      </c>
      <c r="H10" s="11">
        <v>1963990560.0000031</v>
      </c>
      <c r="I10" s="11">
        <v>80.283000000000001</v>
      </c>
      <c r="J10" s="11">
        <v>87.922166666666655</v>
      </c>
      <c r="K10" s="11">
        <v>173027125</v>
      </c>
      <c r="L10" s="11">
        <v>1991437075</v>
      </c>
      <c r="M10" s="6">
        <f t="shared" si="0"/>
        <v>6.5064133025268006E-2</v>
      </c>
    </row>
    <row r="11" spans="1:13" x14ac:dyDescent="0.25">
      <c r="A11" s="1" t="s">
        <v>76</v>
      </c>
      <c r="B11" s="13" t="s">
        <v>77</v>
      </c>
      <c r="C11" s="10">
        <v>2265000</v>
      </c>
      <c r="D11" s="11">
        <v>2265000000</v>
      </c>
      <c r="E11" s="3">
        <v>8.4500000000000006E-2</v>
      </c>
      <c r="F11" s="4" t="s">
        <v>60</v>
      </c>
      <c r="G11" s="4" t="s">
        <v>78</v>
      </c>
      <c r="H11" s="11">
        <v>1740247065.0000031</v>
      </c>
      <c r="I11" s="11">
        <v>71.379000000000005</v>
      </c>
      <c r="J11" s="11">
        <v>76.965388888888882</v>
      </c>
      <c r="K11" s="11">
        <v>126531708.333333</v>
      </c>
      <c r="L11" s="11">
        <v>1743266058.333333</v>
      </c>
      <c r="M11" s="6">
        <f t="shared" si="0"/>
        <v>5.6955901917129161E-2</v>
      </c>
    </row>
    <row r="12" spans="1:13" x14ac:dyDescent="0.25">
      <c r="A12" s="1" t="s">
        <v>79</v>
      </c>
      <c r="B12" s="13" t="s">
        <v>80</v>
      </c>
      <c r="C12" s="10">
        <v>2265000</v>
      </c>
      <c r="D12" s="11">
        <v>2265000000</v>
      </c>
      <c r="E12" s="3">
        <v>0.10650000000000001</v>
      </c>
      <c r="F12" s="4" t="s">
        <v>60</v>
      </c>
      <c r="G12" s="4" t="s">
        <v>81</v>
      </c>
      <c r="H12" s="11">
        <v>1967775375</v>
      </c>
      <c r="I12" s="11">
        <v>79.260400000000004</v>
      </c>
      <c r="J12" s="11">
        <v>83.3429</v>
      </c>
      <c r="K12" s="11">
        <v>92468625</v>
      </c>
      <c r="L12" s="11">
        <v>1887716685</v>
      </c>
      <c r="M12" s="6">
        <f t="shared" si="0"/>
        <v>6.1675385604065817E-2</v>
      </c>
    </row>
    <row r="13" spans="1:13" x14ac:dyDescent="0.25">
      <c r="A13" s="1" t="s">
        <v>82</v>
      </c>
      <c r="B13" s="13" t="s">
        <v>83</v>
      </c>
      <c r="C13" s="10">
        <v>2265000</v>
      </c>
      <c r="D13" s="11">
        <v>2265000000</v>
      </c>
      <c r="E13" s="3">
        <v>8.0700000000000008E-2</v>
      </c>
      <c r="F13" s="4" t="s">
        <v>60</v>
      </c>
      <c r="G13" s="4" t="s">
        <v>84</v>
      </c>
      <c r="H13" s="11">
        <v>1622351550</v>
      </c>
      <c r="I13" s="11">
        <v>65.58890000000001</v>
      </c>
      <c r="J13" s="11">
        <v>70.341233333333321</v>
      </c>
      <c r="K13" s="11">
        <v>107640350</v>
      </c>
      <c r="L13" s="11">
        <v>1593228935</v>
      </c>
      <c r="M13" s="6">
        <f t="shared" si="0"/>
        <v>5.205389648906987E-2</v>
      </c>
    </row>
    <row r="14" spans="1:13" x14ac:dyDescent="0.25">
      <c r="A14" s="1" t="s">
        <v>49</v>
      </c>
      <c r="B14" s="13" t="s">
        <v>50</v>
      </c>
      <c r="C14" s="10">
        <v>2265000</v>
      </c>
      <c r="D14" s="11">
        <v>2265000000</v>
      </c>
      <c r="E14" s="3">
        <v>8.0700000000000008E-2</v>
      </c>
      <c r="F14" s="4" t="s">
        <v>60</v>
      </c>
      <c r="G14" s="4" t="s">
        <v>85</v>
      </c>
      <c r="H14" s="11">
        <v>1597764975</v>
      </c>
      <c r="I14" s="11">
        <v>64.400599999999997</v>
      </c>
      <c r="J14" s="11">
        <v>71.461849999999998</v>
      </c>
      <c r="K14" s="11">
        <v>159937312.5</v>
      </c>
      <c r="L14" s="11">
        <v>1618610902.5</v>
      </c>
      <c r="M14" s="6">
        <f t="shared" si="0"/>
        <v>5.2883174868284047E-2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60</v>
      </c>
      <c r="G15" s="4" t="s">
        <v>88</v>
      </c>
      <c r="H15" s="11">
        <v>3136670150</v>
      </c>
      <c r="I15" s="11">
        <v>87.194999999999993</v>
      </c>
      <c r="J15" s="11">
        <v>91.114249999999998</v>
      </c>
      <c r="K15" s="11">
        <v>147951687.5</v>
      </c>
      <c r="L15" s="11">
        <v>3439562937.5</v>
      </c>
      <c r="M15" s="6">
        <f t="shared" si="0"/>
        <v>0.1123772291495987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60.206500000000005</v>
      </c>
      <c r="J16" s="11">
        <v>63.720388888888877</v>
      </c>
      <c r="K16" s="11">
        <v>98524525</v>
      </c>
      <c r="L16" s="11">
        <v>1786630495.9000001</v>
      </c>
      <c r="M16" s="6">
        <f t="shared" si="0"/>
        <v>5.8372702663596912E-2</v>
      </c>
    </row>
    <row r="17" spans="1:15" x14ac:dyDescent="0.25">
      <c r="A17" s="1" t="s">
        <v>56</v>
      </c>
      <c r="B17" s="13" t="s">
        <v>57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93</v>
      </c>
      <c r="H17" s="11">
        <v>979029096.96000004</v>
      </c>
      <c r="I17" s="11">
        <v>87.286600000000007</v>
      </c>
      <c r="J17" s="11">
        <v>96.519933333333327</v>
      </c>
      <c r="K17" s="11">
        <v>95886320</v>
      </c>
      <c r="L17" s="11">
        <v>1002340203.6799999</v>
      </c>
      <c r="M17" s="6">
        <f t="shared" si="0"/>
        <v>3.2748409260588737E-2</v>
      </c>
    </row>
    <row r="18" spans="1:15" x14ac:dyDescent="0.25">
      <c r="A18" s="1" t="s">
        <v>94</v>
      </c>
      <c r="B18" s="13" t="s">
        <v>95</v>
      </c>
      <c r="C18" s="10">
        <v>506989</v>
      </c>
      <c r="D18" s="11">
        <v>506989000</v>
      </c>
      <c r="E18" s="3">
        <v>0.1535</v>
      </c>
      <c r="F18" s="4" t="s">
        <v>96</v>
      </c>
      <c r="G18" s="4" t="s">
        <v>97</v>
      </c>
      <c r="H18" s="11">
        <v>492216861.50999999</v>
      </c>
      <c r="I18" s="11">
        <v>98.174400000000006</v>
      </c>
      <c r="J18" s="11">
        <v>99.283011111111108</v>
      </c>
      <c r="K18" s="11">
        <v>5620536.3861111104</v>
      </c>
      <c r="L18" s="11">
        <v>503353945.20211101</v>
      </c>
      <c r="M18" s="6">
        <f t="shared" si="0"/>
        <v>1.6445555051958452E-2</v>
      </c>
    </row>
    <row r="19" spans="1:15" x14ac:dyDescent="0.25">
      <c r="A19" s="1" t="s">
        <v>98</v>
      </c>
      <c r="B19" s="13" t="s">
        <v>99</v>
      </c>
      <c r="C19" s="10">
        <v>2100000</v>
      </c>
      <c r="D19" s="11">
        <v>2100000000</v>
      </c>
      <c r="E19" s="3">
        <v>0.14300000000000002</v>
      </c>
      <c r="F19" s="4" t="s">
        <v>100</v>
      </c>
      <c r="G19" s="4" t="s">
        <v>101</v>
      </c>
      <c r="H19" s="11">
        <v>2100000000</v>
      </c>
      <c r="I19" s="11">
        <v>94.492204418680998</v>
      </c>
      <c r="J19" s="11">
        <v>98.504148863125437</v>
      </c>
      <c r="K19" s="11">
        <v>84250833.333333328</v>
      </c>
      <c r="L19" s="11">
        <v>2068587126.125634</v>
      </c>
      <c r="M19" s="6">
        <f t="shared" si="0"/>
        <v>6.7584775656843232E-2</v>
      </c>
    </row>
    <row r="20" spans="1:15" x14ac:dyDescent="0.25">
      <c r="A20" s="1" t="s">
        <v>102</v>
      </c>
      <c r="B20" s="13" t="s">
        <v>103</v>
      </c>
      <c r="C20" s="10">
        <v>1000000</v>
      </c>
      <c r="D20" s="11">
        <v>1000000000</v>
      </c>
      <c r="E20" s="3">
        <v>0.1389</v>
      </c>
      <c r="F20" s="4" t="s">
        <v>104</v>
      </c>
      <c r="G20" s="4" t="s">
        <v>105</v>
      </c>
      <c r="H20" s="11">
        <v>1000000000</v>
      </c>
      <c r="I20" s="11">
        <v>98.631824215075397</v>
      </c>
      <c r="J20" s="11">
        <v>99.249157548408732</v>
      </c>
      <c r="K20" s="11">
        <v>6173333.3333333302</v>
      </c>
      <c r="L20" s="11">
        <v>992491575.48408699</v>
      </c>
      <c r="M20" s="6">
        <f t="shared" si="0"/>
        <v>3.2426635370215978E-2</v>
      </c>
    </row>
    <row r="21" spans="1:15" x14ac:dyDescent="0.25">
      <c r="A21" s="1" t="s">
        <v>106</v>
      </c>
      <c r="B21" s="13" t="s">
        <v>107</v>
      </c>
      <c r="C21" s="10">
        <v>165739</v>
      </c>
      <c r="D21" s="11">
        <v>165739000</v>
      </c>
      <c r="E21" s="3">
        <v>0.125</v>
      </c>
      <c r="F21" s="4" t="s">
        <v>108</v>
      </c>
      <c r="G21" s="4" t="s">
        <v>109</v>
      </c>
      <c r="H21" s="11">
        <v>159596381.18279999</v>
      </c>
      <c r="I21" s="11">
        <v>96.9077523561932</v>
      </c>
      <c r="J21" s="11">
        <v>103.227196800624</v>
      </c>
      <c r="K21" s="11">
        <v>10473784.027755549</v>
      </c>
      <c r="L21" s="11">
        <v>171087723.705387</v>
      </c>
      <c r="M21" s="6">
        <f t="shared" si="0"/>
        <v>5.5897695959876599E-3</v>
      </c>
    </row>
    <row r="22" spans="1:15" x14ac:dyDescent="0.25">
      <c r="A22" s="1" t="s">
        <v>110</v>
      </c>
      <c r="B22" s="13" t="s">
        <v>111</v>
      </c>
      <c r="C22" s="10">
        <v>494987</v>
      </c>
      <c r="D22" s="11">
        <v>494987000</v>
      </c>
      <c r="E22" s="3">
        <v>0.1701</v>
      </c>
      <c r="F22" s="4" t="s">
        <v>112</v>
      </c>
      <c r="G22" s="4" t="s">
        <v>113</v>
      </c>
      <c r="H22" s="11">
        <v>495088472.34249997</v>
      </c>
      <c r="I22" s="11">
        <v>102.87150000000001</v>
      </c>
      <c r="J22" s="11">
        <v>108.87224999999999</v>
      </c>
      <c r="K22" s="11">
        <v>29702932.4025</v>
      </c>
      <c r="L22" s="11">
        <v>538903484.10749996</v>
      </c>
      <c r="M22" s="6">
        <f t="shared" si="0"/>
        <v>1.7607027818215534E-2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1774188816.216367</v>
      </c>
      <c r="L24" s="22">
        <f>SUM(L4:L23)</f>
        <v>30607294409.450054</v>
      </c>
      <c r="M24" s="23"/>
      <c r="N24" s="26">
        <v>30607294409.450077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1216132.52</v>
      </c>
      <c r="C27" s="51">
        <v>1216132.52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229764</v>
      </c>
      <c r="D32" s="7" t="s">
        <v>51</v>
      </c>
      <c r="E32" s="34" t="s">
        <v>52</v>
      </c>
      <c r="F32" s="34" t="s">
        <v>53</v>
      </c>
      <c r="G32" s="15">
        <v>714.17</v>
      </c>
      <c r="H32" s="15">
        <v>715.16787551574703</v>
      </c>
      <c r="I32" s="16">
        <f>+C32*G32</f>
        <v>164090555.88</v>
      </c>
      <c r="J32" s="16">
        <f>+C32*H32</f>
        <v>164319831.75000009</v>
      </c>
      <c r="K32" s="18">
        <v>0.16999899999999998</v>
      </c>
      <c r="L32" s="17">
        <v>76425.290000000008</v>
      </c>
      <c r="M32" s="17">
        <v>164243406.46000001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93678</v>
      </c>
      <c r="D33" s="7" t="s">
        <v>51</v>
      </c>
      <c r="E33" s="34" t="s">
        <v>52</v>
      </c>
      <c r="F33" s="34" t="s">
        <v>53</v>
      </c>
      <c r="G33" s="15">
        <v>832.68100002135009</v>
      </c>
      <c r="H33" s="15">
        <v>833.84447212792804</v>
      </c>
      <c r="I33" s="16">
        <f>+C33*G33</f>
        <v>78003890.720000029</v>
      </c>
      <c r="J33" s="16">
        <f>+C33*H33</f>
        <v>78112882.460000038</v>
      </c>
      <c r="K33" s="18">
        <v>0.17</v>
      </c>
      <c r="L33" s="17">
        <v>36330.58</v>
      </c>
      <c r="M33" s="17">
        <v>78076551.879999995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3325659</v>
      </c>
      <c r="D34" s="7" t="s">
        <v>51</v>
      </c>
      <c r="E34" s="34" t="s">
        <v>52</v>
      </c>
      <c r="F34" s="34" t="s">
        <v>53</v>
      </c>
      <c r="G34" s="15">
        <v>964.53300000090201</v>
      </c>
      <c r="H34" s="15">
        <v>965.880695717751</v>
      </c>
      <c r="I34" s="16">
        <f>+C34*G34</f>
        <v>3207707852.25</v>
      </c>
      <c r="J34" s="16">
        <f>+C34*H34</f>
        <v>3212189828.6399999</v>
      </c>
      <c r="K34" s="18">
        <v>0.16999899999999998</v>
      </c>
      <c r="L34" s="17">
        <v>1493992.13</v>
      </c>
      <c r="M34" s="17">
        <v>3210695836.5100002</v>
      </c>
      <c r="N34" s="35"/>
    </row>
    <row r="35" spans="1:15" s="36" customFormat="1" ht="11.25" hidden="1" x14ac:dyDescent="0.25">
      <c r="A35" s="7"/>
      <c r="B35" s="7"/>
      <c r="C35" s="7"/>
      <c r="D35" s="7"/>
      <c r="E35" s="37"/>
      <c r="F35" s="37"/>
      <c r="G35" s="7"/>
      <c r="H35" s="7"/>
      <c r="I35" s="8"/>
      <c r="J35" s="8"/>
      <c r="K35" s="7"/>
      <c r="L35" s="9"/>
      <c r="M35" s="9"/>
      <c r="N35" s="35"/>
    </row>
    <row r="36" spans="1:15" x14ac:dyDescent="0.25">
      <c r="A36" s="1" t="s">
        <v>5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f>SUM(M32:M35)</f>
        <v>3453015794.8500004</v>
      </c>
      <c r="N36" s="38">
        <v>3453015794.8499999</v>
      </c>
      <c r="O36" s="29">
        <f>M36-N36</f>
        <v>0</v>
      </c>
    </row>
    <row r="38" spans="1:15" x14ac:dyDescent="0.25">
      <c r="A38" s="39" t="s">
        <v>28</v>
      </c>
      <c r="B38" s="33"/>
      <c r="D38" s="33"/>
      <c r="F38" s="28"/>
      <c r="G38" s="28"/>
    </row>
    <row r="39" spans="1:15" ht="22.5" x14ac:dyDescent="0.25">
      <c r="A39" s="19" t="s">
        <v>6</v>
      </c>
      <c r="B39" s="19" t="s">
        <v>29</v>
      </c>
      <c r="C39" s="19" t="s">
        <v>17</v>
      </c>
      <c r="D39" s="19" t="s">
        <v>30</v>
      </c>
      <c r="E39" s="19" t="s">
        <v>16</v>
      </c>
      <c r="F39" s="19" t="s">
        <v>31</v>
      </c>
      <c r="G39" s="19" t="s">
        <v>32</v>
      </c>
    </row>
    <row r="40" spans="1:15" hidden="1" x14ac:dyDescent="0.25">
      <c r="B40" s="41"/>
      <c r="C40" s="42"/>
      <c r="D40" s="43"/>
      <c r="G40" s="44"/>
      <c r="H40" s="33"/>
    </row>
    <row r="41" spans="1:15" x14ac:dyDescent="0.25">
      <c r="G41" s="45">
        <f>SUM(G40:G40)</f>
        <v>0</v>
      </c>
    </row>
    <row r="43" spans="1:15" x14ac:dyDescent="0.25">
      <c r="A43" s="46" t="s">
        <v>13</v>
      </c>
      <c r="B43" s="47">
        <f>+L24+B27+M36+G41</f>
        <v>34061526336.820053</v>
      </c>
      <c r="C43" s="32">
        <v>34061526336.820076</v>
      </c>
      <c r="D43" s="29">
        <f>B43-C43</f>
        <v>0</v>
      </c>
    </row>
    <row r="46" spans="1:15" x14ac:dyDescent="0.25">
      <c r="A46" s="24" t="s">
        <v>46</v>
      </c>
      <c r="B46" s="33"/>
    </row>
    <row r="47" spans="1:15" x14ac:dyDescent="0.25">
      <c r="A47" s="48" t="s">
        <v>35</v>
      </c>
      <c r="B47" s="49"/>
    </row>
    <row r="48" spans="1:15" x14ac:dyDescent="0.25">
      <c r="A48" s="48" t="s">
        <v>36</v>
      </c>
      <c r="B48" s="40"/>
    </row>
    <row r="49" spans="1:2" x14ac:dyDescent="0.25">
      <c r="A49" s="48" t="s">
        <v>37</v>
      </c>
      <c r="B49" s="40">
        <v>697404.53999999992</v>
      </c>
    </row>
    <row r="50" spans="1:2" x14ac:dyDescent="0.25">
      <c r="A50" s="48" t="s">
        <v>38</v>
      </c>
      <c r="B50" s="40"/>
    </row>
    <row r="51" spans="1:2" x14ac:dyDescent="0.25">
      <c r="A51" s="48" t="s">
        <v>39</v>
      </c>
      <c r="B51" s="49"/>
    </row>
    <row r="52" spans="1:2" x14ac:dyDescent="0.25">
      <c r="A52" s="48" t="s">
        <v>40</v>
      </c>
      <c r="B52" s="50">
        <v>205876.4</v>
      </c>
    </row>
    <row r="53" spans="1:2" x14ac:dyDescent="0.25">
      <c r="A53" s="48" t="s">
        <v>41</v>
      </c>
      <c r="B53" s="50">
        <v>102713.23999999999</v>
      </c>
    </row>
    <row r="54" spans="1:2" x14ac:dyDescent="0.25">
      <c r="A54" s="48" t="s">
        <v>42</v>
      </c>
      <c r="B54" s="40"/>
    </row>
    <row r="55" spans="1:2" x14ac:dyDescent="0.25">
      <c r="A55" s="48" t="s">
        <v>43</v>
      </c>
      <c r="B55" s="40"/>
    </row>
    <row r="56" spans="1:2" x14ac:dyDescent="0.25">
      <c r="A56" s="48" t="s">
        <v>44</v>
      </c>
      <c r="B56" s="50"/>
    </row>
    <row r="57" spans="1:2" x14ac:dyDescent="0.25">
      <c r="A57" s="48" t="s">
        <v>45</v>
      </c>
      <c r="B57" s="49">
        <f>SUM(B47:B56)</f>
        <v>1005994.1799999999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2025-12-15T06:27:18Z</dcterms:created>
  <dcterms:modified xsi:type="dcterms:W3CDTF">2025-12-17T06:37:03Z</dcterms:modified>
</cp:coreProperties>
</file>