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432C5D4B-6F4D-49AC-8E50-1D95515558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ДУ!$44:$44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I44" i="1"/>
  <c r="O40" i="1"/>
  <c r="O24" i="1"/>
  <c r="D27" i="1"/>
  <c r="B62" i="1"/>
  <c r="G46" i="1"/>
  <c r="A44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17" i="1"/>
  <c r="M16" i="1"/>
  <c r="M11" i="1"/>
  <c r="M10" i="1"/>
  <c r="M5" i="1"/>
  <c r="M4" i="1"/>
  <c r="M6" i="1" l="1"/>
  <c r="M12" i="1"/>
  <c r="M18" i="1"/>
  <c r="M7" i="1"/>
  <c r="M19" i="1"/>
  <c r="M8" i="1"/>
  <c r="M14" i="1"/>
  <c r="M20" i="1"/>
  <c r="B48" i="1"/>
  <c r="M13" i="1"/>
  <c r="M9" i="1"/>
  <c r="M15" i="1"/>
</calcChain>
</file>

<file path=xl/sharedStrings.xml><?xml version="1.0" encoding="utf-8"?>
<sst xmlns="http://schemas.openxmlformats.org/spreadsheetml/2006/main" count="168" uniqueCount="125">
  <si>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</si>
  <si>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</si>
  <si>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</si>
  <si>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</si>
  <si>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</si>
  <si>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</si>
  <si>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</si>
  <si>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</si>
  <si>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</si>
  <si>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</si>
  <si>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</si>
  <si>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</si>
  <si>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</si>
  <si>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</si>
  <si>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</si>
  <si>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</si>
  <si>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</si>
  <si>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</si>
  <si>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</si>
  <si>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</si>
  <si>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</si>
  <si>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</si>
  <si>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</si>
  <si>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</si>
  <si>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</si>
  <si>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</si>
  <si>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</si>
  <si>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</si>
  <si>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</si>
  <si>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</si>
  <si>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</si>
  <si>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</si>
  <si>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</si>
  <si>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</si>
  <si>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</si>
  <si>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</si>
  <si>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</si>
  <si>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</si>
  <si>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</si>
  <si>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</si>
  <si>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</si>
  <si>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</si>
  <si>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</si>
  <si>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</si>
  <si>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</si>
  <si>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</si>
  <si>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</si>
  <si>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</si>
  <si>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</si>
  <si>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</si>
  <si>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</si>
  <si>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</si>
  <si>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MUM216_0001</t>
  </si>
  <si>
    <t>KZKD00000972</t>
  </si>
  <si>
    <t>03.12.2025</t>
  </si>
  <si>
    <t>04.12.2025</t>
  </si>
  <si>
    <t>МИНИСТЕРСТВО ФИНАНСОВ РК, ГЦБ, KZ_06_4410</t>
  </si>
  <si>
    <t>XS1120709826</t>
  </si>
  <si>
    <t>МИНИСТЕРСТВО ФИНАНСОВ РК, ГЦБ, KZ_10_2811</t>
  </si>
  <si>
    <t>XS1901718335</t>
  </si>
  <si>
    <t>МИНИСТЕРСТВО ФИНАНСОВ РК, ГЦБ, MUM084_0019</t>
  </si>
  <si>
    <t>KZKD00001244</t>
  </si>
  <si>
    <t>02.12.2025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</si>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</sst>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3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99.208300000000008</v>
      </c>
      <c r="J4" s="11">
        <v>103.120633333333</v>
      </c>
      <c r="K4" s="11">
        <v>118152466.666667</v>
      </c>
      <c r="L4" s="11">
        <v>3114243126.666666</v>
      </c>
      <c r="M4" s="6">
        <f t="shared" ref="M4:M22" si="0">L4/$L$24</f>
        <v>0.10313810004230038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83.798700000000011</v>
      </c>
      <c r="J5" s="11">
        <v>87.46189444444444</v>
      </c>
      <c r="K5" s="11">
        <v>82971354.166666657</v>
      </c>
      <c r="L5" s="11">
        <v>1981011909.166666</v>
      </c>
      <c r="M5" s="6">
        <f t="shared" si="0"/>
        <v>6.560753164166469E-2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83.798700000000011</v>
      </c>
      <c r="J6" s="11">
        <v>87.461894444444695</v>
      </c>
      <c r="K6" s="11">
        <v>56839810.06944444</v>
      </c>
      <c r="L6" s="11">
        <v>1357098986.671448</v>
      </c>
      <c r="M6" s="6">
        <f t="shared" si="0"/>
        <v>4.4944664036054197E-2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83.798700000000011</v>
      </c>
      <c r="J7" s="11">
        <v>87.46189444444444</v>
      </c>
      <c r="K7" s="11">
        <v>19989759.027777769</v>
      </c>
      <c r="L7" s="11">
        <v>477272561.03177798</v>
      </c>
      <c r="M7" s="6">
        <f t="shared" si="0"/>
        <v>1.5806404042650473E-2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87.69850000000001</v>
      </c>
      <c r="J8" s="11">
        <v>94.371833333333328</v>
      </c>
      <c r="K8" s="11">
        <v>151151000</v>
      </c>
      <c r="L8" s="11">
        <v>2137522024.999999</v>
      </c>
      <c r="M8" s="6">
        <f t="shared" si="0"/>
        <v>7.0790863619257627E-2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85.803100000000001</v>
      </c>
      <c r="J9" s="11">
        <v>93.228099999999984</v>
      </c>
      <c r="K9" s="11">
        <v>168176250</v>
      </c>
      <c r="L9" s="11">
        <v>2111616464.999999</v>
      </c>
      <c r="M9" s="6">
        <f t="shared" si="0"/>
        <v>6.9932918323961549E-2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78.9953</v>
      </c>
      <c r="J10" s="11">
        <v>86.319744444444439</v>
      </c>
      <c r="K10" s="11">
        <v>165898666.66666701</v>
      </c>
      <c r="L10" s="11">
        <v>1955142211.666666</v>
      </c>
      <c r="M10" s="6">
        <f t="shared" si="0"/>
        <v>6.4750774047508938E-2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69.812399999999997</v>
      </c>
      <c r="J11" s="11">
        <v>75.140594444444432</v>
      </c>
      <c r="K11" s="11">
        <v>120683604.166667</v>
      </c>
      <c r="L11" s="11">
        <v>1701934464.166666</v>
      </c>
      <c r="M11" s="6">
        <f t="shared" si="0"/>
        <v>5.6364991393123454E-2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77.570300000000003</v>
      </c>
      <c r="J12" s="11">
        <v>81.32738333333333</v>
      </c>
      <c r="K12" s="11">
        <v>85097937.5</v>
      </c>
      <c r="L12" s="11">
        <v>1842065232.5</v>
      </c>
      <c r="M12" s="6">
        <f t="shared" si="0"/>
        <v>6.1005869004640383E-2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63.6173</v>
      </c>
      <c r="J13" s="11">
        <v>68.123049999999992</v>
      </c>
      <c r="K13" s="11">
        <v>102055237.5</v>
      </c>
      <c r="L13" s="11">
        <v>1542987082.5</v>
      </c>
      <c r="M13" s="6">
        <f t="shared" si="0"/>
        <v>5.110094157908561E-2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62.315200000000004</v>
      </c>
      <c r="J14" s="11">
        <v>69.129866666666658</v>
      </c>
      <c r="K14" s="11">
        <v>154352200</v>
      </c>
      <c r="L14" s="11">
        <v>1565791480</v>
      </c>
      <c r="M14" s="6">
        <f t="shared" si="0"/>
        <v>5.1856181981037412E-2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87.036799999999999</v>
      </c>
      <c r="J15" s="11">
        <v>90.788300000000007</v>
      </c>
      <c r="K15" s="11">
        <v>141619125</v>
      </c>
      <c r="L15" s="11">
        <v>3427258325</v>
      </c>
      <c r="M15" s="6">
        <f t="shared" si="0"/>
        <v>0.1135045973025894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58.714400000000005</v>
      </c>
      <c r="J16" s="11">
        <v>62.060233333333329</v>
      </c>
      <c r="K16" s="11">
        <v>93812482.5</v>
      </c>
      <c r="L16" s="11">
        <v>1740082058.3399999</v>
      </c>
      <c r="M16" s="6">
        <f t="shared" si="0"/>
        <v>5.7628370719718824E-2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86.357100000000003</v>
      </c>
      <c r="J17" s="11">
        <v>95.223766666666663</v>
      </c>
      <c r="K17" s="11">
        <v>92078560</v>
      </c>
      <c r="L17" s="11">
        <v>988879772.08000004</v>
      </c>
      <c r="M17" s="6">
        <f t="shared" si="0"/>
        <v>3.2749909597379646E-2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98.140900000000002</v>
      </c>
      <c r="J18" s="11">
        <v>98.780483333333322</v>
      </c>
      <c r="K18" s="11">
        <v>3242617.1458333302</v>
      </c>
      <c r="L18" s="11">
        <v>500806184.646833</v>
      </c>
      <c r="M18" s="6">
        <f t="shared" si="0"/>
        <v>1.6585795094679657E-2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94.5242705824392</v>
      </c>
      <c r="J19" s="11">
        <v>98.099270582439189</v>
      </c>
      <c r="K19" s="11">
        <v>75075000</v>
      </c>
      <c r="L19" s="11">
        <v>2060084682.2312231</v>
      </c>
      <c r="M19" s="6">
        <f t="shared" si="0"/>
        <v>6.8226278877267829E-2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98.542279169292001</v>
      </c>
      <c r="J20" s="11">
        <v>98.735195835958649</v>
      </c>
      <c r="K20" s="11">
        <v>1929166.66666667</v>
      </c>
      <c r="L20" s="11">
        <v>987351958.35958695</v>
      </c>
      <c r="M20" s="6">
        <f t="shared" si="0"/>
        <v>3.2699311170110858E-2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96.956235970631894</v>
      </c>
      <c r="J21" s="11">
        <v>102.89373597061801</v>
      </c>
      <c r="K21" s="11">
        <v>9840753.1249777805</v>
      </c>
      <c r="L21" s="11">
        <v>170535049.060343</v>
      </c>
      <c r="M21" s="6">
        <f t="shared" si="0"/>
        <v>5.6478124010601273E-3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102.2394</v>
      </c>
      <c r="J22" s="11">
        <v>107.72040000000001</v>
      </c>
      <c r="K22" s="11">
        <v>27130237.469999999</v>
      </c>
      <c r="L22" s="11">
        <v>533201976.34799999</v>
      </c>
      <c r="M22" s="6">
        <f t="shared" si="0"/>
        <v>1.765868512590878E-2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1670096227.6713676</v>
      </c>
      <c r="L24" s="22">
        <f>SUM(L4:L23)</f>
        <v>30194885550.435879</v>
      </c>
      <c r="M24" s="23"/>
      <c r="N24" s="26">
        <v>30194885550.435898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9659626.4399999995</v>
      </c>
      <c r="C27" s="58">
        <v>9659626.4399999995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1899120</v>
      </c>
      <c r="D32" s="7" t="s">
        <v>50</v>
      </c>
      <c r="E32" s="34" t="s">
        <v>54</v>
      </c>
      <c r="F32" s="34" t="s">
        <v>55</v>
      </c>
      <c r="G32" s="15">
        <v>647.78</v>
      </c>
      <c r="H32" s="15">
        <v>648.08312376785</v>
      </c>
      <c r="I32" s="16">
        <f t="shared" ref="I32:I38" si="1">+C32*G32</f>
        <v>1230211953.5999999</v>
      </c>
      <c r="J32" s="16">
        <f t="shared" ref="J32:J38" si="2">+C32*H32</f>
        <v>1230787622.0099993</v>
      </c>
      <c r="K32" s="18">
        <v>0.17079899999999998</v>
      </c>
      <c r="L32" s="17"/>
      <c r="M32" s="17">
        <v>1230211953.5999999</v>
      </c>
      <c r="N32" s="35"/>
    </row>
    <row r="33" spans="1:15" s="36" customFormat="1" ht="12" customHeight="1" x14ac:dyDescent="0.25">
      <c r="A33" s="12" t="s">
        <v>56</v>
      </c>
      <c r="B33" s="7" t="s">
        <v>57</v>
      </c>
      <c r="C33" s="14">
        <v>4159608</v>
      </c>
      <c r="D33" s="7" t="s">
        <v>50</v>
      </c>
      <c r="E33" s="34" t="s">
        <v>54</v>
      </c>
      <c r="F33" s="34" t="s">
        <v>55</v>
      </c>
      <c r="G33" s="15">
        <v>475.39</v>
      </c>
      <c r="H33" s="15">
        <v>475.61245516885202</v>
      </c>
      <c r="I33" s="16">
        <f t="shared" si="1"/>
        <v>1977436047.1199999</v>
      </c>
      <c r="J33" s="16">
        <f t="shared" si="2"/>
        <v>1978361373.4199982</v>
      </c>
      <c r="K33" s="18">
        <v>0.17079899999999998</v>
      </c>
      <c r="L33" s="17"/>
      <c r="M33" s="17">
        <v>1977436047.1199999</v>
      </c>
      <c r="N33" s="35"/>
    </row>
    <row r="34" spans="1:15" s="36" customFormat="1" ht="12" customHeight="1" x14ac:dyDescent="0.25">
      <c r="A34" s="12" t="s">
        <v>58</v>
      </c>
      <c r="B34" s="7" t="s">
        <v>59</v>
      </c>
      <c r="C34" s="14">
        <v>258300</v>
      </c>
      <c r="D34" s="7" t="s">
        <v>50</v>
      </c>
      <c r="E34" s="34" t="s">
        <v>54</v>
      </c>
      <c r="F34" s="34" t="s">
        <v>55</v>
      </c>
      <c r="G34" s="15">
        <v>580.95090000000005</v>
      </c>
      <c r="H34" s="15">
        <v>581.22307150600102</v>
      </c>
      <c r="I34" s="16">
        <f t="shared" si="1"/>
        <v>150059617.47</v>
      </c>
      <c r="J34" s="16">
        <f t="shared" si="2"/>
        <v>150129919.37000006</v>
      </c>
      <c r="K34" s="18">
        <v>0.17100000000000001</v>
      </c>
      <c r="L34" s="17"/>
      <c r="M34" s="17">
        <v>150059617.47</v>
      </c>
      <c r="N34" s="35"/>
    </row>
    <row r="35" spans="1:15" s="36" customFormat="1" ht="12" customHeight="1" x14ac:dyDescent="0.25">
      <c r="A35" s="12" t="s">
        <v>60</v>
      </c>
      <c r="B35" s="7" t="s">
        <v>61</v>
      </c>
      <c r="C35" s="14">
        <v>3420800</v>
      </c>
      <c r="D35" s="7" t="s">
        <v>50</v>
      </c>
      <c r="E35" s="34" t="s">
        <v>62</v>
      </c>
      <c r="F35" s="34" t="s">
        <v>54</v>
      </c>
      <c r="G35" s="15">
        <v>936.02700000000004</v>
      </c>
      <c r="H35" s="15">
        <v>936.46551967376104</v>
      </c>
      <c r="I35" s="16">
        <f t="shared" si="1"/>
        <v>3201961161.6000004</v>
      </c>
      <c r="J35" s="16">
        <f t="shared" si="2"/>
        <v>3203461249.7000017</v>
      </c>
      <c r="K35" s="18">
        <v>0.17099899999999998</v>
      </c>
      <c r="L35" s="17">
        <v>1500088.1</v>
      </c>
      <c r="M35" s="17"/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3420800</v>
      </c>
      <c r="D36" s="7" t="s">
        <v>50</v>
      </c>
      <c r="E36" s="34" t="s">
        <v>54</v>
      </c>
      <c r="F36" s="34" t="s">
        <v>54</v>
      </c>
      <c r="G36" s="15">
        <v>936.02700000000004</v>
      </c>
      <c r="H36" s="15">
        <v>936.46551967376104</v>
      </c>
      <c r="I36" s="16">
        <f t="shared" si="1"/>
        <v>3201961161.6000004</v>
      </c>
      <c r="J36" s="16">
        <f t="shared" si="2"/>
        <v>3203461249.7000017</v>
      </c>
      <c r="K36" s="18">
        <v>0.17099899999999998</v>
      </c>
      <c r="L36" s="17"/>
      <c r="M36" s="17"/>
      <c r="N36" s="35"/>
    </row>
    <row r="37" spans="1:15" s="36" customFormat="1" ht="12" customHeight="1" x14ac:dyDescent="0.25">
      <c r="A37" s="12" t="s">
        <v>63</v>
      </c>
      <c r="B37" s="7" t="s">
        <v>64</v>
      </c>
      <c r="C37" s="14">
        <v>1607736</v>
      </c>
      <c r="D37" s="7" t="s">
        <v>50</v>
      </c>
      <c r="E37" s="34" t="s">
        <v>62</v>
      </c>
      <c r="F37" s="34" t="s">
        <v>54</v>
      </c>
      <c r="G37" s="15">
        <v>97.033800001990372</v>
      </c>
      <c r="H37" s="15">
        <v>97.079126485940463</v>
      </c>
      <c r="I37" s="16">
        <f t="shared" si="1"/>
        <v>156004733.47999999</v>
      </c>
      <c r="J37" s="16">
        <f t="shared" si="2"/>
        <v>156077606.49999997</v>
      </c>
      <c r="K37" s="18">
        <v>0.17049899999999998</v>
      </c>
      <c r="L37" s="17">
        <v>72873.02</v>
      </c>
      <c r="M37" s="17"/>
      <c r="N37" s="35"/>
    </row>
    <row r="38" spans="1:15" s="36" customFormat="1" ht="12" customHeight="1" x14ac:dyDescent="0.25">
      <c r="A38" s="12" t="s">
        <v>63</v>
      </c>
      <c r="B38" s="7" t="s">
        <v>64</v>
      </c>
      <c r="C38" s="14">
        <v>1607736</v>
      </c>
      <c r="D38" s="7" t="s">
        <v>50</v>
      </c>
      <c r="E38" s="34" t="s">
        <v>54</v>
      </c>
      <c r="F38" s="34" t="s">
        <v>54</v>
      </c>
      <c r="G38" s="15">
        <v>97.033800001990372</v>
      </c>
      <c r="H38" s="15">
        <v>97.079126485940463</v>
      </c>
      <c r="I38" s="16">
        <f t="shared" si="1"/>
        <v>156004733.47999999</v>
      </c>
      <c r="J38" s="16">
        <f t="shared" si="2"/>
        <v>156077606.49999997</v>
      </c>
      <c r="K38" s="18">
        <v>0.17049899999999998</v>
      </c>
      <c r="L38" s="17"/>
      <c r="M38" s="17"/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SUM(M32:M39)</f>
        <v>3357707618.1899996</v>
      </c>
      <c r="N40" s="38">
        <v>3357707618.1899996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x14ac:dyDescent="0.25">
      <c r="A44" s="57">
        <f ca="1">IF(OFFSET(A44,-1,0)="№ п/п",1,OFFSET(A44,-1,0)+1)</f>
        <v>1</v>
      </c>
      <c r="B44" s="40" t="s">
        <v>49</v>
      </c>
      <c r="C44" s="52" t="s">
        <v>50</v>
      </c>
      <c r="D44" s="53" t="s">
        <v>51</v>
      </c>
      <c r="E44" s="54">
        <v>1000000</v>
      </c>
      <c r="F44" s="55">
        <v>69450000</v>
      </c>
      <c r="G44" s="56">
        <v>69450000</v>
      </c>
      <c r="H44" s="58">
        <v>69450000</v>
      </c>
      <c r="I44" s="29">
        <f>G44-H44</f>
        <v>0</v>
      </c>
    </row>
    <row r="45" spans="1:15" hidden="1" x14ac:dyDescent="0.25">
      <c r="B45" s="42"/>
      <c r="C45" s="43"/>
      <c r="D45" s="44"/>
      <c r="G45" s="45"/>
      <c r="H45" s="33"/>
    </row>
    <row r="46" spans="1:15" x14ac:dyDescent="0.25">
      <c r="G46" s="46">
        <f>SUM(G44:G45)</f>
        <v>69450000</v>
      </c>
    </row>
    <row r="48" spans="1:15" x14ac:dyDescent="0.25">
      <c r="A48" s="47" t="s">
        <v>13</v>
      </c>
      <c r="B48" s="48">
        <f>+L24+B27+M40+G46</f>
        <v>33631702795.065876</v>
      </c>
      <c r="C48" s="32">
        <v>33631702795.065895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9" t="s">
        <v>35</v>
      </c>
      <c r="B52" s="50"/>
    </row>
    <row r="53" spans="1:2" x14ac:dyDescent="0.25">
      <c r="A53" s="49" t="s">
        <v>36</v>
      </c>
      <c r="B53" s="41"/>
    </row>
    <row r="54" spans="1:2" x14ac:dyDescent="0.25">
      <c r="A54" s="49" t="s">
        <v>37</v>
      </c>
      <c r="B54" s="41">
        <v>524200.62999999995</v>
      </c>
    </row>
    <row r="55" spans="1:2" x14ac:dyDescent="0.25">
      <c r="A55" s="49" t="s">
        <v>38</v>
      </c>
      <c r="B55" s="41"/>
    </row>
    <row r="56" spans="1:2" x14ac:dyDescent="0.25">
      <c r="A56" s="49" t="s">
        <v>39</v>
      </c>
      <c r="B56" s="50"/>
    </row>
    <row r="57" spans="1:2" x14ac:dyDescent="0.25">
      <c r="A57" s="49" t="s">
        <v>40</v>
      </c>
      <c r="B57" s="51">
        <v>149922.16</v>
      </c>
    </row>
    <row r="58" spans="1:2" x14ac:dyDescent="0.25">
      <c r="A58" s="49" t="s">
        <v>41</v>
      </c>
      <c r="B58" s="51">
        <v>74736.160000000003</v>
      </c>
    </row>
    <row r="59" spans="1:2" x14ac:dyDescent="0.25">
      <c r="A59" s="49" t="s">
        <v>42</v>
      </c>
      <c r="B59" s="41"/>
    </row>
    <row r="60" spans="1:2" x14ac:dyDescent="0.25">
      <c r="A60" s="49" t="s">
        <v>43</v>
      </c>
      <c r="B60" s="41"/>
    </row>
    <row r="61" spans="1:2" x14ac:dyDescent="0.25">
      <c r="A61" s="49" t="s">
        <v>44</v>
      </c>
      <c r="B61" s="51"/>
    </row>
    <row r="62" spans="1:2" x14ac:dyDescent="0.25">
      <c r="A62" s="49" t="s">
        <v>45</v>
      </c>
      <c r="B62" s="50">
        <f>SUM(B52:B61)</f>
        <v>748858.95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2025-12-04T06:27:03Z</dcterms:created>
  <dcterms:modified xsi:type="dcterms:W3CDTF">2025-12-04T12:49:11Z</dcterms:modified>
</cp:coreProperties>
</file>