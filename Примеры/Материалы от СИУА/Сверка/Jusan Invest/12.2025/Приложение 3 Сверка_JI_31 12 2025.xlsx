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CFB607CD-825A-4BA8-B455-02FD8579A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асчет ДУ" sheetId="3" r:id="rId2"/>
    <sheet name="Лист1" sheetId="2" r:id="rId3"/>
  </sheets>
  <externalReferences>
    <externalReference r:id="rId4"/>
  </externalReferences>
  <definedNames>
    <definedName name="__mdDATAHead__">ДУ!$1:$1</definedName>
    <definedName name="__mdDATAMoney__">ДУ!$27:$27</definedName>
    <definedName name="__mdDATAOther__" localSheetId="1">[1]ДУ!#REF!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4" i="1" l="1"/>
  <c r="F2" i="3"/>
  <c r="C2" i="3"/>
  <c r="B58" i="1"/>
  <c r="B57" i="1"/>
  <c r="D48" i="1"/>
  <c r="O41" i="1"/>
  <c r="O24" i="1"/>
  <c r="D27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B2" i="3" l="1"/>
  <c r="G2" i="3" s="1"/>
  <c r="H2" i="3" s="1"/>
  <c r="B52" i="1" s="1"/>
  <c r="B62" i="1" s="1"/>
  <c r="B48" i="1"/>
  <c r="M9" i="1"/>
  <c r="M15" i="1"/>
  <c r="M21" i="1"/>
  <c r="M19" i="1"/>
  <c r="M4" i="1"/>
  <c r="M10" i="1"/>
  <c r="M16" i="1"/>
  <c r="M22" i="1"/>
  <c r="M6" i="1"/>
  <c r="M18" i="1"/>
  <c r="M7" i="1"/>
  <c r="M5" i="1"/>
  <c r="M11" i="1"/>
  <c r="M17" i="1"/>
  <c r="M12" i="1"/>
  <c r="M13" i="1"/>
  <c r="M8" i="1"/>
  <c r="M14" i="1"/>
</calcChain>
</file>

<file path=xl/sharedStrings.xml><?xml version="1.0" encoding="utf-8"?>
<sst xmlns="http://schemas.openxmlformats.org/spreadsheetml/2006/main" count="179" uniqueCount="132">
  <si>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</si>
  <si>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</si>
  <si>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</si>
  <si>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</si>
  <si>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</si>
  <si>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</si>
  <si>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</si>
  <si>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</si>
  <si>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</si>
  <si>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</si>
  <si>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</si>
  <si>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</si>
  <si>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</si>
  <si>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</si>
  <si>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</si>
  <si>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</si>
  <si>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</si>
  <si>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</si>
  <si>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</si>
  <si>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</si>
  <si>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</si>
  <si>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</si>
  <si>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</si>
  <si>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</si>
  <si>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</si>
  <si>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</si>
  <si>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</si>
  <si>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</si>
  <si>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</si>
  <si>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</si>
  <si>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</si>
  <si>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</si>
  <si>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</si>
  <si>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</si>
  <si>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</si>
  <si>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</si>
  <si>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</si>
  <si>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</si>
  <si>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</si>
  <si>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</si>
  <si>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</si>
  <si>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</si>
  <si>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</si>
  <si>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</si>
  <si>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</si>
  <si>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</si>
  <si>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</si>
  <si>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</si>
  <si>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</si>
  <si>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MKM012_0160</t>
  </si>
  <si>
    <t>KZK100000373</t>
  </si>
  <si>
    <t>KZT</t>
  </si>
  <si>
    <t>30.12.2025</t>
  </si>
  <si>
    <t>31.12.2025</t>
  </si>
  <si>
    <t>МИНИСТЕРСТВО ФИНАНСОВ РК, ГЦБ, MTM096_0001</t>
  </si>
  <si>
    <t>KZKT00000057</t>
  </si>
  <si>
    <t>МИНИСТЕРСТВО ФИНАНСОВ РК, ГЦБ, MUM192_0002</t>
  </si>
  <si>
    <t>KZKD00000543</t>
  </si>
  <si>
    <t>05.01.2026</t>
  </si>
  <si>
    <t>Европейский банк реконструкции и развития, ОБЛИГАЦИИ, EBRDe29</t>
  </si>
  <si>
    <t>XS3059487721</t>
  </si>
  <si>
    <t>МИНИСТЕРСТВО ФИНАНСОВ РК, ГЦБ, MUM216_0002</t>
  </si>
  <si>
    <t>KZKD00001079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</si>
  <si>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</si>
  <si>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</si>
  <si>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</si>
  <si>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</si>
  <si>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</si>
  <si>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</si>
  <si>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</si>
  <si>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</si>
  <si>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</si>
  <si>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</si>
  <si>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</si>
  <si>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</si>
  <si>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</si>
  <si>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</si>
  <si>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</si>
  <si>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</si>
  <si>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</si>
  <si>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</si>
  <si>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</si>
  <si>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</si>
  <si>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</si>
  <si>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</si>
  <si>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</si>
  <si>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</si>
  <si>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</si>
  <si>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</si>
  <si>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</si>
  <si>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</si>
  <si>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</si>
  <si>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</si>
  <si>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</si>
  <si>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</si>
  <si>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</si>
  <si>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</si>
  <si>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</si>
  <si>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</si>
  <si>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</si>
  <si>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</si>
  <si>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</si>
  <si>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</si>
  <si>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</si>
  <si>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</si>
  <si>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</si>
  <si>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</si>
  <si>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</si>
  <si>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</si>
  <si>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</si>
  <si>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</si>
  <si>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</si>
  <si>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</si>
  <si>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</si>
  <si>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</si>
  <si>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МИНИСТЕРСТВО ФИНАНСОВ РК, ГЦБ, MOM048_0056</t>
  </si>
  <si>
    <t>KZK200000760</t>
  </si>
  <si>
    <t>28.08.2025</t>
  </si>
  <si>
    <t>07.08.2029</t>
  </si>
  <si>
    <t>АО КФУ, ОБЛИГАЦИИ, KFUSb83</t>
  </si>
  <si>
    <t>KZ2C00012094</t>
  </si>
  <si>
    <t>19.06.2025</t>
  </si>
  <si>
    <t>12.06.2026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</si>
  <si>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</si>
  <si>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</si>
  <si>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</si>
  <si>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</si>
  <si>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ноябрь</t>
  </si>
  <si>
    <t>Фактическая комиссия за ноябрь  (без корректировки)</t>
  </si>
  <si>
    <t>Корректировка комиссии ДУ за ноябрь</t>
  </si>
  <si>
    <t>Комиссия ДУ за декабрь</t>
  </si>
  <si>
    <t>Комиссии за ноябрь 2025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</si>
</sst>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0" fillId="0" borderId="0" xfId="2" applyFont="1"/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43" fontId="4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47625</xdr:rowOff>
    </xdr:from>
    <xdr:to>
      <xdr:col>3</xdr:col>
      <xdr:colOff>2039294</xdr:colOff>
      <xdr:row>44</xdr:row>
      <xdr:rowOff>134426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9018388-52A3-4FB8-B858-0492070BB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"/>
          <a:ext cx="6763694" cy="770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Jusan%20Invest%20BCK/&#1057;&#1074;&#1077;&#1088;&#1082;&#1072;/2025/04.2025/&#1055;&#1088;&#1080;&#1083;&#1086;&#1078;&#1077;&#1085;&#1080;&#1077;%203%20&#1057;&#1074;&#1077;&#1088;&#1082;&#1072;_JI_30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Лист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22" zoomScale="90" zoomScaleNormal="90" workbookViewId="0">
      <selection activeCell="B54" sqref="B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99.674300000000002</v>
      </c>
      <c r="J4" s="11">
        <v>104.386883333333</v>
      </c>
      <c r="K4" s="11">
        <v>142320016.66666701</v>
      </c>
      <c r="L4" s="11">
        <v>3152483876.666666</v>
      </c>
      <c r="M4" s="6">
        <f t="shared" ref="M4:M22" si="0">L4/$L$24</f>
        <v>0.10136434682304139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85.552499999999995</v>
      </c>
      <c r="J5" s="11">
        <v>90.006944444444443</v>
      </c>
      <c r="K5" s="11">
        <v>100893166.666667</v>
      </c>
      <c r="L5" s="11">
        <v>2038657291.666666</v>
      </c>
      <c r="M5" s="6">
        <f t="shared" si="0"/>
        <v>6.5550585776294024E-2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85.552499999999995</v>
      </c>
      <c r="J6" s="11">
        <v>90.006944444444699</v>
      </c>
      <c r="K6" s="11">
        <v>69117209.044444442</v>
      </c>
      <c r="L6" s="11">
        <v>1396589153.194448</v>
      </c>
      <c r="M6" s="6">
        <f t="shared" si="0"/>
        <v>4.490565307613413E-2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85.552499999999995</v>
      </c>
      <c r="J7" s="11">
        <v>90.006944444444443</v>
      </c>
      <c r="K7" s="11">
        <v>24307546.977777772</v>
      </c>
      <c r="L7" s="11">
        <v>491160695.27777803</v>
      </c>
      <c r="M7" s="6">
        <f t="shared" si="0"/>
        <v>1.5792684438603738E-2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88.996099999999998</v>
      </c>
      <c r="J8" s="11">
        <v>96.449433333333332</v>
      </c>
      <c r="K8" s="11">
        <v>168818000</v>
      </c>
      <c r="L8" s="11">
        <v>2184579664.999999</v>
      </c>
      <c r="M8" s="6">
        <f t="shared" si="0"/>
        <v>7.0242545081551797E-2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87.473300000000009</v>
      </c>
      <c r="J9" s="11">
        <v>95.723299999999981</v>
      </c>
      <c r="K9" s="11">
        <v>186862500</v>
      </c>
      <c r="L9" s="11">
        <v>2168132744.999999</v>
      </c>
      <c r="M9" s="6">
        <f t="shared" si="0"/>
        <v>6.9713714049174383E-2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81.294300000000007</v>
      </c>
      <c r="J10" s="11">
        <v>89.391244444444439</v>
      </c>
      <c r="K10" s="11">
        <v>183395791.66666701</v>
      </c>
      <c r="L10" s="11">
        <v>2024711686.666666</v>
      </c>
      <c r="M10" s="6">
        <f t="shared" si="0"/>
        <v>6.5102181534692688E-2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72.270700000000005</v>
      </c>
      <c r="J11" s="11">
        <v>78.232644444444432</v>
      </c>
      <c r="K11" s="11">
        <v>135038041.66666701</v>
      </c>
      <c r="L11" s="11">
        <v>1771969396.666666</v>
      </c>
      <c r="M11" s="6">
        <f t="shared" si="0"/>
        <v>5.6975555628679023E-2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80.155200000000008</v>
      </c>
      <c r="J12" s="11">
        <v>84.711033333333333</v>
      </c>
      <c r="K12" s="11">
        <v>103189625</v>
      </c>
      <c r="L12" s="11">
        <v>1918704905</v>
      </c>
      <c r="M12" s="6">
        <f t="shared" si="0"/>
        <v>6.1693660316872505E-2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66.316699999999997</v>
      </c>
      <c r="J13" s="11">
        <v>71.427700000000002</v>
      </c>
      <c r="K13" s="11">
        <v>115764150</v>
      </c>
      <c r="L13" s="11">
        <v>1617837405</v>
      </c>
      <c r="M13" s="6">
        <f t="shared" si="0"/>
        <v>5.2019625869461406E-2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65.10390000000001</v>
      </c>
      <c r="J14" s="11">
        <v>72.523816666666661</v>
      </c>
      <c r="K14" s="11">
        <v>168061112.5</v>
      </c>
      <c r="L14" s="11">
        <v>1642664447.5</v>
      </c>
      <c r="M14" s="6">
        <f t="shared" si="0"/>
        <v>5.2817909713254237E-2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88.150100000000009</v>
      </c>
      <c r="J15" s="11">
        <v>92.31335</v>
      </c>
      <c r="K15" s="11">
        <v>157162687.5</v>
      </c>
      <c r="L15" s="11">
        <v>3484828962.5</v>
      </c>
      <c r="M15" s="6">
        <f t="shared" si="0"/>
        <v>0.11205050537715398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61.036200000000001</v>
      </c>
      <c r="J16" s="11">
        <v>64.794533333333334</v>
      </c>
      <c r="K16" s="11">
        <v>105378405</v>
      </c>
      <c r="L16" s="11">
        <v>1816748002.3199999</v>
      </c>
      <c r="M16" s="6">
        <f t="shared" si="0"/>
        <v>5.8415358111823232E-2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88.371700000000004</v>
      </c>
      <c r="J17" s="11">
        <v>98.138366666666656</v>
      </c>
      <c r="K17" s="11">
        <v>101424880</v>
      </c>
      <c r="L17" s="11">
        <v>1019147310.16</v>
      </c>
      <c r="M17" s="6">
        <f t="shared" si="0"/>
        <v>3.2769462256555464E-2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98.952500000000001</v>
      </c>
      <c r="J18" s="11">
        <v>100.743333333333</v>
      </c>
      <c r="K18" s="11">
        <v>9079328.0083333291</v>
      </c>
      <c r="L18" s="11">
        <v>510757618.23333299</v>
      </c>
      <c r="M18" s="6">
        <f t="shared" si="0"/>
        <v>1.6422800046754501E-2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97.155226999562899</v>
      </c>
      <c r="J19" s="11">
        <v>101.80272699956301</v>
      </c>
      <c r="K19" s="11">
        <v>97597500</v>
      </c>
      <c r="L19" s="11">
        <v>2137857266.9908199</v>
      </c>
      <c r="M19" s="6">
        <f t="shared" si="0"/>
        <v>6.8740242281128197E-2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99.10083687182879</v>
      </c>
      <c r="J20" s="11">
        <v>100.335503538495</v>
      </c>
      <c r="K20" s="11">
        <v>12346666.66666666</v>
      </c>
      <c r="L20" s="11">
        <v>1003355035.384954</v>
      </c>
      <c r="M20" s="6">
        <f t="shared" si="0"/>
        <v>3.2261680558044403E-2</v>
      </c>
    </row>
    <row r="21" spans="1:15" x14ac:dyDescent="0.25">
      <c r="A21" s="1" t="s">
        <v>115</v>
      </c>
      <c r="B21" s="13" t="s">
        <v>116</v>
      </c>
      <c r="C21" s="10">
        <v>494987</v>
      </c>
      <c r="D21" s="11">
        <v>494987000</v>
      </c>
      <c r="E21" s="3">
        <v>0.1701</v>
      </c>
      <c r="F21" s="4" t="s">
        <v>117</v>
      </c>
      <c r="G21" s="4" t="s">
        <v>118</v>
      </c>
      <c r="H21" s="11">
        <v>495088472.34249997</v>
      </c>
      <c r="I21" s="11">
        <v>103.8921</v>
      </c>
      <c r="J21" s="11">
        <v>110.64885</v>
      </c>
      <c r="K21" s="11">
        <v>33445034.122499999</v>
      </c>
      <c r="L21" s="11">
        <v>547697423.14950001</v>
      </c>
      <c r="M21" s="6">
        <f t="shared" si="0"/>
        <v>1.7610555272026908E-2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97.286921017922893</v>
      </c>
      <c r="J22" s="11">
        <v>104.16192101790901</v>
      </c>
      <c r="K22" s="11">
        <v>11394556.249977769</v>
      </c>
      <c r="L22" s="11">
        <v>172636926.27587301</v>
      </c>
      <c r="M22" s="6">
        <f t="shared" si="0"/>
        <v>5.5509337887540708E-3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1925596217.7363682</v>
      </c>
      <c r="L24" s="22">
        <f>SUM(L4:L23)</f>
        <v>31100519812.653366</v>
      </c>
      <c r="M24" s="23"/>
      <c r="N24" s="26">
        <v>31100519812.653397</v>
      </c>
      <c r="O24" s="29">
        <f>L24-N24</f>
        <v>-3.0517578125E-5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5192696.1100000003</v>
      </c>
      <c r="C27" s="51">
        <v>5192696.1100000003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28556294</v>
      </c>
      <c r="D32" s="7" t="s">
        <v>51</v>
      </c>
      <c r="E32" s="34" t="s">
        <v>52</v>
      </c>
      <c r="F32" s="34" t="s">
        <v>53</v>
      </c>
      <c r="G32" s="15">
        <v>98.370200000042018</v>
      </c>
      <c r="H32" s="15">
        <v>98.416015987928958</v>
      </c>
      <c r="I32" s="16">
        <f t="shared" ref="I32:I39" si="1">+C32*G32</f>
        <v>2809088352.04</v>
      </c>
      <c r="J32" s="16">
        <f t="shared" ref="J32:J39" si="2">+C32*H32</f>
        <v>2810396686.8599997</v>
      </c>
      <c r="K32" s="18">
        <v>0.16999899999999998</v>
      </c>
      <c r="L32" s="17">
        <v>1308334.82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28556294</v>
      </c>
      <c r="D33" s="7" t="s">
        <v>51</v>
      </c>
      <c r="E33" s="34" t="s">
        <v>53</v>
      </c>
      <c r="F33" s="34" t="s">
        <v>53</v>
      </c>
      <c r="G33" s="15">
        <v>98.370200000042018</v>
      </c>
      <c r="H33" s="15">
        <v>98.416015987928958</v>
      </c>
      <c r="I33" s="16">
        <f t="shared" si="1"/>
        <v>2809088352.04</v>
      </c>
      <c r="J33" s="16">
        <f t="shared" si="2"/>
        <v>2810396686.8599997</v>
      </c>
      <c r="K33" s="18">
        <v>0.16999899999999998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366956</v>
      </c>
      <c r="D34" s="7" t="s">
        <v>51</v>
      </c>
      <c r="E34" s="34" t="s">
        <v>52</v>
      </c>
      <c r="F34" s="34" t="s">
        <v>53</v>
      </c>
      <c r="G34" s="15">
        <v>1084.9330000054501</v>
      </c>
      <c r="H34" s="15">
        <v>1085.4383082985421</v>
      </c>
      <c r="I34" s="16">
        <f t="shared" si="1"/>
        <v>398122673.94999999</v>
      </c>
      <c r="J34" s="16">
        <f t="shared" si="2"/>
        <v>398308099.85999984</v>
      </c>
      <c r="K34" s="18">
        <v>0.16999899999999998</v>
      </c>
      <c r="L34" s="17">
        <v>185425.91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366956</v>
      </c>
      <c r="D35" s="7" t="s">
        <v>51</v>
      </c>
      <c r="E35" s="34" t="s">
        <v>53</v>
      </c>
      <c r="F35" s="34" t="s">
        <v>53</v>
      </c>
      <c r="G35" s="15">
        <v>1084.9330000054501</v>
      </c>
      <c r="H35" s="15">
        <v>1085.4383082985421</v>
      </c>
      <c r="I35" s="16">
        <f t="shared" si="1"/>
        <v>398122673.94999999</v>
      </c>
      <c r="J35" s="16">
        <f t="shared" si="2"/>
        <v>398308099.85999984</v>
      </c>
      <c r="K35" s="18">
        <v>0.16999899999999998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3874056</v>
      </c>
      <c r="D36" s="7" t="s">
        <v>51</v>
      </c>
      <c r="E36" s="34" t="s">
        <v>53</v>
      </c>
      <c r="F36" s="34" t="s">
        <v>58</v>
      </c>
      <c r="G36" s="15">
        <v>828.43399999896701</v>
      </c>
      <c r="H36" s="15">
        <v>830.36321851310402</v>
      </c>
      <c r="I36" s="16">
        <f t="shared" si="1"/>
        <v>3209399708.2999983</v>
      </c>
      <c r="J36" s="16">
        <f t="shared" si="2"/>
        <v>3216873608.8600016</v>
      </c>
      <c r="K36" s="18">
        <v>0.16999899999999998</v>
      </c>
      <c r="L36" s="17"/>
      <c r="M36" s="17">
        <v>3209399708.3000002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263440350</v>
      </c>
      <c r="D37" s="7" t="s">
        <v>51</v>
      </c>
      <c r="E37" s="34" t="s">
        <v>52</v>
      </c>
      <c r="F37" s="34" t="s">
        <v>53</v>
      </c>
      <c r="G37" s="15">
        <v>1.0249000000189799</v>
      </c>
      <c r="H37" s="15">
        <v>1.0253801558493199</v>
      </c>
      <c r="I37" s="16">
        <f t="shared" si="1"/>
        <v>270000014.72000009</v>
      </c>
      <c r="J37" s="16">
        <f t="shared" si="2"/>
        <v>270126507.13999939</v>
      </c>
      <c r="K37" s="18">
        <v>0.17099899999999998</v>
      </c>
      <c r="L37" s="17">
        <v>126492.42</v>
      </c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263440350</v>
      </c>
      <c r="D38" s="7" t="s">
        <v>51</v>
      </c>
      <c r="E38" s="34" t="s">
        <v>53</v>
      </c>
      <c r="F38" s="34" t="s">
        <v>53</v>
      </c>
      <c r="G38" s="15">
        <v>1.0249000000189799</v>
      </c>
      <c r="H38" s="15">
        <v>1.0253801558493199</v>
      </c>
      <c r="I38" s="16">
        <f t="shared" si="1"/>
        <v>270000014.72000009</v>
      </c>
      <c r="J38" s="16">
        <f t="shared" si="2"/>
        <v>270126507.13999939</v>
      </c>
      <c r="K38" s="18">
        <v>0.17099899999999998</v>
      </c>
      <c r="L38" s="17"/>
      <c r="M38" s="17"/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366057</v>
      </c>
      <c r="D39" s="7" t="s">
        <v>51</v>
      </c>
      <c r="E39" s="34" t="s">
        <v>53</v>
      </c>
      <c r="F39" s="34" t="s">
        <v>58</v>
      </c>
      <c r="G39" s="15">
        <v>729.66199998907302</v>
      </c>
      <c r="H39" s="15">
        <v>731.36121287122</v>
      </c>
      <c r="I39" s="16">
        <f t="shared" si="1"/>
        <v>267097882.73000011</v>
      </c>
      <c r="J39" s="16">
        <f t="shared" si="2"/>
        <v>267719891.50000018</v>
      </c>
      <c r="K39" s="18">
        <v>0.17</v>
      </c>
      <c r="L39" s="17"/>
      <c r="M39" s="17">
        <v>267097882.72999999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3476497591.0300002</v>
      </c>
      <c r="N41" s="38">
        <v>3476497591.0300002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34582210099.793365</v>
      </c>
      <c r="C48" s="32">
        <v>34582210099.793396</v>
      </c>
      <c r="D48" s="29">
        <f>B48-C48</f>
        <v>0</v>
      </c>
    </row>
    <row r="51" spans="1:6" x14ac:dyDescent="0.25">
      <c r="A51" s="24" t="s">
        <v>46</v>
      </c>
      <c r="B51" s="33"/>
      <c r="F51" s="26" t="s">
        <v>131</v>
      </c>
    </row>
    <row r="52" spans="1:6" x14ac:dyDescent="0.25">
      <c r="A52" s="48" t="s">
        <v>35</v>
      </c>
      <c r="B52" s="49">
        <f>'Расчет ДУ'!H2</f>
        <v>3412167.79</v>
      </c>
    </row>
    <row r="53" spans="1:6" x14ac:dyDescent="0.25">
      <c r="A53" s="48" t="s">
        <v>36</v>
      </c>
      <c r="B53" s="49"/>
    </row>
    <row r="54" spans="1:6" x14ac:dyDescent="0.25">
      <c r="A54" s="48" t="s">
        <v>37</v>
      </c>
      <c r="B54" s="49">
        <f>978552.12-F54</f>
        <v>504759.49744428799</v>
      </c>
      <c r="C54" s="56"/>
      <c r="D54" s="57"/>
      <c r="F54" s="57">
        <v>473792.62255571201</v>
      </c>
    </row>
    <row r="55" spans="1:6" x14ac:dyDescent="0.25">
      <c r="A55" s="48" t="s">
        <v>38</v>
      </c>
      <c r="B55" s="49"/>
    </row>
    <row r="56" spans="1:6" x14ac:dyDescent="0.25">
      <c r="A56" s="48" t="s">
        <v>39</v>
      </c>
      <c r="B56" s="49">
        <v>392505.13253089483</v>
      </c>
    </row>
    <row r="57" spans="1:6" x14ac:dyDescent="0.25">
      <c r="A57" s="48" t="s">
        <v>40</v>
      </c>
      <c r="B57" s="58">
        <f>315093.19-F57</f>
        <v>177896.9200000001</v>
      </c>
      <c r="C57" s="56"/>
      <c r="D57" s="57"/>
      <c r="F57" s="57">
        <v>137196.2699999999</v>
      </c>
    </row>
    <row r="58" spans="1:6" x14ac:dyDescent="0.25">
      <c r="A58" s="48" t="s">
        <v>41</v>
      </c>
      <c r="B58" s="58">
        <f>157282.64-F58</f>
        <v>88898.760000000009</v>
      </c>
      <c r="C58" s="56"/>
      <c r="D58" s="57"/>
      <c r="F58" s="57">
        <v>68383.88</v>
      </c>
    </row>
    <row r="59" spans="1:6" x14ac:dyDescent="0.25">
      <c r="A59" s="48" t="s">
        <v>42</v>
      </c>
      <c r="B59" s="40"/>
    </row>
    <row r="60" spans="1:6" x14ac:dyDescent="0.25">
      <c r="A60" s="48" t="s">
        <v>43</v>
      </c>
      <c r="B60" s="40"/>
    </row>
    <row r="61" spans="1:6" x14ac:dyDescent="0.25">
      <c r="A61" s="48" t="s">
        <v>44</v>
      </c>
      <c r="B61" s="50"/>
    </row>
    <row r="62" spans="1:6" x14ac:dyDescent="0.25">
      <c r="A62" s="48" t="s">
        <v>45</v>
      </c>
      <c r="B62" s="49">
        <f>SUM(B52:B61)</f>
        <v>4576228.0999751827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1423-6160-47F0-9440-3789C2B960C2}">
  <dimension ref="A1:H12"/>
  <sheetViews>
    <sheetView workbookViewId="0">
      <selection activeCell="G2" sqref="G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35.42578125" bestFit="1" customWidth="1"/>
    <col min="5" max="5" width="50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123</v>
      </c>
      <c r="B1" t="s">
        <v>124</v>
      </c>
      <c r="C1" t="s">
        <v>125</v>
      </c>
      <c r="D1" t="s">
        <v>127</v>
      </c>
      <c r="E1" t="s">
        <v>128</v>
      </c>
      <c r="F1" t="s">
        <v>129</v>
      </c>
      <c r="G1" t="s">
        <v>130</v>
      </c>
      <c r="H1" t="s">
        <v>126</v>
      </c>
    </row>
    <row r="2" spans="1:8" x14ac:dyDescent="0.25">
      <c r="A2" s="52">
        <v>34126283132.723705</v>
      </c>
      <c r="B2" s="53">
        <f>ДУ!B54+ДУ!B56+ДУ!B57+ДУ!B58</f>
        <v>1164060.3099751829</v>
      </c>
      <c r="C2" s="54">
        <f>A2*0.12%/12</f>
        <v>3412628.31327237</v>
      </c>
      <c r="D2" s="54">
        <v>3307213.75</v>
      </c>
      <c r="E2" s="54">
        <v>3307210.9</v>
      </c>
      <c r="F2" s="53">
        <f>ROUND((E2-D2),2)</f>
        <v>-2.85</v>
      </c>
      <c r="G2" s="54">
        <f>ROUND(((A2-B2-C2)*0.12%/12),2)</f>
        <v>3412170.64</v>
      </c>
      <c r="H2" s="55">
        <f>F2+G2</f>
        <v>3412167.79</v>
      </c>
    </row>
    <row r="3" spans="1:8" x14ac:dyDescent="0.25">
      <c r="A3" s="52"/>
    </row>
    <row r="12" spans="1:8" x14ac:dyDescent="0.25">
      <c r="E12" s="5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ДУ</vt:lpstr>
      <vt:lpstr>Расчет 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2026-01-05T05:28:48Z</dcterms:created>
  <dcterms:modified xsi:type="dcterms:W3CDTF">2026-01-05T10:51:41Z</dcterms:modified>
</cp:coreProperties>
</file>