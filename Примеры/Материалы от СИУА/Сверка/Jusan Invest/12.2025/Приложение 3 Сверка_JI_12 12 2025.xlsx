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2C128B99-8D61-45D8-B89E-F5C5778A8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4" i="1"/>
  <c r="D27" i="1"/>
  <c r="B61" i="1"/>
  <c r="G45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7" i="1" s="1"/>
  <c r="K24" i="1"/>
  <c r="M22" i="1"/>
  <c r="M21" i="1"/>
  <c r="M19" i="1"/>
  <c r="M18" i="1"/>
  <c r="M17" i="1"/>
  <c r="M16" i="1"/>
  <c r="M15" i="1"/>
  <c r="M13" i="1"/>
  <c r="M12" i="1"/>
  <c r="M11" i="1"/>
  <c r="M10" i="1"/>
  <c r="M9" i="1"/>
  <c r="M7" i="1"/>
  <c r="M6" i="1"/>
  <c r="M5" i="1"/>
  <c r="M4" i="1"/>
  <c r="M8" i="1" l="1"/>
  <c r="M14" i="1"/>
  <c r="M20" i="1"/>
</calcChain>
</file>

<file path=xl/sharedStrings.xml><?xml version="1.0" encoding="utf-8"?>
<sst xmlns="http://schemas.openxmlformats.org/spreadsheetml/2006/main" count="165" uniqueCount="117">
  <si>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</si>
  <si>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</si>
  <si>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</si>
  <si>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</si>
  <si>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</si>
  <si>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</si>
  <si>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</si>
  <si>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</si>
  <si>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</si>
  <si>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</si>
  <si>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</si>
  <si>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</si>
  <si>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</si>
  <si>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</si>
  <si>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</si>
  <si>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</si>
  <si>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</si>
  <si>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</si>
  <si>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</si>
  <si>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</si>
  <si>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</si>
  <si>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</si>
  <si>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</si>
  <si>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</si>
  <si>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</si>
  <si>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</si>
  <si>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</si>
  <si>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</si>
  <si>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</si>
  <si>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</si>
  <si>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</si>
  <si>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</si>
  <si>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</si>
  <si>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</si>
  <si>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</si>
  <si>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</si>
  <si>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</si>
  <si>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</si>
  <si>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</si>
  <si>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</si>
  <si>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</si>
  <si>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</si>
  <si>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</si>
  <si>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</si>
  <si>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</si>
  <si>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</si>
  <si>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</si>
  <si>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</si>
  <si>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</si>
  <si>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</si>
  <si>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</si>
  <si>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</si>
  <si>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12.12.2025</t>
  </si>
  <si>
    <t>15.12.2025</t>
  </si>
  <si>
    <t>МИНИСТЕРСТВО ФИНАНСОВ РК, ГЦБ, MUM156_0007</t>
  </si>
  <si>
    <t>KZKD00001103</t>
  </si>
  <si>
    <t>МИНИСТЕРСТВО ФИНАНСОВ РК, ГЦБ, MUM072_0015</t>
  </si>
  <si>
    <t>KZKD00001251</t>
  </si>
  <si>
    <t>МИНИСТЕРСТВО ФИНАНСОВ РК, ГЦБ, MKM012_0160</t>
  </si>
  <si>
    <t>KZK100000373</t>
  </si>
  <si>
    <t>11.12.2025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</si>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</sst>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13" zoomScale="90" zoomScaleNormal="90" workbookViewId="0">
      <selection activeCell="C47" sqref="C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99.343600000000009</v>
      </c>
      <c r="J4" s="11">
        <v>103.52268333333301</v>
      </c>
      <c r="K4" s="11">
        <v>126208316.666667</v>
      </c>
      <c r="L4" s="11">
        <v>3126385036.666666</v>
      </c>
      <c r="M4" s="6">
        <f t="shared" ref="M4:M22" si="0">L4/$L$24</f>
        <v>0.10220829653845118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84.482399999999998</v>
      </c>
      <c r="J5" s="11">
        <v>88.409344444444443</v>
      </c>
      <c r="K5" s="11">
        <v>88945291.666666657</v>
      </c>
      <c r="L5" s="11">
        <v>2002471651.666666</v>
      </c>
      <c r="M5" s="6">
        <f t="shared" si="0"/>
        <v>6.5465134327026414E-2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84.482399999999998</v>
      </c>
      <c r="J6" s="11">
        <v>88.409344444444699</v>
      </c>
      <c r="K6" s="11">
        <v>60932276.394444443</v>
      </c>
      <c r="L6" s="11">
        <v>1371800056.6984479</v>
      </c>
      <c r="M6" s="6">
        <f t="shared" si="0"/>
        <v>4.4847114268429814E-2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84.482399999999998</v>
      </c>
      <c r="J7" s="11">
        <v>88.409344444444443</v>
      </c>
      <c r="K7" s="11">
        <v>21429021.677777771</v>
      </c>
      <c r="L7" s="11">
        <v>482442719.88577801</v>
      </c>
      <c r="M7" s="6">
        <f t="shared" si="0"/>
        <v>1.5772097166085533E-2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87.950500000000005</v>
      </c>
      <c r="J8" s="11">
        <v>94.883833333333328</v>
      </c>
      <c r="K8" s="11">
        <v>157040000</v>
      </c>
      <c r="L8" s="11">
        <v>2149118824.999999</v>
      </c>
      <c r="M8" s="6">
        <f t="shared" si="0"/>
        <v>7.0259347964435476E-2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86.375900000000001</v>
      </c>
      <c r="J9" s="11">
        <v>94.07589999999999</v>
      </c>
      <c r="K9" s="11">
        <v>174405000</v>
      </c>
      <c r="L9" s="11">
        <v>2130819134.999999</v>
      </c>
      <c r="M9" s="6">
        <f t="shared" si="0"/>
        <v>6.9661091473265754E-2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80.283000000000001</v>
      </c>
      <c r="J10" s="11">
        <v>87.864944444444433</v>
      </c>
      <c r="K10" s="11">
        <v>171731041.66666701</v>
      </c>
      <c r="L10" s="11">
        <v>1990140991.666666</v>
      </c>
      <c r="M10" s="6">
        <f t="shared" si="0"/>
        <v>6.5062018351542308E-2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71.379000000000005</v>
      </c>
      <c r="J11" s="11">
        <v>76.918444444444432</v>
      </c>
      <c r="K11" s="11">
        <v>125468416.666667</v>
      </c>
      <c r="L11" s="11">
        <v>1742202766.666666</v>
      </c>
      <c r="M11" s="6">
        <f t="shared" si="0"/>
        <v>5.6956380905479033E-2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79.260400000000004</v>
      </c>
      <c r="J12" s="11">
        <v>83.283733333333331</v>
      </c>
      <c r="K12" s="11">
        <v>91128500</v>
      </c>
      <c r="L12" s="11">
        <v>1886376560</v>
      </c>
      <c r="M12" s="6">
        <f t="shared" si="0"/>
        <v>6.1669734394976909E-2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65.58890000000001</v>
      </c>
      <c r="J13" s="11">
        <v>70.296400000000006</v>
      </c>
      <c r="K13" s="11">
        <v>106624875</v>
      </c>
      <c r="L13" s="11">
        <v>1592213460</v>
      </c>
      <c r="M13" s="6">
        <f t="shared" si="0"/>
        <v>5.2052905692544858E-2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88</v>
      </c>
      <c r="H14" s="11">
        <v>1597764975</v>
      </c>
      <c r="I14" s="11">
        <v>64.400599999999997</v>
      </c>
      <c r="J14" s="11">
        <v>71.417016666666655</v>
      </c>
      <c r="K14" s="11">
        <v>158921837.5</v>
      </c>
      <c r="L14" s="11">
        <v>1617595427.5</v>
      </c>
      <c r="M14" s="6">
        <f t="shared" si="0"/>
        <v>5.2882697170735689E-2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91</v>
      </c>
      <c r="H15" s="11">
        <v>3136670150</v>
      </c>
      <c r="I15" s="11">
        <v>87.194999999999993</v>
      </c>
      <c r="J15" s="11">
        <v>91.083749999999995</v>
      </c>
      <c r="K15" s="11">
        <v>146800312.5</v>
      </c>
      <c r="L15" s="11">
        <v>3438411562.5</v>
      </c>
      <c r="M15" s="6">
        <f t="shared" si="0"/>
        <v>0.11240911931178393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60.206500000000005</v>
      </c>
      <c r="J16" s="11">
        <v>63.689833333333326</v>
      </c>
      <c r="K16" s="11">
        <v>97667790</v>
      </c>
      <c r="L16" s="11">
        <v>1785773760.9000001</v>
      </c>
      <c r="M16" s="6">
        <f t="shared" si="0"/>
        <v>5.8380811053028565E-2</v>
      </c>
    </row>
    <row r="17" spans="1:15" x14ac:dyDescent="0.25">
      <c r="A17" s="1" t="s">
        <v>56</v>
      </c>
      <c r="B17" s="13" t="s">
        <v>57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96</v>
      </c>
      <c r="H17" s="11">
        <v>979029096.96000004</v>
      </c>
      <c r="I17" s="11">
        <v>87.286600000000007</v>
      </c>
      <c r="J17" s="11">
        <v>96.45326666666665</v>
      </c>
      <c r="K17" s="11">
        <v>95194000</v>
      </c>
      <c r="L17" s="11">
        <v>1001647883.6799999</v>
      </c>
      <c r="M17" s="6">
        <f t="shared" si="0"/>
        <v>3.2746038226766513E-2</v>
      </c>
    </row>
    <row r="18" spans="1:15" x14ac:dyDescent="0.25">
      <c r="A18" s="1" t="s">
        <v>97</v>
      </c>
      <c r="B18" s="13" t="s">
        <v>98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98.174400000000006</v>
      </c>
      <c r="J18" s="11">
        <v>99.197733333333332</v>
      </c>
      <c r="K18" s="11">
        <v>5188187.4333333299</v>
      </c>
      <c r="L18" s="11">
        <v>502921596.24933302</v>
      </c>
      <c r="M18" s="6">
        <f t="shared" si="0"/>
        <v>1.6441595978161531E-2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94.492204418680998</v>
      </c>
      <c r="J19" s="11">
        <v>98.424704418680989</v>
      </c>
      <c r="K19" s="11">
        <v>82582500</v>
      </c>
      <c r="L19" s="11">
        <v>2066918792.7923009</v>
      </c>
      <c r="M19" s="6">
        <f t="shared" si="0"/>
        <v>6.7572050920462826E-2</v>
      </c>
    </row>
    <row r="20" spans="1:15" x14ac:dyDescent="0.25">
      <c r="A20" s="1" t="s">
        <v>105</v>
      </c>
      <c r="B20" s="13" t="s">
        <v>106</v>
      </c>
      <c r="C20" s="10">
        <v>1000000</v>
      </c>
      <c r="D20" s="11">
        <v>1000000000</v>
      </c>
      <c r="E20" s="3">
        <v>0.1389</v>
      </c>
      <c r="F20" s="4" t="s">
        <v>107</v>
      </c>
      <c r="G20" s="4" t="s">
        <v>108</v>
      </c>
      <c r="H20" s="11">
        <v>1000000000</v>
      </c>
      <c r="I20" s="11">
        <v>98.631824215075397</v>
      </c>
      <c r="J20" s="11">
        <v>99.171990881742062</v>
      </c>
      <c r="K20" s="11">
        <v>5401666.6666666698</v>
      </c>
      <c r="L20" s="11">
        <v>991719908.81742096</v>
      </c>
      <c r="M20" s="6">
        <f t="shared" si="0"/>
        <v>3.2421471231057424E-2</v>
      </c>
    </row>
    <row r="21" spans="1:15" x14ac:dyDescent="0.25">
      <c r="A21" s="1" t="s">
        <v>109</v>
      </c>
      <c r="B21" s="13" t="s">
        <v>110</v>
      </c>
      <c r="C21" s="10">
        <v>165739</v>
      </c>
      <c r="D21" s="11">
        <v>165739000</v>
      </c>
      <c r="E21" s="3">
        <v>0.125</v>
      </c>
      <c r="F21" s="4" t="s">
        <v>111</v>
      </c>
      <c r="G21" s="4" t="s">
        <v>112</v>
      </c>
      <c r="H21" s="11">
        <v>159596381.18279999</v>
      </c>
      <c r="I21" s="11">
        <v>96.9077523561932</v>
      </c>
      <c r="J21" s="11">
        <v>103.15775235618</v>
      </c>
      <c r="K21" s="11">
        <v>10358687.499977769</v>
      </c>
      <c r="L21" s="11">
        <v>170972627.177609</v>
      </c>
      <c r="M21" s="6">
        <f t="shared" si="0"/>
        <v>5.5894653964818969E-3</v>
      </c>
    </row>
    <row r="22" spans="1:15" x14ac:dyDescent="0.25">
      <c r="A22" s="1" t="s">
        <v>113</v>
      </c>
      <c r="B22" s="13" t="s">
        <v>114</v>
      </c>
      <c r="C22" s="10">
        <v>494987</v>
      </c>
      <c r="D22" s="11">
        <v>494987000</v>
      </c>
      <c r="E22" s="3">
        <v>0.1701</v>
      </c>
      <c r="F22" s="4" t="s">
        <v>115</v>
      </c>
      <c r="G22" s="4" t="s">
        <v>116</v>
      </c>
      <c r="H22" s="11">
        <v>495088472.34249997</v>
      </c>
      <c r="I22" s="11">
        <v>102.87150000000001</v>
      </c>
      <c r="J22" s="11">
        <v>108.77775</v>
      </c>
      <c r="K22" s="11">
        <v>29235169.6875</v>
      </c>
      <c r="L22" s="11">
        <v>538435721.39250004</v>
      </c>
      <c r="M22" s="6">
        <f t="shared" si="0"/>
        <v>1.760262962928423E-2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1755262891.0263679</v>
      </c>
      <c r="L24" s="22">
        <f>SUM(L4:L23)</f>
        <v>30588368484.260056</v>
      </c>
      <c r="M24" s="23"/>
      <c r="N24" s="26">
        <v>30588368484.260075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1216132.52</v>
      </c>
      <c r="C27" s="51">
        <v>1216132.52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229764</v>
      </c>
      <c r="D32" s="7" t="s">
        <v>51</v>
      </c>
      <c r="E32" s="34" t="s">
        <v>52</v>
      </c>
      <c r="F32" s="34" t="s">
        <v>53</v>
      </c>
      <c r="G32" s="15">
        <v>714.17</v>
      </c>
      <c r="H32" s="15">
        <v>715.16787551574703</v>
      </c>
      <c r="I32" s="16">
        <f t="shared" ref="I32:I38" si="1">+C32*G32</f>
        <v>164090555.88</v>
      </c>
      <c r="J32" s="16">
        <f t="shared" ref="J32:J38" si="2">+C32*H32</f>
        <v>164319831.75000009</v>
      </c>
      <c r="K32" s="18">
        <v>0.16999899999999998</v>
      </c>
      <c r="L32" s="17"/>
      <c r="M32" s="17">
        <v>164090555.88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93678</v>
      </c>
      <c r="D33" s="7" t="s">
        <v>51</v>
      </c>
      <c r="E33" s="34" t="s">
        <v>52</v>
      </c>
      <c r="F33" s="34" t="s">
        <v>53</v>
      </c>
      <c r="G33" s="15">
        <v>832.68100002135009</v>
      </c>
      <c r="H33" s="15">
        <v>833.84447212792804</v>
      </c>
      <c r="I33" s="16">
        <f t="shared" si="1"/>
        <v>78003890.720000029</v>
      </c>
      <c r="J33" s="16">
        <f t="shared" si="2"/>
        <v>78112882.460000038</v>
      </c>
      <c r="K33" s="18">
        <v>0.17</v>
      </c>
      <c r="L33" s="17"/>
      <c r="M33" s="17">
        <v>78003890.719999999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3325659</v>
      </c>
      <c r="D34" s="7" t="s">
        <v>51</v>
      </c>
      <c r="E34" s="34" t="s">
        <v>52</v>
      </c>
      <c r="F34" s="34" t="s">
        <v>53</v>
      </c>
      <c r="G34" s="15">
        <v>964.53300000090201</v>
      </c>
      <c r="H34" s="15">
        <v>965.880695717751</v>
      </c>
      <c r="I34" s="16">
        <f t="shared" si="1"/>
        <v>3207707852.25</v>
      </c>
      <c r="J34" s="16">
        <f t="shared" si="2"/>
        <v>3212189828.6399999</v>
      </c>
      <c r="K34" s="18">
        <v>0.16999899999999998</v>
      </c>
      <c r="L34" s="17"/>
      <c r="M34" s="17">
        <v>3207707852.25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32878164</v>
      </c>
      <c r="D35" s="7" t="s">
        <v>51</v>
      </c>
      <c r="E35" s="34" t="s">
        <v>60</v>
      </c>
      <c r="F35" s="34" t="s">
        <v>52</v>
      </c>
      <c r="G35" s="15">
        <v>97.549699999975658</v>
      </c>
      <c r="H35" s="15">
        <v>97.595347647149637</v>
      </c>
      <c r="I35" s="16">
        <f t="shared" si="1"/>
        <v>3207255034.7499995</v>
      </c>
      <c r="J35" s="16">
        <f t="shared" si="2"/>
        <v>3208755845.5799999</v>
      </c>
      <c r="K35" s="18">
        <v>0.17079899999999998</v>
      </c>
      <c r="L35" s="17">
        <v>1500810.83</v>
      </c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32878164</v>
      </c>
      <c r="D36" s="7" t="s">
        <v>51</v>
      </c>
      <c r="E36" s="34" t="s">
        <v>52</v>
      </c>
      <c r="F36" s="34" t="s">
        <v>52</v>
      </c>
      <c r="G36" s="15">
        <v>97.549699999975658</v>
      </c>
      <c r="H36" s="15">
        <v>97.595347647149637</v>
      </c>
      <c r="I36" s="16">
        <f t="shared" si="1"/>
        <v>3207255034.7499995</v>
      </c>
      <c r="J36" s="16">
        <f t="shared" si="2"/>
        <v>3208755845.5799999</v>
      </c>
      <c r="K36" s="18">
        <v>0.17079899999999998</v>
      </c>
      <c r="L36" s="17"/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1681328</v>
      </c>
      <c r="D37" s="7" t="s">
        <v>51</v>
      </c>
      <c r="E37" s="34" t="s">
        <v>60</v>
      </c>
      <c r="F37" s="34" t="s">
        <v>52</v>
      </c>
      <c r="G37" s="15">
        <v>97.549699999048372</v>
      </c>
      <c r="H37" s="15">
        <v>97.59540109960696</v>
      </c>
      <c r="I37" s="16">
        <f t="shared" si="1"/>
        <v>164013042</v>
      </c>
      <c r="J37" s="16">
        <f t="shared" si="2"/>
        <v>164089880.53999996</v>
      </c>
      <c r="K37" s="18">
        <v>0.17099899999999998</v>
      </c>
      <c r="L37" s="17">
        <v>76838.540000000008</v>
      </c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1681328</v>
      </c>
      <c r="D38" s="7" t="s">
        <v>51</v>
      </c>
      <c r="E38" s="34" t="s">
        <v>52</v>
      </c>
      <c r="F38" s="34" t="s">
        <v>52</v>
      </c>
      <c r="G38" s="15">
        <v>97.549699999048372</v>
      </c>
      <c r="H38" s="15">
        <v>97.59540109960696</v>
      </c>
      <c r="I38" s="16">
        <f t="shared" si="1"/>
        <v>164013042</v>
      </c>
      <c r="J38" s="16">
        <f t="shared" si="2"/>
        <v>164089880.53999996</v>
      </c>
      <c r="K38" s="18">
        <v>0.17099899999999998</v>
      </c>
      <c r="L38" s="17"/>
      <c r="M38" s="17"/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SUM(M32:M39)</f>
        <v>3449802298.8499999</v>
      </c>
      <c r="N40" s="38">
        <v>3449802298.8499999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hidden="1" x14ac:dyDescent="0.25">
      <c r="B44" s="41"/>
      <c r="C44" s="42"/>
      <c r="D44" s="43"/>
      <c r="G44" s="44"/>
      <c r="H44" s="33"/>
    </row>
    <row r="45" spans="1:15" x14ac:dyDescent="0.25">
      <c r="G45" s="45">
        <f>SUM(G44:G44)</f>
        <v>0</v>
      </c>
    </row>
    <row r="47" spans="1:15" x14ac:dyDescent="0.25">
      <c r="A47" s="46" t="s">
        <v>13</v>
      </c>
      <c r="B47" s="47">
        <f>+L24+B27+M40+G45</f>
        <v>34039386915.630054</v>
      </c>
      <c r="C47" s="32">
        <v>56679860350.568619</v>
      </c>
      <c r="D47" s="29">
        <f>B47-C47</f>
        <v>-22640473434.938564</v>
      </c>
    </row>
    <row r="50" spans="1:2" x14ac:dyDescent="0.25">
      <c r="A50" s="24" t="s">
        <v>46</v>
      </c>
      <c r="B50" s="33"/>
    </row>
    <row r="51" spans="1:2" x14ac:dyDescent="0.25">
      <c r="A51" s="48" t="s">
        <v>35</v>
      </c>
      <c r="B51" s="49"/>
    </row>
    <row r="52" spans="1:2" x14ac:dyDescent="0.25">
      <c r="A52" s="48" t="s">
        <v>36</v>
      </c>
      <c r="B52" s="40"/>
    </row>
    <row r="53" spans="1:2" x14ac:dyDescent="0.25">
      <c r="A53" s="48" t="s">
        <v>37</v>
      </c>
      <c r="B53" s="40">
        <v>669413.30999999994</v>
      </c>
    </row>
    <row r="54" spans="1:2" x14ac:dyDescent="0.25">
      <c r="A54" s="48" t="s">
        <v>38</v>
      </c>
      <c r="B54" s="40"/>
    </row>
    <row r="55" spans="1:2" x14ac:dyDescent="0.25">
      <c r="A55" s="48" t="s">
        <v>39</v>
      </c>
      <c r="B55" s="49"/>
    </row>
    <row r="56" spans="1:2" x14ac:dyDescent="0.25">
      <c r="A56" s="48" t="s">
        <v>40</v>
      </c>
      <c r="B56" s="50">
        <v>205876.4</v>
      </c>
    </row>
    <row r="57" spans="1:2" x14ac:dyDescent="0.25">
      <c r="A57" s="48" t="s">
        <v>41</v>
      </c>
      <c r="B57" s="50">
        <v>102713.23999999999</v>
      </c>
    </row>
    <row r="58" spans="1:2" x14ac:dyDescent="0.25">
      <c r="A58" s="48" t="s">
        <v>42</v>
      </c>
      <c r="B58" s="40"/>
    </row>
    <row r="59" spans="1:2" x14ac:dyDescent="0.25">
      <c r="A59" s="48" t="s">
        <v>43</v>
      </c>
      <c r="B59" s="40"/>
    </row>
    <row r="60" spans="1:2" x14ac:dyDescent="0.25">
      <c r="A60" s="48" t="s">
        <v>44</v>
      </c>
      <c r="B60" s="50"/>
    </row>
    <row r="61" spans="1:2" x14ac:dyDescent="0.25">
      <c r="A61" s="48" t="s">
        <v>45</v>
      </c>
      <c r="B61" s="49">
        <f>SUM(B51:B60)</f>
        <v>978002.95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2025-12-15T06:15:34Z</dcterms:created>
  <dcterms:modified xsi:type="dcterms:W3CDTF">2025-12-17T06:49:15Z</dcterms:modified>
</cp:coreProperties>
</file>