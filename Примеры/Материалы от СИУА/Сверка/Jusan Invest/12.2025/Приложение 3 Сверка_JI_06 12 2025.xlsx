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B72C1FFA-27B9-4DD0-B7D0-ADA4DFB02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ДУ!$42:$42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I42" i="1"/>
  <c r="O38" i="1"/>
  <c r="O24" i="1"/>
  <c r="D27" i="1"/>
  <c r="B60" i="1"/>
  <c r="G44" i="1"/>
  <c r="A42" i="1"/>
  <c r="M38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7" i="1" l="1"/>
  <c r="M19" i="1"/>
  <c r="M8" i="1"/>
  <c r="M20" i="1"/>
  <c r="M10" i="1"/>
  <c r="M6" i="1"/>
  <c r="M12" i="1"/>
  <c r="M18" i="1"/>
  <c r="M13" i="1"/>
  <c r="M14" i="1"/>
  <c r="B46" i="1"/>
  <c r="M9" i="1"/>
  <c r="M15" i="1"/>
  <c r="M21" i="1"/>
  <c r="M4" i="1"/>
  <c r="M16" i="1"/>
  <c r="M22" i="1"/>
  <c r="M5" i="1"/>
  <c r="M11" i="1"/>
</calcChain>
</file>

<file path=xl/sharedStrings.xml><?xml version="1.0" encoding="utf-8"?>
<sst xmlns="http://schemas.openxmlformats.org/spreadsheetml/2006/main" count="158" uniqueCount="123">
  <si>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</si>
  <si>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</si>
  <si>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</si>
  <si>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</si>
  <si>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</si>
  <si>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</si>
  <si>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</si>
  <si>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</si>
  <si>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</si>
  <si>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</si>
  <si>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</si>
  <si>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</si>
  <si>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</si>
  <si>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</si>
  <si>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</si>
  <si>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</si>
  <si>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</si>
  <si>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</si>
  <si>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</si>
  <si>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</si>
  <si>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</si>
  <si>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</si>
  <si>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</si>
  <si>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</si>
  <si>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</si>
  <si>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</si>
  <si>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</si>
  <si>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</si>
  <si>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</si>
  <si>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</si>
  <si>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</si>
  <si>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</si>
  <si>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</si>
  <si>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</si>
  <si>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</si>
  <si>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</si>
  <si>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</si>
  <si>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</si>
  <si>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</si>
  <si>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</si>
  <si>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</si>
  <si>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</si>
  <si>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</si>
  <si>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</si>
  <si>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</si>
  <si>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</si>
  <si>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</si>
  <si>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</si>
  <si>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</si>
  <si>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</si>
  <si>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</si>
  <si>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</si>
  <si>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MUM132_0007</t>
  </si>
  <si>
    <t>KZKD00001152</t>
  </si>
  <si>
    <t>05.12.2025</t>
  </si>
  <si>
    <t>08.12.2025</t>
  </si>
  <si>
    <t>АО КФУ, ОБЛИГАЦИИ, KFUSb1</t>
  </si>
  <si>
    <t>KZ2C00006906</t>
  </si>
  <si>
    <t>МИНИСТЕРСТВО ФИНАНСОВ РК, ГЦБ, KZ_06_4410</t>
  </si>
  <si>
    <t>XS1120709826</t>
  </si>
  <si>
    <t>МИНИСТЕРСТВО ФИНАНСОВ РК, ГЦБ, MUM084_0019</t>
  </si>
  <si>
    <t>KZKD00001244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</si>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</sst>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0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64</v>
      </c>
      <c r="B4" s="13" t="s">
        <v>65</v>
      </c>
      <c r="C4" s="10">
        <v>3020000</v>
      </c>
      <c r="D4" s="11">
        <v>3020000000</v>
      </c>
      <c r="E4" s="3">
        <v>0.1067</v>
      </c>
      <c r="F4" s="4" t="s">
        <v>66</v>
      </c>
      <c r="G4" s="4" t="s">
        <v>67</v>
      </c>
      <c r="H4" s="11">
        <v>2930617060.0000029</v>
      </c>
      <c r="I4" s="11">
        <v>99.227699999999999</v>
      </c>
      <c r="J4" s="11">
        <v>103.22895000000001</v>
      </c>
      <c r="K4" s="11">
        <v>120837750</v>
      </c>
      <c r="L4" s="11">
        <v>3117514289.999999</v>
      </c>
      <c r="M4" s="6">
        <f t="shared" ref="M4:M22" si="0">L4/$L$24</f>
        <v>0.1027783459288788</v>
      </c>
    </row>
    <row r="5" spans="1:13" x14ac:dyDescent="0.25">
      <c r="A5" s="1" t="s">
        <v>68</v>
      </c>
      <c r="B5" s="13" t="s">
        <v>69</v>
      </c>
      <c r="C5" s="10">
        <v>2265000</v>
      </c>
      <c r="D5" s="11">
        <v>2265000000</v>
      </c>
      <c r="E5" s="3">
        <v>0.10550000000000001</v>
      </c>
      <c r="F5" s="4" t="s">
        <v>66</v>
      </c>
      <c r="G5" s="4" t="s">
        <v>70</v>
      </c>
      <c r="H5" s="11">
        <v>2039188560.0000031</v>
      </c>
      <c r="I5" s="11">
        <v>84.115700000000004</v>
      </c>
      <c r="J5" s="11">
        <v>87.866811111111105</v>
      </c>
      <c r="K5" s="11">
        <v>84962666.666666657</v>
      </c>
      <c r="L5" s="11">
        <v>1990183271.666666</v>
      </c>
      <c r="M5" s="6">
        <f t="shared" si="0"/>
        <v>6.5612448165305579E-2</v>
      </c>
    </row>
    <row r="6" spans="1:13" x14ac:dyDescent="0.25">
      <c r="A6" s="1" t="s">
        <v>68</v>
      </c>
      <c r="B6" s="13" t="s">
        <v>69</v>
      </c>
      <c r="C6" s="10">
        <v>1551646</v>
      </c>
      <c r="D6" s="11">
        <v>1551646000</v>
      </c>
      <c r="E6" s="3">
        <v>0.10550000000000001</v>
      </c>
      <c r="F6" s="4" t="s">
        <v>71</v>
      </c>
      <c r="G6" s="4" t="s">
        <v>70</v>
      </c>
      <c r="H6" s="11">
        <v>1395452658.7</v>
      </c>
      <c r="I6" s="11">
        <v>84.115700000000004</v>
      </c>
      <c r="J6" s="11">
        <v>87.86681111111136</v>
      </c>
      <c r="K6" s="11">
        <v>58203965.51111111</v>
      </c>
      <c r="L6" s="11">
        <v>1363381859.933115</v>
      </c>
      <c r="M6" s="6">
        <f t="shared" si="0"/>
        <v>4.4948032117396938E-2</v>
      </c>
    </row>
    <row r="7" spans="1:13" x14ac:dyDescent="0.25">
      <c r="A7" s="1" t="s">
        <v>68</v>
      </c>
      <c r="B7" s="13" t="s">
        <v>69</v>
      </c>
      <c r="C7" s="10">
        <v>545692</v>
      </c>
      <c r="D7" s="11">
        <v>545692000</v>
      </c>
      <c r="E7" s="3">
        <v>0.10550000000000001</v>
      </c>
      <c r="F7" s="4" t="s">
        <v>72</v>
      </c>
      <c r="G7" s="4" t="s">
        <v>70</v>
      </c>
      <c r="H7" s="11">
        <v>449784993.92000002</v>
      </c>
      <c r="I7" s="11">
        <v>84.115700000000004</v>
      </c>
      <c r="J7" s="11">
        <v>87.866811111111105</v>
      </c>
      <c r="K7" s="11">
        <v>20469513.244444441</v>
      </c>
      <c r="L7" s="11">
        <v>479482158.88844401</v>
      </c>
      <c r="M7" s="6">
        <f t="shared" si="0"/>
        <v>1.5807588549325347E-2</v>
      </c>
    </row>
    <row r="8" spans="1:13" x14ac:dyDescent="0.25">
      <c r="A8" s="1" t="s">
        <v>73</v>
      </c>
      <c r="B8" s="13" t="s">
        <v>74</v>
      </c>
      <c r="C8" s="10">
        <v>2265000</v>
      </c>
      <c r="D8" s="11">
        <v>2265000000</v>
      </c>
      <c r="E8" s="3">
        <v>0.10400000000000001</v>
      </c>
      <c r="F8" s="4" t="s">
        <v>66</v>
      </c>
      <c r="G8" s="4" t="s">
        <v>75</v>
      </c>
      <c r="H8" s="11">
        <v>2073109200</v>
      </c>
      <c r="I8" s="11">
        <v>87.875900000000001</v>
      </c>
      <c r="J8" s="11">
        <v>94.635899999999992</v>
      </c>
      <c r="K8" s="11">
        <v>153114000</v>
      </c>
      <c r="L8" s="11">
        <v>2143503134.999999</v>
      </c>
      <c r="M8" s="6">
        <f t="shared" si="0"/>
        <v>7.0667104049959684E-2</v>
      </c>
    </row>
    <row r="9" spans="1:13" x14ac:dyDescent="0.25">
      <c r="A9" s="1" t="s">
        <v>76</v>
      </c>
      <c r="B9" s="13" t="s">
        <v>77</v>
      </c>
      <c r="C9" s="10">
        <v>2265000</v>
      </c>
      <c r="D9" s="11">
        <v>2265000000</v>
      </c>
      <c r="E9" s="3">
        <v>0.11</v>
      </c>
      <c r="F9" s="4" t="s">
        <v>66</v>
      </c>
      <c r="G9" s="4" t="s">
        <v>78</v>
      </c>
      <c r="H9" s="11">
        <v>2080889475</v>
      </c>
      <c r="I9" s="11">
        <v>86.088999999999999</v>
      </c>
      <c r="J9" s="11">
        <v>93.60566666666665</v>
      </c>
      <c r="K9" s="11">
        <v>170252500</v>
      </c>
      <c r="L9" s="11">
        <v>2120168349.999999</v>
      </c>
      <c r="M9" s="6">
        <f t="shared" si="0"/>
        <v>6.9897801848972485E-2</v>
      </c>
    </row>
    <row r="10" spans="1:13" x14ac:dyDescent="0.25">
      <c r="A10" s="1" t="s">
        <v>79</v>
      </c>
      <c r="B10" s="13" t="s">
        <v>80</v>
      </c>
      <c r="C10" s="10">
        <v>2265000</v>
      </c>
      <c r="D10" s="11">
        <v>2265000000</v>
      </c>
      <c r="E10" s="3">
        <v>0.10300000000000001</v>
      </c>
      <c r="F10" s="4" t="s">
        <v>66</v>
      </c>
      <c r="G10" s="4" t="s">
        <v>81</v>
      </c>
      <c r="H10" s="11">
        <v>1963990560.0000031</v>
      </c>
      <c r="I10" s="11">
        <v>79.460800000000006</v>
      </c>
      <c r="J10" s="11">
        <v>86.871077777777771</v>
      </c>
      <c r="K10" s="11">
        <v>167842791.66666701</v>
      </c>
      <c r="L10" s="11">
        <v>1967629911.666666</v>
      </c>
      <c r="M10" s="6">
        <f t="shared" si="0"/>
        <v>6.4868908017510926E-2</v>
      </c>
    </row>
    <row r="11" spans="1:13" x14ac:dyDescent="0.25">
      <c r="A11" s="1" t="s">
        <v>82</v>
      </c>
      <c r="B11" s="13" t="s">
        <v>83</v>
      </c>
      <c r="C11" s="10">
        <v>2265000</v>
      </c>
      <c r="D11" s="11">
        <v>2265000000</v>
      </c>
      <c r="E11" s="3">
        <v>8.4500000000000006E-2</v>
      </c>
      <c r="F11" s="4" t="s">
        <v>66</v>
      </c>
      <c r="G11" s="4" t="s">
        <v>84</v>
      </c>
      <c r="H11" s="11">
        <v>1740247065.0000031</v>
      </c>
      <c r="I11" s="11">
        <v>70.329700000000003</v>
      </c>
      <c r="J11" s="11">
        <v>75.728311111111111</v>
      </c>
      <c r="K11" s="11">
        <v>122278541.666667</v>
      </c>
      <c r="L11" s="11">
        <v>1715246246.666666</v>
      </c>
      <c r="M11" s="6">
        <f t="shared" si="0"/>
        <v>5.6548312435519783E-2</v>
      </c>
    </row>
    <row r="12" spans="1:13" x14ac:dyDescent="0.25">
      <c r="A12" s="1" t="s">
        <v>52</v>
      </c>
      <c r="B12" s="13" t="s">
        <v>53</v>
      </c>
      <c r="C12" s="10">
        <v>2265000</v>
      </c>
      <c r="D12" s="11">
        <v>2265000000</v>
      </c>
      <c r="E12" s="3">
        <v>0.10650000000000001</v>
      </c>
      <c r="F12" s="4" t="s">
        <v>66</v>
      </c>
      <c r="G12" s="4" t="s">
        <v>85</v>
      </c>
      <c r="H12" s="11">
        <v>1967775375</v>
      </c>
      <c r="I12" s="11">
        <v>78.1297</v>
      </c>
      <c r="J12" s="11">
        <v>81.975533333333331</v>
      </c>
      <c r="K12" s="11">
        <v>87108125</v>
      </c>
      <c r="L12" s="11">
        <v>1856745830</v>
      </c>
      <c r="M12" s="6">
        <f t="shared" si="0"/>
        <v>6.1213276817968731E-2</v>
      </c>
    </row>
    <row r="13" spans="1:13" x14ac:dyDescent="0.25">
      <c r="A13" s="1" t="s">
        <v>86</v>
      </c>
      <c r="B13" s="13" t="s">
        <v>87</v>
      </c>
      <c r="C13" s="10">
        <v>2265000</v>
      </c>
      <c r="D13" s="11">
        <v>2265000000</v>
      </c>
      <c r="E13" s="3">
        <v>8.0700000000000008E-2</v>
      </c>
      <c r="F13" s="4" t="s">
        <v>66</v>
      </c>
      <c r="G13" s="4" t="s">
        <v>88</v>
      </c>
      <c r="H13" s="11">
        <v>1622351550</v>
      </c>
      <c r="I13" s="11">
        <v>64.215299999999999</v>
      </c>
      <c r="J13" s="11">
        <v>68.788300000000007</v>
      </c>
      <c r="K13" s="11">
        <v>103578450</v>
      </c>
      <c r="L13" s="11">
        <v>1558054995</v>
      </c>
      <c r="M13" s="6">
        <f t="shared" si="0"/>
        <v>5.1366024452875109E-2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8.0700000000000008E-2</v>
      </c>
      <c r="F14" s="4" t="s">
        <v>66</v>
      </c>
      <c r="G14" s="4" t="s">
        <v>91</v>
      </c>
      <c r="H14" s="11">
        <v>1597764975</v>
      </c>
      <c r="I14" s="11">
        <v>62.936</v>
      </c>
      <c r="J14" s="11">
        <v>69.817916666666662</v>
      </c>
      <c r="K14" s="11">
        <v>155875412.5</v>
      </c>
      <c r="L14" s="11">
        <v>1581375812.5</v>
      </c>
      <c r="M14" s="6">
        <f t="shared" si="0"/>
        <v>5.2134866172718272E-2</v>
      </c>
    </row>
    <row r="15" spans="1:13" x14ac:dyDescent="0.25">
      <c r="A15" s="1" t="s">
        <v>92</v>
      </c>
      <c r="B15" s="13" t="s">
        <v>93</v>
      </c>
      <c r="C15" s="10">
        <v>3775000</v>
      </c>
      <c r="D15" s="11">
        <v>3775000000</v>
      </c>
      <c r="E15" s="3">
        <v>5.4900000000000004E-2</v>
      </c>
      <c r="F15" s="4" t="s">
        <v>66</v>
      </c>
      <c r="G15" s="4" t="s">
        <v>94</v>
      </c>
      <c r="H15" s="11">
        <v>3136670150</v>
      </c>
      <c r="I15" s="11">
        <v>87.12</v>
      </c>
      <c r="J15" s="11">
        <v>90.917249999999996</v>
      </c>
      <c r="K15" s="11">
        <v>143346187.5</v>
      </c>
      <c r="L15" s="11">
        <v>3432126187.5</v>
      </c>
      <c r="M15" s="6">
        <f t="shared" si="0"/>
        <v>0.11315048457097499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59.195900000000002</v>
      </c>
      <c r="J16" s="11">
        <v>62.58756666666666</v>
      </c>
      <c r="K16" s="11">
        <v>95097585</v>
      </c>
      <c r="L16" s="11">
        <v>1754867746.74</v>
      </c>
      <c r="M16" s="6">
        <f t="shared" si="0"/>
        <v>5.7854555763359738E-2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86.743000000000009</v>
      </c>
      <c r="J17" s="11">
        <v>95.709666666666649</v>
      </c>
      <c r="K17" s="11">
        <v>93117040</v>
      </c>
      <c r="L17" s="11">
        <v>993925746.39999998</v>
      </c>
      <c r="M17" s="6">
        <f t="shared" si="0"/>
        <v>3.2767786989396058E-2</v>
      </c>
    </row>
    <row r="18" spans="1:15" x14ac:dyDescent="0.25">
      <c r="A18" s="1" t="s">
        <v>102</v>
      </c>
      <c r="B18" s="13" t="s">
        <v>103</v>
      </c>
      <c r="C18" s="10">
        <v>506989</v>
      </c>
      <c r="D18" s="11">
        <v>506989000</v>
      </c>
      <c r="E18" s="3">
        <v>0.1535</v>
      </c>
      <c r="F18" s="4" t="s">
        <v>104</v>
      </c>
      <c r="G18" s="4" t="s">
        <v>105</v>
      </c>
      <c r="H18" s="11">
        <v>492216861.50999999</v>
      </c>
      <c r="I18" s="11">
        <v>98.248400000000004</v>
      </c>
      <c r="J18" s="11">
        <v>99.015900000000002</v>
      </c>
      <c r="K18" s="11">
        <v>3891140.5750000002</v>
      </c>
      <c r="L18" s="11">
        <v>501999721.25099999</v>
      </c>
      <c r="M18" s="6">
        <f t="shared" si="0"/>
        <v>1.6549948519060685E-2</v>
      </c>
    </row>
    <row r="19" spans="1:15" x14ac:dyDescent="0.25">
      <c r="A19" s="1" t="s">
        <v>106</v>
      </c>
      <c r="B19" s="13" t="s">
        <v>107</v>
      </c>
      <c r="C19" s="10">
        <v>2100000</v>
      </c>
      <c r="D19" s="11">
        <v>2100000000</v>
      </c>
      <c r="E19" s="3">
        <v>0.14300000000000002</v>
      </c>
      <c r="F19" s="4" t="s">
        <v>108</v>
      </c>
      <c r="G19" s="4" t="s">
        <v>109</v>
      </c>
      <c r="H19" s="11">
        <v>2100000000</v>
      </c>
      <c r="I19" s="11">
        <v>94.453081592475101</v>
      </c>
      <c r="J19" s="11">
        <v>98.147248259141762</v>
      </c>
      <c r="K19" s="11">
        <v>77577500</v>
      </c>
      <c r="L19" s="11">
        <v>2061092213.441977</v>
      </c>
      <c r="M19" s="6">
        <f t="shared" si="0"/>
        <v>6.7950177224194247E-2</v>
      </c>
    </row>
    <row r="20" spans="1:15" x14ac:dyDescent="0.25">
      <c r="A20" s="1" t="s">
        <v>110</v>
      </c>
      <c r="B20" s="13" t="s">
        <v>111</v>
      </c>
      <c r="C20" s="10">
        <v>1000000</v>
      </c>
      <c r="D20" s="11">
        <v>1000000000</v>
      </c>
      <c r="E20" s="3">
        <v>0.1389</v>
      </c>
      <c r="F20" s="4" t="s">
        <v>112</v>
      </c>
      <c r="G20" s="4" t="s">
        <v>113</v>
      </c>
      <c r="H20" s="11">
        <v>1000000000</v>
      </c>
      <c r="I20" s="11">
        <v>98.58284614679549</v>
      </c>
      <c r="J20" s="11">
        <v>98.891512813462157</v>
      </c>
      <c r="K20" s="11">
        <v>3086666.6666666698</v>
      </c>
      <c r="L20" s="11">
        <v>988915128.13462198</v>
      </c>
      <c r="M20" s="6">
        <f t="shared" si="0"/>
        <v>3.2602596709740091E-2</v>
      </c>
    </row>
    <row r="21" spans="1:15" x14ac:dyDescent="0.25">
      <c r="A21" s="1" t="s">
        <v>114</v>
      </c>
      <c r="B21" s="13" t="s">
        <v>115</v>
      </c>
      <c r="C21" s="10">
        <v>165739</v>
      </c>
      <c r="D21" s="11">
        <v>165739000</v>
      </c>
      <c r="E21" s="3">
        <v>0.125</v>
      </c>
      <c r="F21" s="4" t="s">
        <v>116</v>
      </c>
      <c r="G21" s="4" t="s">
        <v>117</v>
      </c>
      <c r="H21" s="11">
        <v>159596381.18279999</v>
      </c>
      <c r="I21" s="11">
        <v>96.950785669296593</v>
      </c>
      <c r="J21" s="11">
        <v>102.99245233595001</v>
      </c>
      <c r="K21" s="11">
        <v>10013397.916644439</v>
      </c>
      <c r="L21" s="11">
        <v>170698660.57708001</v>
      </c>
      <c r="M21" s="6">
        <f t="shared" si="0"/>
        <v>5.6276008237278689E-3</v>
      </c>
    </row>
    <row r="22" spans="1:15" x14ac:dyDescent="0.25">
      <c r="A22" s="1" t="s">
        <v>118</v>
      </c>
      <c r="B22" s="13" t="s">
        <v>119</v>
      </c>
      <c r="C22" s="10">
        <v>494987</v>
      </c>
      <c r="D22" s="11">
        <v>494987000</v>
      </c>
      <c r="E22" s="3">
        <v>0.1701</v>
      </c>
      <c r="F22" s="4" t="s">
        <v>120</v>
      </c>
      <c r="G22" s="4" t="s">
        <v>121</v>
      </c>
      <c r="H22" s="11">
        <v>495088472.34249997</v>
      </c>
      <c r="I22" s="11">
        <v>102.5604</v>
      </c>
      <c r="J22" s="11">
        <v>108.18315</v>
      </c>
      <c r="K22" s="11">
        <v>27831881.5425</v>
      </c>
      <c r="L22" s="11">
        <v>535492528.69050002</v>
      </c>
      <c r="M22" s="6">
        <f t="shared" si="0"/>
        <v>1.765414084311456E-2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1698485115.4563673</v>
      </c>
      <c r="L24" s="22">
        <f>SUM(L4:L23)</f>
        <v>30332403794.056736</v>
      </c>
      <c r="M24" s="23"/>
      <c r="N24" s="26">
        <v>30332403794.056763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3163563.14</v>
      </c>
      <c r="C27" s="58">
        <v>3163563.14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904761</v>
      </c>
      <c r="D32" s="7" t="s">
        <v>50</v>
      </c>
      <c r="E32" s="34" t="s">
        <v>54</v>
      </c>
      <c r="F32" s="34" t="s">
        <v>55</v>
      </c>
      <c r="G32" s="15">
        <v>819.46</v>
      </c>
      <c r="H32" s="15">
        <v>820.61172746172701</v>
      </c>
      <c r="I32" s="16">
        <f>+C32*G32</f>
        <v>741415449.06000006</v>
      </c>
      <c r="J32" s="16">
        <f>+C32*H32</f>
        <v>742457487.14999962</v>
      </c>
      <c r="K32" s="18">
        <v>0.17099899999999998</v>
      </c>
      <c r="L32" s="17">
        <v>347346.03</v>
      </c>
      <c r="M32" s="17">
        <v>741762795.09000003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999888</v>
      </c>
      <c r="D33" s="7" t="s">
        <v>50</v>
      </c>
      <c r="E33" s="34" t="s">
        <v>54</v>
      </c>
      <c r="F33" s="34" t="s">
        <v>55</v>
      </c>
      <c r="G33" s="15">
        <v>888.57899999800009</v>
      </c>
      <c r="H33" s="15">
        <v>889.82787222168906</v>
      </c>
      <c r="I33" s="16">
        <f>+C33*G33</f>
        <v>888479479.15000033</v>
      </c>
      <c r="J33" s="16">
        <f>+C33*H33</f>
        <v>889728211.50000024</v>
      </c>
      <c r="K33" s="18">
        <v>0.17099899999999998</v>
      </c>
      <c r="L33" s="17">
        <v>416244.11666666658</v>
      </c>
      <c r="M33" s="17">
        <v>888895723.26666701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125080</v>
      </c>
      <c r="D34" s="7" t="s">
        <v>50</v>
      </c>
      <c r="E34" s="34" t="s">
        <v>54</v>
      </c>
      <c r="F34" s="34" t="s">
        <v>55</v>
      </c>
      <c r="G34" s="15">
        <v>471.74789998401002</v>
      </c>
      <c r="H34" s="15">
        <v>472.41092812599902</v>
      </c>
      <c r="I34" s="16">
        <f>+C34*G34</f>
        <v>59006227.329999976</v>
      </c>
      <c r="J34" s="16">
        <f>+C34*H34</f>
        <v>59089158.889999956</v>
      </c>
      <c r="K34" s="18">
        <v>0.17099899999999998</v>
      </c>
      <c r="L34" s="17">
        <v>27643.8533333333</v>
      </c>
      <c r="M34" s="17">
        <v>59033871.18333333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1599696</v>
      </c>
      <c r="D35" s="7" t="s">
        <v>50</v>
      </c>
      <c r="E35" s="34" t="s">
        <v>54</v>
      </c>
      <c r="F35" s="34" t="s">
        <v>55</v>
      </c>
      <c r="G35" s="15">
        <v>946.03500000000008</v>
      </c>
      <c r="H35" s="15">
        <v>947.36462497874606</v>
      </c>
      <c r="I35" s="16">
        <f>+C35*G35</f>
        <v>1513368405.3600001</v>
      </c>
      <c r="J35" s="16">
        <f>+C35*H35</f>
        <v>1515495401.1200001</v>
      </c>
      <c r="K35" s="18">
        <v>0.17099899999999998</v>
      </c>
      <c r="L35" s="17">
        <v>708998.58666666667</v>
      </c>
      <c r="M35" s="17">
        <v>1514077403.946666</v>
      </c>
      <c r="N35" s="35"/>
    </row>
    <row r="36" spans="1:15" s="36" customFormat="1" ht="12" customHeight="1" x14ac:dyDescent="0.25">
      <c r="A36" s="12" t="s">
        <v>62</v>
      </c>
      <c r="B36" s="7" t="s">
        <v>63</v>
      </c>
      <c r="C36" s="14">
        <v>175065</v>
      </c>
      <c r="D36" s="7" t="s">
        <v>50</v>
      </c>
      <c r="E36" s="34" t="s">
        <v>54</v>
      </c>
      <c r="F36" s="34" t="s">
        <v>55</v>
      </c>
      <c r="G36" s="15">
        <v>943.00100002856107</v>
      </c>
      <c r="H36" s="15">
        <v>944.33798686202306</v>
      </c>
      <c r="I36" s="16">
        <f>+C36*G36</f>
        <v>165086470.07000005</v>
      </c>
      <c r="J36" s="16">
        <f>+C36*H36</f>
        <v>165320529.67000008</v>
      </c>
      <c r="K36" s="18">
        <v>0.17249899999999999</v>
      </c>
      <c r="L36" s="17">
        <v>78019.866666666698</v>
      </c>
      <c r="M36" s="17">
        <v>165164489.936667</v>
      </c>
      <c r="N36" s="35"/>
    </row>
    <row r="37" spans="1:15" s="36" customFormat="1" ht="11.25" hidden="1" x14ac:dyDescent="0.25">
      <c r="A37" s="7"/>
      <c r="B37" s="7"/>
      <c r="C37" s="7"/>
      <c r="D37" s="7"/>
      <c r="E37" s="37"/>
      <c r="F37" s="37"/>
      <c r="G37" s="7"/>
      <c r="H37" s="7"/>
      <c r="I37" s="8"/>
      <c r="J37" s="8"/>
      <c r="K37" s="7"/>
      <c r="L37" s="9"/>
      <c r="M37" s="9"/>
      <c r="N37" s="35"/>
    </row>
    <row r="38" spans="1:15" x14ac:dyDescent="0.25">
      <c r="A38" s="1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>
        <f>SUM(M32:M37)</f>
        <v>3368934283.4233336</v>
      </c>
      <c r="N38" s="38">
        <v>3368934283.4233332</v>
      </c>
      <c r="O38" s="29">
        <f>M38-N38</f>
        <v>0</v>
      </c>
    </row>
    <row r="40" spans="1:15" x14ac:dyDescent="0.25">
      <c r="A40" s="39" t="s">
        <v>28</v>
      </c>
      <c r="B40" s="33"/>
      <c r="D40" s="33"/>
      <c r="F40" s="28"/>
      <c r="G40" s="28"/>
    </row>
    <row r="41" spans="1:15" ht="22.5" x14ac:dyDescent="0.25">
      <c r="A41" s="19" t="s">
        <v>6</v>
      </c>
      <c r="B41" s="19" t="s">
        <v>29</v>
      </c>
      <c r="C41" s="19" t="s">
        <v>17</v>
      </c>
      <c r="D41" s="19" t="s">
        <v>30</v>
      </c>
      <c r="E41" s="19" t="s">
        <v>16</v>
      </c>
      <c r="F41" s="19" t="s">
        <v>31</v>
      </c>
      <c r="G41" s="19" t="s">
        <v>32</v>
      </c>
    </row>
    <row r="42" spans="1:15" x14ac:dyDescent="0.25">
      <c r="A42" s="57">
        <f ca="1">IF(OFFSET(A42,-1,0)="№ п/п",1,OFFSET(A42,-1,0)+1)</f>
        <v>1</v>
      </c>
      <c r="B42" s="40" t="s">
        <v>49</v>
      </c>
      <c r="C42" s="52" t="s">
        <v>50</v>
      </c>
      <c r="D42" s="53" t="s">
        <v>51</v>
      </c>
      <c r="E42" s="54">
        <v>1000000</v>
      </c>
      <c r="F42" s="55">
        <v>69450000</v>
      </c>
      <c r="G42" s="56">
        <v>69450000</v>
      </c>
      <c r="H42" s="58">
        <v>69450000</v>
      </c>
      <c r="I42" s="29">
        <f>G42-H42</f>
        <v>0</v>
      </c>
    </row>
    <row r="43" spans="1:15" hidden="1" x14ac:dyDescent="0.25">
      <c r="B43" s="42"/>
      <c r="C43" s="43"/>
      <c r="D43" s="44"/>
      <c r="G43" s="45"/>
      <c r="H43" s="33"/>
    </row>
    <row r="44" spans="1:15" x14ac:dyDescent="0.25">
      <c r="G44" s="46">
        <f>SUM(G42:G43)</f>
        <v>69450000</v>
      </c>
    </row>
    <row r="46" spans="1:15" x14ac:dyDescent="0.25">
      <c r="A46" s="47" t="s">
        <v>13</v>
      </c>
      <c r="B46" s="48">
        <f>+L24+B27+M38+G44</f>
        <v>33773951640.620068</v>
      </c>
      <c r="C46" s="32">
        <v>33773951640.620094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9" t="s">
        <v>35</v>
      </c>
      <c r="B50" s="50"/>
    </row>
    <row r="51" spans="1:2" x14ac:dyDescent="0.25">
      <c r="A51" s="49" t="s">
        <v>36</v>
      </c>
      <c r="B51" s="41"/>
    </row>
    <row r="52" spans="1:2" x14ac:dyDescent="0.25">
      <c r="A52" s="49" t="s">
        <v>37</v>
      </c>
      <c r="B52" s="41">
        <v>571795.80999999994</v>
      </c>
    </row>
    <row r="53" spans="1:2" x14ac:dyDescent="0.25">
      <c r="A53" s="49" t="s">
        <v>38</v>
      </c>
      <c r="B53" s="41"/>
    </row>
    <row r="54" spans="1:2" x14ac:dyDescent="0.25">
      <c r="A54" s="49" t="s">
        <v>39</v>
      </c>
      <c r="B54" s="50"/>
    </row>
    <row r="55" spans="1:2" x14ac:dyDescent="0.25">
      <c r="A55" s="49" t="s">
        <v>40</v>
      </c>
      <c r="B55" s="51">
        <v>170125.49</v>
      </c>
    </row>
    <row r="56" spans="1:2" x14ac:dyDescent="0.25">
      <c r="A56" s="49" t="s">
        <v>41</v>
      </c>
      <c r="B56" s="51">
        <v>84837.8</v>
      </c>
    </row>
    <row r="57" spans="1:2" x14ac:dyDescent="0.25">
      <c r="A57" s="49" t="s">
        <v>42</v>
      </c>
      <c r="B57" s="41"/>
    </row>
    <row r="58" spans="1:2" x14ac:dyDescent="0.25">
      <c r="A58" s="49" t="s">
        <v>43</v>
      </c>
      <c r="B58" s="41"/>
    </row>
    <row r="59" spans="1:2" x14ac:dyDescent="0.25">
      <c r="A59" s="49" t="s">
        <v>44</v>
      </c>
      <c r="B59" s="51"/>
    </row>
    <row r="60" spans="1:2" x14ac:dyDescent="0.25">
      <c r="A60" s="49" t="s">
        <v>45</v>
      </c>
      <c r="B60" s="50">
        <f>SUM(B50:B59)</f>
        <v>826759.1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2025-12-08T06:09:08Z</dcterms:created>
  <dcterms:modified xsi:type="dcterms:W3CDTF">2025-12-08T07:31:05Z</dcterms:modified>
</cp:coreProperties>
</file>