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F6249A8F-D167-41EB-A8E1-5ECF0254BE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6" i="1" l="1"/>
  <c r="O39" i="1"/>
  <c r="O24" i="1"/>
  <c r="D27" i="1"/>
  <c r="B60" i="1"/>
  <c r="G44" i="1"/>
  <c r="B46" i="1" s="1"/>
  <c r="M39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19" i="1" s="1"/>
  <c r="K24" i="1"/>
  <c r="M22" i="1"/>
  <c r="M21" i="1"/>
  <c r="M20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<sst xmlns="http://schemas.openxmlformats.org/spreadsheetml/2006/main" count="160" uniqueCount="117">
  <si>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</si>
  <si>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</si>
  <si>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</si>
  <si>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</si>
  <si>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</si>
  <si>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</si>
  <si>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</si>
  <si>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</si>
  <si>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</si>
  <si>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</si>
  <si>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</si>
  <si>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</si>
  <si>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</si>
  <si>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</si>
  <si>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</si>
  <si>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</si>
  <si>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</si>
  <si>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</si>
  <si>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</si>
  <si>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</si>
  <si>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</si>
  <si>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</si>
  <si>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</si>
  <si>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</si>
  <si>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</si>
  <si>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</si>
  <si>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</si>
  <si>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</si>
  <si>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</si>
  <si>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</si>
  <si>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</si>
  <si>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</si>
  <si>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</si>
  <si>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</si>
  <si>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</si>
  <si>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</si>
  <si>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</si>
  <si>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</si>
  <si>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</si>
  <si>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</si>
  <si>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</si>
  <si>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</si>
  <si>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</si>
  <si>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</si>
  <si>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</si>
  <si>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</si>
  <si>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</si>
  <si>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</si>
  <si>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</si>
  <si>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MKM012_0160</t>
  </si>
  <si>
    <t>KZK100000373</t>
  </si>
  <si>
    <t>KZT</t>
  </si>
  <si>
    <t>17.12.2025</t>
  </si>
  <si>
    <t>18.12.2025</t>
  </si>
  <si>
    <t>МИНИСТЕРСТВО ФИНАНСОВ РК, ГЦБ, MOM060_0052</t>
  </si>
  <si>
    <t>KZK200000679</t>
  </si>
  <si>
    <t>19.12.2025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</si>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</sst>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topLeftCell="A16" zoomScale="90" zoomScaleNormal="90" workbookViewId="0">
      <selection activeCell="D47" sqref="D4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57</v>
      </c>
      <c r="B4" s="13" t="s">
        <v>58</v>
      </c>
      <c r="C4" s="10">
        <v>3020000</v>
      </c>
      <c r="D4" s="11">
        <v>3020000000</v>
      </c>
      <c r="E4" s="3">
        <v>0.1067</v>
      </c>
      <c r="F4" s="4" t="s">
        <v>59</v>
      </c>
      <c r="G4" s="4" t="s">
        <v>60</v>
      </c>
      <c r="H4" s="11">
        <v>2930617060.0000029</v>
      </c>
      <c r="I4" s="11">
        <v>99.444299999999998</v>
      </c>
      <c r="J4" s="11">
        <v>103.801216666667</v>
      </c>
      <c r="K4" s="11">
        <v>131578883.333333</v>
      </c>
      <c r="L4" s="11">
        <v>3134796743.333333</v>
      </c>
      <c r="M4" s="6">
        <f t="shared" ref="M4:M22" si="0">L4/$L$24</f>
        <v>0.10196873509301874</v>
      </c>
    </row>
    <row r="5" spans="1:13" x14ac:dyDescent="0.25">
      <c r="A5" s="1" t="s">
        <v>61</v>
      </c>
      <c r="B5" s="13" t="s">
        <v>62</v>
      </c>
      <c r="C5" s="10">
        <v>2265000</v>
      </c>
      <c r="D5" s="11">
        <v>2265000000</v>
      </c>
      <c r="E5" s="3">
        <v>0.10550000000000001</v>
      </c>
      <c r="F5" s="4" t="s">
        <v>59</v>
      </c>
      <c r="G5" s="4" t="s">
        <v>63</v>
      </c>
      <c r="H5" s="11">
        <v>2039188560.0000031</v>
      </c>
      <c r="I5" s="11">
        <v>84.945400000000006</v>
      </c>
      <c r="J5" s="11">
        <v>89.048177777777767</v>
      </c>
      <c r="K5" s="11">
        <v>92927916.666666657</v>
      </c>
      <c r="L5" s="11">
        <v>2016941226.666666</v>
      </c>
      <c r="M5" s="6">
        <f t="shared" si="0"/>
        <v>6.5607107088375749E-2</v>
      </c>
    </row>
    <row r="6" spans="1:13" x14ac:dyDescent="0.25">
      <c r="A6" s="1" t="s">
        <v>61</v>
      </c>
      <c r="B6" s="13" t="s">
        <v>62</v>
      </c>
      <c r="C6" s="10">
        <v>1551646</v>
      </c>
      <c r="D6" s="11">
        <v>1551646000</v>
      </c>
      <c r="E6" s="3">
        <v>0.10550000000000001</v>
      </c>
      <c r="F6" s="4" t="s">
        <v>64</v>
      </c>
      <c r="G6" s="4" t="s">
        <v>63</v>
      </c>
      <c r="H6" s="11">
        <v>1395452658.7</v>
      </c>
      <c r="I6" s="11">
        <v>84.945400000000006</v>
      </c>
      <c r="J6" s="11">
        <v>89.048177777778022</v>
      </c>
      <c r="K6" s="11">
        <v>63660587.277777769</v>
      </c>
      <c r="L6" s="11">
        <v>1381712488.5617809</v>
      </c>
      <c r="M6" s="6">
        <f t="shared" si="0"/>
        <v>4.4944373194370925E-2</v>
      </c>
    </row>
    <row r="7" spans="1:13" x14ac:dyDescent="0.25">
      <c r="A7" s="1" t="s">
        <v>61</v>
      </c>
      <c r="B7" s="13" t="s">
        <v>62</v>
      </c>
      <c r="C7" s="10">
        <v>545692</v>
      </c>
      <c r="D7" s="11">
        <v>545692000</v>
      </c>
      <c r="E7" s="3">
        <v>0.10550000000000001</v>
      </c>
      <c r="F7" s="4" t="s">
        <v>65</v>
      </c>
      <c r="G7" s="4" t="s">
        <v>63</v>
      </c>
      <c r="H7" s="11">
        <v>449784993.92000002</v>
      </c>
      <c r="I7" s="11">
        <v>84.945400000000006</v>
      </c>
      <c r="J7" s="11">
        <v>89.048177777777767</v>
      </c>
      <c r="K7" s="11">
        <v>22388530.111111108</v>
      </c>
      <c r="L7" s="11">
        <v>485928782.27911103</v>
      </c>
      <c r="M7" s="6">
        <f t="shared" si="0"/>
        <v>1.5806301757735074E-2</v>
      </c>
    </row>
    <row r="8" spans="1:13" x14ac:dyDescent="0.25">
      <c r="A8" s="1" t="s">
        <v>66</v>
      </c>
      <c r="B8" s="13" t="s">
        <v>67</v>
      </c>
      <c r="C8" s="10">
        <v>2265000</v>
      </c>
      <c r="D8" s="11">
        <v>2265000000</v>
      </c>
      <c r="E8" s="3">
        <v>0.10400000000000001</v>
      </c>
      <c r="F8" s="4" t="s">
        <v>59</v>
      </c>
      <c r="G8" s="4" t="s">
        <v>68</v>
      </c>
      <c r="H8" s="11">
        <v>2073109200</v>
      </c>
      <c r="I8" s="11">
        <v>88.503900000000002</v>
      </c>
      <c r="J8" s="11">
        <v>95.610566666666656</v>
      </c>
      <c r="K8" s="11">
        <v>160966000</v>
      </c>
      <c r="L8" s="11">
        <v>2165579334.999999</v>
      </c>
      <c r="M8" s="6">
        <f t="shared" si="0"/>
        <v>7.0442010635344707E-2</v>
      </c>
    </row>
    <row r="9" spans="1:13" x14ac:dyDescent="0.25">
      <c r="A9" s="1" t="s">
        <v>69</v>
      </c>
      <c r="B9" s="13" t="s">
        <v>70</v>
      </c>
      <c r="C9" s="10">
        <v>2265000</v>
      </c>
      <c r="D9" s="11">
        <v>2265000000</v>
      </c>
      <c r="E9" s="3">
        <v>0.11</v>
      </c>
      <c r="F9" s="4" t="s">
        <v>59</v>
      </c>
      <c r="G9" s="4" t="s">
        <v>71</v>
      </c>
      <c r="H9" s="11">
        <v>2080889475</v>
      </c>
      <c r="I9" s="11">
        <v>86.882000000000005</v>
      </c>
      <c r="J9" s="11">
        <v>94.765333333333331</v>
      </c>
      <c r="K9" s="11">
        <v>178557500</v>
      </c>
      <c r="L9" s="11">
        <v>2146434799.999999</v>
      </c>
      <c r="M9" s="6">
        <f t="shared" si="0"/>
        <v>6.9819276793973456E-2</v>
      </c>
    </row>
    <row r="10" spans="1:13" x14ac:dyDescent="0.25">
      <c r="A10" s="1" t="s">
        <v>72</v>
      </c>
      <c r="B10" s="13" t="s">
        <v>73</v>
      </c>
      <c r="C10" s="10">
        <v>2265000</v>
      </c>
      <c r="D10" s="11">
        <v>2265000000</v>
      </c>
      <c r="E10" s="3">
        <v>0.10300000000000001</v>
      </c>
      <c r="F10" s="4" t="s">
        <v>59</v>
      </c>
      <c r="G10" s="4" t="s">
        <v>74</v>
      </c>
      <c r="H10" s="11">
        <v>1963990560.0000031</v>
      </c>
      <c r="I10" s="11">
        <v>80.538800000000009</v>
      </c>
      <c r="J10" s="11">
        <v>88.292411111111107</v>
      </c>
      <c r="K10" s="11">
        <v>175619291.66666701</v>
      </c>
      <c r="L10" s="11">
        <v>1999823111.666666</v>
      </c>
      <c r="M10" s="6">
        <f t="shared" si="0"/>
        <v>6.5050288679833326E-2</v>
      </c>
    </row>
    <row r="11" spans="1:13" x14ac:dyDescent="0.25">
      <c r="A11" s="1" t="s">
        <v>75</v>
      </c>
      <c r="B11" s="13" t="s">
        <v>76</v>
      </c>
      <c r="C11" s="10">
        <v>2265000</v>
      </c>
      <c r="D11" s="11">
        <v>2265000000</v>
      </c>
      <c r="E11" s="3">
        <v>8.4500000000000006E-2</v>
      </c>
      <c r="F11" s="4" t="s">
        <v>59</v>
      </c>
      <c r="G11" s="4" t="s">
        <v>77</v>
      </c>
      <c r="H11" s="11">
        <v>1740247065.0000031</v>
      </c>
      <c r="I11" s="11">
        <v>71.479900000000001</v>
      </c>
      <c r="J11" s="11">
        <v>77.160177777777761</v>
      </c>
      <c r="K11" s="11">
        <v>128658291.666667</v>
      </c>
      <c r="L11" s="11">
        <v>1747678026.666666</v>
      </c>
      <c r="M11" s="6">
        <f t="shared" si="0"/>
        <v>5.6848507995950003E-2</v>
      </c>
    </row>
    <row r="12" spans="1:13" x14ac:dyDescent="0.25">
      <c r="A12" s="1" t="s">
        <v>78</v>
      </c>
      <c r="B12" s="13" t="s">
        <v>79</v>
      </c>
      <c r="C12" s="10">
        <v>2265000</v>
      </c>
      <c r="D12" s="11">
        <v>2265000000</v>
      </c>
      <c r="E12" s="3">
        <v>0.10650000000000001</v>
      </c>
      <c r="F12" s="4" t="s">
        <v>59</v>
      </c>
      <c r="G12" s="4" t="s">
        <v>80</v>
      </c>
      <c r="H12" s="11">
        <v>1967775375</v>
      </c>
      <c r="I12" s="11">
        <v>79.338700000000003</v>
      </c>
      <c r="J12" s="11">
        <v>83.539533333333324</v>
      </c>
      <c r="K12" s="11">
        <v>95148875</v>
      </c>
      <c r="L12" s="11">
        <v>1892170430</v>
      </c>
      <c r="M12" s="6">
        <f t="shared" si="0"/>
        <v>6.1548559962567626E-2</v>
      </c>
    </row>
    <row r="13" spans="1:13" x14ac:dyDescent="0.25">
      <c r="A13" s="1" t="s">
        <v>81</v>
      </c>
      <c r="B13" s="13" t="s">
        <v>82</v>
      </c>
      <c r="C13" s="10">
        <v>2265000</v>
      </c>
      <c r="D13" s="11">
        <v>2265000000</v>
      </c>
      <c r="E13" s="3">
        <v>8.0700000000000008E-2</v>
      </c>
      <c r="F13" s="4" t="s">
        <v>59</v>
      </c>
      <c r="G13" s="4" t="s">
        <v>83</v>
      </c>
      <c r="H13" s="11">
        <v>1622351550</v>
      </c>
      <c r="I13" s="11">
        <v>65.47590000000001</v>
      </c>
      <c r="J13" s="11">
        <v>70.317900000000009</v>
      </c>
      <c r="K13" s="11">
        <v>109671300</v>
      </c>
      <c r="L13" s="11">
        <v>1592700435</v>
      </c>
      <c r="M13" s="6">
        <f t="shared" si="0"/>
        <v>5.1807393600377234E-2</v>
      </c>
    </row>
    <row r="14" spans="1:13" x14ac:dyDescent="0.25">
      <c r="A14" s="1" t="s">
        <v>84</v>
      </c>
      <c r="B14" s="13" t="s">
        <v>85</v>
      </c>
      <c r="C14" s="10">
        <v>2265000</v>
      </c>
      <c r="D14" s="11">
        <v>2265000000</v>
      </c>
      <c r="E14" s="3">
        <v>8.0700000000000008E-2</v>
      </c>
      <c r="F14" s="4" t="s">
        <v>59</v>
      </c>
      <c r="G14" s="4" t="s">
        <v>86</v>
      </c>
      <c r="H14" s="11">
        <v>1597764975</v>
      </c>
      <c r="I14" s="11">
        <v>64.237200000000001</v>
      </c>
      <c r="J14" s="11">
        <v>71.388116666666662</v>
      </c>
      <c r="K14" s="11">
        <v>161968262.5</v>
      </c>
      <c r="L14" s="11">
        <v>1616940842.5</v>
      </c>
      <c r="M14" s="6">
        <f t="shared" si="0"/>
        <v>5.2595886090734366E-2</v>
      </c>
    </row>
    <row r="15" spans="1:13" x14ac:dyDescent="0.25">
      <c r="A15" s="1" t="s">
        <v>87</v>
      </c>
      <c r="B15" s="13" t="s">
        <v>88</v>
      </c>
      <c r="C15" s="10">
        <v>3775000</v>
      </c>
      <c r="D15" s="11">
        <v>3775000000</v>
      </c>
      <c r="E15" s="3">
        <v>5.4900000000000004E-2</v>
      </c>
      <c r="F15" s="4" t="s">
        <v>59</v>
      </c>
      <c r="G15" s="4" t="s">
        <v>89</v>
      </c>
      <c r="H15" s="11">
        <v>3136670150</v>
      </c>
      <c r="I15" s="11">
        <v>87.675600000000003</v>
      </c>
      <c r="J15" s="11">
        <v>91.655850000000001</v>
      </c>
      <c r="K15" s="11">
        <v>150254437.5</v>
      </c>
      <c r="L15" s="11">
        <v>3460008337.5</v>
      </c>
      <c r="M15" s="6">
        <f t="shared" si="0"/>
        <v>0.11254722474000541</v>
      </c>
    </row>
    <row r="16" spans="1:13" x14ac:dyDescent="0.25">
      <c r="A16" s="1" t="s">
        <v>90</v>
      </c>
      <c r="B16" s="13" t="s">
        <v>91</v>
      </c>
      <c r="C16" s="10">
        <v>2803860</v>
      </c>
      <c r="D16" s="11">
        <v>2803860000</v>
      </c>
      <c r="E16" s="3">
        <v>5.5E-2</v>
      </c>
      <c r="F16" s="4" t="s">
        <v>92</v>
      </c>
      <c r="G16" s="4" t="s">
        <v>93</v>
      </c>
      <c r="H16" s="11">
        <v>1773018067.1400001</v>
      </c>
      <c r="I16" s="11">
        <v>60.282200000000003</v>
      </c>
      <c r="J16" s="11">
        <v>63.857200000000006</v>
      </c>
      <c r="K16" s="11">
        <v>100237995</v>
      </c>
      <c r="L16" s="11">
        <v>1790466487.9200001</v>
      </c>
      <c r="M16" s="6">
        <f t="shared" si="0"/>
        <v>5.8240331973009422E-2</v>
      </c>
    </row>
    <row r="17" spans="1:15" x14ac:dyDescent="0.25">
      <c r="A17" s="1" t="s">
        <v>94</v>
      </c>
      <c r="B17" s="13" t="s">
        <v>95</v>
      </c>
      <c r="C17" s="10">
        <v>1038480</v>
      </c>
      <c r="D17" s="11">
        <v>1038480000</v>
      </c>
      <c r="E17" s="3">
        <v>0.12</v>
      </c>
      <c r="F17" s="4" t="s">
        <v>92</v>
      </c>
      <c r="G17" s="4" t="s">
        <v>96</v>
      </c>
      <c r="H17" s="11">
        <v>979029096.96000004</v>
      </c>
      <c r="I17" s="11">
        <v>87.691299999999998</v>
      </c>
      <c r="J17" s="11">
        <v>97.057966666666658</v>
      </c>
      <c r="K17" s="11">
        <v>97270960</v>
      </c>
      <c r="L17" s="11">
        <v>1007927572.24</v>
      </c>
      <c r="M17" s="6">
        <f t="shared" si="0"/>
        <v>3.2785889491962331E-2</v>
      </c>
    </row>
    <row r="18" spans="1:15" x14ac:dyDescent="0.25">
      <c r="A18" s="1" t="s">
        <v>97</v>
      </c>
      <c r="B18" s="13" t="s">
        <v>98</v>
      </c>
      <c r="C18" s="10">
        <v>506989</v>
      </c>
      <c r="D18" s="11">
        <v>506989000</v>
      </c>
      <c r="E18" s="3">
        <v>0.1535</v>
      </c>
      <c r="F18" s="4" t="s">
        <v>99</v>
      </c>
      <c r="G18" s="4" t="s">
        <v>100</v>
      </c>
      <c r="H18" s="11">
        <v>492216861.50999999</v>
      </c>
      <c r="I18" s="11">
        <v>98.65100000000001</v>
      </c>
      <c r="J18" s="11">
        <v>99.930166666666651</v>
      </c>
      <c r="K18" s="11">
        <v>6485234.2916666698</v>
      </c>
      <c r="L18" s="11">
        <v>506634952.68166697</v>
      </c>
      <c r="M18" s="6">
        <f t="shared" si="0"/>
        <v>1.6479832508671109E-2</v>
      </c>
    </row>
    <row r="19" spans="1:15" x14ac:dyDescent="0.25">
      <c r="A19" s="1" t="s">
        <v>101</v>
      </c>
      <c r="B19" s="13" t="s">
        <v>102</v>
      </c>
      <c r="C19" s="10">
        <v>2100000</v>
      </c>
      <c r="D19" s="11">
        <v>2100000000</v>
      </c>
      <c r="E19" s="3">
        <v>0.14300000000000002</v>
      </c>
      <c r="F19" s="4" t="s">
        <v>103</v>
      </c>
      <c r="G19" s="4" t="s">
        <v>104</v>
      </c>
      <c r="H19" s="11">
        <v>2100000000</v>
      </c>
      <c r="I19" s="11">
        <v>95.28460668804459</v>
      </c>
      <c r="J19" s="11">
        <v>99.455440021377925</v>
      </c>
      <c r="K19" s="11">
        <v>87587500</v>
      </c>
      <c r="L19" s="11">
        <v>2088564240.448936</v>
      </c>
      <c r="M19" s="6">
        <f t="shared" si="0"/>
        <v>6.7936862002935874E-2</v>
      </c>
    </row>
    <row r="20" spans="1:15" x14ac:dyDescent="0.25">
      <c r="A20" s="1" t="s">
        <v>105</v>
      </c>
      <c r="B20" s="13" t="s">
        <v>106</v>
      </c>
      <c r="C20" s="10">
        <v>1000000</v>
      </c>
      <c r="D20" s="11">
        <v>1000000000</v>
      </c>
      <c r="E20" s="3">
        <v>0.1389</v>
      </c>
      <c r="F20" s="4" t="s">
        <v>107</v>
      </c>
      <c r="G20" s="4" t="s">
        <v>108</v>
      </c>
      <c r="H20" s="11">
        <v>1000000000</v>
      </c>
      <c r="I20" s="11">
        <v>98.70518087865949</v>
      </c>
      <c r="J20" s="11">
        <v>99.476847545326152</v>
      </c>
      <c r="K20" s="11">
        <v>7716666.6666666698</v>
      </c>
      <c r="L20" s="11">
        <v>994768475.45326197</v>
      </c>
      <c r="M20" s="6">
        <f t="shared" si="0"/>
        <v>3.2357850112004483E-2</v>
      </c>
    </row>
    <row r="21" spans="1:15" x14ac:dyDescent="0.25">
      <c r="A21" s="1" t="s">
        <v>109</v>
      </c>
      <c r="B21" s="13" t="s">
        <v>110</v>
      </c>
      <c r="C21" s="10">
        <v>165739</v>
      </c>
      <c r="D21" s="11">
        <v>165739000</v>
      </c>
      <c r="E21" s="3">
        <v>0.125</v>
      </c>
      <c r="F21" s="4" t="s">
        <v>111</v>
      </c>
      <c r="G21" s="4" t="s">
        <v>112</v>
      </c>
      <c r="H21" s="11">
        <v>159596381.18279999</v>
      </c>
      <c r="I21" s="11">
        <v>97.006990909314396</v>
      </c>
      <c r="J21" s="11">
        <v>103.46532424263401</v>
      </c>
      <c r="K21" s="11">
        <v>10703977.083311111</v>
      </c>
      <c r="L21" s="11">
        <v>171482393.74649999</v>
      </c>
      <c r="M21" s="6">
        <f t="shared" si="0"/>
        <v>5.5779829484128894E-3</v>
      </c>
    </row>
    <row r="22" spans="1:15" x14ac:dyDescent="0.25">
      <c r="A22" s="1" t="s">
        <v>113</v>
      </c>
      <c r="B22" s="13" t="s">
        <v>114</v>
      </c>
      <c r="C22" s="10">
        <v>494987</v>
      </c>
      <c r="D22" s="11">
        <v>494987000</v>
      </c>
      <c r="E22" s="3">
        <v>0.1701</v>
      </c>
      <c r="F22" s="4" t="s">
        <v>115</v>
      </c>
      <c r="G22" s="4" t="s">
        <v>116</v>
      </c>
      <c r="H22" s="11">
        <v>495088472.34249997</v>
      </c>
      <c r="I22" s="11">
        <v>103.3416</v>
      </c>
      <c r="J22" s="11">
        <v>109.53135</v>
      </c>
      <c r="K22" s="11">
        <v>30638457.8325</v>
      </c>
      <c r="L22" s="11">
        <v>542165943.42449999</v>
      </c>
      <c r="M22" s="6">
        <f t="shared" si="0"/>
        <v>1.7635585330717213E-2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1812040666.5963671</v>
      </c>
      <c r="L24" s="22">
        <f>SUM(L4:L23)</f>
        <v>30742724625.089088</v>
      </c>
      <c r="M24" s="23"/>
      <c r="N24" s="26">
        <v>30742724625.089111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8110760.4299999997</v>
      </c>
      <c r="C27" s="51">
        <v>8110760.4299999997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32785161</v>
      </c>
      <c r="D32" s="7" t="s">
        <v>51</v>
      </c>
      <c r="E32" s="34" t="s">
        <v>52</v>
      </c>
      <c r="F32" s="34" t="s">
        <v>53</v>
      </c>
      <c r="G32" s="15">
        <v>97.826599999920688</v>
      </c>
      <c r="H32" s="15">
        <v>97.872243211189343</v>
      </c>
      <c r="I32" s="16">
        <f t="shared" ref="I32:I37" si="1">+C32*G32</f>
        <v>3207260831.0799999</v>
      </c>
      <c r="J32" s="16">
        <f t="shared" ref="J32:J37" si="2">+C32*H32</f>
        <v>3208757251.1099997</v>
      </c>
      <c r="K32" s="18">
        <v>0.17029900000000001</v>
      </c>
      <c r="L32" s="17">
        <v>1496420.03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32785161</v>
      </c>
      <c r="D33" s="7" t="s">
        <v>51</v>
      </c>
      <c r="E33" s="34" t="s">
        <v>53</v>
      </c>
      <c r="F33" s="34" t="s">
        <v>53</v>
      </c>
      <c r="G33" s="15">
        <v>97.826599999920688</v>
      </c>
      <c r="H33" s="15">
        <v>97.872243211189343</v>
      </c>
      <c r="I33" s="16">
        <f t="shared" si="1"/>
        <v>3207260831.0799999</v>
      </c>
      <c r="J33" s="16">
        <f t="shared" si="2"/>
        <v>3208757251.1099997</v>
      </c>
      <c r="K33" s="18">
        <v>0.17029900000000001</v>
      </c>
      <c r="L33" s="17"/>
      <c r="M33" s="17"/>
      <c r="N33" s="35"/>
    </row>
    <row r="34" spans="1:15" s="36" customFormat="1" ht="12" customHeight="1" x14ac:dyDescent="0.25">
      <c r="A34" s="12" t="s">
        <v>49</v>
      </c>
      <c r="B34" s="7" t="s">
        <v>50</v>
      </c>
      <c r="C34" s="14">
        <v>2514858</v>
      </c>
      <c r="D34" s="7" t="s">
        <v>51</v>
      </c>
      <c r="E34" s="34" t="s">
        <v>52</v>
      </c>
      <c r="F34" s="34" t="s">
        <v>53</v>
      </c>
      <c r="G34" s="15">
        <v>97.826599998886607</v>
      </c>
      <c r="H34" s="15">
        <v>97.872270012859559</v>
      </c>
      <c r="I34" s="16">
        <f t="shared" si="1"/>
        <v>246020007.61999997</v>
      </c>
      <c r="J34" s="16">
        <f t="shared" si="2"/>
        <v>246134861.21999997</v>
      </c>
      <c r="K34" s="18">
        <v>0.17039899999999999</v>
      </c>
      <c r="L34" s="17">
        <v>114853.6</v>
      </c>
      <c r="M34" s="17"/>
      <c r="N34" s="35"/>
    </row>
    <row r="35" spans="1:15" s="36" customFormat="1" ht="12" customHeight="1" x14ac:dyDescent="0.25">
      <c r="A35" s="12" t="s">
        <v>49</v>
      </c>
      <c r="B35" s="7" t="s">
        <v>50</v>
      </c>
      <c r="C35" s="14">
        <v>2514858</v>
      </c>
      <c r="D35" s="7" t="s">
        <v>51</v>
      </c>
      <c r="E35" s="34" t="s">
        <v>53</v>
      </c>
      <c r="F35" s="34" t="s">
        <v>53</v>
      </c>
      <c r="G35" s="15">
        <v>97.826599998886607</v>
      </c>
      <c r="H35" s="15">
        <v>97.872270012859559</v>
      </c>
      <c r="I35" s="16">
        <f t="shared" si="1"/>
        <v>246020007.61999997</v>
      </c>
      <c r="J35" s="16">
        <f t="shared" si="2"/>
        <v>246134861.21999997</v>
      </c>
      <c r="K35" s="18">
        <v>0.17039899999999999</v>
      </c>
      <c r="L35" s="17"/>
      <c r="M35" s="17"/>
      <c r="N35" s="35"/>
    </row>
    <row r="36" spans="1:15" s="36" customFormat="1" ht="12" customHeight="1" x14ac:dyDescent="0.25">
      <c r="A36" s="12" t="s">
        <v>54</v>
      </c>
      <c r="B36" s="7" t="s">
        <v>55</v>
      </c>
      <c r="C36" s="14">
        <v>3195168</v>
      </c>
      <c r="D36" s="7" t="s">
        <v>51</v>
      </c>
      <c r="E36" s="34" t="s">
        <v>53</v>
      </c>
      <c r="F36" s="34" t="s">
        <v>56</v>
      </c>
      <c r="G36" s="15">
        <v>1004.5</v>
      </c>
      <c r="H36" s="15">
        <v>1004.969225342767</v>
      </c>
      <c r="I36" s="16">
        <f t="shared" si="1"/>
        <v>3209546256</v>
      </c>
      <c r="J36" s="16">
        <f t="shared" si="2"/>
        <v>3211045509.7999983</v>
      </c>
      <c r="K36" s="18">
        <v>0.17050000000000001</v>
      </c>
      <c r="L36" s="17"/>
      <c r="M36" s="17">
        <v>3209546256</v>
      </c>
      <c r="N36" s="35"/>
    </row>
    <row r="37" spans="1:15" s="36" customFormat="1" ht="12" customHeight="1" x14ac:dyDescent="0.25">
      <c r="A37" s="12" t="s">
        <v>49</v>
      </c>
      <c r="B37" s="7" t="s">
        <v>50</v>
      </c>
      <c r="C37" s="14">
        <v>2483217</v>
      </c>
      <c r="D37" s="7" t="s">
        <v>51</v>
      </c>
      <c r="E37" s="34" t="s">
        <v>53</v>
      </c>
      <c r="F37" s="34" t="s">
        <v>56</v>
      </c>
      <c r="G37" s="15">
        <v>97.86400000080539</v>
      </c>
      <c r="H37" s="15">
        <v>97.909660931767121</v>
      </c>
      <c r="I37" s="16">
        <f t="shared" si="1"/>
        <v>243017548.48999995</v>
      </c>
      <c r="J37" s="16">
        <f t="shared" si="2"/>
        <v>243130934.48999995</v>
      </c>
      <c r="K37" s="18">
        <v>0.17030000000000001</v>
      </c>
      <c r="L37" s="17"/>
      <c r="M37" s="17">
        <v>243017548.49000001</v>
      </c>
      <c r="N37" s="35"/>
    </row>
    <row r="38" spans="1:15" s="36" customFormat="1" ht="11.25" hidden="1" x14ac:dyDescent="0.25">
      <c r="A38" s="7"/>
      <c r="B38" s="7"/>
      <c r="C38" s="7"/>
      <c r="D38" s="7"/>
      <c r="E38" s="37"/>
      <c r="F38" s="37"/>
      <c r="G38" s="7"/>
      <c r="H38" s="7"/>
      <c r="I38" s="8"/>
      <c r="J38" s="8"/>
      <c r="K38" s="7"/>
      <c r="L38" s="9"/>
      <c r="M38" s="9"/>
      <c r="N38" s="35"/>
    </row>
    <row r="39" spans="1:15" x14ac:dyDescent="0.25">
      <c r="A39" s="1" t="s">
        <v>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2">
        <f>SUM(M32:M38)</f>
        <v>3452563804.4899998</v>
      </c>
      <c r="N39" s="38">
        <v>3452563804.4899998</v>
      </c>
      <c r="O39" s="29">
        <f>M39-N39</f>
        <v>0</v>
      </c>
    </row>
    <row r="41" spans="1:15" x14ac:dyDescent="0.25">
      <c r="A41" s="39" t="s">
        <v>28</v>
      </c>
      <c r="B41" s="33"/>
      <c r="D41" s="33"/>
      <c r="F41" s="28"/>
      <c r="G41" s="28"/>
    </row>
    <row r="42" spans="1:15" ht="22.5" x14ac:dyDescent="0.25">
      <c r="A42" s="19" t="s">
        <v>6</v>
      </c>
      <c r="B42" s="19" t="s">
        <v>29</v>
      </c>
      <c r="C42" s="19" t="s">
        <v>17</v>
      </c>
      <c r="D42" s="19" t="s">
        <v>30</v>
      </c>
      <c r="E42" s="19" t="s">
        <v>16</v>
      </c>
      <c r="F42" s="19" t="s">
        <v>31</v>
      </c>
      <c r="G42" s="19" t="s">
        <v>32</v>
      </c>
    </row>
    <row r="43" spans="1:15" hidden="1" x14ac:dyDescent="0.25">
      <c r="B43" s="41"/>
      <c r="C43" s="42"/>
      <c r="D43" s="43"/>
      <c r="G43" s="44"/>
      <c r="H43" s="33"/>
    </row>
    <row r="44" spans="1:15" x14ac:dyDescent="0.25">
      <c r="G44" s="45">
        <f>SUM(G43:G43)</f>
        <v>0</v>
      </c>
    </row>
    <row r="46" spans="1:15" x14ac:dyDescent="0.25">
      <c r="A46" s="46" t="s">
        <v>13</v>
      </c>
      <c r="B46" s="47">
        <f>+L24+B27+M39+G44</f>
        <v>34203399190.009087</v>
      </c>
      <c r="C46" s="32">
        <v>34203399190.009109</v>
      </c>
      <c r="D46" s="29">
        <f>B46-C46</f>
        <v>0</v>
      </c>
    </row>
    <row r="49" spans="1:2" x14ac:dyDescent="0.25">
      <c r="A49" s="24" t="s">
        <v>46</v>
      </c>
      <c r="B49" s="33"/>
    </row>
    <row r="50" spans="1:2" x14ac:dyDescent="0.25">
      <c r="A50" s="48" t="s">
        <v>35</v>
      </c>
      <c r="B50" s="49"/>
    </row>
    <row r="51" spans="1:2" x14ac:dyDescent="0.25">
      <c r="A51" s="48" t="s">
        <v>36</v>
      </c>
      <c r="B51" s="40"/>
    </row>
    <row r="52" spans="1:2" x14ac:dyDescent="0.25">
      <c r="A52" s="48" t="s">
        <v>37</v>
      </c>
      <c r="B52" s="40">
        <v>760555.71</v>
      </c>
    </row>
    <row r="53" spans="1:2" x14ac:dyDescent="0.25">
      <c r="A53" s="48" t="s">
        <v>38</v>
      </c>
      <c r="B53" s="40"/>
    </row>
    <row r="54" spans="1:2" x14ac:dyDescent="0.25">
      <c r="A54" s="48" t="s">
        <v>39</v>
      </c>
      <c r="B54" s="40"/>
    </row>
    <row r="55" spans="1:2" x14ac:dyDescent="0.25">
      <c r="A55" s="48" t="s">
        <v>40</v>
      </c>
      <c r="B55" s="40">
        <v>226591.96000000002</v>
      </c>
    </row>
    <row r="56" spans="1:2" x14ac:dyDescent="0.25">
      <c r="A56" s="48" t="s">
        <v>41</v>
      </c>
      <c r="B56" s="40">
        <v>113071.01999999999</v>
      </c>
    </row>
    <row r="57" spans="1:2" x14ac:dyDescent="0.25">
      <c r="A57" s="48" t="s">
        <v>42</v>
      </c>
      <c r="B57" s="40"/>
    </row>
    <row r="58" spans="1:2" x14ac:dyDescent="0.25">
      <c r="A58" s="48" t="s">
        <v>43</v>
      </c>
      <c r="B58" s="40"/>
    </row>
    <row r="59" spans="1:2" x14ac:dyDescent="0.25">
      <c r="A59" s="48" t="s">
        <v>44</v>
      </c>
      <c r="B59" s="50"/>
    </row>
    <row r="60" spans="1:2" x14ac:dyDescent="0.25">
      <c r="A60" s="48" t="s">
        <v>45</v>
      </c>
      <c r="B60" s="49">
        <f>SUM(B50:B59)</f>
        <v>1100218.69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2025-12-19T06:09:27Z</dcterms:created>
  <dcterms:modified xsi:type="dcterms:W3CDTF">2025-12-19T10:21:02Z</dcterms:modified>
</cp:coreProperties>
</file>