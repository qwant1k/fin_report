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2.2025\"/>
    </mc:Choice>
  </mc:AlternateContent>
  <xr:revisionPtr revIDLastSave="0" documentId="13_ncr:1_{1FCF07F0-601E-4FB8-A8C8-C0FABF8B8E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3" i="1" l="1"/>
  <c r="O36" i="1"/>
  <c r="O24" i="1"/>
  <c r="D27" i="1"/>
  <c r="B57" i="1"/>
  <c r="B43" i="1"/>
  <c r="G41" i="1"/>
  <c r="M36" i="1"/>
  <c r="J34" i="1"/>
  <c r="I34" i="1"/>
  <c r="J33" i="1"/>
  <c r="I33" i="1"/>
  <c r="J32" i="1"/>
  <c r="I32" i="1"/>
  <c r="L24" i="1"/>
  <c r="K24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</calcChain>
</file>

<file path=xl/sharedStrings.xml><?xml version="1.0" encoding="utf-8"?>
<sst xmlns="http://schemas.openxmlformats.org/spreadsheetml/2006/main" count="145" uniqueCount="119">
  <si>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</si>
  <si>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</si>
  <si>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</si>
  <si>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</si>
  <si>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</si>
  <si>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</si>
  <si>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</si>
  <si>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</si>
  <si>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</si>
  <si>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</si>
  <si>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</si>
  <si>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</si>
  <si>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</si>
  <si>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</si>
  <si>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</si>
  <si>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</si>
  <si>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</si>
  <si>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</si>
  <si>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</si>
  <si>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</si>
  <si>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</si>
  <si>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</si>
  <si>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</si>
  <si>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</si>
  <si>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</si>
  <si>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</si>
  <si>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</si>
  <si>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</si>
  <si>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</si>
  <si>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</si>
  <si>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</si>
  <si>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</si>
  <si>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</si>
  <si>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</si>
  <si>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</si>
  <si>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</si>
  <si>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</si>
  <si>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</si>
  <si>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</si>
  <si>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</si>
  <si>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</si>
  <si>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</si>
  <si>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</si>
  <si>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</si>
  <si>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</si>
  <si>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</si>
  <si>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</si>
  <si>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</si>
  <si>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</si>
  <si>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ОБЛИГАЦИИ, MFKZ.0435</t>
  </si>
  <si>
    <t>XS2914770545</t>
  </si>
  <si>
    <t>KZT</t>
  </si>
  <si>
    <t>26.12.2025</t>
  </si>
  <si>
    <t>29.12.2025</t>
  </si>
  <si>
    <t>МИНИСТЕРСТВО ФИНАНСОВ РК, ГЦБ, MKM012_0160</t>
  </si>
  <si>
    <t>KZK100000373</t>
  </si>
  <si>
    <t>МИНИСТЕРСТВО ФИНАНСОВ РК, ГЦБ, MUM096_0011</t>
  </si>
  <si>
    <t>KZKD00001095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</si>
  <si>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</si>
  <si>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</si>
  <si>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</si>
  <si>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</si>
  <si>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</si>
  <si>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</si>
  <si>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</si>
  <si>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</si>
  <si>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</si>
  <si>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</si>
  <si>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</si>
  <si>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</si>
  <si>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</si>
  <si>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</si>
  <si>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</si>
  <si>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</si>
  <si>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</si>
  <si>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</si>
  <si>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</si>
  <si>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</si>
  <si>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</si>
  <si>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</si>
  <si>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</si>
  <si>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</si>
  <si>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</si>
  <si>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</si>
  <si>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</si>
  <si>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</si>
  <si>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</si>
  <si>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</si>
  <si>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</si>
  <si>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</si>
  <si>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</si>
  <si>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</si>
  <si>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</si>
  <si>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</si>
  <si>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</si>
  <si>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</si>
  <si>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</si>
  <si>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</si>
  <si>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</si>
  <si>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</si>
  <si>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</si>
  <si>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</si>
  <si>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</si>
  <si>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</si>
  <si>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</si>
  <si>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</si>
  <si>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</si>
  <si>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</si>
  <si>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</si>
  <si>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</si>
  <si>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АО КФУ,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</si>
  <si>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</si>
  <si>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</si>
  <si>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</si>
  <si>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</si>
  <si>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</si>
  <si>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</si>
  <si>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</si>
  <si>
    <t>28.12.2025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</si>
</sst>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7"/>
  <sheetViews>
    <sheetView tabSelected="1" topLeftCell="A7" zoomScale="90" zoomScaleNormal="90" workbookViewId="0">
      <selection activeCell="D44" sqref="D44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118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58</v>
      </c>
      <c r="B4" s="13" t="s">
        <v>59</v>
      </c>
      <c r="C4" s="10">
        <v>3020000</v>
      </c>
      <c r="D4" s="11">
        <v>3020000000</v>
      </c>
      <c r="E4" s="3">
        <v>0.1067</v>
      </c>
      <c r="F4" s="4" t="s">
        <v>60</v>
      </c>
      <c r="G4" s="4" t="s">
        <v>61</v>
      </c>
      <c r="H4" s="11">
        <v>2930617060.0000029</v>
      </c>
      <c r="I4" s="11">
        <v>99.565100000000001</v>
      </c>
      <c r="J4" s="11">
        <v>104.218405555556</v>
      </c>
      <c r="K4" s="11">
        <v>140529827.777778</v>
      </c>
      <c r="L4" s="11">
        <v>3147395847.7777772</v>
      </c>
      <c r="M4" s="6">
        <f t="shared" ref="M4:M22" si="0">L4/$L$24</f>
        <v>0.10148566588885936</v>
      </c>
    </row>
    <row r="5" spans="1:13" x14ac:dyDescent="0.25">
      <c r="A5" s="1" t="s">
        <v>62</v>
      </c>
      <c r="B5" s="13" t="s">
        <v>63</v>
      </c>
      <c r="C5" s="10">
        <v>2265000</v>
      </c>
      <c r="D5" s="11">
        <v>2265000000</v>
      </c>
      <c r="E5" s="3">
        <v>0.10550000000000001</v>
      </c>
      <c r="F5" s="4" t="s">
        <v>60</v>
      </c>
      <c r="G5" s="4" t="s">
        <v>64</v>
      </c>
      <c r="H5" s="11">
        <v>2039188560.0000031</v>
      </c>
      <c r="I5" s="11">
        <v>85.5124</v>
      </c>
      <c r="J5" s="11">
        <v>89.908233333333328</v>
      </c>
      <c r="K5" s="11">
        <v>99565624.999999985</v>
      </c>
      <c r="L5" s="11">
        <v>2036421484.999999</v>
      </c>
      <c r="M5" s="6">
        <f t="shared" si="0"/>
        <v>6.5663043490866463E-2</v>
      </c>
    </row>
    <row r="6" spans="1:13" x14ac:dyDescent="0.25">
      <c r="A6" s="1" t="s">
        <v>62</v>
      </c>
      <c r="B6" s="13" t="s">
        <v>63</v>
      </c>
      <c r="C6" s="10">
        <v>1551646</v>
      </c>
      <c r="D6" s="11">
        <v>1551646000</v>
      </c>
      <c r="E6" s="3">
        <v>0.10550000000000001</v>
      </c>
      <c r="F6" s="4" t="s">
        <v>65</v>
      </c>
      <c r="G6" s="4" t="s">
        <v>64</v>
      </c>
      <c r="H6" s="11">
        <v>1395452658.7</v>
      </c>
      <c r="I6" s="11">
        <v>85.5124</v>
      </c>
      <c r="J6" s="11">
        <v>89.908233333333584</v>
      </c>
      <c r="K6" s="11">
        <v>68207772.083333328</v>
      </c>
      <c r="L6" s="11">
        <v>1395057506.1873369</v>
      </c>
      <c r="M6" s="6">
        <f t="shared" si="0"/>
        <v>4.4982692618291083E-2</v>
      </c>
    </row>
    <row r="7" spans="1:13" x14ac:dyDescent="0.25">
      <c r="A7" s="1" t="s">
        <v>62</v>
      </c>
      <c r="B7" s="13" t="s">
        <v>63</v>
      </c>
      <c r="C7" s="10">
        <v>545692</v>
      </c>
      <c r="D7" s="11">
        <v>545692000</v>
      </c>
      <c r="E7" s="3">
        <v>0.10550000000000001</v>
      </c>
      <c r="F7" s="4" t="s">
        <v>66</v>
      </c>
      <c r="G7" s="4" t="s">
        <v>64</v>
      </c>
      <c r="H7" s="11">
        <v>449784993.92000002</v>
      </c>
      <c r="I7" s="11">
        <v>85.5124</v>
      </c>
      <c r="J7" s="11">
        <v>89.908233333333328</v>
      </c>
      <c r="K7" s="11">
        <v>23987710.833333328</v>
      </c>
      <c r="L7" s="11">
        <v>490622036.64133298</v>
      </c>
      <c r="M7" s="6">
        <f t="shared" si="0"/>
        <v>1.5819778158330196E-2</v>
      </c>
    </row>
    <row r="8" spans="1:13" x14ac:dyDescent="0.25">
      <c r="A8" s="1" t="s">
        <v>67</v>
      </c>
      <c r="B8" s="13" t="s">
        <v>68</v>
      </c>
      <c r="C8" s="10">
        <v>2265000</v>
      </c>
      <c r="D8" s="11">
        <v>2265000000</v>
      </c>
      <c r="E8" s="3">
        <v>0.10400000000000001</v>
      </c>
      <c r="F8" s="4" t="s">
        <v>60</v>
      </c>
      <c r="G8" s="4" t="s">
        <v>69</v>
      </c>
      <c r="H8" s="11">
        <v>2073109200</v>
      </c>
      <c r="I8" s="11">
        <v>88.952700000000007</v>
      </c>
      <c r="J8" s="11">
        <v>96.348255555555539</v>
      </c>
      <c r="K8" s="11">
        <v>167509333.33333299</v>
      </c>
      <c r="L8" s="11">
        <v>2182287988.333333</v>
      </c>
      <c r="M8" s="6">
        <f t="shared" si="0"/>
        <v>7.0366410953244876E-2</v>
      </c>
    </row>
    <row r="9" spans="1:13" x14ac:dyDescent="0.25">
      <c r="A9" s="1" t="s">
        <v>70</v>
      </c>
      <c r="B9" s="13" t="s">
        <v>71</v>
      </c>
      <c r="C9" s="10">
        <v>2265000</v>
      </c>
      <c r="D9" s="11">
        <v>2265000000</v>
      </c>
      <c r="E9" s="3">
        <v>0.11</v>
      </c>
      <c r="F9" s="4" t="s">
        <v>60</v>
      </c>
      <c r="G9" s="4" t="s">
        <v>72</v>
      </c>
      <c r="H9" s="11">
        <v>2080889475</v>
      </c>
      <c r="I9" s="11">
        <v>87.431899999999999</v>
      </c>
      <c r="J9" s="11">
        <v>95.620788888888882</v>
      </c>
      <c r="K9" s="11">
        <v>185478333.33333299</v>
      </c>
      <c r="L9" s="11">
        <v>2165810868.333333</v>
      </c>
      <c r="M9" s="6">
        <f t="shared" si="0"/>
        <v>6.9835117281903447E-2</v>
      </c>
    </row>
    <row r="10" spans="1:13" x14ac:dyDescent="0.25">
      <c r="A10" s="1" t="s">
        <v>73</v>
      </c>
      <c r="B10" s="13" t="s">
        <v>74</v>
      </c>
      <c r="C10" s="10">
        <v>2265000</v>
      </c>
      <c r="D10" s="11">
        <v>2265000000</v>
      </c>
      <c r="E10" s="3">
        <v>0.10300000000000001</v>
      </c>
      <c r="F10" s="4" t="s">
        <v>60</v>
      </c>
      <c r="G10" s="4" t="s">
        <v>75</v>
      </c>
      <c r="H10" s="11">
        <v>1963990560.0000031</v>
      </c>
      <c r="I10" s="11">
        <v>81.214300000000009</v>
      </c>
      <c r="J10" s="11">
        <v>89.254022222222218</v>
      </c>
      <c r="K10" s="11">
        <v>182099708.33333299</v>
      </c>
      <c r="L10" s="11">
        <v>2021603603.333333</v>
      </c>
      <c r="M10" s="6">
        <f t="shared" si="0"/>
        <v>6.5185250845538528E-2</v>
      </c>
    </row>
    <row r="11" spans="1:13" x14ac:dyDescent="0.25">
      <c r="A11" s="1" t="s">
        <v>76</v>
      </c>
      <c r="B11" s="13" t="s">
        <v>77</v>
      </c>
      <c r="C11" s="10">
        <v>2265000</v>
      </c>
      <c r="D11" s="11">
        <v>2265000000</v>
      </c>
      <c r="E11" s="3">
        <v>8.4500000000000006E-2</v>
      </c>
      <c r="F11" s="4" t="s">
        <v>60</v>
      </c>
      <c r="G11" s="4" t="s">
        <v>78</v>
      </c>
      <c r="H11" s="11">
        <v>1740247065.0000031</v>
      </c>
      <c r="I11" s="11">
        <v>72.1678</v>
      </c>
      <c r="J11" s="11">
        <v>78.082799999999992</v>
      </c>
      <c r="K11" s="11">
        <v>133974750</v>
      </c>
      <c r="L11" s="11">
        <v>1768575419.999999</v>
      </c>
      <c r="M11" s="6">
        <f t="shared" si="0"/>
        <v>5.702652696199452E-2</v>
      </c>
    </row>
    <row r="12" spans="1:13" x14ac:dyDescent="0.25">
      <c r="A12" s="1" t="s">
        <v>79</v>
      </c>
      <c r="B12" s="13" t="s">
        <v>80</v>
      </c>
      <c r="C12" s="10">
        <v>2265000</v>
      </c>
      <c r="D12" s="11">
        <v>2265000000</v>
      </c>
      <c r="E12" s="3">
        <v>0.10650000000000001</v>
      </c>
      <c r="F12" s="4" t="s">
        <v>60</v>
      </c>
      <c r="G12" s="4" t="s">
        <v>81</v>
      </c>
      <c r="H12" s="11">
        <v>1967775375</v>
      </c>
      <c r="I12" s="11">
        <v>80.058400000000006</v>
      </c>
      <c r="J12" s="11">
        <v>84.555066666666661</v>
      </c>
      <c r="K12" s="11">
        <v>101849500</v>
      </c>
      <c r="L12" s="11">
        <v>1915172260</v>
      </c>
      <c r="M12" s="6">
        <f t="shared" si="0"/>
        <v>6.1753443639827384E-2</v>
      </c>
    </row>
    <row r="13" spans="1:13" x14ac:dyDescent="0.25">
      <c r="A13" s="1" t="s">
        <v>82</v>
      </c>
      <c r="B13" s="13" t="s">
        <v>83</v>
      </c>
      <c r="C13" s="10">
        <v>2265000</v>
      </c>
      <c r="D13" s="11">
        <v>2265000000</v>
      </c>
      <c r="E13" s="3">
        <v>8.0700000000000008E-2</v>
      </c>
      <c r="F13" s="4" t="s">
        <v>60</v>
      </c>
      <c r="G13" s="4" t="s">
        <v>84</v>
      </c>
      <c r="H13" s="11">
        <v>1622351550</v>
      </c>
      <c r="I13" s="11">
        <v>66.187600000000003</v>
      </c>
      <c r="J13" s="11">
        <v>71.253766666666664</v>
      </c>
      <c r="K13" s="11">
        <v>114748675</v>
      </c>
      <c r="L13" s="11">
        <v>1613897815</v>
      </c>
      <c r="M13" s="6">
        <f t="shared" si="0"/>
        <v>5.2039051442319378E-2</v>
      </c>
    </row>
    <row r="14" spans="1:13" x14ac:dyDescent="0.25">
      <c r="A14" s="1" t="s">
        <v>85</v>
      </c>
      <c r="B14" s="13" t="s">
        <v>86</v>
      </c>
      <c r="C14" s="10">
        <v>2265000</v>
      </c>
      <c r="D14" s="11">
        <v>2265000000</v>
      </c>
      <c r="E14" s="3">
        <v>8.0700000000000008E-2</v>
      </c>
      <c r="F14" s="4" t="s">
        <v>60</v>
      </c>
      <c r="G14" s="4" t="s">
        <v>87</v>
      </c>
      <c r="H14" s="11">
        <v>1597764975</v>
      </c>
      <c r="I14" s="11">
        <v>64.963000000000008</v>
      </c>
      <c r="J14" s="11">
        <v>72.33808333333333</v>
      </c>
      <c r="K14" s="11">
        <v>167045637.5</v>
      </c>
      <c r="L14" s="11">
        <v>1638457587.5</v>
      </c>
      <c r="M14" s="6">
        <f t="shared" si="0"/>
        <v>5.2830964816673355E-2</v>
      </c>
    </row>
    <row r="15" spans="1:13" x14ac:dyDescent="0.25">
      <c r="A15" s="1" t="s">
        <v>88</v>
      </c>
      <c r="B15" s="13" t="s">
        <v>89</v>
      </c>
      <c r="C15" s="10">
        <v>3775000</v>
      </c>
      <c r="D15" s="11">
        <v>3775000000</v>
      </c>
      <c r="E15" s="3">
        <v>5.4900000000000004E-2</v>
      </c>
      <c r="F15" s="4" t="s">
        <v>60</v>
      </c>
      <c r="G15" s="4" t="s">
        <v>90</v>
      </c>
      <c r="H15" s="11">
        <v>3136670150</v>
      </c>
      <c r="I15" s="11">
        <v>88.038300000000007</v>
      </c>
      <c r="J15" s="11">
        <v>92.171049999999994</v>
      </c>
      <c r="K15" s="11">
        <v>156011312.5</v>
      </c>
      <c r="L15" s="11">
        <v>3479457137.5</v>
      </c>
      <c r="M15" s="6">
        <f t="shared" si="0"/>
        <v>0.11219275922354961</v>
      </c>
    </row>
    <row r="16" spans="1:13" x14ac:dyDescent="0.25">
      <c r="A16" s="1" t="s">
        <v>91</v>
      </c>
      <c r="B16" s="13" t="s">
        <v>92</v>
      </c>
      <c r="C16" s="10">
        <v>2803860</v>
      </c>
      <c r="D16" s="11">
        <v>2803860000</v>
      </c>
      <c r="E16" s="3">
        <v>5.5E-2</v>
      </c>
      <c r="F16" s="4" t="s">
        <v>93</v>
      </c>
      <c r="G16" s="4" t="s">
        <v>94</v>
      </c>
      <c r="H16" s="11">
        <v>1773018067.1400001</v>
      </c>
      <c r="I16" s="11">
        <v>60.927500000000002</v>
      </c>
      <c r="J16" s="11">
        <v>64.655277777777769</v>
      </c>
      <c r="K16" s="11">
        <v>104521670</v>
      </c>
      <c r="L16" s="11">
        <v>1812843471.5</v>
      </c>
      <c r="M16" s="6">
        <f t="shared" si="0"/>
        <v>5.8453920560182018E-2</v>
      </c>
    </row>
    <row r="17" spans="1:15" x14ac:dyDescent="0.25">
      <c r="A17" s="1" t="s">
        <v>95</v>
      </c>
      <c r="B17" s="13" t="s">
        <v>96</v>
      </c>
      <c r="C17" s="10">
        <v>1038480</v>
      </c>
      <c r="D17" s="11">
        <v>1038480000</v>
      </c>
      <c r="E17" s="3">
        <v>0.12</v>
      </c>
      <c r="F17" s="4" t="s">
        <v>93</v>
      </c>
      <c r="G17" s="4" t="s">
        <v>97</v>
      </c>
      <c r="H17" s="11">
        <v>979029096.96000004</v>
      </c>
      <c r="I17" s="11">
        <v>88.318400000000011</v>
      </c>
      <c r="J17" s="11">
        <v>98.0184</v>
      </c>
      <c r="K17" s="11">
        <v>100732560</v>
      </c>
      <c r="L17" s="11">
        <v>1017901480.3200001</v>
      </c>
      <c r="M17" s="6">
        <f t="shared" si="0"/>
        <v>3.282154979408379E-2</v>
      </c>
    </row>
    <row r="18" spans="1:15" x14ac:dyDescent="0.25">
      <c r="A18" s="1" t="s">
        <v>98</v>
      </c>
      <c r="B18" s="13" t="s">
        <v>99</v>
      </c>
      <c r="C18" s="10">
        <v>506989</v>
      </c>
      <c r="D18" s="11">
        <v>506989000</v>
      </c>
      <c r="E18" s="3">
        <v>0.1535</v>
      </c>
      <c r="F18" s="4" t="s">
        <v>100</v>
      </c>
      <c r="G18" s="4" t="s">
        <v>101</v>
      </c>
      <c r="H18" s="11">
        <v>492216861.50999999</v>
      </c>
      <c r="I18" s="11">
        <v>98.951800000000006</v>
      </c>
      <c r="J18" s="11">
        <v>100.65735555555601</v>
      </c>
      <c r="K18" s="11">
        <v>8646979.0555555597</v>
      </c>
      <c r="L18" s="11">
        <v>510321720.35755599</v>
      </c>
      <c r="M18" s="6">
        <f t="shared" si="0"/>
        <v>1.6454981233009338E-2</v>
      </c>
    </row>
    <row r="19" spans="1:15" x14ac:dyDescent="0.25">
      <c r="A19" s="1" t="s">
        <v>102</v>
      </c>
      <c r="B19" s="13" t="s">
        <v>103</v>
      </c>
      <c r="C19" s="10">
        <v>2100000</v>
      </c>
      <c r="D19" s="11">
        <v>2100000000</v>
      </c>
      <c r="E19" s="3">
        <v>0.14300000000000002</v>
      </c>
      <c r="F19" s="4" t="s">
        <v>104</v>
      </c>
      <c r="G19" s="4" t="s">
        <v>105</v>
      </c>
      <c r="H19" s="11">
        <v>2100000000</v>
      </c>
      <c r="I19" s="11">
        <v>95.240285537145894</v>
      </c>
      <c r="J19" s="11">
        <v>99.80834109270144</v>
      </c>
      <c r="K19" s="11">
        <v>95929166.666666657</v>
      </c>
      <c r="L19" s="11">
        <v>2095975162.9467299</v>
      </c>
      <c r="M19" s="6">
        <f t="shared" si="0"/>
        <v>6.7583311850762134E-2</v>
      </c>
    </row>
    <row r="20" spans="1:15" x14ac:dyDescent="0.25">
      <c r="A20" s="1" t="s">
        <v>106</v>
      </c>
      <c r="B20" s="13" t="s">
        <v>107</v>
      </c>
      <c r="C20" s="10">
        <v>1000000</v>
      </c>
      <c r="D20" s="11">
        <v>1000000000</v>
      </c>
      <c r="E20" s="3">
        <v>0.1389</v>
      </c>
      <c r="F20" s="4" t="s">
        <v>108</v>
      </c>
      <c r="G20" s="4" t="s">
        <v>109</v>
      </c>
      <c r="H20" s="11">
        <v>1000000000</v>
      </c>
      <c r="I20" s="11">
        <v>99.023763763743901</v>
      </c>
      <c r="J20" s="11">
        <v>100.181263763744</v>
      </c>
      <c r="K20" s="11">
        <v>11574999.999999991</v>
      </c>
      <c r="L20" s="11">
        <v>1001812637.6374381</v>
      </c>
      <c r="M20" s="6">
        <f t="shared" si="0"/>
        <v>3.2302775864146205E-2</v>
      </c>
    </row>
    <row r="21" spans="1:15" x14ac:dyDescent="0.25">
      <c r="A21" s="1" t="s">
        <v>110</v>
      </c>
      <c r="B21" s="13" t="s">
        <v>111</v>
      </c>
      <c r="C21" s="10">
        <v>165739</v>
      </c>
      <c r="D21" s="11">
        <v>165739000</v>
      </c>
      <c r="E21" s="3">
        <v>0.125</v>
      </c>
      <c r="F21" s="4" t="s">
        <v>112</v>
      </c>
      <c r="G21" s="4" t="s">
        <v>113</v>
      </c>
      <c r="H21" s="11">
        <v>159596381.18279999</v>
      </c>
      <c r="I21" s="11">
        <v>97.212688520537597</v>
      </c>
      <c r="J21" s="11">
        <v>104.01824407608001</v>
      </c>
      <c r="K21" s="11">
        <v>11279459.722200001</v>
      </c>
      <c r="L21" s="11">
        <v>172398797.549254</v>
      </c>
      <c r="M21" s="6">
        <f t="shared" si="0"/>
        <v>5.5588834750728211E-3</v>
      </c>
    </row>
    <row r="22" spans="1:15" x14ac:dyDescent="0.25">
      <c r="A22" s="1" t="s">
        <v>114</v>
      </c>
      <c r="B22" s="13" t="s">
        <v>115</v>
      </c>
      <c r="C22" s="10">
        <v>494987</v>
      </c>
      <c r="D22" s="11">
        <v>494987000</v>
      </c>
      <c r="E22" s="3">
        <v>0.1701</v>
      </c>
      <c r="F22" s="4" t="s">
        <v>116</v>
      </c>
      <c r="G22" s="4" t="s">
        <v>117</v>
      </c>
      <c r="H22" s="11">
        <v>495088472.34249997</v>
      </c>
      <c r="I22" s="11">
        <v>103.88470000000001</v>
      </c>
      <c r="J22" s="11">
        <v>110.54695</v>
      </c>
      <c r="K22" s="11">
        <v>32977271.407499999</v>
      </c>
      <c r="L22" s="11">
        <v>547193031.39649999</v>
      </c>
      <c r="M22" s="6">
        <f t="shared" si="0"/>
        <v>1.7643871901345344E-2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1906670292.546366</v>
      </c>
      <c r="L24" s="22">
        <f>SUM(L4:L23)</f>
        <v>31013205857.313927</v>
      </c>
      <c r="M24" s="23"/>
      <c r="N24" s="26">
        <v>31013205857.313946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9253536.5099999998</v>
      </c>
      <c r="C27" s="51">
        <v>9253536.5099999998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165480</v>
      </c>
      <c r="D32" s="7" t="s">
        <v>51</v>
      </c>
      <c r="E32" s="34" t="s">
        <v>52</v>
      </c>
      <c r="F32" s="34" t="s">
        <v>53</v>
      </c>
      <c r="G32" s="15">
        <v>507.66479997582803</v>
      </c>
      <c r="H32" s="15">
        <v>508.37580468938802</v>
      </c>
      <c r="I32" s="16">
        <f>+C32*G32</f>
        <v>84008371.100000024</v>
      </c>
      <c r="J32" s="16">
        <f>+C32*H32</f>
        <v>84126028.159999937</v>
      </c>
      <c r="K32" s="18">
        <v>0.17039899999999999</v>
      </c>
      <c r="L32" s="17">
        <v>39219.020000000004</v>
      </c>
      <c r="M32" s="17">
        <v>84086809.140000001</v>
      </c>
      <c r="N32" s="35"/>
    </row>
    <row r="33" spans="1:15" s="36" customFormat="1" ht="12" customHeight="1" x14ac:dyDescent="0.25">
      <c r="A33" s="12" t="s">
        <v>54</v>
      </c>
      <c r="B33" s="7" t="s">
        <v>55</v>
      </c>
      <c r="C33" s="14">
        <v>31804632</v>
      </c>
      <c r="D33" s="7" t="s">
        <v>51</v>
      </c>
      <c r="E33" s="34" t="s">
        <v>52</v>
      </c>
      <c r="F33" s="34" t="s">
        <v>53</v>
      </c>
      <c r="G33" s="15">
        <v>98.20240000010061</v>
      </c>
      <c r="H33" s="15">
        <v>98.339936362414122</v>
      </c>
      <c r="I33" s="16">
        <f>+C33*G33</f>
        <v>3123291193.52</v>
      </c>
      <c r="J33" s="16">
        <f>+C33*H33</f>
        <v>3127665486.9099998</v>
      </c>
      <c r="K33" s="18">
        <v>0.17039899999999999</v>
      </c>
      <c r="L33" s="17">
        <v>1458097.7966666699</v>
      </c>
      <c r="M33" s="17">
        <v>3126207389.1133332</v>
      </c>
      <c r="N33" s="35"/>
    </row>
    <row r="34" spans="1:15" s="36" customFormat="1" ht="12" customHeight="1" x14ac:dyDescent="0.25">
      <c r="A34" s="12" t="s">
        <v>56</v>
      </c>
      <c r="B34" s="7" t="s">
        <v>57</v>
      </c>
      <c r="C34" s="14">
        <v>288354</v>
      </c>
      <c r="D34" s="7" t="s">
        <v>51</v>
      </c>
      <c r="E34" s="34" t="s">
        <v>52</v>
      </c>
      <c r="F34" s="34" t="s">
        <v>53</v>
      </c>
      <c r="G34" s="15">
        <v>891.39</v>
      </c>
      <c r="H34" s="15">
        <v>892.63842710695906</v>
      </c>
      <c r="I34" s="16">
        <f>+C34*G34</f>
        <v>257035872.06</v>
      </c>
      <c r="J34" s="16">
        <f>+C34*H34</f>
        <v>257395861.01000008</v>
      </c>
      <c r="K34" s="18">
        <v>0.17039899999999999</v>
      </c>
      <c r="L34" s="17">
        <v>119996.31666666661</v>
      </c>
      <c r="M34" s="17">
        <v>257275864.693333</v>
      </c>
      <c r="N34" s="35"/>
    </row>
    <row r="35" spans="1:15" s="36" customFormat="1" ht="11.25" hidden="1" x14ac:dyDescent="0.25">
      <c r="A35" s="7"/>
      <c r="B35" s="7"/>
      <c r="C35" s="7"/>
      <c r="D35" s="7"/>
      <c r="E35" s="37"/>
      <c r="F35" s="37"/>
      <c r="G35" s="7"/>
      <c r="H35" s="7"/>
      <c r="I35" s="8"/>
      <c r="J35" s="8"/>
      <c r="K35" s="7"/>
      <c r="L35" s="9"/>
      <c r="M35" s="9"/>
      <c r="N35" s="35"/>
    </row>
    <row r="36" spans="1:15" x14ac:dyDescent="0.25">
      <c r="A36" s="1" t="s">
        <v>5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2">
        <f>SUM(M32:M35)</f>
        <v>3467570062.9466662</v>
      </c>
      <c r="N36" s="38">
        <v>3467570062.9466662</v>
      </c>
      <c r="O36" s="29">
        <f>M36-N36</f>
        <v>0</v>
      </c>
    </row>
    <row r="38" spans="1:15" x14ac:dyDescent="0.25">
      <c r="A38" s="39" t="s">
        <v>28</v>
      </c>
      <c r="B38" s="33"/>
      <c r="D38" s="33"/>
      <c r="F38" s="28"/>
      <c r="G38" s="28"/>
    </row>
    <row r="39" spans="1:15" ht="22.5" x14ac:dyDescent="0.25">
      <c r="A39" s="19" t="s">
        <v>6</v>
      </c>
      <c r="B39" s="19" t="s">
        <v>29</v>
      </c>
      <c r="C39" s="19" t="s">
        <v>17</v>
      </c>
      <c r="D39" s="19" t="s">
        <v>30</v>
      </c>
      <c r="E39" s="19" t="s">
        <v>16</v>
      </c>
      <c r="F39" s="19" t="s">
        <v>31</v>
      </c>
      <c r="G39" s="19" t="s">
        <v>32</v>
      </c>
    </row>
    <row r="40" spans="1:15" hidden="1" x14ac:dyDescent="0.25">
      <c r="B40" s="41"/>
      <c r="C40" s="42"/>
      <c r="D40" s="43"/>
      <c r="G40" s="44"/>
      <c r="H40" s="33"/>
    </row>
    <row r="41" spans="1:15" x14ac:dyDescent="0.25">
      <c r="G41" s="45">
        <f>SUM(G40:G40)</f>
        <v>0</v>
      </c>
    </row>
    <row r="43" spans="1:15" x14ac:dyDescent="0.25">
      <c r="A43" s="46" t="s">
        <v>13</v>
      </c>
      <c r="B43" s="47">
        <f>+L24+B27+M36+G41</f>
        <v>34490029456.770592</v>
      </c>
      <c r="C43" s="32">
        <v>34490029456.770615</v>
      </c>
      <c r="D43" s="29">
        <f>B43-C43</f>
        <v>0</v>
      </c>
    </row>
    <row r="46" spans="1:15" x14ac:dyDescent="0.25">
      <c r="A46" s="24" t="s">
        <v>46</v>
      </c>
      <c r="B46" s="33"/>
    </row>
    <row r="47" spans="1:15" x14ac:dyDescent="0.25">
      <c r="A47" s="48" t="s">
        <v>35</v>
      </c>
      <c r="B47" s="49"/>
    </row>
    <row r="48" spans="1:15" x14ac:dyDescent="0.25">
      <c r="A48" s="48" t="s">
        <v>36</v>
      </c>
      <c r="B48" s="40"/>
    </row>
    <row r="49" spans="1:2" x14ac:dyDescent="0.25">
      <c r="A49" s="48" t="s">
        <v>37</v>
      </c>
      <c r="B49" s="40">
        <v>924945.24</v>
      </c>
    </row>
    <row r="50" spans="1:2" x14ac:dyDescent="0.25">
      <c r="A50" s="48" t="s">
        <v>38</v>
      </c>
      <c r="B50" s="40"/>
    </row>
    <row r="51" spans="1:2" x14ac:dyDescent="0.25">
      <c r="A51" s="48" t="s">
        <v>39</v>
      </c>
      <c r="B51" s="49"/>
    </row>
    <row r="52" spans="1:2" x14ac:dyDescent="0.25">
      <c r="A52" s="48" t="s">
        <v>40</v>
      </c>
      <c r="B52" s="40">
        <v>278563.18</v>
      </c>
    </row>
    <row r="53" spans="1:2" x14ac:dyDescent="0.25">
      <c r="A53" s="48" t="s">
        <v>41</v>
      </c>
      <c r="B53" s="40">
        <v>139029.76999999999</v>
      </c>
    </row>
    <row r="54" spans="1:2" x14ac:dyDescent="0.25">
      <c r="A54" s="48" t="s">
        <v>42</v>
      </c>
      <c r="B54" s="40"/>
    </row>
    <row r="55" spans="1:2" x14ac:dyDescent="0.25">
      <c r="A55" s="48" t="s">
        <v>43</v>
      </c>
      <c r="B55" s="40"/>
    </row>
    <row r="56" spans="1:2" x14ac:dyDescent="0.25">
      <c r="A56" s="48" t="s">
        <v>44</v>
      </c>
      <c r="B56" s="50"/>
    </row>
    <row r="57" spans="1:2" x14ac:dyDescent="0.25">
      <c r="A57" s="48" t="s">
        <v>45</v>
      </c>
      <c r="B57" s="49">
        <f>SUM(B47:B56)</f>
        <v>1342538.19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2025-12-29T05:58:20Z</cp:lastPrinted>
  <dcterms:created xsi:type="dcterms:W3CDTF">2025-12-29T05:56:30Z</dcterms:created>
  <dcterms:modified xsi:type="dcterms:W3CDTF">2025-12-29T07:57:45Z</dcterms:modified>
</cp:coreProperties>
</file>