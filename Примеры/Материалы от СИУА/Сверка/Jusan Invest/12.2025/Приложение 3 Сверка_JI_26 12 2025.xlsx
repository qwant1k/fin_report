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8A98E29E-5C0F-4CFE-BFE6-9FE7B949B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B47" i="1" s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<sst xmlns="http://schemas.openxmlformats.org/spreadsheetml/2006/main" count="165" uniqueCount="121">
  <si>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</si>
  <si>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</si>
  <si>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</si>
  <si>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</si>
  <si>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</si>
  <si>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</si>
  <si>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</si>
  <si>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</si>
  <si>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</si>
  <si>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</si>
  <si>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</si>
  <si>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</si>
  <si>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</si>
  <si>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</si>
  <si>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</si>
  <si>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</si>
  <si>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</si>
  <si>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</si>
  <si>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</si>
  <si>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</si>
  <si>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</si>
  <si>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</si>
  <si>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</si>
  <si>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</si>
  <si>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</si>
  <si>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</si>
  <si>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</si>
  <si>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</si>
  <si>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</si>
  <si>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</si>
  <si>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</si>
  <si>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</si>
  <si>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</si>
  <si>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</si>
  <si>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</si>
  <si>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</si>
  <si>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</si>
  <si>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</si>
  <si>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</si>
  <si>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</si>
  <si>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</si>
  <si>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</si>
  <si>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</si>
  <si>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</si>
  <si>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</si>
  <si>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</si>
  <si>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</si>
  <si>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</si>
  <si>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</si>
  <si>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MUM108_0012</t>
  </si>
  <si>
    <t>KZKD00000915</t>
  </si>
  <si>
    <t>KZT</t>
  </si>
  <si>
    <t>25.12.2025</t>
  </si>
  <si>
    <t>26.12.2025</t>
  </si>
  <si>
    <t>МИНИСТЕРСТВО ФИНАНСОВ РК, ОБЛИГАЦИИ, MFKZ.0435</t>
  </si>
  <si>
    <t>XS2914770545</t>
  </si>
  <si>
    <t>29.12.2025</t>
  </si>
  <si>
    <t>МИНИСТЕРСТВО ФИНАНСОВ РК, ГЦБ, MKM012_0160</t>
  </si>
  <si>
    <t>KZK100000373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</si>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</sst>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9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99.565100000000001</v>
      </c>
      <c r="J4" s="11">
        <v>104.15912777777801</v>
      </c>
      <c r="K4" s="11">
        <v>138739638.88888901</v>
      </c>
      <c r="L4" s="11">
        <v>3145605658.8888879</v>
      </c>
      <c r="M4" s="6">
        <f t="shared" ref="M4:M22" si="0">L4/$L$24</f>
        <v>0.10148987702820077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85.5124</v>
      </c>
      <c r="J5" s="11">
        <v>89.849622222222223</v>
      </c>
      <c r="K5" s="11">
        <v>98238083.333333328</v>
      </c>
      <c r="L5" s="11">
        <v>2035093943.333333</v>
      </c>
      <c r="M5" s="6">
        <f t="shared" si="0"/>
        <v>6.5660307249921501E-2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85.5124</v>
      </c>
      <c r="J6" s="11">
        <v>89.849622222222479</v>
      </c>
      <c r="K6" s="11">
        <v>67298335.122222215</v>
      </c>
      <c r="L6" s="11">
        <v>1394148069.2262261</v>
      </c>
      <c r="M6" s="6">
        <f t="shared" si="0"/>
        <v>4.4980818147069314E-2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85.5124</v>
      </c>
      <c r="J7" s="11">
        <v>89.849622222222223</v>
      </c>
      <c r="K7" s="11">
        <v>23667874.688888881</v>
      </c>
      <c r="L7" s="11">
        <v>490302200.496889</v>
      </c>
      <c r="M7" s="6">
        <f t="shared" si="0"/>
        <v>1.5819118933255709E-2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88.952700000000007</v>
      </c>
      <c r="J8" s="11">
        <v>96.290477777777767</v>
      </c>
      <c r="K8" s="11">
        <v>166200666.66666701</v>
      </c>
      <c r="L8" s="11">
        <v>2180979321.666666</v>
      </c>
      <c r="M8" s="6">
        <f t="shared" si="0"/>
        <v>7.0367155695919129E-2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87.431899999999999</v>
      </c>
      <c r="J9" s="11">
        <v>95.559677777777765</v>
      </c>
      <c r="K9" s="11">
        <v>184094166.66666701</v>
      </c>
      <c r="L9" s="11">
        <v>2164426701.666666</v>
      </c>
      <c r="M9" s="6">
        <f t="shared" si="0"/>
        <v>6.983310166929714E-2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81.214300000000009</v>
      </c>
      <c r="J10" s="11">
        <v>89.196799999999996</v>
      </c>
      <c r="K10" s="11">
        <v>180803625</v>
      </c>
      <c r="L10" s="11">
        <v>2020307520</v>
      </c>
      <c r="M10" s="6">
        <f t="shared" si="0"/>
        <v>6.5183237824023729E-2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72.1678</v>
      </c>
      <c r="J11" s="11">
        <v>78.035855555555543</v>
      </c>
      <c r="K11" s="11">
        <v>132911458.333333</v>
      </c>
      <c r="L11" s="11">
        <v>1767512128.333333</v>
      </c>
      <c r="M11" s="6">
        <f t="shared" si="0"/>
        <v>5.7027042802868945E-2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80.058400000000006</v>
      </c>
      <c r="J12" s="11">
        <v>84.495900000000006</v>
      </c>
      <c r="K12" s="11">
        <v>100509375</v>
      </c>
      <c r="L12" s="11">
        <v>1913832135</v>
      </c>
      <c r="M12" s="6">
        <f t="shared" si="0"/>
        <v>6.1747914105157661E-2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66.187600000000003</v>
      </c>
      <c r="J13" s="11">
        <v>71.20893333333332</v>
      </c>
      <c r="K13" s="11">
        <v>113733200</v>
      </c>
      <c r="L13" s="11">
        <v>1612882340</v>
      </c>
      <c r="M13" s="6">
        <f t="shared" si="0"/>
        <v>5.2038064556819502E-2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64.963000000000008</v>
      </c>
      <c r="J14" s="11">
        <v>72.29325</v>
      </c>
      <c r="K14" s="11">
        <v>166030162.5</v>
      </c>
      <c r="L14" s="11">
        <v>1637442112.5</v>
      </c>
      <c r="M14" s="6">
        <f t="shared" si="0"/>
        <v>5.2830461494376521E-2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88.038300000000007</v>
      </c>
      <c r="J15" s="11">
        <v>92.14054999999999</v>
      </c>
      <c r="K15" s="11">
        <v>154859937.5</v>
      </c>
      <c r="L15" s="11">
        <v>3478305762.5</v>
      </c>
      <c r="M15" s="6">
        <f t="shared" si="0"/>
        <v>0.11222411909930906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60.927500000000002</v>
      </c>
      <c r="J16" s="11">
        <v>64.624722222222218</v>
      </c>
      <c r="K16" s="11">
        <v>103664935</v>
      </c>
      <c r="L16" s="11">
        <v>1811986736.5</v>
      </c>
      <c r="M16" s="6">
        <f t="shared" si="0"/>
        <v>5.8461972353226768E-2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88.318400000000011</v>
      </c>
      <c r="J17" s="11">
        <v>97.951733333333323</v>
      </c>
      <c r="K17" s="11">
        <v>100040240</v>
      </c>
      <c r="L17" s="11">
        <v>1017209160.3200001</v>
      </c>
      <c r="M17" s="6">
        <f t="shared" si="0"/>
        <v>3.281925447365263E-2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98.951800000000006</v>
      </c>
      <c r="J18" s="11">
        <v>100.57207777777801</v>
      </c>
      <c r="K18" s="11">
        <v>8214630.10277778</v>
      </c>
      <c r="L18" s="11">
        <v>509889371.404778</v>
      </c>
      <c r="M18" s="6">
        <f t="shared" si="0"/>
        <v>1.6451079764440817E-2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95.240285537145894</v>
      </c>
      <c r="J19" s="11">
        <v>99.728896648257006</v>
      </c>
      <c r="K19" s="11">
        <v>94260833.333333328</v>
      </c>
      <c r="L19" s="11">
        <v>2094306829.6133969</v>
      </c>
      <c r="M19" s="6">
        <f t="shared" si="0"/>
        <v>6.7570752867943201E-2</v>
      </c>
    </row>
    <row r="20" spans="1:15" x14ac:dyDescent="0.25">
      <c r="A20" s="1" t="s">
        <v>109</v>
      </c>
      <c r="B20" s="13" t="s">
        <v>110</v>
      </c>
      <c r="C20" s="10">
        <v>1000000</v>
      </c>
      <c r="D20" s="11">
        <v>1000000000</v>
      </c>
      <c r="E20" s="3">
        <v>0.1389</v>
      </c>
      <c r="F20" s="4" t="s">
        <v>111</v>
      </c>
      <c r="G20" s="4" t="s">
        <v>112</v>
      </c>
      <c r="H20" s="11">
        <v>1000000000</v>
      </c>
      <c r="I20" s="11">
        <v>99.023763763743901</v>
      </c>
      <c r="J20" s="11">
        <v>100.104097097077</v>
      </c>
      <c r="K20" s="11">
        <v>10803333.33333333</v>
      </c>
      <c r="L20" s="11">
        <v>1001040970.970772</v>
      </c>
      <c r="M20" s="6">
        <f t="shared" si="0"/>
        <v>3.2297603724397106E-2</v>
      </c>
    </row>
    <row r="21" spans="1:15" x14ac:dyDescent="0.25">
      <c r="A21" s="1" t="s">
        <v>113</v>
      </c>
      <c r="B21" s="13" t="s">
        <v>114</v>
      </c>
      <c r="C21" s="10">
        <v>165739</v>
      </c>
      <c r="D21" s="11">
        <v>165739000</v>
      </c>
      <c r="E21" s="3">
        <v>0.125</v>
      </c>
      <c r="F21" s="4" t="s">
        <v>115</v>
      </c>
      <c r="G21" s="4" t="s">
        <v>116</v>
      </c>
      <c r="H21" s="11">
        <v>159596381.18279999</v>
      </c>
      <c r="I21" s="11">
        <v>97.212688520537597</v>
      </c>
      <c r="J21" s="11">
        <v>103.94879963163501</v>
      </c>
      <c r="K21" s="11">
        <v>11164363.194422221</v>
      </c>
      <c r="L21" s="11">
        <v>172283701.021476</v>
      </c>
      <c r="M21" s="6">
        <f t="shared" si="0"/>
        <v>5.5585643995850051E-3</v>
      </c>
    </row>
    <row r="22" spans="1:15" x14ac:dyDescent="0.25">
      <c r="A22" s="1" t="s">
        <v>117</v>
      </c>
      <c r="B22" s="13" t="s">
        <v>118</v>
      </c>
      <c r="C22" s="10">
        <v>494987</v>
      </c>
      <c r="D22" s="11">
        <v>494987000</v>
      </c>
      <c r="E22" s="3">
        <v>0.1701</v>
      </c>
      <c r="F22" s="4" t="s">
        <v>119</v>
      </c>
      <c r="G22" s="4" t="s">
        <v>120</v>
      </c>
      <c r="H22" s="11">
        <v>495088472.34249997</v>
      </c>
      <c r="I22" s="11">
        <v>103.88470000000001</v>
      </c>
      <c r="J22" s="11">
        <v>110.45245</v>
      </c>
      <c r="K22" s="11">
        <v>32509508.692499999</v>
      </c>
      <c r="L22" s="11">
        <v>546725268.68149996</v>
      </c>
      <c r="M22" s="6">
        <f t="shared" si="0"/>
        <v>1.7639553810535481E-2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1887744367.3563669</v>
      </c>
      <c r="L24" s="22">
        <f>SUM(L4:L23)</f>
        <v>30994279932.123924</v>
      </c>
      <c r="M24" s="23"/>
      <c r="N24" s="26">
        <v>30994279932.123947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9253536.5099999998</v>
      </c>
      <c r="C27" s="51">
        <v>9253536.5099999998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255715</v>
      </c>
      <c r="D32" s="7" t="s">
        <v>51</v>
      </c>
      <c r="E32" s="34" t="s">
        <v>52</v>
      </c>
      <c r="F32" s="34" t="s">
        <v>53</v>
      </c>
      <c r="G32" s="15">
        <v>1005.25</v>
      </c>
      <c r="H32" s="15">
        <v>1005.720674579121</v>
      </c>
      <c r="I32" s="16">
        <f t="shared" ref="I32:I38" si="1">+C32*G32</f>
        <v>257057503.75</v>
      </c>
      <c r="J32" s="16">
        <f t="shared" ref="J32:J38" si="2">+C32*H32</f>
        <v>257177862.29999992</v>
      </c>
      <c r="K32" s="18">
        <v>0.170899</v>
      </c>
      <c r="L32" s="17">
        <v>120358.55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255715</v>
      </c>
      <c r="D33" s="7" t="s">
        <v>51</v>
      </c>
      <c r="E33" s="34" t="s">
        <v>53</v>
      </c>
      <c r="F33" s="34" t="s">
        <v>53</v>
      </c>
      <c r="G33" s="15">
        <v>1005.25</v>
      </c>
      <c r="H33" s="15">
        <v>1005.720674579121</v>
      </c>
      <c r="I33" s="16">
        <f t="shared" si="1"/>
        <v>257057503.75</v>
      </c>
      <c r="J33" s="16">
        <f t="shared" si="2"/>
        <v>257177862.29999992</v>
      </c>
      <c r="K33" s="18">
        <v>0.170899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3190965</v>
      </c>
      <c r="D34" s="7" t="s">
        <v>51</v>
      </c>
      <c r="E34" s="34" t="s">
        <v>52</v>
      </c>
      <c r="F34" s="34" t="s">
        <v>53</v>
      </c>
      <c r="G34" s="15">
        <v>1005.25</v>
      </c>
      <c r="H34" s="15">
        <v>1005.720674573365</v>
      </c>
      <c r="I34" s="16">
        <f t="shared" si="1"/>
        <v>3207717566.25</v>
      </c>
      <c r="J34" s="16">
        <f t="shared" si="2"/>
        <v>3209219472.3399978</v>
      </c>
      <c r="K34" s="18">
        <v>0.170899</v>
      </c>
      <c r="L34" s="17">
        <v>1501906.09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3190965</v>
      </c>
      <c r="D35" s="7" t="s">
        <v>51</v>
      </c>
      <c r="E35" s="34" t="s">
        <v>53</v>
      </c>
      <c r="F35" s="34" t="s">
        <v>53</v>
      </c>
      <c r="G35" s="15">
        <v>1005.25</v>
      </c>
      <c r="H35" s="15">
        <v>1005.720674573365</v>
      </c>
      <c r="I35" s="16">
        <f t="shared" si="1"/>
        <v>3207717566.25</v>
      </c>
      <c r="J35" s="16">
        <f t="shared" si="2"/>
        <v>3209219472.3399978</v>
      </c>
      <c r="K35" s="18">
        <v>0.170899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165480</v>
      </c>
      <c r="D36" s="7" t="s">
        <v>51</v>
      </c>
      <c r="E36" s="34" t="s">
        <v>53</v>
      </c>
      <c r="F36" s="34" t="s">
        <v>56</v>
      </c>
      <c r="G36" s="15">
        <v>507.66479997582803</v>
      </c>
      <c r="H36" s="15">
        <v>508.37580468938802</v>
      </c>
      <c r="I36" s="16">
        <f t="shared" si="1"/>
        <v>84008371.100000024</v>
      </c>
      <c r="J36" s="16">
        <f t="shared" si="2"/>
        <v>84126028.159999937</v>
      </c>
      <c r="K36" s="18">
        <v>0.17039899999999999</v>
      </c>
      <c r="L36" s="17"/>
      <c r="M36" s="17">
        <v>84008371.099999994</v>
      </c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31804632</v>
      </c>
      <c r="D37" s="7" t="s">
        <v>51</v>
      </c>
      <c r="E37" s="34" t="s">
        <v>53</v>
      </c>
      <c r="F37" s="34" t="s">
        <v>56</v>
      </c>
      <c r="G37" s="15">
        <v>98.20240000010061</v>
      </c>
      <c r="H37" s="15">
        <v>98.339936362414122</v>
      </c>
      <c r="I37" s="16">
        <f t="shared" si="1"/>
        <v>3123291193.52</v>
      </c>
      <c r="J37" s="16">
        <f t="shared" si="2"/>
        <v>3127665486.9099998</v>
      </c>
      <c r="K37" s="18">
        <v>0.17039899999999999</v>
      </c>
      <c r="L37" s="17"/>
      <c r="M37" s="17">
        <v>3123291193.52</v>
      </c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288354</v>
      </c>
      <c r="D38" s="7" t="s">
        <v>51</v>
      </c>
      <c r="E38" s="34" t="s">
        <v>53</v>
      </c>
      <c r="F38" s="34" t="s">
        <v>56</v>
      </c>
      <c r="G38" s="15">
        <v>891.39</v>
      </c>
      <c r="H38" s="15">
        <v>892.63842710695906</v>
      </c>
      <c r="I38" s="16">
        <f t="shared" si="1"/>
        <v>257035872.06</v>
      </c>
      <c r="J38" s="16">
        <f t="shared" si="2"/>
        <v>257395861.01000008</v>
      </c>
      <c r="K38" s="18">
        <v>0.17039899999999999</v>
      </c>
      <c r="L38" s="17"/>
      <c r="M38" s="17">
        <v>257035872.06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3464335436.6799998</v>
      </c>
      <c r="N40" s="38">
        <v>3464335436.6799998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34467868905.313919</v>
      </c>
      <c r="C47" s="32">
        <v>34467868905.313942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896601.83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50">
        <v>278563.18</v>
      </c>
    </row>
    <row r="57" spans="1:2" x14ac:dyDescent="0.25">
      <c r="A57" s="48" t="s">
        <v>41</v>
      </c>
      <c r="B57" s="50">
        <v>139029.76999999999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1314194.78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2025-12-29T05:39:39Z</dcterms:created>
  <dcterms:modified xsi:type="dcterms:W3CDTF">2025-12-29T06:47:18Z</dcterms:modified>
</cp:coreProperties>
</file>