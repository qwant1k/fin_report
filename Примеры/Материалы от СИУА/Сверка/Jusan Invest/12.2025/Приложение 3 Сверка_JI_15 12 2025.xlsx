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4A1E95F1-C499-4D4B-89B4-8005725A4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3" i="1" l="1"/>
  <c r="M9" i="1"/>
  <c r="M15" i="1"/>
  <c r="M21" i="1"/>
  <c r="M19" i="1"/>
  <c r="M4" i="1"/>
  <c r="M10" i="1"/>
  <c r="M16" i="1"/>
  <c r="M22" i="1"/>
  <c r="M6" i="1"/>
  <c r="M18" i="1"/>
  <c r="M7" i="1"/>
  <c r="M5" i="1"/>
  <c r="M11" i="1"/>
  <c r="M17" i="1"/>
  <c r="M12" i="1"/>
  <c r="B48" i="1"/>
  <c r="M8" i="1"/>
  <c r="M14" i="1"/>
</calcChain>
</file>

<file path=xl/sharedStrings.xml><?xml version="1.0" encoding="utf-8"?>
<sst xmlns="http://schemas.openxmlformats.org/spreadsheetml/2006/main" count="170" uniqueCount="119">
  <si>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</si>
  <si>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</si>
  <si>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</si>
  <si>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</si>
  <si>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</si>
  <si>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</si>
  <si>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</si>
  <si>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</si>
  <si>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</si>
  <si>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</si>
  <si>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</si>
  <si>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</si>
  <si>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</si>
  <si>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</si>
  <si>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</si>
  <si>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</si>
  <si>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</si>
  <si>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</si>
  <si>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</si>
  <si>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</si>
  <si>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</si>
  <si>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</si>
  <si>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</si>
  <si>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</si>
  <si>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</si>
  <si>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</si>
  <si>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</si>
  <si>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</si>
  <si>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</si>
  <si>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</si>
  <si>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</si>
  <si>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</si>
  <si>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</si>
  <si>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</si>
  <si>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</si>
  <si>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</si>
  <si>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</si>
  <si>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</si>
  <si>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</si>
  <si>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</si>
  <si>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</si>
  <si>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</si>
  <si>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</si>
  <si>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</si>
  <si>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</si>
  <si>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</si>
  <si>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</si>
  <si>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</si>
  <si>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</si>
  <si>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MKM012_0160</t>
  </si>
  <si>
    <t>KZK100000373</t>
  </si>
  <si>
    <t>KZT</t>
  </si>
  <si>
    <t>15.12.2025</t>
  </si>
  <si>
    <t>17.12.2025</t>
  </si>
  <si>
    <t>МИНИСТЕРСТВО ФИНАНСОВ РК, ГЦБ, MUM180_0004</t>
  </si>
  <si>
    <t>KZKD00000444</t>
  </si>
  <si>
    <t>МИНИСТЕРСТВО ФИНАНСОВ РК, ГЦБ, MUM240_0004</t>
  </si>
  <si>
    <t>KZKD00000832</t>
  </si>
  <si>
    <t>12.12.2025</t>
  </si>
  <si>
    <t>МИНИСТЕРСТВО ФИНАНСОВ РК, ГЦБ, MUM156_0007</t>
  </si>
  <si>
    <t>KZKD00001103</t>
  </si>
  <si>
    <t>МИНИСТЕРСТВО ФИНАНСОВ РК, ГЦБ, MUM072_0015</t>
  </si>
  <si>
    <t>KZKD00001251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</si>
  <si>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</si>
  <si>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</si>
  <si>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</si>
  <si>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</si>
  <si>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</si>
  <si>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</si>
  <si>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</si>
  <si>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</si>
  <si>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</si>
  <si>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</si>
  <si>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</si>
  <si>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</si>
  <si>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</si>
  <si>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</si>
  <si>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</si>
  <si>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</si>
  <si>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</si>
  <si>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</si>
  <si>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</si>
  <si>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</si>
  <si>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</si>
  <si>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</si>
  <si>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</si>
  <si>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</si>
  <si>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</si>
  <si>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</si>
  <si>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</si>
  <si>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</si>
  <si>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</si>
  <si>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</si>
  <si>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</si>
  <si>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</si>
  <si>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</si>
  <si>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</si>
  <si>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</si>
  <si>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</si>
  <si>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</si>
  <si>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</si>
  <si>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</si>
  <si>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</si>
  <si>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</si>
  <si>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</si>
  <si>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</si>
  <si>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</si>
  <si>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</si>
  <si>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</si>
  <si>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</si>
  <si>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</si>
  <si>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МИНИСТЕРСТВО ФИНАНСОВ РК, ГЦБ, MOM048_0056</t>
  </si>
  <si>
    <t>KZK200000760</t>
  </si>
  <si>
    <t>28.08.2025</t>
  </si>
  <si>
    <t>07.08.2029</t>
  </si>
  <si>
    <t>АО КФУ,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</si>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</sst>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B17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99.392600000000002</v>
      </c>
      <c r="J4" s="11">
        <v>103.6606</v>
      </c>
      <c r="K4" s="11">
        <v>128893600</v>
      </c>
      <c r="L4" s="11">
        <v>3130550119.999999</v>
      </c>
      <c r="M4" s="6">
        <f t="shared" ref="M4:M22" si="0">L4/$L$24</f>
        <v>0.10223473084162625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84.485600000000005</v>
      </c>
      <c r="J5" s="11">
        <v>88.500461111111107</v>
      </c>
      <c r="K5" s="11">
        <v>90936604.166666657</v>
      </c>
      <c r="L5" s="11">
        <v>2004535444.166666</v>
      </c>
      <c r="M5" s="6">
        <f t="shared" si="0"/>
        <v>6.5462341678426433E-2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84.485600000000005</v>
      </c>
      <c r="J6" s="11">
        <v>88.500461111111349</v>
      </c>
      <c r="K6" s="11">
        <v>62296431.836111113</v>
      </c>
      <c r="L6" s="11">
        <v>1373213864.812115</v>
      </c>
      <c r="M6" s="6">
        <f t="shared" si="0"/>
        <v>4.4845201154950984E-2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84.485600000000005</v>
      </c>
      <c r="J7" s="11">
        <v>88.500461111111107</v>
      </c>
      <c r="K7" s="11">
        <v>21908775.89444444</v>
      </c>
      <c r="L7" s="11">
        <v>482939936.24644399</v>
      </c>
      <c r="M7" s="6">
        <f t="shared" si="0"/>
        <v>1.5771424351074551E-2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87.973300000000009</v>
      </c>
      <c r="J8" s="11">
        <v>94.993299999999991</v>
      </c>
      <c r="K8" s="11">
        <v>159003000</v>
      </c>
      <c r="L8" s="11">
        <v>2151598244.999999</v>
      </c>
      <c r="M8" s="6">
        <f t="shared" si="0"/>
        <v>7.0264988268863862E-2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86.384500000000003</v>
      </c>
      <c r="J9" s="11">
        <v>94.17616666666666</v>
      </c>
      <c r="K9" s="11">
        <v>176481250</v>
      </c>
      <c r="L9" s="11">
        <v>2133090174.999999</v>
      </c>
      <c r="M9" s="6">
        <f t="shared" si="0"/>
        <v>6.9660568124698286E-2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80.2834</v>
      </c>
      <c r="J10" s="11">
        <v>87.951177777777772</v>
      </c>
      <c r="K10" s="11">
        <v>173675166.66666701</v>
      </c>
      <c r="L10" s="11">
        <v>1992094176.666666</v>
      </c>
      <c r="M10" s="6">
        <f t="shared" si="0"/>
        <v>6.5056045792580286E-2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71.381100000000004</v>
      </c>
      <c r="J11" s="11">
        <v>76.990961111111105</v>
      </c>
      <c r="K11" s="11">
        <v>127063354.166667</v>
      </c>
      <c r="L11" s="11">
        <v>1743845269.166666</v>
      </c>
      <c r="M11" s="6">
        <f t="shared" si="0"/>
        <v>5.694895302385302E-2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79.25030000000001</v>
      </c>
      <c r="J12" s="11">
        <v>83.362383333333327</v>
      </c>
      <c r="K12" s="11">
        <v>93138687.5</v>
      </c>
      <c r="L12" s="11">
        <v>1888157982.5</v>
      </c>
      <c r="M12" s="6">
        <f t="shared" si="0"/>
        <v>6.1661789694443733E-2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65.585800000000006</v>
      </c>
      <c r="J13" s="11">
        <v>70.360550000000003</v>
      </c>
      <c r="K13" s="11">
        <v>108148087.5</v>
      </c>
      <c r="L13" s="11">
        <v>1593666457.5</v>
      </c>
      <c r="M13" s="6">
        <f t="shared" si="0"/>
        <v>5.2044546513710037E-2</v>
      </c>
    </row>
    <row r="14" spans="1:13" x14ac:dyDescent="0.25">
      <c r="A14" s="1" t="s">
        <v>56</v>
      </c>
      <c r="B14" s="13" t="s">
        <v>57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90</v>
      </c>
      <c r="H14" s="11">
        <v>1597764975</v>
      </c>
      <c r="I14" s="11">
        <v>64.398899999999998</v>
      </c>
      <c r="J14" s="11">
        <v>71.482566666666656</v>
      </c>
      <c r="K14" s="11">
        <v>160445050</v>
      </c>
      <c r="L14" s="11">
        <v>1619080135</v>
      </c>
      <c r="M14" s="6">
        <f t="shared" si="0"/>
        <v>5.2874483866352837E-2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93</v>
      </c>
      <c r="H15" s="11">
        <v>3136670150</v>
      </c>
      <c r="I15" s="11">
        <v>87.268200000000007</v>
      </c>
      <c r="J15" s="11">
        <v>91.202700000000007</v>
      </c>
      <c r="K15" s="11">
        <v>148527375</v>
      </c>
      <c r="L15" s="11">
        <v>3442901925</v>
      </c>
      <c r="M15" s="6">
        <f t="shared" si="0"/>
        <v>0.11243523921491855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60.218600000000002</v>
      </c>
      <c r="J16" s="11">
        <v>63.747766666666656</v>
      </c>
      <c r="K16" s="11">
        <v>98952892.5</v>
      </c>
      <c r="L16" s="11">
        <v>1787398130.46</v>
      </c>
      <c r="M16" s="6">
        <f t="shared" si="0"/>
        <v>5.8371263761911631E-2</v>
      </c>
    </row>
    <row r="17" spans="1:15" x14ac:dyDescent="0.25">
      <c r="A17" s="1" t="s">
        <v>61</v>
      </c>
      <c r="B17" s="13" t="s">
        <v>62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98</v>
      </c>
      <c r="H17" s="11">
        <v>979029096.96000004</v>
      </c>
      <c r="I17" s="11">
        <v>87.28540000000001</v>
      </c>
      <c r="J17" s="11">
        <v>96.552066666666661</v>
      </c>
      <c r="K17" s="11">
        <v>96232480</v>
      </c>
      <c r="L17" s="11">
        <v>1002673901.92</v>
      </c>
      <c r="M17" s="6">
        <f t="shared" si="0"/>
        <v>3.274443550027379E-2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98.166800000000009</v>
      </c>
      <c r="J18" s="11">
        <v>99.318049999999999</v>
      </c>
      <c r="K18" s="11">
        <v>5836710.8624999998</v>
      </c>
      <c r="L18" s="11">
        <v>503531588.51450002</v>
      </c>
      <c r="M18" s="6">
        <f t="shared" si="0"/>
        <v>1.6443888278024576E-2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94.457092101667101</v>
      </c>
      <c r="J19" s="11">
        <v>98.508758768333749</v>
      </c>
      <c r="K19" s="11">
        <v>85085000</v>
      </c>
      <c r="L19" s="11">
        <v>2068683934.1350091</v>
      </c>
      <c r="M19" s="6">
        <f t="shared" si="0"/>
        <v>6.7557246201408586E-2</v>
      </c>
    </row>
    <row r="20" spans="1:15" x14ac:dyDescent="0.25">
      <c r="A20" s="1" t="s">
        <v>107</v>
      </c>
      <c r="B20" s="13" t="s">
        <v>108</v>
      </c>
      <c r="C20" s="10">
        <v>1000000</v>
      </c>
      <c r="D20" s="11">
        <v>1000000000</v>
      </c>
      <c r="E20" s="3">
        <v>0.1389</v>
      </c>
      <c r="F20" s="4" t="s">
        <v>109</v>
      </c>
      <c r="G20" s="4" t="s">
        <v>110</v>
      </c>
      <c r="H20" s="11">
        <v>1000000000</v>
      </c>
      <c r="I20" s="11">
        <v>98.648115030339795</v>
      </c>
      <c r="J20" s="11">
        <v>99.304031697006451</v>
      </c>
      <c r="K20" s="11">
        <v>6559166.6666666698</v>
      </c>
      <c r="L20" s="11">
        <v>993040316.970065</v>
      </c>
      <c r="M20" s="6">
        <f t="shared" si="0"/>
        <v>3.24298304223661E-2</v>
      </c>
    </row>
    <row r="21" spans="1:15" x14ac:dyDescent="0.25">
      <c r="A21" s="1" t="s">
        <v>111</v>
      </c>
      <c r="B21" s="13" t="s">
        <v>112</v>
      </c>
      <c r="C21" s="10">
        <v>494987</v>
      </c>
      <c r="D21" s="11">
        <v>494987000</v>
      </c>
      <c r="E21" s="3">
        <v>0.1701</v>
      </c>
      <c r="F21" s="4" t="s">
        <v>113</v>
      </c>
      <c r="G21" s="4" t="s">
        <v>114</v>
      </c>
      <c r="H21" s="11">
        <v>495088472.34249997</v>
      </c>
      <c r="I21" s="11">
        <v>102.84610000000001</v>
      </c>
      <c r="J21" s="11">
        <v>108.89410000000001</v>
      </c>
      <c r="K21" s="11">
        <v>29936813.760000002</v>
      </c>
      <c r="L21" s="11">
        <v>539011638.76699996</v>
      </c>
      <c r="M21" s="6">
        <f t="shared" si="0"/>
        <v>1.7602564309000149E-2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96.932665087477389</v>
      </c>
      <c r="J22" s="11">
        <v>103.286831754131</v>
      </c>
      <c r="K22" s="11">
        <v>10531332.291644439</v>
      </c>
      <c r="L22" s="11">
        <v>171186562.08097899</v>
      </c>
      <c r="M22" s="6">
        <f t="shared" si="0"/>
        <v>5.5904590015163963E-3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1783651778.8113673</v>
      </c>
      <c r="L24" s="22">
        <f>SUM(L4:L23)</f>
        <v>30621199803.906105</v>
      </c>
      <c r="M24" s="23"/>
      <c r="N24" s="26">
        <v>30621199803.906132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3575654.22</v>
      </c>
      <c r="C27" s="51">
        <v>3575654.22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32817231</v>
      </c>
      <c r="D32" s="7" t="s">
        <v>51</v>
      </c>
      <c r="E32" s="34" t="s">
        <v>52</v>
      </c>
      <c r="F32" s="34" t="s">
        <v>53</v>
      </c>
      <c r="G32" s="15">
        <v>97.725700000100545</v>
      </c>
      <c r="H32" s="15">
        <v>97.816999365059161</v>
      </c>
      <c r="I32" s="16">
        <f t="shared" ref="I32:I39" si="1">+C32*G32</f>
        <v>3207086871.5399995</v>
      </c>
      <c r="J32" s="16">
        <f t="shared" ref="J32:J39" si="2">+C32*H32</f>
        <v>3210083063.8899999</v>
      </c>
      <c r="K32" s="18">
        <v>0.17049899999999998</v>
      </c>
      <c r="L32" s="17"/>
      <c r="M32" s="17">
        <v>3207086871.54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258965</v>
      </c>
      <c r="D33" s="7" t="s">
        <v>51</v>
      </c>
      <c r="E33" s="34" t="s">
        <v>52</v>
      </c>
      <c r="F33" s="34" t="s">
        <v>53</v>
      </c>
      <c r="G33" s="15">
        <v>946.75400000000002</v>
      </c>
      <c r="H33" s="15">
        <v>947.63606348348208</v>
      </c>
      <c r="I33" s="16">
        <f t="shared" si="1"/>
        <v>245176149.61000001</v>
      </c>
      <c r="J33" s="16">
        <f t="shared" si="2"/>
        <v>245404573.17999995</v>
      </c>
      <c r="K33" s="18">
        <v>0.17002999999999999</v>
      </c>
      <c r="L33" s="17"/>
      <c r="M33" s="17">
        <v>245176149.61000001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229764</v>
      </c>
      <c r="D34" s="7" t="s">
        <v>51</v>
      </c>
      <c r="E34" s="34" t="s">
        <v>58</v>
      </c>
      <c r="F34" s="34" t="s">
        <v>52</v>
      </c>
      <c r="G34" s="15">
        <v>714.17</v>
      </c>
      <c r="H34" s="15">
        <v>715.16787551574703</v>
      </c>
      <c r="I34" s="16">
        <f t="shared" si="1"/>
        <v>164090555.88</v>
      </c>
      <c r="J34" s="16">
        <f t="shared" si="2"/>
        <v>164319831.75000009</v>
      </c>
      <c r="K34" s="18">
        <v>0.16999899999999998</v>
      </c>
      <c r="L34" s="17">
        <v>76425.290000000008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229764</v>
      </c>
      <c r="D35" s="7" t="s">
        <v>51</v>
      </c>
      <c r="E35" s="34" t="s">
        <v>52</v>
      </c>
      <c r="F35" s="34" t="s">
        <v>52</v>
      </c>
      <c r="G35" s="15">
        <v>714.17</v>
      </c>
      <c r="H35" s="15">
        <v>715.16787551574703</v>
      </c>
      <c r="I35" s="16">
        <f t="shared" si="1"/>
        <v>164090555.88</v>
      </c>
      <c r="J35" s="16">
        <f t="shared" si="2"/>
        <v>164319831.75000009</v>
      </c>
      <c r="K35" s="18">
        <v>0.16999899999999998</v>
      </c>
      <c r="L35" s="17"/>
      <c r="M35" s="17"/>
      <c r="N35" s="35"/>
    </row>
    <row r="36" spans="1:15" s="36" customFormat="1" ht="12" customHeight="1" x14ac:dyDescent="0.25">
      <c r="A36" s="12" t="s">
        <v>59</v>
      </c>
      <c r="B36" s="7" t="s">
        <v>60</v>
      </c>
      <c r="C36" s="14">
        <v>93678</v>
      </c>
      <c r="D36" s="7" t="s">
        <v>51</v>
      </c>
      <c r="E36" s="34" t="s">
        <v>58</v>
      </c>
      <c r="F36" s="34" t="s">
        <v>52</v>
      </c>
      <c r="G36" s="15">
        <v>832.68100002135009</v>
      </c>
      <c r="H36" s="15">
        <v>833.84447212792804</v>
      </c>
      <c r="I36" s="16">
        <f t="shared" si="1"/>
        <v>78003890.720000029</v>
      </c>
      <c r="J36" s="16">
        <f t="shared" si="2"/>
        <v>78112882.460000038</v>
      </c>
      <c r="K36" s="18">
        <v>0.17</v>
      </c>
      <c r="L36" s="17">
        <v>36330.58</v>
      </c>
      <c r="M36" s="17"/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93678</v>
      </c>
      <c r="D37" s="7" t="s">
        <v>51</v>
      </c>
      <c r="E37" s="34" t="s">
        <v>52</v>
      </c>
      <c r="F37" s="34" t="s">
        <v>52</v>
      </c>
      <c r="G37" s="15">
        <v>832.68100002135009</v>
      </c>
      <c r="H37" s="15">
        <v>833.84447212792804</v>
      </c>
      <c r="I37" s="16">
        <f t="shared" si="1"/>
        <v>78003890.720000029</v>
      </c>
      <c r="J37" s="16">
        <f t="shared" si="2"/>
        <v>78112882.460000038</v>
      </c>
      <c r="K37" s="18">
        <v>0.17</v>
      </c>
      <c r="L37" s="17"/>
      <c r="M37" s="17"/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3325659</v>
      </c>
      <c r="D38" s="7" t="s">
        <v>51</v>
      </c>
      <c r="E38" s="34" t="s">
        <v>58</v>
      </c>
      <c r="F38" s="34" t="s">
        <v>52</v>
      </c>
      <c r="G38" s="15">
        <v>964.53300000090201</v>
      </c>
      <c r="H38" s="15">
        <v>965.880695717751</v>
      </c>
      <c r="I38" s="16">
        <f t="shared" si="1"/>
        <v>3207707852.25</v>
      </c>
      <c r="J38" s="16">
        <f t="shared" si="2"/>
        <v>3212189828.6399999</v>
      </c>
      <c r="K38" s="18">
        <v>0.16999899999999998</v>
      </c>
      <c r="L38" s="17">
        <v>1493992.13</v>
      </c>
      <c r="M38" s="17"/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3325659</v>
      </c>
      <c r="D39" s="7" t="s">
        <v>51</v>
      </c>
      <c r="E39" s="34" t="s">
        <v>52</v>
      </c>
      <c r="F39" s="34" t="s">
        <v>52</v>
      </c>
      <c r="G39" s="15">
        <v>964.53300000090201</v>
      </c>
      <c r="H39" s="15">
        <v>965.880695717751</v>
      </c>
      <c r="I39" s="16">
        <f t="shared" si="1"/>
        <v>3207707852.25</v>
      </c>
      <c r="J39" s="16">
        <f t="shared" si="2"/>
        <v>3212189828.6399999</v>
      </c>
      <c r="K39" s="18">
        <v>0.16999899999999998</v>
      </c>
      <c r="L39" s="17"/>
      <c r="M39" s="17"/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3452263021.1500001</v>
      </c>
      <c r="N41" s="38">
        <v>3452263021.1500001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34077038479.276108</v>
      </c>
      <c r="C48" s="32">
        <v>34077038479.276134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714408.79999999993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216233.19</v>
      </c>
    </row>
    <row r="58" spans="1:2" x14ac:dyDescent="0.25">
      <c r="A58" s="48" t="s">
        <v>41</v>
      </c>
      <c r="B58" s="50">
        <v>107891.62999999999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1038533.62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2025-12-17T06:29:06Z</dcterms:created>
  <dcterms:modified xsi:type="dcterms:W3CDTF">2025-12-17T07:35:55Z</dcterms:modified>
</cp:coreProperties>
</file>