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8C52520A-BF1A-4717-A39A-634FC1B873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1" l="1"/>
  <c r="O36" i="1"/>
  <c r="O24" i="1"/>
  <c r="D27" i="1"/>
  <c r="B57" i="1"/>
  <c r="G41" i="1"/>
  <c r="M36" i="1"/>
  <c r="J34" i="1"/>
  <c r="I34" i="1"/>
  <c r="J33" i="1"/>
  <c r="I33" i="1"/>
  <c r="J32" i="1"/>
  <c r="I32" i="1"/>
  <c r="L24" i="1"/>
  <c r="M22" i="1" s="1"/>
  <c r="K24" i="1"/>
  <c r="M17" i="1" l="1"/>
  <c r="M9" i="1"/>
  <c r="M15" i="1"/>
  <c r="M21" i="1"/>
  <c r="M4" i="1"/>
  <c r="M16" i="1"/>
  <c r="M5" i="1"/>
  <c r="M11" i="1"/>
  <c r="M6" i="1"/>
  <c r="M18" i="1"/>
  <c r="M7" i="1"/>
  <c r="M13" i="1"/>
  <c r="M19" i="1"/>
  <c r="M10" i="1"/>
  <c r="M12" i="1"/>
  <c r="M8" i="1"/>
  <c r="M14" i="1"/>
  <c r="M20" i="1"/>
  <c r="B43" i="1"/>
</calcChain>
</file>

<file path=xl/sharedStrings.xml><?xml version="1.0" encoding="utf-8"?>
<sst xmlns="http://schemas.openxmlformats.org/spreadsheetml/2006/main" count="145" uniqueCount="119">
  <si>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</si>
  <si>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</si>
  <si>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</si>
  <si>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</si>
  <si>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</si>
  <si>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</si>
  <si>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</si>
  <si>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</si>
  <si>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</si>
  <si>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</si>
  <si>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</si>
  <si>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</si>
  <si>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</si>
  <si>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</si>
  <si>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</si>
  <si>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</si>
  <si>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</si>
  <si>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</si>
  <si>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</si>
  <si>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</si>
  <si>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</si>
  <si>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</si>
  <si>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</si>
  <si>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</si>
  <si>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</si>
  <si>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</si>
  <si>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</si>
  <si>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</si>
  <si>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</si>
  <si>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</si>
  <si>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</si>
  <si>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</si>
  <si>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</si>
  <si>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</si>
  <si>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</si>
  <si>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</si>
  <si>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</si>
  <si>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</si>
  <si>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</si>
  <si>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</si>
  <si>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</si>
  <si>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</si>
  <si>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</si>
  <si>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</si>
  <si>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</si>
  <si>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</si>
  <si>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</si>
  <si>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</si>
  <si>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</si>
  <si>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</si>
  <si>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</si>
  <si>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</si>
  <si>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26.12.2025</t>
  </si>
  <si>
    <t>29.12.2025</t>
  </si>
  <si>
    <t>МИНИСТЕРСТВО ФИНАНСОВ РК, ГЦБ, MKM012_0160</t>
  </si>
  <si>
    <t>KZK100000373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</si>
  <si>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</si>
  <si>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</si>
  <si>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</si>
  <si>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</si>
  <si>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</si>
  <si>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</si>
  <si>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</si>
  <si>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</si>
  <si>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</si>
  <si>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</si>
  <si>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</si>
  <si>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</si>
  <si>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</si>
  <si>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</si>
  <si>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</si>
  <si>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</si>
  <si>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</si>
  <si>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</si>
  <si>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</si>
  <si>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</si>
  <si>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</si>
  <si>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</si>
  <si>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</si>
  <si>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</si>
  <si>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</si>
  <si>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</si>
  <si>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</si>
  <si>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</si>
  <si>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</si>
  <si>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</si>
  <si>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</si>
  <si>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</si>
  <si>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</si>
  <si>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</si>
  <si>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</si>
  <si>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</si>
  <si>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</si>
  <si>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</si>
  <si>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</si>
  <si>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</si>
  <si>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</si>
  <si>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</si>
  <si>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</si>
  <si>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</si>
  <si>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</si>
  <si>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</si>
  <si>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</si>
  <si>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</si>
  <si>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</si>
  <si>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</si>
  <si>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</si>
  <si>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</si>
  <si>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</si>
  <si>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</si>
  <si>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</si>
  <si>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</si>
  <si>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</si>
  <si>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</si>
  <si>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</si>
  <si>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</si>
  <si>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</si>
  <si>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</si>
  <si>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27.12.2025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</si>
</sst>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A13" zoomScale="90" zoomScaleNormal="90" workbookViewId="0">
      <selection activeCell="D44" sqref="D4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99.565100000000001</v>
      </c>
      <c r="J4" s="11">
        <v>104.18876666666701</v>
      </c>
      <c r="K4" s="11">
        <v>139634733.33333299</v>
      </c>
      <c r="L4" s="11">
        <v>3146500753.333333</v>
      </c>
      <c r="M4" s="6">
        <f t="shared" ref="M4:M22" si="0">L4/$L$24</f>
        <v>0.10148777081586809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85.5124</v>
      </c>
      <c r="J5" s="11">
        <v>89.878927777777761</v>
      </c>
      <c r="K5" s="11">
        <v>98901854.166666657</v>
      </c>
      <c r="L5" s="11">
        <v>2035757714.166666</v>
      </c>
      <c r="M5" s="6">
        <f t="shared" si="0"/>
        <v>6.5661675787971718E-2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85.5124</v>
      </c>
      <c r="J6" s="11">
        <v>89.878927777778031</v>
      </c>
      <c r="K6" s="11">
        <v>67753053.602777764</v>
      </c>
      <c r="L6" s="11">
        <v>1394602787.7067809</v>
      </c>
      <c r="M6" s="6">
        <f t="shared" si="0"/>
        <v>4.498175566874324E-2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85.5124</v>
      </c>
      <c r="J7" s="11">
        <v>89.878927777777761</v>
      </c>
      <c r="K7" s="11">
        <v>23827792.76111111</v>
      </c>
      <c r="L7" s="11">
        <v>490462118.56911099</v>
      </c>
      <c r="M7" s="6">
        <f t="shared" si="0"/>
        <v>1.5819448646397293E-2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88.952700000000007</v>
      </c>
      <c r="J8" s="11">
        <v>96.319366666666653</v>
      </c>
      <c r="K8" s="11">
        <v>166855000</v>
      </c>
      <c r="L8" s="11">
        <v>2181633654.999999</v>
      </c>
      <c r="M8" s="6">
        <f t="shared" si="0"/>
        <v>7.0366783210926806E-2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87.431899999999999</v>
      </c>
      <c r="J9" s="11">
        <v>95.59023333333333</v>
      </c>
      <c r="K9" s="11">
        <v>184786250</v>
      </c>
      <c r="L9" s="11">
        <v>2165118784.999999</v>
      </c>
      <c r="M9" s="6">
        <f t="shared" si="0"/>
        <v>6.9834109783202925E-2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81.214300000000009</v>
      </c>
      <c r="J10" s="11">
        <v>89.2254111111111</v>
      </c>
      <c r="K10" s="11">
        <v>181451666.66666701</v>
      </c>
      <c r="L10" s="11">
        <v>2020955561.666666</v>
      </c>
      <c r="M10" s="6">
        <f t="shared" si="0"/>
        <v>6.518424464198834E-2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72.1678</v>
      </c>
      <c r="J11" s="11">
        <v>78.059327777777767</v>
      </c>
      <c r="K11" s="11">
        <v>133443104.166667</v>
      </c>
      <c r="L11" s="11">
        <v>1768043774.166666</v>
      </c>
      <c r="M11" s="6">
        <f t="shared" si="0"/>
        <v>5.7026784803709256E-2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80.058400000000006</v>
      </c>
      <c r="J12" s="11">
        <v>84.525483333333327</v>
      </c>
      <c r="K12" s="11">
        <v>101179437.5</v>
      </c>
      <c r="L12" s="11">
        <v>1914502197.5</v>
      </c>
      <c r="M12" s="6">
        <f t="shared" si="0"/>
        <v>6.1750679716354825E-2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66.187600000000003</v>
      </c>
      <c r="J13" s="11">
        <v>71.231349999999992</v>
      </c>
      <c r="K13" s="11">
        <v>114240937.5</v>
      </c>
      <c r="L13" s="11">
        <v>1613390077.5</v>
      </c>
      <c r="M13" s="6">
        <f t="shared" si="0"/>
        <v>5.2038558150178035E-2</v>
      </c>
    </row>
    <row r="14" spans="1:13" x14ac:dyDescent="0.25">
      <c r="A14" s="1" t="s">
        <v>85</v>
      </c>
      <c r="B14" s="13" t="s">
        <v>86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87</v>
      </c>
      <c r="H14" s="11">
        <v>1597764975</v>
      </c>
      <c r="I14" s="11">
        <v>64.963000000000008</v>
      </c>
      <c r="J14" s="11">
        <v>72.315666666666658</v>
      </c>
      <c r="K14" s="11">
        <v>166537900</v>
      </c>
      <c r="L14" s="11">
        <v>1637949850</v>
      </c>
      <c r="M14" s="6">
        <f t="shared" si="0"/>
        <v>5.2830713232336957E-2</v>
      </c>
    </row>
    <row r="15" spans="1:13" x14ac:dyDescent="0.25">
      <c r="A15" s="1" t="s">
        <v>88</v>
      </c>
      <c r="B15" s="13" t="s">
        <v>89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90</v>
      </c>
      <c r="H15" s="11">
        <v>3136670150</v>
      </c>
      <c r="I15" s="11">
        <v>88.038300000000007</v>
      </c>
      <c r="J15" s="11">
        <v>92.155799999999999</v>
      </c>
      <c r="K15" s="11">
        <v>155435625</v>
      </c>
      <c r="L15" s="11">
        <v>3478881450</v>
      </c>
      <c r="M15" s="6">
        <f t="shared" si="0"/>
        <v>0.1122084343755986</v>
      </c>
    </row>
    <row r="16" spans="1:13" x14ac:dyDescent="0.25">
      <c r="A16" s="1" t="s">
        <v>91</v>
      </c>
      <c r="B16" s="13" t="s">
        <v>92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60.927500000000002</v>
      </c>
      <c r="J16" s="11">
        <v>64.64</v>
      </c>
      <c r="K16" s="11">
        <v>104093302.5</v>
      </c>
      <c r="L16" s="11">
        <v>1812415104</v>
      </c>
      <c r="M16" s="6">
        <f t="shared" si="0"/>
        <v>5.8457945227920229E-2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88.318400000000011</v>
      </c>
      <c r="J17" s="11">
        <v>97.985066666666654</v>
      </c>
      <c r="K17" s="11">
        <v>100386400</v>
      </c>
      <c r="L17" s="11">
        <v>1017555320.3200001</v>
      </c>
      <c r="M17" s="6">
        <f t="shared" si="0"/>
        <v>3.2820402484157067E-2</v>
      </c>
    </row>
    <row r="18" spans="1:15" x14ac:dyDescent="0.25">
      <c r="A18" s="1" t="s">
        <v>98</v>
      </c>
      <c r="B18" s="13" t="s">
        <v>99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98.951800000000006</v>
      </c>
      <c r="J18" s="11">
        <v>100.61471666666701</v>
      </c>
      <c r="K18" s="11">
        <v>8430804.5791666694</v>
      </c>
      <c r="L18" s="11">
        <v>510105545.88116699</v>
      </c>
      <c r="M18" s="6">
        <f t="shared" si="0"/>
        <v>1.6453031094128209E-2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95.240285537145894</v>
      </c>
      <c r="J19" s="11">
        <v>99.76861887047923</v>
      </c>
      <c r="K19" s="11">
        <v>95095000</v>
      </c>
      <c r="L19" s="11">
        <v>2095140996.2800629</v>
      </c>
      <c r="M19" s="6">
        <f t="shared" si="0"/>
        <v>6.7577034275979053E-2</v>
      </c>
    </row>
    <row r="20" spans="1:15" x14ac:dyDescent="0.25">
      <c r="A20" s="1" t="s">
        <v>106</v>
      </c>
      <c r="B20" s="13" t="s">
        <v>107</v>
      </c>
      <c r="C20" s="10">
        <v>1000000</v>
      </c>
      <c r="D20" s="11">
        <v>1000000000</v>
      </c>
      <c r="E20" s="3">
        <v>0.1389</v>
      </c>
      <c r="F20" s="4" t="s">
        <v>108</v>
      </c>
      <c r="G20" s="4" t="s">
        <v>109</v>
      </c>
      <c r="H20" s="11">
        <v>1000000000</v>
      </c>
      <c r="I20" s="11">
        <v>99.023763763743901</v>
      </c>
      <c r="J20" s="11">
        <v>100.142680430411</v>
      </c>
      <c r="K20" s="11">
        <v>11189166.66666666</v>
      </c>
      <c r="L20" s="11">
        <v>1001426804.304105</v>
      </c>
      <c r="M20" s="6">
        <f t="shared" si="0"/>
        <v>3.2300190583591917E-2</v>
      </c>
    </row>
    <row r="21" spans="1:15" x14ac:dyDescent="0.25">
      <c r="A21" s="1" t="s">
        <v>110</v>
      </c>
      <c r="B21" s="13" t="s">
        <v>111</v>
      </c>
      <c r="C21" s="10">
        <v>165739</v>
      </c>
      <c r="D21" s="11">
        <v>165739000</v>
      </c>
      <c r="E21" s="3">
        <v>0.125</v>
      </c>
      <c r="F21" s="4" t="s">
        <v>112</v>
      </c>
      <c r="G21" s="4" t="s">
        <v>113</v>
      </c>
      <c r="H21" s="11">
        <v>159596381.18279999</v>
      </c>
      <c r="I21" s="11">
        <v>97.212688520537597</v>
      </c>
      <c r="J21" s="11">
        <v>103.98352185385801</v>
      </c>
      <c r="K21" s="11">
        <v>11221911.458311111</v>
      </c>
      <c r="L21" s="11">
        <v>172341249.28536499</v>
      </c>
      <c r="M21" s="6">
        <f t="shared" si="0"/>
        <v>5.5587239860230234E-3</v>
      </c>
    </row>
    <row r="22" spans="1:15" x14ac:dyDescent="0.25">
      <c r="A22" s="1" t="s">
        <v>114</v>
      </c>
      <c r="B22" s="13" t="s">
        <v>115</v>
      </c>
      <c r="C22" s="10">
        <v>494987</v>
      </c>
      <c r="D22" s="11">
        <v>494987000</v>
      </c>
      <c r="E22" s="3">
        <v>0.1701</v>
      </c>
      <c r="F22" s="4" t="s">
        <v>116</v>
      </c>
      <c r="G22" s="4" t="s">
        <v>117</v>
      </c>
      <c r="H22" s="11">
        <v>495088472.34249997</v>
      </c>
      <c r="I22" s="11">
        <v>103.88470000000001</v>
      </c>
      <c r="J22" s="11">
        <v>110.4997</v>
      </c>
      <c r="K22" s="11">
        <v>32743390.050000001</v>
      </c>
      <c r="L22" s="11">
        <v>546959150.03900003</v>
      </c>
      <c r="M22" s="6">
        <f t="shared" si="0"/>
        <v>1.7641713514924266E-2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1897207329.9513669</v>
      </c>
      <c r="L24" s="22">
        <f>SUM(L4:L23)</f>
        <v>31003742894.718925</v>
      </c>
      <c r="M24" s="23"/>
      <c r="N24" s="26">
        <v>31003742894.718948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9253536.5099999998</v>
      </c>
      <c r="C27" s="51">
        <v>9253536.5099999998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165480</v>
      </c>
      <c r="D32" s="7" t="s">
        <v>51</v>
      </c>
      <c r="E32" s="34" t="s">
        <v>52</v>
      </c>
      <c r="F32" s="34" t="s">
        <v>53</v>
      </c>
      <c r="G32" s="15">
        <v>507.66479997582803</v>
      </c>
      <c r="H32" s="15">
        <v>508.37580468938802</v>
      </c>
      <c r="I32" s="16">
        <f>+C32*G32</f>
        <v>84008371.100000024</v>
      </c>
      <c r="J32" s="16">
        <f>+C32*H32</f>
        <v>84126028.159999937</v>
      </c>
      <c r="K32" s="18">
        <v>0.17039899999999999</v>
      </c>
      <c r="L32" s="17">
        <v>39219.020000000004</v>
      </c>
      <c r="M32" s="17">
        <v>84047590.120000005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31804632</v>
      </c>
      <c r="D33" s="7" t="s">
        <v>51</v>
      </c>
      <c r="E33" s="34" t="s">
        <v>52</v>
      </c>
      <c r="F33" s="34" t="s">
        <v>53</v>
      </c>
      <c r="G33" s="15">
        <v>98.20240000010061</v>
      </c>
      <c r="H33" s="15">
        <v>98.339936362414122</v>
      </c>
      <c r="I33" s="16">
        <f>+C33*G33</f>
        <v>3123291193.52</v>
      </c>
      <c r="J33" s="16">
        <f>+C33*H33</f>
        <v>3127665486.9099998</v>
      </c>
      <c r="K33" s="18">
        <v>0.17039899999999999</v>
      </c>
      <c r="L33" s="17">
        <v>1458097.7966666699</v>
      </c>
      <c r="M33" s="17">
        <v>3124749291.3166661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288354</v>
      </c>
      <c r="D34" s="7" t="s">
        <v>51</v>
      </c>
      <c r="E34" s="34" t="s">
        <v>52</v>
      </c>
      <c r="F34" s="34" t="s">
        <v>53</v>
      </c>
      <c r="G34" s="15">
        <v>891.39</v>
      </c>
      <c r="H34" s="15">
        <v>892.63842710695906</v>
      </c>
      <c r="I34" s="16">
        <f>+C34*G34</f>
        <v>257035872.06</v>
      </c>
      <c r="J34" s="16">
        <f>+C34*H34</f>
        <v>257395861.01000008</v>
      </c>
      <c r="K34" s="18">
        <v>0.17039899999999999</v>
      </c>
      <c r="L34" s="17">
        <v>119996.31666666661</v>
      </c>
      <c r="M34" s="17">
        <v>257155868.37666699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SUM(M32:M35)</f>
        <v>3465952749.813333</v>
      </c>
      <c r="N36" s="38">
        <v>3465952749.813333</v>
      </c>
      <c r="O36" s="29">
        <f>M36-N36</f>
        <v>0</v>
      </c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hidden="1" x14ac:dyDescent="0.25">
      <c r="B40" s="41"/>
      <c r="C40" s="42"/>
      <c r="D40" s="43"/>
      <c r="G40" s="44"/>
      <c r="H40" s="33"/>
    </row>
    <row r="41" spans="1:15" x14ac:dyDescent="0.25">
      <c r="G41" s="45">
        <f>SUM(G40:G40)</f>
        <v>0</v>
      </c>
    </row>
    <row r="43" spans="1:15" x14ac:dyDescent="0.25">
      <c r="A43" s="46" t="s">
        <v>13</v>
      </c>
      <c r="B43" s="47">
        <f>+L24+B27+M36+G41</f>
        <v>34478949181.042259</v>
      </c>
      <c r="C43" s="32">
        <v>34478949181.042282</v>
      </c>
      <c r="D43" s="29">
        <f>B43-C43</f>
        <v>0</v>
      </c>
    </row>
    <row r="46" spans="1:15" x14ac:dyDescent="0.25">
      <c r="A46" s="24" t="s">
        <v>46</v>
      </c>
      <c r="B46" s="33"/>
    </row>
    <row r="47" spans="1:15" x14ac:dyDescent="0.25">
      <c r="A47" s="48" t="s">
        <v>35</v>
      </c>
      <c r="B47" s="49"/>
    </row>
    <row r="48" spans="1:15" x14ac:dyDescent="0.25">
      <c r="A48" s="48" t="s">
        <v>36</v>
      </c>
      <c r="B48" s="40"/>
    </row>
    <row r="49" spans="1:2" x14ac:dyDescent="0.25">
      <c r="A49" s="48" t="s">
        <v>37</v>
      </c>
      <c r="B49" s="40">
        <v>910771.26</v>
      </c>
    </row>
    <row r="50" spans="1:2" x14ac:dyDescent="0.25">
      <c r="A50" s="48" t="s">
        <v>38</v>
      </c>
      <c r="B50" s="40"/>
    </row>
    <row r="51" spans="1:2" x14ac:dyDescent="0.25">
      <c r="A51" s="48" t="s">
        <v>39</v>
      </c>
      <c r="B51" s="49"/>
    </row>
    <row r="52" spans="1:2" x14ac:dyDescent="0.25">
      <c r="A52" s="48" t="s">
        <v>40</v>
      </c>
      <c r="B52" s="40">
        <v>278563.18</v>
      </c>
    </row>
    <row r="53" spans="1:2" x14ac:dyDescent="0.25">
      <c r="A53" s="48" t="s">
        <v>41</v>
      </c>
      <c r="B53" s="40">
        <v>139029.76999999999</v>
      </c>
    </row>
    <row r="54" spans="1:2" x14ac:dyDescent="0.25">
      <c r="A54" s="48" t="s">
        <v>42</v>
      </c>
      <c r="B54" s="40"/>
    </row>
    <row r="55" spans="1:2" x14ac:dyDescent="0.25">
      <c r="A55" s="48" t="s">
        <v>43</v>
      </c>
      <c r="B55" s="40"/>
    </row>
    <row r="56" spans="1:2" x14ac:dyDescent="0.25">
      <c r="A56" s="48" t="s">
        <v>44</v>
      </c>
      <c r="B56" s="50"/>
    </row>
    <row r="57" spans="1:2" x14ac:dyDescent="0.25">
      <c r="A57" s="48" t="s">
        <v>45</v>
      </c>
      <c r="B57" s="49">
        <f>SUM(B47:B56)</f>
        <v>1328364.21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2025-12-29T05:53:47Z</dcterms:created>
  <dcterms:modified xsi:type="dcterms:W3CDTF">2025-12-29T07:48:31Z</dcterms:modified>
</cp:coreProperties>
</file>