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1FC67DD6-7865-4D10-AF60-3EF4E3B7A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6" i="1"/>
  <c r="O24" i="1"/>
  <c r="D27" i="1"/>
  <c r="B57" i="1"/>
  <c r="G41" i="1"/>
  <c r="M36" i="1"/>
  <c r="J34" i="1"/>
  <c r="I34" i="1"/>
  <c r="J33" i="1"/>
  <c r="I33" i="1"/>
  <c r="J32" i="1"/>
  <c r="I32" i="1"/>
  <c r="L24" i="1"/>
  <c r="B43" i="1" s="1"/>
  <c r="K24" i="1"/>
  <c r="M22" i="1"/>
  <c r="M20" i="1"/>
  <c r="M19" i="1"/>
  <c r="M18" i="1"/>
  <c r="M17" i="1"/>
  <c r="M16" i="1"/>
  <c r="M14" i="1"/>
  <c r="M13" i="1"/>
  <c r="M12" i="1"/>
  <c r="M11" i="1"/>
  <c r="M10" i="1"/>
  <c r="M8" i="1"/>
  <c r="M7" i="1"/>
  <c r="M6" i="1"/>
  <c r="M5" i="1"/>
  <c r="M4" i="1"/>
  <c r="M9" i="1" l="1"/>
  <c r="M15" i="1"/>
  <c r="M21" i="1"/>
</calcChain>
</file>

<file path=xl/sharedStrings.xml><?xml version="1.0" encoding="utf-8"?>
<sst xmlns="http://schemas.openxmlformats.org/spreadsheetml/2006/main" count="145" uniqueCount="115">
  <si>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</si>
  <si>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</si>
  <si>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</si>
  <si>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</si>
  <si>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</si>
  <si>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</si>
  <si>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</si>
  <si>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</si>
  <si>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</si>
  <si>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</si>
  <si>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</si>
  <si>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</si>
  <si>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</si>
  <si>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</si>
  <si>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</si>
  <si>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</si>
  <si>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</si>
  <si>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</si>
  <si>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</si>
  <si>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</si>
  <si>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</si>
  <si>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</si>
  <si>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</si>
  <si>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</si>
  <si>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</si>
  <si>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</si>
  <si>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</si>
  <si>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</si>
  <si>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</si>
  <si>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</si>
  <si>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</si>
  <si>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</si>
  <si>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</si>
  <si>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</si>
  <si>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</si>
  <si>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</si>
  <si>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</si>
  <si>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</si>
  <si>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</si>
  <si>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</si>
  <si>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</si>
  <si>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</si>
  <si>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</si>
  <si>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</si>
  <si>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</si>
  <si>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</si>
  <si>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</si>
  <si>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</si>
  <si>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</si>
  <si>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</si>
  <si>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</si>
  <si>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</si>
  <si>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12.12.2025</t>
  </si>
  <si>
    <t>15.12.2025</t>
  </si>
  <si>
    <t>МИНИСТЕРСТВО ФИНАНСОВ РК, ГЦБ, MUM156_0007</t>
  </si>
  <si>
    <t>KZKD00001103</t>
  </si>
  <si>
    <t>МИНИСТЕРСТВО ФИНАНСОВ РК, ГЦБ, MUM072_0015</t>
  </si>
  <si>
    <t>KZKD00001251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</si>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</sst>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4" zoomScale="90" zoomScaleNormal="90" workbookViewId="0">
      <selection activeCell="C43" sqref="C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99.343600000000009</v>
      </c>
      <c r="J4" s="11">
        <v>103.552322222222</v>
      </c>
      <c r="K4" s="11">
        <v>127103411.111111</v>
      </c>
      <c r="L4" s="11">
        <v>3127280131.1111112</v>
      </c>
      <c r="M4" s="6">
        <f t="shared" ref="M4:M22" si="0">L4/$L$24</f>
        <v>0.1022059402001361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84.482399999999998</v>
      </c>
      <c r="J5" s="11">
        <v>88.438649999999981</v>
      </c>
      <c r="K5" s="11">
        <v>89609062.499999985</v>
      </c>
      <c r="L5" s="11">
        <v>2003135422.499999</v>
      </c>
      <c r="M5" s="6">
        <f t="shared" si="0"/>
        <v>6.5466581381076527E-2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84.482399999999998</v>
      </c>
      <c r="J6" s="11">
        <v>88.438650000000251</v>
      </c>
      <c r="K6" s="11">
        <v>61386994.875</v>
      </c>
      <c r="L6" s="11">
        <v>1372254775.179004</v>
      </c>
      <c r="M6" s="6">
        <f t="shared" si="0"/>
        <v>4.4848105577758153E-2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84.482399999999998</v>
      </c>
      <c r="J7" s="11">
        <v>88.438649999999996</v>
      </c>
      <c r="K7" s="11">
        <v>21588939.749999989</v>
      </c>
      <c r="L7" s="11">
        <v>482602637.958</v>
      </c>
      <c r="M7" s="6">
        <f t="shared" si="0"/>
        <v>1.5772445795586062E-2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87.950500000000005</v>
      </c>
      <c r="J8" s="11">
        <v>94.912722222222214</v>
      </c>
      <c r="K8" s="11">
        <v>157694333.33333299</v>
      </c>
      <c r="L8" s="11">
        <v>2149773158.333333</v>
      </c>
      <c r="M8" s="6">
        <f t="shared" si="0"/>
        <v>7.0259003879645662E-2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86.375900000000001</v>
      </c>
      <c r="J9" s="11">
        <v>94.106455555555542</v>
      </c>
      <c r="K9" s="11">
        <v>175097083.33333299</v>
      </c>
      <c r="L9" s="11">
        <v>2131511218.333333</v>
      </c>
      <c r="M9" s="6">
        <f t="shared" si="0"/>
        <v>6.966216615826272E-2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80.283000000000001</v>
      </c>
      <c r="J10" s="11">
        <v>87.893555555555551</v>
      </c>
      <c r="K10" s="11">
        <v>172379083.33333299</v>
      </c>
      <c r="L10" s="11">
        <v>1990789033.333333</v>
      </c>
      <c r="M10" s="6">
        <f t="shared" si="0"/>
        <v>6.5063076015406743E-2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71.379000000000005</v>
      </c>
      <c r="J11" s="11">
        <v>76.941916666666657</v>
      </c>
      <c r="K11" s="11">
        <v>126000062.5</v>
      </c>
      <c r="L11" s="11">
        <v>1742734412.499999</v>
      </c>
      <c r="M11" s="6">
        <f t="shared" si="0"/>
        <v>5.6956141337235949E-2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79.260400000000004</v>
      </c>
      <c r="J12" s="11">
        <v>83.313316666666651</v>
      </c>
      <c r="K12" s="11">
        <v>91798562.5</v>
      </c>
      <c r="L12" s="11">
        <v>1887046622.5</v>
      </c>
      <c r="M12" s="6">
        <f t="shared" si="0"/>
        <v>6.1672560873393428E-2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65.58890000000001</v>
      </c>
      <c r="J13" s="11">
        <v>70.318816666666663</v>
      </c>
      <c r="K13" s="11">
        <v>107132612.5</v>
      </c>
      <c r="L13" s="11">
        <v>1592721197.5</v>
      </c>
      <c r="M13" s="6">
        <f t="shared" si="0"/>
        <v>5.2053401244018721E-2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85</v>
      </c>
      <c r="H14" s="11">
        <v>1597764975</v>
      </c>
      <c r="I14" s="11">
        <v>64.400599999999997</v>
      </c>
      <c r="J14" s="11">
        <v>71.439433333333326</v>
      </c>
      <c r="K14" s="11">
        <v>159429575</v>
      </c>
      <c r="L14" s="11">
        <v>1618103165</v>
      </c>
      <c r="M14" s="6">
        <f t="shared" si="0"/>
        <v>5.2882936093378408E-2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88</v>
      </c>
      <c r="H15" s="11">
        <v>3136670150</v>
      </c>
      <c r="I15" s="11">
        <v>87.194999999999993</v>
      </c>
      <c r="J15" s="11">
        <v>91.099000000000004</v>
      </c>
      <c r="K15" s="11">
        <v>147376000</v>
      </c>
      <c r="L15" s="11">
        <v>3438987250</v>
      </c>
      <c r="M15" s="6">
        <f t="shared" si="0"/>
        <v>0.11239316929937107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60.206500000000005</v>
      </c>
      <c r="J16" s="11">
        <v>63.705111111111108</v>
      </c>
      <c r="K16" s="11">
        <v>98096157.5</v>
      </c>
      <c r="L16" s="11">
        <v>1786202128.4000001</v>
      </c>
      <c r="M16" s="6">
        <f t="shared" si="0"/>
        <v>5.837675560447575E-2</v>
      </c>
    </row>
    <row r="17" spans="1:15" x14ac:dyDescent="0.25">
      <c r="A17" s="1" t="s">
        <v>56</v>
      </c>
      <c r="B17" s="13" t="s">
        <v>57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93</v>
      </c>
      <c r="H17" s="11">
        <v>979029096.96000004</v>
      </c>
      <c r="I17" s="11">
        <v>87.286600000000007</v>
      </c>
      <c r="J17" s="11">
        <v>96.48660000000001</v>
      </c>
      <c r="K17" s="11">
        <v>95540160</v>
      </c>
      <c r="L17" s="11">
        <v>1001994043.6799999</v>
      </c>
      <c r="M17" s="6">
        <f t="shared" si="0"/>
        <v>3.2747224110321327E-2</v>
      </c>
    </row>
    <row r="18" spans="1:15" x14ac:dyDescent="0.25">
      <c r="A18" s="1" t="s">
        <v>94</v>
      </c>
      <c r="B18" s="13" t="s">
        <v>95</v>
      </c>
      <c r="C18" s="10">
        <v>506989</v>
      </c>
      <c r="D18" s="11">
        <v>506989000</v>
      </c>
      <c r="E18" s="3">
        <v>0.1535</v>
      </c>
      <c r="F18" s="4" t="s">
        <v>96</v>
      </c>
      <c r="G18" s="4" t="s">
        <v>97</v>
      </c>
      <c r="H18" s="11">
        <v>492216861.50999999</v>
      </c>
      <c r="I18" s="11">
        <v>98.174400000000006</v>
      </c>
      <c r="J18" s="11">
        <v>99.24037222222222</v>
      </c>
      <c r="K18" s="11">
        <v>5404361.9097222202</v>
      </c>
      <c r="L18" s="11">
        <v>503137770.72572201</v>
      </c>
      <c r="M18" s="6">
        <f t="shared" si="0"/>
        <v>1.6443576127269509E-2</v>
      </c>
    </row>
    <row r="19" spans="1:15" x14ac:dyDescent="0.25">
      <c r="A19" s="1" t="s">
        <v>98</v>
      </c>
      <c r="B19" s="13" t="s">
        <v>99</v>
      </c>
      <c r="C19" s="10">
        <v>2100000</v>
      </c>
      <c r="D19" s="11">
        <v>2100000000</v>
      </c>
      <c r="E19" s="3">
        <v>0.14300000000000002</v>
      </c>
      <c r="F19" s="4" t="s">
        <v>100</v>
      </c>
      <c r="G19" s="4" t="s">
        <v>101</v>
      </c>
      <c r="H19" s="11">
        <v>2100000000</v>
      </c>
      <c r="I19" s="11">
        <v>94.492204418680998</v>
      </c>
      <c r="J19" s="11">
        <v>98.464426640903213</v>
      </c>
      <c r="K19" s="11">
        <v>83416666.666666657</v>
      </c>
      <c r="L19" s="11">
        <v>2067752959.458967</v>
      </c>
      <c r="M19" s="6">
        <f t="shared" si="0"/>
        <v>6.7578415256336649E-2</v>
      </c>
    </row>
    <row r="20" spans="1:15" x14ac:dyDescent="0.25">
      <c r="A20" s="1" t="s">
        <v>102</v>
      </c>
      <c r="B20" s="13" t="s">
        <v>103</v>
      </c>
      <c r="C20" s="10">
        <v>1000000</v>
      </c>
      <c r="D20" s="11">
        <v>1000000000</v>
      </c>
      <c r="E20" s="3">
        <v>0.1389</v>
      </c>
      <c r="F20" s="4" t="s">
        <v>104</v>
      </c>
      <c r="G20" s="4" t="s">
        <v>105</v>
      </c>
      <c r="H20" s="11">
        <v>1000000000</v>
      </c>
      <c r="I20" s="11">
        <v>98.631824215075397</v>
      </c>
      <c r="J20" s="11">
        <v>99.210574215075383</v>
      </c>
      <c r="K20" s="11">
        <v>5787500</v>
      </c>
      <c r="L20" s="11">
        <v>992105742.15075397</v>
      </c>
      <c r="M20" s="6">
        <f t="shared" si="0"/>
        <v>3.2424054099190941E-2</v>
      </c>
    </row>
    <row r="21" spans="1:15" x14ac:dyDescent="0.25">
      <c r="A21" s="1" t="s">
        <v>106</v>
      </c>
      <c r="B21" s="13" t="s">
        <v>107</v>
      </c>
      <c r="C21" s="10">
        <v>165739</v>
      </c>
      <c r="D21" s="11">
        <v>165739000</v>
      </c>
      <c r="E21" s="3">
        <v>0.125</v>
      </c>
      <c r="F21" s="4" t="s">
        <v>108</v>
      </c>
      <c r="G21" s="4" t="s">
        <v>109</v>
      </c>
      <c r="H21" s="11">
        <v>159596381.18279999</v>
      </c>
      <c r="I21" s="11">
        <v>96.9077523561932</v>
      </c>
      <c r="J21" s="11">
        <v>103.192474578402</v>
      </c>
      <c r="K21" s="11">
        <v>10416235.763866659</v>
      </c>
      <c r="L21" s="11">
        <v>171030175.44149801</v>
      </c>
      <c r="M21" s="6">
        <f t="shared" si="0"/>
        <v>5.5896175432745268E-3</v>
      </c>
    </row>
    <row r="22" spans="1:15" x14ac:dyDescent="0.25">
      <c r="A22" s="1" t="s">
        <v>110</v>
      </c>
      <c r="B22" s="13" t="s">
        <v>111</v>
      </c>
      <c r="C22" s="10">
        <v>494987</v>
      </c>
      <c r="D22" s="11">
        <v>494987000</v>
      </c>
      <c r="E22" s="3">
        <v>0.1701</v>
      </c>
      <c r="F22" s="4" t="s">
        <v>112</v>
      </c>
      <c r="G22" s="4" t="s">
        <v>113</v>
      </c>
      <c r="H22" s="11">
        <v>495088472.34249997</v>
      </c>
      <c r="I22" s="11">
        <v>102.87150000000001</v>
      </c>
      <c r="J22" s="11">
        <v>108.825</v>
      </c>
      <c r="K22" s="11">
        <v>29469051.045000002</v>
      </c>
      <c r="L22" s="11">
        <v>538669602.75</v>
      </c>
      <c r="M22" s="6">
        <f t="shared" si="0"/>
        <v>1.7604829403861766E-2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1764725853.6213658</v>
      </c>
      <c r="L24" s="22">
        <f>SUM(L4:L23)</f>
        <v>30597831446.855053</v>
      </c>
      <c r="M24" s="23"/>
      <c r="N24" s="26">
        <v>30597831446.855072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1216132.52</v>
      </c>
      <c r="C27" s="51">
        <v>1216132.52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229764</v>
      </c>
      <c r="D32" s="7" t="s">
        <v>51</v>
      </c>
      <c r="E32" s="34" t="s">
        <v>52</v>
      </c>
      <c r="F32" s="34" t="s">
        <v>53</v>
      </c>
      <c r="G32" s="15">
        <v>714.17</v>
      </c>
      <c r="H32" s="15">
        <v>715.16787551574703</v>
      </c>
      <c r="I32" s="16">
        <f>+C32*G32</f>
        <v>164090555.88</v>
      </c>
      <c r="J32" s="16">
        <f>+C32*H32</f>
        <v>164319831.75000009</v>
      </c>
      <c r="K32" s="18">
        <v>0.16999899999999998</v>
      </c>
      <c r="L32" s="17">
        <v>76425.290000000008</v>
      </c>
      <c r="M32" s="17">
        <v>164166981.16999999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93678</v>
      </c>
      <c r="D33" s="7" t="s">
        <v>51</v>
      </c>
      <c r="E33" s="34" t="s">
        <v>52</v>
      </c>
      <c r="F33" s="34" t="s">
        <v>53</v>
      </c>
      <c r="G33" s="15">
        <v>832.68100002135009</v>
      </c>
      <c r="H33" s="15">
        <v>833.84447212792804</v>
      </c>
      <c r="I33" s="16">
        <f>+C33*G33</f>
        <v>78003890.720000029</v>
      </c>
      <c r="J33" s="16">
        <f>+C33*H33</f>
        <v>78112882.460000038</v>
      </c>
      <c r="K33" s="18">
        <v>0.17</v>
      </c>
      <c r="L33" s="17">
        <v>36330.58</v>
      </c>
      <c r="M33" s="17">
        <v>78040221.299999997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3325659</v>
      </c>
      <c r="D34" s="7" t="s">
        <v>51</v>
      </c>
      <c r="E34" s="34" t="s">
        <v>52</v>
      </c>
      <c r="F34" s="34" t="s">
        <v>53</v>
      </c>
      <c r="G34" s="15">
        <v>964.53300000090201</v>
      </c>
      <c r="H34" s="15">
        <v>965.880695717751</v>
      </c>
      <c r="I34" s="16">
        <f>+C34*G34</f>
        <v>3207707852.25</v>
      </c>
      <c r="J34" s="16">
        <f>+C34*H34</f>
        <v>3212189828.6399999</v>
      </c>
      <c r="K34" s="18">
        <v>0.16999899999999998</v>
      </c>
      <c r="L34" s="17">
        <v>1493992.13</v>
      </c>
      <c r="M34" s="17">
        <v>3209201844.3800001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3451409046.8499999</v>
      </c>
      <c r="N36" s="38">
        <v>3451409046.8500004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34050456626.225052</v>
      </c>
      <c r="C43" s="32">
        <v>34050456626.225075</v>
      </c>
      <c r="D43" s="29">
        <f>B43-C43</f>
        <v>0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683406.64999999991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205876.4</v>
      </c>
    </row>
    <row r="53" spans="1:2" x14ac:dyDescent="0.25">
      <c r="A53" s="48" t="s">
        <v>41</v>
      </c>
      <c r="B53" s="50">
        <v>102713.23999999999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991996.28999999992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2025-12-15T06:24:36Z</dcterms:created>
  <dcterms:modified xsi:type="dcterms:W3CDTF">2025-12-17T06:43:26Z</dcterms:modified>
</cp:coreProperties>
</file>