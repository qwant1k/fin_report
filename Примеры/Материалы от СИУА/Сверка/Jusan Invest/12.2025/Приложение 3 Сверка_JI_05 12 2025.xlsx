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7FF59653-8AB2-4199-9A1D-38C9F1357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ДУ!$48:$48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I48" i="1"/>
  <c r="O44" i="1"/>
  <c r="O24" i="1"/>
  <c r="D27" i="1"/>
  <c r="B66" i="1"/>
  <c r="G50" i="1"/>
  <c r="A48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4" i="1" l="1"/>
  <c r="M10" i="1"/>
  <c r="M16" i="1"/>
  <c r="M22" i="1"/>
  <c r="M5" i="1"/>
  <c r="M11" i="1"/>
  <c r="M17" i="1"/>
  <c r="M12" i="1"/>
  <c r="M7" i="1"/>
  <c r="M13" i="1"/>
  <c r="M19" i="1"/>
  <c r="M8" i="1"/>
  <c r="M14" i="1"/>
  <c r="M20" i="1"/>
  <c r="B52" i="1"/>
  <c r="M6" i="1"/>
  <c r="M18" i="1"/>
  <c r="M9" i="1"/>
  <c r="M15" i="1"/>
</calcChain>
</file>

<file path=xl/sharedStrings.xml><?xml version="1.0" encoding="utf-8"?>
<sst xmlns="http://schemas.openxmlformats.org/spreadsheetml/2006/main" count="188" uniqueCount="129">
  <si>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</si>
  <si>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</si>
  <si>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</si>
  <si>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</si>
  <si>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</si>
  <si>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</si>
  <si>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</si>
  <si>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</si>
  <si>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</si>
  <si>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</si>
  <si>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</si>
  <si>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</si>
  <si>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</si>
  <si>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</si>
  <si>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</si>
  <si>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</si>
  <si>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</si>
  <si>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</si>
  <si>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</si>
  <si>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</si>
  <si>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</si>
  <si>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</si>
  <si>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</si>
  <si>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</si>
  <si>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</si>
  <si>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</si>
  <si>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</si>
  <si>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</si>
  <si>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</si>
  <si>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</si>
  <si>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</si>
  <si>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</si>
  <si>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</si>
  <si>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</si>
  <si>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</si>
  <si>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</si>
  <si>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</si>
  <si>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</si>
  <si>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</si>
  <si>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</si>
  <si>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</si>
  <si>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</si>
  <si>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</si>
  <si>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</si>
  <si>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</si>
  <si>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</si>
  <si>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</si>
  <si>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</si>
  <si>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</si>
  <si>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</si>
  <si>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</si>
  <si>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</si>
  <si>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MOM048_0054</t>
  </si>
  <si>
    <t>KZK200000729</t>
  </si>
  <si>
    <t>04.12.2025</t>
  </si>
  <si>
    <t>05.12.2025</t>
  </si>
  <si>
    <t>МИНИСТЕРСТВО ФИНАНСОВ РК, ГЦБ, KZ_24_3207</t>
  </si>
  <si>
    <t>XS3093655341</t>
  </si>
  <si>
    <t>МИНИСТЕРСТВО ФИНАНСОВ РК, ГЦБ, MKM012_0160</t>
  </si>
  <si>
    <t>KZK100000373</t>
  </si>
  <si>
    <t>МИНИСТЕРСТВО ФИНАНСОВ РК, ГЦБ, MUM132_0007</t>
  </si>
  <si>
    <t>KZKD00001152</t>
  </si>
  <si>
    <t>08.12.2025</t>
  </si>
  <si>
    <t>АО КФУ, ОБЛИГАЦИИ, KFUSb1</t>
  </si>
  <si>
    <t>KZ2C00006906</t>
  </si>
  <si>
    <t>МИНИСТЕРСТВО ФИНАНСОВ РК, ГЦБ, KZ_06_4410</t>
  </si>
  <si>
    <t>XS1120709826</t>
  </si>
  <si>
    <t>МИНИСТЕРСТВО ФИНАНСОВ РК, ГЦБ, MUM084_0019</t>
  </si>
  <si>
    <t>KZKD00001244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</si>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</sst>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9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71</v>
      </c>
      <c r="B4" s="13" t="s">
        <v>72</v>
      </c>
      <c r="C4" s="10">
        <v>3020000</v>
      </c>
      <c r="D4" s="11">
        <v>3020000000</v>
      </c>
      <c r="E4" s="3">
        <v>0.1067</v>
      </c>
      <c r="F4" s="4" t="s">
        <v>73</v>
      </c>
      <c r="G4" s="4" t="s">
        <v>74</v>
      </c>
      <c r="H4" s="11">
        <v>2930617060.0000029</v>
      </c>
      <c r="I4" s="11">
        <v>99.227699999999999</v>
      </c>
      <c r="J4" s="11">
        <v>103.199311111111</v>
      </c>
      <c r="K4" s="11">
        <v>119942655.555556</v>
      </c>
      <c r="L4" s="11">
        <v>3116619195.5555549</v>
      </c>
      <c r="M4" s="6">
        <f t="shared" ref="M4:M22" si="0">L4/$L$24</f>
        <v>0.10278090152528639</v>
      </c>
    </row>
    <row r="5" spans="1:13" x14ac:dyDescent="0.25">
      <c r="A5" s="1" t="s">
        <v>75</v>
      </c>
      <c r="B5" s="13" t="s">
        <v>76</v>
      </c>
      <c r="C5" s="10">
        <v>2265000</v>
      </c>
      <c r="D5" s="11">
        <v>2265000000</v>
      </c>
      <c r="E5" s="3">
        <v>0.10550000000000001</v>
      </c>
      <c r="F5" s="4" t="s">
        <v>73</v>
      </c>
      <c r="G5" s="4" t="s">
        <v>77</v>
      </c>
      <c r="H5" s="11">
        <v>2039188560.0000031</v>
      </c>
      <c r="I5" s="11">
        <v>84.115700000000004</v>
      </c>
      <c r="J5" s="11">
        <v>87.837505555555552</v>
      </c>
      <c r="K5" s="11">
        <v>84298895.833333328</v>
      </c>
      <c r="L5" s="11">
        <v>1989519500.833333</v>
      </c>
      <c r="M5" s="6">
        <f t="shared" si="0"/>
        <v>6.5611033965712717E-2</v>
      </c>
    </row>
    <row r="6" spans="1:13" x14ac:dyDescent="0.25">
      <c r="A6" s="1" t="s">
        <v>75</v>
      </c>
      <c r="B6" s="13" t="s">
        <v>76</v>
      </c>
      <c r="C6" s="10">
        <v>1551646</v>
      </c>
      <c r="D6" s="11">
        <v>1551646000</v>
      </c>
      <c r="E6" s="3">
        <v>0.10550000000000001</v>
      </c>
      <c r="F6" s="4" t="s">
        <v>78</v>
      </c>
      <c r="G6" s="4" t="s">
        <v>77</v>
      </c>
      <c r="H6" s="11">
        <v>1395452658.7</v>
      </c>
      <c r="I6" s="11">
        <v>84.115700000000004</v>
      </c>
      <c r="J6" s="11">
        <v>87.837505555555808</v>
      </c>
      <c r="K6" s="11">
        <v>57749247.030555546</v>
      </c>
      <c r="L6" s="11">
        <v>1362927141.452559</v>
      </c>
      <c r="M6" s="6">
        <f t="shared" si="0"/>
        <v>4.4947063315126948E-2</v>
      </c>
    </row>
    <row r="7" spans="1:13" x14ac:dyDescent="0.25">
      <c r="A7" s="1" t="s">
        <v>75</v>
      </c>
      <c r="B7" s="13" t="s">
        <v>76</v>
      </c>
      <c r="C7" s="10">
        <v>545692</v>
      </c>
      <c r="D7" s="11">
        <v>545692000</v>
      </c>
      <c r="E7" s="3">
        <v>0.10550000000000001</v>
      </c>
      <c r="F7" s="4" t="s">
        <v>79</v>
      </c>
      <c r="G7" s="4" t="s">
        <v>77</v>
      </c>
      <c r="H7" s="11">
        <v>449784993.92000002</v>
      </c>
      <c r="I7" s="11">
        <v>84.115700000000004</v>
      </c>
      <c r="J7" s="11">
        <v>87.837505555555552</v>
      </c>
      <c r="K7" s="11">
        <v>20309595.172222219</v>
      </c>
      <c r="L7" s="11">
        <v>479322240.81622201</v>
      </c>
      <c r="M7" s="6">
        <f t="shared" si="0"/>
        <v>1.58072478352396E-2</v>
      </c>
    </row>
    <row r="8" spans="1:13" x14ac:dyDescent="0.25">
      <c r="A8" s="1" t="s">
        <v>80</v>
      </c>
      <c r="B8" s="13" t="s">
        <v>81</v>
      </c>
      <c r="C8" s="10">
        <v>2265000</v>
      </c>
      <c r="D8" s="11">
        <v>2265000000</v>
      </c>
      <c r="E8" s="3">
        <v>0.10400000000000001</v>
      </c>
      <c r="F8" s="4" t="s">
        <v>73</v>
      </c>
      <c r="G8" s="4" t="s">
        <v>82</v>
      </c>
      <c r="H8" s="11">
        <v>2073109200</v>
      </c>
      <c r="I8" s="11">
        <v>87.875900000000001</v>
      </c>
      <c r="J8" s="11">
        <v>94.607011111111106</v>
      </c>
      <c r="K8" s="11">
        <v>152459666.66666701</v>
      </c>
      <c r="L8" s="11">
        <v>2142848801.666666</v>
      </c>
      <c r="M8" s="6">
        <f t="shared" si="0"/>
        <v>7.0667578503577771E-2</v>
      </c>
    </row>
    <row r="9" spans="1:13" x14ac:dyDescent="0.25">
      <c r="A9" s="1" t="s">
        <v>83</v>
      </c>
      <c r="B9" s="13" t="s">
        <v>84</v>
      </c>
      <c r="C9" s="10">
        <v>2265000</v>
      </c>
      <c r="D9" s="11">
        <v>2265000000</v>
      </c>
      <c r="E9" s="3">
        <v>0.11</v>
      </c>
      <c r="F9" s="4" t="s">
        <v>73</v>
      </c>
      <c r="G9" s="4" t="s">
        <v>85</v>
      </c>
      <c r="H9" s="11">
        <v>2080889475</v>
      </c>
      <c r="I9" s="11">
        <v>86.088999999999999</v>
      </c>
      <c r="J9" s="11">
        <v>93.575111111111099</v>
      </c>
      <c r="K9" s="11">
        <v>169560416.66666701</v>
      </c>
      <c r="L9" s="11">
        <v>2119476266.666666</v>
      </c>
      <c r="M9" s="6">
        <f t="shared" si="0"/>
        <v>6.9896791292340332E-2</v>
      </c>
    </row>
    <row r="10" spans="1:13" x14ac:dyDescent="0.25">
      <c r="A10" s="1" t="s">
        <v>86</v>
      </c>
      <c r="B10" s="13" t="s">
        <v>87</v>
      </c>
      <c r="C10" s="10">
        <v>2265000</v>
      </c>
      <c r="D10" s="11">
        <v>2265000000</v>
      </c>
      <c r="E10" s="3">
        <v>0.10300000000000001</v>
      </c>
      <c r="F10" s="4" t="s">
        <v>73</v>
      </c>
      <c r="G10" s="4" t="s">
        <v>88</v>
      </c>
      <c r="H10" s="11">
        <v>1963990560.0000031</v>
      </c>
      <c r="I10" s="11">
        <v>79.460800000000006</v>
      </c>
      <c r="J10" s="11">
        <v>86.842466666666652</v>
      </c>
      <c r="K10" s="11">
        <v>167194750</v>
      </c>
      <c r="L10" s="11">
        <v>1966981870</v>
      </c>
      <c r="M10" s="6">
        <f t="shared" si="0"/>
        <v>6.4867780500997674E-2</v>
      </c>
    </row>
    <row r="11" spans="1:13" x14ac:dyDescent="0.25">
      <c r="A11" s="1" t="s">
        <v>89</v>
      </c>
      <c r="B11" s="13" t="s">
        <v>90</v>
      </c>
      <c r="C11" s="10">
        <v>2265000</v>
      </c>
      <c r="D11" s="11">
        <v>2265000000</v>
      </c>
      <c r="E11" s="3">
        <v>8.4500000000000006E-2</v>
      </c>
      <c r="F11" s="4" t="s">
        <v>73</v>
      </c>
      <c r="G11" s="4" t="s">
        <v>91</v>
      </c>
      <c r="H11" s="11">
        <v>1740247065.0000031</v>
      </c>
      <c r="I11" s="11">
        <v>70.329700000000003</v>
      </c>
      <c r="J11" s="11">
        <v>75.704838888888872</v>
      </c>
      <c r="K11" s="11">
        <v>121746895.833333</v>
      </c>
      <c r="L11" s="11">
        <v>1714714600.833333</v>
      </c>
      <c r="M11" s="6">
        <f t="shared" si="0"/>
        <v>5.6548426828515956E-2</v>
      </c>
    </row>
    <row r="12" spans="1:13" x14ac:dyDescent="0.25">
      <c r="A12" s="1" t="s">
        <v>60</v>
      </c>
      <c r="B12" s="13" t="s">
        <v>61</v>
      </c>
      <c r="C12" s="10">
        <v>2265000</v>
      </c>
      <c r="D12" s="11">
        <v>2265000000</v>
      </c>
      <c r="E12" s="3">
        <v>0.10650000000000001</v>
      </c>
      <c r="F12" s="4" t="s">
        <v>73</v>
      </c>
      <c r="G12" s="4" t="s">
        <v>92</v>
      </c>
      <c r="H12" s="11">
        <v>1967775375</v>
      </c>
      <c r="I12" s="11">
        <v>78.1297</v>
      </c>
      <c r="J12" s="11">
        <v>81.945949999999996</v>
      </c>
      <c r="K12" s="11">
        <v>86438062.5</v>
      </c>
      <c r="L12" s="11">
        <v>1856075767.5</v>
      </c>
      <c r="M12" s="6">
        <f t="shared" si="0"/>
        <v>6.1210282268341798E-2</v>
      </c>
    </row>
    <row r="13" spans="1:13" x14ac:dyDescent="0.25">
      <c r="A13" s="1" t="s">
        <v>93</v>
      </c>
      <c r="B13" s="13" t="s">
        <v>94</v>
      </c>
      <c r="C13" s="10">
        <v>2265000</v>
      </c>
      <c r="D13" s="11">
        <v>2265000000</v>
      </c>
      <c r="E13" s="3">
        <v>8.0700000000000008E-2</v>
      </c>
      <c r="F13" s="4" t="s">
        <v>73</v>
      </c>
      <c r="G13" s="4" t="s">
        <v>95</v>
      </c>
      <c r="H13" s="11">
        <v>1622351550</v>
      </c>
      <c r="I13" s="11">
        <v>64.215299999999999</v>
      </c>
      <c r="J13" s="11">
        <v>68.765883333333321</v>
      </c>
      <c r="K13" s="11">
        <v>103070712.5</v>
      </c>
      <c r="L13" s="11">
        <v>1557547257.5</v>
      </c>
      <c r="M13" s="6">
        <f t="shared" si="0"/>
        <v>5.1365310052115989E-2</v>
      </c>
    </row>
    <row r="14" spans="1:13" x14ac:dyDescent="0.25">
      <c r="A14" s="1" t="s">
        <v>96</v>
      </c>
      <c r="B14" s="13" t="s">
        <v>97</v>
      </c>
      <c r="C14" s="10">
        <v>2265000</v>
      </c>
      <c r="D14" s="11">
        <v>2265000000</v>
      </c>
      <c r="E14" s="3">
        <v>8.0700000000000008E-2</v>
      </c>
      <c r="F14" s="4" t="s">
        <v>73</v>
      </c>
      <c r="G14" s="4" t="s">
        <v>98</v>
      </c>
      <c r="H14" s="11">
        <v>1597764975</v>
      </c>
      <c r="I14" s="11">
        <v>62.936</v>
      </c>
      <c r="J14" s="11">
        <v>69.795500000000004</v>
      </c>
      <c r="K14" s="11">
        <v>155367675</v>
      </c>
      <c r="L14" s="11">
        <v>1580868075</v>
      </c>
      <c r="M14" s="6">
        <f t="shared" si="0"/>
        <v>5.2134391706485192E-2</v>
      </c>
    </row>
    <row r="15" spans="1:13" x14ac:dyDescent="0.25">
      <c r="A15" s="1" t="s">
        <v>99</v>
      </c>
      <c r="B15" s="13" t="s">
        <v>100</v>
      </c>
      <c r="C15" s="10">
        <v>3775000</v>
      </c>
      <c r="D15" s="11">
        <v>3775000000</v>
      </c>
      <c r="E15" s="3">
        <v>5.4900000000000004E-2</v>
      </c>
      <c r="F15" s="4" t="s">
        <v>73</v>
      </c>
      <c r="G15" s="4" t="s">
        <v>101</v>
      </c>
      <c r="H15" s="11">
        <v>3136670150</v>
      </c>
      <c r="I15" s="11">
        <v>87.12</v>
      </c>
      <c r="J15" s="11">
        <v>90.902000000000001</v>
      </c>
      <c r="K15" s="11">
        <v>142770500</v>
      </c>
      <c r="L15" s="11">
        <v>3431550500</v>
      </c>
      <c r="M15" s="6">
        <f t="shared" si="0"/>
        <v>0.11316681053704314</v>
      </c>
    </row>
    <row r="16" spans="1:13" x14ac:dyDescent="0.25">
      <c r="A16" s="1" t="s">
        <v>102</v>
      </c>
      <c r="B16" s="13" t="s">
        <v>103</v>
      </c>
      <c r="C16" s="10">
        <v>2803860</v>
      </c>
      <c r="D16" s="11">
        <v>2803860000</v>
      </c>
      <c r="E16" s="3">
        <v>5.5E-2</v>
      </c>
      <c r="F16" s="4" t="s">
        <v>104</v>
      </c>
      <c r="G16" s="4" t="s">
        <v>105</v>
      </c>
      <c r="H16" s="11">
        <v>1773018067.1400001</v>
      </c>
      <c r="I16" s="11">
        <v>59.195900000000002</v>
      </c>
      <c r="J16" s="11">
        <v>62.572288888888878</v>
      </c>
      <c r="K16" s="11">
        <v>94669217.5</v>
      </c>
      <c r="L16" s="11">
        <v>1754439379.24</v>
      </c>
      <c r="M16" s="6">
        <f t="shared" si="0"/>
        <v>5.7858483746394136E-2</v>
      </c>
    </row>
    <row r="17" spans="1:15" x14ac:dyDescent="0.25">
      <c r="A17" s="1" t="s">
        <v>106</v>
      </c>
      <c r="B17" s="13" t="s">
        <v>107</v>
      </c>
      <c r="C17" s="10">
        <v>1038480</v>
      </c>
      <c r="D17" s="11">
        <v>1038480000</v>
      </c>
      <c r="E17" s="3">
        <v>0.12</v>
      </c>
      <c r="F17" s="4" t="s">
        <v>104</v>
      </c>
      <c r="G17" s="4" t="s">
        <v>108</v>
      </c>
      <c r="H17" s="11">
        <v>979029096.96000004</v>
      </c>
      <c r="I17" s="11">
        <v>86.743000000000009</v>
      </c>
      <c r="J17" s="11">
        <v>95.676333333333332</v>
      </c>
      <c r="K17" s="11">
        <v>92770880</v>
      </c>
      <c r="L17" s="11">
        <v>993579586.39999998</v>
      </c>
      <c r="M17" s="6">
        <f t="shared" si="0"/>
        <v>3.2766597142487773E-2</v>
      </c>
    </row>
    <row r="18" spans="1:15" x14ac:dyDescent="0.25">
      <c r="A18" s="1" t="s">
        <v>109</v>
      </c>
      <c r="B18" s="13" t="s">
        <v>110</v>
      </c>
      <c r="C18" s="10">
        <v>506989</v>
      </c>
      <c r="D18" s="11">
        <v>506989000</v>
      </c>
      <c r="E18" s="3">
        <v>0.1535</v>
      </c>
      <c r="F18" s="4" t="s">
        <v>111</v>
      </c>
      <c r="G18" s="4" t="s">
        <v>112</v>
      </c>
      <c r="H18" s="11">
        <v>492216861.50999999</v>
      </c>
      <c r="I18" s="11">
        <v>98.248400000000004</v>
      </c>
      <c r="J18" s="11">
        <v>98.9732611111111</v>
      </c>
      <c r="K18" s="11">
        <v>3674966.0986111099</v>
      </c>
      <c r="L18" s="11">
        <v>501783546.774611</v>
      </c>
      <c r="M18" s="6">
        <f t="shared" si="0"/>
        <v>1.6547984232913933E-2</v>
      </c>
    </row>
    <row r="19" spans="1:15" x14ac:dyDescent="0.25">
      <c r="A19" s="1" t="s">
        <v>113</v>
      </c>
      <c r="B19" s="13" t="s">
        <v>114</v>
      </c>
      <c r="C19" s="10">
        <v>2100000</v>
      </c>
      <c r="D19" s="11">
        <v>2100000000</v>
      </c>
      <c r="E19" s="3">
        <v>0.14300000000000002</v>
      </c>
      <c r="F19" s="4" t="s">
        <v>115</v>
      </c>
      <c r="G19" s="4" t="s">
        <v>116</v>
      </c>
      <c r="H19" s="11">
        <v>2100000000</v>
      </c>
      <c r="I19" s="11">
        <v>94.453081592475101</v>
      </c>
      <c r="J19" s="11">
        <v>98.107526036919538</v>
      </c>
      <c r="K19" s="11">
        <v>76743333.333333328</v>
      </c>
      <c r="L19" s="11">
        <v>2060258046.77531</v>
      </c>
      <c r="M19" s="6">
        <f t="shared" si="0"/>
        <v>6.7943873195758037E-2</v>
      </c>
    </row>
    <row r="20" spans="1:15" x14ac:dyDescent="0.25">
      <c r="A20" s="1" t="s">
        <v>117</v>
      </c>
      <c r="B20" s="13" t="s">
        <v>118</v>
      </c>
      <c r="C20" s="10">
        <v>1000000</v>
      </c>
      <c r="D20" s="11">
        <v>1000000000</v>
      </c>
      <c r="E20" s="3">
        <v>0.1389</v>
      </c>
      <c r="F20" s="4" t="s">
        <v>119</v>
      </c>
      <c r="G20" s="4" t="s">
        <v>120</v>
      </c>
      <c r="H20" s="11">
        <v>1000000000</v>
      </c>
      <c r="I20" s="11">
        <v>98.58284614679549</v>
      </c>
      <c r="J20" s="11">
        <v>98.852929480128822</v>
      </c>
      <c r="K20" s="11">
        <v>2700833.3333333302</v>
      </c>
      <c r="L20" s="11">
        <v>988529294.80128801</v>
      </c>
      <c r="M20" s="6">
        <f t="shared" si="0"/>
        <v>3.2600046951106861E-2</v>
      </c>
    </row>
    <row r="21" spans="1:15" x14ac:dyDescent="0.25">
      <c r="A21" s="1" t="s">
        <v>121</v>
      </c>
      <c r="B21" s="13" t="s">
        <v>122</v>
      </c>
      <c r="C21" s="10">
        <v>165739</v>
      </c>
      <c r="D21" s="11">
        <v>165739000</v>
      </c>
      <c r="E21" s="3">
        <v>0.125</v>
      </c>
      <c r="F21" s="4" t="s">
        <v>123</v>
      </c>
      <c r="G21" s="4" t="s">
        <v>124</v>
      </c>
      <c r="H21" s="11">
        <v>159596381.18279999</v>
      </c>
      <c r="I21" s="11">
        <v>96.950785669296593</v>
      </c>
      <c r="J21" s="11">
        <v>102.957730113728</v>
      </c>
      <c r="K21" s="11">
        <v>9955849.6527555604</v>
      </c>
      <c r="L21" s="11">
        <v>170641112.313191</v>
      </c>
      <c r="M21" s="6">
        <f t="shared" si="0"/>
        <v>5.6274591986850211E-3</v>
      </c>
    </row>
    <row r="22" spans="1:15" x14ac:dyDescent="0.25">
      <c r="A22" s="1" t="s">
        <v>125</v>
      </c>
      <c r="B22" s="13" t="s">
        <v>126</v>
      </c>
      <c r="C22" s="10">
        <v>494987</v>
      </c>
      <c r="D22" s="11">
        <v>494987000</v>
      </c>
      <c r="E22" s="3">
        <v>0.1701</v>
      </c>
      <c r="F22" s="4" t="s">
        <v>127</v>
      </c>
      <c r="G22" s="4" t="s">
        <v>128</v>
      </c>
      <c r="H22" s="11">
        <v>495088472.34249997</v>
      </c>
      <c r="I22" s="11">
        <v>102.5604</v>
      </c>
      <c r="J22" s="11">
        <v>108.13590000000001</v>
      </c>
      <c r="K22" s="11">
        <v>27598000.184999999</v>
      </c>
      <c r="L22" s="11">
        <v>535258647.333</v>
      </c>
      <c r="M22" s="6">
        <f t="shared" si="0"/>
        <v>1.7651937201870586E-2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1689022152.8613672</v>
      </c>
      <c r="L24" s="22">
        <f>SUM(L4:L23)</f>
        <v>30322940831.461739</v>
      </c>
      <c r="M24" s="23"/>
      <c r="N24" s="26">
        <v>30322940831.461761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3163563.14</v>
      </c>
      <c r="C27" s="58">
        <v>3163563.14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2570654</v>
      </c>
      <c r="D32" s="7" t="s">
        <v>50</v>
      </c>
      <c r="E32" s="34" t="s">
        <v>54</v>
      </c>
      <c r="F32" s="34" t="s">
        <v>55</v>
      </c>
      <c r="G32" s="15">
        <v>1009.68</v>
      </c>
      <c r="H32" s="15">
        <v>1010.1541318979521</v>
      </c>
      <c r="I32" s="16">
        <f t="shared" ref="I32:I42" si="1">+C32*G32</f>
        <v>2595537930.7199998</v>
      </c>
      <c r="J32" s="16">
        <f t="shared" ref="J32:J42" si="2">+C32*H32</f>
        <v>2596756759.7799983</v>
      </c>
      <c r="K32" s="18">
        <v>0.171399</v>
      </c>
      <c r="L32" s="17">
        <v>1218829.06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2570654</v>
      </c>
      <c r="D33" s="7" t="s">
        <v>50</v>
      </c>
      <c r="E33" s="34" t="s">
        <v>55</v>
      </c>
      <c r="F33" s="34" t="s">
        <v>55</v>
      </c>
      <c r="G33" s="15">
        <v>1009.68</v>
      </c>
      <c r="H33" s="15">
        <v>1010.1541318979521</v>
      </c>
      <c r="I33" s="16">
        <f t="shared" si="1"/>
        <v>2595537930.7199998</v>
      </c>
      <c r="J33" s="16">
        <f t="shared" si="2"/>
        <v>2596756759.7799983</v>
      </c>
      <c r="K33" s="18">
        <v>0.171399</v>
      </c>
      <c r="L33" s="17"/>
      <c r="M33" s="17"/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1161702</v>
      </c>
      <c r="D34" s="7" t="s">
        <v>50</v>
      </c>
      <c r="E34" s="34" t="s">
        <v>54</v>
      </c>
      <c r="F34" s="34" t="s">
        <v>55</v>
      </c>
      <c r="G34" s="15">
        <v>521.87219999621198</v>
      </c>
      <c r="H34" s="15">
        <v>522.11726403156706</v>
      </c>
      <c r="I34" s="16">
        <f t="shared" si="1"/>
        <v>606259978.47999942</v>
      </c>
      <c r="J34" s="16">
        <f t="shared" si="2"/>
        <v>606544669.85999954</v>
      </c>
      <c r="K34" s="18">
        <v>0.171399</v>
      </c>
      <c r="L34" s="17">
        <v>284691.38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1161702</v>
      </c>
      <c r="D35" s="7" t="s">
        <v>50</v>
      </c>
      <c r="E35" s="34" t="s">
        <v>55</v>
      </c>
      <c r="F35" s="34" t="s">
        <v>55</v>
      </c>
      <c r="G35" s="15">
        <v>521.87219999621198</v>
      </c>
      <c r="H35" s="15">
        <v>522.11726403156706</v>
      </c>
      <c r="I35" s="16">
        <f t="shared" si="1"/>
        <v>606259978.47999942</v>
      </c>
      <c r="J35" s="16">
        <f t="shared" si="2"/>
        <v>606544669.85999954</v>
      </c>
      <c r="K35" s="18">
        <v>0.171399</v>
      </c>
      <c r="L35" s="17"/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1696695</v>
      </c>
      <c r="D36" s="7" t="s">
        <v>50</v>
      </c>
      <c r="E36" s="34" t="s">
        <v>54</v>
      </c>
      <c r="F36" s="34" t="s">
        <v>55</v>
      </c>
      <c r="G36" s="15">
        <v>97.254200000589378</v>
      </c>
      <c r="H36" s="15">
        <v>97.299896151046582</v>
      </c>
      <c r="I36" s="16">
        <f t="shared" si="1"/>
        <v>165010714.87</v>
      </c>
      <c r="J36" s="16">
        <f t="shared" si="2"/>
        <v>165088247.29999998</v>
      </c>
      <c r="K36" s="18">
        <v>0.17150000000000001</v>
      </c>
      <c r="L36" s="17">
        <v>77532.430000000008</v>
      </c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1696695</v>
      </c>
      <c r="D37" s="7" t="s">
        <v>50</v>
      </c>
      <c r="E37" s="34" t="s">
        <v>55</v>
      </c>
      <c r="F37" s="34" t="s">
        <v>55</v>
      </c>
      <c r="G37" s="15">
        <v>97.254200000589378</v>
      </c>
      <c r="H37" s="15">
        <v>97.299896151046582</v>
      </c>
      <c r="I37" s="16">
        <f t="shared" si="1"/>
        <v>165010714.87</v>
      </c>
      <c r="J37" s="16">
        <f t="shared" si="2"/>
        <v>165088247.29999998</v>
      </c>
      <c r="K37" s="18">
        <v>0.17150000000000001</v>
      </c>
      <c r="L37" s="17"/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904761</v>
      </c>
      <c r="D38" s="7" t="s">
        <v>50</v>
      </c>
      <c r="E38" s="34" t="s">
        <v>55</v>
      </c>
      <c r="F38" s="34" t="s">
        <v>62</v>
      </c>
      <c r="G38" s="15">
        <v>819.46</v>
      </c>
      <c r="H38" s="15">
        <v>820.61172746172701</v>
      </c>
      <c r="I38" s="16">
        <f t="shared" si="1"/>
        <v>741415449.06000006</v>
      </c>
      <c r="J38" s="16">
        <f t="shared" si="2"/>
        <v>742457487.14999962</v>
      </c>
      <c r="K38" s="18">
        <v>0.17099899999999998</v>
      </c>
      <c r="L38" s="17"/>
      <c r="M38" s="17">
        <v>741415449.05999994</v>
      </c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999888</v>
      </c>
      <c r="D39" s="7" t="s">
        <v>50</v>
      </c>
      <c r="E39" s="34" t="s">
        <v>55</v>
      </c>
      <c r="F39" s="34" t="s">
        <v>62</v>
      </c>
      <c r="G39" s="15">
        <v>888.57899999800009</v>
      </c>
      <c r="H39" s="15">
        <v>889.82787222168906</v>
      </c>
      <c r="I39" s="16">
        <f t="shared" si="1"/>
        <v>888479479.15000033</v>
      </c>
      <c r="J39" s="16">
        <f t="shared" si="2"/>
        <v>889728211.50000024</v>
      </c>
      <c r="K39" s="18">
        <v>0.17099899999999998</v>
      </c>
      <c r="L39" s="17"/>
      <c r="M39" s="17">
        <v>888479479.14999998</v>
      </c>
      <c r="N39" s="35"/>
    </row>
    <row r="40" spans="1:15" s="36" customFormat="1" ht="12" customHeight="1" x14ac:dyDescent="0.25">
      <c r="A40" s="12" t="s">
        <v>65</v>
      </c>
      <c r="B40" s="7" t="s">
        <v>66</v>
      </c>
      <c r="C40" s="14">
        <v>125080</v>
      </c>
      <c r="D40" s="7" t="s">
        <v>50</v>
      </c>
      <c r="E40" s="34" t="s">
        <v>55</v>
      </c>
      <c r="F40" s="34" t="s">
        <v>62</v>
      </c>
      <c r="G40" s="15">
        <v>471.74789998401002</v>
      </c>
      <c r="H40" s="15">
        <v>472.41092812599902</v>
      </c>
      <c r="I40" s="16">
        <f t="shared" si="1"/>
        <v>59006227.329999976</v>
      </c>
      <c r="J40" s="16">
        <f t="shared" si="2"/>
        <v>59089158.889999956</v>
      </c>
      <c r="K40" s="18">
        <v>0.17099899999999998</v>
      </c>
      <c r="L40" s="17"/>
      <c r="M40" s="17">
        <v>59006227.329999998</v>
      </c>
      <c r="N40" s="35"/>
    </row>
    <row r="41" spans="1:15" s="36" customFormat="1" ht="12" customHeight="1" x14ac:dyDescent="0.25">
      <c r="A41" s="12" t="s">
        <v>67</v>
      </c>
      <c r="B41" s="7" t="s">
        <v>68</v>
      </c>
      <c r="C41" s="14">
        <v>1599696</v>
      </c>
      <c r="D41" s="7" t="s">
        <v>50</v>
      </c>
      <c r="E41" s="34" t="s">
        <v>55</v>
      </c>
      <c r="F41" s="34" t="s">
        <v>62</v>
      </c>
      <c r="G41" s="15">
        <v>946.03500000000008</v>
      </c>
      <c r="H41" s="15">
        <v>947.36462497874606</v>
      </c>
      <c r="I41" s="16">
        <f t="shared" si="1"/>
        <v>1513368405.3600001</v>
      </c>
      <c r="J41" s="16">
        <f t="shared" si="2"/>
        <v>1515495401.1200001</v>
      </c>
      <c r="K41" s="18">
        <v>0.17099899999999998</v>
      </c>
      <c r="L41" s="17"/>
      <c r="M41" s="17">
        <v>1513368405.3599999</v>
      </c>
      <c r="N41" s="35"/>
    </row>
    <row r="42" spans="1:15" s="36" customFormat="1" ht="12" customHeight="1" x14ac:dyDescent="0.25">
      <c r="A42" s="12" t="s">
        <v>69</v>
      </c>
      <c r="B42" s="7" t="s">
        <v>70</v>
      </c>
      <c r="C42" s="14">
        <v>175065</v>
      </c>
      <c r="D42" s="7" t="s">
        <v>50</v>
      </c>
      <c r="E42" s="34" t="s">
        <v>55</v>
      </c>
      <c r="F42" s="34" t="s">
        <v>62</v>
      </c>
      <c r="G42" s="15">
        <v>943.00100002856107</v>
      </c>
      <c r="H42" s="15">
        <v>944.33798686202306</v>
      </c>
      <c r="I42" s="16">
        <f t="shared" si="1"/>
        <v>165086470.07000005</v>
      </c>
      <c r="J42" s="16">
        <f t="shared" si="2"/>
        <v>165320529.67000008</v>
      </c>
      <c r="K42" s="18">
        <v>0.17249899999999999</v>
      </c>
      <c r="L42" s="17"/>
      <c r="M42" s="17">
        <v>165086470.06999999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3367356030.9699998</v>
      </c>
      <c r="N44" s="38">
        <v>3367356030.9699998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x14ac:dyDescent="0.25">
      <c r="A48" s="57">
        <f ca="1">IF(OFFSET(A48,-1,0)="№ п/п",1,OFFSET(A48,-1,0)+1)</f>
        <v>1</v>
      </c>
      <c r="B48" s="40" t="s">
        <v>49</v>
      </c>
      <c r="C48" s="52" t="s">
        <v>50</v>
      </c>
      <c r="D48" s="53" t="s">
        <v>51</v>
      </c>
      <c r="E48" s="54">
        <v>1000000</v>
      </c>
      <c r="F48" s="55">
        <v>69450000</v>
      </c>
      <c r="G48" s="56">
        <v>69450000</v>
      </c>
      <c r="H48" s="58">
        <v>69450000</v>
      </c>
      <c r="I48" s="29">
        <f>G48-H48</f>
        <v>0</v>
      </c>
    </row>
    <row r="49" spans="1:8" hidden="1" x14ac:dyDescent="0.25">
      <c r="B49" s="42"/>
      <c r="C49" s="43"/>
      <c r="D49" s="44"/>
      <c r="G49" s="45"/>
      <c r="H49" s="33"/>
    </row>
    <row r="50" spans="1:8" x14ac:dyDescent="0.25">
      <c r="G50" s="46">
        <f>SUM(G48:G49)</f>
        <v>69450000</v>
      </c>
    </row>
    <row r="52" spans="1:8" x14ac:dyDescent="0.25">
      <c r="A52" s="47" t="s">
        <v>13</v>
      </c>
      <c r="B52" s="48">
        <f>+L24+B27+M44+G50</f>
        <v>33762910425.571739</v>
      </c>
      <c r="C52" s="32">
        <v>33762910425.571762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9" t="s">
        <v>35</v>
      </c>
      <c r="B56" s="50"/>
    </row>
    <row r="57" spans="1:8" x14ac:dyDescent="0.25">
      <c r="A57" s="49" t="s">
        <v>36</v>
      </c>
      <c r="B57" s="41"/>
    </row>
    <row r="58" spans="1:8" x14ac:dyDescent="0.25">
      <c r="A58" s="49" t="s">
        <v>37</v>
      </c>
      <c r="B58" s="41">
        <v>557916.1</v>
      </c>
    </row>
    <row r="59" spans="1:8" x14ac:dyDescent="0.25">
      <c r="A59" s="49" t="s">
        <v>38</v>
      </c>
      <c r="B59" s="41"/>
    </row>
    <row r="60" spans="1:8" x14ac:dyDescent="0.25">
      <c r="A60" s="49" t="s">
        <v>39</v>
      </c>
      <c r="B60" s="50"/>
    </row>
    <row r="61" spans="1:8" x14ac:dyDescent="0.25">
      <c r="A61" s="49" t="s">
        <v>40</v>
      </c>
      <c r="B61" s="51">
        <v>170125.49</v>
      </c>
    </row>
    <row r="62" spans="1:8" x14ac:dyDescent="0.25">
      <c r="A62" s="49" t="s">
        <v>41</v>
      </c>
      <c r="B62" s="51">
        <v>84837.8</v>
      </c>
    </row>
    <row r="63" spans="1:8" x14ac:dyDescent="0.25">
      <c r="A63" s="49" t="s">
        <v>42</v>
      </c>
      <c r="B63" s="41"/>
    </row>
    <row r="64" spans="1:8" x14ac:dyDescent="0.25">
      <c r="A64" s="49" t="s">
        <v>43</v>
      </c>
      <c r="B64" s="41"/>
    </row>
    <row r="65" spans="1:2" x14ac:dyDescent="0.25">
      <c r="A65" s="49" t="s">
        <v>44</v>
      </c>
      <c r="B65" s="51"/>
    </row>
    <row r="66" spans="1:2" x14ac:dyDescent="0.25">
      <c r="A66" s="49" t="s">
        <v>45</v>
      </c>
      <c r="B66" s="50">
        <f>SUM(B56:B65)</f>
        <v>812879.39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2025-12-08T06:02:13Z</dcterms:created>
  <dcterms:modified xsi:type="dcterms:W3CDTF">2025-12-08T07:22:15Z</dcterms:modified>
</cp:coreProperties>
</file>