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F6634394-1A87-4C07-95F2-8289A2348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ДУ!$45:$45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I45" i="1"/>
  <c r="O41" i="1"/>
  <c r="O24" i="1"/>
  <c r="D27" i="1"/>
  <c r="B63" i="1"/>
  <c r="G47" i="1"/>
  <c r="A45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6" i="1"/>
  <c r="M12" i="1" l="1"/>
  <c r="M4" i="1"/>
  <c r="M10" i="1"/>
  <c r="M16" i="1"/>
  <c r="M22" i="1"/>
  <c r="M5" i="1"/>
  <c r="M11" i="1"/>
  <c r="M17" i="1"/>
  <c r="M18" i="1"/>
  <c r="M13" i="1"/>
  <c r="M8" i="1"/>
  <c r="M14" i="1"/>
  <c r="M20" i="1"/>
  <c r="B49" i="1"/>
  <c r="M7" i="1"/>
  <c r="M19" i="1"/>
  <c r="M9" i="1"/>
  <c r="M15" i="1"/>
</calcChain>
</file>

<file path=xl/sharedStrings.xml><?xml version="1.0" encoding="utf-8"?>
<sst xmlns="http://schemas.openxmlformats.org/spreadsheetml/2006/main" count="173" uniqueCount="119">
  <si>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</si>
  <si>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</si>
  <si>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</si>
  <si>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</si>
  <si>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</si>
  <si>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</si>
  <si>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</si>
  <si>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</si>
  <si>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</si>
  <si>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</si>
  <si>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</si>
  <si>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</si>
  <si>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</si>
  <si>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</si>
  <si>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</si>
  <si>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</si>
  <si>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</si>
  <si>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</si>
  <si>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</si>
  <si>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</si>
  <si>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</si>
  <si>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</si>
  <si>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</si>
  <si>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</si>
  <si>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</si>
  <si>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</si>
  <si>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</si>
  <si>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</si>
  <si>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</si>
  <si>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</si>
  <si>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</si>
  <si>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</si>
  <si>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</si>
  <si>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</si>
  <si>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</si>
  <si>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</si>
  <si>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</si>
  <si>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</si>
  <si>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</si>
  <si>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</si>
  <si>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</si>
  <si>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</si>
  <si>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</si>
  <si>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</si>
  <si>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</si>
  <si>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</si>
  <si>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</si>
  <si>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</si>
  <si>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</si>
  <si>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</si>
  <si>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</si>
  <si>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</si>
  <si>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MKM012_0160</t>
  </si>
  <si>
    <t>KZK100000373</t>
  </si>
  <si>
    <t>09.12.2025</t>
  </si>
  <si>
    <t>10.12.2025</t>
  </si>
  <si>
    <t>08.12.2025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</si>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</sst>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22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99.290500000000009</v>
      </c>
      <c r="J4" s="11">
        <v>103.38066666666701</v>
      </c>
      <c r="K4" s="11">
        <v>123523033.333333</v>
      </c>
      <c r="L4" s="11">
        <v>3122096133.333333</v>
      </c>
      <c r="M4" s="6">
        <f t="shared" ref="M4:M22" si="0">L4/$L$24</f>
        <v>0.10278855572416927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84.13130000000001</v>
      </c>
      <c r="J5" s="11">
        <v>87.970327777777769</v>
      </c>
      <c r="K5" s="11">
        <v>86953979.166666657</v>
      </c>
      <c r="L5" s="11">
        <v>1992527924.166666</v>
      </c>
      <c r="M5" s="6">
        <f t="shared" si="0"/>
        <v>6.5599859459325005E-2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84.13130000000001</v>
      </c>
      <c r="J6" s="11">
        <v>87.970327777778024</v>
      </c>
      <c r="K6" s="11">
        <v>59568120.952777773</v>
      </c>
      <c r="L6" s="11">
        <v>1364988072.1507809</v>
      </c>
      <c r="M6" s="6">
        <f t="shared" si="0"/>
        <v>4.4939408181290982E-2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84.13130000000001</v>
      </c>
      <c r="J7" s="11">
        <v>87.970327777777769</v>
      </c>
      <c r="K7" s="11">
        <v>20949267.46111111</v>
      </c>
      <c r="L7" s="11">
        <v>480047041.05711102</v>
      </c>
      <c r="M7" s="6">
        <f t="shared" si="0"/>
        <v>1.5804555632705511E-2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87.907499999999999</v>
      </c>
      <c r="J8" s="11">
        <v>94.754166666666649</v>
      </c>
      <c r="K8" s="11">
        <v>155077000</v>
      </c>
      <c r="L8" s="11">
        <v>2146181874.999999</v>
      </c>
      <c r="M8" s="6">
        <f t="shared" si="0"/>
        <v>7.0658597887923086E-2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86.109400000000008</v>
      </c>
      <c r="J9" s="11">
        <v>93.717733333333328</v>
      </c>
      <c r="K9" s="11">
        <v>172328750</v>
      </c>
      <c r="L9" s="11">
        <v>2122706659.999999</v>
      </c>
      <c r="M9" s="6">
        <f t="shared" si="0"/>
        <v>6.9885725003132018E-2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79.480900000000005</v>
      </c>
      <c r="J10" s="11">
        <v>86.977011111111111</v>
      </c>
      <c r="K10" s="11">
        <v>169786916.66666701</v>
      </c>
      <c r="L10" s="11">
        <v>1970029301.666666</v>
      </c>
      <c r="M10" s="6">
        <f t="shared" si="0"/>
        <v>6.4859138862073812E-2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70.355100000000007</v>
      </c>
      <c r="J11" s="11">
        <v>75.824127777777761</v>
      </c>
      <c r="K11" s="11">
        <v>123873479.166667</v>
      </c>
      <c r="L11" s="11">
        <v>1717416494.166666</v>
      </c>
      <c r="M11" s="6">
        <f t="shared" si="0"/>
        <v>5.6542384818811832E-2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78.14070000000001</v>
      </c>
      <c r="J12" s="11">
        <v>82.075283333333331</v>
      </c>
      <c r="K12" s="11">
        <v>89118312.5</v>
      </c>
      <c r="L12" s="11">
        <v>1859005167.5</v>
      </c>
      <c r="M12" s="6">
        <f t="shared" si="0"/>
        <v>6.1203898948197791E-2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64.238</v>
      </c>
      <c r="J13" s="11">
        <v>68.878249999999994</v>
      </c>
      <c r="K13" s="11">
        <v>105101662.5</v>
      </c>
      <c r="L13" s="11">
        <v>1560092362.5</v>
      </c>
      <c r="M13" s="6">
        <f t="shared" si="0"/>
        <v>5.1362813279702817E-2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62.961800000000004</v>
      </c>
      <c r="J14" s="11">
        <v>69.910966666666653</v>
      </c>
      <c r="K14" s="11">
        <v>157398625</v>
      </c>
      <c r="L14" s="11">
        <v>1583483395</v>
      </c>
      <c r="M14" s="6">
        <f t="shared" si="0"/>
        <v>5.2132914629850896E-2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87.209800000000001</v>
      </c>
      <c r="J15" s="11">
        <v>91.052800000000005</v>
      </c>
      <c r="K15" s="11">
        <v>145073250</v>
      </c>
      <c r="L15" s="11">
        <v>3437243200</v>
      </c>
      <c r="M15" s="6">
        <f t="shared" si="0"/>
        <v>0.11316412087013739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59.2333</v>
      </c>
      <c r="J16" s="11">
        <v>62.6708</v>
      </c>
      <c r="K16" s="11">
        <v>96382687.5</v>
      </c>
      <c r="L16" s="11">
        <v>1757201492.8800001</v>
      </c>
      <c r="M16" s="6">
        <f t="shared" si="0"/>
        <v>5.7852223588211099E-2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86.756200000000007</v>
      </c>
      <c r="J17" s="11">
        <v>95.822866666666656</v>
      </c>
      <c r="K17" s="11">
        <v>94155520</v>
      </c>
      <c r="L17" s="11">
        <v>995101305.75999999</v>
      </c>
      <c r="M17" s="6">
        <f t="shared" si="0"/>
        <v>3.2761651675696439E-2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98.235100000000003</v>
      </c>
      <c r="J18" s="11">
        <v>99.130516666666651</v>
      </c>
      <c r="K18" s="11">
        <v>4539664.0041666701</v>
      </c>
      <c r="L18" s="11">
        <v>502580815.14316702</v>
      </c>
      <c r="M18" s="6">
        <f t="shared" si="0"/>
        <v>1.6546433523200666E-2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94.557238066564494</v>
      </c>
      <c r="J19" s="11">
        <v>98.370571399897827</v>
      </c>
      <c r="K19" s="11">
        <v>80080000</v>
      </c>
      <c r="L19" s="11">
        <v>2065781999.3978541</v>
      </c>
      <c r="M19" s="6">
        <f t="shared" si="0"/>
        <v>6.8011598327174766E-2</v>
      </c>
    </row>
    <row r="20" spans="1:15" x14ac:dyDescent="0.25">
      <c r="A20" s="1" t="s">
        <v>107</v>
      </c>
      <c r="B20" s="13" t="s">
        <v>108</v>
      </c>
      <c r="C20" s="10">
        <v>1000000</v>
      </c>
      <c r="D20" s="11">
        <v>1000000000</v>
      </c>
      <c r="E20" s="3">
        <v>0.1389</v>
      </c>
      <c r="F20" s="4" t="s">
        <v>109</v>
      </c>
      <c r="G20" s="4" t="s">
        <v>110</v>
      </c>
      <c r="H20" s="11">
        <v>1000000000</v>
      </c>
      <c r="I20" s="11">
        <v>98.629320222372897</v>
      </c>
      <c r="J20" s="11">
        <v>99.053736889039556</v>
      </c>
      <c r="K20" s="11">
        <v>4244166.6666666698</v>
      </c>
      <c r="L20" s="11">
        <v>990537368.890396</v>
      </c>
      <c r="M20" s="6">
        <f t="shared" si="0"/>
        <v>3.2611393496829275E-2</v>
      </c>
    </row>
    <row r="21" spans="1:15" x14ac:dyDescent="0.25">
      <c r="A21" s="1" t="s">
        <v>111</v>
      </c>
      <c r="B21" s="13" t="s">
        <v>112</v>
      </c>
      <c r="C21" s="10">
        <v>165739</v>
      </c>
      <c r="D21" s="11">
        <v>165739000</v>
      </c>
      <c r="E21" s="3">
        <v>0.125</v>
      </c>
      <c r="F21" s="4" t="s">
        <v>113</v>
      </c>
      <c r="G21" s="4" t="s">
        <v>114</v>
      </c>
      <c r="H21" s="11">
        <v>159596381.18279999</v>
      </c>
      <c r="I21" s="11">
        <v>96.9472355847507</v>
      </c>
      <c r="J21" s="11">
        <v>103.09306891807101</v>
      </c>
      <c r="K21" s="11">
        <v>10186042.708311111</v>
      </c>
      <c r="L21" s="11">
        <v>170865421.49412099</v>
      </c>
      <c r="M21" s="6">
        <f t="shared" si="0"/>
        <v>5.6253904904045426E-3</v>
      </c>
    </row>
    <row r="22" spans="1:15" x14ac:dyDescent="0.25">
      <c r="A22" s="1" t="s">
        <v>115</v>
      </c>
      <c r="B22" s="13" t="s">
        <v>116</v>
      </c>
      <c r="C22" s="10">
        <v>494987</v>
      </c>
      <c r="D22" s="11">
        <v>494987000</v>
      </c>
      <c r="E22" s="3">
        <v>0.1701</v>
      </c>
      <c r="F22" s="4" t="s">
        <v>117</v>
      </c>
      <c r="G22" s="4" t="s">
        <v>118</v>
      </c>
      <c r="H22" s="11">
        <v>495088472.34249997</v>
      </c>
      <c r="I22" s="11">
        <v>102.53740000000001</v>
      </c>
      <c r="J22" s="11">
        <v>108.3019</v>
      </c>
      <c r="K22" s="11">
        <v>28533525.614999998</v>
      </c>
      <c r="L22" s="11">
        <v>536080325.75300002</v>
      </c>
      <c r="M22" s="6">
        <f t="shared" si="0"/>
        <v>1.764933560116291E-2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1726874003.2413669</v>
      </c>
      <c r="L24" s="22">
        <f>SUM(L4:L23)</f>
        <v>30373966355.859756</v>
      </c>
      <c r="M24" s="23"/>
      <c r="N24" s="26">
        <v>30373966355.859779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5701995.3200000003</v>
      </c>
      <c r="C27" s="58">
        <v>5701995.3200000003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32896766</v>
      </c>
      <c r="D32" s="7" t="s">
        <v>50</v>
      </c>
      <c r="E32" s="34" t="s">
        <v>54</v>
      </c>
      <c r="F32" s="34" t="s">
        <v>55</v>
      </c>
      <c r="G32" s="15">
        <v>97.460199999902713</v>
      </c>
      <c r="H32" s="15">
        <v>97.505832467544067</v>
      </c>
      <c r="I32" s="16">
        <f t="shared" ref="I32:I39" si="1">+C32*G32</f>
        <v>3206125393.7099996</v>
      </c>
      <c r="J32" s="16">
        <f t="shared" ref="J32:J39" si="2">+C32*H32</f>
        <v>3207626554.3199997</v>
      </c>
      <c r="K32" s="18">
        <v>0.170899</v>
      </c>
      <c r="L32" s="17"/>
      <c r="M32" s="17">
        <v>3206125393.71</v>
      </c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1693065</v>
      </c>
      <c r="D33" s="7" t="s">
        <v>50</v>
      </c>
      <c r="E33" s="34" t="s">
        <v>54</v>
      </c>
      <c r="F33" s="34" t="s">
        <v>55</v>
      </c>
      <c r="G33" s="15">
        <v>97.460199998228049</v>
      </c>
      <c r="H33" s="15">
        <v>97.505858900869129</v>
      </c>
      <c r="I33" s="16">
        <f t="shared" si="1"/>
        <v>165006453.50999996</v>
      </c>
      <c r="J33" s="16">
        <f t="shared" si="2"/>
        <v>165083757</v>
      </c>
      <c r="K33" s="18">
        <v>0.17099799999999998</v>
      </c>
      <c r="L33" s="17"/>
      <c r="M33" s="17">
        <v>165006453.50999999</v>
      </c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1662768</v>
      </c>
      <c r="D34" s="7" t="s">
        <v>50</v>
      </c>
      <c r="E34" s="34" t="s">
        <v>56</v>
      </c>
      <c r="F34" s="34" t="s">
        <v>54</v>
      </c>
      <c r="G34" s="15">
        <v>97.428699999037732</v>
      </c>
      <c r="H34" s="15">
        <v>97.474477876649047</v>
      </c>
      <c r="I34" s="16">
        <f t="shared" si="1"/>
        <v>162001324.63999999</v>
      </c>
      <c r="J34" s="16">
        <f t="shared" si="2"/>
        <v>162077442.63</v>
      </c>
      <c r="K34" s="18">
        <v>0.17149899999999998</v>
      </c>
      <c r="L34" s="17">
        <v>76117.990000000005</v>
      </c>
      <c r="M34" s="17"/>
      <c r="N34" s="35"/>
    </row>
    <row r="35" spans="1:15" s="36" customFormat="1" ht="12" customHeight="1" x14ac:dyDescent="0.25">
      <c r="A35" s="12" t="s">
        <v>52</v>
      </c>
      <c r="B35" s="7" t="s">
        <v>53</v>
      </c>
      <c r="C35" s="14">
        <v>1662768</v>
      </c>
      <c r="D35" s="7" t="s">
        <v>50</v>
      </c>
      <c r="E35" s="34" t="s">
        <v>54</v>
      </c>
      <c r="F35" s="34" t="s">
        <v>54</v>
      </c>
      <c r="G35" s="15">
        <v>97.428699999037732</v>
      </c>
      <c r="H35" s="15">
        <v>97.474477876649047</v>
      </c>
      <c r="I35" s="16">
        <f t="shared" si="1"/>
        <v>162001324.63999999</v>
      </c>
      <c r="J35" s="16">
        <f t="shared" si="2"/>
        <v>162077442.63</v>
      </c>
      <c r="K35" s="18">
        <v>0.17149899999999998</v>
      </c>
      <c r="L35" s="17"/>
      <c r="M35" s="17"/>
      <c r="N35" s="35"/>
    </row>
    <row r="36" spans="1:15" s="36" customFormat="1" ht="12" customHeight="1" x14ac:dyDescent="0.25">
      <c r="A36" s="12" t="s">
        <v>57</v>
      </c>
      <c r="B36" s="7" t="s">
        <v>58</v>
      </c>
      <c r="C36" s="14">
        <v>552552</v>
      </c>
      <c r="D36" s="7" t="s">
        <v>50</v>
      </c>
      <c r="E36" s="34" t="s">
        <v>56</v>
      </c>
      <c r="F36" s="34" t="s">
        <v>54</v>
      </c>
      <c r="G36" s="15">
        <v>874.39099999638006</v>
      </c>
      <c r="H36" s="15">
        <v>874.80064379461101</v>
      </c>
      <c r="I36" s="16">
        <f t="shared" si="1"/>
        <v>483146495.8299998</v>
      </c>
      <c r="J36" s="16">
        <f t="shared" si="2"/>
        <v>483372845.32999992</v>
      </c>
      <c r="K36" s="18">
        <v>0.17099899999999998</v>
      </c>
      <c r="L36" s="17">
        <v>226349.5</v>
      </c>
      <c r="M36" s="17"/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552552</v>
      </c>
      <c r="D37" s="7" t="s">
        <v>50</v>
      </c>
      <c r="E37" s="34" t="s">
        <v>54</v>
      </c>
      <c r="F37" s="34" t="s">
        <v>54</v>
      </c>
      <c r="G37" s="15">
        <v>874.39099999638006</v>
      </c>
      <c r="H37" s="15">
        <v>874.80064379461101</v>
      </c>
      <c r="I37" s="16">
        <f t="shared" si="1"/>
        <v>483146495.8299998</v>
      </c>
      <c r="J37" s="16">
        <f t="shared" si="2"/>
        <v>483372845.32999992</v>
      </c>
      <c r="K37" s="18">
        <v>0.17099899999999998</v>
      </c>
      <c r="L37" s="17"/>
      <c r="M37" s="17"/>
      <c r="N37" s="35"/>
    </row>
    <row r="38" spans="1:15" s="36" customFormat="1" ht="12" customHeight="1" x14ac:dyDescent="0.25">
      <c r="A38" s="12" t="s">
        <v>57</v>
      </c>
      <c r="B38" s="7" t="s">
        <v>58</v>
      </c>
      <c r="C38" s="14">
        <v>3117400</v>
      </c>
      <c r="D38" s="7" t="s">
        <v>50</v>
      </c>
      <c r="E38" s="34" t="s">
        <v>56</v>
      </c>
      <c r="F38" s="34" t="s">
        <v>54</v>
      </c>
      <c r="G38" s="15">
        <v>874.39100000000008</v>
      </c>
      <c r="H38" s="15">
        <v>874.80064379932003</v>
      </c>
      <c r="I38" s="16">
        <f t="shared" si="1"/>
        <v>2725826503.4000001</v>
      </c>
      <c r="J38" s="16">
        <f t="shared" si="2"/>
        <v>2727103526.98</v>
      </c>
      <c r="K38" s="18">
        <v>0.17099899999999998</v>
      </c>
      <c r="L38" s="17">
        <v>1277023.58</v>
      </c>
      <c r="M38" s="17"/>
      <c r="N38" s="35"/>
    </row>
    <row r="39" spans="1:15" s="36" customFormat="1" ht="12" customHeight="1" x14ac:dyDescent="0.25">
      <c r="A39" s="12" t="s">
        <v>57</v>
      </c>
      <c r="B39" s="7" t="s">
        <v>58</v>
      </c>
      <c r="C39" s="14">
        <v>3117400</v>
      </c>
      <c r="D39" s="7" t="s">
        <v>50</v>
      </c>
      <c r="E39" s="34" t="s">
        <v>54</v>
      </c>
      <c r="F39" s="34" t="s">
        <v>54</v>
      </c>
      <c r="G39" s="15">
        <v>874.39100000000008</v>
      </c>
      <c r="H39" s="15">
        <v>874.80064379932003</v>
      </c>
      <c r="I39" s="16">
        <f t="shared" si="1"/>
        <v>2725826503.4000001</v>
      </c>
      <c r="J39" s="16">
        <f t="shared" si="2"/>
        <v>2727103526.98</v>
      </c>
      <c r="K39" s="18">
        <v>0.17099899999999998</v>
      </c>
      <c r="L39" s="17"/>
      <c r="M39" s="17"/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3371131847.2200003</v>
      </c>
      <c r="N41" s="38">
        <v>3371131847.2200003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x14ac:dyDescent="0.25">
      <c r="A45" s="57">
        <f ca="1">IF(OFFSET(A45,-1,0)="№ п/п",1,OFFSET(A45,-1,0)+1)</f>
        <v>1</v>
      </c>
      <c r="B45" s="40" t="s">
        <v>49</v>
      </c>
      <c r="C45" s="52" t="s">
        <v>50</v>
      </c>
      <c r="D45" s="53" t="s">
        <v>51</v>
      </c>
      <c r="E45" s="54">
        <v>1000000</v>
      </c>
      <c r="F45" s="55">
        <v>69450000</v>
      </c>
      <c r="G45" s="56">
        <v>69450000</v>
      </c>
      <c r="H45" s="58">
        <v>69450000</v>
      </c>
      <c r="I45" s="29">
        <f>G45-H45</f>
        <v>0</v>
      </c>
    </row>
    <row r="46" spans="1:15" hidden="1" x14ac:dyDescent="0.25">
      <c r="B46" s="42"/>
      <c r="C46" s="43"/>
      <c r="D46" s="44"/>
      <c r="G46" s="45"/>
      <c r="H46" s="33"/>
    </row>
    <row r="47" spans="1:15" x14ac:dyDescent="0.25">
      <c r="G47" s="46">
        <f>SUM(G45:G46)</f>
        <v>69450000</v>
      </c>
    </row>
    <row r="49" spans="1:4" x14ac:dyDescent="0.25">
      <c r="A49" s="47" t="s">
        <v>13</v>
      </c>
      <c r="B49" s="48">
        <f>+L24+B27+M41+G47</f>
        <v>33820250198.399757</v>
      </c>
      <c r="C49" s="32">
        <v>33820250198.39978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9" t="s">
        <v>35</v>
      </c>
      <c r="B53" s="50"/>
    </row>
    <row r="54" spans="1:4" x14ac:dyDescent="0.25">
      <c r="A54" s="49" t="s">
        <v>36</v>
      </c>
      <c r="B54" s="41"/>
    </row>
    <row r="55" spans="1:4" x14ac:dyDescent="0.25">
      <c r="A55" s="49" t="s">
        <v>37</v>
      </c>
      <c r="B55" s="41">
        <v>621470.8899999999</v>
      </c>
    </row>
    <row r="56" spans="1:4" x14ac:dyDescent="0.25">
      <c r="A56" s="49" t="s">
        <v>38</v>
      </c>
      <c r="B56" s="41"/>
    </row>
    <row r="57" spans="1:4" x14ac:dyDescent="0.25">
      <c r="A57" s="49" t="s">
        <v>39</v>
      </c>
      <c r="B57" s="50"/>
    </row>
    <row r="58" spans="1:4" x14ac:dyDescent="0.25">
      <c r="A58" s="49" t="s">
        <v>40</v>
      </c>
      <c r="B58" s="51">
        <v>180238.65</v>
      </c>
    </row>
    <row r="59" spans="1:4" x14ac:dyDescent="0.25">
      <c r="A59" s="49" t="s">
        <v>41</v>
      </c>
      <c r="B59" s="51">
        <v>89894.37</v>
      </c>
    </row>
    <row r="60" spans="1:4" x14ac:dyDescent="0.25">
      <c r="A60" s="49" t="s">
        <v>42</v>
      </c>
      <c r="B60" s="41"/>
    </row>
    <row r="61" spans="1:4" x14ac:dyDescent="0.25">
      <c r="A61" s="49" t="s">
        <v>43</v>
      </c>
      <c r="B61" s="41"/>
    </row>
    <row r="62" spans="1:4" x14ac:dyDescent="0.25">
      <c r="A62" s="49" t="s">
        <v>44</v>
      </c>
      <c r="B62" s="51"/>
    </row>
    <row r="63" spans="1:4" x14ac:dyDescent="0.25">
      <c r="A63" s="49" t="s">
        <v>45</v>
      </c>
      <c r="B63" s="50">
        <f>SUM(B53:B62)</f>
        <v>891603.90999999992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2025-12-10T05:30:38Z</dcterms:created>
  <dcterms:modified xsi:type="dcterms:W3CDTF">2025-12-10T06:45:07Z</dcterms:modified>
</cp:coreProperties>
</file>