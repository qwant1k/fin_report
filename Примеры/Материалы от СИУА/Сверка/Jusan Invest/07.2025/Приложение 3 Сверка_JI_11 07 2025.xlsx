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9207B465-EC2E-48E0-963D-7AC298C6FF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6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<sst xmlns="http://schemas.openxmlformats.org/spreadsheetml/2006/main" count="160" uniqueCount="119">
  <si>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</si>
  <si>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</si>
  <si>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</si>
  <si>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</si>
  <si>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</si>
  <si>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</si>
  <si>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</si>
  <si>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</si>
  <si>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</si>
  <si>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</si>
  <si>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</si>
  <si>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</si>
  <si>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</si>
  <si>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</si>
  <si>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</si>
  <si>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</si>
  <si>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</si>
  <si>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</si>
  <si>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</si>
  <si>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</si>
  <si>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</si>
  <si>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</si>
  <si>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</si>
  <si>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</si>
  <si>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</si>
  <si>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</si>
  <si>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</si>
  <si>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</si>
  <si>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</si>
  <si>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</si>
  <si>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</si>
  <si>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</si>
  <si>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</si>
  <si>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</si>
  <si>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</si>
  <si>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</si>
  <si>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</si>
  <si>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</si>
  <si>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</si>
  <si>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</si>
  <si>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</si>
  <si>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</si>
  <si>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</si>
  <si>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</si>
  <si>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</si>
  <si>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</si>
  <si>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</si>
  <si>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</si>
  <si>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</si>
  <si>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</si>
  <si>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</si>
  <si>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</si>
  <si>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10.07.2025</t>
  </si>
  <si>
    <t>11.07.2025</t>
  </si>
  <si>
    <t>МИНИСТЕРСТВО ФИНАНСОВ РК, ГЦБ, MKM012_0161</t>
  </si>
  <si>
    <t>KZK100000423</t>
  </si>
  <si>
    <t>14.07.2025</t>
  </si>
  <si>
    <t>МИНИСТЕРСТВО ФИНАНСОВ РК, ГЦБ, MUM180_0009</t>
  </si>
  <si>
    <t>KZKD00000717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</si>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</sst>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6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97.20450000000001</v>
      </c>
      <c r="J4" s="11">
        <v>102.24311111111101</v>
      </c>
      <c r="K4" s="11">
        <v>152166055.555556</v>
      </c>
      <c r="L4" s="11">
        <v>3087741955.5555549</v>
      </c>
      <c r="M4" s="6">
        <f t="shared" ref="M4:M22" si="0">L4/$L$24</f>
        <v>0.10138223174417754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82.770800000000008</v>
      </c>
      <c r="J5" s="11">
        <v>92.82260555555554</v>
      </c>
      <c r="K5" s="11">
        <v>227673395.83333299</v>
      </c>
      <c r="L5" s="11">
        <v>2102432015.833333</v>
      </c>
      <c r="M5" s="6">
        <f t="shared" si="0"/>
        <v>6.903078460688368E-2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82.770800000000008</v>
      </c>
      <c r="J6" s="11">
        <v>92.822605555555839</v>
      </c>
      <c r="K6" s="11">
        <v>155968438.83055601</v>
      </c>
      <c r="L6" s="11">
        <v>1440278246.19856</v>
      </c>
      <c r="M6" s="6">
        <f t="shared" si="0"/>
        <v>4.7289775192994696E-2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82.770800000000008</v>
      </c>
      <c r="J7" s="11">
        <v>92.82260555555554</v>
      </c>
      <c r="K7" s="11">
        <v>54851898.772222228</v>
      </c>
      <c r="L7" s="11">
        <v>506525532.70822197</v>
      </c>
      <c r="M7" s="6">
        <f t="shared" si="0"/>
        <v>1.6631146540264707E-2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85.7864</v>
      </c>
      <c r="J8" s="11">
        <v>88.357511111111108</v>
      </c>
      <c r="K8" s="11">
        <v>58235666.666666657</v>
      </c>
      <c r="L8" s="11">
        <v>2001297626.666666</v>
      </c>
      <c r="M8" s="6">
        <f t="shared" si="0"/>
        <v>6.5710160595102859E-2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84.539100000000005</v>
      </c>
      <c r="J9" s="11">
        <v>87.625211111111099</v>
      </c>
      <c r="K9" s="11">
        <v>69900416.666666657</v>
      </c>
      <c r="L9" s="11">
        <v>1984711031.666666</v>
      </c>
      <c r="M9" s="6">
        <f t="shared" si="0"/>
        <v>6.5165560028623767E-2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78.711399999999998</v>
      </c>
      <c r="J10" s="11">
        <v>81.973066666666654</v>
      </c>
      <c r="K10" s="11">
        <v>73876750</v>
      </c>
      <c r="L10" s="11">
        <v>1856689960</v>
      </c>
      <c r="M10" s="6">
        <f t="shared" si="0"/>
        <v>6.096214467116632E-2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69.842100000000002</v>
      </c>
      <c r="J11" s="11">
        <v>71.837238888888876</v>
      </c>
      <c r="K11" s="11">
        <v>45189895.833333328</v>
      </c>
      <c r="L11" s="11">
        <v>1627113460.833333</v>
      </c>
      <c r="M11" s="6">
        <f t="shared" si="0"/>
        <v>5.3424281023054465E-2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78.160899999999998</v>
      </c>
      <c r="J12" s="11">
        <v>88.367149999999995</v>
      </c>
      <c r="K12" s="11">
        <v>231171562.5</v>
      </c>
      <c r="L12" s="11">
        <v>2001515947.5</v>
      </c>
      <c r="M12" s="6">
        <f t="shared" si="0"/>
        <v>6.5717328892725593E-2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64.449799999999996</v>
      </c>
      <c r="J13" s="11">
        <v>65.772383333333323</v>
      </c>
      <c r="K13" s="11">
        <v>29956512.5</v>
      </c>
      <c r="L13" s="11">
        <v>1489744482.5</v>
      </c>
      <c r="M13" s="6">
        <f t="shared" si="0"/>
        <v>4.8913938579835267E-2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63.228300000000004</v>
      </c>
      <c r="J14" s="11">
        <v>66.859800000000007</v>
      </c>
      <c r="K14" s="11">
        <v>82253475</v>
      </c>
      <c r="L14" s="11">
        <v>1514374470</v>
      </c>
      <c r="M14" s="6">
        <f t="shared" si="0"/>
        <v>4.9722634104436489E-2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83.3249</v>
      </c>
      <c r="J15" s="11">
        <v>84.910899999999998</v>
      </c>
      <c r="K15" s="11">
        <v>59871500</v>
      </c>
      <c r="L15" s="11">
        <v>3205386475</v>
      </c>
      <c r="M15" s="6">
        <f t="shared" si="0"/>
        <v>0.10524494569677634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58.323</v>
      </c>
      <c r="J16" s="11">
        <v>59.49938888888888</v>
      </c>
      <c r="K16" s="11">
        <v>32984297.5</v>
      </c>
      <c r="L16" s="11">
        <v>1668279565.3</v>
      </c>
      <c r="M16" s="6">
        <f t="shared" si="0"/>
        <v>5.4775919729629523E-2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85.772800000000004</v>
      </c>
      <c r="J17" s="11">
        <v>89.906133333333329</v>
      </c>
      <c r="K17" s="11">
        <v>42923840</v>
      </c>
      <c r="L17" s="11">
        <v>933657213.44000006</v>
      </c>
      <c r="M17" s="6">
        <f t="shared" si="0"/>
        <v>3.0655493025344573E-2</v>
      </c>
    </row>
    <row r="18" spans="1:15" x14ac:dyDescent="0.25">
      <c r="A18" s="1" t="s">
        <v>99</v>
      </c>
      <c r="B18" s="13" t="s">
        <v>100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97.397800000000004</v>
      </c>
      <c r="J18" s="11">
        <v>99.657661111111111</v>
      </c>
      <c r="K18" s="11">
        <v>11457247.248611109</v>
      </c>
      <c r="L18" s="11">
        <v>505253379.49061102</v>
      </c>
      <c r="M18" s="6">
        <f t="shared" si="0"/>
        <v>1.6589376944819764E-2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94.149003361915589</v>
      </c>
      <c r="J19" s="11">
        <v>106.38344780636001</v>
      </c>
      <c r="K19" s="11">
        <v>256923333.33333299</v>
      </c>
      <c r="L19" s="11">
        <v>2234052403.9335599</v>
      </c>
      <c r="M19" s="6">
        <f t="shared" si="0"/>
        <v>7.3352379118571079E-2</v>
      </c>
    </row>
    <row r="20" spans="1:15" x14ac:dyDescent="0.25">
      <c r="A20" s="1" t="s">
        <v>107</v>
      </c>
      <c r="B20" s="13" t="s">
        <v>108</v>
      </c>
      <c r="C20" s="10">
        <v>1100000</v>
      </c>
      <c r="D20" s="11">
        <v>1100000000</v>
      </c>
      <c r="E20" s="3">
        <v>0.13870000000000002</v>
      </c>
      <c r="F20" s="4" t="s">
        <v>109</v>
      </c>
      <c r="G20" s="4" t="s">
        <v>110</v>
      </c>
      <c r="H20" s="11">
        <v>1100000000</v>
      </c>
      <c r="I20" s="11">
        <v>99.52300000000001</v>
      </c>
      <c r="J20" s="11">
        <v>104.184861111111</v>
      </c>
      <c r="K20" s="11">
        <v>51280472.222222216</v>
      </c>
      <c r="L20" s="11">
        <v>1146033472.2222221</v>
      </c>
      <c r="M20" s="6">
        <f t="shared" si="0"/>
        <v>3.7628607811080191E-2</v>
      </c>
    </row>
    <row r="21" spans="1:15" x14ac:dyDescent="0.25">
      <c r="A21" s="1" t="s">
        <v>111</v>
      </c>
      <c r="B21" s="13" t="s">
        <v>112</v>
      </c>
      <c r="C21" s="10">
        <v>1000000</v>
      </c>
      <c r="D21" s="11">
        <v>1000000000</v>
      </c>
      <c r="E21" s="3">
        <v>0.1389</v>
      </c>
      <c r="F21" s="4" t="s">
        <v>113</v>
      </c>
      <c r="G21" s="4" t="s">
        <v>114</v>
      </c>
      <c r="H21" s="11">
        <v>1000000000</v>
      </c>
      <c r="I21" s="11">
        <v>97.4786406831455</v>
      </c>
      <c r="J21" s="11">
        <v>99.137724016478828</v>
      </c>
      <c r="K21" s="11">
        <v>16590833.33333333</v>
      </c>
      <c r="L21" s="11">
        <v>991377240.16478801</v>
      </c>
      <c r="M21" s="6">
        <f t="shared" si="0"/>
        <v>3.2550659528867924E-2</v>
      </c>
    </row>
    <row r="22" spans="1:15" x14ac:dyDescent="0.25">
      <c r="A22" s="1" t="s">
        <v>115</v>
      </c>
      <c r="B22" s="13" t="s">
        <v>116</v>
      </c>
      <c r="C22" s="10">
        <v>165739</v>
      </c>
      <c r="D22" s="11">
        <v>165739000</v>
      </c>
      <c r="E22" s="3">
        <v>0.125</v>
      </c>
      <c r="F22" s="4" t="s">
        <v>117</v>
      </c>
      <c r="G22" s="4" t="s">
        <v>118</v>
      </c>
      <c r="H22" s="11">
        <v>159596381.18279999</v>
      </c>
      <c r="I22" s="11">
        <v>95.516192198095297</v>
      </c>
      <c r="J22" s="11">
        <v>96.523136642526325</v>
      </c>
      <c r="K22" s="11">
        <v>1668899.6527555599</v>
      </c>
      <c r="L22" s="11">
        <v>159976481.43995699</v>
      </c>
      <c r="M22" s="6">
        <f t="shared" si="0"/>
        <v>5.2526321656453682E-3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1654944491.4485891</v>
      </c>
      <c r="L24" s="22">
        <f>SUM(L4:L23)</f>
        <v>30456440960.453468</v>
      </c>
      <c r="M24" s="23"/>
      <c r="N24" s="26">
        <v>30456440960.453491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1230739.3999999999</v>
      </c>
      <c r="C27" s="51">
        <v>1230739.3999999999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7644</v>
      </c>
      <c r="D32" s="7" t="s">
        <v>51</v>
      </c>
      <c r="E32" s="34" t="s">
        <v>52</v>
      </c>
      <c r="F32" s="34" t="s">
        <v>53</v>
      </c>
      <c r="G32" s="15">
        <v>916.25</v>
      </c>
      <c r="H32" s="15">
        <v>916.6416025641031</v>
      </c>
      <c r="I32" s="16">
        <f t="shared" ref="I32:I37" si="1">+C32*G32</f>
        <v>7003815</v>
      </c>
      <c r="J32" s="16">
        <f t="shared" ref="J32:J37" si="2">+C32*H32</f>
        <v>7006808.4100000039</v>
      </c>
      <c r="K32" s="18">
        <v>0.156</v>
      </c>
      <c r="L32" s="17">
        <v>2993.41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7644</v>
      </c>
      <c r="D33" s="7" t="s">
        <v>51</v>
      </c>
      <c r="E33" s="34" t="s">
        <v>53</v>
      </c>
      <c r="F33" s="34" t="s">
        <v>53</v>
      </c>
      <c r="G33" s="15">
        <v>916.25</v>
      </c>
      <c r="H33" s="15">
        <v>916.6416025641031</v>
      </c>
      <c r="I33" s="16">
        <f t="shared" si="1"/>
        <v>7003815</v>
      </c>
      <c r="J33" s="16">
        <f t="shared" si="2"/>
        <v>7006808.4100000039</v>
      </c>
      <c r="K33" s="18">
        <v>0.156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1433796</v>
      </c>
      <c r="D34" s="7" t="s">
        <v>51</v>
      </c>
      <c r="E34" s="34" t="s">
        <v>52</v>
      </c>
      <c r="F34" s="34" t="s">
        <v>53</v>
      </c>
      <c r="G34" s="15">
        <v>916.25</v>
      </c>
      <c r="H34" s="15">
        <v>916.64160273846505</v>
      </c>
      <c r="I34" s="16">
        <f t="shared" si="1"/>
        <v>1313715585</v>
      </c>
      <c r="J34" s="16">
        <f t="shared" si="2"/>
        <v>1314277063.4400003</v>
      </c>
      <c r="K34" s="18">
        <v>0.156</v>
      </c>
      <c r="L34" s="17">
        <v>561478.44000000006</v>
      </c>
      <c r="M34" s="17"/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1433796</v>
      </c>
      <c r="D35" s="7" t="s">
        <v>51</v>
      </c>
      <c r="E35" s="34" t="s">
        <v>53</v>
      </c>
      <c r="F35" s="34" t="s">
        <v>53</v>
      </c>
      <c r="G35" s="15">
        <v>916.25</v>
      </c>
      <c r="H35" s="15">
        <v>916.64160273846505</v>
      </c>
      <c r="I35" s="16">
        <f t="shared" si="1"/>
        <v>1313715585</v>
      </c>
      <c r="J35" s="16">
        <f t="shared" si="2"/>
        <v>1314277063.4400003</v>
      </c>
      <c r="K35" s="18">
        <v>0.156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228880</v>
      </c>
      <c r="D36" s="7" t="s">
        <v>51</v>
      </c>
      <c r="E36" s="34" t="s">
        <v>53</v>
      </c>
      <c r="F36" s="34" t="s">
        <v>56</v>
      </c>
      <c r="G36" s="15">
        <v>87.386399991261783</v>
      </c>
      <c r="H36" s="15">
        <v>87.49837355819642</v>
      </c>
      <c r="I36" s="16">
        <f t="shared" si="1"/>
        <v>20000999.229999997</v>
      </c>
      <c r="J36" s="16">
        <f t="shared" si="2"/>
        <v>20026627.739999998</v>
      </c>
      <c r="K36" s="18">
        <v>0.15589899999999998</v>
      </c>
      <c r="L36" s="17"/>
      <c r="M36" s="17">
        <v>20000999.23</v>
      </c>
      <c r="N36" s="35"/>
    </row>
    <row r="37" spans="1:15" s="36" customFormat="1" ht="12" customHeight="1" x14ac:dyDescent="0.25">
      <c r="A37" s="12" t="s">
        <v>57</v>
      </c>
      <c r="B37" s="7" t="s">
        <v>58</v>
      </c>
      <c r="C37" s="14">
        <v>1619800</v>
      </c>
      <c r="D37" s="7" t="s">
        <v>51</v>
      </c>
      <c r="E37" s="34" t="s">
        <v>53</v>
      </c>
      <c r="F37" s="34" t="s">
        <v>56</v>
      </c>
      <c r="G37" s="15">
        <v>802.99200000000008</v>
      </c>
      <c r="H37" s="15">
        <v>804.02158313989401</v>
      </c>
      <c r="I37" s="16">
        <f t="shared" si="1"/>
        <v>1300686441.6000001</v>
      </c>
      <c r="J37" s="16">
        <f t="shared" si="2"/>
        <v>1302354160.3700004</v>
      </c>
      <c r="K37" s="18">
        <v>0.155999</v>
      </c>
      <c r="L37" s="17"/>
      <c r="M37" s="17">
        <v>1300686441.5999999</v>
      </c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1320687440.8299999</v>
      </c>
      <c r="N39" s="38">
        <v>1320687440.8299999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31778359140.683472</v>
      </c>
      <c r="C46" s="32">
        <v>31778359140.683491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164213.31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25783.93</v>
      </c>
    </row>
    <row r="56" spans="1:2" x14ac:dyDescent="0.25">
      <c r="A56" s="48" t="s">
        <v>41</v>
      </c>
      <c r="B56" s="50">
        <v>12821.980000000003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202819.22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2025-07-14T05:54:17Z</dcterms:created>
  <dcterms:modified xsi:type="dcterms:W3CDTF">2025-07-14T10:11:22Z</dcterms:modified>
</cp:coreProperties>
</file>