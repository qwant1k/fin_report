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0C7DBD98-84B9-4F97-B36B-38193ADC3C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G44" i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46" i="1" s="1"/>
  <c r="K24" i="1"/>
  <c r="M21" i="1"/>
  <c r="M20" i="1"/>
  <c r="M19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18" i="1" l="1"/>
  <c r="M22" i="1"/>
</calcChain>
</file>

<file path=xl/sharedStrings.xml><?xml version="1.0" encoding="utf-8"?>
<sst xmlns="http://schemas.openxmlformats.org/spreadsheetml/2006/main" count="160" uniqueCount="117">
  <si>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</si>
  <si>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</si>
  <si>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</si>
  <si>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</si>
  <si>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</si>
  <si>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</si>
  <si>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</si>
  <si>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</si>
  <si>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</si>
  <si>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</si>
  <si>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</si>
  <si>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</si>
  <si>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</si>
  <si>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</si>
  <si>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</si>
  <si>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</si>
  <si>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</si>
  <si>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</si>
  <si>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</si>
  <si>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</si>
  <si>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</si>
  <si>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</si>
  <si>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</si>
  <si>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</si>
  <si>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</si>
  <si>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</si>
  <si>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</si>
  <si>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</si>
  <si>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</si>
  <si>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</si>
  <si>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</si>
  <si>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</si>
  <si>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</si>
  <si>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</si>
  <si>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</si>
  <si>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</si>
  <si>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</si>
  <si>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</si>
  <si>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</si>
  <si>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</si>
  <si>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</si>
  <si>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</si>
  <si>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</si>
  <si>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</si>
  <si>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</si>
  <si>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</si>
  <si>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</si>
  <si>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</si>
  <si>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</si>
  <si>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MUM096_0011</t>
  </si>
  <si>
    <t>KZKD00001095</t>
  </si>
  <si>
    <t>KZT</t>
  </si>
  <si>
    <t>03.07.2025</t>
  </si>
  <si>
    <t>04.07.2025</t>
  </si>
  <si>
    <t>08.07.2025</t>
  </si>
  <si>
    <t>МИНИСТЕРСТВО ФИНАНСОВ РК, ОБЛИГАЦИИ, KZ_14_2609</t>
  </si>
  <si>
    <t>XS2050933899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</si>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</sst>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22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57</v>
      </c>
      <c r="B4" s="13" t="s">
        <v>58</v>
      </c>
      <c r="C4" s="10">
        <v>3020000</v>
      </c>
      <c r="D4" s="11">
        <v>3020000000</v>
      </c>
      <c r="E4" s="3">
        <v>0.1067</v>
      </c>
      <c r="F4" s="4" t="s">
        <v>59</v>
      </c>
      <c r="G4" s="4" t="s">
        <v>60</v>
      </c>
      <c r="H4" s="11">
        <v>2930617060.0000029</v>
      </c>
      <c r="I4" s="11">
        <v>97.051700000000011</v>
      </c>
      <c r="J4" s="11">
        <v>101.88283888888901</v>
      </c>
      <c r="K4" s="11">
        <v>145900394.444444</v>
      </c>
      <c r="L4" s="11">
        <v>3076861734.4444442</v>
      </c>
      <c r="M4" s="6">
        <f t="shared" ref="M4:M22" si="0">L4/$L$24</f>
        <v>9.9520137055341781E-2</v>
      </c>
    </row>
    <row r="5" spans="1:13" x14ac:dyDescent="0.25">
      <c r="A5" s="1" t="s">
        <v>61</v>
      </c>
      <c r="B5" s="13" t="s">
        <v>62</v>
      </c>
      <c r="C5" s="10">
        <v>2265000</v>
      </c>
      <c r="D5" s="11">
        <v>2265000000</v>
      </c>
      <c r="E5" s="3">
        <v>0.10550000000000001</v>
      </c>
      <c r="F5" s="4" t="s">
        <v>59</v>
      </c>
      <c r="G5" s="4" t="s">
        <v>63</v>
      </c>
      <c r="H5" s="11">
        <v>2039188560.0000031</v>
      </c>
      <c r="I5" s="11">
        <v>84.138400000000004</v>
      </c>
      <c r="J5" s="11">
        <v>93.985066666666654</v>
      </c>
      <c r="K5" s="11">
        <v>223027000</v>
      </c>
      <c r="L5" s="11">
        <v>2128761759.999999</v>
      </c>
      <c r="M5" s="6">
        <f t="shared" si="0"/>
        <v>6.885413788397704E-2</v>
      </c>
    </row>
    <row r="6" spans="1:13" x14ac:dyDescent="0.25">
      <c r="A6" s="1" t="s">
        <v>61</v>
      </c>
      <c r="B6" s="13" t="s">
        <v>62</v>
      </c>
      <c r="C6" s="10">
        <v>1551646</v>
      </c>
      <c r="D6" s="11">
        <v>1551646000</v>
      </c>
      <c r="E6" s="3">
        <v>0.10550000000000001</v>
      </c>
      <c r="F6" s="4" t="s">
        <v>64</v>
      </c>
      <c r="G6" s="4" t="s">
        <v>63</v>
      </c>
      <c r="H6" s="11">
        <v>1395452658.7</v>
      </c>
      <c r="I6" s="11">
        <v>84.138400000000004</v>
      </c>
      <c r="J6" s="11">
        <v>93.985066666666953</v>
      </c>
      <c r="K6" s="11">
        <v>152785409.466667</v>
      </c>
      <c r="L6" s="11">
        <v>1458315527.5306709</v>
      </c>
      <c r="M6" s="6">
        <f t="shared" si="0"/>
        <v>4.7168762751047144E-2</v>
      </c>
    </row>
    <row r="7" spans="1:13" x14ac:dyDescent="0.25">
      <c r="A7" s="1" t="s">
        <v>61</v>
      </c>
      <c r="B7" s="13" t="s">
        <v>62</v>
      </c>
      <c r="C7" s="10">
        <v>545692</v>
      </c>
      <c r="D7" s="11">
        <v>545692000</v>
      </c>
      <c r="E7" s="3">
        <v>0.10550000000000001</v>
      </c>
      <c r="F7" s="4" t="s">
        <v>65</v>
      </c>
      <c r="G7" s="4" t="s">
        <v>63</v>
      </c>
      <c r="H7" s="11">
        <v>449784993.92000002</v>
      </c>
      <c r="I7" s="11">
        <v>84.138400000000004</v>
      </c>
      <c r="J7" s="11">
        <v>93.985066666666668</v>
      </c>
      <c r="K7" s="11">
        <v>53732472.266666673</v>
      </c>
      <c r="L7" s="11">
        <v>512868989.99466699</v>
      </c>
      <c r="M7" s="6">
        <f t="shared" si="0"/>
        <v>1.6588588172266331E-2</v>
      </c>
    </row>
    <row r="8" spans="1:13" x14ac:dyDescent="0.25">
      <c r="A8" s="1" t="s">
        <v>66</v>
      </c>
      <c r="B8" s="13" t="s">
        <v>67</v>
      </c>
      <c r="C8" s="10">
        <v>2265000</v>
      </c>
      <c r="D8" s="11">
        <v>2265000000</v>
      </c>
      <c r="E8" s="3">
        <v>0.10400000000000001</v>
      </c>
      <c r="F8" s="4" t="s">
        <v>59</v>
      </c>
      <c r="G8" s="4" t="s">
        <v>68</v>
      </c>
      <c r="H8" s="11">
        <v>2073109200</v>
      </c>
      <c r="I8" s="11">
        <v>86.352800000000002</v>
      </c>
      <c r="J8" s="11">
        <v>88.721688888888877</v>
      </c>
      <c r="K8" s="11">
        <v>53655333.333333328</v>
      </c>
      <c r="L8" s="11">
        <v>2009546253.333333</v>
      </c>
      <c r="M8" s="6">
        <f t="shared" si="0"/>
        <v>6.4998149351970139E-2</v>
      </c>
    </row>
    <row r="9" spans="1:13" x14ac:dyDescent="0.25">
      <c r="A9" s="1" t="s">
        <v>69</v>
      </c>
      <c r="B9" s="13" t="s">
        <v>70</v>
      </c>
      <c r="C9" s="10">
        <v>2265000</v>
      </c>
      <c r="D9" s="11">
        <v>2265000000</v>
      </c>
      <c r="E9" s="3">
        <v>0.11</v>
      </c>
      <c r="F9" s="4" t="s">
        <v>59</v>
      </c>
      <c r="G9" s="4" t="s">
        <v>71</v>
      </c>
      <c r="H9" s="11">
        <v>2080889475</v>
      </c>
      <c r="I9" s="11">
        <v>85.729300000000009</v>
      </c>
      <c r="J9" s="11">
        <v>88.601522222222215</v>
      </c>
      <c r="K9" s="11">
        <v>65055833.333333328</v>
      </c>
      <c r="L9" s="11">
        <v>2006824478.333333</v>
      </c>
      <c r="M9" s="6">
        <f t="shared" si="0"/>
        <v>6.4910114385042156E-2</v>
      </c>
    </row>
    <row r="10" spans="1:13" x14ac:dyDescent="0.25">
      <c r="A10" s="1" t="s">
        <v>72</v>
      </c>
      <c r="B10" s="13" t="s">
        <v>73</v>
      </c>
      <c r="C10" s="10">
        <v>2265000</v>
      </c>
      <c r="D10" s="11">
        <v>2265000000</v>
      </c>
      <c r="E10" s="3">
        <v>0.10300000000000001</v>
      </c>
      <c r="F10" s="4" t="s">
        <v>59</v>
      </c>
      <c r="G10" s="4" t="s">
        <v>74</v>
      </c>
      <c r="H10" s="11">
        <v>1963990560.0000031</v>
      </c>
      <c r="I10" s="11">
        <v>81.055500000000009</v>
      </c>
      <c r="J10" s="11">
        <v>84.11688888888888</v>
      </c>
      <c r="K10" s="11">
        <v>69340458.333333328</v>
      </c>
      <c r="L10" s="11">
        <v>1905247533.333333</v>
      </c>
      <c r="M10" s="6">
        <f t="shared" si="0"/>
        <v>6.1624639651193518E-2</v>
      </c>
    </row>
    <row r="11" spans="1:13" x14ac:dyDescent="0.25">
      <c r="A11" s="1" t="s">
        <v>75</v>
      </c>
      <c r="B11" s="13" t="s">
        <v>76</v>
      </c>
      <c r="C11" s="10">
        <v>2265000</v>
      </c>
      <c r="D11" s="11">
        <v>2265000000</v>
      </c>
      <c r="E11" s="3">
        <v>8.4500000000000006E-2</v>
      </c>
      <c r="F11" s="4" t="s">
        <v>59</v>
      </c>
      <c r="G11" s="4" t="s">
        <v>77</v>
      </c>
      <c r="H11" s="11">
        <v>1740247065.0000031</v>
      </c>
      <c r="I11" s="11">
        <v>72.584699999999998</v>
      </c>
      <c r="J11" s="11">
        <v>74.415533333333329</v>
      </c>
      <c r="K11" s="11">
        <v>41468374.999999993</v>
      </c>
      <c r="L11" s="11">
        <v>1685511829.999999</v>
      </c>
      <c r="M11" s="6">
        <f t="shared" si="0"/>
        <v>5.4517356581928855E-2</v>
      </c>
    </row>
    <row r="12" spans="1:13" x14ac:dyDescent="0.25">
      <c r="A12" s="1" t="s">
        <v>78</v>
      </c>
      <c r="B12" s="13" t="s">
        <v>79</v>
      </c>
      <c r="C12" s="10">
        <v>2265000</v>
      </c>
      <c r="D12" s="11">
        <v>2265000000</v>
      </c>
      <c r="E12" s="3">
        <v>0.10650000000000001</v>
      </c>
      <c r="F12" s="4" t="s">
        <v>59</v>
      </c>
      <c r="G12" s="4" t="s">
        <v>80</v>
      </c>
      <c r="H12" s="11">
        <v>1967775375</v>
      </c>
      <c r="I12" s="11">
        <v>81.188100000000006</v>
      </c>
      <c r="J12" s="11">
        <v>91.187266666666659</v>
      </c>
      <c r="K12" s="11">
        <v>226481125</v>
      </c>
      <c r="L12" s="11">
        <v>2065391590</v>
      </c>
      <c r="M12" s="6">
        <f t="shared" si="0"/>
        <v>6.6804449419584952E-2</v>
      </c>
    </row>
    <row r="13" spans="1:13" x14ac:dyDescent="0.25">
      <c r="A13" s="1" t="s">
        <v>81</v>
      </c>
      <c r="B13" s="13" t="s">
        <v>82</v>
      </c>
      <c r="C13" s="10">
        <v>2265000</v>
      </c>
      <c r="D13" s="11">
        <v>2265000000</v>
      </c>
      <c r="E13" s="3">
        <v>8.0700000000000008E-2</v>
      </c>
      <c r="F13" s="4" t="s">
        <v>59</v>
      </c>
      <c r="G13" s="4" t="s">
        <v>83</v>
      </c>
      <c r="H13" s="11">
        <v>1622351550</v>
      </c>
      <c r="I13" s="11">
        <v>67.881500000000003</v>
      </c>
      <c r="J13" s="11">
        <v>69.047166666666655</v>
      </c>
      <c r="K13" s="11">
        <v>26402350</v>
      </c>
      <c r="L13" s="11">
        <v>1563918325</v>
      </c>
      <c r="M13" s="6">
        <f t="shared" si="0"/>
        <v>5.0584452432492238E-2</v>
      </c>
    </row>
    <row r="14" spans="1:13" x14ac:dyDescent="0.25">
      <c r="A14" s="1" t="s">
        <v>84</v>
      </c>
      <c r="B14" s="13" t="s">
        <v>85</v>
      </c>
      <c r="C14" s="10">
        <v>2265000</v>
      </c>
      <c r="D14" s="11">
        <v>2265000000</v>
      </c>
      <c r="E14" s="3">
        <v>8.0700000000000008E-2</v>
      </c>
      <c r="F14" s="4" t="s">
        <v>59</v>
      </c>
      <c r="G14" s="4" t="s">
        <v>86</v>
      </c>
      <c r="H14" s="11">
        <v>1597764975</v>
      </c>
      <c r="I14" s="11">
        <v>66.842500000000001</v>
      </c>
      <c r="J14" s="11">
        <v>70.317083333333329</v>
      </c>
      <c r="K14" s="11">
        <v>78699312.5</v>
      </c>
      <c r="L14" s="11">
        <v>1592681937.5</v>
      </c>
      <c r="M14" s="6">
        <f t="shared" si="0"/>
        <v>5.1514802544153526E-2</v>
      </c>
    </row>
    <row r="15" spans="1:13" x14ac:dyDescent="0.25">
      <c r="A15" s="1" t="s">
        <v>87</v>
      </c>
      <c r="B15" s="13" t="s">
        <v>88</v>
      </c>
      <c r="C15" s="10">
        <v>3775000</v>
      </c>
      <c r="D15" s="11">
        <v>3775000000</v>
      </c>
      <c r="E15" s="3">
        <v>5.4900000000000004E-2</v>
      </c>
      <c r="F15" s="4" t="s">
        <v>59</v>
      </c>
      <c r="G15" s="4" t="s">
        <v>89</v>
      </c>
      <c r="H15" s="11">
        <v>3136670150</v>
      </c>
      <c r="I15" s="11">
        <v>83.278900000000007</v>
      </c>
      <c r="J15" s="11">
        <v>84.758150000000001</v>
      </c>
      <c r="K15" s="11">
        <v>55841687.5</v>
      </c>
      <c r="L15" s="11">
        <v>3199620162.5</v>
      </c>
      <c r="M15" s="6">
        <f t="shared" si="0"/>
        <v>0.10349072027915801</v>
      </c>
    </row>
    <row r="16" spans="1:13" x14ac:dyDescent="0.25">
      <c r="A16" s="1" t="s">
        <v>90</v>
      </c>
      <c r="B16" s="13" t="s">
        <v>91</v>
      </c>
      <c r="C16" s="10">
        <v>2803860</v>
      </c>
      <c r="D16" s="11">
        <v>2803860000</v>
      </c>
      <c r="E16" s="3">
        <v>5.5E-2</v>
      </c>
      <c r="F16" s="4" t="s">
        <v>92</v>
      </c>
      <c r="G16" s="4" t="s">
        <v>93</v>
      </c>
      <c r="H16" s="11">
        <v>1773018067.1400001</v>
      </c>
      <c r="I16" s="11">
        <v>60.8371</v>
      </c>
      <c r="J16" s="11">
        <v>61.906544444444435</v>
      </c>
      <c r="K16" s="11">
        <v>29985725</v>
      </c>
      <c r="L16" s="11">
        <v>1735772837.0599999</v>
      </c>
      <c r="M16" s="6">
        <f t="shared" si="0"/>
        <v>5.6143033243039507E-2</v>
      </c>
    </row>
    <row r="17" spans="1:15" x14ac:dyDescent="0.25">
      <c r="A17" s="1" t="s">
        <v>94</v>
      </c>
      <c r="B17" s="13" t="s">
        <v>95</v>
      </c>
      <c r="C17" s="10">
        <v>1038480</v>
      </c>
      <c r="D17" s="11">
        <v>1038480000</v>
      </c>
      <c r="E17" s="3">
        <v>0.12</v>
      </c>
      <c r="F17" s="4" t="s">
        <v>92</v>
      </c>
      <c r="G17" s="4" t="s">
        <v>96</v>
      </c>
      <c r="H17" s="11">
        <v>979029096.96000004</v>
      </c>
      <c r="I17" s="11">
        <v>87.593800000000002</v>
      </c>
      <c r="J17" s="11">
        <v>91.493800000000007</v>
      </c>
      <c r="K17" s="11">
        <v>40500720</v>
      </c>
      <c r="L17" s="11">
        <v>950144814.24000001</v>
      </c>
      <c r="M17" s="6">
        <f t="shared" si="0"/>
        <v>3.0732138879376873E-2</v>
      </c>
    </row>
    <row r="18" spans="1:15" x14ac:dyDescent="0.25">
      <c r="A18" s="1" t="s">
        <v>97</v>
      </c>
      <c r="B18" s="13" t="s">
        <v>98</v>
      </c>
      <c r="C18" s="10">
        <v>506989</v>
      </c>
      <c r="D18" s="11">
        <v>506989000</v>
      </c>
      <c r="E18" s="3">
        <v>0.1535</v>
      </c>
      <c r="F18" s="4" t="s">
        <v>99</v>
      </c>
      <c r="G18" s="4" t="s">
        <v>100</v>
      </c>
      <c r="H18" s="11">
        <v>492216861.50999999</v>
      </c>
      <c r="I18" s="11">
        <v>97.798700000000011</v>
      </c>
      <c r="J18" s="11">
        <v>99.760088888888873</v>
      </c>
      <c r="K18" s="11">
        <v>9944025.9138888903</v>
      </c>
      <c r="L18" s="11">
        <v>505772677.056889</v>
      </c>
      <c r="M18" s="6">
        <f t="shared" si="0"/>
        <v>1.6359060134574777E-2</v>
      </c>
    </row>
    <row r="19" spans="1:15" x14ac:dyDescent="0.25">
      <c r="A19" s="1" t="s">
        <v>101</v>
      </c>
      <c r="B19" s="13" t="s">
        <v>102</v>
      </c>
      <c r="C19" s="10">
        <v>2100000</v>
      </c>
      <c r="D19" s="11">
        <v>2100000000</v>
      </c>
      <c r="E19" s="3">
        <v>0.14300000000000002</v>
      </c>
      <c r="F19" s="4" t="s">
        <v>103</v>
      </c>
      <c r="G19" s="4" t="s">
        <v>104</v>
      </c>
      <c r="H19" s="11">
        <v>2100000000</v>
      </c>
      <c r="I19" s="11">
        <v>94.299034271423693</v>
      </c>
      <c r="J19" s="11">
        <v>106.255423160313</v>
      </c>
      <c r="K19" s="11">
        <v>251084166.66666701</v>
      </c>
      <c r="L19" s="11">
        <v>2231363886.3665638</v>
      </c>
      <c r="M19" s="6">
        <f t="shared" si="0"/>
        <v>7.2172771790681878E-2</v>
      </c>
    </row>
    <row r="20" spans="1:15" x14ac:dyDescent="0.25">
      <c r="A20" s="1" t="s">
        <v>105</v>
      </c>
      <c r="B20" s="13" t="s">
        <v>106</v>
      </c>
      <c r="C20" s="10">
        <v>1100000</v>
      </c>
      <c r="D20" s="11">
        <v>1100000000</v>
      </c>
      <c r="E20" s="3">
        <v>0.13870000000000002</v>
      </c>
      <c r="F20" s="4" t="s">
        <v>107</v>
      </c>
      <c r="G20" s="4" t="s">
        <v>108</v>
      </c>
      <c r="H20" s="11">
        <v>1100000000</v>
      </c>
      <c r="I20" s="11">
        <v>99.472100000000012</v>
      </c>
      <c r="J20" s="11">
        <v>103.86426666666701</v>
      </c>
      <c r="K20" s="11">
        <v>48313833.333333328</v>
      </c>
      <c r="L20" s="11">
        <v>1142506933.333333</v>
      </c>
      <c r="M20" s="6">
        <f t="shared" si="0"/>
        <v>3.6954031869274609E-2</v>
      </c>
    </row>
    <row r="21" spans="1:15" x14ac:dyDescent="0.25">
      <c r="A21" s="1" t="s">
        <v>109</v>
      </c>
      <c r="B21" s="13" t="s">
        <v>110</v>
      </c>
      <c r="C21" s="10">
        <v>1000000</v>
      </c>
      <c r="D21" s="11">
        <v>1000000000</v>
      </c>
      <c r="E21" s="3">
        <v>0.1389</v>
      </c>
      <c r="F21" s="4" t="s">
        <v>111</v>
      </c>
      <c r="G21" s="4" t="s">
        <v>112</v>
      </c>
      <c r="H21" s="11">
        <v>1000000000</v>
      </c>
      <c r="I21" s="11">
        <v>97.266789203725097</v>
      </c>
      <c r="J21" s="11">
        <v>98.655789203725092</v>
      </c>
      <c r="K21" s="11">
        <v>13889999.999999991</v>
      </c>
      <c r="L21" s="11">
        <v>986557892.037251</v>
      </c>
      <c r="M21" s="6">
        <f t="shared" si="0"/>
        <v>3.1909908569974804E-2</v>
      </c>
    </row>
    <row r="22" spans="1:15" x14ac:dyDescent="0.25">
      <c r="A22" s="1" t="s">
        <v>113</v>
      </c>
      <c r="B22" s="13" t="s">
        <v>114</v>
      </c>
      <c r="C22" s="10">
        <v>165739</v>
      </c>
      <c r="D22" s="11">
        <v>165739000</v>
      </c>
      <c r="E22" s="3">
        <v>0.125</v>
      </c>
      <c r="F22" s="4" t="s">
        <v>115</v>
      </c>
      <c r="G22" s="4" t="s">
        <v>116</v>
      </c>
      <c r="H22" s="11">
        <v>159596381.18279999</v>
      </c>
      <c r="I22" s="11">
        <v>95.355489176415006</v>
      </c>
      <c r="J22" s="11">
        <v>96.119378065290476</v>
      </c>
      <c r="K22" s="11">
        <v>1266061.80553333</v>
      </c>
      <c r="L22" s="11">
        <v>159307296.011632</v>
      </c>
      <c r="M22" s="6">
        <f t="shared" si="0"/>
        <v>5.152745004921762E-3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1587374283.8972003</v>
      </c>
      <c r="L24" s="22">
        <f>SUM(L4:L23)</f>
        <v>30916976458.075451</v>
      </c>
      <c r="M24" s="23"/>
      <c r="N24" s="26">
        <v>30916976458.075478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5870043.96</v>
      </c>
      <c r="C27" s="51">
        <v>5870043.96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1410500</v>
      </c>
      <c r="D32" s="7" t="s">
        <v>51</v>
      </c>
      <c r="E32" s="34" t="s">
        <v>52</v>
      </c>
      <c r="F32" s="34" t="s">
        <v>53</v>
      </c>
      <c r="G32" s="15">
        <v>922.19400000000007</v>
      </c>
      <c r="H32" s="15">
        <v>922.5861219425741</v>
      </c>
      <c r="I32" s="16">
        <f t="shared" ref="I32:I37" si="1">+C32*G32</f>
        <v>1300754637</v>
      </c>
      <c r="J32" s="16">
        <f t="shared" ref="J32:J37" si="2">+C32*H32</f>
        <v>1301307725.0000007</v>
      </c>
      <c r="K32" s="18">
        <v>0.1552</v>
      </c>
      <c r="L32" s="17">
        <v>553088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1410500</v>
      </c>
      <c r="D33" s="7" t="s">
        <v>51</v>
      </c>
      <c r="E33" s="34" t="s">
        <v>53</v>
      </c>
      <c r="F33" s="34" t="s">
        <v>53</v>
      </c>
      <c r="G33" s="15">
        <v>922.19400000000007</v>
      </c>
      <c r="H33" s="15">
        <v>922.5861219425741</v>
      </c>
      <c r="I33" s="16">
        <f t="shared" si="1"/>
        <v>1300754637</v>
      </c>
      <c r="J33" s="16">
        <f t="shared" si="2"/>
        <v>1301307725.0000007</v>
      </c>
      <c r="K33" s="18">
        <v>0.1552</v>
      </c>
      <c r="L33" s="17"/>
      <c r="M33" s="17"/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11935</v>
      </c>
      <c r="D34" s="7" t="s">
        <v>51</v>
      </c>
      <c r="E34" s="34" t="s">
        <v>52</v>
      </c>
      <c r="F34" s="34" t="s">
        <v>53</v>
      </c>
      <c r="G34" s="15">
        <v>922.19400000000007</v>
      </c>
      <c r="H34" s="15">
        <v>922.58612232928408</v>
      </c>
      <c r="I34" s="16">
        <f t="shared" si="1"/>
        <v>11006385.390000001</v>
      </c>
      <c r="J34" s="16">
        <f t="shared" si="2"/>
        <v>11011065.370000005</v>
      </c>
      <c r="K34" s="18">
        <v>0.1552</v>
      </c>
      <c r="L34" s="17">
        <v>4679.9800000000005</v>
      </c>
      <c r="M34" s="17"/>
      <c r="N34" s="35"/>
    </row>
    <row r="35" spans="1:15" s="36" customFormat="1" ht="12" customHeight="1" x14ac:dyDescent="0.25">
      <c r="A35" s="12" t="s">
        <v>49</v>
      </c>
      <c r="B35" s="7" t="s">
        <v>50</v>
      </c>
      <c r="C35" s="14">
        <v>11935</v>
      </c>
      <c r="D35" s="7" t="s">
        <v>51</v>
      </c>
      <c r="E35" s="34" t="s">
        <v>53</v>
      </c>
      <c r="F35" s="34" t="s">
        <v>53</v>
      </c>
      <c r="G35" s="15">
        <v>922.19400000000007</v>
      </c>
      <c r="H35" s="15">
        <v>922.58612232928408</v>
      </c>
      <c r="I35" s="16">
        <f t="shared" si="1"/>
        <v>11006385.390000001</v>
      </c>
      <c r="J35" s="16">
        <f t="shared" si="2"/>
        <v>11011065.370000005</v>
      </c>
      <c r="K35" s="18">
        <v>0.1552</v>
      </c>
      <c r="L35" s="17"/>
      <c r="M35" s="17"/>
      <c r="N35" s="35"/>
    </row>
    <row r="36" spans="1:15" s="36" customFormat="1" ht="12" customHeight="1" x14ac:dyDescent="0.25">
      <c r="A36" s="12" t="s">
        <v>49</v>
      </c>
      <c r="B36" s="7" t="s">
        <v>50</v>
      </c>
      <c r="C36" s="14">
        <v>8664</v>
      </c>
      <c r="D36" s="7" t="s">
        <v>51</v>
      </c>
      <c r="E36" s="34" t="s">
        <v>53</v>
      </c>
      <c r="F36" s="34" t="s">
        <v>54</v>
      </c>
      <c r="G36" s="15">
        <v>923.51799976916004</v>
      </c>
      <c r="H36" s="15">
        <v>925.09126962142204</v>
      </c>
      <c r="I36" s="16">
        <f t="shared" si="1"/>
        <v>8001359.950000003</v>
      </c>
      <c r="J36" s="16">
        <f t="shared" si="2"/>
        <v>8014990.7600000007</v>
      </c>
      <c r="K36" s="18">
        <v>0.15545</v>
      </c>
      <c r="L36" s="17"/>
      <c r="M36" s="17">
        <v>8001359.9500000002</v>
      </c>
      <c r="N36" s="35"/>
    </row>
    <row r="37" spans="1:15" s="36" customFormat="1" ht="12" customHeight="1" x14ac:dyDescent="0.25">
      <c r="A37" s="12" t="s">
        <v>55</v>
      </c>
      <c r="B37" s="7" t="s">
        <v>56</v>
      </c>
      <c r="C37" s="14">
        <v>2178984</v>
      </c>
      <c r="D37" s="7" t="s">
        <v>51</v>
      </c>
      <c r="E37" s="34" t="s">
        <v>53</v>
      </c>
      <c r="F37" s="34" t="s">
        <v>54</v>
      </c>
      <c r="G37" s="15">
        <v>598.50289999834808</v>
      </c>
      <c r="H37" s="15">
        <v>599.52248658090207</v>
      </c>
      <c r="I37" s="16">
        <f t="shared" si="1"/>
        <v>1304128243.0500004</v>
      </c>
      <c r="J37" s="16">
        <f t="shared" si="2"/>
        <v>1306349905.9000003</v>
      </c>
      <c r="K37" s="18">
        <v>0.15545</v>
      </c>
      <c r="L37" s="17"/>
      <c r="M37" s="17">
        <v>1304128243.05</v>
      </c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1312129603</v>
      </c>
      <c r="N39" s="38">
        <v>1312129603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32234976105.03545</v>
      </c>
      <c r="C46" s="32">
        <v>32234976105.035477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63023.8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9"/>
    </row>
    <row r="55" spans="1:2" x14ac:dyDescent="0.25">
      <c r="A55" s="48" t="s">
        <v>40</v>
      </c>
      <c r="B55" s="50">
        <v>13842.369999999999</v>
      </c>
    </row>
    <row r="56" spans="1:2" x14ac:dyDescent="0.25">
      <c r="A56" s="48" t="s">
        <v>41</v>
      </c>
      <c r="B56" s="50">
        <v>6888.4400000000005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83754.61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2025-07-08T05:56:16Z</dcterms:created>
  <dcterms:modified xsi:type="dcterms:W3CDTF">2025-07-08T07:35:45Z</dcterms:modified>
</cp:coreProperties>
</file>