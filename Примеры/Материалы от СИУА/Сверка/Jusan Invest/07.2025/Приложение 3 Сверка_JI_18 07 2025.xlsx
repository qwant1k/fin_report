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1744296C-3B7E-4BC0-A8C1-FEE3EEF008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G44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46" i="1" s="1"/>
  <c r="K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</calcChain>
</file>

<file path=xl/sharedStrings.xml><?xml version="1.0" encoding="utf-8"?>
<sst xmlns="http://schemas.openxmlformats.org/spreadsheetml/2006/main" count="160" uniqueCount="119">
  <si>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</si>
  <si>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</si>
  <si>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</si>
  <si>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</si>
  <si>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</si>
  <si>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</si>
  <si>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</si>
  <si>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</si>
  <si>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</si>
  <si>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</si>
  <si>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</si>
  <si>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</si>
  <si>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</si>
  <si>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</si>
  <si>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</si>
  <si>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</si>
  <si>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</si>
  <si>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</si>
  <si>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</si>
  <si>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</si>
  <si>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</si>
  <si>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</si>
  <si>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</si>
  <si>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</si>
  <si>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</si>
  <si>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</si>
  <si>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</si>
  <si>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</si>
  <si>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</si>
  <si>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</si>
  <si>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</si>
  <si>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</si>
  <si>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</si>
  <si>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</si>
  <si>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</si>
  <si>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</si>
  <si>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</si>
  <si>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</si>
  <si>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</si>
  <si>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</si>
  <si>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</si>
  <si>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</si>
  <si>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</si>
  <si>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</si>
  <si>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</si>
  <si>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</si>
  <si>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</si>
  <si>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</si>
  <si>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</si>
  <si>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MUM180_0009</t>
  </si>
  <si>
    <t>KZKD00000717</t>
  </si>
  <si>
    <t>KZT</t>
  </si>
  <si>
    <t>18.07.2025</t>
  </si>
  <si>
    <t>21.07.2025</t>
  </si>
  <si>
    <t>МИНИСТЕРСТВО ФИНАНСОВ РК, ГЦБ, MUM156_0005</t>
  </si>
  <si>
    <t>KZKD00000758</t>
  </si>
  <si>
    <t>МИНИСТЕРСТВО ФИНАНСОВ РК, ГЦБ, MKM012_0161</t>
  </si>
  <si>
    <t>KZK100000423</t>
  </si>
  <si>
    <t>17.07.2025</t>
  </si>
  <si>
    <t>МИНИСТЕРСТВО ФИНАНСОВ РК, ГЦБ, MOM060_0054</t>
  </si>
  <si>
    <t>KZK200000737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</si>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</sst>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6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97.180500000000009</v>
      </c>
      <c r="J4" s="11">
        <v>102.426583333333</v>
      </c>
      <c r="K4" s="11">
        <v>158431716.66666701</v>
      </c>
      <c r="L4" s="11">
        <v>3093282816.666666</v>
      </c>
      <c r="M4" s="6">
        <f t="shared" ref="M4:M22" si="0">L4/$L$24</f>
        <v>0.10121893945483737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82.685600000000008</v>
      </c>
      <c r="J5" s="11">
        <v>92.942544444444437</v>
      </c>
      <c r="K5" s="11">
        <v>232319791.66666701</v>
      </c>
      <c r="L5" s="11">
        <v>2105148631.666666</v>
      </c>
      <c r="M5" s="6">
        <f t="shared" si="0"/>
        <v>6.8885040431485287E-2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82.685600000000008</v>
      </c>
      <c r="J6" s="11">
        <v>92.942544444444721</v>
      </c>
      <c r="K6" s="11">
        <v>159151468.19444501</v>
      </c>
      <c r="L6" s="11">
        <v>1442139273.1704481</v>
      </c>
      <c r="M6" s="6">
        <f t="shared" si="0"/>
        <v>4.7189932646954848E-2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82.685600000000008</v>
      </c>
      <c r="J7" s="11">
        <v>92.942544444444437</v>
      </c>
      <c r="K7" s="11">
        <v>55971325.277777784</v>
      </c>
      <c r="L7" s="11">
        <v>507180029.62977803</v>
      </c>
      <c r="M7" s="6">
        <f t="shared" si="0"/>
        <v>1.6596033325888788E-2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85.484099999999998</v>
      </c>
      <c r="J8" s="11">
        <v>88.257433333333324</v>
      </c>
      <c r="K8" s="11">
        <v>62815999.999999993</v>
      </c>
      <c r="L8" s="11">
        <v>1999030864.999999</v>
      </c>
      <c r="M8" s="6">
        <f t="shared" si="0"/>
        <v>6.5412636375366484E-2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84.364500000000007</v>
      </c>
      <c r="J9" s="11">
        <v>87.66449999999999</v>
      </c>
      <c r="K9" s="11">
        <v>74744999.999999985</v>
      </c>
      <c r="L9" s="11">
        <v>1985600924.999999</v>
      </c>
      <c r="M9" s="6">
        <f t="shared" si="0"/>
        <v>6.4973179537983941E-2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78.914600000000007</v>
      </c>
      <c r="J10" s="11">
        <v>82.376544444444434</v>
      </c>
      <c r="K10" s="11">
        <v>78413041.666666657</v>
      </c>
      <c r="L10" s="11">
        <v>1865828731.666666</v>
      </c>
      <c r="M10" s="6">
        <f t="shared" si="0"/>
        <v>6.1053972952650207E-2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70.242199999999997</v>
      </c>
      <c r="J11" s="11">
        <v>72.401644444444443</v>
      </c>
      <c r="K11" s="11">
        <v>48911416.666666657</v>
      </c>
      <c r="L11" s="11">
        <v>1639897246.666666</v>
      </c>
      <c r="M11" s="6">
        <f t="shared" si="0"/>
        <v>5.3661003522910269E-2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78.606300000000005</v>
      </c>
      <c r="J12" s="11">
        <v>89.019633333333331</v>
      </c>
      <c r="K12" s="11">
        <v>235862000</v>
      </c>
      <c r="L12" s="11">
        <v>2016294695</v>
      </c>
      <c r="M12" s="6">
        <f t="shared" si="0"/>
        <v>6.5977546429537265E-2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65.101600000000005</v>
      </c>
      <c r="J13" s="11">
        <v>66.581100000000006</v>
      </c>
      <c r="K13" s="11">
        <v>33510675</v>
      </c>
      <c r="L13" s="11">
        <v>1508061915</v>
      </c>
      <c r="M13" s="6">
        <f t="shared" si="0"/>
        <v>4.934706482255035E-2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63.952100000000002</v>
      </c>
      <c r="J14" s="11">
        <v>67.74051666666665</v>
      </c>
      <c r="K14" s="11">
        <v>85807637.5</v>
      </c>
      <c r="L14" s="11">
        <v>1534322702.5</v>
      </c>
      <c r="M14" s="6">
        <f t="shared" si="0"/>
        <v>5.0206374888114677E-2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83.106800000000007</v>
      </c>
      <c r="J15" s="11">
        <v>84.799549999999996</v>
      </c>
      <c r="K15" s="11">
        <v>63901312.5</v>
      </c>
      <c r="L15" s="11">
        <v>3201183012.5</v>
      </c>
      <c r="M15" s="6">
        <f t="shared" si="0"/>
        <v>0.10474966846880721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58.753600000000006</v>
      </c>
      <c r="J16" s="11">
        <v>60.03693333333333</v>
      </c>
      <c r="K16" s="11">
        <v>35982870</v>
      </c>
      <c r="L16" s="11">
        <v>1683351558.96</v>
      </c>
      <c r="M16" s="6">
        <f t="shared" si="0"/>
        <v>5.5082923103419335E-2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85.755900000000011</v>
      </c>
      <c r="J17" s="11">
        <v>90.122566666666657</v>
      </c>
      <c r="K17" s="11">
        <v>45346960</v>
      </c>
      <c r="L17" s="11">
        <v>935904830.32000005</v>
      </c>
      <c r="M17" s="6">
        <f t="shared" si="0"/>
        <v>3.0624840976465499E-2</v>
      </c>
    </row>
    <row r="18" spans="1:15" x14ac:dyDescent="0.25">
      <c r="A18" s="1" t="s">
        <v>59</v>
      </c>
      <c r="B18" s="13" t="s">
        <v>60</v>
      </c>
      <c r="C18" s="10">
        <v>506989</v>
      </c>
      <c r="D18" s="11">
        <v>506989000</v>
      </c>
      <c r="E18" s="3">
        <v>0.1535</v>
      </c>
      <c r="F18" s="4" t="s">
        <v>101</v>
      </c>
      <c r="G18" s="4" t="s">
        <v>102</v>
      </c>
      <c r="H18" s="11">
        <v>492216861.50999999</v>
      </c>
      <c r="I18" s="11">
        <v>96.977699999999999</v>
      </c>
      <c r="J18" s="11">
        <v>99.536033333333322</v>
      </c>
      <c r="K18" s="11">
        <v>12970468.58333333</v>
      </c>
      <c r="L18" s="11">
        <v>504636740.03633302</v>
      </c>
      <c r="M18" s="6">
        <f t="shared" si="0"/>
        <v>1.6512811360542459E-2</v>
      </c>
    </row>
    <row r="19" spans="1:15" x14ac:dyDescent="0.25">
      <c r="A19" s="1" t="s">
        <v>103</v>
      </c>
      <c r="B19" s="13" t="s">
        <v>104</v>
      </c>
      <c r="C19" s="10">
        <v>2100000</v>
      </c>
      <c r="D19" s="11">
        <v>2100000000</v>
      </c>
      <c r="E19" s="3">
        <v>0.14300000000000002</v>
      </c>
      <c r="F19" s="4" t="s">
        <v>105</v>
      </c>
      <c r="G19" s="4" t="s">
        <v>106</v>
      </c>
      <c r="H19" s="11">
        <v>2100000000</v>
      </c>
      <c r="I19" s="11">
        <v>93.962578288753889</v>
      </c>
      <c r="J19" s="11">
        <v>106.47507828875401</v>
      </c>
      <c r="K19" s="11">
        <v>262762500</v>
      </c>
      <c r="L19" s="11">
        <v>2235976644.0638309</v>
      </c>
      <c r="M19" s="6">
        <f t="shared" si="0"/>
        <v>7.3166017455143048E-2</v>
      </c>
    </row>
    <row r="20" spans="1:15" x14ac:dyDescent="0.25">
      <c r="A20" s="1" t="s">
        <v>107</v>
      </c>
      <c r="B20" s="13" t="s">
        <v>108</v>
      </c>
      <c r="C20" s="10">
        <v>1100000</v>
      </c>
      <c r="D20" s="11">
        <v>1100000000</v>
      </c>
      <c r="E20" s="3">
        <v>0.13870000000000002</v>
      </c>
      <c r="F20" s="4" t="s">
        <v>109</v>
      </c>
      <c r="G20" s="4" t="s">
        <v>110</v>
      </c>
      <c r="H20" s="11">
        <v>1100000000</v>
      </c>
      <c r="I20" s="11">
        <v>99.57480000000001</v>
      </c>
      <c r="J20" s="11">
        <v>104.506355555556</v>
      </c>
      <c r="K20" s="11">
        <v>54247111.111111112</v>
      </c>
      <c r="L20" s="11">
        <v>1149569911.1111109</v>
      </c>
      <c r="M20" s="6">
        <f t="shared" si="0"/>
        <v>3.7616426989772127E-2</v>
      </c>
    </row>
    <row r="21" spans="1:15" x14ac:dyDescent="0.25">
      <c r="A21" s="1" t="s">
        <v>111</v>
      </c>
      <c r="B21" s="13" t="s">
        <v>112</v>
      </c>
      <c r="C21" s="10">
        <v>1000000</v>
      </c>
      <c r="D21" s="11">
        <v>1000000000</v>
      </c>
      <c r="E21" s="3">
        <v>0.1389</v>
      </c>
      <c r="F21" s="4" t="s">
        <v>113</v>
      </c>
      <c r="G21" s="4" t="s">
        <v>114</v>
      </c>
      <c r="H21" s="11">
        <v>1000000000</v>
      </c>
      <c r="I21" s="11">
        <v>97.397859206173791</v>
      </c>
      <c r="J21" s="11">
        <v>99.327025872840451</v>
      </c>
      <c r="K21" s="11">
        <v>19291666.66666666</v>
      </c>
      <c r="L21" s="11">
        <v>993270258.728405</v>
      </c>
      <c r="M21" s="6">
        <f t="shared" si="0"/>
        <v>3.2501962523058585E-2</v>
      </c>
    </row>
    <row r="22" spans="1:15" x14ac:dyDescent="0.25">
      <c r="A22" s="1" t="s">
        <v>115</v>
      </c>
      <c r="B22" s="13" t="s">
        <v>116</v>
      </c>
      <c r="C22" s="10">
        <v>165739</v>
      </c>
      <c r="D22" s="11">
        <v>165739000</v>
      </c>
      <c r="E22" s="3">
        <v>0.125</v>
      </c>
      <c r="F22" s="4" t="s">
        <v>117</v>
      </c>
      <c r="G22" s="4" t="s">
        <v>118</v>
      </c>
      <c r="H22" s="11">
        <v>159596381.18279999</v>
      </c>
      <c r="I22" s="11">
        <v>95.067477905816091</v>
      </c>
      <c r="J22" s="11">
        <v>96.31747790580269</v>
      </c>
      <c r="K22" s="11">
        <v>2071737.49997778</v>
      </c>
      <c r="L22" s="11">
        <v>159635624.70629799</v>
      </c>
      <c r="M22" s="6">
        <f t="shared" si="0"/>
        <v>5.2236247345123143E-3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1722514698.9999793</v>
      </c>
      <c r="L24" s="22">
        <f>SUM(L4:L23)</f>
        <v>30560316412.392864</v>
      </c>
      <c r="M24" s="23"/>
      <c r="N24" s="26">
        <v>30560316412.392887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4196343.1100000003</v>
      </c>
      <c r="C27" s="51">
        <v>4196343.1100000003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1619800</v>
      </c>
      <c r="D32" s="7" t="s">
        <v>51</v>
      </c>
      <c r="E32" s="34" t="s">
        <v>52</v>
      </c>
      <c r="F32" s="34" t="s">
        <v>53</v>
      </c>
      <c r="G32" s="15">
        <v>802.97700000000009</v>
      </c>
      <c r="H32" s="15">
        <v>804.01316371774305</v>
      </c>
      <c r="I32" s="16">
        <f t="shared" ref="I32:I37" si="1">+C32*G32</f>
        <v>1300662144.6000001</v>
      </c>
      <c r="J32" s="16">
        <f t="shared" ref="J32:J37" si="2">+C32*H32</f>
        <v>1302340522.5900002</v>
      </c>
      <c r="K32" s="18">
        <v>0.156999</v>
      </c>
      <c r="L32" s="17"/>
      <c r="M32" s="17">
        <v>1300662144.5999999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24759</v>
      </c>
      <c r="D33" s="7" t="s">
        <v>51</v>
      </c>
      <c r="E33" s="34" t="s">
        <v>52</v>
      </c>
      <c r="F33" s="34" t="s">
        <v>53</v>
      </c>
      <c r="G33" s="15">
        <v>848.50799991922099</v>
      </c>
      <c r="H33" s="15">
        <v>849.60291691910004</v>
      </c>
      <c r="I33" s="16">
        <f t="shared" si="1"/>
        <v>21008209.569999993</v>
      </c>
      <c r="J33" s="16">
        <f t="shared" si="2"/>
        <v>21035318.619999997</v>
      </c>
      <c r="K33" s="18">
        <v>0.156999</v>
      </c>
      <c r="L33" s="17"/>
      <c r="M33" s="17">
        <v>21008209.57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14866800</v>
      </c>
      <c r="D34" s="7" t="s">
        <v>51</v>
      </c>
      <c r="E34" s="34" t="s">
        <v>58</v>
      </c>
      <c r="F34" s="34" t="s">
        <v>52</v>
      </c>
      <c r="G34" s="15">
        <v>87.443300000000008</v>
      </c>
      <c r="H34" s="15">
        <v>87.480792572712346</v>
      </c>
      <c r="I34" s="16">
        <f t="shared" si="1"/>
        <v>1300002052.4400001</v>
      </c>
      <c r="J34" s="16">
        <f t="shared" si="2"/>
        <v>1300559447.02</v>
      </c>
      <c r="K34" s="18">
        <v>0.156499</v>
      </c>
      <c r="L34" s="17">
        <v>557394.57999999996</v>
      </c>
      <c r="M34" s="17"/>
      <c r="N34" s="35"/>
    </row>
    <row r="35" spans="1:15" s="36" customFormat="1" ht="12" customHeight="1" x14ac:dyDescent="0.25">
      <c r="A35" s="12" t="s">
        <v>56</v>
      </c>
      <c r="B35" s="7" t="s">
        <v>57</v>
      </c>
      <c r="C35" s="14">
        <v>14866800</v>
      </c>
      <c r="D35" s="7" t="s">
        <v>51</v>
      </c>
      <c r="E35" s="34" t="s">
        <v>52</v>
      </c>
      <c r="F35" s="34" t="s">
        <v>52</v>
      </c>
      <c r="G35" s="15">
        <v>87.443300000000008</v>
      </c>
      <c r="H35" s="15">
        <v>87.480792572712346</v>
      </c>
      <c r="I35" s="16">
        <f t="shared" si="1"/>
        <v>1300002052.4400001</v>
      </c>
      <c r="J35" s="16">
        <f t="shared" si="2"/>
        <v>1300559447.02</v>
      </c>
      <c r="K35" s="18">
        <v>0.156499</v>
      </c>
      <c r="L35" s="17"/>
      <c r="M35" s="17"/>
      <c r="N35" s="35"/>
    </row>
    <row r="36" spans="1:15" s="36" customFormat="1" ht="12" customHeight="1" x14ac:dyDescent="0.25">
      <c r="A36" s="12" t="s">
        <v>59</v>
      </c>
      <c r="B36" s="7" t="s">
        <v>60</v>
      </c>
      <c r="C36" s="14">
        <v>22110</v>
      </c>
      <c r="D36" s="7" t="s">
        <v>51</v>
      </c>
      <c r="E36" s="34" t="s">
        <v>58</v>
      </c>
      <c r="F36" s="34" t="s">
        <v>52</v>
      </c>
      <c r="G36" s="15">
        <v>995.09</v>
      </c>
      <c r="H36" s="15">
        <v>995.51665897783801</v>
      </c>
      <c r="I36" s="16">
        <f t="shared" si="1"/>
        <v>22001439.900000002</v>
      </c>
      <c r="J36" s="16">
        <f t="shared" si="2"/>
        <v>22010873.329999998</v>
      </c>
      <c r="K36" s="18">
        <v>0.156499</v>
      </c>
      <c r="L36" s="17">
        <v>9433.43</v>
      </c>
      <c r="M36" s="17"/>
      <c r="N36" s="35"/>
    </row>
    <row r="37" spans="1:15" s="36" customFormat="1" ht="12" customHeight="1" x14ac:dyDescent="0.25">
      <c r="A37" s="12" t="s">
        <v>59</v>
      </c>
      <c r="B37" s="7" t="s">
        <v>60</v>
      </c>
      <c r="C37" s="14">
        <v>22110</v>
      </c>
      <c r="D37" s="7" t="s">
        <v>51</v>
      </c>
      <c r="E37" s="34" t="s">
        <v>52</v>
      </c>
      <c r="F37" s="34" t="s">
        <v>52</v>
      </c>
      <c r="G37" s="15">
        <v>995.09</v>
      </c>
      <c r="H37" s="15">
        <v>995.51665897783801</v>
      </c>
      <c r="I37" s="16">
        <f t="shared" si="1"/>
        <v>22001439.900000002</v>
      </c>
      <c r="J37" s="16">
        <f t="shared" si="2"/>
        <v>22010873.329999998</v>
      </c>
      <c r="K37" s="18">
        <v>0.156499</v>
      </c>
      <c r="L37" s="17"/>
      <c r="M37" s="17"/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1321670354.1699998</v>
      </c>
      <c r="N39" s="38">
        <v>1321670354.1699998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31886183109.672863</v>
      </c>
      <c r="C46" s="32">
        <v>31886183109.672886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266834.75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39710.540000000008</v>
      </c>
    </row>
    <row r="56" spans="1:2" x14ac:dyDescent="0.25">
      <c r="A56" s="48" t="s">
        <v>41</v>
      </c>
      <c r="B56" s="50">
        <v>19761.400000000001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326306.69000000006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2025-07-21T06:45:39Z</dcterms:created>
  <dcterms:modified xsi:type="dcterms:W3CDTF">2025-07-21T10:32:58Z</dcterms:modified>
</cp:coreProperties>
</file>