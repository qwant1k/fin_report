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A39F551A-6D6C-40AA-B39B-D781B75B90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O35" i="1"/>
  <c r="O24" i="1"/>
  <c r="D27" i="1"/>
  <c r="B56" i="1"/>
  <c r="B42" i="1"/>
  <c r="G40" i="1"/>
  <c r="M35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<sst xmlns="http://schemas.openxmlformats.org/spreadsheetml/2006/main" count="140" uniqueCount="117">
  <si>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</si>
  <si>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</si>
  <si>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</si>
  <si>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</si>
  <si>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</si>
  <si>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</si>
  <si>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</si>
  <si>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</si>
  <si>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</si>
  <si>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</si>
  <si>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</si>
  <si>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</si>
  <si>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</si>
  <si>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</si>
  <si>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</si>
  <si>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</si>
  <si>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</si>
  <si>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</si>
  <si>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</si>
  <si>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</si>
  <si>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</si>
  <si>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</si>
  <si>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</si>
  <si>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</si>
  <si>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</si>
  <si>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</si>
  <si>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</si>
  <si>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</si>
  <si>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</si>
  <si>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</si>
  <si>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</si>
  <si>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</si>
  <si>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</si>
  <si>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</si>
  <si>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</si>
  <si>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</si>
  <si>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</si>
  <si>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</si>
  <si>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</si>
  <si>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</si>
  <si>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</si>
  <si>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</si>
  <si>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</si>
  <si>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</si>
  <si>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</si>
  <si>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</si>
  <si>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</si>
  <si>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</si>
  <si>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</si>
  <si>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</si>
  <si>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</si>
  <si>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</si>
  <si>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04.07.2025</t>
  </si>
  <si>
    <t>08.07.2025</t>
  </si>
  <si>
    <t>МИНИСТЕРСТВО ФИНАНСОВ РК, ОБЛИГАЦИИ, KZ_14_2609</t>
  </si>
  <si>
    <t>XS2050933899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</si>
  <si>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</si>
  <si>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</si>
  <si>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</si>
  <si>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</si>
  <si>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</si>
  <si>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</si>
  <si>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</si>
  <si>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</si>
  <si>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</si>
  <si>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</si>
  <si>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</si>
  <si>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</si>
  <si>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</si>
  <si>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</si>
  <si>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</si>
  <si>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</si>
  <si>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</si>
  <si>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</si>
  <si>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</si>
  <si>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</si>
  <si>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</si>
  <si>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</si>
  <si>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</si>
  <si>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</si>
  <si>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</si>
  <si>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</si>
  <si>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</si>
  <si>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</si>
  <si>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</si>
  <si>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</si>
  <si>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</si>
  <si>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</si>
  <si>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</si>
  <si>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</si>
  <si>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</si>
  <si>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</si>
  <si>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</si>
  <si>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</si>
  <si>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</si>
  <si>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</si>
  <si>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</si>
  <si>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</si>
  <si>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</si>
  <si>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</si>
  <si>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</si>
  <si>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</si>
  <si>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</si>
  <si>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</si>
  <si>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</si>
  <si>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</si>
  <si>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</si>
  <si>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</si>
  <si>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</si>
  <si>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</si>
  <si>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</si>
  <si>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</si>
  <si>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</si>
  <si>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</si>
  <si>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</si>
  <si>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</si>
  <si>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05.07.2025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</si>
</sst>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6" zoomScale="90" zoomScaleNormal="90" workbookViewId="0">
      <selection activeCell="D43" sqref="D4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97.051700000000011</v>
      </c>
      <c r="J4" s="11">
        <v>101.91247777777801</v>
      </c>
      <c r="K4" s="11">
        <v>146795488.88888901</v>
      </c>
      <c r="L4" s="11">
        <v>3077756828.8888879</v>
      </c>
      <c r="M4" s="6">
        <f t="shared" ref="M4:M22" si="0">L4/$L$24</f>
        <v>9.9518017129130304E-2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84.138400000000004</v>
      </c>
      <c r="J5" s="11">
        <v>94.014372222222221</v>
      </c>
      <c r="K5" s="11">
        <v>223690770.83333299</v>
      </c>
      <c r="L5" s="11">
        <v>2129425530.833333</v>
      </c>
      <c r="M5" s="6">
        <f t="shared" si="0"/>
        <v>6.8854109741081679E-2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84.138400000000004</v>
      </c>
      <c r="J6" s="11">
        <v>94.014372222222491</v>
      </c>
      <c r="K6" s="11">
        <v>153240127.94722301</v>
      </c>
      <c r="L6" s="11">
        <v>1458770246.0112259</v>
      </c>
      <c r="M6" s="6">
        <f t="shared" si="0"/>
        <v>4.7168743471660356E-2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84.138400000000004</v>
      </c>
      <c r="J7" s="11">
        <v>94.014372222222221</v>
      </c>
      <c r="K7" s="11">
        <v>53892390.338888891</v>
      </c>
      <c r="L7" s="11">
        <v>513028908.06688899</v>
      </c>
      <c r="M7" s="6">
        <f t="shared" si="0"/>
        <v>1.658858139197808E-2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86.352800000000002</v>
      </c>
      <c r="J8" s="11">
        <v>88.750577777777764</v>
      </c>
      <c r="K8" s="11">
        <v>54309666.666666657</v>
      </c>
      <c r="L8" s="11">
        <v>2010200586.666666</v>
      </c>
      <c r="M8" s="6">
        <f t="shared" si="0"/>
        <v>6.4999019590869442E-2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85.729300000000009</v>
      </c>
      <c r="J9" s="11">
        <v>88.632077777777766</v>
      </c>
      <c r="K9" s="11">
        <v>65747916.666666657</v>
      </c>
      <c r="L9" s="11">
        <v>2007516561.666666</v>
      </c>
      <c r="M9" s="6">
        <f t="shared" si="0"/>
        <v>6.491223273252579E-2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81.055500000000009</v>
      </c>
      <c r="J10" s="11">
        <v>84.145499999999998</v>
      </c>
      <c r="K10" s="11">
        <v>69988500</v>
      </c>
      <c r="L10" s="11">
        <v>1905895575</v>
      </c>
      <c r="M10" s="6">
        <f t="shared" si="0"/>
        <v>6.1626359398788966E-2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72.584699999999998</v>
      </c>
      <c r="J11" s="11">
        <v>74.439005555555553</v>
      </c>
      <c r="K11" s="11">
        <v>42000020.833333328</v>
      </c>
      <c r="L11" s="11">
        <v>1686043475.833333</v>
      </c>
      <c r="M11" s="6">
        <f t="shared" si="0"/>
        <v>5.4517531058168464E-2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81.188100000000006</v>
      </c>
      <c r="J12" s="11">
        <v>91.216849999999994</v>
      </c>
      <c r="K12" s="11">
        <v>227151187.5</v>
      </c>
      <c r="L12" s="11">
        <v>2066061652.5</v>
      </c>
      <c r="M12" s="6">
        <f t="shared" si="0"/>
        <v>6.6805264468396089E-2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67.881500000000003</v>
      </c>
      <c r="J13" s="11">
        <v>69.069583333333327</v>
      </c>
      <c r="K13" s="11">
        <v>26910087.5</v>
      </c>
      <c r="L13" s="11">
        <v>1564426062.5</v>
      </c>
      <c r="M13" s="6">
        <f t="shared" si="0"/>
        <v>5.0585081389077309E-2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66.842500000000001</v>
      </c>
      <c r="J14" s="11">
        <v>70.339500000000001</v>
      </c>
      <c r="K14" s="11">
        <v>79207050</v>
      </c>
      <c r="L14" s="11">
        <v>1593189675</v>
      </c>
      <c r="M14" s="6">
        <f t="shared" si="0"/>
        <v>5.151514111783894E-2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83.278900000000007</v>
      </c>
      <c r="J15" s="11">
        <v>84.773400000000009</v>
      </c>
      <c r="K15" s="11">
        <v>56417375</v>
      </c>
      <c r="L15" s="11">
        <v>3200195850</v>
      </c>
      <c r="M15" s="6">
        <f t="shared" si="0"/>
        <v>0.10347703315204609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60.8371</v>
      </c>
      <c r="J16" s="11">
        <v>61.921822222222218</v>
      </c>
      <c r="K16" s="11">
        <v>30414092.5</v>
      </c>
      <c r="L16" s="11">
        <v>1736201204.5599999</v>
      </c>
      <c r="M16" s="6">
        <f t="shared" si="0"/>
        <v>5.6139360846579896E-2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87.593800000000002</v>
      </c>
      <c r="J17" s="11">
        <v>91.527133333333325</v>
      </c>
      <c r="K17" s="11">
        <v>40846880</v>
      </c>
      <c r="L17" s="11">
        <v>950490974.24000001</v>
      </c>
      <c r="M17" s="6">
        <f t="shared" si="0"/>
        <v>3.0733739640388905E-2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97.798700000000011</v>
      </c>
      <c r="J18" s="11">
        <v>99.802727777777761</v>
      </c>
      <c r="K18" s="11">
        <v>10160200.390277769</v>
      </c>
      <c r="L18" s="11">
        <v>505988851.53327799</v>
      </c>
      <c r="M18" s="6">
        <f t="shared" si="0"/>
        <v>1.6360944023058693E-2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94.299034271423693</v>
      </c>
      <c r="J19" s="11">
        <v>106.29514538253501</v>
      </c>
      <c r="K19" s="11">
        <v>251918333.33333299</v>
      </c>
      <c r="L19" s="11">
        <v>2232198053.0332308</v>
      </c>
      <c r="M19" s="6">
        <f t="shared" si="0"/>
        <v>7.2177217508626032E-2</v>
      </c>
    </row>
    <row r="20" spans="1:15" x14ac:dyDescent="0.25">
      <c r="A20" s="1" t="s">
        <v>104</v>
      </c>
      <c r="B20" s="13" t="s">
        <v>105</v>
      </c>
      <c r="C20" s="10">
        <v>1100000</v>
      </c>
      <c r="D20" s="11">
        <v>1100000000</v>
      </c>
      <c r="E20" s="3">
        <v>0.13870000000000002</v>
      </c>
      <c r="F20" s="4" t="s">
        <v>106</v>
      </c>
      <c r="G20" s="4" t="s">
        <v>107</v>
      </c>
      <c r="H20" s="11">
        <v>1100000000</v>
      </c>
      <c r="I20" s="11">
        <v>99.472100000000012</v>
      </c>
      <c r="J20" s="11">
        <v>103.902794444444</v>
      </c>
      <c r="K20" s="11">
        <v>48737638.888888881</v>
      </c>
      <c r="L20" s="11">
        <v>1142930738.8888879</v>
      </c>
      <c r="M20" s="6">
        <f t="shared" si="0"/>
        <v>3.6956201277024335E-2</v>
      </c>
    </row>
    <row r="21" spans="1:15" x14ac:dyDescent="0.25">
      <c r="A21" s="1" t="s">
        <v>108</v>
      </c>
      <c r="B21" s="13" t="s">
        <v>109</v>
      </c>
      <c r="C21" s="10">
        <v>1000000</v>
      </c>
      <c r="D21" s="11">
        <v>1000000000</v>
      </c>
      <c r="E21" s="3">
        <v>0.1389</v>
      </c>
      <c r="F21" s="4" t="s">
        <v>110</v>
      </c>
      <c r="G21" s="4" t="s">
        <v>111</v>
      </c>
      <c r="H21" s="11">
        <v>1000000000</v>
      </c>
      <c r="I21" s="11">
        <v>97.266789203725097</v>
      </c>
      <c r="J21" s="11">
        <v>98.694372537058427</v>
      </c>
      <c r="K21" s="11">
        <v>14275833.33333333</v>
      </c>
      <c r="L21" s="11">
        <v>986943725.37058401</v>
      </c>
      <c r="M21" s="6">
        <f t="shared" si="0"/>
        <v>3.1912424544071512E-2</v>
      </c>
    </row>
    <row r="22" spans="1:15" x14ac:dyDescent="0.25">
      <c r="A22" s="1" t="s">
        <v>112</v>
      </c>
      <c r="B22" s="13" t="s">
        <v>113</v>
      </c>
      <c r="C22" s="10">
        <v>165739</v>
      </c>
      <c r="D22" s="11">
        <v>165739000</v>
      </c>
      <c r="E22" s="3">
        <v>0.125</v>
      </c>
      <c r="F22" s="4" t="s">
        <v>114</v>
      </c>
      <c r="G22" s="4" t="s">
        <v>115</v>
      </c>
      <c r="H22" s="11">
        <v>159596381.18279999</v>
      </c>
      <c r="I22" s="11">
        <v>95.355489176415006</v>
      </c>
      <c r="J22" s="11">
        <v>96.154100287512691</v>
      </c>
      <c r="K22" s="11">
        <v>1323610.0694222201</v>
      </c>
      <c r="L22" s="11">
        <v>159364844.27552101</v>
      </c>
      <c r="M22" s="6">
        <f t="shared" si="0"/>
        <v>5.1529975186889732E-3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1597027170.6902559</v>
      </c>
      <c r="L24" s="22">
        <f>SUM(L4:L23)</f>
        <v>30926629344.868507</v>
      </c>
      <c r="M24" s="23"/>
      <c r="N24" s="26">
        <v>30926629344.86853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5870043.96</v>
      </c>
      <c r="C27" s="51">
        <v>5870043.96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8664</v>
      </c>
      <c r="D32" s="7" t="s">
        <v>51</v>
      </c>
      <c r="E32" s="34" t="s">
        <v>52</v>
      </c>
      <c r="F32" s="34" t="s">
        <v>53</v>
      </c>
      <c r="G32" s="15">
        <v>923.51799976916004</v>
      </c>
      <c r="H32" s="15">
        <v>925.09126962142204</v>
      </c>
      <c r="I32" s="16">
        <f>+C32*G32</f>
        <v>8001359.950000003</v>
      </c>
      <c r="J32" s="16">
        <f>+C32*H32</f>
        <v>8014990.7600000007</v>
      </c>
      <c r="K32" s="18">
        <v>0.15545</v>
      </c>
      <c r="L32" s="17">
        <v>3407.7025000000003</v>
      </c>
      <c r="M32" s="17">
        <v>8004767.6524999999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2178984</v>
      </c>
      <c r="D33" s="7" t="s">
        <v>51</v>
      </c>
      <c r="E33" s="34" t="s">
        <v>52</v>
      </c>
      <c r="F33" s="34" t="s">
        <v>53</v>
      </c>
      <c r="G33" s="15">
        <v>598.50289999834808</v>
      </c>
      <c r="H33" s="15">
        <v>599.52248658090207</v>
      </c>
      <c r="I33" s="16">
        <f>+C33*G33</f>
        <v>1304128243.0500004</v>
      </c>
      <c r="J33" s="16">
        <f>+C33*H33</f>
        <v>1306349905.9000003</v>
      </c>
      <c r="K33" s="18">
        <v>0.15545</v>
      </c>
      <c r="L33" s="17">
        <v>555415.71250000002</v>
      </c>
      <c r="M33" s="17">
        <v>1304683658.7625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1312688426.415</v>
      </c>
      <c r="N35" s="38">
        <v>1312688426.415</v>
      </c>
      <c r="O35" s="29">
        <f>M35-N35</f>
        <v>0</v>
      </c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32245187815.243507</v>
      </c>
      <c r="C42" s="32">
        <v>32245187815.24353</v>
      </c>
      <c r="D42" s="29">
        <f>B42-C42</f>
        <v>0</v>
      </c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76275.25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13842.369999999999</v>
      </c>
    </row>
    <row r="52" spans="1:2" x14ac:dyDescent="0.25">
      <c r="A52" s="48" t="s">
        <v>41</v>
      </c>
      <c r="B52" s="50">
        <v>6888.4400000000005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97006.06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2025-07-08T06:03:45Z</dcterms:created>
  <dcterms:modified xsi:type="dcterms:W3CDTF">2025-07-08T07:53:00Z</dcterms:modified>
</cp:coreProperties>
</file>