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4DCCA7F5-C981-41D6-BBED-BF335109C8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O35" i="1"/>
  <c r="O24" i="1"/>
  <c r="D27" i="1"/>
  <c r="B56" i="1"/>
  <c r="G40" i="1"/>
  <c r="M35" i="1"/>
  <c r="J33" i="1"/>
  <c r="I33" i="1"/>
  <c r="J32" i="1"/>
  <c r="I32" i="1"/>
  <c r="L24" i="1"/>
  <c r="B42" i="1" s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<sst xmlns="http://schemas.openxmlformats.org/spreadsheetml/2006/main" count="140" uniqueCount="117">
  <si>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</si>
  <si>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</si>
  <si>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</si>
  <si>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</si>
  <si>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</si>
  <si>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</si>
  <si>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</si>
  <si>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</si>
  <si>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</si>
  <si>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</si>
  <si>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</si>
  <si>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</si>
  <si>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</si>
  <si>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</si>
  <si>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</si>
  <si>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</si>
  <si>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</si>
  <si>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</si>
  <si>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</si>
  <si>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</si>
  <si>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</si>
  <si>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</si>
  <si>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</si>
  <si>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</si>
  <si>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</si>
  <si>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</si>
  <si>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</si>
  <si>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</si>
  <si>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</si>
  <si>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</si>
  <si>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</si>
  <si>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</si>
  <si>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</si>
  <si>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</si>
  <si>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</si>
  <si>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</si>
  <si>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</si>
  <si>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</si>
  <si>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</si>
  <si>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</si>
  <si>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</si>
  <si>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</si>
  <si>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</si>
  <si>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</si>
  <si>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</si>
  <si>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</si>
  <si>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</si>
  <si>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</si>
  <si>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</si>
  <si>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MUM180_0009</t>
  </si>
  <si>
    <t>KZKD00000717</t>
  </si>
  <si>
    <t>KZT</t>
  </si>
  <si>
    <t>18.07.2025</t>
  </si>
  <si>
    <t>21.07.2025</t>
  </si>
  <si>
    <t>МИНИСТЕРСТВО ФИНАНСОВ РК, ГЦБ, MUM156_0005</t>
  </si>
  <si>
    <t>KZKD00000758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</si>
  <si>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</si>
  <si>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</si>
  <si>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</si>
  <si>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</si>
  <si>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</si>
  <si>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</si>
  <si>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</si>
  <si>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</si>
  <si>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</si>
  <si>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</si>
  <si>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</si>
  <si>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</si>
  <si>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</si>
  <si>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</si>
  <si>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</si>
  <si>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</si>
  <si>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</si>
  <si>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</si>
  <si>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</si>
  <si>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</si>
  <si>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</si>
  <si>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</si>
  <si>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</si>
  <si>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</si>
  <si>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</si>
  <si>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</si>
  <si>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</si>
  <si>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</si>
  <si>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</si>
  <si>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</si>
  <si>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</si>
  <si>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</si>
  <si>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</si>
  <si>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</si>
  <si>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</si>
  <si>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</si>
  <si>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</si>
  <si>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</si>
  <si>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</si>
  <si>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</si>
  <si>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</si>
  <si>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</si>
  <si>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</si>
  <si>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</si>
  <si>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</si>
  <si>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</si>
  <si>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</si>
  <si>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</si>
  <si>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</si>
  <si>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</si>
  <si>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</si>
  <si>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</si>
  <si>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</si>
  <si>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</si>
  <si>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</si>
  <si>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</si>
  <si>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</si>
  <si>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</si>
  <si>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</si>
  <si>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</si>
  <si>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19.07.2025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</si>
</sst>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topLeftCell="A21" zoomScale="90" zoomScaleNormal="90" workbookViewId="0">
      <selection activeCell="D43" sqref="D4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116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56</v>
      </c>
      <c r="B4" s="13" t="s">
        <v>57</v>
      </c>
      <c r="C4" s="10">
        <v>3020000</v>
      </c>
      <c r="D4" s="11">
        <v>3020000000</v>
      </c>
      <c r="E4" s="3">
        <v>0.1067</v>
      </c>
      <c r="F4" s="4" t="s">
        <v>58</v>
      </c>
      <c r="G4" s="4" t="s">
        <v>59</v>
      </c>
      <c r="H4" s="11">
        <v>2930617060.0000029</v>
      </c>
      <c r="I4" s="11">
        <v>97.180500000000009</v>
      </c>
      <c r="J4" s="11">
        <v>102.45622222222201</v>
      </c>
      <c r="K4" s="11">
        <v>159326811.11111099</v>
      </c>
      <c r="L4" s="11">
        <v>3094177911.1111112</v>
      </c>
      <c r="M4" s="6">
        <f t="shared" ref="M4:M22" si="0">L4/$L$24</f>
        <v>0.10121625837529084</v>
      </c>
    </row>
    <row r="5" spans="1:13" x14ac:dyDescent="0.25">
      <c r="A5" s="1" t="s">
        <v>60</v>
      </c>
      <c r="B5" s="13" t="s">
        <v>61</v>
      </c>
      <c r="C5" s="10">
        <v>2265000</v>
      </c>
      <c r="D5" s="11">
        <v>2265000000</v>
      </c>
      <c r="E5" s="3">
        <v>0.10550000000000001</v>
      </c>
      <c r="F5" s="4" t="s">
        <v>58</v>
      </c>
      <c r="G5" s="4" t="s">
        <v>62</v>
      </c>
      <c r="H5" s="11">
        <v>2039188560.0000031</v>
      </c>
      <c r="I5" s="11">
        <v>82.685600000000008</v>
      </c>
      <c r="J5" s="11">
        <v>92.971849999999989</v>
      </c>
      <c r="K5" s="11">
        <v>232983562.5</v>
      </c>
      <c r="L5" s="11">
        <v>2105812402.499999</v>
      </c>
      <c r="M5" s="6">
        <f t="shared" si="0"/>
        <v>6.8885002202343615E-2</v>
      </c>
    </row>
    <row r="6" spans="1:13" x14ac:dyDescent="0.25">
      <c r="A6" s="1" t="s">
        <v>60</v>
      </c>
      <c r="B6" s="13" t="s">
        <v>61</v>
      </c>
      <c r="C6" s="10">
        <v>1551646</v>
      </c>
      <c r="D6" s="11">
        <v>1551646000</v>
      </c>
      <c r="E6" s="3">
        <v>0.10550000000000001</v>
      </c>
      <c r="F6" s="4" t="s">
        <v>63</v>
      </c>
      <c r="G6" s="4" t="s">
        <v>62</v>
      </c>
      <c r="H6" s="11">
        <v>1395452658.7</v>
      </c>
      <c r="I6" s="11">
        <v>82.685600000000008</v>
      </c>
      <c r="J6" s="11">
        <v>92.971850000000273</v>
      </c>
      <c r="K6" s="11">
        <v>159606186.67500001</v>
      </c>
      <c r="L6" s="11">
        <v>1442593991.6510041</v>
      </c>
      <c r="M6" s="6">
        <f t="shared" si="0"/>
        <v>4.7189906457950556E-2</v>
      </c>
    </row>
    <row r="7" spans="1:13" x14ac:dyDescent="0.25">
      <c r="A7" s="1" t="s">
        <v>60</v>
      </c>
      <c r="B7" s="13" t="s">
        <v>61</v>
      </c>
      <c r="C7" s="10">
        <v>545692</v>
      </c>
      <c r="D7" s="11">
        <v>545692000</v>
      </c>
      <c r="E7" s="3">
        <v>0.10550000000000001</v>
      </c>
      <c r="F7" s="4" t="s">
        <v>64</v>
      </c>
      <c r="G7" s="4" t="s">
        <v>62</v>
      </c>
      <c r="H7" s="11">
        <v>449784993.92000002</v>
      </c>
      <c r="I7" s="11">
        <v>82.685600000000008</v>
      </c>
      <c r="J7" s="11">
        <v>92.971849999999989</v>
      </c>
      <c r="K7" s="11">
        <v>56131243.350000009</v>
      </c>
      <c r="L7" s="11">
        <v>507339947.70200002</v>
      </c>
      <c r="M7" s="6">
        <f t="shared" si="0"/>
        <v>1.6596024115585566E-2</v>
      </c>
    </row>
    <row r="8" spans="1:13" x14ac:dyDescent="0.25">
      <c r="A8" s="1" t="s">
        <v>65</v>
      </c>
      <c r="B8" s="13" t="s">
        <v>66</v>
      </c>
      <c r="C8" s="10">
        <v>2265000</v>
      </c>
      <c r="D8" s="11">
        <v>2265000000</v>
      </c>
      <c r="E8" s="3">
        <v>0.10400000000000001</v>
      </c>
      <c r="F8" s="4" t="s">
        <v>58</v>
      </c>
      <c r="G8" s="4" t="s">
        <v>67</v>
      </c>
      <c r="H8" s="11">
        <v>2073109200</v>
      </c>
      <c r="I8" s="11">
        <v>85.484099999999998</v>
      </c>
      <c r="J8" s="11">
        <v>88.286322222222211</v>
      </c>
      <c r="K8" s="11">
        <v>63470333.333333328</v>
      </c>
      <c r="L8" s="11">
        <v>1999685198.333333</v>
      </c>
      <c r="M8" s="6">
        <f t="shared" si="0"/>
        <v>6.5413385887390624E-2</v>
      </c>
    </row>
    <row r="9" spans="1:13" x14ac:dyDescent="0.25">
      <c r="A9" s="1" t="s">
        <v>68</v>
      </c>
      <c r="B9" s="13" t="s">
        <v>69</v>
      </c>
      <c r="C9" s="10">
        <v>2265000</v>
      </c>
      <c r="D9" s="11">
        <v>2265000000</v>
      </c>
      <c r="E9" s="3">
        <v>0.11</v>
      </c>
      <c r="F9" s="4" t="s">
        <v>58</v>
      </c>
      <c r="G9" s="4" t="s">
        <v>70</v>
      </c>
      <c r="H9" s="11">
        <v>2080889475</v>
      </c>
      <c r="I9" s="11">
        <v>84.364500000000007</v>
      </c>
      <c r="J9" s="11">
        <v>87.695055555555541</v>
      </c>
      <c r="K9" s="11">
        <v>75437083.333333328</v>
      </c>
      <c r="L9" s="11">
        <v>1986293008.333333</v>
      </c>
      <c r="M9" s="6">
        <f t="shared" si="0"/>
        <v>6.4975302686556116E-2</v>
      </c>
    </row>
    <row r="10" spans="1:13" x14ac:dyDescent="0.25">
      <c r="A10" s="1" t="s">
        <v>71</v>
      </c>
      <c r="B10" s="13" t="s">
        <v>72</v>
      </c>
      <c r="C10" s="10">
        <v>2265000</v>
      </c>
      <c r="D10" s="11">
        <v>2265000000</v>
      </c>
      <c r="E10" s="3">
        <v>0.10300000000000001</v>
      </c>
      <c r="F10" s="4" t="s">
        <v>58</v>
      </c>
      <c r="G10" s="4" t="s">
        <v>73</v>
      </c>
      <c r="H10" s="11">
        <v>1963990560.0000031</v>
      </c>
      <c r="I10" s="11">
        <v>78.914600000000007</v>
      </c>
      <c r="J10" s="11">
        <v>82.405155555555552</v>
      </c>
      <c r="K10" s="11">
        <v>79061083.333333328</v>
      </c>
      <c r="L10" s="11">
        <v>1866476773.333333</v>
      </c>
      <c r="M10" s="6">
        <f t="shared" si="0"/>
        <v>6.1055892960384398E-2</v>
      </c>
    </row>
    <row r="11" spans="1:13" x14ac:dyDescent="0.25">
      <c r="A11" s="1" t="s">
        <v>74</v>
      </c>
      <c r="B11" s="13" t="s">
        <v>75</v>
      </c>
      <c r="C11" s="10">
        <v>2265000</v>
      </c>
      <c r="D11" s="11">
        <v>2265000000</v>
      </c>
      <c r="E11" s="3">
        <v>8.4500000000000006E-2</v>
      </c>
      <c r="F11" s="4" t="s">
        <v>58</v>
      </c>
      <c r="G11" s="4" t="s">
        <v>76</v>
      </c>
      <c r="H11" s="11">
        <v>1740247065.0000031</v>
      </c>
      <c r="I11" s="11">
        <v>70.242199999999997</v>
      </c>
      <c r="J11" s="11">
        <v>72.425116666666653</v>
      </c>
      <c r="K11" s="11">
        <v>49443062.499999993</v>
      </c>
      <c r="L11" s="11">
        <v>1640428892.499999</v>
      </c>
      <c r="M11" s="6">
        <f t="shared" si="0"/>
        <v>5.3661450439980767E-2</v>
      </c>
    </row>
    <row r="12" spans="1:13" x14ac:dyDescent="0.25">
      <c r="A12" s="1" t="s">
        <v>77</v>
      </c>
      <c r="B12" s="13" t="s">
        <v>78</v>
      </c>
      <c r="C12" s="10">
        <v>2265000</v>
      </c>
      <c r="D12" s="11">
        <v>2265000000</v>
      </c>
      <c r="E12" s="3">
        <v>0.10650000000000001</v>
      </c>
      <c r="F12" s="4" t="s">
        <v>58</v>
      </c>
      <c r="G12" s="4" t="s">
        <v>79</v>
      </c>
      <c r="H12" s="11">
        <v>1967775375</v>
      </c>
      <c r="I12" s="11">
        <v>78.606300000000005</v>
      </c>
      <c r="J12" s="11">
        <v>89.049216666666652</v>
      </c>
      <c r="K12" s="11">
        <v>236532062.5</v>
      </c>
      <c r="L12" s="11">
        <v>2016964757.5</v>
      </c>
      <c r="M12" s="6">
        <f t="shared" si="0"/>
        <v>6.5978632093481093E-2</v>
      </c>
    </row>
    <row r="13" spans="1:13" x14ac:dyDescent="0.25">
      <c r="A13" s="1" t="s">
        <v>80</v>
      </c>
      <c r="B13" s="13" t="s">
        <v>81</v>
      </c>
      <c r="C13" s="10">
        <v>2265000</v>
      </c>
      <c r="D13" s="11">
        <v>2265000000</v>
      </c>
      <c r="E13" s="3">
        <v>8.0700000000000008E-2</v>
      </c>
      <c r="F13" s="4" t="s">
        <v>58</v>
      </c>
      <c r="G13" s="4" t="s">
        <v>82</v>
      </c>
      <c r="H13" s="11">
        <v>1622351550</v>
      </c>
      <c r="I13" s="11">
        <v>65.101600000000005</v>
      </c>
      <c r="J13" s="11">
        <v>66.603516666666664</v>
      </c>
      <c r="K13" s="11">
        <v>34018412.5</v>
      </c>
      <c r="L13" s="11">
        <v>1508569652.5</v>
      </c>
      <c r="M13" s="6">
        <f t="shared" si="0"/>
        <v>4.9348091839273557E-2</v>
      </c>
    </row>
    <row r="14" spans="1:13" x14ac:dyDescent="0.25">
      <c r="A14" s="1" t="s">
        <v>83</v>
      </c>
      <c r="B14" s="13" t="s">
        <v>84</v>
      </c>
      <c r="C14" s="10">
        <v>2265000</v>
      </c>
      <c r="D14" s="11">
        <v>2265000000</v>
      </c>
      <c r="E14" s="3">
        <v>8.0700000000000008E-2</v>
      </c>
      <c r="F14" s="4" t="s">
        <v>58</v>
      </c>
      <c r="G14" s="4" t="s">
        <v>85</v>
      </c>
      <c r="H14" s="11">
        <v>1597764975</v>
      </c>
      <c r="I14" s="11">
        <v>63.952100000000002</v>
      </c>
      <c r="J14" s="11">
        <v>67.762933333333322</v>
      </c>
      <c r="K14" s="11">
        <v>86315375</v>
      </c>
      <c r="L14" s="11">
        <v>1534830440</v>
      </c>
      <c r="M14" s="6">
        <f t="shared" si="0"/>
        <v>5.0207130565907122E-2</v>
      </c>
    </row>
    <row r="15" spans="1:13" x14ac:dyDescent="0.25">
      <c r="A15" s="1" t="s">
        <v>86</v>
      </c>
      <c r="B15" s="13" t="s">
        <v>87</v>
      </c>
      <c r="C15" s="10">
        <v>3775000</v>
      </c>
      <c r="D15" s="11">
        <v>3775000000</v>
      </c>
      <c r="E15" s="3">
        <v>5.4900000000000004E-2</v>
      </c>
      <c r="F15" s="4" t="s">
        <v>58</v>
      </c>
      <c r="G15" s="4" t="s">
        <v>88</v>
      </c>
      <c r="H15" s="11">
        <v>3136670150</v>
      </c>
      <c r="I15" s="11">
        <v>83.106800000000007</v>
      </c>
      <c r="J15" s="11">
        <v>84.814800000000005</v>
      </c>
      <c r="K15" s="11">
        <v>64477000</v>
      </c>
      <c r="L15" s="11">
        <v>3201758700</v>
      </c>
      <c r="M15" s="6">
        <f t="shared" si="0"/>
        <v>0.10473542412374168</v>
      </c>
    </row>
    <row r="16" spans="1:13" x14ac:dyDescent="0.25">
      <c r="A16" s="1" t="s">
        <v>89</v>
      </c>
      <c r="B16" s="13" t="s">
        <v>90</v>
      </c>
      <c r="C16" s="10">
        <v>2803860</v>
      </c>
      <c r="D16" s="11">
        <v>2803860000</v>
      </c>
      <c r="E16" s="3">
        <v>5.5E-2</v>
      </c>
      <c r="F16" s="4" t="s">
        <v>91</v>
      </c>
      <c r="G16" s="4" t="s">
        <v>92</v>
      </c>
      <c r="H16" s="11">
        <v>1773018067.1400001</v>
      </c>
      <c r="I16" s="11">
        <v>58.753600000000006</v>
      </c>
      <c r="J16" s="11">
        <v>60.052211111111106</v>
      </c>
      <c r="K16" s="11">
        <v>36411237.5</v>
      </c>
      <c r="L16" s="11">
        <v>1683779926.46</v>
      </c>
      <c r="M16" s="6">
        <f t="shared" si="0"/>
        <v>5.5079542605390809E-2</v>
      </c>
    </row>
    <row r="17" spans="1:15" x14ac:dyDescent="0.25">
      <c r="A17" s="1" t="s">
        <v>93</v>
      </c>
      <c r="B17" s="13" t="s">
        <v>94</v>
      </c>
      <c r="C17" s="10">
        <v>1038480</v>
      </c>
      <c r="D17" s="11">
        <v>1038480000</v>
      </c>
      <c r="E17" s="3">
        <v>0.12</v>
      </c>
      <c r="F17" s="4" t="s">
        <v>91</v>
      </c>
      <c r="G17" s="4" t="s">
        <v>95</v>
      </c>
      <c r="H17" s="11">
        <v>979029096.96000004</v>
      </c>
      <c r="I17" s="11">
        <v>85.755900000000011</v>
      </c>
      <c r="J17" s="11">
        <v>90.155900000000003</v>
      </c>
      <c r="K17" s="11">
        <v>45693120</v>
      </c>
      <c r="L17" s="11">
        <v>936250990.32000005</v>
      </c>
      <c r="M17" s="6">
        <f t="shared" si="0"/>
        <v>3.0626494294350905E-2</v>
      </c>
    </row>
    <row r="18" spans="1:15" x14ac:dyDescent="0.25">
      <c r="A18" s="1" t="s">
        <v>96</v>
      </c>
      <c r="B18" s="13" t="s">
        <v>97</v>
      </c>
      <c r="C18" s="10">
        <v>506989</v>
      </c>
      <c r="D18" s="11">
        <v>506989000</v>
      </c>
      <c r="E18" s="3">
        <v>0.1535</v>
      </c>
      <c r="F18" s="4" t="s">
        <v>98</v>
      </c>
      <c r="G18" s="4" t="s">
        <v>99</v>
      </c>
      <c r="H18" s="11">
        <v>492216861.50999999</v>
      </c>
      <c r="I18" s="11">
        <v>96.977699999999999</v>
      </c>
      <c r="J18" s="11">
        <v>99.57867222222221</v>
      </c>
      <c r="K18" s="11">
        <v>13186643.059722221</v>
      </c>
      <c r="L18" s="11">
        <v>504852914.51272202</v>
      </c>
      <c r="M18" s="6">
        <f t="shared" si="0"/>
        <v>1.6514668679309605E-2</v>
      </c>
    </row>
    <row r="19" spans="1:15" x14ac:dyDescent="0.25">
      <c r="A19" s="1" t="s">
        <v>100</v>
      </c>
      <c r="B19" s="13" t="s">
        <v>101</v>
      </c>
      <c r="C19" s="10">
        <v>2100000</v>
      </c>
      <c r="D19" s="11">
        <v>2100000000</v>
      </c>
      <c r="E19" s="3">
        <v>0.14300000000000002</v>
      </c>
      <c r="F19" s="4" t="s">
        <v>102</v>
      </c>
      <c r="G19" s="4" t="s">
        <v>103</v>
      </c>
      <c r="H19" s="11">
        <v>2100000000</v>
      </c>
      <c r="I19" s="11">
        <v>93.962578288753889</v>
      </c>
      <c r="J19" s="11">
        <v>106.514800510976</v>
      </c>
      <c r="K19" s="11">
        <v>263596666.66666701</v>
      </c>
      <c r="L19" s="11">
        <v>2236810810.7304978</v>
      </c>
      <c r="M19" s="6">
        <f t="shared" si="0"/>
        <v>7.3170201410377736E-2</v>
      </c>
    </row>
    <row r="20" spans="1:15" x14ac:dyDescent="0.25">
      <c r="A20" s="1" t="s">
        <v>104</v>
      </c>
      <c r="B20" s="13" t="s">
        <v>105</v>
      </c>
      <c r="C20" s="10">
        <v>1100000</v>
      </c>
      <c r="D20" s="11">
        <v>1100000000</v>
      </c>
      <c r="E20" s="3">
        <v>0.13870000000000002</v>
      </c>
      <c r="F20" s="4" t="s">
        <v>106</v>
      </c>
      <c r="G20" s="4" t="s">
        <v>107</v>
      </c>
      <c r="H20" s="11">
        <v>1100000000</v>
      </c>
      <c r="I20" s="11">
        <v>99.57480000000001</v>
      </c>
      <c r="J20" s="11">
        <v>104.544883333333</v>
      </c>
      <c r="K20" s="11">
        <v>54670916.666666657</v>
      </c>
      <c r="L20" s="11">
        <v>1149993716.666666</v>
      </c>
      <c r="M20" s="6">
        <f t="shared" si="0"/>
        <v>3.7618412547679274E-2</v>
      </c>
    </row>
    <row r="21" spans="1:15" x14ac:dyDescent="0.25">
      <c r="A21" s="1" t="s">
        <v>108</v>
      </c>
      <c r="B21" s="13" t="s">
        <v>109</v>
      </c>
      <c r="C21" s="10">
        <v>1000000</v>
      </c>
      <c r="D21" s="11">
        <v>1000000000</v>
      </c>
      <c r="E21" s="3">
        <v>0.1389</v>
      </c>
      <c r="F21" s="4" t="s">
        <v>110</v>
      </c>
      <c r="G21" s="4" t="s">
        <v>111</v>
      </c>
      <c r="H21" s="11">
        <v>1000000000</v>
      </c>
      <c r="I21" s="11">
        <v>97.397859206173791</v>
      </c>
      <c r="J21" s="11">
        <v>99.365609206173787</v>
      </c>
      <c r="K21" s="11">
        <v>19677499.999999989</v>
      </c>
      <c r="L21" s="11">
        <v>993656092.06173801</v>
      </c>
      <c r="M21" s="6">
        <f t="shared" si="0"/>
        <v>3.2504320901892397E-2</v>
      </c>
    </row>
    <row r="22" spans="1:15" x14ac:dyDescent="0.25">
      <c r="A22" s="1" t="s">
        <v>112</v>
      </c>
      <c r="B22" s="13" t="s">
        <v>113</v>
      </c>
      <c r="C22" s="10">
        <v>165739</v>
      </c>
      <c r="D22" s="11">
        <v>165739000</v>
      </c>
      <c r="E22" s="3">
        <v>0.125</v>
      </c>
      <c r="F22" s="4" t="s">
        <v>114</v>
      </c>
      <c r="G22" s="4" t="s">
        <v>115</v>
      </c>
      <c r="H22" s="11">
        <v>159596381.18279999</v>
      </c>
      <c r="I22" s="11">
        <v>95.067477905816091</v>
      </c>
      <c r="J22" s="11">
        <v>96.352200128024904</v>
      </c>
      <c r="K22" s="11">
        <v>2129285.76386667</v>
      </c>
      <c r="L22" s="11">
        <v>159693172.97018701</v>
      </c>
      <c r="M22" s="6">
        <f t="shared" si="0"/>
        <v>5.2238578131133294E-3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1732167585.7930338</v>
      </c>
      <c r="L24" s="22">
        <f>SUM(L4:L23)</f>
        <v>30569969299.185925</v>
      </c>
      <c r="M24" s="23"/>
      <c r="N24" s="26">
        <v>30569969299.185944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4196343.1100000003</v>
      </c>
      <c r="C27" s="51">
        <v>4196343.1100000003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1619800</v>
      </c>
      <c r="D32" s="7" t="s">
        <v>51</v>
      </c>
      <c r="E32" s="34" t="s">
        <v>52</v>
      </c>
      <c r="F32" s="34" t="s">
        <v>53</v>
      </c>
      <c r="G32" s="15">
        <v>802.97700000000009</v>
      </c>
      <c r="H32" s="15">
        <v>804.01316371774305</v>
      </c>
      <c r="I32" s="16">
        <f>+C32*G32</f>
        <v>1300662144.6000001</v>
      </c>
      <c r="J32" s="16">
        <f>+C32*H32</f>
        <v>1302340522.5900002</v>
      </c>
      <c r="K32" s="18">
        <v>0.156999</v>
      </c>
      <c r="L32" s="17">
        <v>559459.32999999996</v>
      </c>
      <c r="M32" s="17">
        <v>1301221603.9300001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24759</v>
      </c>
      <c r="D33" s="7" t="s">
        <v>51</v>
      </c>
      <c r="E33" s="34" t="s">
        <v>52</v>
      </c>
      <c r="F33" s="34" t="s">
        <v>53</v>
      </c>
      <c r="G33" s="15">
        <v>848.50799991922099</v>
      </c>
      <c r="H33" s="15">
        <v>849.60291691910004</v>
      </c>
      <c r="I33" s="16">
        <f>+C33*G33</f>
        <v>21008209.569999993</v>
      </c>
      <c r="J33" s="16">
        <f>+C33*H33</f>
        <v>21035318.619999997</v>
      </c>
      <c r="K33" s="18">
        <v>0.156999</v>
      </c>
      <c r="L33" s="17">
        <v>9036.35</v>
      </c>
      <c r="M33" s="17">
        <v>21017245.920000002</v>
      </c>
      <c r="N33" s="35"/>
    </row>
    <row r="34" spans="1:15" s="36" customFormat="1" ht="11.25" hidden="1" x14ac:dyDescent="0.25">
      <c r="A34" s="7"/>
      <c r="B34" s="7"/>
      <c r="C34" s="7"/>
      <c r="D34" s="7"/>
      <c r="E34" s="37"/>
      <c r="F34" s="37"/>
      <c r="G34" s="7"/>
      <c r="H34" s="7"/>
      <c r="I34" s="8"/>
      <c r="J34" s="8"/>
      <c r="K34" s="7"/>
      <c r="L34" s="9"/>
      <c r="M34" s="9"/>
      <c r="N34" s="35"/>
    </row>
    <row r="35" spans="1:15" x14ac:dyDescent="0.25">
      <c r="A35" s="1" t="s">
        <v>5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2">
        <f>SUM(M32:M34)</f>
        <v>1322238849.8500001</v>
      </c>
      <c r="N35" s="38">
        <v>1322238849.8499999</v>
      </c>
      <c r="O35" s="29">
        <f>M35-N35</f>
        <v>0</v>
      </c>
    </row>
    <row r="37" spans="1:15" x14ac:dyDescent="0.25">
      <c r="A37" s="39" t="s">
        <v>28</v>
      </c>
      <c r="B37" s="33"/>
      <c r="D37" s="33"/>
      <c r="F37" s="28"/>
      <c r="G37" s="28"/>
    </row>
    <row r="38" spans="1:15" ht="22.5" x14ac:dyDescent="0.25">
      <c r="A38" s="19" t="s">
        <v>6</v>
      </c>
      <c r="B38" s="19" t="s">
        <v>29</v>
      </c>
      <c r="C38" s="19" t="s">
        <v>17</v>
      </c>
      <c r="D38" s="19" t="s">
        <v>30</v>
      </c>
      <c r="E38" s="19" t="s">
        <v>16</v>
      </c>
      <c r="F38" s="19" t="s">
        <v>31</v>
      </c>
      <c r="G38" s="19" t="s">
        <v>32</v>
      </c>
    </row>
    <row r="39" spans="1:15" hidden="1" x14ac:dyDescent="0.25">
      <c r="B39" s="41"/>
      <c r="C39" s="42"/>
      <c r="D39" s="43"/>
      <c r="G39" s="44"/>
      <c r="H39" s="33"/>
    </row>
    <row r="40" spans="1:15" x14ac:dyDescent="0.25">
      <c r="G40" s="45">
        <f>SUM(G39:G39)</f>
        <v>0</v>
      </c>
    </row>
    <row r="42" spans="1:15" x14ac:dyDescent="0.25">
      <c r="A42" s="46" t="s">
        <v>13</v>
      </c>
      <c r="B42" s="47">
        <f>+L24+B27+M35+G40</f>
        <v>31896404492.145924</v>
      </c>
      <c r="C42" s="32">
        <v>31896404492.145943</v>
      </c>
      <c r="D42" s="29">
        <f>B42-C42</f>
        <v>0</v>
      </c>
    </row>
    <row r="45" spans="1:15" x14ac:dyDescent="0.25">
      <c r="A45" s="24" t="s">
        <v>46</v>
      </c>
      <c r="B45" s="33"/>
    </row>
    <row r="46" spans="1:15" x14ac:dyDescent="0.25">
      <c r="A46" s="48" t="s">
        <v>35</v>
      </c>
      <c r="B46" s="49"/>
    </row>
    <row r="47" spans="1:15" x14ac:dyDescent="0.25">
      <c r="A47" s="48" t="s">
        <v>36</v>
      </c>
      <c r="B47" s="40"/>
    </row>
    <row r="48" spans="1:15" x14ac:dyDescent="0.25">
      <c r="A48" s="48" t="s">
        <v>37</v>
      </c>
      <c r="B48" s="40">
        <v>279942.86</v>
      </c>
    </row>
    <row r="49" spans="1:2" x14ac:dyDescent="0.25">
      <c r="A49" s="48" t="s">
        <v>38</v>
      </c>
      <c r="B49" s="40"/>
    </row>
    <row r="50" spans="1:2" x14ac:dyDescent="0.25">
      <c r="A50" s="48" t="s">
        <v>39</v>
      </c>
      <c r="B50" s="49"/>
    </row>
    <row r="51" spans="1:2" x14ac:dyDescent="0.25">
      <c r="A51" s="48" t="s">
        <v>40</v>
      </c>
      <c r="B51" s="50">
        <v>39710.540000000008</v>
      </c>
    </row>
    <row r="52" spans="1:2" x14ac:dyDescent="0.25">
      <c r="A52" s="48" t="s">
        <v>41</v>
      </c>
      <c r="B52" s="50">
        <v>19761.400000000001</v>
      </c>
    </row>
    <row r="53" spans="1:2" x14ac:dyDescent="0.25">
      <c r="A53" s="48" t="s">
        <v>42</v>
      </c>
      <c r="B53" s="40"/>
    </row>
    <row r="54" spans="1:2" x14ac:dyDescent="0.25">
      <c r="A54" s="48" t="s">
        <v>43</v>
      </c>
      <c r="B54" s="40"/>
    </row>
    <row r="55" spans="1:2" x14ac:dyDescent="0.25">
      <c r="A55" s="48" t="s">
        <v>44</v>
      </c>
      <c r="B55" s="50"/>
    </row>
    <row r="56" spans="1:2" x14ac:dyDescent="0.25">
      <c r="A56" s="48" t="s">
        <v>45</v>
      </c>
      <c r="B56" s="49">
        <f>SUM(B46:B55)</f>
        <v>339414.80000000005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2025-07-21T06:50:37Z</dcterms:created>
  <dcterms:modified xsi:type="dcterms:W3CDTF">2025-07-21T10:50:10Z</dcterms:modified>
</cp:coreProperties>
</file>