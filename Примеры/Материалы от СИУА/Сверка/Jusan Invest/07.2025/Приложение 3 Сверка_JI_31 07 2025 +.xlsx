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F4451536-F2E6-4313-81D6-5B6A16473F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Расчет ДУ" sheetId="3" r:id="rId2"/>
    <sheet name="Лист1" sheetId="2" r:id="rId3"/>
  </sheets>
  <externalReferences>
    <externalReference r:id="rId4"/>
    <externalReference r:id="rId5"/>
  </externalReferences>
  <definedNames>
    <definedName name="__mdDATAHead__">ДУ!$1:$1</definedName>
    <definedName name="__mdDATAMoney__">ДУ!$27:$27</definedName>
    <definedName name="__mdDATAOther__" localSheetId="1">[2]ДУ!#REF!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3" i="1" l="1"/>
  <c r="B53" i="1"/>
  <c r="G2" i="3"/>
  <c r="F2" i="3"/>
  <c r="B2" i="3"/>
  <c r="C2" i="3"/>
  <c r="D59" i="1"/>
  <c r="C59" i="1"/>
  <c r="D58" i="1"/>
  <c r="C58" i="1"/>
  <c r="D49" i="1"/>
  <c r="O42" i="1"/>
  <c r="O24" i="1"/>
  <c r="D27" i="1"/>
  <c r="G47" i="1"/>
  <c r="M42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19" i="1"/>
  <c r="M15" i="1"/>
  <c r="M11" i="1"/>
  <c r="M7" i="1"/>
  <c r="H2" i="3" l="1"/>
  <c r="M4" i="1"/>
  <c r="M8" i="1"/>
  <c r="M12" i="1"/>
  <c r="M16" i="1"/>
  <c r="M20" i="1"/>
  <c r="M5" i="1"/>
  <c r="M9" i="1"/>
  <c r="M13" i="1"/>
  <c r="M17" i="1"/>
  <c r="M21" i="1"/>
  <c r="B49" i="1"/>
  <c r="M6" i="1"/>
  <c r="M10" i="1"/>
  <c r="M14" i="1"/>
  <c r="M18" i="1"/>
  <c r="E49" i="1" l="1"/>
  <c r="C55" i="1" l="1"/>
  <c r="D55" i="1" s="1"/>
</calcChain>
</file>

<file path=xl/sharedStrings.xml><?xml version="1.0" encoding="utf-8"?>
<sst xmlns="http://schemas.openxmlformats.org/spreadsheetml/2006/main" count="184" uniqueCount="132">
  <si>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</si>
  <si>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</si>
  <si>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</si>
  <si>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</si>
  <si>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</si>
  <si>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</si>
  <si>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</si>
  <si>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</si>
  <si>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</si>
  <si>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</si>
  <si>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</si>
  <si>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</si>
  <si>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</si>
  <si>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</si>
  <si>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</si>
  <si>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</si>
  <si>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</si>
  <si>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</si>
  <si>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</si>
  <si>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</si>
  <si>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</si>
  <si>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</si>
  <si>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</si>
  <si>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</si>
  <si>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</si>
  <si>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</si>
  <si>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</si>
  <si>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</si>
  <si>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</si>
  <si>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</si>
  <si>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</si>
  <si>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</si>
  <si>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</si>
  <si>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</si>
  <si>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</si>
  <si>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</si>
  <si>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</si>
  <si>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</si>
  <si>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</si>
  <si>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</si>
  <si>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</si>
  <si>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</si>
  <si>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</si>
  <si>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</si>
  <si>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</si>
  <si>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</si>
  <si>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</si>
  <si>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</si>
  <si>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</si>
  <si>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MUM084_0019</t>
  </si>
  <si>
    <t>KZKD00001244</t>
  </si>
  <si>
    <t>KZT</t>
  </si>
  <si>
    <t>30.07.2025</t>
  </si>
  <si>
    <t>31.07.2025</t>
  </si>
  <si>
    <t>МИНИСТЕРСТВО ФИНАНСОВ РК, ОБЛИГАЦИИ, MFKZ.0435</t>
  </si>
  <si>
    <t>XS2914770545</t>
  </si>
  <si>
    <t>МИНИСТЕРСТВО ФИНАНСОВ РК, ГЦБ, KZ_25_3707</t>
  </si>
  <si>
    <t>XS3093658014</t>
  </si>
  <si>
    <t>МИНИСТЕРСТВО ФИНАНСОВ РК, ГЦБ, MUM072_0015</t>
  </si>
  <si>
    <t>KZKD00001251</t>
  </si>
  <si>
    <t>01.08.2025</t>
  </si>
  <si>
    <t>МИНИСТЕРСТВО ФИНАНСОВ РК, ГЦБ, MKM012_0161</t>
  </si>
  <si>
    <t>KZK100000423</t>
  </si>
  <si>
    <t>МИНИСТЕРСТВО ФИНАНСОВ РК, ГЦБ, MUM120_0017</t>
  </si>
  <si>
    <t>KZKD00000899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</si>
  <si>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</si>
  <si>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</si>
  <si>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</si>
  <si>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</si>
  <si>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</si>
  <si>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</si>
  <si>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</si>
  <si>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</si>
  <si>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</si>
  <si>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</si>
  <si>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</si>
  <si>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</si>
  <si>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</si>
  <si>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</si>
  <si>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</si>
  <si>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</si>
  <si>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</si>
  <si>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</si>
  <si>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</si>
  <si>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</si>
  <si>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</si>
  <si>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</si>
  <si>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</si>
  <si>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</si>
  <si>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</si>
  <si>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</si>
  <si>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</si>
  <si>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</si>
  <si>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</si>
  <si>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</si>
  <si>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</si>
  <si>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</si>
  <si>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</si>
  <si>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</si>
  <si>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</si>
  <si>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</si>
  <si>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</si>
  <si>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</si>
  <si>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</si>
  <si>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</si>
  <si>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</si>
  <si>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</si>
  <si>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</si>
  <si>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</si>
  <si>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</si>
  <si>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</si>
  <si>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</si>
  <si>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</si>
  <si>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</si>
  <si>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</si>
  <si>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</si>
  <si>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</si>
  <si>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</si>
  <si>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</si>
  <si>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</si>
  <si>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</si>
  <si>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</si>
  <si>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</si>
  <si>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КФГД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</si>
  <si>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</si>
  <si>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</si>
  <si>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</si>
  <si>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 оплате</t>
  </si>
  <si>
    <t>Оплаченная комиссия ДУ за июнь</t>
  </si>
  <si>
    <t>Фактическая комиссия за июнь  (без корректировки)</t>
  </si>
  <si>
    <t>Корректировка комиссии ДУ за июнь</t>
  </si>
  <si>
    <t>Комиссия ДУ за июль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</si>
</sst>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  <numFmt numFmtId="167" formatCode="_-* #,##0.00\ _₸_-;\-* #,##0.00\ _₸_-;_-* &quot;-&quot;??\ _₸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7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  <xf numFmtId="167" fontId="0" fillId="0" borderId="0" xfId="0" applyNumberFormat="1" applyAlignment="1">
      <alignment vertical="center"/>
    </xf>
    <xf numFmtId="164" fontId="0" fillId="0" borderId="0" xfId="0" applyNumberFormat="1"/>
    <xf numFmtId="43" fontId="0" fillId="0" borderId="0" xfId="0" applyNumberFormat="1"/>
    <xf numFmtId="167" fontId="0" fillId="0" borderId="0" xfId="0" applyNumberFormat="1"/>
    <xf numFmtId="43" fontId="0" fillId="0" borderId="0" xfId="2" applyFont="1"/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3</xdr:col>
      <xdr:colOff>2039294</xdr:colOff>
      <xdr:row>43</xdr:row>
      <xdr:rowOff>86801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0CAE1C9-A6C7-48B9-A3C5-0D166F85E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6763694" cy="77068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rbol.Rakhmankul\Desktop\&#1044;&#1083;&#1103;%20&#1084;&#1072;&#1082;&#1088;&#1086;&#1089;&#1086;&#1074;\return%20report_31072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ECTOR-INVEST/&#1057;&#1074;&#1077;&#1088;&#1082;&#1072;/Jusan%20Invest%20BCK/&#1057;&#1074;&#1077;&#1088;&#1082;&#1072;/2025/04.2025/&#1055;&#1088;&#1080;&#1083;&#1086;&#1078;&#1077;&#1085;&#1080;&#1077;%203%20&#1057;&#1074;&#1077;&#1088;&#1082;&#1072;_JI_30%2004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Report (t-1)"/>
      <sheetName val="Report all funds"/>
      <sheetName val="Cash"/>
      <sheetName val="MV"/>
      <sheetName val="MV ЦБ"/>
      <sheetName val="ГЦБ"/>
      <sheetName val="Агентсткие"/>
      <sheetName val="МФО"/>
      <sheetName val="Repo"/>
      <sheetName val="Trades"/>
      <sheetName val="Kase ГЦБ (d)"/>
      <sheetName val="Рыночная оценка"/>
      <sheetName val="Справочник"/>
      <sheetName val="CPI"/>
      <sheetName val="MBM index - с 1 апреля 2024 г  "/>
      <sheetName val="MBM Index"/>
      <sheetName val="Дебиторская задолженность"/>
      <sheetName val="Нацбанк Казахстана, Доллар США_"/>
      <sheetName val="Лист2"/>
      <sheetName val="Лист1"/>
    </sheetNames>
    <sheetDataSet>
      <sheetData sheetId="0">
        <row r="50">
          <cell r="E50">
            <v>31887724342.660667</v>
          </cell>
        </row>
        <row r="56">
          <cell r="C56">
            <v>34148.090000000011</v>
          </cell>
          <cell r="D56">
            <v>68596.570000000007</v>
          </cell>
          <cell r="E56">
            <v>461017.89337787294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У"/>
      <sheetName val="Расчет ДУ"/>
      <sheetName val="Лист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topLeftCell="A19" zoomScale="90" zoomScaleNormal="90" workbookViewId="0">
      <selection activeCell="B63" sqref="B6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65</v>
      </c>
      <c r="B4" s="13" t="s">
        <v>66</v>
      </c>
      <c r="C4" s="10">
        <v>3020000</v>
      </c>
      <c r="D4" s="11">
        <v>3020000000</v>
      </c>
      <c r="E4" s="3">
        <v>0.1067</v>
      </c>
      <c r="F4" s="4" t="s">
        <v>67</v>
      </c>
      <c r="G4" s="4" t="s">
        <v>68</v>
      </c>
      <c r="H4" s="11">
        <v>2930617060.0000029</v>
      </c>
      <c r="I4" s="11">
        <v>97.691600000000008</v>
      </c>
      <c r="J4" s="11">
        <v>97.958349999999982</v>
      </c>
      <c r="K4" s="11">
        <v>8055850</v>
      </c>
      <c r="L4" s="11">
        <v>2958342169.999999</v>
      </c>
      <c r="M4" s="6">
        <f t="shared" ref="M4:M22" si="0">L4/$L$24</f>
        <v>9.9640085399951867E-2</v>
      </c>
    </row>
    <row r="5" spans="1:13" x14ac:dyDescent="0.25">
      <c r="A5" s="1" t="s">
        <v>69</v>
      </c>
      <c r="B5" s="13" t="s">
        <v>70</v>
      </c>
      <c r="C5" s="10">
        <v>2265000</v>
      </c>
      <c r="D5" s="11">
        <v>2265000000</v>
      </c>
      <c r="E5" s="3">
        <v>0.10550000000000001</v>
      </c>
      <c r="F5" s="4" t="s">
        <v>67</v>
      </c>
      <c r="G5" s="4" t="s">
        <v>71</v>
      </c>
      <c r="H5" s="11">
        <v>2039188560.0000031</v>
      </c>
      <c r="I5" s="11">
        <v>82.987800000000007</v>
      </c>
      <c r="J5" s="11">
        <v>83.046411111111112</v>
      </c>
      <c r="K5" s="11">
        <v>1327541.66666667</v>
      </c>
      <c r="L5" s="11">
        <v>1881001211.666666</v>
      </c>
      <c r="M5" s="6">
        <f t="shared" si="0"/>
        <v>6.3354105305499397E-2</v>
      </c>
    </row>
    <row r="6" spans="1:13" x14ac:dyDescent="0.25">
      <c r="A6" s="1" t="s">
        <v>69</v>
      </c>
      <c r="B6" s="13" t="s">
        <v>70</v>
      </c>
      <c r="C6" s="10">
        <v>1551646</v>
      </c>
      <c r="D6" s="11">
        <v>1551646000</v>
      </c>
      <c r="E6" s="3">
        <v>0.10550000000000001</v>
      </c>
      <c r="F6" s="4" t="s">
        <v>72</v>
      </c>
      <c r="G6" s="4" t="s">
        <v>71</v>
      </c>
      <c r="H6" s="11">
        <v>1395452658.7</v>
      </c>
      <c r="I6" s="11">
        <v>82.987800000000007</v>
      </c>
      <c r="J6" s="11">
        <v>83.046411111111354</v>
      </c>
      <c r="K6" s="11">
        <v>909436.9611111111</v>
      </c>
      <c r="L6" s="11">
        <v>1288586316.1491151</v>
      </c>
      <c r="M6" s="6">
        <f t="shared" si="0"/>
        <v>4.340094661406501E-2</v>
      </c>
    </row>
    <row r="7" spans="1:13" x14ac:dyDescent="0.25">
      <c r="A7" s="1" t="s">
        <v>69</v>
      </c>
      <c r="B7" s="13" t="s">
        <v>70</v>
      </c>
      <c r="C7" s="10">
        <v>545692</v>
      </c>
      <c r="D7" s="11">
        <v>545692000</v>
      </c>
      <c r="E7" s="3">
        <v>0.10550000000000001</v>
      </c>
      <c r="F7" s="4" t="s">
        <v>73</v>
      </c>
      <c r="G7" s="4" t="s">
        <v>71</v>
      </c>
      <c r="H7" s="11">
        <v>449784993.92000002</v>
      </c>
      <c r="I7" s="11">
        <v>82.987800000000007</v>
      </c>
      <c r="J7" s="11">
        <v>83.046411111111112</v>
      </c>
      <c r="K7" s="11">
        <v>319836.14444444439</v>
      </c>
      <c r="L7" s="11">
        <v>453177621.72044402</v>
      </c>
      <c r="M7" s="6">
        <f t="shared" si="0"/>
        <v>1.5263500411641746E-2</v>
      </c>
    </row>
    <row r="8" spans="1:13" x14ac:dyDescent="0.25">
      <c r="A8" s="1" t="s">
        <v>74</v>
      </c>
      <c r="B8" s="13" t="s">
        <v>75</v>
      </c>
      <c r="C8" s="10">
        <v>2265000</v>
      </c>
      <c r="D8" s="11">
        <v>2265000000</v>
      </c>
      <c r="E8" s="3">
        <v>0.10400000000000001</v>
      </c>
      <c r="F8" s="4" t="s">
        <v>67</v>
      </c>
      <c r="G8" s="4" t="s">
        <v>76</v>
      </c>
      <c r="H8" s="11">
        <v>2073109200</v>
      </c>
      <c r="I8" s="11">
        <v>86.545200000000008</v>
      </c>
      <c r="J8" s="11">
        <v>89.665199999999984</v>
      </c>
      <c r="K8" s="11">
        <v>70667999.999999985</v>
      </c>
      <c r="L8" s="11">
        <v>2030916779.999999</v>
      </c>
      <c r="M8" s="6">
        <f t="shared" si="0"/>
        <v>6.8403419811101568E-2</v>
      </c>
    </row>
    <row r="9" spans="1:13" x14ac:dyDescent="0.25">
      <c r="A9" s="1" t="s">
        <v>77</v>
      </c>
      <c r="B9" s="13" t="s">
        <v>78</v>
      </c>
      <c r="C9" s="10">
        <v>2265000</v>
      </c>
      <c r="D9" s="11">
        <v>2265000000</v>
      </c>
      <c r="E9" s="3">
        <v>0.11</v>
      </c>
      <c r="F9" s="4" t="s">
        <v>67</v>
      </c>
      <c r="G9" s="4" t="s">
        <v>79</v>
      </c>
      <c r="H9" s="11">
        <v>2080889475</v>
      </c>
      <c r="I9" s="11">
        <v>84.87</v>
      </c>
      <c r="J9" s="11">
        <v>88.536666666666662</v>
      </c>
      <c r="K9" s="11">
        <v>83049999.999999985</v>
      </c>
      <c r="L9" s="11">
        <v>2005355499.999999</v>
      </c>
      <c r="M9" s="6">
        <f t="shared" si="0"/>
        <v>6.75424889330037E-2</v>
      </c>
    </row>
    <row r="10" spans="1:13" x14ac:dyDescent="0.25">
      <c r="A10" s="1" t="s">
        <v>80</v>
      </c>
      <c r="B10" s="13" t="s">
        <v>81</v>
      </c>
      <c r="C10" s="10">
        <v>2265000</v>
      </c>
      <c r="D10" s="11">
        <v>2265000000</v>
      </c>
      <c r="E10" s="3">
        <v>0.10300000000000001</v>
      </c>
      <c r="F10" s="4" t="s">
        <v>67</v>
      </c>
      <c r="G10" s="4" t="s">
        <v>82</v>
      </c>
      <c r="H10" s="11">
        <v>1963990560.0000031</v>
      </c>
      <c r="I10" s="11">
        <v>78.102000000000004</v>
      </c>
      <c r="J10" s="11">
        <v>81.907277777777765</v>
      </c>
      <c r="K10" s="11">
        <v>86189541.666666657</v>
      </c>
      <c r="L10" s="11">
        <v>1855199841.666666</v>
      </c>
      <c r="M10" s="6">
        <f t="shared" si="0"/>
        <v>6.2485087942901425E-2</v>
      </c>
    </row>
    <row r="11" spans="1:13" x14ac:dyDescent="0.25">
      <c r="A11" s="1" t="s">
        <v>83</v>
      </c>
      <c r="B11" s="13" t="s">
        <v>84</v>
      </c>
      <c r="C11" s="10">
        <v>2265000</v>
      </c>
      <c r="D11" s="11">
        <v>2265000000</v>
      </c>
      <c r="E11" s="3">
        <v>8.4500000000000006E-2</v>
      </c>
      <c r="F11" s="4" t="s">
        <v>67</v>
      </c>
      <c r="G11" s="4" t="s">
        <v>85</v>
      </c>
      <c r="H11" s="11">
        <v>1740247065.0000031</v>
      </c>
      <c r="I11" s="11">
        <v>68.824200000000005</v>
      </c>
      <c r="J11" s="11">
        <v>71.265311111111103</v>
      </c>
      <c r="K11" s="11">
        <v>55291166.666666657</v>
      </c>
      <c r="L11" s="11">
        <v>1614159296.666666</v>
      </c>
      <c r="M11" s="6">
        <f t="shared" si="0"/>
        <v>5.436658808436378E-2</v>
      </c>
    </row>
    <row r="12" spans="1:13" x14ac:dyDescent="0.25">
      <c r="A12" s="1" t="s">
        <v>86</v>
      </c>
      <c r="B12" s="13" t="s">
        <v>87</v>
      </c>
      <c r="C12" s="10">
        <v>2265000</v>
      </c>
      <c r="D12" s="11">
        <v>2265000000</v>
      </c>
      <c r="E12" s="3">
        <v>0.10650000000000001</v>
      </c>
      <c r="F12" s="4" t="s">
        <v>67</v>
      </c>
      <c r="G12" s="4" t="s">
        <v>88</v>
      </c>
      <c r="H12" s="11">
        <v>1967775375</v>
      </c>
      <c r="I12" s="11">
        <v>77.014300000000006</v>
      </c>
      <c r="J12" s="11">
        <v>77.132633333333331</v>
      </c>
      <c r="K12" s="11">
        <v>2680250</v>
      </c>
      <c r="L12" s="11">
        <v>1747054145</v>
      </c>
      <c r="M12" s="6">
        <f t="shared" si="0"/>
        <v>5.8842626783141838E-2</v>
      </c>
    </row>
    <row r="13" spans="1:13" x14ac:dyDescent="0.25">
      <c r="A13" s="1" t="s">
        <v>89</v>
      </c>
      <c r="B13" s="13" t="s">
        <v>90</v>
      </c>
      <c r="C13" s="10">
        <v>2265000</v>
      </c>
      <c r="D13" s="11">
        <v>2265000000</v>
      </c>
      <c r="E13" s="3">
        <v>8.0700000000000008E-2</v>
      </c>
      <c r="F13" s="4" t="s">
        <v>67</v>
      </c>
      <c r="G13" s="4" t="s">
        <v>91</v>
      </c>
      <c r="H13" s="11">
        <v>1622351550</v>
      </c>
      <c r="I13" s="11">
        <v>62.820100000000004</v>
      </c>
      <c r="J13" s="11">
        <v>64.568600000000004</v>
      </c>
      <c r="K13" s="11">
        <v>39603525</v>
      </c>
      <c r="L13" s="11">
        <v>1462478790</v>
      </c>
      <c r="M13" s="6">
        <f t="shared" si="0"/>
        <v>4.9257828593647204E-2</v>
      </c>
    </row>
    <row r="14" spans="1:13" x14ac:dyDescent="0.25">
      <c r="A14" s="1" t="s">
        <v>92</v>
      </c>
      <c r="B14" s="13" t="s">
        <v>93</v>
      </c>
      <c r="C14" s="10">
        <v>2265000</v>
      </c>
      <c r="D14" s="11">
        <v>2265000000</v>
      </c>
      <c r="E14" s="3">
        <v>8.0700000000000008E-2</v>
      </c>
      <c r="F14" s="4" t="s">
        <v>67</v>
      </c>
      <c r="G14" s="4" t="s">
        <v>94</v>
      </c>
      <c r="H14" s="11">
        <v>1597764975</v>
      </c>
      <c r="I14" s="11">
        <v>61.4587</v>
      </c>
      <c r="J14" s="11">
        <v>65.516116666666662</v>
      </c>
      <c r="K14" s="11">
        <v>91900487.5</v>
      </c>
      <c r="L14" s="11">
        <v>1483940042.5</v>
      </c>
      <c r="M14" s="6">
        <f t="shared" si="0"/>
        <v>4.9980666219928249E-2</v>
      </c>
    </row>
    <row r="15" spans="1:13" x14ac:dyDescent="0.25">
      <c r="A15" s="1" t="s">
        <v>95</v>
      </c>
      <c r="B15" s="13" t="s">
        <v>96</v>
      </c>
      <c r="C15" s="10">
        <v>3775000</v>
      </c>
      <c r="D15" s="11">
        <v>3775000000</v>
      </c>
      <c r="E15" s="3">
        <v>5.4900000000000004E-2</v>
      </c>
      <c r="F15" s="4" t="s">
        <v>67</v>
      </c>
      <c r="G15" s="4" t="s">
        <v>97</v>
      </c>
      <c r="H15" s="11">
        <v>3136670150</v>
      </c>
      <c r="I15" s="11">
        <v>84.4221</v>
      </c>
      <c r="J15" s="11">
        <v>86.297849999999997</v>
      </c>
      <c r="K15" s="11">
        <v>70809562.5</v>
      </c>
      <c r="L15" s="11">
        <v>3257743837.5</v>
      </c>
      <c r="M15" s="6">
        <f t="shared" si="0"/>
        <v>0.10972424943652377</v>
      </c>
    </row>
    <row r="16" spans="1:13" x14ac:dyDescent="0.25">
      <c r="A16" s="1" t="s">
        <v>98</v>
      </c>
      <c r="B16" s="13" t="s">
        <v>99</v>
      </c>
      <c r="C16" s="10">
        <v>2803860</v>
      </c>
      <c r="D16" s="11">
        <v>2803860000</v>
      </c>
      <c r="E16" s="3">
        <v>5.5E-2</v>
      </c>
      <c r="F16" s="4" t="s">
        <v>100</v>
      </c>
      <c r="G16" s="4" t="s">
        <v>101</v>
      </c>
      <c r="H16" s="11">
        <v>1773018067.1400001</v>
      </c>
      <c r="I16" s="11">
        <v>57.3782</v>
      </c>
      <c r="J16" s="11">
        <v>58.844866666666654</v>
      </c>
      <c r="K16" s="11">
        <v>41123280</v>
      </c>
      <c r="L16" s="11">
        <v>1649927678.52</v>
      </c>
      <c r="M16" s="6">
        <f t="shared" si="0"/>
        <v>5.5571304921593019E-2</v>
      </c>
    </row>
    <row r="17" spans="1:15" x14ac:dyDescent="0.25">
      <c r="A17" s="1" t="s">
        <v>58</v>
      </c>
      <c r="B17" s="13" t="s">
        <v>59</v>
      </c>
      <c r="C17" s="10">
        <v>1038480</v>
      </c>
      <c r="D17" s="11">
        <v>1038480000</v>
      </c>
      <c r="E17" s="3">
        <v>0.12</v>
      </c>
      <c r="F17" s="4" t="s">
        <v>100</v>
      </c>
      <c r="G17" s="4" t="s">
        <v>102</v>
      </c>
      <c r="H17" s="11">
        <v>979029096.96000004</v>
      </c>
      <c r="I17" s="11">
        <v>85.63</v>
      </c>
      <c r="J17" s="11">
        <v>90.396666666666661</v>
      </c>
      <c r="K17" s="11">
        <v>49500880</v>
      </c>
      <c r="L17" s="11">
        <v>938751304</v>
      </c>
      <c r="M17" s="6">
        <f t="shared" si="0"/>
        <v>3.1618134321452142E-2</v>
      </c>
    </row>
    <row r="18" spans="1:15" x14ac:dyDescent="0.25">
      <c r="A18" s="1" t="s">
        <v>103</v>
      </c>
      <c r="B18" s="13" t="s">
        <v>104</v>
      </c>
      <c r="C18" s="10">
        <v>506989</v>
      </c>
      <c r="D18" s="11">
        <v>506989000</v>
      </c>
      <c r="E18" s="3">
        <v>0.1535</v>
      </c>
      <c r="F18" s="4" t="s">
        <v>105</v>
      </c>
      <c r="G18" s="4" t="s">
        <v>106</v>
      </c>
      <c r="H18" s="11">
        <v>492216861.50999999</v>
      </c>
      <c r="I18" s="11">
        <v>98.139499999999998</v>
      </c>
      <c r="J18" s="11">
        <v>101.20950000000001</v>
      </c>
      <c r="K18" s="11">
        <v>15564562.300000001</v>
      </c>
      <c r="L18" s="11">
        <v>513121031.95499998</v>
      </c>
      <c r="M18" s="6">
        <f t="shared" si="0"/>
        <v>1.7282457709923271E-2</v>
      </c>
    </row>
    <row r="19" spans="1:15" x14ac:dyDescent="0.25">
      <c r="A19" s="1" t="s">
        <v>107</v>
      </c>
      <c r="B19" s="13" t="s">
        <v>108</v>
      </c>
      <c r="C19" s="10">
        <v>2100000</v>
      </c>
      <c r="D19" s="11">
        <v>2100000000</v>
      </c>
      <c r="E19" s="3">
        <v>0.14300000000000002</v>
      </c>
      <c r="F19" s="4" t="s">
        <v>109</v>
      </c>
      <c r="G19" s="4" t="s">
        <v>110</v>
      </c>
      <c r="H19" s="11">
        <v>2100000000</v>
      </c>
      <c r="I19" s="11">
        <v>93.235330027991196</v>
      </c>
      <c r="J19" s="11">
        <v>106.224496694658</v>
      </c>
      <c r="K19" s="11">
        <v>272772500</v>
      </c>
      <c r="L19" s="11">
        <v>2230714430.5878148</v>
      </c>
      <c r="M19" s="6">
        <f t="shared" si="0"/>
        <v>7.513281547369989E-2</v>
      </c>
    </row>
    <row r="20" spans="1:15" x14ac:dyDescent="0.25">
      <c r="A20" s="1" t="s">
        <v>111</v>
      </c>
      <c r="B20" s="13" t="s">
        <v>112</v>
      </c>
      <c r="C20" s="10">
        <v>1100000</v>
      </c>
      <c r="D20" s="11">
        <v>1100000000</v>
      </c>
      <c r="E20" s="3">
        <v>0.13870000000000002</v>
      </c>
      <c r="F20" s="4" t="s">
        <v>113</v>
      </c>
      <c r="G20" s="4" t="s">
        <v>114</v>
      </c>
      <c r="H20" s="11">
        <v>1100000000</v>
      </c>
      <c r="I20" s="11">
        <v>99.6738</v>
      </c>
      <c r="J20" s="11">
        <v>105.06768888888901</v>
      </c>
      <c r="K20" s="11">
        <v>59332777.777777769</v>
      </c>
      <c r="L20" s="11">
        <v>1155744577.777777</v>
      </c>
      <c r="M20" s="6">
        <f t="shared" si="0"/>
        <v>3.8926696714839122E-2</v>
      </c>
    </row>
    <row r="21" spans="1:15" x14ac:dyDescent="0.25">
      <c r="A21" s="1" t="s">
        <v>115</v>
      </c>
      <c r="B21" s="13" t="s">
        <v>116</v>
      </c>
      <c r="C21" s="10">
        <v>1000000</v>
      </c>
      <c r="D21" s="11">
        <v>1000000000</v>
      </c>
      <c r="E21" s="3">
        <v>0.1389</v>
      </c>
      <c r="F21" s="4" t="s">
        <v>117</v>
      </c>
      <c r="G21" s="4" t="s">
        <v>118</v>
      </c>
      <c r="H21" s="11">
        <v>1000000000</v>
      </c>
      <c r="I21" s="11">
        <v>97.905443220013197</v>
      </c>
      <c r="J21" s="11">
        <v>100.29760988668001</v>
      </c>
      <c r="K21" s="11">
        <v>23921666.66666666</v>
      </c>
      <c r="L21" s="11">
        <v>1002976098.866798</v>
      </c>
      <c r="M21" s="6">
        <f t="shared" si="0"/>
        <v>3.3781293171100069E-2</v>
      </c>
    </row>
    <row r="22" spans="1:15" x14ac:dyDescent="0.25">
      <c r="A22" s="1" t="s">
        <v>119</v>
      </c>
      <c r="B22" s="13" t="s">
        <v>120</v>
      </c>
      <c r="C22" s="10">
        <v>165739</v>
      </c>
      <c r="D22" s="11">
        <v>165739000</v>
      </c>
      <c r="E22" s="3">
        <v>0.125</v>
      </c>
      <c r="F22" s="4" t="s">
        <v>121</v>
      </c>
      <c r="G22" s="4" t="s">
        <v>122</v>
      </c>
      <c r="H22" s="11">
        <v>159596381.18279999</v>
      </c>
      <c r="I22" s="11">
        <v>95.528732619994699</v>
      </c>
      <c r="J22" s="11">
        <v>97.195399286647941</v>
      </c>
      <c r="K22" s="11">
        <v>2762316.66664444</v>
      </c>
      <c r="L22" s="11">
        <v>161090682.823697</v>
      </c>
      <c r="M22" s="6">
        <f t="shared" si="0"/>
        <v>5.4257041516227759E-3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975783181.51664436</v>
      </c>
      <c r="L24" s="22">
        <f>SUM(L4:L23)</f>
        <v>29690281357.400646</v>
      </c>
      <c r="M24" s="23"/>
      <c r="N24" s="26">
        <v>29690281357.400669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3535784.58</v>
      </c>
      <c r="C27" s="51">
        <v>3535784.58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996101</v>
      </c>
      <c r="D32" s="7" t="s">
        <v>51</v>
      </c>
      <c r="E32" s="34" t="s">
        <v>52</v>
      </c>
      <c r="F32" s="34" t="s">
        <v>53</v>
      </c>
      <c r="G32" s="15">
        <v>891.21299999698806</v>
      </c>
      <c r="H32" s="15">
        <v>891.595125273441</v>
      </c>
      <c r="I32" s="16">
        <f t="shared" ref="I32:I40" si="1">+C32*G32</f>
        <v>887738160.50999975</v>
      </c>
      <c r="J32" s="16">
        <f t="shared" ref="J32:J40" si="2">+C32*H32</f>
        <v>888118795.87999988</v>
      </c>
      <c r="K32" s="18">
        <v>0.156501</v>
      </c>
      <c r="L32" s="17">
        <v>380635.37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996101</v>
      </c>
      <c r="D33" s="7" t="s">
        <v>51</v>
      </c>
      <c r="E33" s="34" t="s">
        <v>53</v>
      </c>
      <c r="F33" s="34" t="s">
        <v>53</v>
      </c>
      <c r="G33" s="15">
        <v>891.21299999698806</v>
      </c>
      <c r="H33" s="15">
        <v>891.595125273441</v>
      </c>
      <c r="I33" s="16">
        <f t="shared" si="1"/>
        <v>887738160.50999975</v>
      </c>
      <c r="J33" s="16">
        <f t="shared" si="2"/>
        <v>888118795.87999988</v>
      </c>
      <c r="K33" s="18">
        <v>0.156501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9395</v>
      </c>
      <c r="D34" s="7" t="s">
        <v>51</v>
      </c>
      <c r="E34" s="34" t="s">
        <v>52</v>
      </c>
      <c r="F34" s="34" t="s">
        <v>53</v>
      </c>
      <c r="G34" s="15">
        <v>532.46600000000001</v>
      </c>
      <c r="H34" s="15">
        <v>532.69430548163905</v>
      </c>
      <c r="I34" s="16">
        <f t="shared" si="1"/>
        <v>5002518.07</v>
      </c>
      <c r="J34" s="16">
        <f t="shared" si="2"/>
        <v>5004662.9999999991</v>
      </c>
      <c r="K34" s="18">
        <v>0.156501</v>
      </c>
      <c r="L34" s="17">
        <v>2144.9299999999998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9395</v>
      </c>
      <c r="D35" s="7" t="s">
        <v>51</v>
      </c>
      <c r="E35" s="34" t="s">
        <v>53</v>
      </c>
      <c r="F35" s="34" t="s">
        <v>53</v>
      </c>
      <c r="G35" s="15">
        <v>532.46600000000001</v>
      </c>
      <c r="H35" s="15">
        <v>532.69430548163905</v>
      </c>
      <c r="I35" s="16">
        <f t="shared" si="1"/>
        <v>5002518.07</v>
      </c>
      <c r="J35" s="16">
        <f t="shared" si="2"/>
        <v>5004662.9999999991</v>
      </c>
      <c r="K35" s="18">
        <v>0.156501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2379000</v>
      </c>
      <c r="D36" s="7" t="s">
        <v>51</v>
      </c>
      <c r="E36" s="34" t="s">
        <v>52</v>
      </c>
      <c r="F36" s="34" t="s">
        <v>53</v>
      </c>
      <c r="G36" s="15">
        <v>546.72070000000008</v>
      </c>
      <c r="H36" s="15">
        <v>546.95586479613303</v>
      </c>
      <c r="I36" s="16">
        <f t="shared" si="1"/>
        <v>1300648545.3000002</v>
      </c>
      <c r="J36" s="16">
        <f t="shared" si="2"/>
        <v>1301208002.3500004</v>
      </c>
      <c r="K36" s="18">
        <v>0.157</v>
      </c>
      <c r="L36" s="17">
        <v>559457.05000000005</v>
      </c>
      <c r="M36" s="17"/>
      <c r="N36" s="35"/>
    </row>
    <row r="37" spans="1:15" s="36" customFormat="1" ht="12" customHeight="1" x14ac:dyDescent="0.25">
      <c r="A37" s="12" t="s">
        <v>56</v>
      </c>
      <c r="B37" s="7" t="s">
        <v>57</v>
      </c>
      <c r="C37" s="14">
        <v>2379000</v>
      </c>
      <c r="D37" s="7" t="s">
        <v>51</v>
      </c>
      <c r="E37" s="34" t="s">
        <v>53</v>
      </c>
      <c r="F37" s="34" t="s">
        <v>53</v>
      </c>
      <c r="G37" s="15">
        <v>546.72070000000008</v>
      </c>
      <c r="H37" s="15">
        <v>546.95586479613303</v>
      </c>
      <c r="I37" s="16">
        <f t="shared" si="1"/>
        <v>1300648545.3000002</v>
      </c>
      <c r="J37" s="16">
        <f t="shared" si="2"/>
        <v>1301208002.3500004</v>
      </c>
      <c r="K37" s="18">
        <v>0.157</v>
      </c>
      <c r="L37" s="17"/>
      <c r="M37" s="17"/>
      <c r="N37" s="35"/>
    </row>
    <row r="38" spans="1:15" s="36" customFormat="1" ht="12" customHeight="1" x14ac:dyDescent="0.25">
      <c r="A38" s="12" t="s">
        <v>58</v>
      </c>
      <c r="B38" s="7" t="s">
        <v>59</v>
      </c>
      <c r="C38" s="14">
        <v>1439100</v>
      </c>
      <c r="D38" s="7" t="s">
        <v>51</v>
      </c>
      <c r="E38" s="34" t="s">
        <v>53</v>
      </c>
      <c r="F38" s="34" t="s">
        <v>60</v>
      </c>
      <c r="G38" s="15">
        <v>903.9670000000001</v>
      </c>
      <c r="H38" s="15">
        <v>904.35533432006105</v>
      </c>
      <c r="I38" s="16">
        <f t="shared" si="1"/>
        <v>1300898909.7</v>
      </c>
      <c r="J38" s="16">
        <f t="shared" si="2"/>
        <v>1301457761.6199999</v>
      </c>
      <c r="K38" s="18">
        <v>0.15679999999999999</v>
      </c>
      <c r="L38" s="17"/>
      <c r="M38" s="17">
        <v>1300898909.7</v>
      </c>
      <c r="N38" s="35"/>
    </row>
    <row r="39" spans="1:15" s="36" customFormat="1" ht="12" customHeight="1" x14ac:dyDescent="0.25">
      <c r="A39" s="12" t="s">
        <v>61</v>
      </c>
      <c r="B39" s="7" t="s">
        <v>62</v>
      </c>
      <c r="C39" s="14">
        <v>10022213</v>
      </c>
      <c r="D39" s="7" t="s">
        <v>51</v>
      </c>
      <c r="E39" s="34" t="s">
        <v>53</v>
      </c>
      <c r="F39" s="34" t="s">
        <v>60</v>
      </c>
      <c r="G39" s="15">
        <v>88.503700000189568</v>
      </c>
      <c r="H39" s="15">
        <v>88.541743982092569</v>
      </c>
      <c r="I39" s="16">
        <f t="shared" si="1"/>
        <v>887002932.68999994</v>
      </c>
      <c r="J39" s="16">
        <f t="shared" si="2"/>
        <v>887384217.57999992</v>
      </c>
      <c r="K39" s="18">
        <v>0.15689799999999998</v>
      </c>
      <c r="L39" s="17"/>
      <c r="M39" s="17">
        <v>887002932.69000006</v>
      </c>
      <c r="N39" s="35"/>
    </row>
    <row r="40" spans="1:15" s="36" customFormat="1" ht="12" customHeight="1" x14ac:dyDescent="0.25">
      <c r="A40" s="12" t="s">
        <v>63</v>
      </c>
      <c r="B40" s="7" t="s">
        <v>64</v>
      </c>
      <c r="C40" s="14">
        <v>6456</v>
      </c>
      <c r="D40" s="7" t="s">
        <v>51</v>
      </c>
      <c r="E40" s="34" t="s">
        <v>53</v>
      </c>
      <c r="F40" s="34" t="s">
        <v>60</v>
      </c>
      <c r="G40" s="15">
        <v>930.19800030978899</v>
      </c>
      <c r="H40" s="15">
        <v>930.596838599752</v>
      </c>
      <c r="I40" s="16">
        <f t="shared" si="1"/>
        <v>6005358.2899999982</v>
      </c>
      <c r="J40" s="16">
        <f t="shared" si="2"/>
        <v>6007933.1899999985</v>
      </c>
      <c r="K40" s="18">
        <v>0.1565</v>
      </c>
      <c r="L40" s="17"/>
      <c r="M40" s="17">
        <v>6005358.29</v>
      </c>
      <c r="N40" s="35"/>
    </row>
    <row r="41" spans="1:15" s="36" customFormat="1" ht="11.25" hidden="1" x14ac:dyDescent="0.25">
      <c r="A41" s="7"/>
      <c r="B41" s="7"/>
      <c r="C41" s="7"/>
      <c r="D41" s="7"/>
      <c r="E41" s="37"/>
      <c r="F41" s="37"/>
      <c r="G41" s="7"/>
      <c r="H41" s="7"/>
      <c r="I41" s="8"/>
      <c r="J41" s="8"/>
      <c r="K41" s="7"/>
      <c r="L41" s="9"/>
      <c r="M41" s="9"/>
      <c r="N41" s="35"/>
    </row>
    <row r="42" spans="1:15" x14ac:dyDescent="0.25">
      <c r="A42" s="1" t="s">
        <v>5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2">
        <f>SUM(M32:M41)</f>
        <v>2193907200.6800003</v>
      </c>
      <c r="N42" s="38">
        <v>2193907200.6800003</v>
      </c>
      <c r="O42" s="29">
        <f>M42-N42</f>
        <v>0</v>
      </c>
    </row>
    <row r="44" spans="1:15" x14ac:dyDescent="0.25">
      <c r="A44" s="39" t="s">
        <v>28</v>
      </c>
      <c r="B44" s="33"/>
      <c r="D44" s="33"/>
      <c r="F44" s="28"/>
      <c r="G44" s="28"/>
    </row>
    <row r="45" spans="1:15" ht="22.5" x14ac:dyDescent="0.25">
      <c r="A45" s="19" t="s">
        <v>6</v>
      </c>
      <c r="B45" s="19" t="s">
        <v>29</v>
      </c>
      <c r="C45" s="19" t="s">
        <v>17</v>
      </c>
      <c r="D45" s="19" t="s">
        <v>30</v>
      </c>
      <c r="E45" s="19" t="s">
        <v>16</v>
      </c>
      <c r="F45" s="19" t="s">
        <v>31</v>
      </c>
      <c r="G45" s="19" t="s">
        <v>32</v>
      </c>
    </row>
    <row r="46" spans="1:15" hidden="1" x14ac:dyDescent="0.25">
      <c r="B46" s="41"/>
      <c r="C46" s="42"/>
      <c r="D46" s="43"/>
      <c r="G46" s="44"/>
      <c r="H46" s="33"/>
    </row>
    <row r="47" spans="1:15" x14ac:dyDescent="0.25">
      <c r="G47" s="45">
        <f>SUM(G46:G46)</f>
        <v>0</v>
      </c>
    </row>
    <row r="49" spans="1:5" x14ac:dyDescent="0.25">
      <c r="A49" s="46" t="s">
        <v>13</v>
      </c>
      <c r="B49" s="47">
        <f>+L24+B27+M42+G47</f>
        <v>31887724342.660648</v>
      </c>
      <c r="C49" s="32">
        <v>31887724342.660671</v>
      </c>
      <c r="D49" s="29">
        <f>B49-C49</f>
        <v>0</v>
      </c>
      <c r="E49" s="29">
        <f>[1]Report!$E$50-B49</f>
        <v>0</v>
      </c>
    </row>
    <row r="52" spans="1:5" x14ac:dyDescent="0.25">
      <c r="A52" s="24" t="s">
        <v>46</v>
      </c>
      <c r="B52" s="33"/>
      <c r="C52" s="26" t="s">
        <v>123</v>
      </c>
    </row>
    <row r="53" spans="1:5" x14ac:dyDescent="0.25">
      <c r="A53" s="48" t="s">
        <v>35</v>
      </c>
      <c r="B53" s="49">
        <f>'Расчет ДУ'!H2</f>
        <v>3194455.33</v>
      </c>
    </row>
    <row r="54" spans="1:5" x14ac:dyDescent="0.25">
      <c r="A54" s="48" t="s">
        <v>36</v>
      </c>
      <c r="B54" s="40"/>
    </row>
    <row r="55" spans="1:5" x14ac:dyDescent="0.25">
      <c r="A55" s="48" t="s">
        <v>37</v>
      </c>
      <c r="B55" s="40">
        <v>461017.86999999994</v>
      </c>
      <c r="C55" s="26">
        <f>[1]Report!$E$56</f>
        <v>461017.89337787294</v>
      </c>
      <c r="D55" s="52">
        <f>B55-C55</f>
        <v>-2.3377873003482819E-2</v>
      </c>
    </row>
    <row r="56" spans="1:5" x14ac:dyDescent="0.25">
      <c r="A56" s="48" t="s">
        <v>38</v>
      </c>
      <c r="B56" s="40"/>
    </row>
    <row r="57" spans="1:5" x14ac:dyDescent="0.25">
      <c r="A57" s="48" t="s">
        <v>39</v>
      </c>
      <c r="B57" s="49">
        <v>383794.86544767627</v>
      </c>
    </row>
    <row r="58" spans="1:5" x14ac:dyDescent="0.25">
      <c r="A58" s="48" t="s">
        <v>40</v>
      </c>
      <c r="B58" s="50">
        <v>68596.570000000007</v>
      </c>
      <c r="C58" s="26">
        <f>[1]Report!$D$56</f>
        <v>68596.570000000007</v>
      </c>
      <c r="D58" s="52">
        <f>B58-C58</f>
        <v>0</v>
      </c>
    </row>
    <row r="59" spans="1:5" x14ac:dyDescent="0.25">
      <c r="A59" s="48" t="s">
        <v>41</v>
      </c>
      <c r="B59" s="50">
        <v>34148.090000000004</v>
      </c>
      <c r="C59" s="26">
        <f>[1]Report!$C$56</f>
        <v>34148.090000000011</v>
      </c>
      <c r="D59" s="52">
        <f>B59-C59</f>
        <v>0</v>
      </c>
    </row>
    <row r="60" spans="1:5" x14ac:dyDescent="0.25">
      <c r="A60" s="48" t="s">
        <v>42</v>
      </c>
      <c r="B60" s="40"/>
    </row>
    <row r="61" spans="1:5" x14ac:dyDescent="0.25">
      <c r="A61" s="48" t="s">
        <v>43</v>
      </c>
      <c r="B61" s="40"/>
    </row>
    <row r="62" spans="1:5" x14ac:dyDescent="0.25">
      <c r="A62" s="48" t="s">
        <v>44</v>
      </c>
      <c r="B62" s="50"/>
    </row>
    <row r="63" spans="1:5" x14ac:dyDescent="0.25">
      <c r="A63" s="48" t="s">
        <v>45</v>
      </c>
      <c r="B63" s="49">
        <f>SUM(B53:B62)</f>
        <v>4142012.7254476761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0947E-CEC4-4F68-AEFA-EC90277C02CD}">
  <dimension ref="A1:H2"/>
  <sheetViews>
    <sheetView workbookViewId="0">
      <selection activeCell="H2" sqref="H2"/>
    </sheetView>
  </sheetViews>
  <sheetFormatPr defaultRowHeight="15" x14ac:dyDescent="0.25"/>
  <cols>
    <col min="1" max="1" width="16.5703125" bestFit="1" customWidth="1"/>
    <col min="2" max="2" width="26.42578125" bestFit="1" customWidth="1"/>
    <col min="3" max="3" width="27.85546875" bestFit="1" customWidth="1"/>
    <col min="4" max="4" width="35.42578125" bestFit="1" customWidth="1"/>
    <col min="5" max="5" width="50.42578125" bestFit="1" customWidth="1"/>
    <col min="6" max="6" width="36.140625" bestFit="1" customWidth="1"/>
    <col min="7" max="7" width="24.140625" bestFit="1" customWidth="1"/>
    <col min="8" max="8" width="14.5703125" bestFit="1" customWidth="1"/>
  </cols>
  <sheetData>
    <row r="1" spans="1:8" x14ac:dyDescent="0.25">
      <c r="A1" t="s">
        <v>124</v>
      </c>
      <c r="B1" t="s">
        <v>125</v>
      </c>
      <c r="C1" t="s">
        <v>126</v>
      </c>
      <c r="D1" t="s">
        <v>128</v>
      </c>
      <c r="E1" t="s">
        <v>129</v>
      </c>
      <c r="F1" t="s">
        <v>130</v>
      </c>
      <c r="G1" t="s">
        <v>131</v>
      </c>
      <c r="H1" t="s">
        <v>127</v>
      </c>
    </row>
    <row r="2" spans="1:8" x14ac:dyDescent="0.25">
      <c r="A2" s="53">
        <v>31948716361.919064</v>
      </c>
      <c r="B2" s="54">
        <f>ДУ!B55+ДУ!B57+ДУ!B58+ДУ!B59</f>
        <v>947557.39544767619</v>
      </c>
      <c r="C2" s="55">
        <f>A2*0.12%/12</f>
        <v>3194871.6361919059</v>
      </c>
      <c r="D2" s="55">
        <v>3230878.62</v>
      </c>
      <c r="E2" s="55">
        <v>3230876.56</v>
      </c>
      <c r="F2" s="54">
        <f>ROUND((E2-D2),2)</f>
        <v>-2.06</v>
      </c>
      <c r="G2" s="55">
        <f>ROUND(((A2-B2-C2)*0.12%/12),2)</f>
        <v>3194457.39</v>
      </c>
      <c r="H2" s="56">
        <f>F2+G2</f>
        <v>3194455.33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ДУ</vt:lpstr>
      <vt:lpstr>Расчет 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2025-08-01T05:48:23Z</dcterms:created>
  <dcterms:modified xsi:type="dcterms:W3CDTF">2025-08-04T10:41:51Z</dcterms:modified>
</cp:coreProperties>
</file>