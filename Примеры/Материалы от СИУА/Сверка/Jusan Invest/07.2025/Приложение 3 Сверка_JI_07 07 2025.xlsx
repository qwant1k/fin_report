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7DA31856-0C4A-4001-9DD3-3C657D509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B42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<sst xmlns="http://schemas.openxmlformats.org/spreadsheetml/2006/main" count="140" uniqueCount="117">
  <si>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</si>
  <si>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</si>
  <si>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</si>
  <si>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</si>
  <si>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</si>
  <si>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</si>
  <si>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</si>
  <si>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</si>
  <si>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</si>
  <si>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</si>
  <si>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</si>
  <si>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</si>
  <si>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</si>
  <si>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</si>
  <si>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</si>
  <si>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</si>
  <si>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</si>
  <si>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</si>
  <si>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</si>
  <si>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</si>
  <si>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</si>
  <si>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</si>
  <si>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</si>
  <si>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</si>
  <si>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</si>
  <si>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</si>
  <si>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</si>
  <si>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</si>
  <si>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</si>
  <si>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</si>
  <si>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</si>
  <si>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</si>
  <si>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</si>
  <si>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</si>
  <si>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</si>
  <si>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</si>
  <si>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</si>
  <si>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</si>
  <si>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</si>
  <si>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</si>
  <si>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</si>
  <si>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</si>
  <si>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</si>
  <si>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</si>
  <si>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</si>
  <si>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</si>
  <si>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</si>
  <si>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</si>
  <si>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</si>
  <si>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</si>
  <si>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</si>
  <si>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</si>
  <si>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04.07.2025</t>
  </si>
  <si>
    <t>08.07.2025</t>
  </si>
  <si>
    <t>МИНИСТЕРСТВО ФИНАНСОВ РК, ОБЛИГАЦИИ, KZ_14_2609</t>
  </si>
  <si>
    <t>XS2050933899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</si>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</sst>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3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97.051700000000011</v>
      </c>
      <c r="J4" s="11">
        <v>101.971755555556</v>
      </c>
      <c r="K4" s="11">
        <v>148585677.777778</v>
      </c>
      <c r="L4" s="11">
        <v>3079547017.7777772</v>
      </c>
      <c r="M4" s="6">
        <f t="shared" ref="M4:M22" si="0">L4/$L$24</f>
        <v>9.9513781244286545E-2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84.138400000000004</v>
      </c>
      <c r="J5" s="11">
        <v>94.072983333333326</v>
      </c>
      <c r="K5" s="11">
        <v>225018312.5</v>
      </c>
      <c r="L5" s="11">
        <v>2130753072.499999</v>
      </c>
      <c r="M5" s="6">
        <f t="shared" si="0"/>
        <v>6.8854053507962143E-2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84.138400000000004</v>
      </c>
      <c r="J6" s="11">
        <v>94.07298333333361</v>
      </c>
      <c r="K6" s="11">
        <v>154149564.90833399</v>
      </c>
      <c r="L6" s="11">
        <v>1459679682.972337</v>
      </c>
      <c r="M6" s="6">
        <f t="shared" si="0"/>
        <v>4.7168704948969423E-2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84.138400000000004</v>
      </c>
      <c r="J7" s="11">
        <v>94.072983333333326</v>
      </c>
      <c r="K7" s="11">
        <v>54212226.483333342</v>
      </c>
      <c r="L7" s="11">
        <v>513348744.21133298</v>
      </c>
      <c r="M7" s="6">
        <f t="shared" si="0"/>
        <v>1.6588567844091334E-2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86.352800000000002</v>
      </c>
      <c r="J8" s="11">
        <v>88.808355555555551</v>
      </c>
      <c r="K8" s="11">
        <v>55618333.333333328</v>
      </c>
      <c r="L8" s="11">
        <v>2011509253.333333</v>
      </c>
      <c r="M8" s="6">
        <f t="shared" si="0"/>
        <v>6.5000758439959658E-2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85.729300000000009</v>
      </c>
      <c r="J9" s="11">
        <v>88.693188888888869</v>
      </c>
      <c r="K9" s="11">
        <v>67132083.333333328</v>
      </c>
      <c r="L9" s="11">
        <v>2008900728.333333</v>
      </c>
      <c r="M9" s="6">
        <f t="shared" si="0"/>
        <v>6.4916465462868639E-2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81.055500000000009</v>
      </c>
      <c r="J10" s="11">
        <v>84.202722222222221</v>
      </c>
      <c r="K10" s="11">
        <v>71284583.333333328</v>
      </c>
      <c r="L10" s="11">
        <v>1907191658.333333</v>
      </c>
      <c r="M10" s="6">
        <f t="shared" si="0"/>
        <v>6.1629795675360893E-2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72.584699999999998</v>
      </c>
      <c r="J11" s="11">
        <v>74.485949999999988</v>
      </c>
      <c r="K11" s="11">
        <v>43063312.499999993</v>
      </c>
      <c r="L11" s="11">
        <v>1687106767.499999</v>
      </c>
      <c r="M11" s="6">
        <f t="shared" si="0"/>
        <v>5.4517879684104049E-2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81.188100000000006</v>
      </c>
      <c r="J12" s="11">
        <v>91.276016666666649</v>
      </c>
      <c r="K12" s="11">
        <v>228491312.5</v>
      </c>
      <c r="L12" s="11">
        <v>2067401777.5</v>
      </c>
      <c r="M12" s="6">
        <f t="shared" si="0"/>
        <v>6.6806893040601778E-2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67.881500000000003</v>
      </c>
      <c r="J13" s="11">
        <v>69.114416666666656</v>
      </c>
      <c r="K13" s="11">
        <v>27925562.5</v>
      </c>
      <c r="L13" s="11">
        <v>1565441537.5</v>
      </c>
      <c r="M13" s="6">
        <f t="shared" si="0"/>
        <v>5.0586338125114483E-2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66.842500000000001</v>
      </c>
      <c r="J14" s="11">
        <v>70.384333333333331</v>
      </c>
      <c r="K14" s="11">
        <v>80222525</v>
      </c>
      <c r="L14" s="11">
        <v>1594205150</v>
      </c>
      <c r="M14" s="6">
        <f t="shared" si="0"/>
        <v>5.1515817631547202E-2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83.278900000000007</v>
      </c>
      <c r="J15" s="11">
        <v>84.803899999999999</v>
      </c>
      <c r="K15" s="11">
        <v>57568750</v>
      </c>
      <c r="L15" s="11">
        <v>3201347225</v>
      </c>
      <c r="M15" s="6">
        <f t="shared" si="0"/>
        <v>0.10344968451416664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60.8371</v>
      </c>
      <c r="J16" s="11">
        <v>61.95237777777777</v>
      </c>
      <c r="K16" s="11">
        <v>31270827.5</v>
      </c>
      <c r="L16" s="11">
        <v>1737057939.5599999</v>
      </c>
      <c r="M16" s="6">
        <f t="shared" si="0"/>
        <v>5.6132022926788372E-2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87.593800000000002</v>
      </c>
      <c r="J17" s="11">
        <v>91.593800000000002</v>
      </c>
      <c r="K17" s="11">
        <v>41539200</v>
      </c>
      <c r="L17" s="11">
        <v>951183294.24000001</v>
      </c>
      <c r="M17" s="6">
        <f t="shared" si="0"/>
        <v>3.0736938166485123E-2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97.798700000000011</v>
      </c>
      <c r="J18" s="11">
        <v>99.888005555555551</v>
      </c>
      <c r="K18" s="11">
        <v>10592549.34305555</v>
      </c>
      <c r="L18" s="11">
        <v>506421200.48605603</v>
      </c>
      <c r="M18" s="6">
        <f t="shared" si="0"/>
        <v>1.6364708274207284E-2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94.299034271423693</v>
      </c>
      <c r="J19" s="11">
        <v>106.374589826979</v>
      </c>
      <c r="K19" s="11">
        <v>253586666.66666701</v>
      </c>
      <c r="L19" s="11">
        <v>2233866386.3665638</v>
      </c>
      <c r="M19" s="6">
        <f t="shared" si="0"/>
        <v>7.2186100624065386E-2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99.472100000000012</v>
      </c>
      <c r="J20" s="11">
        <v>103.97985</v>
      </c>
      <c r="K20" s="11">
        <v>49585250</v>
      </c>
      <c r="L20" s="11">
        <v>1143778350</v>
      </c>
      <c r="M20" s="6">
        <f t="shared" si="0"/>
        <v>3.6960536032336844E-2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97.266789203725097</v>
      </c>
      <c r="J21" s="11">
        <v>98.771539203725084</v>
      </c>
      <c r="K21" s="11">
        <v>15047499.999999991</v>
      </c>
      <c r="L21" s="11">
        <v>987715392.037251</v>
      </c>
      <c r="M21" s="6">
        <f t="shared" si="0"/>
        <v>3.1917451783456584E-2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95.355489176415006</v>
      </c>
      <c r="J22" s="11">
        <v>96.223544731957134</v>
      </c>
      <c r="K22" s="11">
        <v>1438706.5972</v>
      </c>
      <c r="L22" s="11">
        <v>159479940.803298</v>
      </c>
      <c r="M22" s="6">
        <f t="shared" si="0"/>
        <v>5.1535020736275016E-3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1616332944.2763679</v>
      </c>
      <c r="L24" s="22">
        <f>SUM(L4:L23)</f>
        <v>30945935118.454617</v>
      </c>
      <c r="M24" s="23"/>
      <c r="N24" s="26">
        <v>30945935118.454643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5870043.96</v>
      </c>
      <c r="C27" s="51">
        <v>5870043.96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8664</v>
      </c>
      <c r="D32" s="7" t="s">
        <v>51</v>
      </c>
      <c r="E32" s="34" t="s">
        <v>52</v>
      </c>
      <c r="F32" s="34" t="s">
        <v>53</v>
      </c>
      <c r="G32" s="15">
        <v>923.51799976916004</v>
      </c>
      <c r="H32" s="15">
        <v>925.09126962142204</v>
      </c>
      <c r="I32" s="16">
        <f>+C32*G32</f>
        <v>8001359.950000003</v>
      </c>
      <c r="J32" s="16">
        <f>+C32*H32</f>
        <v>8014990.7600000007</v>
      </c>
      <c r="K32" s="18">
        <v>0.15545</v>
      </c>
      <c r="L32" s="17">
        <v>3407.7025000000003</v>
      </c>
      <c r="M32" s="17">
        <v>8011583.0575000001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2178984</v>
      </c>
      <c r="D33" s="7" t="s">
        <v>51</v>
      </c>
      <c r="E33" s="34" t="s">
        <v>52</v>
      </c>
      <c r="F33" s="34" t="s">
        <v>53</v>
      </c>
      <c r="G33" s="15">
        <v>598.50289999834808</v>
      </c>
      <c r="H33" s="15">
        <v>599.52248658090207</v>
      </c>
      <c r="I33" s="16">
        <f>+C33*G33</f>
        <v>1304128243.0500004</v>
      </c>
      <c r="J33" s="16">
        <f>+C33*H33</f>
        <v>1306349905.9000003</v>
      </c>
      <c r="K33" s="18">
        <v>0.15545</v>
      </c>
      <c r="L33" s="17">
        <v>555415.71250000002</v>
      </c>
      <c r="M33" s="17">
        <v>1305794490.1875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1313806073.2449999</v>
      </c>
      <c r="N35" s="38">
        <v>1313806073.2449999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32265611235.659615</v>
      </c>
      <c r="C42" s="32">
        <v>32265611235.659641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102790.73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13842.369999999999</v>
      </c>
    </row>
    <row r="52" spans="1:2" x14ac:dyDescent="0.25">
      <c r="A52" s="48" t="s">
        <v>41</v>
      </c>
      <c r="B52" s="50">
        <v>6888.4400000000005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123521.54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2025-07-08T06:10:39Z</dcterms:created>
  <dcterms:modified xsi:type="dcterms:W3CDTF">2025-07-08T10:32:20Z</dcterms:modified>
</cp:coreProperties>
</file>