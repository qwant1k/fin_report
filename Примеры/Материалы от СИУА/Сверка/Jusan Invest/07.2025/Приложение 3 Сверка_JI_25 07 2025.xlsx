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ECF53E6D-A7FC-43A5-89F8-A6339A5C9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B46" i="1" s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<sst xmlns="http://schemas.openxmlformats.org/spreadsheetml/2006/main" count="160" uniqueCount="119">
  <si>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</si>
  <si>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</si>
  <si>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</si>
  <si>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</si>
  <si>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</si>
  <si>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</si>
  <si>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</si>
  <si>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</si>
  <si>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</si>
  <si>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</si>
  <si>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</si>
  <si>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</si>
  <si>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</si>
  <si>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</si>
  <si>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</si>
  <si>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</si>
  <si>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</si>
  <si>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</si>
  <si>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</si>
  <si>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</si>
  <si>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</si>
  <si>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</si>
  <si>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</si>
  <si>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</si>
  <si>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</si>
  <si>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</si>
  <si>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</si>
  <si>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</si>
  <si>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</si>
  <si>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</si>
  <si>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</si>
  <si>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</si>
  <si>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</si>
  <si>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</si>
  <si>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</si>
  <si>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</si>
  <si>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</si>
  <si>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</si>
  <si>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</si>
  <si>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</si>
  <si>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</si>
  <si>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</si>
  <si>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</si>
  <si>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</si>
  <si>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</si>
  <si>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</si>
  <si>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</si>
  <si>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</si>
  <si>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</si>
  <si>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</si>
  <si>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</si>
  <si>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</si>
  <si>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25.07.2025</t>
  </si>
  <si>
    <t>28.07.2025</t>
  </si>
  <si>
    <t>МИНИСТЕРСТВО ФИНАНСОВ РК, ГЦБ, MOM060_0054</t>
  </si>
  <si>
    <t>KZK200000737</t>
  </si>
  <si>
    <t>МИНИСТЕРСТВО ФИНАНСОВ РК, ГЦБ, MUM180_0009</t>
  </si>
  <si>
    <t>KZKD00000717</t>
  </si>
  <si>
    <t>24.07.2025</t>
  </si>
  <si>
    <t>АКЦИОНЕРНОЕ ОБЩЕСТВО КАЗАХСТАНСКИЙ ФОНД УСТОЙЧИВОСТИ, ОБЛИГАЦИИ, KFUSb11</t>
  </si>
  <si>
    <t>KZ2C00007334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</si>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</sst>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3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97.590400000000002</v>
      </c>
      <c r="J4" s="11">
        <v>97.708955555555548</v>
      </c>
      <c r="K4" s="11">
        <v>3580377.7777777798</v>
      </c>
      <c r="L4" s="11">
        <v>2950810457.7777772</v>
      </c>
      <c r="M4" s="6">
        <f t="shared" ref="M4:M22" si="0">L4/$L$24</f>
        <v>9.7385553803145411E-2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82.7727</v>
      </c>
      <c r="J5" s="11">
        <v>93.234783333333326</v>
      </c>
      <c r="K5" s="11">
        <v>236966187.5</v>
      </c>
      <c r="L5" s="11">
        <v>2111767842.499999</v>
      </c>
      <c r="M5" s="6">
        <f t="shared" si="0"/>
        <v>6.9694642806848728E-2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82.7727</v>
      </c>
      <c r="J6" s="11">
        <v>93.23478333333361</v>
      </c>
      <c r="K6" s="11">
        <v>162334497.55833399</v>
      </c>
      <c r="L6" s="11">
        <v>1446673786.2003369</v>
      </c>
      <c r="M6" s="6">
        <f t="shared" si="0"/>
        <v>4.7744553524360224E-2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82.7727</v>
      </c>
      <c r="J7" s="11">
        <v>93.234783333333326</v>
      </c>
      <c r="K7" s="11">
        <v>57090751.783333339</v>
      </c>
      <c r="L7" s="11">
        <v>508774753.86733299</v>
      </c>
      <c r="M7" s="6">
        <f t="shared" si="0"/>
        <v>1.6791085661172135E-2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86.378900000000002</v>
      </c>
      <c r="J8" s="11">
        <v>89.354455555555546</v>
      </c>
      <c r="K8" s="11">
        <v>67396333.333333328</v>
      </c>
      <c r="L8" s="11">
        <v>2023878418.333333</v>
      </c>
      <c r="M8" s="6">
        <f t="shared" si="0"/>
        <v>6.6794029443713182E-2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84.67240000000001</v>
      </c>
      <c r="J9" s="11">
        <v>88.186288888888882</v>
      </c>
      <c r="K9" s="11">
        <v>79589583.333333328</v>
      </c>
      <c r="L9" s="11">
        <v>1997419443.333333</v>
      </c>
      <c r="M9" s="6">
        <f t="shared" si="0"/>
        <v>6.592080428394502E-2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77.841200000000001</v>
      </c>
      <c r="J10" s="11">
        <v>81.503422222222213</v>
      </c>
      <c r="K10" s="11">
        <v>82949333.333333328</v>
      </c>
      <c r="L10" s="11">
        <v>1846052513.333333</v>
      </c>
      <c r="M10" s="6">
        <f t="shared" si="0"/>
        <v>6.0925243736612136E-2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68.54610000000001</v>
      </c>
      <c r="J11" s="11">
        <v>70.869849999999985</v>
      </c>
      <c r="K11" s="11">
        <v>52632937.499999993</v>
      </c>
      <c r="L11" s="11">
        <v>1605202102.499999</v>
      </c>
      <c r="M11" s="6">
        <f t="shared" si="0"/>
        <v>5.2976461197599689E-2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76.726100000000002</v>
      </c>
      <c r="J12" s="11">
        <v>87.346516666666659</v>
      </c>
      <c r="K12" s="11">
        <v>240552437.5</v>
      </c>
      <c r="L12" s="11">
        <v>1978398602.5</v>
      </c>
      <c r="M12" s="6">
        <f t="shared" si="0"/>
        <v>6.5293059755836422E-2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62.520900000000005</v>
      </c>
      <c r="J13" s="11">
        <v>64.157316666666659</v>
      </c>
      <c r="K13" s="11">
        <v>37064837.5</v>
      </c>
      <c r="L13" s="11">
        <v>1453163222.5</v>
      </c>
      <c r="M13" s="6">
        <f t="shared" si="0"/>
        <v>4.7958724294376018E-2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61.148900000000005</v>
      </c>
      <c r="J14" s="11">
        <v>65.094233333333321</v>
      </c>
      <c r="K14" s="11">
        <v>89361800</v>
      </c>
      <c r="L14" s="11">
        <v>1474384385</v>
      </c>
      <c r="M14" s="6">
        <f t="shared" si="0"/>
        <v>4.8659086005837959E-2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84.241700000000009</v>
      </c>
      <c r="J15" s="11">
        <v>86.041200000000003</v>
      </c>
      <c r="K15" s="11">
        <v>67931125</v>
      </c>
      <c r="L15" s="11">
        <v>3248055300</v>
      </c>
      <c r="M15" s="6">
        <f t="shared" si="0"/>
        <v>0.10719552092544565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57.1096</v>
      </c>
      <c r="J16" s="11">
        <v>58.499877777777769</v>
      </c>
      <c r="K16" s="11">
        <v>38981442.5</v>
      </c>
      <c r="L16" s="11">
        <v>1640254673.0599999</v>
      </c>
      <c r="M16" s="6">
        <f t="shared" si="0"/>
        <v>5.4133300664266165E-2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85.400700000000001</v>
      </c>
      <c r="J17" s="11">
        <v>90.000700000000009</v>
      </c>
      <c r="K17" s="11">
        <v>47770080</v>
      </c>
      <c r="L17" s="11">
        <v>934639269.36000001</v>
      </c>
      <c r="M17" s="6">
        <f t="shared" si="0"/>
        <v>3.0845885954104021E-2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98.028800000000004</v>
      </c>
      <c r="J18" s="11">
        <v>100.88560555555601</v>
      </c>
      <c r="K18" s="11">
        <v>14483689.918055549</v>
      </c>
      <c r="L18" s="11">
        <v>511478922.75005603</v>
      </c>
      <c r="M18" s="6">
        <f t="shared" si="0"/>
        <v>1.68803313067293E-2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94.59178432307101</v>
      </c>
      <c r="J19" s="11">
        <v>107.38233987862701</v>
      </c>
      <c r="K19" s="11">
        <v>268601666.66666698</v>
      </c>
      <c r="L19" s="11">
        <v>2255029137.4511571</v>
      </c>
      <c r="M19" s="6">
        <f t="shared" si="0"/>
        <v>7.442269320080086E-2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99.627700000000004</v>
      </c>
      <c r="J20" s="11">
        <v>104.82895000000001</v>
      </c>
      <c r="K20" s="11">
        <v>57213750</v>
      </c>
      <c r="L20" s="11">
        <v>1153118450</v>
      </c>
      <c r="M20" s="6">
        <f t="shared" si="0"/>
        <v>3.8056351114616943E-2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97.82461138073289</v>
      </c>
      <c r="J21" s="11">
        <v>100.02386138073301</v>
      </c>
      <c r="K21" s="11">
        <v>21992499.999999989</v>
      </c>
      <c r="L21" s="11">
        <v>1000238613.807328</v>
      </c>
      <c r="M21" s="6">
        <f t="shared" si="0"/>
        <v>3.3010860146630565E-2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95.617127196287399</v>
      </c>
      <c r="J22" s="11">
        <v>97.110182751829541</v>
      </c>
      <c r="K22" s="11">
        <v>2474575.3472000002</v>
      </c>
      <c r="L22" s="11">
        <v>160949445.79105499</v>
      </c>
      <c r="M22" s="6">
        <f t="shared" si="0"/>
        <v>5.3118121739595741E-3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1628967906.5513678</v>
      </c>
      <c r="L24" s="22">
        <f>SUM(L4:L23)</f>
        <v>30300289340.065041</v>
      </c>
      <c r="M24" s="23"/>
      <c r="N24" s="26">
        <v>30300289340.065063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2088632.89</v>
      </c>
      <c r="C27" s="51">
        <v>2088632.89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14727700</v>
      </c>
      <c r="D32" s="7" t="s">
        <v>51</v>
      </c>
      <c r="E32" s="34" t="s">
        <v>52</v>
      </c>
      <c r="F32" s="34" t="s">
        <v>53</v>
      </c>
      <c r="G32" s="15">
        <v>88.2697</v>
      </c>
      <c r="H32" s="15">
        <v>88.383603462862482</v>
      </c>
      <c r="I32" s="16">
        <f t="shared" ref="I32:I37" si="1">+C32*G32</f>
        <v>1300009660.6900001</v>
      </c>
      <c r="J32" s="16">
        <f t="shared" ref="J32:J37" si="2">+C32*H32</f>
        <v>1301687196.7199998</v>
      </c>
      <c r="K32" s="18">
        <v>0.156999</v>
      </c>
      <c r="L32" s="17"/>
      <c r="M32" s="17">
        <v>1300009660.6900001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187488</v>
      </c>
      <c r="D33" s="7" t="s">
        <v>51</v>
      </c>
      <c r="E33" s="34" t="s">
        <v>52</v>
      </c>
      <c r="F33" s="34" t="s">
        <v>53</v>
      </c>
      <c r="G33" s="15">
        <v>1008.856000010667</v>
      </c>
      <c r="H33" s="15">
        <v>1010.157822260624</v>
      </c>
      <c r="I33" s="16">
        <f t="shared" si="1"/>
        <v>189148393.72999993</v>
      </c>
      <c r="J33" s="16">
        <f t="shared" si="2"/>
        <v>189392469.77999988</v>
      </c>
      <c r="K33" s="18">
        <v>0.156998</v>
      </c>
      <c r="L33" s="17"/>
      <c r="M33" s="17">
        <v>189148393.72999999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1608100</v>
      </c>
      <c r="D34" s="7" t="s">
        <v>51</v>
      </c>
      <c r="E34" s="34" t="s">
        <v>58</v>
      </c>
      <c r="F34" s="34" t="s">
        <v>52</v>
      </c>
      <c r="G34" s="15">
        <v>808.87300000000005</v>
      </c>
      <c r="H34" s="15">
        <v>809.22203202537207</v>
      </c>
      <c r="I34" s="16">
        <f t="shared" si="1"/>
        <v>1300748671.3000002</v>
      </c>
      <c r="J34" s="16">
        <f t="shared" si="2"/>
        <v>1301309949.7000008</v>
      </c>
      <c r="K34" s="18">
        <v>0.157499</v>
      </c>
      <c r="L34" s="17">
        <v>561278.4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1608100</v>
      </c>
      <c r="D35" s="7" t="s">
        <v>51</v>
      </c>
      <c r="E35" s="34" t="s">
        <v>52</v>
      </c>
      <c r="F35" s="34" t="s">
        <v>52</v>
      </c>
      <c r="G35" s="15">
        <v>808.87300000000005</v>
      </c>
      <c r="H35" s="15">
        <v>809.22203202537207</v>
      </c>
      <c r="I35" s="16">
        <f t="shared" si="1"/>
        <v>1300748671.3000002</v>
      </c>
      <c r="J35" s="16">
        <f t="shared" si="2"/>
        <v>1301309949.7000008</v>
      </c>
      <c r="K35" s="18">
        <v>0.157499</v>
      </c>
      <c r="L35" s="17"/>
      <c r="M35" s="17"/>
      <c r="N35" s="35"/>
    </row>
    <row r="36" spans="1:15" s="36" customFormat="1" ht="12" customHeight="1" x14ac:dyDescent="0.25">
      <c r="A36" s="12" t="s">
        <v>59</v>
      </c>
      <c r="B36" s="7" t="s">
        <v>60</v>
      </c>
      <c r="C36" s="14">
        <v>235887</v>
      </c>
      <c r="D36" s="7" t="s">
        <v>51</v>
      </c>
      <c r="E36" s="34" t="s">
        <v>58</v>
      </c>
      <c r="F36" s="34" t="s">
        <v>52</v>
      </c>
      <c r="G36" s="15">
        <v>775.89</v>
      </c>
      <c r="H36" s="15">
        <v>776.22267823152606</v>
      </c>
      <c r="I36" s="16">
        <f t="shared" si="1"/>
        <v>183022364.43000001</v>
      </c>
      <c r="J36" s="16">
        <f t="shared" si="2"/>
        <v>183100838.89999998</v>
      </c>
      <c r="K36" s="18">
        <v>0.156501</v>
      </c>
      <c r="L36" s="17">
        <v>78474.47</v>
      </c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235887</v>
      </c>
      <c r="D37" s="7" t="s">
        <v>51</v>
      </c>
      <c r="E37" s="34" t="s">
        <v>52</v>
      </c>
      <c r="F37" s="34" t="s">
        <v>52</v>
      </c>
      <c r="G37" s="15">
        <v>775.89</v>
      </c>
      <c r="H37" s="15">
        <v>776.22267823152606</v>
      </c>
      <c r="I37" s="16">
        <f t="shared" si="1"/>
        <v>183022364.43000001</v>
      </c>
      <c r="J37" s="16">
        <f t="shared" si="2"/>
        <v>183100838.89999998</v>
      </c>
      <c r="K37" s="18">
        <v>0.156501</v>
      </c>
      <c r="L37" s="17"/>
      <c r="M37" s="17"/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1489158054.4200001</v>
      </c>
      <c r="N39" s="38">
        <v>1489158054.4200001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31791536027.375038</v>
      </c>
      <c r="C46" s="32">
        <v>31791536027.375061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369468.41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55329.950000000004</v>
      </c>
    </row>
    <row r="56" spans="1:2" x14ac:dyDescent="0.25">
      <c r="A56" s="48" t="s">
        <v>41</v>
      </c>
      <c r="B56" s="50">
        <v>27568.690000000002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452367.05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2025-07-28T05:52:48Z</dcterms:created>
  <dcterms:modified xsi:type="dcterms:W3CDTF">2025-07-28T07:38:57Z</dcterms:modified>
</cp:coreProperties>
</file>