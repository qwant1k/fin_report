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75A466AF-D884-49DA-BD19-0E4F7BE41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B48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<sst xmlns="http://schemas.openxmlformats.org/spreadsheetml/2006/main" count="170" uniqueCount="119">
  <si>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</si>
  <si>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</si>
  <si>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</si>
  <si>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</si>
  <si>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</si>
  <si>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</si>
  <si>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</si>
  <si>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</si>
  <si>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</si>
  <si>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</si>
  <si>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</si>
  <si>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</si>
  <si>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</si>
  <si>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</si>
  <si>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</si>
  <si>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</si>
  <si>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</si>
  <si>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</si>
  <si>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</si>
  <si>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</si>
  <si>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</si>
  <si>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</si>
  <si>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</si>
  <si>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</si>
  <si>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</si>
  <si>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</si>
  <si>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</si>
  <si>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</si>
  <si>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</si>
  <si>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</si>
  <si>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</si>
  <si>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</si>
  <si>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</si>
  <si>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</si>
  <si>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</si>
  <si>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</si>
  <si>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</si>
  <si>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</si>
  <si>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</si>
  <si>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</si>
  <si>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</si>
  <si>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</si>
  <si>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</si>
  <si>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</si>
  <si>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</si>
  <si>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</si>
  <si>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</si>
  <si>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</si>
  <si>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</si>
  <si>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MOM048_0052</t>
  </si>
  <si>
    <t>KZK200000687</t>
  </si>
  <si>
    <t>KZT</t>
  </si>
  <si>
    <t>09.07.2025</t>
  </si>
  <si>
    <t>10.07.2025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</si>
  <si>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</si>
  <si>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</si>
  <si>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MUM180_0009</t>
  </si>
  <si>
    <t>KZKD00000717</t>
  </si>
  <si>
    <t>МИНИСТЕРСТВО ФИНАНСОВ РК, ГЦБ, MUM096_0011</t>
  </si>
  <si>
    <t>KZKD00001095</t>
  </si>
  <si>
    <t>11.07.2025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</si>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</sst>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9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49</v>
      </c>
      <c r="B4" s="13" t="s">
        <v>50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97.199100000000001</v>
      </c>
      <c r="J4" s="11">
        <v>102.208072222222</v>
      </c>
      <c r="K4" s="11">
        <v>151270961.11111099</v>
      </c>
      <c r="L4" s="11">
        <v>3086683781.1111112</v>
      </c>
      <c r="M4" s="6">
        <f t="shared" ref="M4:M22" si="0">L4/$L$24</f>
        <v>0.1014200364113694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82.748000000000005</v>
      </c>
      <c r="J5" s="11">
        <v>92.770499999999984</v>
      </c>
      <c r="K5" s="11">
        <v>227009625</v>
      </c>
      <c r="L5" s="11">
        <v>2101251824.999999</v>
      </c>
      <c r="M5" s="6">
        <f t="shared" si="0"/>
        <v>6.9041421704766806E-2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82.748000000000005</v>
      </c>
      <c r="J6" s="11">
        <v>92.770500000000283</v>
      </c>
      <c r="K6" s="11">
        <v>155513720.34999999</v>
      </c>
      <c r="L6" s="11">
        <v>1439469752.4300039</v>
      </c>
      <c r="M6" s="6">
        <f t="shared" si="0"/>
        <v>4.7297062173295774E-2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82.748000000000005</v>
      </c>
      <c r="J7" s="11">
        <v>92.770499999999998</v>
      </c>
      <c r="K7" s="11">
        <v>54691980.70000001</v>
      </c>
      <c r="L7" s="11">
        <v>506241196.86000001</v>
      </c>
      <c r="M7" s="6">
        <f t="shared" si="0"/>
        <v>1.6633709268396302E-2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85.786900000000003</v>
      </c>
      <c r="J8" s="11">
        <v>88.32912222222221</v>
      </c>
      <c r="K8" s="11">
        <v>57581333.333333328</v>
      </c>
      <c r="L8" s="11">
        <v>2000654618.333333</v>
      </c>
      <c r="M8" s="6">
        <f t="shared" si="0"/>
        <v>6.5736071015638969E-2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84.525700000000001</v>
      </c>
      <c r="J9" s="11">
        <v>87.581255555555543</v>
      </c>
      <c r="K9" s="11">
        <v>69208333.333333328</v>
      </c>
      <c r="L9" s="11">
        <v>1983715438.333333</v>
      </c>
      <c r="M9" s="6">
        <f t="shared" si="0"/>
        <v>6.5179495618155156E-2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78.663700000000006</v>
      </c>
      <c r="J10" s="11">
        <v>81.896755555555544</v>
      </c>
      <c r="K10" s="11">
        <v>73228708.333333328</v>
      </c>
      <c r="L10" s="11">
        <v>1854961513.333333</v>
      </c>
      <c r="M10" s="6">
        <f t="shared" si="0"/>
        <v>6.0948991722188796E-2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69.778700000000001</v>
      </c>
      <c r="J11" s="11">
        <v>71.75036666666665</v>
      </c>
      <c r="K11" s="11">
        <v>44658249.999999993</v>
      </c>
      <c r="L11" s="11">
        <v>1625145804.999999</v>
      </c>
      <c r="M11" s="6">
        <f t="shared" si="0"/>
        <v>5.3397872411003237E-2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78.091000000000008</v>
      </c>
      <c r="J12" s="11">
        <v>88.267666666666656</v>
      </c>
      <c r="K12" s="11">
        <v>230501500</v>
      </c>
      <c r="L12" s="11">
        <v>1999262650</v>
      </c>
      <c r="M12" s="6">
        <f t="shared" si="0"/>
        <v>6.5690334720941712E-2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64.366399999999999</v>
      </c>
      <c r="J13" s="11">
        <v>65.666566666666654</v>
      </c>
      <c r="K13" s="11">
        <v>29448775</v>
      </c>
      <c r="L13" s="11">
        <v>1487347735</v>
      </c>
      <c r="M13" s="6">
        <f t="shared" si="0"/>
        <v>4.8870202501199389E-2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63.1389</v>
      </c>
      <c r="J14" s="11">
        <v>66.747983333333323</v>
      </c>
      <c r="K14" s="11">
        <v>81745737.5</v>
      </c>
      <c r="L14" s="11">
        <v>1511841822.5</v>
      </c>
      <c r="M14" s="6">
        <f t="shared" si="0"/>
        <v>4.967501161747985E-2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83.320999999999998</v>
      </c>
      <c r="J15" s="11">
        <v>84.891750000000002</v>
      </c>
      <c r="K15" s="11">
        <v>59295812.5</v>
      </c>
      <c r="L15" s="11">
        <v>3204663562.5</v>
      </c>
      <c r="M15" s="6">
        <f t="shared" si="0"/>
        <v>0.10529653124297127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58.2592</v>
      </c>
      <c r="J16" s="11">
        <v>59.420311111111104</v>
      </c>
      <c r="K16" s="11">
        <v>32555930</v>
      </c>
      <c r="L16" s="11">
        <v>1666062335.1199999</v>
      </c>
      <c r="M16" s="6">
        <f t="shared" si="0"/>
        <v>5.4742278339460083E-2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85.744100000000003</v>
      </c>
      <c r="J17" s="11">
        <v>89.844099999999997</v>
      </c>
      <c r="K17" s="11">
        <v>42577680</v>
      </c>
      <c r="L17" s="11">
        <v>933013009.67999995</v>
      </c>
      <c r="M17" s="6">
        <f t="shared" si="0"/>
        <v>3.0656270653019218E-2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97.413499999999999</v>
      </c>
      <c r="J18" s="11">
        <v>99.630722222222218</v>
      </c>
      <c r="K18" s="11">
        <v>11241072.772222221</v>
      </c>
      <c r="L18" s="11">
        <v>505116802.28722203</v>
      </c>
      <c r="M18" s="6">
        <f t="shared" si="0"/>
        <v>1.6596764719942803E-2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94.15165763118209</v>
      </c>
      <c r="J19" s="11">
        <v>106.346379853404</v>
      </c>
      <c r="K19" s="11">
        <v>256089166.66666701</v>
      </c>
      <c r="L19" s="11">
        <v>2233273976.9214902</v>
      </c>
      <c r="M19" s="6">
        <f t="shared" si="0"/>
        <v>7.337931065112499E-2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99.51570000000001</v>
      </c>
      <c r="J20" s="11">
        <v>104.139033333333</v>
      </c>
      <c r="K20" s="11">
        <v>50856666.666666657</v>
      </c>
      <c r="L20" s="11">
        <v>1145529366.666666</v>
      </c>
      <c r="M20" s="6">
        <f t="shared" si="0"/>
        <v>3.7638980315568678E-2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97.439884876511101</v>
      </c>
      <c r="J21" s="11">
        <v>99.06038487651108</v>
      </c>
      <c r="K21" s="11">
        <v>16204999.999999991</v>
      </c>
      <c r="L21" s="11">
        <v>990603848.76511097</v>
      </c>
      <c r="M21" s="6">
        <f t="shared" si="0"/>
        <v>3.2548549036932828E-2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95.453841527004599</v>
      </c>
      <c r="J22" s="11">
        <v>96.426063749213412</v>
      </c>
      <c r="K22" s="11">
        <v>1611351.38886667</v>
      </c>
      <c r="L22" s="11">
        <v>159815593.79730901</v>
      </c>
      <c r="M22" s="6">
        <f t="shared" si="0"/>
        <v>5.2511058765446778E-3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1645291604.6555338</v>
      </c>
      <c r="L24" s="22">
        <f>SUM(L4:L23)</f>
        <v>30434654633.638912</v>
      </c>
      <c r="M24" s="23"/>
      <c r="N24" s="26">
        <v>30434654633.638931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634308.38</v>
      </c>
      <c r="C27" s="51">
        <v>634308.38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44055</v>
      </c>
      <c r="D32" s="7" t="s">
        <v>51</v>
      </c>
      <c r="E32" s="34" t="s">
        <v>52</v>
      </c>
      <c r="F32" s="34" t="s">
        <v>53</v>
      </c>
      <c r="G32" s="15">
        <v>1021.7360000000001</v>
      </c>
      <c r="H32" s="15">
        <v>1022.170444898422</v>
      </c>
      <c r="I32" s="16">
        <f t="shared" ref="I32:I39" si="1">+C32*G32</f>
        <v>45012579.480000004</v>
      </c>
      <c r="J32" s="16">
        <f t="shared" ref="J32:J39" si="2">+C32*H32</f>
        <v>45031718.949999981</v>
      </c>
      <c r="K32" s="18">
        <v>0.155199</v>
      </c>
      <c r="L32" s="17">
        <v>19139.47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44055</v>
      </c>
      <c r="D33" s="7" t="s">
        <v>51</v>
      </c>
      <c r="E33" s="34" t="s">
        <v>53</v>
      </c>
      <c r="F33" s="34" t="s">
        <v>53</v>
      </c>
      <c r="G33" s="15">
        <v>1021.7360000000001</v>
      </c>
      <c r="H33" s="15">
        <v>1022.170444898422</v>
      </c>
      <c r="I33" s="16">
        <f t="shared" si="1"/>
        <v>45012579.480000004</v>
      </c>
      <c r="J33" s="16">
        <f t="shared" si="2"/>
        <v>45031718.949999981</v>
      </c>
      <c r="K33" s="18">
        <v>0.155199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7984</v>
      </c>
      <c r="D34" s="7" t="s">
        <v>51</v>
      </c>
      <c r="E34" s="34" t="s">
        <v>52</v>
      </c>
      <c r="F34" s="34" t="s">
        <v>53</v>
      </c>
      <c r="G34" s="15">
        <v>1002.595</v>
      </c>
      <c r="H34" s="15">
        <v>1003.021062124248</v>
      </c>
      <c r="I34" s="16">
        <f t="shared" si="1"/>
        <v>8004718.4800000004</v>
      </c>
      <c r="J34" s="16">
        <f t="shared" si="2"/>
        <v>8008120.1599999964</v>
      </c>
      <c r="K34" s="18">
        <v>0.15511</v>
      </c>
      <c r="L34" s="17">
        <v>3401.68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7984</v>
      </c>
      <c r="D35" s="7" t="s">
        <v>51</v>
      </c>
      <c r="E35" s="34" t="s">
        <v>53</v>
      </c>
      <c r="F35" s="34" t="s">
        <v>53</v>
      </c>
      <c r="G35" s="15">
        <v>1002.595</v>
      </c>
      <c r="H35" s="15">
        <v>1003.021062124248</v>
      </c>
      <c r="I35" s="16">
        <f t="shared" si="1"/>
        <v>8004718.4800000004</v>
      </c>
      <c r="J35" s="16">
        <f t="shared" si="2"/>
        <v>8008120.1599999964</v>
      </c>
      <c r="K35" s="18">
        <v>0.15511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1572467</v>
      </c>
      <c r="D36" s="7" t="s">
        <v>51</v>
      </c>
      <c r="E36" s="34" t="s">
        <v>52</v>
      </c>
      <c r="F36" s="34" t="s">
        <v>53</v>
      </c>
      <c r="G36" s="15">
        <v>802.26700000063602</v>
      </c>
      <c r="H36" s="15">
        <v>802.60812612919699</v>
      </c>
      <c r="I36" s="16">
        <f t="shared" si="1"/>
        <v>1261538382.6900001</v>
      </c>
      <c r="J36" s="16">
        <f t="shared" si="2"/>
        <v>1262074792.27</v>
      </c>
      <c r="K36" s="18">
        <v>0.155199</v>
      </c>
      <c r="L36" s="17">
        <v>536409.57999999996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1572467</v>
      </c>
      <c r="D37" s="7" t="s">
        <v>51</v>
      </c>
      <c r="E37" s="34" t="s">
        <v>53</v>
      </c>
      <c r="F37" s="34" t="s">
        <v>53</v>
      </c>
      <c r="G37" s="15">
        <v>802.26700000063602</v>
      </c>
      <c r="H37" s="15">
        <v>802.60812612919699</v>
      </c>
      <c r="I37" s="16">
        <f t="shared" si="1"/>
        <v>1261538382.6900001</v>
      </c>
      <c r="J37" s="16">
        <f t="shared" si="2"/>
        <v>1262074792.27</v>
      </c>
      <c r="K37" s="18">
        <v>0.155199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7644</v>
      </c>
      <c r="D38" s="7" t="s">
        <v>51</v>
      </c>
      <c r="E38" s="34" t="s">
        <v>53</v>
      </c>
      <c r="F38" s="34" t="s">
        <v>60</v>
      </c>
      <c r="G38" s="15">
        <v>916.25</v>
      </c>
      <c r="H38" s="15">
        <v>916.6416025641031</v>
      </c>
      <c r="I38" s="16">
        <f t="shared" si="1"/>
        <v>7003815</v>
      </c>
      <c r="J38" s="16">
        <f t="shared" si="2"/>
        <v>7006808.4100000039</v>
      </c>
      <c r="K38" s="18">
        <v>0.156</v>
      </c>
      <c r="L38" s="17"/>
      <c r="M38" s="17">
        <v>7003815</v>
      </c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1433796</v>
      </c>
      <c r="D39" s="7" t="s">
        <v>51</v>
      </c>
      <c r="E39" s="34" t="s">
        <v>53</v>
      </c>
      <c r="F39" s="34" t="s">
        <v>60</v>
      </c>
      <c r="G39" s="15">
        <v>916.25</v>
      </c>
      <c r="H39" s="15">
        <v>916.64160273846505</v>
      </c>
      <c r="I39" s="16">
        <f t="shared" si="1"/>
        <v>1313715585</v>
      </c>
      <c r="J39" s="16">
        <f t="shared" si="2"/>
        <v>1314277063.4400003</v>
      </c>
      <c r="K39" s="18">
        <v>0.156</v>
      </c>
      <c r="L39" s="17"/>
      <c r="M39" s="17">
        <v>1313715585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1320719400</v>
      </c>
      <c r="N41" s="38">
        <v>1320719400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31756008342.018913</v>
      </c>
      <c r="C48" s="32">
        <v>31756008342.018936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149153.71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19840.84</v>
      </c>
    </row>
    <row r="58" spans="1:2" x14ac:dyDescent="0.25">
      <c r="A58" s="48" t="s">
        <v>41</v>
      </c>
      <c r="B58" s="50">
        <v>9850.4400000000023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178844.99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2025-07-11T06:02:06Z</dcterms:created>
  <dcterms:modified xsi:type="dcterms:W3CDTF">2025-07-11T11:56:34Z</dcterms:modified>
</cp:coreProperties>
</file>