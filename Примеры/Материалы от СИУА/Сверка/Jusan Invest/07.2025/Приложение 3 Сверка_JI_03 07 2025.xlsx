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7F9DC3D0-51E4-474E-9F4F-5C42C0E9FB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G44" i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46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<sst xmlns="http://schemas.openxmlformats.org/spreadsheetml/2006/main" count="160" uniqueCount="115">
  <si>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</si>
  <si>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</si>
  <si>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</si>
  <si>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</si>
  <si>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</si>
  <si>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</si>
  <si>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</si>
  <si>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</si>
  <si>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</si>
  <si>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</si>
  <si>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</si>
  <si>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</si>
  <si>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</si>
  <si>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</si>
  <si>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</si>
  <si>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</si>
  <si>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</si>
  <si>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</si>
  <si>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</si>
  <si>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</si>
  <si>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</si>
  <si>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</si>
  <si>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</si>
  <si>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</si>
  <si>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</si>
  <si>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</si>
  <si>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</si>
  <si>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</si>
  <si>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</si>
  <si>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</si>
  <si>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</si>
  <si>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</si>
  <si>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</si>
  <si>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</si>
  <si>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</si>
  <si>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</si>
  <si>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</si>
  <si>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</si>
  <si>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</si>
  <si>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</si>
  <si>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</si>
  <si>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</si>
  <si>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</si>
  <si>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</si>
  <si>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</si>
  <si>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</si>
  <si>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</si>
  <si>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</si>
  <si>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</si>
  <si>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MUM096_0011</t>
  </si>
  <si>
    <t>KZKD00001095</t>
  </si>
  <si>
    <t>KZT</t>
  </si>
  <si>
    <t>03.07.2025</t>
  </si>
  <si>
    <t>04.07.2025</t>
  </si>
  <si>
    <t>МИНИСТЕРСТВО ФИНАНСОВ РК, ГЦБ, MOM060_0054</t>
  </si>
  <si>
    <t>KZK200000737</t>
  </si>
  <si>
    <t>02.07.2025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</si>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</sst>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3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57</v>
      </c>
      <c r="B4" s="13" t="s">
        <v>58</v>
      </c>
      <c r="C4" s="10">
        <v>3020000</v>
      </c>
      <c r="D4" s="11">
        <v>3020000000</v>
      </c>
      <c r="E4" s="3">
        <v>0.1067</v>
      </c>
      <c r="F4" s="4" t="s">
        <v>59</v>
      </c>
      <c r="G4" s="4" t="s">
        <v>60</v>
      </c>
      <c r="H4" s="11">
        <v>2930617060.0000029</v>
      </c>
      <c r="I4" s="11">
        <v>97.013500000000008</v>
      </c>
      <c r="J4" s="11">
        <v>101.81500000000001</v>
      </c>
      <c r="K4" s="11">
        <v>145005300</v>
      </c>
      <c r="L4" s="11">
        <v>3074812999.999999</v>
      </c>
      <c r="M4" s="6">
        <f t="shared" ref="M4:M22" si="0">L4/$L$24</f>
        <v>9.9562517646680213E-2</v>
      </c>
    </row>
    <row r="5" spans="1:13" x14ac:dyDescent="0.25">
      <c r="A5" s="1" t="s">
        <v>61</v>
      </c>
      <c r="B5" s="13" t="s">
        <v>62</v>
      </c>
      <c r="C5" s="10">
        <v>2265000</v>
      </c>
      <c r="D5" s="11">
        <v>2265000000</v>
      </c>
      <c r="E5" s="3">
        <v>0.10550000000000001</v>
      </c>
      <c r="F5" s="4" t="s">
        <v>59</v>
      </c>
      <c r="G5" s="4" t="s">
        <v>63</v>
      </c>
      <c r="H5" s="11">
        <v>2039188560.0000031</v>
      </c>
      <c r="I5" s="11">
        <v>84.04010000000001</v>
      </c>
      <c r="J5" s="11">
        <v>93.857461111111107</v>
      </c>
      <c r="K5" s="11">
        <v>222363229.16666701</v>
      </c>
      <c r="L5" s="11">
        <v>2125871494.166666</v>
      </c>
      <c r="M5" s="6">
        <f t="shared" si="0"/>
        <v>6.8835769249233431E-2</v>
      </c>
    </row>
    <row r="6" spans="1:13" x14ac:dyDescent="0.25">
      <c r="A6" s="1" t="s">
        <v>61</v>
      </c>
      <c r="B6" s="13" t="s">
        <v>62</v>
      </c>
      <c r="C6" s="10">
        <v>1551646</v>
      </c>
      <c r="D6" s="11">
        <v>1551646000</v>
      </c>
      <c r="E6" s="3">
        <v>0.10550000000000001</v>
      </c>
      <c r="F6" s="4" t="s">
        <v>64</v>
      </c>
      <c r="G6" s="4" t="s">
        <v>63</v>
      </c>
      <c r="H6" s="11">
        <v>1395452658.7</v>
      </c>
      <c r="I6" s="11">
        <v>84.04010000000001</v>
      </c>
      <c r="J6" s="11">
        <v>93.857461111111391</v>
      </c>
      <c r="K6" s="11">
        <v>152330690.986112</v>
      </c>
      <c r="L6" s="11">
        <v>1456335541.032115</v>
      </c>
      <c r="M6" s="6">
        <f t="shared" si="0"/>
        <v>4.7156179254965278E-2</v>
      </c>
    </row>
    <row r="7" spans="1:13" x14ac:dyDescent="0.25">
      <c r="A7" s="1" t="s">
        <v>61</v>
      </c>
      <c r="B7" s="13" t="s">
        <v>62</v>
      </c>
      <c r="C7" s="10">
        <v>545692</v>
      </c>
      <c r="D7" s="11">
        <v>545692000</v>
      </c>
      <c r="E7" s="3">
        <v>0.10550000000000001</v>
      </c>
      <c r="F7" s="4" t="s">
        <v>65</v>
      </c>
      <c r="G7" s="4" t="s">
        <v>63</v>
      </c>
      <c r="H7" s="11">
        <v>449784993.92000002</v>
      </c>
      <c r="I7" s="11">
        <v>84.04010000000001</v>
      </c>
      <c r="J7" s="11">
        <v>93.857461111111107</v>
      </c>
      <c r="K7" s="11">
        <v>53572554.194444448</v>
      </c>
      <c r="L7" s="11">
        <v>512172656.68644398</v>
      </c>
      <c r="M7" s="6">
        <f t="shared" si="0"/>
        <v>1.6584162734283737E-2</v>
      </c>
    </row>
    <row r="8" spans="1:13" x14ac:dyDescent="0.25">
      <c r="A8" s="1" t="s">
        <v>66</v>
      </c>
      <c r="B8" s="13" t="s">
        <v>67</v>
      </c>
      <c r="C8" s="10">
        <v>2265000</v>
      </c>
      <c r="D8" s="11">
        <v>2265000000</v>
      </c>
      <c r="E8" s="3">
        <v>0.10400000000000001</v>
      </c>
      <c r="F8" s="4" t="s">
        <v>59</v>
      </c>
      <c r="G8" s="4" t="s">
        <v>68</v>
      </c>
      <c r="H8" s="11">
        <v>2073109200</v>
      </c>
      <c r="I8" s="11">
        <v>86.250100000000003</v>
      </c>
      <c r="J8" s="11">
        <v>88.590099999999993</v>
      </c>
      <c r="K8" s="11">
        <v>53000999.999999993</v>
      </c>
      <c r="L8" s="11">
        <v>2006565764.999999</v>
      </c>
      <c r="M8" s="6">
        <f t="shared" si="0"/>
        <v>6.4972646917726973E-2</v>
      </c>
    </row>
    <row r="9" spans="1:13" x14ac:dyDescent="0.25">
      <c r="A9" s="1" t="s">
        <v>69</v>
      </c>
      <c r="B9" s="13" t="s">
        <v>70</v>
      </c>
      <c r="C9" s="10">
        <v>2265000</v>
      </c>
      <c r="D9" s="11">
        <v>2265000000</v>
      </c>
      <c r="E9" s="3">
        <v>0.11</v>
      </c>
      <c r="F9" s="4" t="s">
        <v>59</v>
      </c>
      <c r="G9" s="4" t="s">
        <v>71</v>
      </c>
      <c r="H9" s="11">
        <v>2080889475</v>
      </c>
      <c r="I9" s="11">
        <v>85.630099999999999</v>
      </c>
      <c r="J9" s="11">
        <v>88.471766666666653</v>
      </c>
      <c r="K9" s="11">
        <v>64363749.999999993</v>
      </c>
      <c r="L9" s="11">
        <v>2003885514.999999</v>
      </c>
      <c r="M9" s="6">
        <f t="shared" si="0"/>
        <v>6.4885860359350081E-2</v>
      </c>
    </row>
    <row r="10" spans="1:13" x14ac:dyDescent="0.25">
      <c r="A10" s="1" t="s">
        <v>72</v>
      </c>
      <c r="B10" s="13" t="s">
        <v>73</v>
      </c>
      <c r="C10" s="10">
        <v>2265000</v>
      </c>
      <c r="D10" s="11">
        <v>2265000000</v>
      </c>
      <c r="E10" s="3">
        <v>0.10300000000000001</v>
      </c>
      <c r="F10" s="4" t="s">
        <v>59</v>
      </c>
      <c r="G10" s="4" t="s">
        <v>74</v>
      </c>
      <c r="H10" s="11">
        <v>1963990560.0000031</v>
      </c>
      <c r="I10" s="11">
        <v>80.978999999999999</v>
      </c>
      <c r="J10" s="11">
        <v>84.011777777777766</v>
      </c>
      <c r="K10" s="11">
        <v>68692416.666666657</v>
      </c>
      <c r="L10" s="11">
        <v>1902866766.666666</v>
      </c>
      <c r="M10" s="6">
        <f t="shared" si="0"/>
        <v>6.1614870899638872E-2</v>
      </c>
    </row>
    <row r="11" spans="1:13" x14ac:dyDescent="0.25">
      <c r="A11" s="1" t="s">
        <v>75</v>
      </c>
      <c r="B11" s="13" t="s">
        <v>76</v>
      </c>
      <c r="C11" s="10">
        <v>2265000</v>
      </c>
      <c r="D11" s="11">
        <v>2265000000</v>
      </c>
      <c r="E11" s="3">
        <v>8.4500000000000006E-2</v>
      </c>
      <c r="F11" s="4" t="s">
        <v>59</v>
      </c>
      <c r="G11" s="4" t="s">
        <v>77</v>
      </c>
      <c r="H11" s="11">
        <v>1740247065.0000031</v>
      </c>
      <c r="I11" s="11">
        <v>72.52600000000001</v>
      </c>
      <c r="J11" s="11">
        <v>74.333361111111103</v>
      </c>
      <c r="K11" s="11">
        <v>40936729.166666657</v>
      </c>
      <c r="L11" s="11">
        <v>1683650629.166666</v>
      </c>
      <c r="M11" s="6">
        <f t="shared" si="0"/>
        <v>5.4516647183828891E-2</v>
      </c>
    </row>
    <row r="12" spans="1:13" x14ac:dyDescent="0.25">
      <c r="A12" s="1" t="s">
        <v>78</v>
      </c>
      <c r="B12" s="13" t="s">
        <v>79</v>
      </c>
      <c r="C12" s="10">
        <v>2265000</v>
      </c>
      <c r="D12" s="11">
        <v>2265000000</v>
      </c>
      <c r="E12" s="3">
        <v>0.10650000000000001</v>
      </c>
      <c r="F12" s="4" t="s">
        <v>59</v>
      </c>
      <c r="G12" s="4" t="s">
        <v>80</v>
      </c>
      <c r="H12" s="11">
        <v>1967775375</v>
      </c>
      <c r="I12" s="11">
        <v>81.124200000000002</v>
      </c>
      <c r="J12" s="11">
        <v>91.09378333333332</v>
      </c>
      <c r="K12" s="11">
        <v>225811062.5</v>
      </c>
      <c r="L12" s="11">
        <v>2063274192.5</v>
      </c>
      <c r="M12" s="6">
        <f t="shared" si="0"/>
        <v>6.6808867141098072E-2</v>
      </c>
    </row>
    <row r="13" spans="1:13" x14ac:dyDescent="0.25">
      <c r="A13" s="1" t="s">
        <v>81</v>
      </c>
      <c r="B13" s="13" t="s">
        <v>82</v>
      </c>
      <c r="C13" s="10">
        <v>2265000</v>
      </c>
      <c r="D13" s="11">
        <v>2265000000</v>
      </c>
      <c r="E13" s="3">
        <v>8.0700000000000008E-2</v>
      </c>
      <c r="F13" s="4" t="s">
        <v>59</v>
      </c>
      <c r="G13" s="4" t="s">
        <v>83</v>
      </c>
      <c r="H13" s="11">
        <v>1622351550</v>
      </c>
      <c r="I13" s="11">
        <v>67.845799999999997</v>
      </c>
      <c r="J13" s="11">
        <v>68.989049999999992</v>
      </c>
      <c r="K13" s="11">
        <v>25894612.5</v>
      </c>
      <c r="L13" s="11">
        <v>1562601982.5</v>
      </c>
      <c r="M13" s="6">
        <f t="shared" si="0"/>
        <v>5.0597089142459646E-2</v>
      </c>
    </row>
    <row r="14" spans="1:13" x14ac:dyDescent="0.25">
      <c r="A14" s="1" t="s">
        <v>84</v>
      </c>
      <c r="B14" s="13" t="s">
        <v>85</v>
      </c>
      <c r="C14" s="10">
        <v>2265000</v>
      </c>
      <c r="D14" s="11">
        <v>2265000000</v>
      </c>
      <c r="E14" s="3">
        <v>8.0700000000000008E-2</v>
      </c>
      <c r="F14" s="4" t="s">
        <v>59</v>
      </c>
      <c r="G14" s="4" t="s">
        <v>86</v>
      </c>
      <c r="H14" s="11">
        <v>1597764975</v>
      </c>
      <c r="I14" s="11">
        <v>66.811700000000002</v>
      </c>
      <c r="J14" s="11">
        <v>70.263866666666658</v>
      </c>
      <c r="K14" s="11">
        <v>78191575</v>
      </c>
      <c r="L14" s="11">
        <v>1591476580</v>
      </c>
      <c r="M14" s="6">
        <f t="shared" si="0"/>
        <v>5.153204929227511E-2</v>
      </c>
    </row>
    <row r="15" spans="1:13" x14ac:dyDescent="0.25">
      <c r="A15" s="1" t="s">
        <v>87</v>
      </c>
      <c r="B15" s="13" t="s">
        <v>88</v>
      </c>
      <c r="C15" s="10">
        <v>3775000</v>
      </c>
      <c r="D15" s="11">
        <v>3775000000</v>
      </c>
      <c r="E15" s="3">
        <v>5.4900000000000004E-2</v>
      </c>
      <c r="F15" s="4" t="s">
        <v>59</v>
      </c>
      <c r="G15" s="4" t="s">
        <v>89</v>
      </c>
      <c r="H15" s="11">
        <v>3136670150</v>
      </c>
      <c r="I15" s="11">
        <v>83.183300000000003</v>
      </c>
      <c r="J15" s="11">
        <v>84.647300000000001</v>
      </c>
      <c r="K15" s="11">
        <v>55266000</v>
      </c>
      <c r="L15" s="11">
        <v>3195435575</v>
      </c>
      <c r="M15" s="6">
        <f t="shared" si="0"/>
        <v>0.103468279477408</v>
      </c>
    </row>
    <row r="16" spans="1:13" x14ac:dyDescent="0.25">
      <c r="A16" s="1" t="s">
        <v>90</v>
      </c>
      <c r="B16" s="13" t="s">
        <v>91</v>
      </c>
      <c r="C16" s="10">
        <v>2803860</v>
      </c>
      <c r="D16" s="11">
        <v>2803860000</v>
      </c>
      <c r="E16" s="3">
        <v>5.5E-2</v>
      </c>
      <c r="F16" s="4" t="s">
        <v>92</v>
      </c>
      <c r="G16" s="4" t="s">
        <v>93</v>
      </c>
      <c r="H16" s="11">
        <v>1773018067.1400001</v>
      </c>
      <c r="I16" s="11">
        <v>60.786100000000005</v>
      </c>
      <c r="J16" s="11">
        <v>61.840266666666658</v>
      </c>
      <c r="K16" s="11">
        <v>29557357.5</v>
      </c>
      <c r="L16" s="11">
        <v>1733914500.96</v>
      </c>
      <c r="M16" s="6">
        <f t="shared" si="0"/>
        <v>5.6144192541030875E-2</v>
      </c>
    </row>
    <row r="17" spans="1:15" x14ac:dyDescent="0.25">
      <c r="A17" s="1" t="s">
        <v>94</v>
      </c>
      <c r="B17" s="13" t="s">
        <v>95</v>
      </c>
      <c r="C17" s="10">
        <v>1038480</v>
      </c>
      <c r="D17" s="11">
        <v>1038480000</v>
      </c>
      <c r="E17" s="3">
        <v>0.12</v>
      </c>
      <c r="F17" s="4" t="s">
        <v>92</v>
      </c>
      <c r="G17" s="4" t="s">
        <v>96</v>
      </c>
      <c r="H17" s="11">
        <v>979029096.96000004</v>
      </c>
      <c r="I17" s="11">
        <v>87.501900000000006</v>
      </c>
      <c r="J17" s="11">
        <v>91.368566666666652</v>
      </c>
      <c r="K17" s="11">
        <v>40154560</v>
      </c>
      <c r="L17" s="11">
        <v>948844291.12</v>
      </c>
      <c r="M17" s="6">
        <f t="shared" si="0"/>
        <v>3.0723600582730333E-2</v>
      </c>
    </row>
    <row r="18" spans="1:15" x14ac:dyDescent="0.25">
      <c r="A18" s="1" t="s">
        <v>54</v>
      </c>
      <c r="B18" s="13" t="s">
        <v>55</v>
      </c>
      <c r="C18" s="10">
        <v>506989</v>
      </c>
      <c r="D18" s="11">
        <v>506989000</v>
      </c>
      <c r="E18" s="3">
        <v>0.1535</v>
      </c>
      <c r="F18" s="4" t="s">
        <v>97</v>
      </c>
      <c r="G18" s="4" t="s">
        <v>98</v>
      </c>
      <c r="H18" s="11">
        <v>492216861.50999999</v>
      </c>
      <c r="I18" s="11">
        <v>97.703000000000003</v>
      </c>
      <c r="J18" s="11">
        <v>99.621749999999992</v>
      </c>
      <c r="K18" s="11">
        <v>9727851.4375</v>
      </c>
      <c r="L18" s="11">
        <v>505071314.10750002</v>
      </c>
      <c r="M18" s="6">
        <f t="shared" si="0"/>
        <v>1.6354221093659988E-2</v>
      </c>
    </row>
    <row r="19" spans="1:15" x14ac:dyDescent="0.25">
      <c r="A19" s="1" t="s">
        <v>99</v>
      </c>
      <c r="B19" s="13" t="s">
        <v>100</v>
      </c>
      <c r="C19" s="10">
        <v>2100000</v>
      </c>
      <c r="D19" s="11">
        <v>2100000000</v>
      </c>
      <c r="E19" s="3">
        <v>0.14300000000000002</v>
      </c>
      <c r="F19" s="4" t="s">
        <v>101</v>
      </c>
      <c r="G19" s="4" t="s">
        <v>102</v>
      </c>
      <c r="H19" s="11">
        <v>2100000000</v>
      </c>
      <c r="I19" s="11">
        <v>94.2403671362881</v>
      </c>
      <c r="J19" s="11">
        <v>106.157033802955</v>
      </c>
      <c r="K19" s="11">
        <v>250250000</v>
      </c>
      <c r="L19" s="11">
        <v>2229297709.8620501</v>
      </c>
      <c r="M19" s="6">
        <f t="shared" si="0"/>
        <v>7.2184712559054551E-2</v>
      </c>
    </row>
    <row r="20" spans="1:15" x14ac:dyDescent="0.25">
      <c r="A20" s="1" t="s">
        <v>103</v>
      </c>
      <c r="B20" s="13" t="s">
        <v>104</v>
      </c>
      <c r="C20" s="10">
        <v>1100000</v>
      </c>
      <c r="D20" s="11">
        <v>1100000000</v>
      </c>
      <c r="E20" s="3">
        <v>0.13870000000000002</v>
      </c>
      <c r="F20" s="4" t="s">
        <v>105</v>
      </c>
      <c r="G20" s="4" t="s">
        <v>106</v>
      </c>
      <c r="H20" s="11">
        <v>1100000000</v>
      </c>
      <c r="I20" s="11">
        <v>99.4649</v>
      </c>
      <c r="J20" s="11">
        <v>103.81853888888901</v>
      </c>
      <c r="K20" s="11">
        <v>47890027.777777769</v>
      </c>
      <c r="L20" s="11">
        <v>1142003927.777777</v>
      </c>
      <c r="M20" s="6">
        <f t="shared" si="0"/>
        <v>3.6978114185140062E-2</v>
      </c>
    </row>
    <row r="21" spans="1:15" x14ac:dyDescent="0.25">
      <c r="A21" s="1" t="s">
        <v>107</v>
      </c>
      <c r="B21" s="13" t="s">
        <v>108</v>
      </c>
      <c r="C21" s="10">
        <v>1000000</v>
      </c>
      <c r="D21" s="11">
        <v>1000000000</v>
      </c>
      <c r="E21" s="3">
        <v>0.1389</v>
      </c>
      <c r="F21" s="4" t="s">
        <v>109</v>
      </c>
      <c r="G21" s="4" t="s">
        <v>110</v>
      </c>
      <c r="H21" s="11">
        <v>1000000000</v>
      </c>
      <c r="I21" s="11">
        <v>97.24760761268</v>
      </c>
      <c r="J21" s="11">
        <v>98.59802427934666</v>
      </c>
      <c r="K21" s="11">
        <v>13504166.66666666</v>
      </c>
      <c r="L21" s="11">
        <v>985980242.79346704</v>
      </c>
      <c r="M21" s="6">
        <f t="shared" si="0"/>
        <v>3.1926063576029708E-2</v>
      </c>
    </row>
    <row r="22" spans="1:15" x14ac:dyDescent="0.25">
      <c r="A22" s="1" t="s">
        <v>111</v>
      </c>
      <c r="B22" s="13" t="s">
        <v>112</v>
      </c>
      <c r="C22" s="10">
        <v>165739</v>
      </c>
      <c r="D22" s="11">
        <v>165739000</v>
      </c>
      <c r="E22" s="3">
        <v>0.125</v>
      </c>
      <c r="F22" s="4" t="s">
        <v>113</v>
      </c>
      <c r="G22" s="4" t="s">
        <v>114</v>
      </c>
      <c r="H22" s="11">
        <v>159596381.18279999</v>
      </c>
      <c r="I22" s="11">
        <v>95.311617453088601</v>
      </c>
      <c r="J22" s="11">
        <v>96.040784119741843</v>
      </c>
      <c r="K22" s="11">
        <v>1208513.54164444</v>
      </c>
      <c r="L22" s="11">
        <v>159177035.19221899</v>
      </c>
      <c r="M22" s="6">
        <f t="shared" si="0"/>
        <v>5.1541561634062122E-3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1577721397.1041455</v>
      </c>
      <c r="L24" s="22">
        <f>SUM(L4:L23)</f>
        <v>30883238719.531567</v>
      </c>
      <c r="M24" s="23"/>
      <c r="N24" s="26">
        <v>30883238719.531586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5680856.5899999999</v>
      </c>
      <c r="C27" s="51">
        <v>5680856.5899999999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1410500</v>
      </c>
      <c r="D32" s="7" t="s">
        <v>51</v>
      </c>
      <c r="E32" s="34" t="s">
        <v>52</v>
      </c>
      <c r="F32" s="34" t="s">
        <v>53</v>
      </c>
      <c r="G32" s="15">
        <v>922.19400000000007</v>
      </c>
      <c r="H32" s="15">
        <v>922.5861219425741</v>
      </c>
      <c r="I32" s="16">
        <f t="shared" ref="I32:I37" si="1">+C32*G32</f>
        <v>1300754637</v>
      </c>
      <c r="J32" s="16">
        <f t="shared" ref="J32:J37" si="2">+C32*H32</f>
        <v>1301307725.0000007</v>
      </c>
      <c r="K32" s="18">
        <v>0.1552</v>
      </c>
      <c r="L32" s="17"/>
      <c r="M32" s="17">
        <v>1300754637</v>
      </c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11935</v>
      </c>
      <c r="D33" s="7" t="s">
        <v>51</v>
      </c>
      <c r="E33" s="34" t="s">
        <v>52</v>
      </c>
      <c r="F33" s="34" t="s">
        <v>53</v>
      </c>
      <c r="G33" s="15">
        <v>922.19400000000007</v>
      </c>
      <c r="H33" s="15">
        <v>922.58612232928408</v>
      </c>
      <c r="I33" s="16">
        <f t="shared" si="1"/>
        <v>11006385.390000001</v>
      </c>
      <c r="J33" s="16">
        <f t="shared" si="2"/>
        <v>11011065.370000005</v>
      </c>
      <c r="K33" s="18">
        <v>0.1552</v>
      </c>
      <c r="L33" s="17"/>
      <c r="M33" s="17">
        <v>11006385.390000001</v>
      </c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1305200</v>
      </c>
      <c r="D34" s="7" t="s">
        <v>51</v>
      </c>
      <c r="E34" s="34" t="s">
        <v>56</v>
      </c>
      <c r="F34" s="34" t="s">
        <v>52</v>
      </c>
      <c r="G34" s="15">
        <v>996.05</v>
      </c>
      <c r="H34" s="15">
        <v>996.47570358565702</v>
      </c>
      <c r="I34" s="16">
        <f t="shared" si="1"/>
        <v>1300044460</v>
      </c>
      <c r="J34" s="16">
        <f t="shared" si="2"/>
        <v>1300600088.3199995</v>
      </c>
      <c r="K34" s="18">
        <v>0.155998</v>
      </c>
      <c r="L34" s="17">
        <v>555628.32000000007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1305200</v>
      </c>
      <c r="D35" s="7" t="s">
        <v>51</v>
      </c>
      <c r="E35" s="34" t="s">
        <v>52</v>
      </c>
      <c r="F35" s="34" t="s">
        <v>52</v>
      </c>
      <c r="G35" s="15">
        <v>996.05</v>
      </c>
      <c r="H35" s="15">
        <v>996.47570358565702</v>
      </c>
      <c r="I35" s="16">
        <f t="shared" si="1"/>
        <v>1300044460</v>
      </c>
      <c r="J35" s="16">
        <f t="shared" si="2"/>
        <v>1300600088.3199995</v>
      </c>
      <c r="K35" s="18">
        <v>0.155998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12048</v>
      </c>
      <c r="D36" s="7" t="s">
        <v>51</v>
      </c>
      <c r="E36" s="34" t="s">
        <v>56</v>
      </c>
      <c r="F36" s="34" t="s">
        <v>52</v>
      </c>
      <c r="G36" s="15">
        <v>996.05</v>
      </c>
      <c r="H36" s="15">
        <v>996.4757038512621</v>
      </c>
      <c r="I36" s="16">
        <f t="shared" si="1"/>
        <v>12000410.4</v>
      </c>
      <c r="J36" s="16">
        <f t="shared" si="2"/>
        <v>12005539.280000005</v>
      </c>
      <c r="K36" s="18">
        <v>0.155998</v>
      </c>
      <c r="L36" s="17">
        <v>5128.88</v>
      </c>
      <c r="M36" s="17"/>
      <c r="N36" s="35"/>
    </row>
    <row r="37" spans="1:15" s="36" customFormat="1" ht="12" customHeight="1" x14ac:dyDescent="0.25">
      <c r="A37" s="12" t="s">
        <v>54</v>
      </c>
      <c r="B37" s="7" t="s">
        <v>55</v>
      </c>
      <c r="C37" s="14">
        <v>12048</v>
      </c>
      <c r="D37" s="7" t="s">
        <v>51</v>
      </c>
      <c r="E37" s="34" t="s">
        <v>52</v>
      </c>
      <c r="F37" s="34" t="s">
        <v>52</v>
      </c>
      <c r="G37" s="15">
        <v>996.05</v>
      </c>
      <c r="H37" s="15">
        <v>996.4757038512621</v>
      </c>
      <c r="I37" s="16">
        <f t="shared" si="1"/>
        <v>12000410.4</v>
      </c>
      <c r="J37" s="16">
        <f t="shared" si="2"/>
        <v>12005539.280000005</v>
      </c>
      <c r="K37" s="18">
        <v>0.155998</v>
      </c>
      <c r="L37" s="17"/>
      <c r="M37" s="17"/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1311761022.3900001</v>
      </c>
      <c r="N39" s="38">
        <v>1311761022.3900001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32200680598.511566</v>
      </c>
      <c r="C46" s="32">
        <v>32200680598.511585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47776.55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9"/>
    </row>
    <row r="55" spans="1:2" x14ac:dyDescent="0.25">
      <c r="A55" s="48" t="s">
        <v>40</v>
      </c>
      <c r="B55" s="50">
        <v>5969.59</v>
      </c>
    </row>
    <row r="56" spans="1:2" x14ac:dyDescent="0.25">
      <c r="A56" s="48" t="s">
        <v>41</v>
      </c>
      <c r="B56" s="50">
        <v>2952.06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56698.2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2025-07-04T05:49:11Z</dcterms:created>
  <dcterms:modified xsi:type="dcterms:W3CDTF">2025-07-04T10:32:32Z</dcterms:modified>
</cp:coreProperties>
</file>