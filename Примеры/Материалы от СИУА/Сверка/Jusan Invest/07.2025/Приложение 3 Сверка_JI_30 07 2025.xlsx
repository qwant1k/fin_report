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C34AB552-9EB1-4F71-8560-3C9647336C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9" i="1" l="1"/>
  <c r="O42" i="1"/>
  <c r="O24" i="1"/>
  <c r="D27" i="1"/>
  <c r="B63" i="1"/>
  <c r="G47" i="1"/>
  <c r="M42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20" i="1"/>
  <c r="M19" i="1"/>
  <c r="M16" i="1"/>
  <c r="M15" i="1"/>
  <c r="M12" i="1"/>
  <c r="M11" i="1"/>
  <c r="M8" i="1"/>
  <c r="M7" i="1"/>
  <c r="M4" i="1"/>
  <c r="M5" i="1" l="1"/>
  <c r="M9" i="1"/>
  <c r="M13" i="1"/>
  <c r="M17" i="1"/>
  <c r="M21" i="1"/>
  <c r="B49" i="1"/>
  <c r="M6" i="1"/>
  <c r="M10" i="1"/>
  <c r="M14" i="1"/>
  <c r="M18" i="1"/>
</calcChain>
</file>

<file path=xl/sharedStrings.xml><?xml version="1.0" encoding="utf-8"?>
<sst xmlns="http://schemas.openxmlformats.org/spreadsheetml/2006/main" count="175" uniqueCount="121">
  <si>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</si>
  <si>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</si>
  <si>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</si>
  <si>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</si>
  <si>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</si>
  <si>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</si>
  <si>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</si>
  <si>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</si>
  <si>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</si>
  <si>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</si>
  <si>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</si>
  <si>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</si>
  <si>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</si>
  <si>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</si>
  <si>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</si>
  <si>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</si>
  <si>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</si>
  <si>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</si>
  <si>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</si>
  <si>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</si>
  <si>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</si>
  <si>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</si>
  <si>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</si>
  <si>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</si>
  <si>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</si>
  <si>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</si>
  <si>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</si>
  <si>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</si>
  <si>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</si>
  <si>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</si>
  <si>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</si>
  <si>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</si>
  <si>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</si>
  <si>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</si>
  <si>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</si>
  <si>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</si>
  <si>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</si>
  <si>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</si>
  <si>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</si>
  <si>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</si>
  <si>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</si>
  <si>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</si>
  <si>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</si>
  <si>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</si>
  <si>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</si>
  <si>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</si>
  <si>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</si>
  <si>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</si>
  <si>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</si>
  <si>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MUM084_0019</t>
  </si>
  <si>
    <t>KZKD00001244</t>
  </si>
  <si>
    <t>KZT</t>
  </si>
  <si>
    <t>30.07.2025</t>
  </si>
  <si>
    <t>31.07.2025</t>
  </si>
  <si>
    <t>МИНИСТЕРСТВО ФИНАНСОВ РК, ОБЛИГАЦИИ, MFKZ.0435</t>
  </si>
  <si>
    <t>XS2914770545</t>
  </si>
  <si>
    <t>МИНИСТЕРСТВО ФИНАНСОВ РК, ГЦБ, KZ_25_3707</t>
  </si>
  <si>
    <t>XS3093658014</t>
  </si>
  <si>
    <t>ГУ "Национальный Банк Республики Казахстан", ГЦБ, NTK028_2865</t>
  </si>
  <si>
    <t>KZW100014312</t>
  </si>
  <si>
    <t>29.07.2025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</si>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</sst>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tabSelected="1" topLeftCell="A22" zoomScale="90" zoomScaleNormal="90" workbookViewId="0">
      <selection activeCell="D50" sqref="D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61</v>
      </c>
      <c r="B4" s="13" t="s">
        <v>62</v>
      </c>
      <c r="C4" s="10">
        <v>3020000</v>
      </c>
      <c r="D4" s="11">
        <v>3020000000</v>
      </c>
      <c r="E4" s="3">
        <v>0.1067</v>
      </c>
      <c r="F4" s="4" t="s">
        <v>63</v>
      </c>
      <c r="G4" s="4" t="s">
        <v>64</v>
      </c>
      <c r="H4" s="11">
        <v>2930617060.0000029</v>
      </c>
      <c r="I4" s="11">
        <v>97.633400000000009</v>
      </c>
      <c r="J4" s="11">
        <v>97.900149999999982</v>
      </c>
      <c r="K4" s="11">
        <v>8055850</v>
      </c>
      <c r="L4" s="11">
        <v>2956584529.999999</v>
      </c>
      <c r="M4" s="6">
        <f t="shared" ref="M4:M22" si="0">L4/$L$24</f>
        <v>9.9713624443408033E-2</v>
      </c>
    </row>
    <row r="5" spans="1:13" x14ac:dyDescent="0.25">
      <c r="A5" s="1" t="s">
        <v>65</v>
      </c>
      <c r="B5" s="13" t="s">
        <v>66</v>
      </c>
      <c r="C5" s="10">
        <v>2265000</v>
      </c>
      <c r="D5" s="11">
        <v>2265000000</v>
      </c>
      <c r="E5" s="3">
        <v>0.10550000000000001</v>
      </c>
      <c r="F5" s="4" t="s">
        <v>63</v>
      </c>
      <c r="G5" s="4" t="s">
        <v>67</v>
      </c>
      <c r="H5" s="11">
        <v>2039188560.0000031</v>
      </c>
      <c r="I5" s="11">
        <v>82.807500000000005</v>
      </c>
      <c r="J5" s="11">
        <v>82.86611111111111</v>
      </c>
      <c r="K5" s="11">
        <v>1327541.66666667</v>
      </c>
      <c r="L5" s="11">
        <v>1876917416.666666</v>
      </c>
      <c r="M5" s="6">
        <f t="shared" si="0"/>
        <v>6.3300824481007337E-2</v>
      </c>
    </row>
    <row r="6" spans="1:13" x14ac:dyDescent="0.25">
      <c r="A6" s="1" t="s">
        <v>65</v>
      </c>
      <c r="B6" s="13" t="s">
        <v>66</v>
      </c>
      <c r="C6" s="10">
        <v>1551646</v>
      </c>
      <c r="D6" s="11">
        <v>1551646000</v>
      </c>
      <c r="E6" s="3">
        <v>0.10550000000000001</v>
      </c>
      <c r="F6" s="4" t="s">
        <v>68</v>
      </c>
      <c r="G6" s="4" t="s">
        <v>67</v>
      </c>
      <c r="H6" s="11">
        <v>1395452658.7</v>
      </c>
      <c r="I6" s="11">
        <v>82.807500000000005</v>
      </c>
      <c r="J6" s="11">
        <v>82.866111111111351</v>
      </c>
      <c r="K6" s="11">
        <v>909436.9611111111</v>
      </c>
      <c r="L6" s="11">
        <v>1285788698.4111149</v>
      </c>
      <c r="M6" s="6">
        <f t="shared" si="0"/>
        <v>4.3364446402939266E-2</v>
      </c>
    </row>
    <row r="7" spans="1:13" x14ac:dyDescent="0.25">
      <c r="A7" s="1" t="s">
        <v>65</v>
      </c>
      <c r="B7" s="13" t="s">
        <v>66</v>
      </c>
      <c r="C7" s="10">
        <v>545692</v>
      </c>
      <c r="D7" s="11">
        <v>545692000</v>
      </c>
      <c r="E7" s="3">
        <v>0.10550000000000001</v>
      </c>
      <c r="F7" s="4" t="s">
        <v>69</v>
      </c>
      <c r="G7" s="4" t="s">
        <v>67</v>
      </c>
      <c r="H7" s="11">
        <v>449784993.92000002</v>
      </c>
      <c r="I7" s="11">
        <v>82.807500000000005</v>
      </c>
      <c r="J7" s="11">
        <v>82.86611111111111</v>
      </c>
      <c r="K7" s="11">
        <v>319836.14444444439</v>
      </c>
      <c r="L7" s="11">
        <v>452193739.04444402</v>
      </c>
      <c r="M7" s="6">
        <f t="shared" si="0"/>
        <v>1.525066380251207E-2</v>
      </c>
    </row>
    <row r="8" spans="1:13" x14ac:dyDescent="0.25">
      <c r="A8" s="1" t="s">
        <v>70</v>
      </c>
      <c r="B8" s="13" t="s">
        <v>71</v>
      </c>
      <c r="C8" s="10">
        <v>2265000</v>
      </c>
      <c r="D8" s="11">
        <v>2265000000</v>
      </c>
      <c r="E8" s="3">
        <v>0.10400000000000001</v>
      </c>
      <c r="F8" s="4" t="s">
        <v>63</v>
      </c>
      <c r="G8" s="4" t="s">
        <v>72</v>
      </c>
      <c r="H8" s="11">
        <v>2073109200</v>
      </c>
      <c r="I8" s="11">
        <v>86.3429</v>
      </c>
      <c r="J8" s="11">
        <v>89.462899999999991</v>
      </c>
      <c r="K8" s="11">
        <v>70667999.999999985</v>
      </c>
      <c r="L8" s="11">
        <v>2026334684.999999</v>
      </c>
      <c r="M8" s="6">
        <f t="shared" si="0"/>
        <v>6.8340063923943178E-2</v>
      </c>
    </row>
    <row r="9" spans="1:13" x14ac:dyDescent="0.25">
      <c r="A9" s="1" t="s">
        <v>73</v>
      </c>
      <c r="B9" s="13" t="s">
        <v>74</v>
      </c>
      <c r="C9" s="10">
        <v>2265000</v>
      </c>
      <c r="D9" s="11">
        <v>2265000000</v>
      </c>
      <c r="E9" s="3">
        <v>0.11</v>
      </c>
      <c r="F9" s="4" t="s">
        <v>63</v>
      </c>
      <c r="G9" s="4" t="s">
        <v>75</v>
      </c>
      <c r="H9" s="11">
        <v>2080889475</v>
      </c>
      <c r="I9" s="11">
        <v>84.677199999999999</v>
      </c>
      <c r="J9" s="11">
        <v>88.343866666666656</v>
      </c>
      <c r="K9" s="11">
        <v>83049999.999999985</v>
      </c>
      <c r="L9" s="11">
        <v>2000988579.999999</v>
      </c>
      <c r="M9" s="6">
        <f t="shared" si="0"/>
        <v>6.7485242433325016E-2</v>
      </c>
    </row>
    <row r="10" spans="1:13" x14ac:dyDescent="0.25">
      <c r="A10" s="1" t="s">
        <v>76</v>
      </c>
      <c r="B10" s="13" t="s">
        <v>77</v>
      </c>
      <c r="C10" s="10">
        <v>2265000</v>
      </c>
      <c r="D10" s="11">
        <v>2265000000</v>
      </c>
      <c r="E10" s="3">
        <v>0.10300000000000001</v>
      </c>
      <c r="F10" s="4" t="s">
        <v>63</v>
      </c>
      <c r="G10" s="4" t="s">
        <v>78</v>
      </c>
      <c r="H10" s="11">
        <v>1963990560.0000031</v>
      </c>
      <c r="I10" s="11">
        <v>77.974900000000005</v>
      </c>
      <c r="J10" s="11">
        <v>81.780177777777766</v>
      </c>
      <c r="K10" s="11">
        <v>86189541.666666657</v>
      </c>
      <c r="L10" s="11">
        <v>1852321026.666666</v>
      </c>
      <c r="M10" s="6">
        <f t="shared" si="0"/>
        <v>6.2471287841605529E-2</v>
      </c>
    </row>
    <row r="11" spans="1:13" x14ac:dyDescent="0.25">
      <c r="A11" s="1" t="s">
        <v>79</v>
      </c>
      <c r="B11" s="13" t="s">
        <v>80</v>
      </c>
      <c r="C11" s="10">
        <v>2265000</v>
      </c>
      <c r="D11" s="11">
        <v>2265000000</v>
      </c>
      <c r="E11" s="3">
        <v>8.4500000000000006E-2</v>
      </c>
      <c r="F11" s="4" t="s">
        <v>63</v>
      </c>
      <c r="G11" s="4" t="s">
        <v>81</v>
      </c>
      <c r="H11" s="11">
        <v>1740247065.0000031</v>
      </c>
      <c r="I11" s="11">
        <v>68.743899999999996</v>
      </c>
      <c r="J11" s="11">
        <v>71.185011111111109</v>
      </c>
      <c r="K11" s="11">
        <v>55291166.666666657</v>
      </c>
      <c r="L11" s="11">
        <v>1612340501.666666</v>
      </c>
      <c r="M11" s="6">
        <f t="shared" si="0"/>
        <v>5.4377716458553646E-2</v>
      </c>
    </row>
    <row r="12" spans="1:13" x14ac:dyDescent="0.25">
      <c r="A12" s="1" t="s">
        <v>82</v>
      </c>
      <c r="B12" s="13" t="s">
        <v>83</v>
      </c>
      <c r="C12" s="10">
        <v>2265000</v>
      </c>
      <c r="D12" s="11">
        <v>2265000000</v>
      </c>
      <c r="E12" s="3">
        <v>0.10650000000000001</v>
      </c>
      <c r="F12" s="4" t="s">
        <v>63</v>
      </c>
      <c r="G12" s="4" t="s">
        <v>84</v>
      </c>
      <c r="H12" s="11">
        <v>1967775375</v>
      </c>
      <c r="I12" s="11">
        <v>76.927800000000005</v>
      </c>
      <c r="J12" s="11">
        <v>77.04613333333333</v>
      </c>
      <c r="K12" s="11">
        <v>2680250</v>
      </c>
      <c r="L12" s="11">
        <v>1745094920</v>
      </c>
      <c r="M12" s="6">
        <f t="shared" si="0"/>
        <v>5.8854985441927903E-2</v>
      </c>
    </row>
    <row r="13" spans="1:13" x14ac:dyDescent="0.25">
      <c r="A13" s="1" t="s">
        <v>85</v>
      </c>
      <c r="B13" s="13" t="s">
        <v>86</v>
      </c>
      <c r="C13" s="10">
        <v>2265000</v>
      </c>
      <c r="D13" s="11">
        <v>2265000000</v>
      </c>
      <c r="E13" s="3">
        <v>8.0700000000000008E-2</v>
      </c>
      <c r="F13" s="4" t="s">
        <v>63</v>
      </c>
      <c r="G13" s="4" t="s">
        <v>87</v>
      </c>
      <c r="H13" s="11">
        <v>1622351550</v>
      </c>
      <c r="I13" s="11">
        <v>62.792900000000003</v>
      </c>
      <c r="J13" s="11">
        <v>64.54140000000001</v>
      </c>
      <c r="K13" s="11">
        <v>39603525</v>
      </c>
      <c r="L13" s="11">
        <v>1461862710</v>
      </c>
      <c r="M13" s="6">
        <f t="shared" si="0"/>
        <v>4.9302709857838141E-2</v>
      </c>
    </row>
    <row r="14" spans="1:13" x14ac:dyDescent="0.25">
      <c r="A14" s="1" t="s">
        <v>88</v>
      </c>
      <c r="B14" s="13" t="s">
        <v>89</v>
      </c>
      <c r="C14" s="10">
        <v>2265000</v>
      </c>
      <c r="D14" s="11">
        <v>2265000000</v>
      </c>
      <c r="E14" s="3">
        <v>8.0700000000000008E-2</v>
      </c>
      <c r="F14" s="4" t="s">
        <v>63</v>
      </c>
      <c r="G14" s="4" t="s">
        <v>90</v>
      </c>
      <c r="H14" s="11">
        <v>1597764975</v>
      </c>
      <c r="I14" s="11">
        <v>61.443900000000006</v>
      </c>
      <c r="J14" s="11">
        <v>65.501316666666654</v>
      </c>
      <c r="K14" s="11">
        <v>91900487.5</v>
      </c>
      <c r="L14" s="11">
        <v>1483604822.5</v>
      </c>
      <c r="M14" s="6">
        <f t="shared" si="0"/>
        <v>5.003598327465851E-2</v>
      </c>
    </row>
    <row r="15" spans="1:13" x14ac:dyDescent="0.25">
      <c r="A15" s="1" t="s">
        <v>91</v>
      </c>
      <c r="B15" s="13" t="s">
        <v>92</v>
      </c>
      <c r="C15" s="10">
        <v>3775000</v>
      </c>
      <c r="D15" s="11">
        <v>3775000000</v>
      </c>
      <c r="E15" s="3">
        <v>5.4900000000000004E-2</v>
      </c>
      <c r="F15" s="4" t="s">
        <v>63</v>
      </c>
      <c r="G15" s="4" t="s">
        <v>93</v>
      </c>
      <c r="H15" s="11">
        <v>3136670150</v>
      </c>
      <c r="I15" s="11">
        <v>84.261899999999997</v>
      </c>
      <c r="J15" s="11">
        <v>86.137649999999994</v>
      </c>
      <c r="K15" s="11">
        <v>70809562.5</v>
      </c>
      <c r="L15" s="11">
        <v>3251696287.5</v>
      </c>
      <c r="M15" s="6">
        <f t="shared" si="0"/>
        <v>0.10966654906220431</v>
      </c>
    </row>
    <row r="16" spans="1:13" x14ac:dyDescent="0.25">
      <c r="A16" s="1" t="s">
        <v>94</v>
      </c>
      <c r="B16" s="13" t="s">
        <v>95</v>
      </c>
      <c r="C16" s="10">
        <v>2803860</v>
      </c>
      <c r="D16" s="11">
        <v>2803860000</v>
      </c>
      <c r="E16" s="3">
        <v>5.5E-2</v>
      </c>
      <c r="F16" s="4" t="s">
        <v>96</v>
      </c>
      <c r="G16" s="4" t="s">
        <v>97</v>
      </c>
      <c r="H16" s="11">
        <v>1773018067.1400001</v>
      </c>
      <c r="I16" s="11">
        <v>57.319000000000003</v>
      </c>
      <c r="J16" s="11">
        <v>58.785666666666657</v>
      </c>
      <c r="K16" s="11">
        <v>41123280</v>
      </c>
      <c r="L16" s="11">
        <v>1648267793.4000001</v>
      </c>
      <c r="M16" s="6">
        <f t="shared" si="0"/>
        <v>5.5589398532519728E-2</v>
      </c>
    </row>
    <row r="17" spans="1:15" x14ac:dyDescent="0.25">
      <c r="A17" s="1" t="s">
        <v>98</v>
      </c>
      <c r="B17" s="13" t="s">
        <v>99</v>
      </c>
      <c r="C17" s="10">
        <v>1038480</v>
      </c>
      <c r="D17" s="11">
        <v>1038480000</v>
      </c>
      <c r="E17" s="3">
        <v>0.12</v>
      </c>
      <c r="F17" s="4" t="s">
        <v>96</v>
      </c>
      <c r="G17" s="4" t="s">
        <v>100</v>
      </c>
      <c r="H17" s="11">
        <v>979029096.96000004</v>
      </c>
      <c r="I17" s="11">
        <v>85.458200000000005</v>
      </c>
      <c r="J17" s="11">
        <v>90.224866666666657</v>
      </c>
      <c r="K17" s="11">
        <v>49500880</v>
      </c>
      <c r="L17" s="11">
        <v>936967195.36000001</v>
      </c>
      <c r="M17" s="6">
        <f t="shared" si="0"/>
        <v>3.1600109547322973E-2</v>
      </c>
    </row>
    <row r="18" spans="1:15" x14ac:dyDescent="0.25">
      <c r="A18" s="1" t="s">
        <v>101</v>
      </c>
      <c r="B18" s="13" t="s">
        <v>102</v>
      </c>
      <c r="C18" s="10">
        <v>506989</v>
      </c>
      <c r="D18" s="11">
        <v>506989000</v>
      </c>
      <c r="E18" s="3">
        <v>0.1535</v>
      </c>
      <c r="F18" s="4" t="s">
        <v>103</v>
      </c>
      <c r="G18" s="4" t="s">
        <v>104</v>
      </c>
      <c r="H18" s="11">
        <v>492216861.50999999</v>
      </c>
      <c r="I18" s="11">
        <v>97.931600000000003</v>
      </c>
      <c r="J18" s="11">
        <v>101.00160000000001</v>
      </c>
      <c r="K18" s="11">
        <v>15564562.300000001</v>
      </c>
      <c r="L18" s="11">
        <v>512067001.824</v>
      </c>
      <c r="M18" s="6">
        <f t="shared" si="0"/>
        <v>1.7269946518234772E-2</v>
      </c>
    </row>
    <row r="19" spans="1:15" x14ac:dyDescent="0.25">
      <c r="A19" s="1" t="s">
        <v>105</v>
      </c>
      <c r="B19" s="13" t="s">
        <v>106</v>
      </c>
      <c r="C19" s="10">
        <v>2100000</v>
      </c>
      <c r="D19" s="11">
        <v>2100000000</v>
      </c>
      <c r="E19" s="3">
        <v>0.14300000000000002</v>
      </c>
      <c r="F19" s="4" t="s">
        <v>107</v>
      </c>
      <c r="G19" s="4" t="s">
        <v>108</v>
      </c>
      <c r="H19" s="11">
        <v>2100000000</v>
      </c>
      <c r="I19" s="11">
        <v>93.129123354721301</v>
      </c>
      <c r="J19" s="11">
        <v>106.11829002138801</v>
      </c>
      <c r="K19" s="11">
        <v>272772500</v>
      </c>
      <c r="L19" s="11">
        <v>2228484090.4491472</v>
      </c>
      <c r="M19" s="6">
        <f t="shared" si="0"/>
        <v>7.5157744829692411E-2</v>
      </c>
    </row>
    <row r="20" spans="1:15" x14ac:dyDescent="0.25">
      <c r="A20" s="1" t="s">
        <v>109</v>
      </c>
      <c r="B20" s="13" t="s">
        <v>110</v>
      </c>
      <c r="C20" s="10">
        <v>1100000</v>
      </c>
      <c r="D20" s="11">
        <v>1100000000</v>
      </c>
      <c r="E20" s="3">
        <v>0.13870000000000002</v>
      </c>
      <c r="F20" s="4" t="s">
        <v>111</v>
      </c>
      <c r="G20" s="4" t="s">
        <v>112</v>
      </c>
      <c r="H20" s="11">
        <v>1100000000</v>
      </c>
      <c r="I20" s="11">
        <v>99.6661</v>
      </c>
      <c r="J20" s="11">
        <v>105.05998888888901</v>
      </c>
      <c r="K20" s="11">
        <v>59332777.777777769</v>
      </c>
      <c r="L20" s="11">
        <v>1155659877.777777</v>
      </c>
      <c r="M20" s="6">
        <f t="shared" si="0"/>
        <v>3.897572819845882E-2</v>
      </c>
    </row>
    <row r="21" spans="1:15" x14ac:dyDescent="0.25">
      <c r="A21" s="1" t="s">
        <v>113</v>
      </c>
      <c r="B21" s="13" t="s">
        <v>114</v>
      </c>
      <c r="C21" s="10">
        <v>1000000</v>
      </c>
      <c r="D21" s="11">
        <v>1000000000</v>
      </c>
      <c r="E21" s="3">
        <v>0.1389</v>
      </c>
      <c r="F21" s="4" t="s">
        <v>115</v>
      </c>
      <c r="G21" s="4" t="s">
        <v>116</v>
      </c>
      <c r="H21" s="11">
        <v>1000000000</v>
      </c>
      <c r="I21" s="11">
        <v>97.866477711069891</v>
      </c>
      <c r="J21" s="11">
        <v>100.258644377737</v>
      </c>
      <c r="K21" s="11">
        <v>23921666.66666666</v>
      </c>
      <c r="L21" s="11">
        <v>1002586443.777365</v>
      </c>
      <c r="M21" s="6">
        <f t="shared" si="0"/>
        <v>3.3813181092058352E-2</v>
      </c>
    </row>
    <row r="22" spans="1:15" x14ac:dyDescent="0.25">
      <c r="A22" s="1" t="s">
        <v>117</v>
      </c>
      <c r="B22" s="13" t="s">
        <v>118</v>
      </c>
      <c r="C22" s="10">
        <v>165739</v>
      </c>
      <c r="D22" s="11">
        <v>165739000</v>
      </c>
      <c r="E22" s="3">
        <v>0.125</v>
      </c>
      <c r="F22" s="4" t="s">
        <v>119</v>
      </c>
      <c r="G22" s="4" t="s">
        <v>120</v>
      </c>
      <c r="H22" s="11">
        <v>159596381.18279999</v>
      </c>
      <c r="I22" s="11">
        <v>95.472511622568689</v>
      </c>
      <c r="J22" s="11">
        <v>97.139178289221945</v>
      </c>
      <c r="K22" s="11">
        <v>2762316.66664444</v>
      </c>
      <c r="L22" s="11">
        <v>160997502.70477399</v>
      </c>
      <c r="M22" s="6">
        <f t="shared" si="0"/>
        <v>5.4297938577898223E-3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975783181.51664436</v>
      </c>
      <c r="L24" s="22">
        <f>SUM(L4:L23)</f>
        <v>29650757822.748623</v>
      </c>
      <c r="M24" s="23"/>
      <c r="N24" s="26">
        <v>29650757822.748642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3111524.03</v>
      </c>
      <c r="C27" s="51">
        <v>3111524.03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996101</v>
      </c>
      <c r="D32" s="7" t="s">
        <v>51</v>
      </c>
      <c r="E32" s="34" t="s">
        <v>52</v>
      </c>
      <c r="F32" s="34" t="s">
        <v>53</v>
      </c>
      <c r="G32" s="15">
        <v>891.21299999698806</v>
      </c>
      <c r="H32" s="15">
        <v>891.595125273441</v>
      </c>
      <c r="I32" s="16">
        <f t="shared" ref="I32:I40" si="1">+C32*G32</f>
        <v>887738160.50999975</v>
      </c>
      <c r="J32" s="16">
        <f t="shared" ref="J32:J40" si="2">+C32*H32</f>
        <v>888118795.87999988</v>
      </c>
      <c r="K32" s="18">
        <v>0.156501</v>
      </c>
      <c r="L32" s="17"/>
      <c r="M32" s="17">
        <v>887738160.50999999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9395</v>
      </c>
      <c r="D33" s="7" t="s">
        <v>51</v>
      </c>
      <c r="E33" s="34" t="s">
        <v>52</v>
      </c>
      <c r="F33" s="34" t="s">
        <v>53</v>
      </c>
      <c r="G33" s="15">
        <v>532.46600000000001</v>
      </c>
      <c r="H33" s="15">
        <v>532.69430548163905</v>
      </c>
      <c r="I33" s="16">
        <f t="shared" si="1"/>
        <v>5002518.07</v>
      </c>
      <c r="J33" s="16">
        <f t="shared" si="2"/>
        <v>5004662.9999999991</v>
      </c>
      <c r="K33" s="18">
        <v>0.156501</v>
      </c>
      <c r="L33" s="17"/>
      <c r="M33" s="17">
        <v>5002518.07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2379000</v>
      </c>
      <c r="D34" s="7" t="s">
        <v>51</v>
      </c>
      <c r="E34" s="34" t="s">
        <v>52</v>
      </c>
      <c r="F34" s="34" t="s">
        <v>53</v>
      </c>
      <c r="G34" s="15">
        <v>546.72070000000008</v>
      </c>
      <c r="H34" s="15">
        <v>546.95586479613303</v>
      </c>
      <c r="I34" s="16">
        <f t="shared" si="1"/>
        <v>1300648545.3000002</v>
      </c>
      <c r="J34" s="16">
        <f t="shared" si="2"/>
        <v>1301208002.3500004</v>
      </c>
      <c r="K34" s="18">
        <v>0.157</v>
      </c>
      <c r="L34" s="17"/>
      <c r="M34" s="17">
        <v>1300648545.3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8948943</v>
      </c>
      <c r="D35" s="7" t="s">
        <v>51</v>
      </c>
      <c r="E35" s="34" t="s">
        <v>60</v>
      </c>
      <c r="F35" s="34" t="s">
        <v>52</v>
      </c>
      <c r="G35" s="15">
        <v>99.121199999821201</v>
      </c>
      <c r="H35" s="15">
        <v>99.163862850618216</v>
      </c>
      <c r="I35" s="16">
        <f t="shared" si="1"/>
        <v>887029968.88999999</v>
      </c>
      <c r="J35" s="16">
        <f t="shared" si="2"/>
        <v>887411756.30999994</v>
      </c>
      <c r="K35" s="18">
        <v>0.15710000000000002</v>
      </c>
      <c r="L35" s="17">
        <v>381787.42</v>
      </c>
      <c r="M35" s="17"/>
      <c r="N35" s="35"/>
    </row>
    <row r="36" spans="1:15" s="36" customFormat="1" ht="12" customHeight="1" x14ac:dyDescent="0.25">
      <c r="A36" s="12" t="s">
        <v>58</v>
      </c>
      <c r="B36" s="7" t="s">
        <v>59</v>
      </c>
      <c r="C36" s="14">
        <v>8948943</v>
      </c>
      <c r="D36" s="7" t="s">
        <v>51</v>
      </c>
      <c r="E36" s="34" t="s">
        <v>52</v>
      </c>
      <c r="F36" s="34" t="s">
        <v>52</v>
      </c>
      <c r="G36" s="15">
        <v>99.121199999821201</v>
      </c>
      <c r="H36" s="15">
        <v>99.163862850618216</v>
      </c>
      <c r="I36" s="16">
        <f t="shared" si="1"/>
        <v>887029968.88999999</v>
      </c>
      <c r="J36" s="16">
        <f t="shared" si="2"/>
        <v>887411756.30999994</v>
      </c>
      <c r="K36" s="18">
        <v>0.15710000000000002</v>
      </c>
      <c r="L36" s="17"/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60534</v>
      </c>
      <c r="D37" s="7" t="s">
        <v>51</v>
      </c>
      <c r="E37" s="34" t="s">
        <v>60</v>
      </c>
      <c r="F37" s="34" t="s">
        <v>52</v>
      </c>
      <c r="G37" s="15">
        <v>99.121199986784276</v>
      </c>
      <c r="H37" s="15">
        <v>99.163699904186061</v>
      </c>
      <c r="I37" s="16">
        <f t="shared" si="1"/>
        <v>6000202.7199999997</v>
      </c>
      <c r="J37" s="16">
        <f t="shared" si="2"/>
        <v>6002775.4099999992</v>
      </c>
      <c r="K37" s="18">
        <v>0.1565</v>
      </c>
      <c r="L37" s="17">
        <v>2572.69</v>
      </c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60534</v>
      </c>
      <c r="D38" s="7" t="s">
        <v>51</v>
      </c>
      <c r="E38" s="34" t="s">
        <v>52</v>
      </c>
      <c r="F38" s="34" t="s">
        <v>52</v>
      </c>
      <c r="G38" s="15">
        <v>99.121199986784276</v>
      </c>
      <c r="H38" s="15">
        <v>99.163699904186061</v>
      </c>
      <c r="I38" s="16">
        <f t="shared" si="1"/>
        <v>6000202.7199999997</v>
      </c>
      <c r="J38" s="16">
        <f t="shared" si="2"/>
        <v>6002775.4099999992</v>
      </c>
      <c r="K38" s="18">
        <v>0.1565</v>
      </c>
      <c r="L38" s="17"/>
      <c r="M38" s="17"/>
      <c r="N38" s="35"/>
    </row>
    <row r="39" spans="1:15" s="36" customFormat="1" ht="12" customHeight="1" x14ac:dyDescent="0.25">
      <c r="A39" s="12" t="s">
        <v>58</v>
      </c>
      <c r="B39" s="7" t="s">
        <v>59</v>
      </c>
      <c r="C39" s="14">
        <v>13115700</v>
      </c>
      <c r="D39" s="7" t="s">
        <v>51</v>
      </c>
      <c r="E39" s="34" t="s">
        <v>60</v>
      </c>
      <c r="F39" s="34" t="s">
        <v>52</v>
      </c>
      <c r="G39" s="15">
        <v>99.121200000000002</v>
      </c>
      <c r="H39" s="15">
        <v>99.163699640125941</v>
      </c>
      <c r="I39" s="16">
        <f t="shared" si="1"/>
        <v>1300043922.8399999</v>
      </c>
      <c r="J39" s="16">
        <f t="shared" si="2"/>
        <v>1300601335.3699999</v>
      </c>
      <c r="K39" s="18">
        <v>0.156499</v>
      </c>
      <c r="L39" s="17">
        <v>557412.53</v>
      </c>
      <c r="M39" s="17"/>
      <c r="N39" s="35"/>
    </row>
    <row r="40" spans="1:15" s="36" customFormat="1" ht="12" customHeight="1" x14ac:dyDescent="0.25">
      <c r="A40" s="12" t="s">
        <v>58</v>
      </c>
      <c r="B40" s="7" t="s">
        <v>59</v>
      </c>
      <c r="C40" s="14">
        <v>13115700</v>
      </c>
      <c r="D40" s="7" t="s">
        <v>51</v>
      </c>
      <c r="E40" s="34" t="s">
        <v>52</v>
      </c>
      <c r="F40" s="34" t="s">
        <v>52</v>
      </c>
      <c r="G40" s="15">
        <v>99.121200000000002</v>
      </c>
      <c r="H40" s="15">
        <v>99.163699640125941</v>
      </c>
      <c r="I40" s="16">
        <f t="shared" si="1"/>
        <v>1300043922.8399999</v>
      </c>
      <c r="J40" s="16">
        <f t="shared" si="2"/>
        <v>1300601335.3699999</v>
      </c>
      <c r="K40" s="18">
        <v>0.156499</v>
      </c>
      <c r="L40" s="17"/>
      <c r="M40" s="17"/>
      <c r="N40" s="35"/>
    </row>
    <row r="41" spans="1:15" s="36" customFormat="1" ht="11.25" hidden="1" x14ac:dyDescent="0.25">
      <c r="A41" s="7"/>
      <c r="B41" s="7"/>
      <c r="C41" s="7"/>
      <c r="D41" s="7"/>
      <c r="E41" s="37"/>
      <c r="F41" s="37"/>
      <c r="G41" s="7"/>
      <c r="H41" s="7"/>
      <c r="I41" s="8"/>
      <c r="J41" s="8"/>
      <c r="K41" s="7"/>
      <c r="L41" s="9"/>
      <c r="M41" s="9"/>
      <c r="N41" s="35"/>
    </row>
    <row r="42" spans="1:15" x14ac:dyDescent="0.25">
      <c r="A42" s="1" t="s">
        <v>5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2">
        <f>SUM(M32:M41)</f>
        <v>2193389223.8800001</v>
      </c>
      <c r="N42" s="38">
        <v>2193389223.8800001</v>
      </c>
      <c r="O42" s="29">
        <f>M42-N42</f>
        <v>0</v>
      </c>
    </row>
    <row r="44" spans="1:15" x14ac:dyDescent="0.25">
      <c r="A44" s="39" t="s">
        <v>28</v>
      </c>
      <c r="B44" s="33"/>
      <c r="D44" s="33"/>
      <c r="F44" s="28"/>
      <c r="G44" s="28"/>
    </row>
    <row r="45" spans="1:15" ht="22.5" x14ac:dyDescent="0.25">
      <c r="A45" s="19" t="s">
        <v>6</v>
      </c>
      <c r="B45" s="19" t="s">
        <v>29</v>
      </c>
      <c r="C45" s="19" t="s">
        <v>17</v>
      </c>
      <c r="D45" s="19" t="s">
        <v>30</v>
      </c>
      <c r="E45" s="19" t="s">
        <v>16</v>
      </c>
      <c r="F45" s="19" t="s">
        <v>31</v>
      </c>
      <c r="G45" s="19" t="s">
        <v>32</v>
      </c>
    </row>
    <row r="46" spans="1:15" hidden="1" x14ac:dyDescent="0.25">
      <c r="B46" s="41"/>
      <c r="C46" s="42"/>
      <c r="D46" s="43"/>
      <c r="G46" s="44"/>
      <c r="H46" s="33"/>
    </row>
    <row r="47" spans="1:15" x14ac:dyDescent="0.25">
      <c r="G47" s="45">
        <f>SUM(G46:G46)</f>
        <v>0</v>
      </c>
    </row>
    <row r="49" spans="1:4" x14ac:dyDescent="0.25">
      <c r="A49" s="46" t="s">
        <v>13</v>
      </c>
      <c r="B49" s="47">
        <f>+L24+B27+M42+G47</f>
        <v>31847258570.658623</v>
      </c>
      <c r="C49" s="32">
        <v>31847258570.658646</v>
      </c>
      <c r="D49" s="29">
        <f>B49-C49</f>
        <v>0</v>
      </c>
    </row>
    <row r="52" spans="1:4" x14ac:dyDescent="0.25">
      <c r="A52" s="24" t="s">
        <v>46</v>
      </c>
      <c r="B52" s="33"/>
    </row>
    <row r="53" spans="1:4" x14ac:dyDescent="0.25">
      <c r="A53" s="48" t="s">
        <v>35</v>
      </c>
      <c r="B53" s="49"/>
    </row>
    <row r="54" spans="1:4" x14ac:dyDescent="0.25">
      <c r="A54" s="48" t="s">
        <v>36</v>
      </c>
      <c r="B54" s="40"/>
    </row>
    <row r="55" spans="1:4" x14ac:dyDescent="0.25">
      <c r="A55" s="48" t="s">
        <v>37</v>
      </c>
      <c r="B55" s="40">
        <v>444913.32999999996</v>
      </c>
    </row>
    <row r="56" spans="1:4" x14ac:dyDescent="0.25">
      <c r="A56" s="48" t="s">
        <v>38</v>
      </c>
      <c r="B56" s="40"/>
    </row>
    <row r="57" spans="1:4" x14ac:dyDescent="0.25">
      <c r="A57" s="48" t="s">
        <v>39</v>
      </c>
      <c r="B57" s="49"/>
    </row>
    <row r="58" spans="1:4" x14ac:dyDescent="0.25">
      <c r="A58" s="48" t="s">
        <v>40</v>
      </c>
      <c r="B58" s="50">
        <v>65275.400000000009</v>
      </c>
    </row>
    <row r="59" spans="1:4" x14ac:dyDescent="0.25">
      <c r="A59" s="48" t="s">
        <v>41</v>
      </c>
      <c r="B59" s="50">
        <v>32502.670000000002</v>
      </c>
    </row>
    <row r="60" spans="1:4" x14ac:dyDescent="0.25">
      <c r="A60" s="48" t="s">
        <v>42</v>
      </c>
      <c r="B60" s="40"/>
    </row>
    <row r="61" spans="1:4" x14ac:dyDescent="0.25">
      <c r="A61" s="48" t="s">
        <v>43</v>
      </c>
      <c r="B61" s="40"/>
    </row>
    <row r="62" spans="1:4" x14ac:dyDescent="0.25">
      <c r="A62" s="48" t="s">
        <v>44</v>
      </c>
      <c r="B62" s="50"/>
    </row>
    <row r="63" spans="1:4" x14ac:dyDescent="0.25">
      <c r="A63" s="48" t="s">
        <v>45</v>
      </c>
      <c r="B63" s="49">
        <f>SUM(B53:B62)</f>
        <v>542691.4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2025-07-31T06:11:00Z</dcterms:created>
  <dcterms:modified xsi:type="dcterms:W3CDTF">2025-07-31T06:32:01Z</dcterms:modified>
</cp:coreProperties>
</file>