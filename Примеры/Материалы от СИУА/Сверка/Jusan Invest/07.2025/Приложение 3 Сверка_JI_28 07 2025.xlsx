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3D963E51-AAA3-4877-B9E3-D7F23CD4D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O42" i="1"/>
  <c r="O24" i="1"/>
  <c r="D27" i="1"/>
  <c r="B63" i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49" i="1"/>
  <c r="M6" i="1"/>
  <c r="M10" i="1"/>
  <c r="M14" i="1"/>
  <c r="M18" i="1"/>
</calcChain>
</file>

<file path=xl/sharedStrings.xml><?xml version="1.0" encoding="utf-8"?>
<sst xmlns="http://schemas.openxmlformats.org/spreadsheetml/2006/main" count="175" uniqueCount="125">
  <si>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</si>
  <si>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</si>
  <si>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</si>
  <si>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</si>
  <si>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</si>
  <si>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</si>
  <si>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</si>
  <si>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</si>
  <si>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</si>
  <si>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</si>
  <si>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</si>
  <si>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</si>
  <si>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</si>
  <si>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</si>
  <si>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</si>
  <si>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</si>
  <si>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</si>
  <si>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</si>
  <si>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</si>
  <si>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</si>
  <si>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</si>
  <si>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</si>
  <si>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</si>
  <si>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</si>
  <si>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</si>
  <si>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</si>
  <si>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</si>
  <si>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</si>
  <si>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</si>
  <si>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</si>
  <si>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</si>
  <si>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</si>
  <si>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</si>
  <si>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</si>
  <si>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</si>
  <si>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</si>
  <si>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</si>
  <si>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</si>
  <si>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</si>
  <si>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</si>
  <si>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</si>
  <si>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</si>
  <si>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</si>
  <si>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</si>
  <si>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</si>
  <si>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</si>
  <si>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</si>
  <si>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</si>
  <si>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</si>
  <si>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</si>
  <si>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</si>
  <si>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</si>
  <si>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25.07.2025</t>
  </si>
  <si>
    <t>28.07.2025</t>
  </si>
  <si>
    <t>МИНИСТЕРСТВО ФИНАНСОВ РК, ГЦБ, MOM060_0054</t>
  </si>
  <si>
    <t>KZK200000737</t>
  </si>
  <si>
    <t>МИНИСТЕРСТВО ФИНАНСОВ РК, ГЦБ, MUM084_0019</t>
  </si>
  <si>
    <t>KZKD00001244</t>
  </si>
  <si>
    <t>29.07.2025</t>
  </si>
  <si>
    <t>ЕВРАЗИЙСКИЙ БАНК РАЗВИТИЯ, ОБЛИГАЦИИ, EABRb53</t>
  </si>
  <si>
    <t>KZ2D00013620</t>
  </si>
  <si>
    <t>МИНИСТЕРСТВО ФИНАНСОВ РК, ГЦБ, MUM180_0009</t>
  </si>
  <si>
    <t>KZKD00000717</t>
  </si>
  <si>
    <t>МИНИСТЕРСТВО ФИНАНСОВ РК, ГЦБ, KZ_24_3207</t>
  </si>
  <si>
    <t>XS3093655341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</si>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</sst>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16" zoomScale="90" zoomScaleNormal="90" workbookViewId="0">
      <selection activeCell="L50" sqref="L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97.631700000000009</v>
      </c>
      <c r="J4" s="11">
        <v>97.839172222222217</v>
      </c>
      <c r="K4" s="11">
        <v>6265661.1111111101</v>
      </c>
      <c r="L4" s="11">
        <v>2954743001.1111112</v>
      </c>
      <c r="M4" s="6">
        <f t="shared" ref="M4:M22" si="0">L4/$L$24</f>
        <v>9.934679653407695E-2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82.864200000000011</v>
      </c>
      <c r="J5" s="11">
        <v>82.864200000000011</v>
      </c>
      <c r="K5" s="11"/>
      <c r="L5" s="11">
        <v>1876874130</v>
      </c>
      <c r="M5" s="6">
        <f t="shared" si="0"/>
        <v>6.310580386959716E-2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82.864200000000011</v>
      </c>
      <c r="J6" s="11">
        <v>82.864200000000253</v>
      </c>
      <c r="K6" s="11"/>
      <c r="L6" s="11">
        <v>1285759044.7320039</v>
      </c>
      <c r="M6" s="6">
        <f t="shared" si="0"/>
        <v>4.3230846865803647E-2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82.864200000000011</v>
      </c>
      <c r="J7" s="11">
        <v>82.864199999999997</v>
      </c>
      <c r="K7" s="11"/>
      <c r="L7" s="11">
        <v>452183310.264</v>
      </c>
      <c r="M7" s="6">
        <f t="shared" si="0"/>
        <v>1.5203678730776254E-2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86.47</v>
      </c>
      <c r="J8" s="11">
        <v>89.532222222222217</v>
      </c>
      <c r="K8" s="11">
        <v>69359333.333333328</v>
      </c>
      <c r="L8" s="11">
        <v>2027904833.333333</v>
      </c>
      <c r="M8" s="6">
        <f t="shared" si="0"/>
        <v>6.8183882250293176E-2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84.756900000000002</v>
      </c>
      <c r="J9" s="11">
        <v>88.362455555555542</v>
      </c>
      <c r="K9" s="11">
        <v>81665833.333333328</v>
      </c>
      <c r="L9" s="11">
        <v>2001409618.333333</v>
      </c>
      <c r="M9" s="6">
        <f t="shared" si="0"/>
        <v>6.7293038365480923E-2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77.90740000000001</v>
      </c>
      <c r="J10" s="11">
        <v>81.655455555555548</v>
      </c>
      <c r="K10" s="11">
        <v>84893458.333333328</v>
      </c>
      <c r="L10" s="11">
        <v>1849496068.333333</v>
      </c>
      <c r="M10" s="6">
        <f t="shared" si="0"/>
        <v>6.2185276188890935E-2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68.601500000000001</v>
      </c>
      <c r="J11" s="11">
        <v>70.995666666666651</v>
      </c>
      <c r="K11" s="11">
        <v>54227874.999999993</v>
      </c>
      <c r="L11" s="11">
        <v>1608051849.999999</v>
      </c>
      <c r="M11" s="6">
        <f t="shared" si="0"/>
        <v>5.4067240331264421E-2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76.778000000000006</v>
      </c>
      <c r="J12" s="11">
        <v>76.837166666666661</v>
      </c>
      <c r="K12" s="11">
        <v>1340125</v>
      </c>
      <c r="L12" s="11">
        <v>1740361825</v>
      </c>
      <c r="M12" s="6">
        <f t="shared" si="0"/>
        <v>5.8515875004672889E-2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62.556900000000006</v>
      </c>
      <c r="J13" s="11">
        <v>64.260566666666662</v>
      </c>
      <c r="K13" s="11">
        <v>38588050</v>
      </c>
      <c r="L13" s="11">
        <v>1455501835</v>
      </c>
      <c r="M13" s="6">
        <f t="shared" si="0"/>
        <v>4.893807840558214E-2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61.182400000000001</v>
      </c>
      <c r="J14" s="11">
        <v>65.194983333333326</v>
      </c>
      <c r="K14" s="11">
        <v>90885012.5</v>
      </c>
      <c r="L14" s="11">
        <v>1476666372.5</v>
      </c>
      <c r="M14" s="6">
        <f t="shared" si="0"/>
        <v>4.9649689872284887E-2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84.35260000000001</v>
      </c>
      <c r="J15" s="11">
        <v>86.197850000000003</v>
      </c>
      <c r="K15" s="11">
        <v>69658187.5</v>
      </c>
      <c r="L15" s="11">
        <v>3253968837.5</v>
      </c>
      <c r="M15" s="6">
        <f t="shared" si="0"/>
        <v>0.10940761342214039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57.166800000000002</v>
      </c>
      <c r="J16" s="11">
        <v>58.602911111111105</v>
      </c>
      <c r="K16" s="11">
        <v>40266545</v>
      </c>
      <c r="L16" s="11">
        <v>1643143583.48</v>
      </c>
      <c r="M16" s="6">
        <f t="shared" si="0"/>
        <v>5.5247123422536563E-2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85.475200000000001</v>
      </c>
      <c r="J17" s="11">
        <v>90.175200000000004</v>
      </c>
      <c r="K17" s="11">
        <v>48808560</v>
      </c>
      <c r="L17" s="11">
        <v>936451416.96000004</v>
      </c>
      <c r="M17" s="6">
        <f t="shared" si="0"/>
        <v>3.148613884516812E-2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98.092500000000001</v>
      </c>
      <c r="J18" s="11">
        <v>101.07722222222201</v>
      </c>
      <c r="K18" s="11">
        <v>15132213.34722222</v>
      </c>
      <c r="L18" s="11">
        <v>512450398.17222202</v>
      </c>
      <c r="M18" s="6">
        <f t="shared" si="0"/>
        <v>1.7230028270437729E-2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98.97153776732479</v>
      </c>
      <c r="J19" s="11">
        <v>111.881259989547</v>
      </c>
      <c r="K19" s="11">
        <v>271104166.66666698</v>
      </c>
      <c r="L19" s="11">
        <v>2349506459.7804871</v>
      </c>
      <c r="M19" s="6">
        <f t="shared" si="0"/>
        <v>7.8997036333629353E-2</v>
      </c>
    </row>
    <row r="20" spans="1:15" x14ac:dyDescent="0.25">
      <c r="A20" s="1" t="s">
        <v>113</v>
      </c>
      <c r="B20" s="13" t="s">
        <v>114</v>
      </c>
      <c r="C20" s="10">
        <v>1100000</v>
      </c>
      <c r="D20" s="11">
        <v>1100000000</v>
      </c>
      <c r="E20" s="3">
        <v>0.13870000000000002</v>
      </c>
      <c r="F20" s="4" t="s">
        <v>115</v>
      </c>
      <c r="G20" s="4" t="s">
        <v>116</v>
      </c>
      <c r="H20" s="11">
        <v>1100000000</v>
      </c>
      <c r="I20" s="11">
        <v>99.635300000000001</v>
      </c>
      <c r="J20" s="11">
        <v>104.95213333333301</v>
      </c>
      <c r="K20" s="11">
        <v>58485166.666666657</v>
      </c>
      <c r="L20" s="11">
        <v>1154473466.666666</v>
      </c>
      <c r="M20" s="6">
        <f t="shared" si="0"/>
        <v>3.8816655307684668E-2</v>
      </c>
    </row>
    <row r="21" spans="1:15" x14ac:dyDescent="0.25">
      <c r="A21" s="1" t="s">
        <v>117</v>
      </c>
      <c r="B21" s="13" t="s">
        <v>118</v>
      </c>
      <c r="C21" s="10">
        <v>1000000</v>
      </c>
      <c r="D21" s="11">
        <v>1000000000</v>
      </c>
      <c r="E21" s="3">
        <v>0.1389</v>
      </c>
      <c r="F21" s="4" t="s">
        <v>119</v>
      </c>
      <c r="G21" s="4" t="s">
        <v>120</v>
      </c>
      <c r="H21" s="11">
        <v>1000000000</v>
      </c>
      <c r="I21" s="11">
        <v>97.836730888212699</v>
      </c>
      <c r="J21" s="11">
        <v>100.15173088821301</v>
      </c>
      <c r="K21" s="11">
        <v>23149999.999999989</v>
      </c>
      <c r="L21" s="11">
        <v>1001517308.882126</v>
      </c>
      <c r="M21" s="6">
        <f t="shared" si="0"/>
        <v>3.3673837715650225E-2</v>
      </c>
    </row>
    <row r="22" spans="1:15" x14ac:dyDescent="0.25">
      <c r="A22" s="1" t="s">
        <v>121</v>
      </c>
      <c r="B22" s="13" t="s">
        <v>122</v>
      </c>
      <c r="C22" s="10">
        <v>165739</v>
      </c>
      <c r="D22" s="11">
        <v>165739000</v>
      </c>
      <c r="E22" s="3">
        <v>0.125</v>
      </c>
      <c r="F22" s="4" t="s">
        <v>123</v>
      </c>
      <c r="G22" s="4" t="s">
        <v>124</v>
      </c>
      <c r="H22" s="11">
        <v>159596381.18279999</v>
      </c>
      <c r="I22" s="11">
        <v>95.688565338366999</v>
      </c>
      <c r="J22" s="11">
        <v>97.285787560575812</v>
      </c>
      <c r="K22" s="11">
        <v>2647220.13886667</v>
      </c>
      <c r="L22" s="11">
        <v>161240491.445023</v>
      </c>
      <c r="M22" s="6">
        <f t="shared" si="0"/>
        <v>5.421360264029576E-3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956477407.93053365</v>
      </c>
      <c r="L24" s="22">
        <f>SUM(L4:L23)</f>
        <v>29741703851.493637</v>
      </c>
      <c r="M24" s="23"/>
      <c r="N24" s="26">
        <v>29741703851.493656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2417934.4700000002</v>
      </c>
      <c r="C27" s="51">
        <v>2417934.4700000002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14727700</v>
      </c>
      <c r="D32" s="7" t="s">
        <v>51</v>
      </c>
      <c r="E32" s="34" t="s">
        <v>52</v>
      </c>
      <c r="F32" s="34" t="s">
        <v>53</v>
      </c>
      <c r="G32" s="15">
        <v>88.2697</v>
      </c>
      <c r="H32" s="15">
        <v>88.383603462862482</v>
      </c>
      <c r="I32" s="16">
        <f t="shared" ref="I32:I40" si="1">+C32*G32</f>
        <v>1300009660.6900001</v>
      </c>
      <c r="J32" s="16">
        <f t="shared" ref="J32:J40" si="2">+C32*H32</f>
        <v>1301687196.7199998</v>
      </c>
      <c r="K32" s="18">
        <v>0.156999</v>
      </c>
      <c r="L32" s="17">
        <v>559178.67666666664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14727700</v>
      </c>
      <c r="D33" s="7" t="s">
        <v>51</v>
      </c>
      <c r="E33" s="34" t="s">
        <v>53</v>
      </c>
      <c r="F33" s="34" t="s">
        <v>53</v>
      </c>
      <c r="G33" s="15">
        <v>88.2697</v>
      </c>
      <c r="H33" s="15">
        <v>88.383603462862482</v>
      </c>
      <c r="I33" s="16">
        <f t="shared" si="1"/>
        <v>1300009660.6900001</v>
      </c>
      <c r="J33" s="16">
        <f t="shared" si="2"/>
        <v>1301687196.7199998</v>
      </c>
      <c r="K33" s="18">
        <v>0.156999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187488</v>
      </c>
      <c r="D34" s="7" t="s">
        <v>51</v>
      </c>
      <c r="E34" s="34" t="s">
        <v>52</v>
      </c>
      <c r="F34" s="34" t="s">
        <v>53</v>
      </c>
      <c r="G34" s="15">
        <v>1008.856000010667</v>
      </c>
      <c r="H34" s="15">
        <v>1010.157822260624</v>
      </c>
      <c r="I34" s="16">
        <f t="shared" si="1"/>
        <v>189148393.72999993</v>
      </c>
      <c r="J34" s="16">
        <f t="shared" si="2"/>
        <v>189392469.77999988</v>
      </c>
      <c r="K34" s="18">
        <v>0.156998</v>
      </c>
      <c r="L34" s="17">
        <v>81358.683333333305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187488</v>
      </c>
      <c r="D35" s="7" t="s">
        <v>51</v>
      </c>
      <c r="E35" s="34" t="s">
        <v>53</v>
      </c>
      <c r="F35" s="34" t="s">
        <v>53</v>
      </c>
      <c r="G35" s="15">
        <v>1008.856000010667</v>
      </c>
      <c r="H35" s="15">
        <v>1010.157822260624</v>
      </c>
      <c r="I35" s="16">
        <f t="shared" si="1"/>
        <v>189148393.72999993</v>
      </c>
      <c r="J35" s="16">
        <f t="shared" si="2"/>
        <v>189392469.77999988</v>
      </c>
      <c r="K35" s="18">
        <v>0.156998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209064</v>
      </c>
      <c r="D36" s="7" t="s">
        <v>51</v>
      </c>
      <c r="E36" s="34" t="s">
        <v>53</v>
      </c>
      <c r="F36" s="34" t="s">
        <v>58</v>
      </c>
      <c r="G36" s="15">
        <v>889.99</v>
      </c>
      <c r="H36" s="15">
        <v>890.36795316266807</v>
      </c>
      <c r="I36" s="16">
        <f t="shared" si="1"/>
        <v>186064869.36000001</v>
      </c>
      <c r="J36" s="16">
        <f t="shared" si="2"/>
        <v>186143885.76000005</v>
      </c>
      <c r="K36" s="18">
        <v>0.155005</v>
      </c>
      <c r="L36" s="17"/>
      <c r="M36" s="17">
        <v>186064869.36000001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465500</v>
      </c>
      <c r="D37" s="7" t="s">
        <v>51</v>
      </c>
      <c r="E37" s="34" t="s">
        <v>53</v>
      </c>
      <c r="F37" s="34" t="s">
        <v>58</v>
      </c>
      <c r="G37" s="15">
        <v>1074.8399999999999</v>
      </c>
      <c r="H37" s="15">
        <v>1075.302328442534</v>
      </c>
      <c r="I37" s="16">
        <f t="shared" si="1"/>
        <v>500338019.99999994</v>
      </c>
      <c r="J37" s="16">
        <f t="shared" si="2"/>
        <v>500553233.88999957</v>
      </c>
      <c r="K37" s="18">
        <v>0.157</v>
      </c>
      <c r="L37" s="17"/>
      <c r="M37" s="17">
        <v>500338020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1604200</v>
      </c>
      <c r="D38" s="7" t="s">
        <v>51</v>
      </c>
      <c r="E38" s="34" t="s">
        <v>53</v>
      </c>
      <c r="F38" s="34" t="s">
        <v>58</v>
      </c>
      <c r="G38" s="15">
        <v>810.82300000000009</v>
      </c>
      <c r="H38" s="15">
        <v>811.17154059967606</v>
      </c>
      <c r="I38" s="16">
        <f t="shared" si="1"/>
        <v>1300722256.6000001</v>
      </c>
      <c r="J38" s="16">
        <f t="shared" si="2"/>
        <v>1301281385.4300003</v>
      </c>
      <c r="K38" s="18">
        <v>0.15689899999999998</v>
      </c>
      <c r="L38" s="17"/>
      <c r="M38" s="17">
        <v>1300722256.5999999</v>
      </c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29216</v>
      </c>
      <c r="D39" s="7" t="s">
        <v>51</v>
      </c>
      <c r="E39" s="34" t="s">
        <v>53</v>
      </c>
      <c r="F39" s="34" t="s">
        <v>58</v>
      </c>
      <c r="G39" s="15">
        <v>547.74509994523498</v>
      </c>
      <c r="H39" s="15">
        <v>547.98070543537801</v>
      </c>
      <c r="I39" s="16">
        <f t="shared" si="1"/>
        <v>16002920.839999985</v>
      </c>
      <c r="J39" s="16">
        <f t="shared" si="2"/>
        <v>16009804.290000005</v>
      </c>
      <c r="K39" s="18">
        <v>0.157</v>
      </c>
      <c r="L39" s="17"/>
      <c r="M39" s="17">
        <v>16002920.84</v>
      </c>
      <c r="N39" s="35"/>
    </row>
    <row r="40" spans="1:15" s="36" customFormat="1" ht="12" customHeight="1" x14ac:dyDescent="0.25">
      <c r="A40" s="12" t="s">
        <v>65</v>
      </c>
      <c r="B40" s="7" t="s">
        <v>66</v>
      </c>
      <c r="C40" s="14">
        <v>204120</v>
      </c>
      <c r="D40" s="7" t="s">
        <v>51</v>
      </c>
      <c r="E40" s="34" t="s">
        <v>53</v>
      </c>
      <c r="F40" s="34" t="s">
        <v>58</v>
      </c>
      <c r="G40" s="15">
        <v>926.27600000000007</v>
      </c>
      <c r="H40" s="15">
        <v>926.67416926317901</v>
      </c>
      <c r="I40" s="16">
        <f t="shared" si="1"/>
        <v>189071457.12</v>
      </c>
      <c r="J40" s="16">
        <f t="shared" si="2"/>
        <v>189152731.4300001</v>
      </c>
      <c r="K40" s="18">
        <v>0.15689899999999998</v>
      </c>
      <c r="L40" s="17"/>
      <c r="M40" s="17">
        <v>189071457.12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2192199523.9200001</v>
      </c>
      <c r="N42" s="38">
        <v>2192199523.9199996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+L24+B27+M42+G47</f>
        <v>31936321309.883636</v>
      </c>
      <c r="C49" s="32">
        <v>31936321309.883656</v>
      </c>
      <c r="D49" s="29">
        <f>B49-C49</f>
        <v>0</v>
      </c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40">
        <v>410735.64999999997</v>
      </c>
    </row>
    <row r="56" spans="1:4" x14ac:dyDescent="0.25">
      <c r="A56" s="48" t="s">
        <v>38</v>
      </c>
      <c r="B56" s="40"/>
    </row>
    <row r="57" spans="1:4" x14ac:dyDescent="0.25">
      <c r="A57" s="48" t="s">
        <v>39</v>
      </c>
      <c r="B57" s="49"/>
    </row>
    <row r="58" spans="1:4" x14ac:dyDescent="0.25">
      <c r="A58" s="48" t="s">
        <v>40</v>
      </c>
      <c r="B58" s="50">
        <v>58633.570000000007</v>
      </c>
    </row>
    <row r="59" spans="1:4" x14ac:dyDescent="0.25">
      <c r="A59" s="48" t="s">
        <v>41</v>
      </c>
      <c r="B59" s="50">
        <v>29212.83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498582.05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2025-07-29T06:08:10Z</dcterms:created>
  <dcterms:modified xsi:type="dcterms:W3CDTF">2025-07-29T07:39:46Z</dcterms:modified>
</cp:coreProperties>
</file>