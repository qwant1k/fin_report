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36E44F2B-52AB-485B-888E-EA4B802781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1" l="1"/>
  <c r="O39" i="1"/>
  <c r="O24" i="1"/>
  <c r="D27" i="1"/>
  <c r="B60" i="1"/>
  <c r="B46" i="1"/>
  <c r="G44" i="1"/>
  <c r="M39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<sst xmlns="http://schemas.openxmlformats.org/spreadsheetml/2006/main" count="160" uniqueCount="115">
  <si>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</si>
  <si>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</si>
  <si>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</si>
  <si>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</si>
  <si>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</si>
  <si>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</si>
  <si>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</si>
  <si>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</si>
  <si>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</si>
  <si>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</si>
  <si>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</si>
  <si>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</si>
  <si>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</si>
  <si>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</si>
  <si>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</si>
  <si>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</si>
  <si>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</si>
  <si>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</si>
  <si>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</si>
  <si>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</si>
  <si>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</si>
  <si>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</si>
  <si>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</si>
  <si>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</si>
  <si>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</si>
  <si>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</si>
  <si>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</si>
  <si>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</si>
  <si>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</si>
  <si>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</si>
  <si>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</si>
  <si>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</si>
  <si>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</si>
  <si>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</si>
  <si>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</si>
  <si>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</si>
  <si>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</si>
  <si>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</si>
  <si>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</si>
  <si>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</si>
  <si>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</si>
  <si>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</si>
  <si>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</si>
  <si>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</si>
  <si>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</si>
  <si>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</si>
  <si>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</si>
  <si>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</si>
  <si>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</si>
  <si>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MOM060_0054</t>
  </si>
  <si>
    <t>KZK200000737</t>
  </si>
  <si>
    <t>KZT</t>
  </si>
  <si>
    <t>14.07.2025</t>
  </si>
  <si>
    <t>15.07.2025</t>
  </si>
  <si>
    <t>МИНИСТЕРСТВО ФИНАНСОВ РК, ГЦБ, MUM096_0011</t>
  </si>
  <si>
    <t>KZKD00001095</t>
  </si>
  <si>
    <t>МИНИСТЕРСТВО ФИНАНСОВ РК, ГЦБ, MUM072_0015</t>
  </si>
  <si>
    <t>KZKD00001251</t>
  </si>
  <si>
    <t>16.07.2025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</si>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</sst>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B22" zoomScale="90" zoomScaleNormal="90" workbookViewId="0">
      <selection activeCell="D47" sqref="D4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97.197200000000009</v>
      </c>
      <c r="J4" s="11">
        <v>102.354366666667</v>
      </c>
      <c r="K4" s="11">
        <v>155746433.33333299</v>
      </c>
      <c r="L4" s="11">
        <v>3091101873.333333</v>
      </c>
      <c r="M4" s="6">
        <f t="shared" ref="M4:M22" si="0">L4/$L$24</f>
        <v>0.10132549080947841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82.650100000000009</v>
      </c>
      <c r="J5" s="11">
        <v>92.819127777777766</v>
      </c>
      <c r="K5" s="11">
        <v>230328479.16666701</v>
      </c>
      <c r="L5" s="11">
        <v>2102353244.166666</v>
      </c>
      <c r="M5" s="6">
        <f t="shared" si="0"/>
        <v>6.8914575788591337E-2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82.650100000000009</v>
      </c>
      <c r="J6" s="11">
        <v>92.81912777777805</v>
      </c>
      <c r="K6" s="11">
        <v>157787312.75277799</v>
      </c>
      <c r="L6" s="11">
        <v>1440224283.398782</v>
      </c>
      <c r="M6" s="6">
        <f t="shared" si="0"/>
        <v>4.7210165944399529E-2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82.650100000000009</v>
      </c>
      <c r="J7" s="11">
        <v>92.81912777777778</v>
      </c>
      <c r="K7" s="11">
        <v>55491571.061111122</v>
      </c>
      <c r="L7" s="11">
        <v>506506554.753111</v>
      </c>
      <c r="M7" s="6">
        <f t="shared" si="0"/>
        <v>1.6603149091049884E-2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85.523600000000002</v>
      </c>
      <c r="J8" s="11">
        <v>88.210266666666655</v>
      </c>
      <c r="K8" s="11">
        <v>60852999.999999993</v>
      </c>
      <c r="L8" s="11">
        <v>1997962539.999999</v>
      </c>
      <c r="M8" s="6">
        <f t="shared" si="0"/>
        <v>6.5492676488899781E-2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84.359499999999997</v>
      </c>
      <c r="J9" s="11">
        <v>87.567833333333326</v>
      </c>
      <c r="K9" s="11">
        <v>72668749.999999985</v>
      </c>
      <c r="L9" s="11">
        <v>1983411424.999999</v>
      </c>
      <c r="M9" s="6">
        <f t="shared" si="0"/>
        <v>6.5015694839760468E-2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78.801000000000002</v>
      </c>
      <c r="J10" s="11">
        <v>82.177111111111103</v>
      </c>
      <c r="K10" s="11">
        <v>76468916.666666657</v>
      </c>
      <c r="L10" s="11">
        <v>1861311566.666666</v>
      </c>
      <c r="M10" s="6">
        <f t="shared" si="0"/>
        <v>6.1013294213587824E-2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70.076400000000007</v>
      </c>
      <c r="J11" s="11">
        <v>72.165427777777765</v>
      </c>
      <c r="K11" s="11">
        <v>47316479.166666657</v>
      </c>
      <c r="L11" s="11">
        <v>1634546939.166666</v>
      </c>
      <c r="M11" s="6">
        <f t="shared" si="0"/>
        <v>5.358001051048928E-2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78.423100000000005</v>
      </c>
      <c r="J12" s="11">
        <v>88.747683333333327</v>
      </c>
      <c r="K12" s="11">
        <v>233851812.5</v>
      </c>
      <c r="L12" s="11">
        <v>2010135027.5</v>
      </c>
      <c r="M12" s="6">
        <f t="shared" si="0"/>
        <v>6.5891687366202184E-2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64.870699999999999</v>
      </c>
      <c r="J13" s="11">
        <v>66.28295</v>
      </c>
      <c r="K13" s="11">
        <v>31987462.5</v>
      </c>
      <c r="L13" s="11">
        <v>1501308817.5</v>
      </c>
      <c r="M13" s="6">
        <f t="shared" si="0"/>
        <v>4.9212500597964275E-2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63.702000000000005</v>
      </c>
      <c r="J14" s="11">
        <v>67.42316666666666</v>
      </c>
      <c r="K14" s="11">
        <v>84284425</v>
      </c>
      <c r="L14" s="11">
        <v>1527134725</v>
      </c>
      <c r="M14" s="6">
        <f t="shared" si="0"/>
        <v>5.0059066922941396E-2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83.135800000000003</v>
      </c>
      <c r="J15" s="11">
        <v>84.782800000000009</v>
      </c>
      <c r="K15" s="11">
        <v>62174250</v>
      </c>
      <c r="L15" s="11">
        <v>3200550700</v>
      </c>
      <c r="M15" s="6">
        <f t="shared" si="0"/>
        <v>0.10491319400884354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58.581400000000002</v>
      </c>
      <c r="J16" s="11">
        <v>59.818900000000006</v>
      </c>
      <c r="K16" s="11">
        <v>34697767.5</v>
      </c>
      <c r="L16" s="11">
        <v>1677238209.54</v>
      </c>
      <c r="M16" s="6">
        <f t="shared" si="0"/>
        <v>5.49794189095381E-2</v>
      </c>
    </row>
    <row r="17" spans="1:15" x14ac:dyDescent="0.25">
      <c r="A17" s="1" t="s">
        <v>56</v>
      </c>
      <c r="B17" s="13" t="s">
        <v>57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96</v>
      </c>
      <c r="H17" s="11">
        <v>979029096.96000004</v>
      </c>
      <c r="I17" s="11">
        <v>85.704100000000011</v>
      </c>
      <c r="J17" s="11">
        <v>89.970766666666663</v>
      </c>
      <c r="K17" s="11">
        <v>44308480</v>
      </c>
      <c r="L17" s="11">
        <v>934328417.67999995</v>
      </c>
      <c r="M17" s="6">
        <f t="shared" si="0"/>
        <v>3.0627035076194117E-2</v>
      </c>
    </row>
    <row r="18" spans="1:15" x14ac:dyDescent="0.25">
      <c r="A18" s="1" t="s">
        <v>49</v>
      </c>
      <c r="B18" s="13" t="s">
        <v>50</v>
      </c>
      <c r="C18" s="10">
        <v>506989</v>
      </c>
      <c r="D18" s="11">
        <v>506989000</v>
      </c>
      <c r="E18" s="3">
        <v>0.1535</v>
      </c>
      <c r="F18" s="4" t="s">
        <v>97</v>
      </c>
      <c r="G18" s="4" t="s">
        <v>98</v>
      </c>
      <c r="H18" s="11">
        <v>492216861.50999999</v>
      </c>
      <c r="I18" s="11">
        <v>97.068300000000008</v>
      </c>
      <c r="J18" s="11">
        <v>99.498716666666652</v>
      </c>
      <c r="K18" s="11">
        <v>12321945.154166659</v>
      </c>
      <c r="L18" s="11">
        <v>504447548.64116699</v>
      </c>
      <c r="M18" s="6">
        <f t="shared" si="0"/>
        <v>1.653565542263595E-2</v>
      </c>
    </row>
    <row r="19" spans="1:15" x14ac:dyDescent="0.25">
      <c r="A19" s="1" t="s">
        <v>99</v>
      </c>
      <c r="B19" s="13" t="s">
        <v>100</v>
      </c>
      <c r="C19" s="10">
        <v>2100000</v>
      </c>
      <c r="D19" s="11">
        <v>2100000000</v>
      </c>
      <c r="E19" s="3">
        <v>0.14300000000000002</v>
      </c>
      <c r="F19" s="4" t="s">
        <v>101</v>
      </c>
      <c r="G19" s="4" t="s">
        <v>102</v>
      </c>
      <c r="H19" s="11">
        <v>2100000000</v>
      </c>
      <c r="I19" s="11">
        <v>93.994922541821794</v>
      </c>
      <c r="J19" s="11">
        <v>106.38825587515501</v>
      </c>
      <c r="K19" s="11">
        <v>260260000</v>
      </c>
      <c r="L19" s="11">
        <v>2234153373.3782568</v>
      </c>
      <c r="M19" s="6">
        <f t="shared" si="0"/>
        <v>7.3234948693906121E-2</v>
      </c>
    </row>
    <row r="20" spans="1:15" x14ac:dyDescent="0.25">
      <c r="A20" s="1" t="s">
        <v>103</v>
      </c>
      <c r="B20" s="13" t="s">
        <v>104</v>
      </c>
      <c r="C20" s="10">
        <v>1100000</v>
      </c>
      <c r="D20" s="11">
        <v>1100000000</v>
      </c>
      <c r="E20" s="3">
        <v>0.13870000000000002</v>
      </c>
      <c r="F20" s="4" t="s">
        <v>105</v>
      </c>
      <c r="G20" s="4" t="s">
        <v>106</v>
      </c>
      <c r="H20" s="11">
        <v>1100000000</v>
      </c>
      <c r="I20" s="11">
        <v>99.552499999999995</v>
      </c>
      <c r="J20" s="11">
        <v>104.36847222222201</v>
      </c>
      <c r="K20" s="11">
        <v>52975694.44444444</v>
      </c>
      <c r="L20" s="11">
        <v>1148053194.4444439</v>
      </c>
      <c r="M20" s="6">
        <f t="shared" si="0"/>
        <v>3.7632875967633483E-2</v>
      </c>
    </row>
    <row r="21" spans="1:15" x14ac:dyDescent="0.25">
      <c r="A21" s="1" t="s">
        <v>107</v>
      </c>
      <c r="B21" s="13" t="s">
        <v>108</v>
      </c>
      <c r="C21" s="10">
        <v>1000000</v>
      </c>
      <c r="D21" s="11">
        <v>1000000000</v>
      </c>
      <c r="E21" s="3">
        <v>0.1389</v>
      </c>
      <c r="F21" s="4" t="s">
        <v>109</v>
      </c>
      <c r="G21" s="4" t="s">
        <v>110</v>
      </c>
      <c r="H21" s="11">
        <v>1000000000</v>
      </c>
      <c r="I21" s="11">
        <v>97.442959987244009</v>
      </c>
      <c r="J21" s="11">
        <v>99.25637665391065</v>
      </c>
      <c r="K21" s="11">
        <v>18134166.66666666</v>
      </c>
      <c r="L21" s="11">
        <v>992563766.53910697</v>
      </c>
      <c r="M21" s="6">
        <f t="shared" si="0"/>
        <v>3.2535974201272869E-2</v>
      </c>
    </row>
    <row r="22" spans="1:15" x14ac:dyDescent="0.25">
      <c r="A22" s="1" t="s">
        <v>111</v>
      </c>
      <c r="B22" s="13" t="s">
        <v>112</v>
      </c>
      <c r="C22" s="10">
        <v>165739</v>
      </c>
      <c r="D22" s="11">
        <v>165739000</v>
      </c>
      <c r="E22" s="3">
        <v>0.125</v>
      </c>
      <c r="F22" s="4" t="s">
        <v>113</v>
      </c>
      <c r="G22" s="4" t="s">
        <v>114</v>
      </c>
      <c r="H22" s="11">
        <v>159596381.18279999</v>
      </c>
      <c r="I22" s="11">
        <v>94.983386420761491</v>
      </c>
      <c r="J22" s="11">
        <v>96.129219754081419</v>
      </c>
      <c r="K22" s="11">
        <v>1899092.70831111</v>
      </c>
      <c r="L22" s="11">
        <v>159323607.52821699</v>
      </c>
      <c r="M22" s="6">
        <f t="shared" si="0"/>
        <v>5.2225851466113863E-3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1693556038.6208115</v>
      </c>
      <c r="L24" s="22">
        <f>SUM(L4:L23)</f>
        <v>30506655814.236416</v>
      </c>
      <c r="M24" s="23"/>
      <c r="N24" s="26">
        <v>30506655814.236439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2546814.79</v>
      </c>
      <c r="C27" s="51">
        <v>2546814.79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1303900</v>
      </c>
      <c r="D32" s="7" t="s">
        <v>51</v>
      </c>
      <c r="E32" s="34" t="s">
        <v>52</v>
      </c>
      <c r="F32" s="34" t="s">
        <v>53</v>
      </c>
      <c r="G32" s="15">
        <v>997.68900000000008</v>
      </c>
      <c r="H32" s="15">
        <v>998.11404011810703</v>
      </c>
      <c r="I32" s="16">
        <f t="shared" ref="I32:I37" si="1">+C32*G32</f>
        <v>1300886687.1000001</v>
      </c>
      <c r="J32" s="16">
        <f t="shared" ref="J32:J37" si="2">+C32*H32</f>
        <v>1301440896.9099998</v>
      </c>
      <c r="K32" s="18">
        <v>0.155499</v>
      </c>
      <c r="L32" s="17">
        <v>554209.81000000006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1303900</v>
      </c>
      <c r="D33" s="7" t="s">
        <v>51</v>
      </c>
      <c r="E33" s="34" t="s">
        <v>53</v>
      </c>
      <c r="F33" s="34" t="s">
        <v>53</v>
      </c>
      <c r="G33" s="15">
        <v>997.68900000000008</v>
      </c>
      <c r="H33" s="15">
        <v>998.11404011810703</v>
      </c>
      <c r="I33" s="16">
        <f t="shared" si="1"/>
        <v>1300886687.1000001</v>
      </c>
      <c r="J33" s="16">
        <f t="shared" si="2"/>
        <v>1301440896.9099998</v>
      </c>
      <c r="K33" s="18">
        <v>0.155499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22890</v>
      </c>
      <c r="D34" s="7" t="s">
        <v>51</v>
      </c>
      <c r="E34" s="34" t="s">
        <v>52</v>
      </c>
      <c r="F34" s="34" t="s">
        <v>53</v>
      </c>
      <c r="G34" s="15">
        <v>917.70500000000004</v>
      </c>
      <c r="H34" s="15">
        <v>918.09571603320205</v>
      </c>
      <c r="I34" s="16">
        <f t="shared" si="1"/>
        <v>21006267.449999999</v>
      </c>
      <c r="J34" s="16">
        <f t="shared" si="2"/>
        <v>21015210.939999994</v>
      </c>
      <c r="K34" s="18">
        <v>0.15540000000000001</v>
      </c>
      <c r="L34" s="17">
        <v>8943.49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22890</v>
      </c>
      <c r="D35" s="7" t="s">
        <v>51</v>
      </c>
      <c r="E35" s="34" t="s">
        <v>53</v>
      </c>
      <c r="F35" s="34" t="s">
        <v>53</v>
      </c>
      <c r="G35" s="15">
        <v>917.70500000000004</v>
      </c>
      <c r="H35" s="15">
        <v>918.09571603320205</v>
      </c>
      <c r="I35" s="16">
        <f t="shared" si="1"/>
        <v>21006267.449999999</v>
      </c>
      <c r="J35" s="16">
        <f t="shared" si="2"/>
        <v>21015210.939999994</v>
      </c>
      <c r="K35" s="18">
        <v>0.15540000000000001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1445600</v>
      </c>
      <c r="D36" s="7" t="s">
        <v>51</v>
      </c>
      <c r="E36" s="34" t="s">
        <v>53</v>
      </c>
      <c r="F36" s="34" t="s">
        <v>58</v>
      </c>
      <c r="G36" s="15">
        <v>899.70800000000008</v>
      </c>
      <c r="H36" s="15">
        <v>900.09056323326001</v>
      </c>
      <c r="I36" s="16">
        <f t="shared" si="1"/>
        <v>1300617884.8000002</v>
      </c>
      <c r="J36" s="16">
        <f t="shared" si="2"/>
        <v>1301170918.2100008</v>
      </c>
      <c r="K36" s="18">
        <v>0.15520100000000001</v>
      </c>
      <c r="L36" s="17"/>
      <c r="M36" s="17">
        <v>1300617884.8</v>
      </c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23352</v>
      </c>
      <c r="D37" s="7" t="s">
        <v>51</v>
      </c>
      <c r="E37" s="34" t="s">
        <v>53</v>
      </c>
      <c r="F37" s="34" t="s">
        <v>58</v>
      </c>
      <c r="G37" s="15">
        <v>899.70800017129204</v>
      </c>
      <c r="H37" s="15">
        <v>900.09056354916106</v>
      </c>
      <c r="I37" s="16">
        <f t="shared" si="1"/>
        <v>21009981.22000001</v>
      </c>
      <c r="J37" s="16">
        <f t="shared" si="2"/>
        <v>21018914.840000007</v>
      </c>
      <c r="K37" s="18">
        <v>0.15520100000000001</v>
      </c>
      <c r="L37" s="17"/>
      <c r="M37" s="17">
        <v>21009981.219999999</v>
      </c>
      <c r="N37" s="35"/>
    </row>
    <row r="38" spans="1:15" s="36" customFormat="1" ht="11.25" hidden="1" x14ac:dyDescent="0.25">
      <c r="A38" s="7"/>
      <c r="B38" s="7"/>
      <c r="C38" s="7"/>
      <c r="D38" s="7"/>
      <c r="E38" s="37"/>
      <c r="F38" s="37"/>
      <c r="G38" s="7"/>
      <c r="H38" s="7"/>
      <c r="I38" s="8"/>
      <c r="J38" s="8"/>
      <c r="K38" s="7"/>
      <c r="L38" s="9"/>
      <c r="M38" s="9"/>
      <c r="N38" s="35"/>
    </row>
    <row r="39" spans="1:15" x14ac:dyDescent="0.25">
      <c r="A39" s="1" t="s">
        <v>5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2">
        <f>SUM(M32:M38)</f>
        <v>1321627866.02</v>
      </c>
      <c r="N39" s="38">
        <v>1321627866.02</v>
      </c>
      <c r="O39" s="29">
        <f>M39-N39</f>
        <v>0</v>
      </c>
    </row>
    <row r="41" spans="1:15" x14ac:dyDescent="0.25">
      <c r="A41" s="39" t="s">
        <v>28</v>
      </c>
      <c r="B41" s="33"/>
      <c r="D41" s="33"/>
      <c r="F41" s="28"/>
      <c r="G41" s="28"/>
    </row>
    <row r="42" spans="1:15" ht="22.5" x14ac:dyDescent="0.25">
      <c r="A42" s="19" t="s">
        <v>6</v>
      </c>
      <c r="B42" s="19" t="s">
        <v>29</v>
      </c>
      <c r="C42" s="19" t="s">
        <v>17</v>
      </c>
      <c r="D42" s="19" t="s">
        <v>30</v>
      </c>
      <c r="E42" s="19" t="s">
        <v>16</v>
      </c>
      <c r="F42" s="19" t="s">
        <v>31</v>
      </c>
      <c r="G42" s="19" t="s">
        <v>32</v>
      </c>
    </row>
    <row r="43" spans="1:15" hidden="1" x14ac:dyDescent="0.25">
      <c r="B43" s="41"/>
      <c r="C43" s="42"/>
      <c r="D43" s="43"/>
      <c r="G43" s="44"/>
      <c r="H43" s="33"/>
    </row>
    <row r="44" spans="1:15" x14ac:dyDescent="0.25">
      <c r="G44" s="45">
        <f>SUM(G43:G43)</f>
        <v>0</v>
      </c>
    </row>
    <row r="46" spans="1:15" x14ac:dyDescent="0.25">
      <c r="A46" s="46" t="s">
        <v>13</v>
      </c>
      <c r="B46" s="47">
        <f>+L24+B27+M39+G44</f>
        <v>31830830495.046417</v>
      </c>
      <c r="C46" s="32">
        <v>31830830495.04644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8" t="s">
        <v>35</v>
      </c>
      <c r="B50" s="49"/>
    </row>
    <row r="51" spans="1:2" x14ac:dyDescent="0.25">
      <c r="A51" s="48" t="s">
        <v>36</v>
      </c>
      <c r="B51" s="40"/>
    </row>
    <row r="52" spans="1:2" x14ac:dyDescent="0.25">
      <c r="A52" s="48" t="s">
        <v>37</v>
      </c>
      <c r="B52" s="40">
        <v>220546.21</v>
      </c>
    </row>
    <row r="53" spans="1:2" x14ac:dyDescent="0.25">
      <c r="A53" s="48" t="s">
        <v>38</v>
      </c>
      <c r="B53" s="40"/>
    </row>
    <row r="54" spans="1:2" x14ac:dyDescent="0.25">
      <c r="A54" s="48" t="s">
        <v>39</v>
      </c>
      <c r="B54" s="49"/>
    </row>
    <row r="55" spans="1:2" x14ac:dyDescent="0.25">
      <c r="A55" s="48" t="s">
        <v>40</v>
      </c>
      <c r="B55" s="50">
        <v>29764.83</v>
      </c>
    </row>
    <row r="56" spans="1:2" x14ac:dyDescent="0.25">
      <c r="A56" s="48" t="s">
        <v>41</v>
      </c>
      <c r="B56" s="50">
        <v>14804.620000000003</v>
      </c>
    </row>
    <row r="57" spans="1:2" x14ac:dyDescent="0.25">
      <c r="A57" s="48" t="s">
        <v>42</v>
      </c>
      <c r="B57" s="40"/>
    </row>
    <row r="58" spans="1:2" x14ac:dyDescent="0.25">
      <c r="A58" s="48" t="s">
        <v>43</v>
      </c>
      <c r="B58" s="40"/>
    </row>
    <row r="59" spans="1:2" x14ac:dyDescent="0.25">
      <c r="A59" s="48" t="s">
        <v>44</v>
      </c>
      <c r="B59" s="50"/>
    </row>
    <row r="60" spans="1:2" x14ac:dyDescent="0.25">
      <c r="A60" s="48" t="s">
        <v>45</v>
      </c>
      <c r="B60" s="49">
        <f>SUM(B50:B59)</f>
        <v>265115.65999999997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2025-07-16T05:16:03Z</dcterms:created>
  <dcterms:modified xsi:type="dcterms:W3CDTF">2025-07-16T10:39:07Z</dcterms:modified>
</cp:coreProperties>
</file>