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69AC4C08-514D-443E-9456-E705C12C4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7" i="1"/>
  <c r="M6" i="1"/>
  <c r="M10" i="1"/>
  <c r="M14" i="1"/>
  <c r="M18" i="1"/>
</calcChain>
</file>

<file path=xl/sharedStrings.xml><?xml version="1.0" encoding="utf-8"?>
<sst xmlns="http://schemas.openxmlformats.org/spreadsheetml/2006/main" count="165" uniqueCount="121">
  <si>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</si>
  <si>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</si>
  <si>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</si>
  <si>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</si>
  <si>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</si>
  <si>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</si>
  <si>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</si>
  <si>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</si>
  <si>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</si>
  <si>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</si>
  <si>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</si>
  <si>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</si>
  <si>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</si>
  <si>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</si>
  <si>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</si>
  <si>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</si>
  <si>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</si>
  <si>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</si>
  <si>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</si>
  <si>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</si>
  <si>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</si>
  <si>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</si>
  <si>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</si>
  <si>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</si>
  <si>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</si>
  <si>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</si>
  <si>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</si>
  <si>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</si>
  <si>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</si>
  <si>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</si>
  <si>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</si>
  <si>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</si>
  <si>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</si>
  <si>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</si>
  <si>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</si>
  <si>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</si>
  <si>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</si>
  <si>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</si>
  <si>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</si>
  <si>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</si>
  <si>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</si>
  <si>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</si>
  <si>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</si>
  <si>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</si>
  <si>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</si>
  <si>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</si>
  <si>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</si>
  <si>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</si>
  <si>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</si>
  <si>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MUM180_0009</t>
  </si>
  <si>
    <t>KZKD00000717</t>
  </si>
  <si>
    <t>KZT</t>
  </si>
  <si>
    <t>18.07.2025</t>
  </si>
  <si>
    <t>21.07.2025</t>
  </si>
  <si>
    <t>МИНИСТЕРСТВО ФИНАНСОВ РК, ГЦБ, MUM156_0005</t>
  </si>
  <si>
    <t>KZKD00000758</t>
  </si>
  <si>
    <t>Европейский банк реконструкции и развития, ОБЛИГАЦИИ, EBRDe22</t>
  </si>
  <si>
    <t>XS2754484439</t>
  </si>
  <si>
    <t>22.07.2025</t>
  </si>
  <si>
    <t>МИНИСТЕРСТВО ФИНАНСОВ РК, ГЦБ, MKM012_0161</t>
  </si>
  <si>
    <t>KZK100000423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</si>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</sst>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6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97.203000000000003</v>
      </c>
      <c r="J4" s="11">
        <v>97.203000000000003</v>
      </c>
      <c r="K4" s="11"/>
      <c r="L4" s="11">
        <v>2935530600</v>
      </c>
      <c r="M4" s="6">
        <f t="shared" ref="M4:M22" si="0">L4/$L$24</f>
        <v>9.6499955082085434E-2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82.595300000000009</v>
      </c>
      <c r="J5" s="11">
        <v>92.940161111111109</v>
      </c>
      <c r="K5" s="11">
        <v>234311104.16666701</v>
      </c>
      <c r="L5" s="11">
        <v>2105094649.166666</v>
      </c>
      <c r="M5" s="6">
        <f t="shared" si="0"/>
        <v>6.9200961178235265E-2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82.595300000000009</v>
      </c>
      <c r="J6" s="11">
        <v>92.940161111111379</v>
      </c>
      <c r="K6" s="11">
        <v>160515623.636112</v>
      </c>
      <c r="L6" s="11">
        <v>1442102292.2741151</v>
      </c>
      <c r="M6" s="6">
        <f t="shared" si="0"/>
        <v>4.7406355235480958E-2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82.595300000000009</v>
      </c>
      <c r="J7" s="11">
        <v>92.940161111111109</v>
      </c>
      <c r="K7" s="11">
        <v>56451079.494444452</v>
      </c>
      <c r="L7" s="11">
        <v>507167023.97044402</v>
      </c>
      <c r="M7" s="6">
        <f t="shared" si="0"/>
        <v>1.6672146095926509E-2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85.3566</v>
      </c>
      <c r="J8" s="11">
        <v>88.216599999999985</v>
      </c>
      <c r="K8" s="11">
        <v>64778999.999999993</v>
      </c>
      <c r="L8" s="11">
        <v>1998105989.999999</v>
      </c>
      <c r="M8" s="6">
        <f t="shared" si="0"/>
        <v>6.5683913594443796E-2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84.250700000000009</v>
      </c>
      <c r="J9" s="11">
        <v>87.642366666666661</v>
      </c>
      <c r="K9" s="11">
        <v>76821249.999999985</v>
      </c>
      <c r="L9" s="11">
        <v>1985099604.999999</v>
      </c>
      <c r="M9" s="6">
        <f t="shared" si="0"/>
        <v>6.5256353558694108E-2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78.885199999999998</v>
      </c>
      <c r="J10" s="11">
        <v>82.432977777777765</v>
      </c>
      <c r="K10" s="11">
        <v>80357166.666666657</v>
      </c>
      <c r="L10" s="11">
        <v>1867106946.666666</v>
      </c>
      <c r="M10" s="6">
        <f t="shared" si="0"/>
        <v>6.1377570544412979E-2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70.267300000000006</v>
      </c>
      <c r="J11" s="11">
        <v>72.497161111111112</v>
      </c>
      <c r="K11" s="11">
        <v>50506354.166666657</v>
      </c>
      <c r="L11" s="11">
        <v>1642060699.166666</v>
      </c>
      <c r="M11" s="6">
        <f t="shared" si="0"/>
        <v>5.3979605496751112E-2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78.63600000000001</v>
      </c>
      <c r="J12" s="11">
        <v>89.138083333333327</v>
      </c>
      <c r="K12" s="11">
        <v>237872187.5</v>
      </c>
      <c r="L12" s="11">
        <v>2018977587.5</v>
      </c>
      <c r="M12" s="6">
        <f t="shared" si="0"/>
        <v>6.6370027451080643E-2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65.190899999999999</v>
      </c>
      <c r="J13" s="11">
        <v>66.737650000000002</v>
      </c>
      <c r="K13" s="11">
        <v>35033887.5</v>
      </c>
      <c r="L13" s="11">
        <v>1511607772.5</v>
      </c>
      <c r="M13" s="6">
        <f t="shared" si="0"/>
        <v>4.9691214987839412E-2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64.061199999999999</v>
      </c>
      <c r="J14" s="11">
        <v>67.916866666666664</v>
      </c>
      <c r="K14" s="11">
        <v>87330850</v>
      </c>
      <c r="L14" s="11">
        <v>1538317030</v>
      </c>
      <c r="M14" s="6">
        <f t="shared" si="0"/>
        <v>5.056923075406098E-2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83.048000000000002</v>
      </c>
      <c r="J15" s="11">
        <v>84.786500000000004</v>
      </c>
      <c r="K15" s="11">
        <v>65628375</v>
      </c>
      <c r="L15" s="11">
        <v>3200690375</v>
      </c>
      <c r="M15" s="6">
        <f t="shared" si="0"/>
        <v>0.10521657564024821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58.799700000000001</v>
      </c>
      <c r="J16" s="11">
        <v>60.12886666666666</v>
      </c>
      <c r="K16" s="11">
        <v>37267972.5</v>
      </c>
      <c r="L16" s="11">
        <v>1685929240.9200001</v>
      </c>
      <c r="M16" s="6">
        <f t="shared" si="0"/>
        <v>5.5421699920400899E-2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85.670100000000005</v>
      </c>
      <c r="J17" s="11">
        <v>90.136766666666659</v>
      </c>
      <c r="K17" s="11">
        <v>46385440</v>
      </c>
      <c r="L17" s="11">
        <v>936052294.48000002</v>
      </c>
      <c r="M17" s="6">
        <f t="shared" si="0"/>
        <v>3.0770929239096679E-2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96.818600000000004</v>
      </c>
      <c r="J18" s="11">
        <v>99.50484999999999</v>
      </c>
      <c r="K18" s="11">
        <v>13618992.012499999</v>
      </c>
      <c r="L18" s="11">
        <v>504478643.96649998</v>
      </c>
      <c r="M18" s="6">
        <f t="shared" si="0"/>
        <v>1.6583770744082387E-2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93.883445194338094</v>
      </c>
      <c r="J19" s="11">
        <v>106.51511186100501</v>
      </c>
      <c r="K19" s="11">
        <v>265265000</v>
      </c>
      <c r="L19" s="11">
        <v>2236817349.0811</v>
      </c>
      <c r="M19" s="6">
        <f t="shared" si="0"/>
        <v>7.3531093054576085E-2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99.582300000000004</v>
      </c>
      <c r="J20" s="11">
        <v>104.629438888889</v>
      </c>
      <c r="K20" s="11">
        <v>55518527.777777769</v>
      </c>
      <c r="L20" s="11">
        <v>1150923827.777777</v>
      </c>
      <c r="M20" s="6">
        <f t="shared" si="0"/>
        <v>3.78344200136961E-2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97.379281017393893</v>
      </c>
      <c r="J21" s="11">
        <v>99.424197684060559</v>
      </c>
      <c r="K21" s="11">
        <v>20449166.66666666</v>
      </c>
      <c r="L21" s="11">
        <v>994241976.84060597</v>
      </c>
      <c r="M21" s="6">
        <f t="shared" si="0"/>
        <v>3.2683803774977614E-2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95.012091686359298</v>
      </c>
      <c r="J22" s="11">
        <v>96.36625835301254</v>
      </c>
      <c r="K22" s="11">
        <v>2244382.29164444</v>
      </c>
      <c r="L22" s="11">
        <v>159716472.93169901</v>
      </c>
      <c r="M22" s="6">
        <f t="shared" si="0"/>
        <v>5.2503736339107043E-3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1590356359.3791454</v>
      </c>
      <c r="L24" s="22">
        <f>SUM(L4:L23)</f>
        <v>30420020377.242241</v>
      </c>
      <c r="M24" s="23"/>
      <c r="N24" s="26">
        <v>30420020377.24226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1576819.34</v>
      </c>
      <c r="C27" s="51">
        <v>1576819.34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1619800</v>
      </c>
      <c r="D32" s="7" t="s">
        <v>51</v>
      </c>
      <c r="E32" s="34" t="s">
        <v>52</v>
      </c>
      <c r="F32" s="34" t="s">
        <v>53</v>
      </c>
      <c r="G32" s="15">
        <v>802.97700000000009</v>
      </c>
      <c r="H32" s="15">
        <v>804.01316371774305</v>
      </c>
      <c r="I32" s="16">
        <f t="shared" ref="I32:I38" si="1">+C32*G32</f>
        <v>1300662144.6000001</v>
      </c>
      <c r="J32" s="16">
        <f t="shared" ref="J32:J38" si="2">+C32*H32</f>
        <v>1302340522.5900002</v>
      </c>
      <c r="K32" s="18">
        <v>0.156999</v>
      </c>
      <c r="L32" s="17">
        <v>559459.32999999996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1619800</v>
      </c>
      <c r="D33" s="7" t="s">
        <v>51</v>
      </c>
      <c r="E33" s="34" t="s">
        <v>53</v>
      </c>
      <c r="F33" s="34" t="s">
        <v>53</v>
      </c>
      <c r="G33" s="15">
        <v>802.97700000000009</v>
      </c>
      <c r="H33" s="15">
        <v>804.01316371774305</v>
      </c>
      <c r="I33" s="16">
        <f t="shared" si="1"/>
        <v>1300662144.6000001</v>
      </c>
      <c r="J33" s="16">
        <f t="shared" si="2"/>
        <v>1302340522.5900002</v>
      </c>
      <c r="K33" s="18">
        <v>0.156999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24759</v>
      </c>
      <c r="D34" s="7" t="s">
        <v>51</v>
      </c>
      <c r="E34" s="34" t="s">
        <v>52</v>
      </c>
      <c r="F34" s="34" t="s">
        <v>53</v>
      </c>
      <c r="G34" s="15">
        <v>848.50799991922099</v>
      </c>
      <c r="H34" s="15">
        <v>849.60291691910004</v>
      </c>
      <c r="I34" s="16">
        <f t="shared" si="1"/>
        <v>21008209.569999993</v>
      </c>
      <c r="J34" s="16">
        <f t="shared" si="2"/>
        <v>21035318.619999997</v>
      </c>
      <c r="K34" s="18">
        <v>0.156999</v>
      </c>
      <c r="L34" s="17">
        <v>9036.35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24759</v>
      </c>
      <c r="D35" s="7" t="s">
        <v>51</v>
      </c>
      <c r="E35" s="34" t="s">
        <v>53</v>
      </c>
      <c r="F35" s="34" t="s">
        <v>53</v>
      </c>
      <c r="G35" s="15">
        <v>848.50799991922099</v>
      </c>
      <c r="H35" s="15">
        <v>849.60291691910004</v>
      </c>
      <c r="I35" s="16">
        <f t="shared" si="1"/>
        <v>21008209.569999993</v>
      </c>
      <c r="J35" s="16">
        <f t="shared" si="2"/>
        <v>21035318.619999997</v>
      </c>
      <c r="K35" s="18">
        <v>0.156999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158899436</v>
      </c>
      <c r="D36" s="7" t="s">
        <v>51</v>
      </c>
      <c r="E36" s="34" t="s">
        <v>53</v>
      </c>
      <c r="F36" s="34" t="s">
        <v>58</v>
      </c>
      <c r="G36" s="15">
        <v>1.0321000000276899</v>
      </c>
      <c r="H36" s="15">
        <v>1.0325431017892299</v>
      </c>
      <c r="I36" s="16">
        <f t="shared" si="1"/>
        <v>164000107.89999992</v>
      </c>
      <c r="J36" s="16">
        <f t="shared" si="2"/>
        <v>164070516.51999924</v>
      </c>
      <c r="K36" s="18">
        <v>0.15670199999999998</v>
      </c>
      <c r="L36" s="17"/>
      <c r="M36" s="17">
        <v>164000107.90000001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262844</v>
      </c>
      <c r="D37" s="7" t="s">
        <v>51</v>
      </c>
      <c r="E37" s="34" t="s">
        <v>53</v>
      </c>
      <c r="F37" s="34" t="s">
        <v>58</v>
      </c>
      <c r="G37" s="15">
        <v>87.511800003043632</v>
      </c>
      <c r="H37" s="15">
        <v>87.549561717216292</v>
      </c>
      <c r="I37" s="16">
        <f t="shared" si="1"/>
        <v>23001951.559999999</v>
      </c>
      <c r="J37" s="16">
        <f t="shared" si="2"/>
        <v>23011877</v>
      </c>
      <c r="K37" s="18">
        <v>0.157499</v>
      </c>
      <c r="L37" s="17"/>
      <c r="M37" s="17">
        <v>23001951.559999999</v>
      </c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14856400</v>
      </c>
      <c r="D38" s="7" t="s">
        <v>51</v>
      </c>
      <c r="E38" s="34" t="s">
        <v>53</v>
      </c>
      <c r="F38" s="34" t="s">
        <v>58</v>
      </c>
      <c r="G38" s="15">
        <v>87.511800000000008</v>
      </c>
      <c r="H38" s="15">
        <v>87.549442062006932</v>
      </c>
      <c r="I38" s="16">
        <f t="shared" si="1"/>
        <v>1300110305.5200002</v>
      </c>
      <c r="J38" s="16">
        <f t="shared" si="2"/>
        <v>1300669531.0499997</v>
      </c>
      <c r="K38" s="18">
        <v>0.157</v>
      </c>
      <c r="L38" s="17"/>
      <c r="M38" s="17">
        <v>1300110305.52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1487112364.98</v>
      </c>
      <c r="N40" s="38">
        <v>1487112364.98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31908709561.562241</v>
      </c>
      <c r="C47" s="32">
        <v>31908709561.56226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308168.33999999997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50">
        <v>41946.030000000006</v>
      </c>
    </row>
    <row r="57" spans="1:2" x14ac:dyDescent="0.25">
      <c r="A57" s="48" t="s">
        <v>41</v>
      </c>
      <c r="B57" s="50">
        <v>20876.730000000003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370991.1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2025-07-22T05:19:01Z</dcterms:created>
  <dcterms:modified xsi:type="dcterms:W3CDTF">2025-07-22T07:25:12Z</dcterms:modified>
</cp:coreProperties>
</file>