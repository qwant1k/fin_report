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866FFB06-646A-41EE-AE27-9AD9F78F8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ДУ!$39:$39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I41" i="1"/>
  <c r="O35" i="1"/>
  <c r="O24" i="1"/>
  <c r="D27" i="1"/>
  <c r="B57" i="1"/>
  <c r="G41" i="1"/>
  <c r="A39" i="1"/>
  <c r="M35" i="1"/>
  <c r="J33" i="1"/>
  <c r="I33" i="1"/>
  <c r="J32" i="1"/>
  <c r="I32" i="1"/>
  <c r="L24" i="1"/>
  <c r="M21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B43" i="1" l="1"/>
</calcChain>
</file>

<file path=xl/sharedStrings.xml><?xml version="1.0" encoding="utf-8"?>
<sst xmlns="http://schemas.openxmlformats.org/spreadsheetml/2006/main" count="143" uniqueCount="116">
  <si>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</si>
  <si>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</si>
  <si>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</si>
  <si>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</si>
  <si>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</si>
  <si>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</si>
  <si>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</si>
  <si>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</si>
  <si>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</si>
  <si>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</si>
  <si>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</si>
  <si>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</si>
  <si>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</si>
  <si>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</si>
  <si>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</si>
  <si>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</si>
  <si>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</si>
  <si>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</si>
  <si>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</si>
  <si>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</si>
  <si>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</si>
  <si>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</si>
  <si>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</si>
  <si>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</si>
  <si>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</si>
  <si>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</si>
  <si>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</si>
  <si>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</si>
  <si>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</si>
  <si>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</si>
  <si>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</si>
  <si>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</si>
  <si>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</si>
  <si>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</si>
  <si>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</si>
  <si>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</si>
  <si>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</si>
  <si>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</si>
  <si>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</si>
  <si>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</si>
  <si>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</si>
  <si>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</si>
  <si>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</si>
  <si>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</si>
  <si>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</si>
  <si>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</si>
  <si>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</si>
  <si>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</si>
  <si>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</si>
  <si>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KZKD00001152 _MUM132_0007</t>
  </si>
  <si>
    <t>KZT</t>
  </si>
  <si>
    <t>26.07.2025</t>
  </si>
  <si>
    <t>МИНИСТЕРСТВО ФИНАНСОВ РК, ГЦБ, MKM012_0161</t>
  </si>
  <si>
    <t>KZK100000423</t>
  </si>
  <si>
    <t>25.07.2025</t>
  </si>
  <si>
    <t>28.07.2025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</si>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</sst>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5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rgb="FFFFFFFF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13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4" fontId="14" fillId="3" borderId="1" xfId="7" applyNumberFormat="1" applyFont="1" applyFill="1" applyBorder="1" applyAlignment="1">
      <alignment horizontal="right"/>
    </xf>
  </cellXfs>
  <cellStyles count="8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DVII02 2" xfId="7" xr:uid="{B21B8EC0-0387-41FB-A8B6-25517DE94413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0" zoomScale="90" zoomScaleNormal="90" workbookViewId="0">
      <selection activeCell="D44" sqref="D4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5" width="17.5703125" style="26" bestFit="1" customWidth="1"/>
    <col min="16" max="16384" width="8.85546875" style="26"/>
  </cols>
  <sheetData>
    <row r="1" spans="1:13" x14ac:dyDescent="0.25">
      <c r="A1" s="24" t="s">
        <v>27</v>
      </c>
      <c r="B1" s="25" t="s">
        <v>51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97.590400000000002</v>
      </c>
      <c r="J4" s="11">
        <v>97.738594444444431</v>
      </c>
      <c r="K4" s="11">
        <v>4475472.2222222202</v>
      </c>
      <c r="L4" s="11">
        <v>2951705552.2222219</v>
      </c>
      <c r="M4" s="6">
        <f t="shared" ref="M4:M22" si="0">L4/$L$24</f>
        <v>9.8165321937058986E-2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82.7727</v>
      </c>
      <c r="J5" s="11">
        <v>93.264088888888878</v>
      </c>
      <c r="K5" s="11">
        <v>237629958.33333299</v>
      </c>
      <c r="L5" s="11">
        <v>2112431613.333333</v>
      </c>
      <c r="M5" s="6">
        <f t="shared" si="0"/>
        <v>7.0253460490586117E-2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82.7727</v>
      </c>
      <c r="J6" s="11">
        <v>93.264088888889162</v>
      </c>
      <c r="K6" s="11">
        <v>162789216.03888899</v>
      </c>
      <c r="L6" s="11">
        <v>1447128504.6808929</v>
      </c>
      <c r="M6" s="6">
        <f t="shared" si="0"/>
        <v>4.8127373490673871E-2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82.7727</v>
      </c>
      <c r="J7" s="11">
        <v>93.264088888888892</v>
      </c>
      <c r="K7" s="11">
        <v>57250669.855555557</v>
      </c>
      <c r="L7" s="11">
        <v>508934671.939556</v>
      </c>
      <c r="M7" s="6">
        <f t="shared" si="0"/>
        <v>1.6925718040630887E-2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86.378900000000002</v>
      </c>
      <c r="J8" s="11">
        <v>89.383344444444432</v>
      </c>
      <c r="K8" s="11">
        <v>68050666.666666657</v>
      </c>
      <c r="L8" s="11">
        <v>2024532751.666666</v>
      </c>
      <c r="M8" s="6">
        <f t="shared" si="0"/>
        <v>6.7330194636065765E-2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84.67240000000001</v>
      </c>
      <c r="J9" s="11">
        <v>88.216844444444433</v>
      </c>
      <c r="K9" s="11">
        <v>80281666.666666657</v>
      </c>
      <c r="L9" s="11">
        <v>1998111526.666666</v>
      </c>
      <c r="M9" s="6">
        <f t="shared" si="0"/>
        <v>6.645149992475087E-2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77.841200000000001</v>
      </c>
      <c r="J10" s="11">
        <v>81.532033333333331</v>
      </c>
      <c r="K10" s="11">
        <v>83597375</v>
      </c>
      <c r="L10" s="11">
        <v>1846700555</v>
      </c>
      <c r="M10" s="6">
        <f t="shared" si="0"/>
        <v>6.1416002136947749E-2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68.54610000000001</v>
      </c>
      <c r="J11" s="11">
        <v>70.89332222222221</v>
      </c>
      <c r="K11" s="11">
        <v>53164583.333333328</v>
      </c>
      <c r="L11" s="11">
        <v>1605733748.333333</v>
      </c>
      <c r="M11" s="6">
        <f t="shared" si="0"/>
        <v>5.3402132279647851E-2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76.726100000000002</v>
      </c>
      <c r="J12" s="11">
        <v>76.726100000000002</v>
      </c>
      <c r="K12" s="11"/>
      <c r="L12" s="11">
        <v>1737846165</v>
      </c>
      <c r="M12" s="6">
        <f t="shared" si="0"/>
        <v>5.7795815079140674E-2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62.520900000000005</v>
      </c>
      <c r="J13" s="11">
        <v>64.179733333333331</v>
      </c>
      <c r="K13" s="11">
        <v>37572575</v>
      </c>
      <c r="L13" s="11">
        <v>1453670960</v>
      </c>
      <c r="M13" s="6">
        <f t="shared" si="0"/>
        <v>4.8344956925503758E-2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61.148900000000005</v>
      </c>
      <c r="J14" s="11">
        <v>65.116649999999993</v>
      </c>
      <c r="K14" s="11">
        <v>89869537.5</v>
      </c>
      <c r="L14" s="11">
        <v>1474892122.5</v>
      </c>
      <c r="M14" s="6">
        <f t="shared" si="0"/>
        <v>4.9050712364803184E-2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84.241700000000009</v>
      </c>
      <c r="J15" s="11">
        <v>86.056449999999998</v>
      </c>
      <c r="K15" s="11">
        <v>68506812.5</v>
      </c>
      <c r="L15" s="11">
        <v>3248630987.5</v>
      </c>
      <c r="M15" s="6">
        <f t="shared" si="0"/>
        <v>0.10804021644454137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57.1096</v>
      </c>
      <c r="J16" s="11">
        <v>58.515155555555545</v>
      </c>
      <c r="K16" s="11">
        <v>39409810</v>
      </c>
      <c r="L16" s="11">
        <v>1640683040.5599999</v>
      </c>
      <c r="M16" s="6">
        <f t="shared" si="0"/>
        <v>5.4564446223977492E-2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85.400700000000001</v>
      </c>
      <c r="J17" s="11">
        <v>90.034033333333326</v>
      </c>
      <c r="K17" s="11">
        <v>48116240</v>
      </c>
      <c r="L17" s="11">
        <v>934985429.36000001</v>
      </c>
      <c r="M17" s="6">
        <f t="shared" si="0"/>
        <v>3.1094953089234746E-2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98.028800000000004</v>
      </c>
      <c r="J18" s="11">
        <v>100.928244444444</v>
      </c>
      <c r="K18" s="11">
        <v>14699864.39444444</v>
      </c>
      <c r="L18" s="11">
        <v>511695097.22644401</v>
      </c>
      <c r="M18" s="6">
        <f t="shared" si="0"/>
        <v>1.7017521925597173E-2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94.59178432307101</v>
      </c>
      <c r="J19" s="11">
        <v>107.422062100849</v>
      </c>
      <c r="K19" s="11">
        <v>269435833.33333302</v>
      </c>
      <c r="L19" s="11">
        <v>2255863304.1178241</v>
      </c>
      <c r="M19" s="6">
        <f t="shared" si="0"/>
        <v>7.5023590116569977E-2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99.627700000000004</v>
      </c>
      <c r="J20" s="11">
        <v>104.86747777777801</v>
      </c>
      <c r="K20" s="11">
        <v>57637555.555555552</v>
      </c>
      <c r="L20" s="11">
        <v>1153542255.5555551</v>
      </c>
      <c r="M20" s="6">
        <f t="shared" si="0"/>
        <v>3.8363530806573835E-2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97.82461138073289</v>
      </c>
      <c r="J21" s="11">
        <v>100.062444714066</v>
      </c>
      <c r="K21" s="11">
        <v>22378333.333333328</v>
      </c>
      <c r="L21" s="11">
        <v>1000624447.140662</v>
      </c>
      <c r="M21" s="6">
        <f t="shared" si="0"/>
        <v>3.3277919919113823E-2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95.617127196287399</v>
      </c>
      <c r="J22" s="11">
        <v>97.144904974051755</v>
      </c>
      <c r="K22" s="11">
        <v>2532123.6110888901</v>
      </c>
      <c r="L22" s="11">
        <v>161006994.05494401</v>
      </c>
      <c r="M22" s="6">
        <f t="shared" si="0"/>
        <v>5.3546341685818E-3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1397398293.3444216</v>
      </c>
      <c r="L24" s="22">
        <f>SUM(L4:L23)</f>
        <v>30068719726.858101</v>
      </c>
      <c r="M24" s="23"/>
      <c r="N24" s="26">
        <v>30068719726.85812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2088632.89</v>
      </c>
      <c r="C27" s="57">
        <v>2088632.89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2"/>
      <c r="H30" s="32"/>
      <c r="I30" s="32"/>
      <c r="J30" s="32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5" customFormat="1" ht="12" customHeight="1" x14ac:dyDescent="0.25">
      <c r="A32" s="12" t="s">
        <v>52</v>
      </c>
      <c r="B32" s="7" t="s">
        <v>53</v>
      </c>
      <c r="C32" s="14">
        <v>14727700</v>
      </c>
      <c r="D32" s="7" t="s">
        <v>50</v>
      </c>
      <c r="E32" s="33" t="s">
        <v>54</v>
      </c>
      <c r="F32" s="33" t="s">
        <v>55</v>
      </c>
      <c r="G32" s="15">
        <v>88.2697</v>
      </c>
      <c r="H32" s="15">
        <v>88.383603462862482</v>
      </c>
      <c r="I32" s="16">
        <f>+C32*G32</f>
        <v>1300009660.6900001</v>
      </c>
      <c r="J32" s="16">
        <f>+C32*H32</f>
        <v>1301687196.7199998</v>
      </c>
      <c r="K32" s="18">
        <v>0.156999</v>
      </c>
      <c r="L32" s="17">
        <v>559178.67666666664</v>
      </c>
      <c r="M32" s="17">
        <v>1300568839.3666661</v>
      </c>
      <c r="N32" s="34"/>
    </row>
    <row r="33" spans="1:15" s="35" customFormat="1" ht="12" customHeight="1" x14ac:dyDescent="0.25">
      <c r="A33" s="12" t="s">
        <v>56</v>
      </c>
      <c r="B33" s="7" t="s">
        <v>57</v>
      </c>
      <c r="C33" s="14">
        <v>187488</v>
      </c>
      <c r="D33" s="7" t="s">
        <v>50</v>
      </c>
      <c r="E33" s="33" t="s">
        <v>54</v>
      </c>
      <c r="F33" s="33" t="s">
        <v>55</v>
      </c>
      <c r="G33" s="15">
        <v>1008.856000010667</v>
      </c>
      <c r="H33" s="15">
        <v>1010.157822260624</v>
      </c>
      <c r="I33" s="16">
        <f>+C33*G33</f>
        <v>189148393.72999993</v>
      </c>
      <c r="J33" s="16">
        <f>+C33*H33</f>
        <v>189392469.77999988</v>
      </c>
      <c r="K33" s="18">
        <v>0.156998</v>
      </c>
      <c r="L33" s="17">
        <v>81358.683333333305</v>
      </c>
      <c r="M33" s="17">
        <v>189229752.413333</v>
      </c>
      <c r="N33" s="34"/>
    </row>
    <row r="34" spans="1:15" s="35" customFormat="1" ht="11.25" hidden="1" x14ac:dyDescent="0.25">
      <c r="A34" s="7"/>
      <c r="B34" s="7"/>
      <c r="C34" s="7"/>
      <c r="D34" s="7"/>
      <c r="E34" s="36"/>
      <c r="F34" s="36"/>
      <c r="G34" s="7"/>
      <c r="H34" s="7"/>
      <c r="I34" s="8"/>
      <c r="J34" s="8"/>
      <c r="K34" s="7"/>
      <c r="L34" s="9"/>
      <c r="M34" s="9"/>
      <c r="N34" s="34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1489798591.779999</v>
      </c>
      <c r="N35" s="37">
        <v>1489798591.7800002</v>
      </c>
      <c r="O35" s="29">
        <f>M35-N35</f>
        <v>0</v>
      </c>
    </row>
    <row r="37" spans="1:15" x14ac:dyDescent="0.25">
      <c r="A37" s="38" t="s">
        <v>28</v>
      </c>
      <c r="B37" s="32"/>
      <c r="D37" s="32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x14ac:dyDescent="0.25">
      <c r="A39" s="56">
        <f ca="1">IF(OFFSET(A39,-1,0)="№ п/п",1,OFFSET(A39,-1,0)+1)</f>
        <v>1</v>
      </c>
      <c r="B39" s="39" t="s">
        <v>49</v>
      </c>
      <c r="C39" s="51" t="s">
        <v>50</v>
      </c>
      <c r="D39" s="52" t="s">
        <v>51</v>
      </c>
      <c r="E39" s="53">
        <v>2265000</v>
      </c>
      <c r="F39" s="54">
        <v>241222500</v>
      </c>
      <c r="G39" s="55">
        <v>241222500</v>
      </c>
      <c r="H39" s="32"/>
    </row>
    <row r="40" spans="1:15" hidden="1" x14ac:dyDescent="0.25">
      <c r="B40" s="41"/>
      <c r="C40" s="42"/>
      <c r="D40" s="43"/>
      <c r="G40" s="44"/>
      <c r="H40" s="32"/>
    </row>
    <row r="41" spans="1:15" x14ac:dyDescent="0.25">
      <c r="G41" s="45">
        <f>SUM(G39:G40)</f>
        <v>241222500</v>
      </c>
      <c r="H41" s="29">
        <v>241222500</v>
      </c>
      <c r="I41" s="58">
        <f>G41-H41</f>
        <v>0</v>
      </c>
    </row>
    <row r="43" spans="1:15" x14ac:dyDescent="0.2">
      <c r="A43" s="46" t="s">
        <v>13</v>
      </c>
      <c r="B43" s="47">
        <f>+L24+B27+M35+G41</f>
        <v>31801829451.528099</v>
      </c>
      <c r="C43" s="59">
        <v>31801829451.528118</v>
      </c>
      <c r="D43" s="29">
        <f>B43-C43</f>
        <v>0</v>
      </c>
    </row>
    <row r="46" spans="1:15" x14ac:dyDescent="0.25">
      <c r="A46" s="24" t="s">
        <v>46</v>
      </c>
      <c r="B46" s="32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382537.64999999997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55329.950000000004</v>
      </c>
    </row>
    <row r="53" spans="1:2" x14ac:dyDescent="0.25">
      <c r="A53" s="48" t="s">
        <v>41</v>
      </c>
      <c r="B53" s="50">
        <v>27568.690000000002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465436.29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2025-07-28T06:07:23Z</dcterms:created>
  <dcterms:modified xsi:type="dcterms:W3CDTF">2025-07-28T08:04:15Z</dcterms:modified>
</cp:coreProperties>
</file>