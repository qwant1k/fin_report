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F48FF0EA-BFD0-4835-8E69-4084E0FB49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O46" i="1"/>
  <c r="O24" i="1"/>
  <c r="D27" i="1"/>
  <c r="B67" i="1"/>
  <c r="G51" i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3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</calcChain>
</file>

<file path=xl/sharedStrings.xml><?xml version="1.0" encoding="utf-8"?>
<sst xmlns="http://schemas.openxmlformats.org/spreadsheetml/2006/main" count="195" uniqueCount="125">
  <si>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</si>
  <si>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</si>
  <si>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</si>
  <si>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</si>
  <si>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</si>
  <si>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</si>
  <si>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</si>
  <si>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</si>
  <si>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</si>
  <si>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</si>
  <si>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</si>
  <si>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</si>
  <si>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</si>
  <si>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</si>
  <si>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</si>
  <si>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</si>
  <si>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</si>
  <si>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</si>
  <si>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</si>
  <si>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</si>
  <si>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</si>
  <si>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</si>
  <si>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</si>
  <si>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</si>
  <si>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</si>
  <si>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</si>
  <si>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</si>
  <si>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</si>
  <si>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</si>
  <si>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</si>
  <si>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</si>
  <si>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</si>
  <si>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</si>
  <si>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</si>
  <si>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</si>
  <si>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</si>
  <si>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</si>
  <si>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</si>
  <si>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</si>
  <si>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</si>
  <si>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</si>
  <si>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</si>
  <si>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</si>
  <si>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</si>
  <si>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</si>
  <si>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</si>
  <si>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</si>
  <si>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</si>
  <si>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</si>
  <si>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ГУ "Национальный Банк Республики Казахстан", ГЦБ, NTK028_2865</t>
  </si>
  <si>
    <t>KZW100014312</t>
  </si>
  <si>
    <t>KZT</t>
  </si>
  <si>
    <t>29.07.2025</t>
  </si>
  <si>
    <t>30.07.2025</t>
  </si>
  <si>
    <t>МИНИСТЕРСТВО ФИНАНСОВ РК, ГЦБ, MUM084_0019</t>
  </si>
  <si>
    <t>KZKD00001244</t>
  </si>
  <si>
    <t>28.07.2025</t>
  </si>
  <si>
    <t>ЕВРАЗИЙСКИЙ БАНК РАЗВИТИЯ, ОБЛИГАЦИИ, EABRb53</t>
  </si>
  <si>
    <t>KZ2D00013620</t>
  </si>
  <si>
    <t>МИНИСТЕРСТВО ФИНАНСОВ РК, ГЦБ, MUM180_0009</t>
  </si>
  <si>
    <t>KZKD00000717</t>
  </si>
  <si>
    <t>МИНИСТЕРСТВО ФИНАНСОВ РК, ГЦБ, KZ_24_3207</t>
  </si>
  <si>
    <t>XS3093655341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</si>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</sst>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22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97.644400000000005</v>
      </c>
      <c r="J4" s="11">
        <v>97.881511111111109</v>
      </c>
      <c r="K4" s="11">
        <v>7160755.5555555597</v>
      </c>
      <c r="L4" s="11">
        <v>2956021635.5555549</v>
      </c>
      <c r="M4" s="6">
        <f t="shared" ref="M4:M22" si="0">L4/$L$24</f>
        <v>9.9676257270094021E-2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82.928400000000011</v>
      </c>
      <c r="J5" s="11">
        <v>82.957705555555549</v>
      </c>
      <c r="K5" s="11">
        <v>663770.83333333326</v>
      </c>
      <c r="L5" s="11">
        <v>1878992030.833333</v>
      </c>
      <c r="M5" s="6">
        <f t="shared" si="0"/>
        <v>6.3359107667221221E-2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82.928400000000011</v>
      </c>
      <c r="J6" s="11">
        <v>82.957705555555805</v>
      </c>
      <c r="K6" s="11">
        <v>454718.48055555549</v>
      </c>
      <c r="L6" s="11">
        <v>1287209919.9445591</v>
      </c>
      <c r="M6" s="6">
        <f t="shared" si="0"/>
        <v>4.3404373499078767E-2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82.928400000000011</v>
      </c>
      <c r="J7" s="11">
        <v>82.957705555555549</v>
      </c>
      <c r="K7" s="11">
        <v>159918.0722222222</v>
      </c>
      <c r="L7" s="11">
        <v>452693562.60022199</v>
      </c>
      <c r="M7" s="6">
        <f t="shared" si="0"/>
        <v>1.5264705598737867E-2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86.503900000000002</v>
      </c>
      <c r="J8" s="11">
        <v>89.595011111111106</v>
      </c>
      <c r="K8" s="11">
        <v>70013666.666666657</v>
      </c>
      <c r="L8" s="11">
        <v>2029327001.666666</v>
      </c>
      <c r="M8" s="6">
        <f t="shared" si="0"/>
        <v>6.8428362590539499E-2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84.813900000000004</v>
      </c>
      <c r="J9" s="11">
        <v>88.45001111111111</v>
      </c>
      <c r="K9" s="11">
        <v>82357916.666666657</v>
      </c>
      <c r="L9" s="11">
        <v>2003392751.666666</v>
      </c>
      <c r="M9" s="6">
        <f t="shared" si="0"/>
        <v>6.7553866631506684E-2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78.011400000000009</v>
      </c>
      <c r="J10" s="11">
        <v>81.788066666666651</v>
      </c>
      <c r="K10" s="11">
        <v>85541500</v>
      </c>
      <c r="L10" s="11">
        <v>1852499710</v>
      </c>
      <c r="M10" s="6">
        <f t="shared" si="0"/>
        <v>6.2465793709264042E-2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68.722200000000001</v>
      </c>
      <c r="J11" s="11">
        <v>71.139838888888875</v>
      </c>
      <c r="K11" s="11">
        <v>54759520.833333328</v>
      </c>
      <c r="L11" s="11">
        <v>1611317350.833333</v>
      </c>
      <c r="M11" s="6">
        <f t="shared" si="0"/>
        <v>5.4333189200506171E-2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76.906500000000008</v>
      </c>
      <c r="J12" s="11">
        <v>76.995249999999999</v>
      </c>
      <c r="K12" s="11">
        <v>2010187.5</v>
      </c>
      <c r="L12" s="11">
        <v>1743942412.5</v>
      </c>
      <c r="M12" s="6">
        <f t="shared" si="0"/>
        <v>5.8805270733381793E-2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62.700700000000005</v>
      </c>
      <c r="J13" s="11">
        <v>64.426783333333333</v>
      </c>
      <c r="K13" s="11">
        <v>39095787.5</v>
      </c>
      <c r="L13" s="11">
        <v>1459266642.5</v>
      </c>
      <c r="M13" s="6">
        <f t="shared" si="0"/>
        <v>4.920608006854444E-2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61.333000000000006</v>
      </c>
      <c r="J14" s="11">
        <v>65.368000000000009</v>
      </c>
      <c r="K14" s="11">
        <v>91392750</v>
      </c>
      <c r="L14" s="11">
        <v>1480585200</v>
      </c>
      <c r="M14" s="6">
        <f t="shared" si="0"/>
        <v>4.9924936113587538E-2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84.378799999999998</v>
      </c>
      <c r="J15" s="11">
        <v>86.2393</v>
      </c>
      <c r="K15" s="11">
        <v>70233875</v>
      </c>
      <c r="L15" s="11">
        <v>3255533575</v>
      </c>
      <c r="M15" s="6">
        <f t="shared" si="0"/>
        <v>0.10977571959216818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57.281700000000001</v>
      </c>
      <c r="J16" s="11">
        <v>58.733088888888879</v>
      </c>
      <c r="K16" s="11">
        <v>40694912.5</v>
      </c>
      <c r="L16" s="11">
        <v>1646793586.1199999</v>
      </c>
      <c r="M16" s="6">
        <f t="shared" si="0"/>
        <v>5.5529438345936939E-2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85.556100000000001</v>
      </c>
      <c r="J17" s="11">
        <v>90.289433333333321</v>
      </c>
      <c r="K17" s="11">
        <v>49154720</v>
      </c>
      <c r="L17" s="11">
        <v>937637707.27999997</v>
      </c>
      <c r="M17" s="6">
        <f t="shared" si="0"/>
        <v>3.1616892181310939E-2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98.108699999999999</v>
      </c>
      <c r="J18" s="11">
        <v>101.136061111111</v>
      </c>
      <c r="K18" s="11">
        <v>15348387.82361111</v>
      </c>
      <c r="L18" s="11">
        <v>512748704.866611</v>
      </c>
      <c r="M18" s="6">
        <f t="shared" si="0"/>
        <v>1.7289748899820358E-2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93.223823583980192</v>
      </c>
      <c r="J19" s="11">
        <v>106.173268028425</v>
      </c>
      <c r="K19" s="11">
        <v>271938333.33333302</v>
      </c>
      <c r="L19" s="11">
        <v>2229638628.5969172</v>
      </c>
      <c r="M19" s="6">
        <f t="shared" si="0"/>
        <v>7.5182816962568594E-2</v>
      </c>
    </row>
    <row r="20" spans="1:15" x14ac:dyDescent="0.25">
      <c r="A20" s="1" t="s">
        <v>113</v>
      </c>
      <c r="B20" s="13" t="s">
        <v>114</v>
      </c>
      <c r="C20" s="10">
        <v>1100000</v>
      </c>
      <c r="D20" s="11">
        <v>1100000000</v>
      </c>
      <c r="E20" s="3">
        <v>0.13870000000000002</v>
      </c>
      <c r="F20" s="4" t="s">
        <v>115</v>
      </c>
      <c r="G20" s="4" t="s">
        <v>116</v>
      </c>
      <c r="H20" s="11">
        <v>1100000000</v>
      </c>
      <c r="I20" s="11">
        <v>99.6584</v>
      </c>
      <c r="J20" s="11">
        <v>105.01376111111101</v>
      </c>
      <c r="K20" s="11">
        <v>58908972.222222216</v>
      </c>
      <c r="L20" s="11">
        <v>1155151372.2222221</v>
      </c>
      <c r="M20" s="6">
        <f t="shared" si="0"/>
        <v>3.8951394664567374E-2</v>
      </c>
    </row>
    <row r="21" spans="1:15" x14ac:dyDescent="0.25">
      <c r="A21" s="1" t="s">
        <v>117</v>
      </c>
      <c r="B21" s="13" t="s">
        <v>118</v>
      </c>
      <c r="C21" s="10">
        <v>1000000</v>
      </c>
      <c r="D21" s="11">
        <v>1000000000</v>
      </c>
      <c r="E21" s="3">
        <v>0.1389</v>
      </c>
      <c r="F21" s="4" t="s">
        <v>119</v>
      </c>
      <c r="G21" s="4" t="s">
        <v>120</v>
      </c>
      <c r="H21" s="11">
        <v>1000000000</v>
      </c>
      <c r="I21" s="11">
        <v>97.896509454879691</v>
      </c>
      <c r="J21" s="11">
        <v>100.25009278821301</v>
      </c>
      <c r="K21" s="11">
        <v>23535833.333333328</v>
      </c>
      <c r="L21" s="11">
        <v>1002500927.88213</v>
      </c>
      <c r="M21" s="6">
        <f t="shared" si="0"/>
        <v>3.3804062595200579E-2</v>
      </c>
    </row>
    <row r="22" spans="1:15" x14ac:dyDescent="0.25">
      <c r="A22" s="1" t="s">
        <v>121</v>
      </c>
      <c r="B22" s="13" t="s">
        <v>122</v>
      </c>
      <c r="C22" s="10">
        <v>165739</v>
      </c>
      <c r="D22" s="11">
        <v>165739000</v>
      </c>
      <c r="E22" s="3">
        <v>0.125</v>
      </c>
      <c r="F22" s="4" t="s">
        <v>123</v>
      </c>
      <c r="G22" s="4" t="s">
        <v>124</v>
      </c>
      <c r="H22" s="11">
        <v>159596381.18279999</v>
      </c>
      <c r="I22" s="11">
        <v>95.492758780356596</v>
      </c>
      <c r="J22" s="11">
        <v>97.124703224787623</v>
      </c>
      <c r="K22" s="11">
        <v>2704768.4027555599</v>
      </c>
      <c r="L22" s="11">
        <v>160973511.877731</v>
      </c>
      <c r="M22" s="6">
        <f t="shared" si="0"/>
        <v>5.4279836759651146E-3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966130294.72358871</v>
      </c>
      <c r="L24" s="22">
        <f>SUM(L4:L23)</f>
        <v>29656226231.945942</v>
      </c>
      <c r="M24" s="23"/>
      <c r="N24" s="26">
        <v>29656226231.945965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2484880.8199999998</v>
      </c>
      <c r="C27" s="51">
        <v>2484880.8199999998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8948943</v>
      </c>
      <c r="D32" s="7" t="s">
        <v>51</v>
      </c>
      <c r="E32" s="34" t="s">
        <v>52</v>
      </c>
      <c r="F32" s="34" t="s">
        <v>53</v>
      </c>
      <c r="G32" s="15">
        <v>99.121199999821201</v>
      </c>
      <c r="H32" s="15">
        <v>99.163862850618216</v>
      </c>
      <c r="I32" s="16">
        <f t="shared" ref="I32:I44" si="1">+C32*G32</f>
        <v>887029968.88999999</v>
      </c>
      <c r="J32" s="16">
        <f t="shared" ref="J32:J44" si="2">+C32*H32</f>
        <v>887411756.30999994</v>
      </c>
      <c r="K32" s="18">
        <v>0.15710000000000002</v>
      </c>
      <c r="L32" s="17"/>
      <c r="M32" s="17">
        <v>887029968.88999999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60534</v>
      </c>
      <c r="D33" s="7" t="s">
        <v>51</v>
      </c>
      <c r="E33" s="34" t="s">
        <v>52</v>
      </c>
      <c r="F33" s="34" t="s">
        <v>53</v>
      </c>
      <c r="G33" s="15">
        <v>99.121199986784276</v>
      </c>
      <c r="H33" s="15">
        <v>99.163699904186061</v>
      </c>
      <c r="I33" s="16">
        <f t="shared" si="1"/>
        <v>6000202.7199999997</v>
      </c>
      <c r="J33" s="16">
        <f t="shared" si="2"/>
        <v>6002775.4099999992</v>
      </c>
      <c r="K33" s="18">
        <v>0.1565</v>
      </c>
      <c r="L33" s="17"/>
      <c r="M33" s="17">
        <v>6000202.7199999997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13115700</v>
      </c>
      <c r="D34" s="7" t="s">
        <v>51</v>
      </c>
      <c r="E34" s="34" t="s">
        <v>52</v>
      </c>
      <c r="F34" s="34" t="s">
        <v>53</v>
      </c>
      <c r="G34" s="15">
        <v>99.121200000000002</v>
      </c>
      <c r="H34" s="15">
        <v>99.163699640125941</v>
      </c>
      <c r="I34" s="16">
        <f t="shared" si="1"/>
        <v>1300043922.8399999</v>
      </c>
      <c r="J34" s="16">
        <f t="shared" si="2"/>
        <v>1300601335.3699999</v>
      </c>
      <c r="K34" s="18">
        <v>0.156499</v>
      </c>
      <c r="L34" s="17"/>
      <c r="M34" s="17">
        <v>1300043922.8399999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209064</v>
      </c>
      <c r="D35" s="7" t="s">
        <v>51</v>
      </c>
      <c r="E35" s="34" t="s">
        <v>56</v>
      </c>
      <c r="F35" s="34" t="s">
        <v>52</v>
      </c>
      <c r="G35" s="15">
        <v>889.99</v>
      </c>
      <c r="H35" s="15">
        <v>890.36795316266807</v>
      </c>
      <c r="I35" s="16">
        <f t="shared" si="1"/>
        <v>186064869.36000001</v>
      </c>
      <c r="J35" s="16">
        <f t="shared" si="2"/>
        <v>186143885.76000005</v>
      </c>
      <c r="K35" s="18">
        <v>0.155005</v>
      </c>
      <c r="L35" s="17">
        <v>79016.400000000009</v>
      </c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209064</v>
      </c>
      <c r="D36" s="7" t="s">
        <v>51</v>
      </c>
      <c r="E36" s="34" t="s">
        <v>52</v>
      </c>
      <c r="F36" s="34" t="s">
        <v>52</v>
      </c>
      <c r="G36" s="15">
        <v>889.99</v>
      </c>
      <c r="H36" s="15">
        <v>890.36795316266807</v>
      </c>
      <c r="I36" s="16">
        <f t="shared" si="1"/>
        <v>186064869.36000001</v>
      </c>
      <c r="J36" s="16">
        <f t="shared" si="2"/>
        <v>186143885.76000005</v>
      </c>
      <c r="K36" s="18">
        <v>0.155005</v>
      </c>
      <c r="L36" s="17"/>
      <c r="M36" s="17"/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465500</v>
      </c>
      <c r="D37" s="7" t="s">
        <v>51</v>
      </c>
      <c r="E37" s="34" t="s">
        <v>56</v>
      </c>
      <c r="F37" s="34" t="s">
        <v>52</v>
      </c>
      <c r="G37" s="15">
        <v>1074.8399999999999</v>
      </c>
      <c r="H37" s="15">
        <v>1075.302328442534</v>
      </c>
      <c r="I37" s="16">
        <f t="shared" si="1"/>
        <v>500338019.99999994</v>
      </c>
      <c r="J37" s="16">
        <f t="shared" si="2"/>
        <v>500553233.88999957</v>
      </c>
      <c r="K37" s="18">
        <v>0.157</v>
      </c>
      <c r="L37" s="17">
        <v>215213.89</v>
      </c>
      <c r="M37" s="17"/>
      <c r="N37" s="35"/>
    </row>
    <row r="38" spans="1:15" s="36" customFormat="1" ht="12" customHeight="1" x14ac:dyDescent="0.25">
      <c r="A38" s="12" t="s">
        <v>57</v>
      </c>
      <c r="B38" s="7" t="s">
        <v>58</v>
      </c>
      <c r="C38" s="14">
        <v>465500</v>
      </c>
      <c r="D38" s="7" t="s">
        <v>51</v>
      </c>
      <c r="E38" s="34" t="s">
        <v>52</v>
      </c>
      <c r="F38" s="34" t="s">
        <v>52</v>
      </c>
      <c r="G38" s="15">
        <v>1074.8399999999999</v>
      </c>
      <c r="H38" s="15">
        <v>1075.302328442534</v>
      </c>
      <c r="I38" s="16">
        <f t="shared" si="1"/>
        <v>500338019.99999994</v>
      </c>
      <c r="J38" s="16">
        <f t="shared" si="2"/>
        <v>500553233.88999957</v>
      </c>
      <c r="K38" s="18">
        <v>0.157</v>
      </c>
      <c r="L38" s="17"/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1604200</v>
      </c>
      <c r="D39" s="7" t="s">
        <v>51</v>
      </c>
      <c r="E39" s="34" t="s">
        <v>56</v>
      </c>
      <c r="F39" s="34" t="s">
        <v>52</v>
      </c>
      <c r="G39" s="15">
        <v>810.82300000000009</v>
      </c>
      <c r="H39" s="15">
        <v>811.17154059967606</v>
      </c>
      <c r="I39" s="16">
        <f t="shared" si="1"/>
        <v>1300722256.6000001</v>
      </c>
      <c r="J39" s="16">
        <f t="shared" si="2"/>
        <v>1301281385.4300003</v>
      </c>
      <c r="K39" s="18">
        <v>0.15689899999999998</v>
      </c>
      <c r="L39" s="17">
        <v>559128.82999999996</v>
      </c>
      <c r="M39" s="17"/>
      <c r="N39" s="35"/>
    </row>
    <row r="40" spans="1:15" s="36" customFormat="1" ht="12" customHeight="1" x14ac:dyDescent="0.25">
      <c r="A40" s="12" t="s">
        <v>59</v>
      </c>
      <c r="B40" s="7" t="s">
        <v>60</v>
      </c>
      <c r="C40" s="14">
        <v>1604200</v>
      </c>
      <c r="D40" s="7" t="s">
        <v>51</v>
      </c>
      <c r="E40" s="34" t="s">
        <v>52</v>
      </c>
      <c r="F40" s="34" t="s">
        <v>52</v>
      </c>
      <c r="G40" s="15">
        <v>810.82300000000009</v>
      </c>
      <c r="H40" s="15">
        <v>811.17154059967606</v>
      </c>
      <c r="I40" s="16">
        <f t="shared" si="1"/>
        <v>1300722256.6000001</v>
      </c>
      <c r="J40" s="16">
        <f t="shared" si="2"/>
        <v>1301281385.4300003</v>
      </c>
      <c r="K40" s="18">
        <v>0.15689899999999998</v>
      </c>
      <c r="L40" s="17"/>
      <c r="M40" s="17"/>
      <c r="N40" s="35"/>
    </row>
    <row r="41" spans="1:15" s="36" customFormat="1" ht="12" customHeight="1" x14ac:dyDescent="0.25">
      <c r="A41" s="12" t="s">
        <v>61</v>
      </c>
      <c r="B41" s="7" t="s">
        <v>62</v>
      </c>
      <c r="C41" s="14">
        <v>29216</v>
      </c>
      <c r="D41" s="7" t="s">
        <v>51</v>
      </c>
      <c r="E41" s="34" t="s">
        <v>56</v>
      </c>
      <c r="F41" s="34" t="s">
        <v>52</v>
      </c>
      <c r="G41" s="15">
        <v>547.74509994523498</v>
      </c>
      <c r="H41" s="15">
        <v>547.98070543537801</v>
      </c>
      <c r="I41" s="16">
        <f t="shared" si="1"/>
        <v>16002920.839999985</v>
      </c>
      <c r="J41" s="16">
        <f t="shared" si="2"/>
        <v>16009804.290000005</v>
      </c>
      <c r="K41" s="18">
        <v>0.157</v>
      </c>
      <c r="L41" s="17">
        <v>6883.45</v>
      </c>
      <c r="M41" s="17"/>
      <c r="N41" s="35"/>
    </row>
    <row r="42" spans="1:15" s="36" customFormat="1" ht="12" customHeight="1" x14ac:dyDescent="0.25">
      <c r="A42" s="12" t="s">
        <v>61</v>
      </c>
      <c r="B42" s="7" t="s">
        <v>62</v>
      </c>
      <c r="C42" s="14">
        <v>29216</v>
      </c>
      <c r="D42" s="7" t="s">
        <v>51</v>
      </c>
      <c r="E42" s="34" t="s">
        <v>52</v>
      </c>
      <c r="F42" s="34" t="s">
        <v>52</v>
      </c>
      <c r="G42" s="15">
        <v>547.74509994523498</v>
      </c>
      <c r="H42" s="15">
        <v>547.98070543537801</v>
      </c>
      <c r="I42" s="16">
        <f t="shared" si="1"/>
        <v>16002920.839999985</v>
      </c>
      <c r="J42" s="16">
        <f t="shared" si="2"/>
        <v>16009804.290000005</v>
      </c>
      <c r="K42" s="18">
        <v>0.157</v>
      </c>
      <c r="L42" s="17"/>
      <c r="M42" s="17"/>
      <c r="N42" s="35"/>
    </row>
    <row r="43" spans="1:15" s="36" customFormat="1" ht="12" customHeight="1" x14ac:dyDescent="0.25">
      <c r="A43" s="12" t="s">
        <v>63</v>
      </c>
      <c r="B43" s="7" t="s">
        <v>64</v>
      </c>
      <c r="C43" s="14">
        <v>204120</v>
      </c>
      <c r="D43" s="7" t="s">
        <v>51</v>
      </c>
      <c r="E43" s="34" t="s">
        <v>56</v>
      </c>
      <c r="F43" s="34" t="s">
        <v>52</v>
      </c>
      <c r="G43" s="15">
        <v>926.27600000000007</v>
      </c>
      <c r="H43" s="15">
        <v>926.67416926317901</v>
      </c>
      <c r="I43" s="16">
        <f t="shared" si="1"/>
        <v>189071457.12</v>
      </c>
      <c r="J43" s="16">
        <f t="shared" si="2"/>
        <v>189152731.4300001</v>
      </c>
      <c r="K43" s="18">
        <v>0.15689899999999998</v>
      </c>
      <c r="L43" s="17">
        <v>81274.31</v>
      </c>
      <c r="M43" s="17"/>
      <c r="N43" s="35"/>
    </row>
    <row r="44" spans="1:15" s="36" customFormat="1" ht="12" customHeight="1" x14ac:dyDescent="0.25">
      <c r="A44" s="12" t="s">
        <v>63</v>
      </c>
      <c r="B44" s="7" t="s">
        <v>64</v>
      </c>
      <c r="C44" s="14">
        <v>204120</v>
      </c>
      <c r="D44" s="7" t="s">
        <v>51</v>
      </c>
      <c r="E44" s="34" t="s">
        <v>52</v>
      </c>
      <c r="F44" s="34" t="s">
        <v>52</v>
      </c>
      <c r="G44" s="15">
        <v>926.27600000000007</v>
      </c>
      <c r="H44" s="15">
        <v>926.67416926317901</v>
      </c>
      <c r="I44" s="16">
        <f t="shared" si="1"/>
        <v>189071457.12</v>
      </c>
      <c r="J44" s="16">
        <f t="shared" si="2"/>
        <v>189152731.4300001</v>
      </c>
      <c r="K44" s="18">
        <v>0.15689899999999998</v>
      </c>
      <c r="L44" s="17"/>
      <c r="M44" s="17"/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2193074094.4499998</v>
      </c>
      <c r="N46" s="38">
        <v>2193074094.4499998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8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8" hidden="1" x14ac:dyDescent="0.25">
      <c r="B50" s="41"/>
      <c r="C50" s="42"/>
      <c r="D50" s="43"/>
      <c r="G50" s="44"/>
      <c r="H50" s="33"/>
    </row>
    <row r="51" spans="1:8" x14ac:dyDescent="0.25">
      <c r="G51" s="45">
        <f>SUM(G50:G50)</f>
        <v>0</v>
      </c>
    </row>
    <row r="53" spans="1:8" x14ac:dyDescent="0.25">
      <c r="A53" s="46" t="s">
        <v>13</v>
      </c>
      <c r="B53" s="47">
        <f>+L24+B27+M46+G51</f>
        <v>31851785207.215942</v>
      </c>
      <c r="C53" s="32">
        <v>31851785207.215969</v>
      </c>
      <c r="D53" s="29">
        <f>B53-C53</f>
        <v>0</v>
      </c>
    </row>
    <row r="56" spans="1:8" x14ac:dyDescent="0.25">
      <c r="A56" s="24" t="s">
        <v>46</v>
      </c>
      <c r="B56" s="33"/>
    </row>
    <row r="57" spans="1:8" x14ac:dyDescent="0.25">
      <c r="A57" s="48" t="s">
        <v>35</v>
      </c>
      <c r="B57" s="49"/>
    </row>
    <row r="58" spans="1:8" x14ac:dyDescent="0.25">
      <c r="A58" s="48" t="s">
        <v>36</v>
      </c>
      <c r="B58" s="40"/>
    </row>
    <row r="59" spans="1:8" x14ac:dyDescent="0.25">
      <c r="A59" s="48" t="s">
        <v>37</v>
      </c>
      <c r="B59" s="40">
        <v>428825.42</v>
      </c>
    </row>
    <row r="60" spans="1:8" x14ac:dyDescent="0.25">
      <c r="A60" s="48" t="s">
        <v>38</v>
      </c>
      <c r="B60" s="40"/>
    </row>
    <row r="61" spans="1:8" x14ac:dyDescent="0.25">
      <c r="A61" s="48" t="s">
        <v>39</v>
      </c>
      <c r="B61" s="49"/>
    </row>
    <row r="62" spans="1:8" x14ac:dyDescent="0.25">
      <c r="A62" s="48" t="s">
        <v>40</v>
      </c>
      <c r="B62" s="50">
        <v>61953.500000000007</v>
      </c>
    </row>
    <row r="63" spans="1:8" x14ac:dyDescent="0.25">
      <c r="A63" s="48" t="s">
        <v>41</v>
      </c>
      <c r="B63" s="50">
        <v>30857.63</v>
      </c>
    </row>
    <row r="64" spans="1:8" x14ac:dyDescent="0.25">
      <c r="A64" s="48" t="s">
        <v>42</v>
      </c>
      <c r="B64" s="40"/>
    </row>
    <row r="65" spans="1:2" x14ac:dyDescent="0.25">
      <c r="A65" s="48" t="s">
        <v>43</v>
      </c>
      <c r="B65" s="40"/>
    </row>
    <row r="66" spans="1:2" x14ac:dyDescent="0.25">
      <c r="A66" s="48" t="s">
        <v>44</v>
      </c>
      <c r="B66" s="50"/>
    </row>
    <row r="67" spans="1:2" x14ac:dyDescent="0.25">
      <c r="A67" s="48" t="s">
        <v>45</v>
      </c>
      <c r="B67" s="49">
        <f>SUM(B57:B66)</f>
        <v>521636.55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2025-07-30T05:17:32Z</dcterms:created>
  <dcterms:modified xsi:type="dcterms:W3CDTF">2025-07-30T07:13:49Z</dcterms:modified>
</cp:coreProperties>
</file>