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41066C04-5912-49E1-AC81-623F6DBDD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B48" i="1" s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<sst xmlns="http://schemas.openxmlformats.org/spreadsheetml/2006/main" count="170" uniqueCount="119">
  <si>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</si>
  <si>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</si>
  <si>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</si>
  <si>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</si>
  <si>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</si>
  <si>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</si>
  <si>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</si>
  <si>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</si>
  <si>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</si>
  <si>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</si>
  <si>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</si>
  <si>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</si>
  <si>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</si>
  <si>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</si>
  <si>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</si>
  <si>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</si>
  <si>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</si>
  <si>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</si>
  <si>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</si>
  <si>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</si>
  <si>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</si>
  <si>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</si>
  <si>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</si>
  <si>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</si>
  <si>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</si>
  <si>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</si>
  <si>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</si>
  <si>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</si>
  <si>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</si>
  <si>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</si>
  <si>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</si>
  <si>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</si>
  <si>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</si>
  <si>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</si>
  <si>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</si>
  <si>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</si>
  <si>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</si>
  <si>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</si>
  <si>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</si>
  <si>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</si>
  <si>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</si>
  <si>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</si>
  <si>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</si>
  <si>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</si>
  <si>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</si>
  <si>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</si>
  <si>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</si>
  <si>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</si>
  <si>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</si>
  <si>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</si>
  <si>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</si>
  <si>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</si>
  <si>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22.07.2025</t>
  </si>
  <si>
    <t>23.07.2025</t>
  </si>
  <si>
    <t>МИНИСТЕРСТВО ФИНАНСОВ РК, ГЦБ, MUM180_0009</t>
  </si>
  <si>
    <t>KZKD00000717</t>
  </si>
  <si>
    <t>Европейский банк реконструкции и развития, ОБЛИГАЦИИ, EBRDe22</t>
  </si>
  <si>
    <t>XS2754484439</t>
  </si>
  <si>
    <t>21.07.2025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</si>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</sst>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6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97.210900000000009</v>
      </c>
      <c r="J4" s="11">
        <v>97.240538888888878</v>
      </c>
      <c r="K4" s="11">
        <v>895094.44444444438</v>
      </c>
      <c r="L4" s="11">
        <v>2936664274.4444442</v>
      </c>
      <c r="M4" s="6">
        <f t="shared" ref="M4:M22" si="0">L4/$L$24</f>
        <v>9.6444174200742083E-2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82.616</v>
      </c>
      <c r="J5" s="11">
        <v>92.990166666666653</v>
      </c>
      <c r="K5" s="11">
        <v>234974875</v>
      </c>
      <c r="L5" s="11">
        <v>2106227274.999999</v>
      </c>
      <c r="M5" s="6">
        <f t="shared" si="0"/>
        <v>6.917145823721467E-2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82.616</v>
      </c>
      <c r="J6" s="11">
        <v>92.990166666666951</v>
      </c>
      <c r="K6" s="11">
        <v>160970342.116667</v>
      </c>
      <c r="L6" s="11">
        <v>1442878201.476671</v>
      </c>
      <c r="M6" s="6">
        <f t="shared" si="0"/>
        <v>4.7386144144786563E-2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82.616</v>
      </c>
      <c r="J7" s="11">
        <v>92.990166666666667</v>
      </c>
      <c r="K7" s="11">
        <v>56610997.56666667</v>
      </c>
      <c r="L7" s="11">
        <v>507439900.28666699</v>
      </c>
      <c r="M7" s="6">
        <f t="shared" si="0"/>
        <v>1.666503814056609E-2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85.332400000000007</v>
      </c>
      <c r="J8" s="11">
        <v>88.221288888888878</v>
      </c>
      <c r="K8" s="11">
        <v>65433333.333333328</v>
      </c>
      <c r="L8" s="11">
        <v>1998212193.333333</v>
      </c>
      <c r="M8" s="6">
        <f t="shared" si="0"/>
        <v>6.56240914363099E-2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84.255300000000005</v>
      </c>
      <c r="J9" s="11">
        <v>87.677522222222223</v>
      </c>
      <c r="K9" s="11">
        <v>77513333.333333328</v>
      </c>
      <c r="L9" s="11">
        <v>1985895878.333333</v>
      </c>
      <c r="M9" s="6">
        <f t="shared" si="0"/>
        <v>6.5219606374906036E-2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78.967700000000008</v>
      </c>
      <c r="J10" s="11">
        <v>82.544088888888879</v>
      </c>
      <c r="K10" s="11">
        <v>81005208.333333328</v>
      </c>
      <c r="L10" s="11">
        <v>1869623613.333333</v>
      </c>
      <c r="M10" s="6">
        <f t="shared" si="0"/>
        <v>6.1401062090508302E-2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70.387</v>
      </c>
      <c r="J11" s="11">
        <v>72.640333333333331</v>
      </c>
      <c r="K11" s="11">
        <v>51037999.999999993</v>
      </c>
      <c r="L11" s="11">
        <v>1645303549.999999</v>
      </c>
      <c r="M11" s="6">
        <f t="shared" si="0"/>
        <v>5.4034076543978869E-2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78.768799999999999</v>
      </c>
      <c r="J12" s="11">
        <v>89.300466666666651</v>
      </c>
      <c r="K12" s="11">
        <v>238542250</v>
      </c>
      <c r="L12" s="11">
        <v>2022655570</v>
      </c>
      <c r="M12" s="6">
        <f t="shared" si="0"/>
        <v>6.642684621417444E-2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65.363</v>
      </c>
      <c r="J13" s="11">
        <v>66.93216666666666</v>
      </c>
      <c r="K13" s="11">
        <v>35541625</v>
      </c>
      <c r="L13" s="11">
        <v>1516013575</v>
      </c>
      <c r="M13" s="6">
        <f t="shared" si="0"/>
        <v>4.9788012402490166E-2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64.248400000000004</v>
      </c>
      <c r="J14" s="11">
        <v>68.126483333333326</v>
      </c>
      <c r="K14" s="11">
        <v>87838587.5</v>
      </c>
      <c r="L14" s="11">
        <v>1543064847.5</v>
      </c>
      <c r="M14" s="6">
        <f t="shared" si="0"/>
        <v>5.067641413776694E-2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83.029700000000005</v>
      </c>
      <c r="J15" s="11">
        <v>84.783450000000002</v>
      </c>
      <c r="K15" s="11">
        <v>66204062.5</v>
      </c>
      <c r="L15" s="11">
        <v>3200575237.5</v>
      </c>
      <c r="M15" s="6">
        <f t="shared" si="0"/>
        <v>0.10511138043058282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58.918600000000005</v>
      </c>
      <c r="J16" s="11">
        <v>60.263044444444439</v>
      </c>
      <c r="K16" s="11">
        <v>37696340</v>
      </c>
      <c r="L16" s="11">
        <v>1689691397.96</v>
      </c>
      <c r="M16" s="6">
        <f t="shared" si="0"/>
        <v>5.5491835736374215E-2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85.71</v>
      </c>
      <c r="J17" s="11">
        <v>90.21</v>
      </c>
      <c r="K17" s="11">
        <v>46731600</v>
      </c>
      <c r="L17" s="11">
        <v>936812808</v>
      </c>
      <c r="M17" s="6">
        <f t="shared" si="0"/>
        <v>3.0766246735960553E-2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96.7761</v>
      </c>
      <c r="J18" s="11">
        <v>99.504988888888874</v>
      </c>
      <c r="K18" s="11">
        <v>13835166.48888888</v>
      </c>
      <c r="L18" s="11">
        <v>504479348.11788899</v>
      </c>
      <c r="M18" s="6">
        <f t="shared" si="0"/>
        <v>1.6567809454406508E-2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93.880791965268998</v>
      </c>
      <c r="J19" s="11">
        <v>106.55218085415801</v>
      </c>
      <c r="K19" s="11">
        <v>266099166.66666701</v>
      </c>
      <c r="L19" s="11">
        <v>2237595797.937315</v>
      </c>
      <c r="M19" s="6">
        <f t="shared" si="0"/>
        <v>7.3485784808663676E-2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99.604900000000001</v>
      </c>
      <c r="J20" s="11">
        <v>104.69056666666701</v>
      </c>
      <c r="K20" s="11">
        <v>55942333.333333328</v>
      </c>
      <c r="L20" s="11">
        <v>1151596233.333333</v>
      </c>
      <c r="M20" s="6">
        <f t="shared" si="0"/>
        <v>3.7820035712978983E-2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97.402156572322696</v>
      </c>
      <c r="J21" s="11">
        <v>99.485656572322682</v>
      </c>
      <c r="K21" s="11">
        <v>20834999.999999989</v>
      </c>
      <c r="L21" s="11">
        <v>994856565.72322702</v>
      </c>
      <c r="M21" s="6">
        <f t="shared" si="0"/>
        <v>3.2672485160910779E-2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95.017512426978897</v>
      </c>
      <c r="J22" s="11">
        <v>96.406401315854382</v>
      </c>
      <c r="K22" s="11">
        <v>2301930.55553333</v>
      </c>
      <c r="L22" s="11">
        <v>159783005.47688401</v>
      </c>
      <c r="M22" s="6">
        <f t="shared" si="0"/>
        <v>5.2474980366783693E-3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1600009246.1722007</v>
      </c>
      <c r="L24" s="22">
        <f>SUM(L4:L23)</f>
        <v>30449369272.756428</v>
      </c>
      <c r="M24" s="23"/>
      <c r="N24" s="26">
        <v>30449369272.756451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3142824.53</v>
      </c>
      <c r="C27" s="51">
        <v>3142824.53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14852500</v>
      </c>
      <c r="D32" s="7" t="s">
        <v>51</v>
      </c>
      <c r="E32" s="34" t="s">
        <v>52</v>
      </c>
      <c r="F32" s="34" t="s">
        <v>53</v>
      </c>
      <c r="G32" s="15">
        <v>87.534100000000009</v>
      </c>
      <c r="H32" s="15">
        <v>87.571751414240012</v>
      </c>
      <c r="I32" s="16">
        <f t="shared" ref="I32:I39" si="1">+C32*G32</f>
        <v>1300100220.2500002</v>
      </c>
      <c r="J32" s="16">
        <f t="shared" ref="J32:J39" si="2">+C32*H32</f>
        <v>1300659437.8799999</v>
      </c>
      <c r="K32" s="18">
        <v>0.156999</v>
      </c>
      <c r="L32" s="17"/>
      <c r="M32" s="17">
        <v>1300100220.25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231756</v>
      </c>
      <c r="D33" s="7" t="s">
        <v>51</v>
      </c>
      <c r="E33" s="34" t="s">
        <v>52</v>
      </c>
      <c r="F33" s="34" t="s">
        <v>53</v>
      </c>
      <c r="G33" s="15">
        <v>802.93800000863007</v>
      </c>
      <c r="H33" s="15">
        <v>803.28337113170699</v>
      </c>
      <c r="I33" s="16">
        <f t="shared" si="1"/>
        <v>186085699.13000008</v>
      </c>
      <c r="J33" s="16">
        <f t="shared" si="2"/>
        <v>186165740.95999989</v>
      </c>
      <c r="K33" s="18">
        <v>0.156999</v>
      </c>
      <c r="L33" s="17"/>
      <c r="M33" s="17">
        <v>186085699.13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158899436</v>
      </c>
      <c r="D34" s="7" t="s">
        <v>51</v>
      </c>
      <c r="E34" s="34" t="s">
        <v>58</v>
      </c>
      <c r="F34" s="34" t="s">
        <v>52</v>
      </c>
      <c r="G34" s="15">
        <v>1.0321000000276899</v>
      </c>
      <c r="H34" s="15">
        <v>1.0325431017892299</v>
      </c>
      <c r="I34" s="16">
        <f t="shared" si="1"/>
        <v>164000107.89999992</v>
      </c>
      <c r="J34" s="16">
        <f t="shared" si="2"/>
        <v>164070516.51999924</v>
      </c>
      <c r="K34" s="18">
        <v>0.15670199999999998</v>
      </c>
      <c r="L34" s="17">
        <v>70408.62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158899436</v>
      </c>
      <c r="D35" s="7" t="s">
        <v>51</v>
      </c>
      <c r="E35" s="34" t="s">
        <v>52</v>
      </c>
      <c r="F35" s="34" t="s">
        <v>52</v>
      </c>
      <c r="G35" s="15">
        <v>1.0321000000276899</v>
      </c>
      <c r="H35" s="15">
        <v>1.0325431017892299</v>
      </c>
      <c r="I35" s="16">
        <f t="shared" si="1"/>
        <v>164000107.89999992</v>
      </c>
      <c r="J35" s="16">
        <f t="shared" si="2"/>
        <v>164070516.51999924</v>
      </c>
      <c r="K35" s="18">
        <v>0.15670199999999998</v>
      </c>
      <c r="L35" s="17"/>
      <c r="M35" s="17"/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262844</v>
      </c>
      <c r="D36" s="7" t="s">
        <v>51</v>
      </c>
      <c r="E36" s="34" t="s">
        <v>58</v>
      </c>
      <c r="F36" s="34" t="s">
        <v>52</v>
      </c>
      <c r="G36" s="15">
        <v>87.511800003043632</v>
      </c>
      <c r="H36" s="15">
        <v>87.549561717216292</v>
      </c>
      <c r="I36" s="16">
        <f t="shared" si="1"/>
        <v>23001951.559999999</v>
      </c>
      <c r="J36" s="16">
        <f t="shared" si="2"/>
        <v>23011877</v>
      </c>
      <c r="K36" s="18">
        <v>0.157499</v>
      </c>
      <c r="L36" s="17">
        <v>9925.44</v>
      </c>
      <c r="M36" s="17"/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262844</v>
      </c>
      <c r="D37" s="7" t="s">
        <v>51</v>
      </c>
      <c r="E37" s="34" t="s">
        <v>52</v>
      </c>
      <c r="F37" s="34" t="s">
        <v>52</v>
      </c>
      <c r="G37" s="15">
        <v>87.511800003043632</v>
      </c>
      <c r="H37" s="15">
        <v>87.549561717216292</v>
      </c>
      <c r="I37" s="16">
        <f t="shared" si="1"/>
        <v>23001951.559999999</v>
      </c>
      <c r="J37" s="16">
        <f t="shared" si="2"/>
        <v>23011877</v>
      </c>
      <c r="K37" s="18">
        <v>0.157499</v>
      </c>
      <c r="L37" s="17"/>
      <c r="M37" s="17"/>
      <c r="N37" s="35"/>
    </row>
    <row r="38" spans="1:15" s="36" customFormat="1" ht="12" customHeight="1" x14ac:dyDescent="0.25">
      <c r="A38" s="12" t="s">
        <v>49</v>
      </c>
      <c r="B38" s="7" t="s">
        <v>50</v>
      </c>
      <c r="C38" s="14">
        <v>14856400</v>
      </c>
      <c r="D38" s="7" t="s">
        <v>51</v>
      </c>
      <c r="E38" s="34" t="s">
        <v>58</v>
      </c>
      <c r="F38" s="34" t="s">
        <v>52</v>
      </c>
      <c r="G38" s="15">
        <v>87.511800000000008</v>
      </c>
      <c r="H38" s="15">
        <v>87.549442062006932</v>
      </c>
      <c r="I38" s="16">
        <f t="shared" si="1"/>
        <v>1300110305.5200002</v>
      </c>
      <c r="J38" s="16">
        <f t="shared" si="2"/>
        <v>1300669531.0499997</v>
      </c>
      <c r="K38" s="18">
        <v>0.157</v>
      </c>
      <c r="L38" s="17">
        <v>559225.53</v>
      </c>
      <c r="M38" s="17"/>
      <c r="N38" s="35"/>
    </row>
    <row r="39" spans="1:15" s="36" customFormat="1" ht="12" customHeight="1" x14ac:dyDescent="0.25">
      <c r="A39" s="12" t="s">
        <v>49</v>
      </c>
      <c r="B39" s="7" t="s">
        <v>50</v>
      </c>
      <c r="C39" s="14">
        <v>14856400</v>
      </c>
      <c r="D39" s="7" t="s">
        <v>51</v>
      </c>
      <c r="E39" s="34" t="s">
        <v>52</v>
      </c>
      <c r="F39" s="34" t="s">
        <v>52</v>
      </c>
      <c r="G39" s="15">
        <v>87.511800000000008</v>
      </c>
      <c r="H39" s="15">
        <v>87.549442062006932</v>
      </c>
      <c r="I39" s="16">
        <f t="shared" si="1"/>
        <v>1300110305.5200002</v>
      </c>
      <c r="J39" s="16">
        <f t="shared" si="2"/>
        <v>1300669531.0499997</v>
      </c>
      <c r="K39" s="18">
        <v>0.157</v>
      </c>
      <c r="L39" s="17"/>
      <c r="M39" s="17"/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1486185919.3800001</v>
      </c>
      <c r="N41" s="38">
        <v>1486185919.3800001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31938698016.666428</v>
      </c>
      <c r="C48" s="32">
        <v>31938698016.666451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324293.82999999996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44175.310000000005</v>
      </c>
    </row>
    <row r="58" spans="1:2" x14ac:dyDescent="0.25">
      <c r="A58" s="48" t="s">
        <v>41</v>
      </c>
      <c r="B58" s="50">
        <v>21991.370000000003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390460.50999999995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2025-07-23T05:23:54Z</dcterms:created>
  <dcterms:modified xsi:type="dcterms:W3CDTF">2025-07-23T07:42:37Z</dcterms:modified>
</cp:coreProperties>
</file>