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CF12897E-B083-485C-B6D2-56224D53B0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O42" i="1"/>
  <c r="O24" i="1"/>
  <c r="D27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8" i="1"/>
  <c r="M16" i="1"/>
  <c r="M15" i="1"/>
  <c r="M14" i="1"/>
  <c r="M12" i="1"/>
  <c r="M11" i="1"/>
  <c r="M10" i="1"/>
  <c r="M8" i="1"/>
  <c r="M7" i="1"/>
  <c r="M6" i="1"/>
  <c r="M5" i="1"/>
  <c r="M4" i="1"/>
  <c r="M9" i="1" l="1"/>
  <c r="M13" i="1"/>
  <c r="M17" i="1"/>
  <c r="M21" i="1"/>
  <c r="B49" i="1"/>
</calcChain>
</file>

<file path=xl/sharedStrings.xml><?xml version="1.0" encoding="utf-8"?>
<sst xmlns="http://schemas.openxmlformats.org/spreadsheetml/2006/main" count="175" uniqueCount="121">
  <si>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</si>
  <si>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</si>
  <si>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</si>
  <si>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</si>
  <si>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</si>
  <si>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</si>
  <si>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</si>
  <si>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</si>
  <si>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</si>
  <si>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</si>
  <si>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</si>
  <si>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</si>
  <si>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</si>
  <si>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</si>
  <si>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</si>
  <si>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</si>
  <si>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</si>
  <si>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</si>
  <si>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</si>
  <si>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</si>
  <si>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</si>
  <si>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</si>
  <si>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</si>
  <si>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</si>
  <si>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</si>
  <si>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</si>
  <si>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</si>
  <si>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</si>
  <si>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</si>
  <si>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</si>
  <si>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</si>
  <si>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</si>
  <si>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</si>
  <si>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</si>
  <si>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</si>
  <si>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</si>
  <si>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</si>
  <si>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</si>
  <si>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</si>
  <si>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</si>
  <si>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</si>
  <si>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</si>
  <si>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</si>
  <si>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</si>
  <si>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</si>
  <si>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</si>
  <si>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</si>
  <si>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</si>
  <si>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</si>
  <si>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KZ_14_2609</t>
  </si>
  <si>
    <t>XS2050933899</t>
  </si>
  <si>
    <t>KZT</t>
  </si>
  <si>
    <t>01.07.2025</t>
  </si>
  <si>
    <t>02.07.2025</t>
  </si>
  <si>
    <t>МИНИСТЕРСТВО ФИНАНСОВ РК, ГЦБ, MUM096_0011</t>
  </si>
  <si>
    <t>KZKD00001095</t>
  </si>
  <si>
    <t>МИНИСТЕРСТВО ФИНАНСОВ РК, ГЦБ, MUM180_0014</t>
  </si>
  <si>
    <t>KZKD00000956</t>
  </si>
  <si>
    <t>30.06.2025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</si>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</sst>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3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96.940899999999999</v>
      </c>
      <c r="J4" s="11">
        <v>101.68312222222201</v>
      </c>
      <c r="K4" s="11">
        <v>143215111.11111099</v>
      </c>
      <c r="L4" s="11">
        <v>3070830291.1111112</v>
      </c>
      <c r="M4" s="6">
        <f t="shared" ref="M4:M22" si="0">L4/$L$24</f>
        <v>9.8512779252857757E-2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84.79010000000001</v>
      </c>
      <c r="J5" s="11">
        <v>94.548849999999987</v>
      </c>
      <c r="K5" s="11">
        <v>221035687.5</v>
      </c>
      <c r="L5" s="11">
        <v>2141531452.499999</v>
      </c>
      <c r="M5" s="6">
        <f t="shared" si="0"/>
        <v>6.8700708031263477E-2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84.79010000000001</v>
      </c>
      <c r="J6" s="11">
        <v>94.548850000000272</v>
      </c>
      <c r="K6" s="11">
        <v>151421254.02500001</v>
      </c>
      <c r="L6" s="11">
        <v>1467063449.0710039</v>
      </c>
      <c r="M6" s="6">
        <f t="shared" si="0"/>
        <v>4.7063655105464973E-2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84.79010000000001</v>
      </c>
      <c r="J7" s="11">
        <v>94.548850000000002</v>
      </c>
      <c r="K7" s="11">
        <v>53252718.050000012</v>
      </c>
      <c r="L7" s="11">
        <v>515945510.542</v>
      </c>
      <c r="M7" s="6">
        <f t="shared" si="0"/>
        <v>1.6551623296687083E-2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86.524799999999999</v>
      </c>
      <c r="J8" s="11">
        <v>88.807022222222216</v>
      </c>
      <c r="K8" s="11">
        <v>51692333.333333328</v>
      </c>
      <c r="L8" s="11">
        <v>2011479053.333333</v>
      </c>
      <c r="M8" s="6">
        <f t="shared" si="0"/>
        <v>6.4528604047694046E-2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86.265200000000007</v>
      </c>
      <c r="J9" s="11">
        <v>89.045755555555544</v>
      </c>
      <c r="K9" s="11">
        <v>62979583.333333328</v>
      </c>
      <c r="L9" s="11">
        <v>2016886363.333333</v>
      </c>
      <c r="M9" s="6">
        <f t="shared" si="0"/>
        <v>6.4702071509547515E-2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82.325200000000009</v>
      </c>
      <c r="J10" s="11">
        <v>85.30075555555554</v>
      </c>
      <c r="K10" s="11">
        <v>67396333.333333328</v>
      </c>
      <c r="L10" s="11">
        <v>1932062113.333333</v>
      </c>
      <c r="M10" s="6">
        <f t="shared" si="0"/>
        <v>6.1980894556289148E-2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74.14200000000001</v>
      </c>
      <c r="J11" s="11">
        <v>75.902416666666653</v>
      </c>
      <c r="K11" s="11">
        <v>39873437.499999993</v>
      </c>
      <c r="L11" s="11">
        <v>1719189737.499999</v>
      </c>
      <c r="M11" s="6">
        <f t="shared" si="0"/>
        <v>5.5151911062736064E-2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82.911900000000003</v>
      </c>
      <c r="J12" s="11">
        <v>92.822316666666651</v>
      </c>
      <c r="K12" s="11">
        <v>224470937.5</v>
      </c>
      <c r="L12" s="11">
        <v>2102425472.5</v>
      </c>
      <c r="M12" s="6">
        <f t="shared" si="0"/>
        <v>6.7446181271397274E-2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69.927300000000002</v>
      </c>
      <c r="J13" s="11">
        <v>71.025716666666654</v>
      </c>
      <c r="K13" s="11">
        <v>24879137.5</v>
      </c>
      <c r="L13" s="11">
        <v>1608732482.5</v>
      </c>
      <c r="M13" s="6">
        <f t="shared" si="0"/>
        <v>5.1608422772227401E-2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69.024000000000001</v>
      </c>
      <c r="J14" s="11">
        <v>72.431333333333328</v>
      </c>
      <c r="K14" s="11">
        <v>77176100</v>
      </c>
      <c r="L14" s="11">
        <v>1640569700</v>
      </c>
      <c r="M14" s="6">
        <f t="shared" si="0"/>
        <v>5.2629766344576979E-2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83.147300000000001</v>
      </c>
      <c r="J15" s="11">
        <v>84.580800000000011</v>
      </c>
      <c r="K15" s="11">
        <v>54114625</v>
      </c>
      <c r="L15" s="11">
        <v>3192925200</v>
      </c>
      <c r="M15" s="6">
        <f t="shared" si="0"/>
        <v>0.10242960553989978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62.281600000000005</v>
      </c>
      <c r="J16" s="11">
        <v>63.305211111111106</v>
      </c>
      <c r="K16" s="11">
        <v>28700622.5</v>
      </c>
      <c r="L16" s="11">
        <v>1774989492.26</v>
      </c>
      <c r="M16" s="6">
        <f t="shared" si="0"/>
        <v>5.6941977071576493E-2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88.512700000000009</v>
      </c>
      <c r="J17" s="11">
        <v>92.312700000000007</v>
      </c>
      <c r="K17" s="11">
        <v>39462240</v>
      </c>
      <c r="L17" s="11">
        <v>958648926.96000004</v>
      </c>
      <c r="M17" s="6">
        <f t="shared" si="0"/>
        <v>3.0753627250572922E-2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97.863799999999998</v>
      </c>
      <c r="J18" s="11">
        <v>99.69727222222221</v>
      </c>
      <c r="K18" s="11">
        <v>9295502.4847222194</v>
      </c>
      <c r="L18" s="11">
        <v>505454203.46672201</v>
      </c>
      <c r="M18" s="6">
        <f t="shared" si="0"/>
        <v>1.6215060308829212E-2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94.302003018564008</v>
      </c>
      <c r="J19" s="11">
        <v>106.139225240786</v>
      </c>
      <c r="K19" s="11">
        <v>248581666.66666701</v>
      </c>
      <c r="L19" s="11">
        <v>2228923730.05651</v>
      </c>
      <c r="M19" s="6">
        <f t="shared" si="0"/>
        <v>7.1504267763056392E-2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99.450600000000009</v>
      </c>
      <c r="J20" s="11">
        <v>103.727183333333</v>
      </c>
      <c r="K20" s="11">
        <v>47042416.666666657</v>
      </c>
      <c r="L20" s="11">
        <v>1140999016.666666</v>
      </c>
      <c r="M20" s="6">
        <f t="shared" si="0"/>
        <v>3.6603450402965948E-2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97.171420461693799</v>
      </c>
      <c r="J21" s="11">
        <v>98.444670461693789</v>
      </c>
      <c r="K21" s="11">
        <v>12732499.999999991</v>
      </c>
      <c r="L21" s="11">
        <v>984446704.61693799</v>
      </c>
      <c r="M21" s="6">
        <f t="shared" si="0"/>
        <v>3.1581224523821352E-2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95.15052362270589</v>
      </c>
      <c r="J22" s="11">
        <v>95.810245844914704</v>
      </c>
      <c r="K22" s="11">
        <v>1093417.01386667</v>
      </c>
      <c r="L22" s="11">
        <v>158794943.36090299</v>
      </c>
      <c r="M22" s="6">
        <f t="shared" si="0"/>
        <v>5.0941698885360737E-3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1558415623.5180335</v>
      </c>
      <c r="L24" s="22">
        <f>SUM(L4:L23)</f>
        <v>31171897843.111855</v>
      </c>
      <c r="M24" s="23"/>
      <c r="N24" s="26">
        <v>31171897843.11187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4030257.24</v>
      </c>
      <c r="C27" s="51">
        <v>4030257.24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1146442</v>
      </c>
      <c r="D32" s="7" t="s">
        <v>51</v>
      </c>
      <c r="E32" s="34" t="s">
        <v>52</v>
      </c>
      <c r="F32" s="34" t="s">
        <v>53</v>
      </c>
      <c r="G32" s="15">
        <v>594.93260000069802</v>
      </c>
      <c r="H32" s="15">
        <v>595.18540560272606</v>
      </c>
      <c r="I32" s="16">
        <f t="shared" ref="I32:I40" si="1">+C32*G32</f>
        <v>682055719.81000018</v>
      </c>
      <c r="J32" s="16">
        <f t="shared" ref="J32:J40" si="2">+C32*H32</f>
        <v>682345546.77000046</v>
      </c>
      <c r="K32" s="18">
        <v>0.15510000000000002</v>
      </c>
      <c r="L32" s="17"/>
      <c r="M32" s="17">
        <v>682055719.80999994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667440</v>
      </c>
      <c r="D33" s="7" t="s">
        <v>51</v>
      </c>
      <c r="E33" s="34" t="s">
        <v>52</v>
      </c>
      <c r="F33" s="34" t="s">
        <v>53</v>
      </c>
      <c r="G33" s="15">
        <v>926.27500000000009</v>
      </c>
      <c r="H33" s="15">
        <v>926.66860342502707</v>
      </c>
      <c r="I33" s="16">
        <f t="shared" si="1"/>
        <v>618232986.00000012</v>
      </c>
      <c r="J33" s="16">
        <f t="shared" si="2"/>
        <v>618495692.67000008</v>
      </c>
      <c r="K33" s="18">
        <v>0.15510000000000002</v>
      </c>
      <c r="L33" s="17"/>
      <c r="M33" s="17">
        <v>618232986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12960</v>
      </c>
      <c r="D34" s="7" t="s">
        <v>51</v>
      </c>
      <c r="E34" s="34" t="s">
        <v>52</v>
      </c>
      <c r="F34" s="34" t="s">
        <v>53</v>
      </c>
      <c r="G34" s="15">
        <v>926.27500000000009</v>
      </c>
      <c r="H34" s="15">
        <v>926.66860339506206</v>
      </c>
      <c r="I34" s="16">
        <f t="shared" si="1"/>
        <v>12004524.000000002</v>
      </c>
      <c r="J34" s="16">
        <f t="shared" si="2"/>
        <v>12009625.100000005</v>
      </c>
      <c r="K34" s="18">
        <v>0.15510000000000002</v>
      </c>
      <c r="L34" s="17"/>
      <c r="M34" s="17">
        <v>12004524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871607</v>
      </c>
      <c r="D35" s="7" t="s">
        <v>51</v>
      </c>
      <c r="E35" s="34" t="s">
        <v>58</v>
      </c>
      <c r="F35" s="34" t="s">
        <v>52</v>
      </c>
      <c r="G35" s="15">
        <v>744.97</v>
      </c>
      <c r="H35" s="15">
        <v>745.28635711966501</v>
      </c>
      <c r="I35" s="16">
        <f t="shared" si="1"/>
        <v>649321066.79000008</v>
      </c>
      <c r="J35" s="16">
        <f t="shared" si="2"/>
        <v>649596805.86999989</v>
      </c>
      <c r="K35" s="18">
        <v>0.155</v>
      </c>
      <c r="L35" s="17">
        <v>275739.08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871607</v>
      </c>
      <c r="D36" s="7" t="s">
        <v>51</v>
      </c>
      <c r="E36" s="34" t="s">
        <v>52</v>
      </c>
      <c r="F36" s="34" t="s">
        <v>52</v>
      </c>
      <c r="G36" s="15">
        <v>744.97</v>
      </c>
      <c r="H36" s="15">
        <v>745.28635711966501</v>
      </c>
      <c r="I36" s="16">
        <f t="shared" si="1"/>
        <v>649321066.79000008</v>
      </c>
      <c r="J36" s="16">
        <f t="shared" si="2"/>
        <v>649596805.86999989</v>
      </c>
      <c r="K36" s="18">
        <v>0.155</v>
      </c>
      <c r="L36" s="17"/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9401</v>
      </c>
      <c r="D37" s="7" t="s">
        <v>51</v>
      </c>
      <c r="E37" s="34" t="s">
        <v>58</v>
      </c>
      <c r="F37" s="34" t="s">
        <v>52</v>
      </c>
      <c r="G37" s="15">
        <v>744.97</v>
      </c>
      <c r="H37" s="15">
        <v>745.28635677055604</v>
      </c>
      <c r="I37" s="16">
        <f t="shared" si="1"/>
        <v>7003462.9700000007</v>
      </c>
      <c r="J37" s="16">
        <f t="shared" si="2"/>
        <v>7006437.0399999972</v>
      </c>
      <c r="K37" s="18">
        <v>0.155</v>
      </c>
      <c r="L37" s="17">
        <v>2974.07</v>
      </c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9401</v>
      </c>
      <c r="D38" s="7" t="s">
        <v>51</v>
      </c>
      <c r="E38" s="34" t="s">
        <v>52</v>
      </c>
      <c r="F38" s="34" t="s">
        <v>52</v>
      </c>
      <c r="G38" s="15">
        <v>744.97</v>
      </c>
      <c r="H38" s="15">
        <v>745.28635677055604</v>
      </c>
      <c r="I38" s="16">
        <f t="shared" si="1"/>
        <v>7003462.9700000007</v>
      </c>
      <c r="J38" s="16">
        <f t="shared" si="2"/>
        <v>7006437.0399999972</v>
      </c>
      <c r="K38" s="18">
        <v>0.155</v>
      </c>
      <c r="L38" s="17"/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685520</v>
      </c>
      <c r="D39" s="7" t="s">
        <v>51</v>
      </c>
      <c r="E39" s="34" t="s">
        <v>58</v>
      </c>
      <c r="F39" s="34" t="s">
        <v>52</v>
      </c>
      <c r="G39" s="15">
        <v>957.04900000000009</v>
      </c>
      <c r="H39" s="15">
        <v>957.45541806220103</v>
      </c>
      <c r="I39" s="16">
        <f t="shared" si="1"/>
        <v>656076230.48000002</v>
      </c>
      <c r="J39" s="16">
        <f t="shared" si="2"/>
        <v>656354838.19000006</v>
      </c>
      <c r="K39" s="18">
        <v>0.155</v>
      </c>
      <c r="L39" s="17">
        <v>278607.71000000002</v>
      </c>
      <c r="M39" s="17"/>
      <c r="N39" s="35"/>
    </row>
    <row r="40" spans="1:15" s="36" customFormat="1" ht="12" customHeight="1" x14ac:dyDescent="0.25">
      <c r="A40" s="12" t="s">
        <v>59</v>
      </c>
      <c r="B40" s="7" t="s">
        <v>60</v>
      </c>
      <c r="C40" s="14">
        <v>685520</v>
      </c>
      <c r="D40" s="7" t="s">
        <v>51</v>
      </c>
      <c r="E40" s="34" t="s">
        <v>52</v>
      </c>
      <c r="F40" s="34" t="s">
        <v>52</v>
      </c>
      <c r="G40" s="15">
        <v>957.04900000000009</v>
      </c>
      <c r="H40" s="15">
        <v>957.45541806220103</v>
      </c>
      <c r="I40" s="16">
        <f t="shared" si="1"/>
        <v>656076230.48000002</v>
      </c>
      <c r="J40" s="16">
        <f t="shared" si="2"/>
        <v>656354838.19000006</v>
      </c>
      <c r="K40" s="18">
        <v>0.155</v>
      </c>
      <c r="L40" s="17"/>
      <c r="M40" s="17"/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1312293229.8099999</v>
      </c>
      <c r="N42" s="38">
        <v>1312293229.8099999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32488221330.161858</v>
      </c>
      <c r="C49" s="32">
        <v>32488221330.161873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16351.32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1989.75</v>
      </c>
    </row>
    <row r="59" spans="1:4" x14ac:dyDescent="0.25">
      <c r="A59" s="48" t="s">
        <v>41</v>
      </c>
      <c r="B59" s="50">
        <v>984.21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19325.28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2025-07-02T05:39:17Z</dcterms:created>
  <dcterms:modified xsi:type="dcterms:W3CDTF">2025-07-02T12:37:58Z</dcterms:modified>
</cp:coreProperties>
</file>