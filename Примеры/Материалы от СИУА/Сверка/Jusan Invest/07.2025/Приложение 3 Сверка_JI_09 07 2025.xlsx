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522AB5DC-2D24-4212-A1A5-0DC4199C9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6" i="1"/>
  <c r="M15" i="1"/>
  <c r="M12" i="1"/>
  <c r="M11" i="1"/>
  <c r="M8" i="1"/>
  <c r="M7" i="1"/>
  <c r="M4" i="1"/>
  <c r="M20" i="1" l="1"/>
  <c r="M5" i="1"/>
  <c r="M9" i="1"/>
  <c r="M13" i="1"/>
  <c r="M17" i="1"/>
  <c r="M21" i="1"/>
  <c r="B47" i="1"/>
  <c r="M6" i="1"/>
  <c r="M10" i="1"/>
  <c r="M14" i="1"/>
  <c r="M18" i="1"/>
</calcChain>
</file>

<file path=xl/sharedStrings.xml><?xml version="1.0" encoding="utf-8"?>
<sst xmlns="http://schemas.openxmlformats.org/spreadsheetml/2006/main" count="165" uniqueCount="121">
  <si>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</si>
  <si>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</si>
  <si>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</si>
  <si>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</si>
  <si>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</si>
  <si>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</si>
  <si>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</si>
  <si>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</si>
  <si>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</si>
  <si>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</si>
  <si>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</si>
  <si>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</si>
  <si>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</si>
  <si>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</si>
  <si>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</si>
  <si>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</si>
  <si>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</si>
  <si>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</si>
  <si>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</si>
  <si>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</si>
  <si>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</si>
  <si>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</si>
  <si>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</si>
  <si>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</si>
  <si>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</si>
  <si>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</si>
  <si>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</si>
  <si>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</si>
  <si>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</si>
  <si>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</si>
  <si>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</si>
  <si>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</si>
  <si>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</si>
  <si>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</si>
  <si>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</si>
  <si>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</si>
  <si>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</si>
  <si>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</si>
  <si>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</si>
  <si>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</si>
  <si>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</si>
  <si>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</si>
  <si>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</si>
  <si>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</si>
  <si>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</si>
  <si>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</si>
  <si>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</si>
  <si>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</si>
  <si>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</si>
  <si>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</si>
  <si>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</si>
  <si>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</si>
  <si>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08.07.2025</t>
  </si>
  <si>
    <t>09.07.2025</t>
  </si>
  <si>
    <t>МИНИСТЕРСТВО ФИНАНСОВ РК, ГЦБ, MUM108_0012</t>
  </si>
  <si>
    <t>KZKD00000915</t>
  </si>
  <si>
    <t>МИНИСТЕРСТВО ФИНАНСОВ РК, ГЦБ, MOM048_0052</t>
  </si>
  <si>
    <t>KZK200000687</t>
  </si>
  <si>
    <t>10.07.2025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</si>
  <si>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</si>
  <si>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</si>
  <si>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MUM180_0009</t>
  </si>
  <si>
    <t>KZKD00000717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</si>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</sst>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28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97.194299999999998</v>
      </c>
      <c r="J4" s="11">
        <v>102.173633333333</v>
      </c>
      <c r="K4" s="11">
        <v>150375866.66666701</v>
      </c>
      <c r="L4" s="11">
        <v>3085643726.666666</v>
      </c>
      <c r="M4" s="6">
        <f t="shared" ref="M4:M22" si="0">L4/$L$24</f>
        <v>0.10145841355214651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82.725099999999998</v>
      </c>
      <c r="J5" s="11">
        <v>92.718294444444439</v>
      </c>
      <c r="K5" s="11">
        <v>226345854.16666701</v>
      </c>
      <c r="L5" s="11">
        <v>2100069369.166666</v>
      </c>
      <c r="M5" s="6">
        <f t="shared" si="0"/>
        <v>6.905194682837873E-2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82.725099999999998</v>
      </c>
      <c r="J6" s="11">
        <v>92.718294444444723</v>
      </c>
      <c r="K6" s="11">
        <v>155059001.869445</v>
      </c>
      <c r="L6" s="11">
        <v>1438659707.0154481</v>
      </c>
      <c r="M6" s="6">
        <f t="shared" si="0"/>
        <v>4.7304272445239229E-2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82.725099999999998</v>
      </c>
      <c r="J7" s="11">
        <v>92.718294444444439</v>
      </c>
      <c r="K7" s="11">
        <v>54532062.627777778</v>
      </c>
      <c r="L7" s="11">
        <v>505956315.31977803</v>
      </c>
      <c r="M7" s="6">
        <f t="shared" si="0"/>
        <v>1.6636245019281095E-2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85.788300000000007</v>
      </c>
      <c r="J8" s="11">
        <v>88.301633333333328</v>
      </c>
      <c r="K8" s="11">
        <v>56926999.999999993</v>
      </c>
      <c r="L8" s="11">
        <v>2000031994.999999</v>
      </c>
      <c r="M8" s="6">
        <f t="shared" si="0"/>
        <v>6.5762638606837259E-2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84.512500000000003</v>
      </c>
      <c r="J9" s="11">
        <v>87.53749999999998</v>
      </c>
      <c r="K9" s="11">
        <v>68516249.999999985</v>
      </c>
      <c r="L9" s="11">
        <v>1982724374.999999</v>
      </c>
      <c r="M9" s="6">
        <f t="shared" si="0"/>
        <v>6.5193550331224717E-2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78.614500000000007</v>
      </c>
      <c r="J10" s="11">
        <v>81.81894444444444</v>
      </c>
      <c r="K10" s="11">
        <v>72580666.666666657</v>
      </c>
      <c r="L10" s="11">
        <v>1853199091.666666</v>
      </c>
      <c r="M10" s="6">
        <f t="shared" si="0"/>
        <v>6.0934656263733469E-2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69.713000000000008</v>
      </c>
      <c r="J11" s="11">
        <v>71.661194444444433</v>
      </c>
      <c r="K11" s="11">
        <v>44126604.166666657</v>
      </c>
      <c r="L11" s="11">
        <v>1623126054.166666</v>
      </c>
      <c r="M11" s="6">
        <f t="shared" si="0"/>
        <v>5.3369672275419916E-2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78.018300000000011</v>
      </c>
      <c r="J12" s="11">
        <v>88.165383333333324</v>
      </c>
      <c r="K12" s="11">
        <v>229831437.5</v>
      </c>
      <c r="L12" s="11">
        <v>1996945932.5</v>
      </c>
      <c r="M12" s="6">
        <f t="shared" si="0"/>
        <v>6.5661166423685746E-2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64.27940000000001</v>
      </c>
      <c r="J13" s="11">
        <v>65.557149999999993</v>
      </c>
      <c r="K13" s="11">
        <v>28941037.5</v>
      </c>
      <c r="L13" s="11">
        <v>1484869447.5</v>
      </c>
      <c r="M13" s="6">
        <f t="shared" si="0"/>
        <v>4.8823685370231622E-2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63.045500000000004</v>
      </c>
      <c r="J14" s="11">
        <v>66.632166666666663</v>
      </c>
      <c r="K14" s="11">
        <v>81238000</v>
      </c>
      <c r="L14" s="11">
        <v>1509218575</v>
      </c>
      <c r="M14" s="6">
        <f t="shared" si="0"/>
        <v>4.962430399842227E-2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83.3185</v>
      </c>
      <c r="J15" s="11">
        <v>84.874000000000009</v>
      </c>
      <c r="K15" s="11">
        <v>58720125</v>
      </c>
      <c r="L15" s="11">
        <v>3203993500</v>
      </c>
      <c r="M15" s="6">
        <f t="shared" si="0"/>
        <v>0.10534984798538473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58.192900000000002</v>
      </c>
      <c r="J16" s="11">
        <v>59.33873333333333</v>
      </c>
      <c r="K16" s="11">
        <v>32127562.5</v>
      </c>
      <c r="L16" s="11">
        <v>1663775008.4400001</v>
      </c>
      <c r="M16" s="6">
        <f t="shared" si="0"/>
        <v>5.470624213845509E-2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85.714700000000008</v>
      </c>
      <c r="J17" s="11">
        <v>89.781366666666656</v>
      </c>
      <c r="K17" s="11">
        <v>42231520</v>
      </c>
      <c r="L17" s="11">
        <v>932361536.55999994</v>
      </c>
      <c r="M17" s="6">
        <f t="shared" si="0"/>
        <v>3.0656786957906038E-2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97.430400000000006</v>
      </c>
      <c r="J18" s="11">
        <v>99.604983333333323</v>
      </c>
      <c r="K18" s="11">
        <v>11024898.295833331</v>
      </c>
      <c r="L18" s="11">
        <v>504986308.95183301</v>
      </c>
      <c r="M18" s="6">
        <f t="shared" si="0"/>
        <v>1.660435044040387E-2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94.155087789933802</v>
      </c>
      <c r="J19" s="11">
        <v>106.310087789934</v>
      </c>
      <c r="K19" s="11">
        <v>255255000</v>
      </c>
      <c r="L19" s="11">
        <v>2232511843.5886092</v>
      </c>
      <c r="M19" s="6">
        <f t="shared" si="0"/>
        <v>7.3406760453050543E-2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99.508300000000006</v>
      </c>
      <c r="J20" s="11">
        <v>104.09310555555601</v>
      </c>
      <c r="K20" s="11">
        <v>50432861.111111112</v>
      </c>
      <c r="L20" s="11">
        <v>1145024161.1111109</v>
      </c>
      <c r="M20" s="6">
        <f t="shared" si="0"/>
        <v>3.7649302756902661E-2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97.421330666575003</v>
      </c>
      <c r="J21" s="11">
        <v>99.00324733324166</v>
      </c>
      <c r="K21" s="11">
        <v>15819166.66666666</v>
      </c>
      <c r="L21" s="11">
        <v>990032473.33241701</v>
      </c>
      <c r="M21" s="6">
        <f t="shared" si="0"/>
        <v>3.2553053108929399E-2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95.456296231371496</v>
      </c>
      <c r="J22" s="11">
        <v>96.393796231358081</v>
      </c>
      <c r="K22" s="11">
        <v>1553803.12497778</v>
      </c>
      <c r="L22" s="11">
        <v>159762113.935891</v>
      </c>
      <c r="M22" s="6">
        <f t="shared" si="0"/>
        <v>5.2531050443672348E-3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1635638717.8624792</v>
      </c>
      <c r="L24" s="22">
        <f>SUM(L4:L23)</f>
        <v>30412891534.921745</v>
      </c>
      <c r="M24" s="23"/>
      <c r="N24" s="26">
        <v>30412891534.921772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6239077</v>
      </c>
      <c r="C27" s="51">
        <v>6239077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14907100</v>
      </c>
      <c r="D32" s="7" t="s">
        <v>51</v>
      </c>
      <c r="E32" s="34" t="s">
        <v>52</v>
      </c>
      <c r="F32" s="34" t="s">
        <v>53</v>
      </c>
      <c r="G32" s="15">
        <v>87.211500000000001</v>
      </c>
      <c r="H32" s="15">
        <v>87.248654488129802</v>
      </c>
      <c r="I32" s="16">
        <f t="shared" ref="I32:I38" si="1">+C32*G32</f>
        <v>1300070551.6500001</v>
      </c>
      <c r="J32" s="16">
        <f t="shared" ref="J32:J38" si="2">+C32*H32</f>
        <v>1300624417.3199997</v>
      </c>
      <c r="K32" s="18">
        <v>0.1555</v>
      </c>
      <c r="L32" s="17">
        <v>553865.67000000004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14907100</v>
      </c>
      <c r="D33" s="7" t="s">
        <v>51</v>
      </c>
      <c r="E33" s="34" t="s">
        <v>53</v>
      </c>
      <c r="F33" s="34" t="s">
        <v>53</v>
      </c>
      <c r="G33" s="15">
        <v>87.211500000000001</v>
      </c>
      <c r="H33" s="15">
        <v>87.248654488129802</v>
      </c>
      <c r="I33" s="16">
        <f t="shared" si="1"/>
        <v>1300070551.6500001</v>
      </c>
      <c r="J33" s="16">
        <f t="shared" si="2"/>
        <v>1300624417.3199997</v>
      </c>
      <c r="K33" s="18">
        <v>0.1555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15050</v>
      </c>
      <c r="D34" s="7" t="s">
        <v>51</v>
      </c>
      <c r="E34" s="34" t="s">
        <v>52</v>
      </c>
      <c r="F34" s="34" t="s">
        <v>53</v>
      </c>
      <c r="G34" s="15">
        <v>930.53500000000008</v>
      </c>
      <c r="H34" s="15">
        <v>930.93043920265802</v>
      </c>
      <c r="I34" s="16">
        <f t="shared" si="1"/>
        <v>14004551.750000002</v>
      </c>
      <c r="J34" s="16">
        <f t="shared" si="2"/>
        <v>14010503.110000003</v>
      </c>
      <c r="K34" s="18">
        <v>0.15511</v>
      </c>
      <c r="L34" s="17">
        <v>5951.36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15050</v>
      </c>
      <c r="D35" s="7" t="s">
        <v>51</v>
      </c>
      <c r="E35" s="34" t="s">
        <v>53</v>
      </c>
      <c r="F35" s="34" t="s">
        <v>53</v>
      </c>
      <c r="G35" s="15">
        <v>930.53500000000008</v>
      </c>
      <c r="H35" s="15">
        <v>930.93043920265802</v>
      </c>
      <c r="I35" s="16">
        <f t="shared" si="1"/>
        <v>14004551.750000002</v>
      </c>
      <c r="J35" s="16">
        <f t="shared" si="2"/>
        <v>14010503.110000003</v>
      </c>
      <c r="K35" s="18">
        <v>0.15511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44055</v>
      </c>
      <c r="D36" s="7" t="s">
        <v>51</v>
      </c>
      <c r="E36" s="34" t="s">
        <v>53</v>
      </c>
      <c r="F36" s="34" t="s">
        <v>58</v>
      </c>
      <c r="G36" s="15">
        <v>1021.7360000000001</v>
      </c>
      <c r="H36" s="15">
        <v>1022.170444898422</v>
      </c>
      <c r="I36" s="16">
        <f t="shared" si="1"/>
        <v>45012579.480000004</v>
      </c>
      <c r="J36" s="16">
        <f t="shared" si="2"/>
        <v>45031718.949999981</v>
      </c>
      <c r="K36" s="18">
        <v>0.155199</v>
      </c>
      <c r="L36" s="17"/>
      <c r="M36" s="17">
        <v>45012579.479999997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7984</v>
      </c>
      <c r="D37" s="7" t="s">
        <v>51</v>
      </c>
      <c r="E37" s="34" t="s">
        <v>53</v>
      </c>
      <c r="F37" s="34" t="s">
        <v>58</v>
      </c>
      <c r="G37" s="15">
        <v>1002.595</v>
      </c>
      <c r="H37" s="15">
        <v>1003.021062124248</v>
      </c>
      <c r="I37" s="16">
        <f t="shared" si="1"/>
        <v>8004718.4800000004</v>
      </c>
      <c r="J37" s="16">
        <f t="shared" si="2"/>
        <v>8008120.1599999964</v>
      </c>
      <c r="K37" s="18">
        <v>0.15511</v>
      </c>
      <c r="L37" s="17"/>
      <c r="M37" s="17">
        <v>8004718.4800000004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1572467</v>
      </c>
      <c r="D38" s="7" t="s">
        <v>51</v>
      </c>
      <c r="E38" s="34" t="s">
        <v>53</v>
      </c>
      <c r="F38" s="34" t="s">
        <v>58</v>
      </c>
      <c r="G38" s="15">
        <v>802.26700000063602</v>
      </c>
      <c r="H38" s="15">
        <v>802.60812612919699</v>
      </c>
      <c r="I38" s="16">
        <f t="shared" si="1"/>
        <v>1261538382.6900001</v>
      </c>
      <c r="J38" s="16">
        <f t="shared" si="2"/>
        <v>1262074792.27</v>
      </c>
      <c r="K38" s="18">
        <v>0.155199</v>
      </c>
      <c r="L38" s="17"/>
      <c r="M38" s="17">
        <v>1261538382.6900001</v>
      </c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1314555680.6500001</v>
      </c>
      <c r="N40" s="38">
        <v>1314555680.6500001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31733686292.571747</v>
      </c>
      <c r="C47" s="32">
        <v>31733686292.571774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133103.29999999999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50">
        <v>17830.95</v>
      </c>
    </row>
    <row r="57" spans="1:2" x14ac:dyDescent="0.25">
      <c r="A57" s="48" t="s">
        <v>41</v>
      </c>
      <c r="B57" s="50">
        <v>8859.9000000000015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159794.15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2025-07-10T05:27:58Z</dcterms:created>
  <dcterms:modified xsi:type="dcterms:W3CDTF">2025-07-10T11:59:15Z</dcterms:modified>
</cp:coreProperties>
</file>