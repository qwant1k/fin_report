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3634D239-39CC-49E0-A367-2BCA81D093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J33" i="1"/>
  <c r="I33" i="1"/>
  <c r="J32" i="1"/>
  <c r="I32" i="1"/>
  <c r="L24" i="1"/>
  <c r="B42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<sst xmlns="http://schemas.openxmlformats.org/spreadsheetml/2006/main" count="140" uniqueCount="117">
  <si>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</si>
  <si>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</si>
  <si>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</si>
  <si>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</si>
  <si>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</si>
  <si>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</si>
  <si>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</si>
  <si>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</si>
  <si>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</si>
  <si>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</si>
  <si>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</si>
  <si>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</si>
  <si>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</si>
  <si>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</si>
  <si>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</si>
  <si>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</si>
  <si>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</si>
  <si>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</si>
  <si>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</si>
  <si>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</si>
  <si>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</si>
  <si>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</si>
  <si>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</si>
  <si>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</si>
  <si>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</si>
  <si>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</si>
  <si>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</si>
  <si>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</si>
  <si>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</si>
  <si>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</si>
  <si>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</si>
  <si>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</si>
  <si>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</si>
  <si>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</si>
  <si>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</si>
  <si>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</si>
  <si>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</si>
  <si>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</si>
  <si>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</si>
  <si>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</si>
  <si>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</si>
  <si>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</si>
  <si>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</si>
  <si>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</si>
  <si>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</si>
  <si>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</si>
  <si>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</si>
  <si>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</si>
  <si>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</si>
  <si>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MUM180_0009</t>
  </si>
  <si>
    <t>KZKD00000717</t>
  </si>
  <si>
    <t>KZT</t>
  </si>
  <si>
    <t>18.07.2025</t>
  </si>
  <si>
    <t>21.07.2025</t>
  </si>
  <si>
    <t>МИНИСТЕРСТВО ФИНАНСОВ РК, ГЦБ, MUM156_0005</t>
  </si>
  <si>
    <t>KZKD00000758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</si>
  <si>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</si>
  <si>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</si>
  <si>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</si>
  <si>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</si>
  <si>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</si>
  <si>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</si>
  <si>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</si>
  <si>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</si>
  <si>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</si>
  <si>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</si>
  <si>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</si>
  <si>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</si>
  <si>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</si>
  <si>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</si>
  <si>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</si>
  <si>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</si>
  <si>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</si>
  <si>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</si>
  <si>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</si>
  <si>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</si>
  <si>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</si>
  <si>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</si>
  <si>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</si>
  <si>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</si>
  <si>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</si>
  <si>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</si>
  <si>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</si>
  <si>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</si>
  <si>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</si>
  <si>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</si>
  <si>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</si>
  <si>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</si>
  <si>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</si>
  <si>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</si>
  <si>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</si>
  <si>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</si>
  <si>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</si>
  <si>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</si>
  <si>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</si>
  <si>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</si>
  <si>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</si>
  <si>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</si>
  <si>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</si>
  <si>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</si>
  <si>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</si>
  <si>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</si>
  <si>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</si>
  <si>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</si>
  <si>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</si>
  <si>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</si>
  <si>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</si>
  <si>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</si>
  <si>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</si>
  <si>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</si>
  <si>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</si>
  <si>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</si>
  <si>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</si>
  <si>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</si>
  <si>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</si>
  <si>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</si>
  <si>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20.07.2025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</si>
</sst>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6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97.180500000000009</v>
      </c>
      <c r="J4" s="11">
        <v>102.48586111111101</v>
      </c>
      <c r="K4" s="11">
        <v>160221905.555556</v>
      </c>
      <c r="L4" s="11">
        <v>3095073005.5555549</v>
      </c>
      <c r="M4" s="6">
        <f t="shared" ref="M4:M22" si="0">L4/$L$24</f>
        <v>0.10121357898838503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82.685600000000008</v>
      </c>
      <c r="J5" s="11">
        <v>93.001155555555542</v>
      </c>
      <c r="K5" s="11">
        <v>233647333.33333299</v>
      </c>
      <c r="L5" s="11">
        <v>2106476173.333333</v>
      </c>
      <c r="M5" s="6">
        <f t="shared" si="0"/>
        <v>6.8884963997337109E-2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82.685600000000008</v>
      </c>
      <c r="J6" s="11">
        <v>93.00115555555584</v>
      </c>
      <c r="K6" s="11">
        <v>160060905.15555599</v>
      </c>
      <c r="L6" s="11">
        <v>1443048710.1315601</v>
      </c>
      <c r="M6" s="6">
        <f t="shared" si="0"/>
        <v>4.7189880285480122E-2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82.685600000000008</v>
      </c>
      <c r="J7" s="11">
        <v>93.001155555555542</v>
      </c>
      <c r="K7" s="11">
        <v>56291161.422222227</v>
      </c>
      <c r="L7" s="11">
        <v>507499865.77422202</v>
      </c>
      <c r="M7" s="6">
        <f t="shared" si="0"/>
        <v>1.6596014911097072E-2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85.484099999999998</v>
      </c>
      <c r="J8" s="11">
        <v>88.315211111111111</v>
      </c>
      <c r="K8" s="11">
        <v>64124666.666666657</v>
      </c>
      <c r="L8" s="11">
        <v>2000339531.666666</v>
      </c>
      <c r="M8" s="6">
        <f t="shared" si="0"/>
        <v>6.5414134926226747E-2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84.364500000000007</v>
      </c>
      <c r="J9" s="11">
        <v>87.725611111111107</v>
      </c>
      <c r="K9" s="11">
        <v>76129166.666666657</v>
      </c>
      <c r="L9" s="11">
        <v>1986985091.666666</v>
      </c>
      <c r="M9" s="6">
        <f t="shared" si="0"/>
        <v>6.4977424494724975E-2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78.914600000000007</v>
      </c>
      <c r="J10" s="11">
        <v>82.433766666666656</v>
      </c>
      <c r="K10" s="11">
        <v>79709125</v>
      </c>
      <c r="L10" s="11">
        <v>1867124815</v>
      </c>
      <c r="M10" s="6">
        <f t="shared" si="0"/>
        <v>6.1057811755963837E-2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70.242199999999997</v>
      </c>
      <c r="J11" s="11">
        <v>72.448588888888878</v>
      </c>
      <c r="K11" s="11">
        <v>49974708.333333328</v>
      </c>
      <c r="L11" s="11">
        <v>1640960538.333333</v>
      </c>
      <c r="M11" s="6">
        <f t="shared" si="0"/>
        <v>5.366189707490001E-2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78.606300000000005</v>
      </c>
      <c r="J12" s="11">
        <v>89.078800000000001</v>
      </c>
      <c r="K12" s="11">
        <v>237202125</v>
      </c>
      <c r="L12" s="11">
        <v>2017634820</v>
      </c>
      <c r="M12" s="6">
        <f t="shared" si="0"/>
        <v>6.5979717072014804E-2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65.101600000000005</v>
      </c>
      <c r="J13" s="11">
        <v>66.625933333333322</v>
      </c>
      <c r="K13" s="11">
        <v>34526150</v>
      </c>
      <c r="L13" s="11">
        <v>1509077390</v>
      </c>
      <c r="M13" s="6">
        <f t="shared" si="0"/>
        <v>4.9349118207612286E-2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63.952100000000002</v>
      </c>
      <c r="J14" s="11">
        <v>67.785349999999994</v>
      </c>
      <c r="K14" s="11">
        <v>86823112.5</v>
      </c>
      <c r="L14" s="11">
        <v>1535338177.5</v>
      </c>
      <c r="M14" s="6">
        <f t="shared" si="0"/>
        <v>5.0207885766618977E-2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83.106800000000007</v>
      </c>
      <c r="J15" s="11">
        <v>84.83005</v>
      </c>
      <c r="K15" s="11">
        <v>65052687.5</v>
      </c>
      <c r="L15" s="11">
        <v>3202334387.5</v>
      </c>
      <c r="M15" s="6">
        <f t="shared" si="0"/>
        <v>0.10472118877153093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58.753600000000006</v>
      </c>
      <c r="J16" s="11">
        <v>60.067488888888874</v>
      </c>
      <c r="K16" s="11">
        <v>36839605</v>
      </c>
      <c r="L16" s="11">
        <v>1684208293.96</v>
      </c>
      <c r="M16" s="6">
        <f t="shared" si="0"/>
        <v>5.5076164241565549E-2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85.755900000000011</v>
      </c>
      <c r="J17" s="11">
        <v>90.18923333333332</v>
      </c>
      <c r="K17" s="11">
        <v>46039280</v>
      </c>
      <c r="L17" s="11">
        <v>936597150.32000005</v>
      </c>
      <c r="M17" s="6">
        <f t="shared" si="0"/>
        <v>3.0628146568450341E-2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96.977699999999999</v>
      </c>
      <c r="J18" s="11">
        <v>99.621311111111112</v>
      </c>
      <c r="K18" s="11">
        <v>13402817.536111111</v>
      </c>
      <c r="L18" s="11">
        <v>505069088.98911101</v>
      </c>
      <c r="M18" s="6">
        <f t="shared" si="0"/>
        <v>1.6516524825499299E-2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93.962578288753889</v>
      </c>
      <c r="J19" s="11">
        <v>106.554522733198</v>
      </c>
      <c r="K19" s="11">
        <v>264430833.33333299</v>
      </c>
      <c r="L19" s="11">
        <v>2237644977.3971648</v>
      </c>
      <c r="M19" s="6">
        <f t="shared" si="0"/>
        <v>7.3174382724164072E-2</v>
      </c>
    </row>
    <row r="20" spans="1:15" x14ac:dyDescent="0.25">
      <c r="A20" s="1" t="s">
        <v>104</v>
      </c>
      <c r="B20" s="13" t="s">
        <v>105</v>
      </c>
      <c r="C20" s="10">
        <v>1100000</v>
      </c>
      <c r="D20" s="11">
        <v>1100000000</v>
      </c>
      <c r="E20" s="3">
        <v>0.13870000000000002</v>
      </c>
      <c r="F20" s="4" t="s">
        <v>106</v>
      </c>
      <c r="G20" s="4" t="s">
        <v>107</v>
      </c>
      <c r="H20" s="11">
        <v>1100000000</v>
      </c>
      <c r="I20" s="11">
        <v>99.57480000000001</v>
      </c>
      <c r="J20" s="11">
        <v>104.583411111111</v>
      </c>
      <c r="K20" s="11">
        <v>55094722.222222216</v>
      </c>
      <c r="L20" s="11">
        <v>1150417522.2222221</v>
      </c>
      <c r="M20" s="6">
        <f t="shared" si="0"/>
        <v>3.7620396852048044E-2</v>
      </c>
    </row>
    <row r="21" spans="1:15" x14ac:dyDescent="0.25">
      <c r="A21" s="1" t="s">
        <v>108</v>
      </c>
      <c r="B21" s="13" t="s">
        <v>109</v>
      </c>
      <c r="C21" s="10">
        <v>1000000</v>
      </c>
      <c r="D21" s="11">
        <v>1000000000</v>
      </c>
      <c r="E21" s="3">
        <v>0.1389</v>
      </c>
      <c r="F21" s="4" t="s">
        <v>110</v>
      </c>
      <c r="G21" s="4" t="s">
        <v>111</v>
      </c>
      <c r="H21" s="11">
        <v>1000000000</v>
      </c>
      <c r="I21" s="11">
        <v>97.397859206173791</v>
      </c>
      <c r="J21" s="11">
        <v>99.404192539507122</v>
      </c>
      <c r="K21" s="11">
        <v>20063333.333333328</v>
      </c>
      <c r="L21" s="11">
        <v>994041925.39507103</v>
      </c>
      <c r="M21" s="6">
        <f t="shared" si="0"/>
        <v>3.2506677791815486E-2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95.067477905816091</v>
      </c>
      <c r="J22" s="11">
        <v>96.386922350247119</v>
      </c>
      <c r="K22" s="11">
        <v>2186834.0277555599</v>
      </c>
      <c r="L22" s="11">
        <v>159750721.23407599</v>
      </c>
      <c r="M22" s="6">
        <f t="shared" si="0"/>
        <v>5.2240907445652834E-3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1741820472.5860889</v>
      </c>
      <c r="L24" s="22">
        <f>SUM(L4:L23)</f>
        <v>30579622185.978981</v>
      </c>
      <c r="M24" s="23"/>
      <c r="N24" s="26">
        <v>30579622185.979004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4196343.1100000003</v>
      </c>
      <c r="C27" s="51">
        <v>4196343.1100000003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1619800</v>
      </c>
      <c r="D32" s="7" t="s">
        <v>51</v>
      </c>
      <c r="E32" s="34" t="s">
        <v>52</v>
      </c>
      <c r="F32" s="34" t="s">
        <v>53</v>
      </c>
      <c r="G32" s="15">
        <v>802.97700000000009</v>
      </c>
      <c r="H32" s="15">
        <v>804.01316371774305</v>
      </c>
      <c r="I32" s="16">
        <f>+C32*G32</f>
        <v>1300662144.6000001</v>
      </c>
      <c r="J32" s="16">
        <f>+C32*H32</f>
        <v>1302340522.5900002</v>
      </c>
      <c r="K32" s="18">
        <v>0.156999</v>
      </c>
      <c r="L32" s="17">
        <v>559459.32999999996</v>
      </c>
      <c r="M32" s="17">
        <v>1301781063.26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24759</v>
      </c>
      <c r="D33" s="7" t="s">
        <v>51</v>
      </c>
      <c r="E33" s="34" t="s">
        <v>52</v>
      </c>
      <c r="F33" s="34" t="s">
        <v>53</v>
      </c>
      <c r="G33" s="15">
        <v>848.50799991922099</v>
      </c>
      <c r="H33" s="15">
        <v>849.60291691910004</v>
      </c>
      <c r="I33" s="16">
        <f>+C33*G33</f>
        <v>21008209.569999993</v>
      </c>
      <c r="J33" s="16">
        <f>+C33*H33</f>
        <v>21035318.619999997</v>
      </c>
      <c r="K33" s="18">
        <v>0.156999</v>
      </c>
      <c r="L33" s="17">
        <v>9036.35</v>
      </c>
      <c r="M33" s="17">
        <v>21026282.27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1322807345.53</v>
      </c>
      <c r="N35" s="38">
        <v>1322807345.53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31906625874.61898</v>
      </c>
      <c r="C42" s="32">
        <v>31906625874.619003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293055.17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39710.540000000008</v>
      </c>
    </row>
    <row r="52" spans="1:2" x14ac:dyDescent="0.25">
      <c r="A52" s="48" t="s">
        <v>41</v>
      </c>
      <c r="B52" s="50">
        <v>19761.400000000001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352527.11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2025-07-21T06:54:00Z</dcterms:created>
  <dcterms:modified xsi:type="dcterms:W3CDTF">2025-07-21T11:20:43Z</dcterms:modified>
</cp:coreProperties>
</file>