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E16D3600-FB47-40A2-A287-AEB8F13B6F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7" i="1" l="1"/>
  <c r="O40" i="1"/>
  <c r="O24" i="1"/>
  <c r="D27" i="1"/>
  <c r="B61" i="1"/>
  <c r="G45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9" i="1"/>
  <c r="M15" i="1"/>
  <c r="M11" i="1"/>
  <c r="M7" i="1"/>
  <c r="M4" i="1"/>
  <c r="M5" i="1" l="1"/>
  <c r="M9" i="1"/>
  <c r="M13" i="1"/>
  <c r="M17" i="1"/>
  <c r="M21" i="1"/>
  <c r="B47" i="1"/>
  <c r="M8" i="1"/>
  <c r="M12" i="1"/>
  <c r="M16" i="1"/>
  <c r="M20" i="1"/>
  <c r="M6" i="1"/>
  <c r="M10" i="1"/>
  <c r="M14" i="1"/>
  <c r="M18" i="1"/>
</calcChain>
</file>

<file path=xl/sharedStrings.xml><?xml version="1.0" encoding="utf-8"?>
<sst xmlns="http://schemas.openxmlformats.org/spreadsheetml/2006/main" count="165" uniqueCount="117">
  <si>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</si>
  <si>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</si>
  <si>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</si>
  <si>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</si>
  <si>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</si>
  <si>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</si>
  <si>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</si>
  <si>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</si>
  <si>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</si>
  <si>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</si>
  <si>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</si>
  <si>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</si>
  <si>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</si>
  <si>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</si>
  <si>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</si>
  <si>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</si>
  <si>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</si>
  <si>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</si>
  <si>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</si>
  <si>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</si>
  <si>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</si>
  <si>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</si>
  <si>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</si>
  <si>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</si>
  <si>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</si>
  <si>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</si>
  <si>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</si>
  <si>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</si>
  <si>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</si>
  <si>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</si>
  <si>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</si>
  <si>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</si>
  <si>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</si>
  <si>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</si>
  <si>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</si>
  <si>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</si>
  <si>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</si>
  <si>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</si>
  <si>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</si>
  <si>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</si>
  <si>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</si>
  <si>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</si>
  <si>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</si>
  <si>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</si>
  <si>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</si>
  <si>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</si>
  <si>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</si>
  <si>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</si>
  <si>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</si>
  <si>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MKM012_0161</t>
  </si>
  <si>
    <t>KZK100000423</t>
  </si>
  <si>
    <t>KZT</t>
  </si>
  <si>
    <t>16.07.2025</t>
  </si>
  <si>
    <t>17.07.2025</t>
  </si>
  <si>
    <t>МИНИСТЕРСТВО ФИНАНСОВ РК, ОБЛИГАЦИИ, KZ_14_2609</t>
  </si>
  <si>
    <t>XS2050933899</t>
  </si>
  <si>
    <t>МИНИСТЕРСТВО ФИНАНСОВ РК, ГЦБ, MUM072_0015</t>
  </si>
  <si>
    <t>KZKD00001251</t>
  </si>
  <si>
    <t>15.07.2025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</si>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</sst>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16" zoomScale="90" zoomScaleNormal="90" workbookViewId="0">
      <selection activeCell="D48" sqref="D48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97.198700000000002</v>
      </c>
      <c r="J4" s="11">
        <v>102.38550555555601</v>
      </c>
      <c r="K4" s="11">
        <v>156641527.777778</v>
      </c>
      <c r="L4" s="11">
        <v>3092042267.7777772</v>
      </c>
      <c r="M4" s="6">
        <f t="shared" ref="M4:M22" si="0">L4/$L$24</f>
        <v>0.10129997488182098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82.640300000000011</v>
      </c>
      <c r="J5" s="11">
        <v>92.83863333333332</v>
      </c>
      <c r="K5" s="11">
        <v>230992250</v>
      </c>
      <c r="L5" s="11">
        <v>2102795044.999999</v>
      </c>
      <c r="M5" s="6">
        <f t="shared" si="0"/>
        <v>6.8890741714604076E-2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82.640300000000011</v>
      </c>
      <c r="J6" s="11">
        <v>92.838633333333604</v>
      </c>
      <c r="K6" s="11">
        <v>158242031.233334</v>
      </c>
      <c r="L6" s="11">
        <v>1440526940.571337</v>
      </c>
      <c r="M6" s="6">
        <f t="shared" si="0"/>
        <v>4.7193838330463082E-2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82.640300000000011</v>
      </c>
      <c r="J7" s="11">
        <v>92.83863333333332</v>
      </c>
      <c r="K7" s="11">
        <v>55651489.13333334</v>
      </c>
      <c r="L7" s="11">
        <v>506612995.00933301</v>
      </c>
      <c r="M7" s="6">
        <f t="shared" si="0"/>
        <v>1.6597406899658156E-2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85.481400000000008</v>
      </c>
      <c r="J8" s="11">
        <v>88.196955555555547</v>
      </c>
      <c r="K8" s="11">
        <v>61507333.333333328</v>
      </c>
      <c r="L8" s="11">
        <v>1997661043.333333</v>
      </c>
      <c r="M8" s="6">
        <f t="shared" si="0"/>
        <v>6.5446393026669519E-2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84.336500000000001</v>
      </c>
      <c r="J9" s="11">
        <v>87.575388888888881</v>
      </c>
      <c r="K9" s="11">
        <v>73360833.333333328</v>
      </c>
      <c r="L9" s="11">
        <v>1983582558.333333</v>
      </c>
      <c r="M9" s="6">
        <f t="shared" si="0"/>
        <v>6.498516059406792E-2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78.836300000000008</v>
      </c>
      <c r="J10" s="11">
        <v>82.241022222222213</v>
      </c>
      <c r="K10" s="11">
        <v>77116958.333333328</v>
      </c>
      <c r="L10" s="11">
        <v>1862759153.333333</v>
      </c>
      <c r="M10" s="6">
        <f t="shared" si="0"/>
        <v>6.1026803355816964E-2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70.141900000000007</v>
      </c>
      <c r="J11" s="11">
        <v>72.25439999999999</v>
      </c>
      <c r="K11" s="11">
        <v>47848124.999999993</v>
      </c>
      <c r="L11" s="11">
        <v>1636562159.999999</v>
      </c>
      <c r="M11" s="6">
        <f t="shared" si="0"/>
        <v>5.3616248208562117E-2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78.496000000000009</v>
      </c>
      <c r="J12" s="11">
        <v>88.850166666666652</v>
      </c>
      <c r="K12" s="11">
        <v>234521875</v>
      </c>
      <c r="L12" s="11">
        <v>2012456275</v>
      </c>
      <c r="M12" s="6">
        <f t="shared" si="0"/>
        <v>6.5931107162638058E-2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64.975800000000007</v>
      </c>
      <c r="J13" s="11">
        <v>66.41046666666665</v>
      </c>
      <c r="K13" s="11">
        <v>32495200</v>
      </c>
      <c r="L13" s="11">
        <v>1504197070</v>
      </c>
      <c r="M13" s="6">
        <f t="shared" si="0"/>
        <v>4.9279767937266697E-2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63.8185</v>
      </c>
      <c r="J14" s="11">
        <v>67.562083333333334</v>
      </c>
      <c r="K14" s="11">
        <v>84792162.5</v>
      </c>
      <c r="L14" s="11">
        <v>1530281187.5</v>
      </c>
      <c r="M14" s="6">
        <f t="shared" si="0"/>
        <v>5.0134323023754403E-2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83.106700000000004</v>
      </c>
      <c r="J15" s="11">
        <v>84.76894999999999</v>
      </c>
      <c r="K15" s="11">
        <v>62749937.5</v>
      </c>
      <c r="L15" s="11">
        <v>3200027862.5</v>
      </c>
      <c r="M15" s="6">
        <f t="shared" si="0"/>
        <v>0.10483774606527294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58.650600000000004</v>
      </c>
      <c r="J16" s="11">
        <v>59.90337777777777</v>
      </c>
      <c r="K16" s="11">
        <v>35126135</v>
      </c>
      <c r="L16" s="11">
        <v>1679606848.1600001</v>
      </c>
      <c r="M16" s="6">
        <f t="shared" si="0"/>
        <v>5.5026457206946128E-2</v>
      </c>
    </row>
    <row r="17" spans="1:15" x14ac:dyDescent="0.25">
      <c r="A17" s="1" t="s">
        <v>56</v>
      </c>
      <c r="B17" s="13" t="s">
        <v>57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96</v>
      </c>
      <c r="H17" s="11">
        <v>979029096.96000004</v>
      </c>
      <c r="I17" s="11">
        <v>85.705800000000011</v>
      </c>
      <c r="J17" s="11">
        <v>90.005800000000008</v>
      </c>
      <c r="K17" s="11">
        <v>44654640</v>
      </c>
      <c r="L17" s="11">
        <v>934692231.84000003</v>
      </c>
      <c r="M17" s="6">
        <f t="shared" si="0"/>
        <v>3.0621929264787816E-2</v>
      </c>
    </row>
    <row r="18" spans="1:15" x14ac:dyDescent="0.25">
      <c r="A18" s="1" t="s">
        <v>97</v>
      </c>
      <c r="B18" s="13" t="s">
        <v>98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97.009700000000009</v>
      </c>
      <c r="J18" s="11">
        <v>99.482755555555542</v>
      </c>
      <c r="K18" s="11">
        <v>12538119.63055555</v>
      </c>
      <c r="L18" s="11">
        <v>504366627.56355602</v>
      </c>
      <c r="M18" s="6">
        <f t="shared" si="0"/>
        <v>1.6523812509243792E-2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93.969389540830889</v>
      </c>
      <c r="J19" s="11">
        <v>106.402445096386</v>
      </c>
      <c r="K19" s="11">
        <v>261094166.66666701</v>
      </c>
      <c r="L19" s="11">
        <v>2234451347.0241151</v>
      </c>
      <c r="M19" s="6">
        <f t="shared" si="0"/>
        <v>7.3204001021263371E-2</v>
      </c>
    </row>
    <row r="20" spans="1:15" x14ac:dyDescent="0.25">
      <c r="A20" s="1" t="s">
        <v>105</v>
      </c>
      <c r="B20" s="13" t="s">
        <v>106</v>
      </c>
      <c r="C20" s="10">
        <v>1100000</v>
      </c>
      <c r="D20" s="11">
        <v>1100000000</v>
      </c>
      <c r="E20" s="3">
        <v>0.13870000000000002</v>
      </c>
      <c r="F20" s="4" t="s">
        <v>107</v>
      </c>
      <c r="G20" s="4" t="s">
        <v>108</v>
      </c>
      <c r="H20" s="11">
        <v>1100000000</v>
      </c>
      <c r="I20" s="11">
        <v>99.559899999999999</v>
      </c>
      <c r="J20" s="11">
        <v>104.4144</v>
      </c>
      <c r="K20" s="11">
        <v>53399500</v>
      </c>
      <c r="L20" s="11">
        <v>1148558400</v>
      </c>
      <c r="M20" s="6">
        <f t="shared" si="0"/>
        <v>3.7628507955010403E-2</v>
      </c>
    </row>
    <row r="21" spans="1:15" x14ac:dyDescent="0.25">
      <c r="A21" s="1" t="s">
        <v>109</v>
      </c>
      <c r="B21" s="13" t="s">
        <v>110</v>
      </c>
      <c r="C21" s="10">
        <v>1000000</v>
      </c>
      <c r="D21" s="11">
        <v>1000000000</v>
      </c>
      <c r="E21" s="3">
        <v>0.1389</v>
      </c>
      <c r="F21" s="4" t="s">
        <v>111</v>
      </c>
      <c r="G21" s="4" t="s">
        <v>112</v>
      </c>
      <c r="H21" s="11">
        <v>1000000000</v>
      </c>
      <c r="I21" s="11">
        <v>97.43916850093629</v>
      </c>
      <c r="J21" s="11">
        <v>99.29116850093628</v>
      </c>
      <c r="K21" s="11">
        <v>18519999.999999989</v>
      </c>
      <c r="L21" s="11">
        <v>992911685.00936306</v>
      </c>
      <c r="M21" s="6">
        <f t="shared" si="0"/>
        <v>3.2529286484690376E-2</v>
      </c>
    </row>
    <row r="22" spans="1:15" x14ac:dyDescent="0.25">
      <c r="A22" s="1" t="s">
        <v>113</v>
      </c>
      <c r="B22" s="13" t="s">
        <v>114</v>
      </c>
      <c r="C22" s="10">
        <v>165739</v>
      </c>
      <c r="D22" s="11">
        <v>165739000</v>
      </c>
      <c r="E22" s="3">
        <v>0.125</v>
      </c>
      <c r="F22" s="4" t="s">
        <v>115</v>
      </c>
      <c r="G22" s="4" t="s">
        <v>116</v>
      </c>
      <c r="H22" s="11">
        <v>159596381.18279999</v>
      </c>
      <c r="I22" s="11">
        <v>95.074124783299496</v>
      </c>
      <c r="J22" s="11">
        <v>96.254680338841638</v>
      </c>
      <c r="K22" s="11">
        <v>1956640.9722</v>
      </c>
      <c r="L22" s="11">
        <v>159531544.64679301</v>
      </c>
      <c r="M22" s="6">
        <f t="shared" si="0"/>
        <v>5.2264943574631883E-3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1703208925.413868</v>
      </c>
      <c r="L24" s="22">
        <f>SUM(L4:L23)</f>
        <v>30523623242.602272</v>
      </c>
      <c r="M24" s="23"/>
      <c r="N24" s="26">
        <v>30523623242.602299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2705647.03</v>
      </c>
      <c r="C27" s="51">
        <v>2705647.03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12788802</v>
      </c>
      <c r="D32" s="7" t="s">
        <v>51</v>
      </c>
      <c r="E32" s="34" t="s">
        <v>52</v>
      </c>
      <c r="F32" s="34" t="s">
        <v>53</v>
      </c>
      <c r="G32" s="15">
        <v>87.42219999965593</v>
      </c>
      <c r="H32" s="15">
        <v>87.459444252088659</v>
      </c>
      <c r="I32" s="16">
        <f t="shared" ref="I32:I38" si="1">+C32*G32</f>
        <v>1118025206.1999998</v>
      </c>
      <c r="J32" s="16">
        <f t="shared" ref="J32:J38" si="2">+C32*H32</f>
        <v>1118501515.5699999</v>
      </c>
      <c r="K32" s="18">
        <v>0.1555</v>
      </c>
      <c r="L32" s="17"/>
      <c r="M32" s="17">
        <v>1118025206.2</v>
      </c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2230605</v>
      </c>
      <c r="D33" s="7" t="s">
        <v>51</v>
      </c>
      <c r="E33" s="34" t="s">
        <v>52</v>
      </c>
      <c r="F33" s="34" t="s">
        <v>53</v>
      </c>
      <c r="G33" s="15">
        <v>87.42219999955168</v>
      </c>
      <c r="H33" s="15">
        <v>87.459444253913162</v>
      </c>
      <c r="I33" s="16">
        <f t="shared" si="1"/>
        <v>195004396.42999998</v>
      </c>
      <c r="J33" s="16">
        <f t="shared" si="2"/>
        <v>195087473.64999998</v>
      </c>
      <c r="K33" s="18">
        <v>0.1555</v>
      </c>
      <c r="L33" s="17"/>
      <c r="M33" s="17">
        <v>195004396.43000001</v>
      </c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14976</v>
      </c>
      <c r="D34" s="7" t="s">
        <v>51</v>
      </c>
      <c r="E34" s="34" t="s">
        <v>52</v>
      </c>
      <c r="F34" s="34" t="s">
        <v>53</v>
      </c>
      <c r="G34" s="15">
        <v>601.05489983974405</v>
      </c>
      <c r="H34" s="15">
        <v>601.31096554487203</v>
      </c>
      <c r="I34" s="16">
        <f t="shared" si="1"/>
        <v>9001398.1800000072</v>
      </c>
      <c r="J34" s="16">
        <f t="shared" si="2"/>
        <v>9005233.0200000033</v>
      </c>
      <c r="K34" s="18">
        <v>0.1555</v>
      </c>
      <c r="L34" s="17"/>
      <c r="M34" s="17">
        <v>9001398.1799999997</v>
      </c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1445600</v>
      </c>
      <c r="D35" s="7" t="s">
        <v>51</v>
      </c>
      <c r="E35" s="34" t="s">
        <v>58</v>
      </c>
      <c r="F35" s="34" t="s">
        <v>52</v>
      </c>
      <c r="G35" s="15">
        <v>899.70800000000008</v>
      </c>
      <c r="H35" s="15">
        <v>900.09056323326001</v>
      </c>
      <c r="I35" s="16">
        <f t="shared" si="1"/>
        <v>1300617884.8000002</v>
      </c>
      <c r="J35" s="16">
        <f t="shared" si="2"/>
        <v>1301170918.2100008</v>
      </c>
      <c r="K35" s="18">
        <v>0.15520100000000001</v>
      </c>
      <c r="L35" s="17">
        <v>553033.41</v>
      </c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1445600</v>
      </c>
      <c r="D36" s="7" t="s">
        <v>51</v>
      </c>
      <c r="E36" s="34" t="s">
        <v>52</v>
      </c>
      <c r="F36" s="34" t="s">
        <v>52</v>
      </c>
      <c r="G36" s="15">
        <v>899.70800000000008</v>
      </c>
      <c r="H36" s="15">
        <v>900.09056323326001</v>
      </c>
      <c r="I36" s="16">
        <f t="shared" si="1"/>
        <v>1300617884.8000002</v>
      </c>
      <c r="J36" s="16">
        <f t="shared" si="2"/>
        <v>1301170918.2100008</v>
      </c>
      <c r="K36" s="18">
        <v>0.15520100000000001</v>
      </c>
      <c r="L36" s="17"/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23352</v>
      </c>
      <c r="D37" s="7" t="s">
        <v>51</v>
      </c>
      <c r="E37" s="34" t="s">
        <v>58</v>
      </c>
      <c r="F37" s="34" t="s">
        <v>52</v>
      </c>
      <c r="G37" s="15">
        <v>899.70800017129204</v>
      </c>
      <c r="H37" s="15">
        <v>900.09056354916106</v>
      </c>
      <c r="I37" s="16">
        <f t="shared" si="1"/>
        <v>21009981.22000001</v>
      </c>
      <c r="J37" s="16">
        <f t="shared" si="2"/>
        <v>21018914.840000007</v>
      </c>
      <c r="K37" s="18">
        <v>0.15520100000000001</v>
      </c>
      <c r="L37" s="17">
        <v>8933.6200000000008</v>
      </c>
      <c r="M37" s="17"/>
      <c r="N37" s="35"/>
    </row>
    <row r="38" spans="1:15" s="36" customFormat="1" ht="12" customHeight="1" x14ac:dyDescent="0.25">
      <c r="A38" s="12" t="s">
        <v>56</v>
      </c>
      <c r="B38" s="7" t="s">
        <v>57</v>
      </c>
      <c r="C38" s="14">
        <v>23352</v>
      </c>
      <c r="D38" s="7" t="s">
        <v>51</v>
      </c>
      <c r="E38" s="34" t="s">
        <v>52</v>
      </c>
      <c r="F38" s="34" t="s">
        <v>52</v>
      </c>
      <c r="G38" s="15">
        <v>899.70800017129204</v>
      </c>
      <c r="H38" s="15">
        <v>900.09056354916106</v>
      </c>
      <c r="I38" s="16">
        <f t="shared" si="1"/>
        <v>21009981.22000001</v>
      </c>
      <c r="J38" s="16">
        <f t="shared" si="2"/>
        <v>21018914.840000007</v>
      </c>
      <c r="K38" s="18">
        <v>0.15520100000000001</v>
      </c>
      <c r="L38" s="17"/>
      <c r="M38" s="17"/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SUM(M32:M39)</f>
        <v>1322031000.8100002</v>
      </c>
      <c r="N40" s="38">
        <v>1322031000.8100002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hidden="1" x14ac:dyDescent="0.25">
      <c r="B44" s="41"/>
      <c r="C44" s="42"/>
      <c r="D44" s="43"/>
      <c r="G44" s="44"/>
      <c r="H44" s="33"/>
    </row>
    <row r="45" spans="1:15" x14ac:dyDescent="0.25">
      <c r="G45" s="45">
        <f>SUM(G44:G44)</f>
        <v>0</v>
      </c>
    </row>
    <row r="47" spans="1:15" x14ac:dyDescent="0.25">
      <c r="A47" s="46" t="s">
        <v>13</v>
      </c>
      <c r="B47" s="47">
        <f>+L24+B27+M40+G45</f>
        <v>31848359890.442272</v>
      </c>
      <c r="C47" s="32">
        <v>31848359890.442299</v>
      </c>
      <c r="D47" s="29">
        <f>B47-C47</f>
        <v>0</v>
      </c>
    </row>
    <row r="50" spans="1:2" x14ac:dyDescent="0.25">
      <c r="A50" s="24" t="s">
        <v>46</v>
      </c>
      <c r="B50" s="33"/>
    </row>
    <row r="51" spans="1:2" x14ac:dyDescent="0.25">
      <c r="A51" s="48" t="s">
        <v>35</v>
      </c>
      <c r="B51" s="49"/>
    </row>
    <row r="52" spans="1:2" x14ac:dyDescent="0.25">
      <c r="A52" s="48" t="s">
        <v>36</v>
      </c>
      <c r="B52" s="40"/>
    </row>
    <row r="53" spans="1:2" x14ac:dyDescent="0.25">
      <c r="A53" s="48" t="s">
        <v>37</v>
      </c>
      <c r="B53" s="40">
        <v>235634.58</v>
      </c>
    </row>
    <row r="54" spans="1:2" x14ac:dyDescent="0.25">
      <c r="A54" s="48" t="s">
        <v>38</v>
      </c>
      <c r="B54" s="40"/>
    </row>
    <row r="55" spans="1:2" x14ac:dyDescent="0.25">
      <c r="A55" s="48" t="s">
        <v>39</v>
      </c>
      <c r="B55" s="49"/>
    </row>
    <row r="56" spans="1:2" x14ac:dyDescent="0.25">
      <c r="A56" s="48" t="s">
        <v>40</v>
      </c>
      <c r="B56" s="50">
        <v>31773.7</v>
      </c>
    </row>
    <row r="57" spans="1:2" x14ac:dyDescent="0.25">
      <c r="A57" s="48" t="s">
        <v>41</v>
      </c>
      <c r="B57" s="50">
        <v>15796.140000000003</v>
      </c>
    </row>
    <row r="58" spans="1:2" x14ac:dyDescent="0.25">
      <c r="A58" s="48" t="s">
        <v>42</v>
      </c>
      <c r="B58" s="40"/>
    </row>
    <row r="59" spans="1:2" x14ac:dyDescent="0.25">
      <c r="A59" s="48" t="s">
        <v>43</v>
      </c>
      <c r="B59" s="40"/>
    </row>
    <row r="60" spans="1:2" x14ac:dyDescent="0.25">
      <c r="A60" s="48" t="s">
        <v>44</v>
      </c>
      <c r="B60" s="50"/>
    </row>
    <row r="61" spans="1:2" x14ac:dyDescent="0.25">
      <c r="A61" s="48" t="s">
        <v>45</v>
      </c>
      <c r="B61" s="49">
        <f>SUM(B51:B60)</f>
        <v>283204.42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2025-07-17T05:57:54Z</dcterms:created>
  <dcterms:modified xsi:type="dcterms:W3CDTF">2025-07-17T10:51:31Z</dcterms:modified>
</cp:coreProperties>
</file>