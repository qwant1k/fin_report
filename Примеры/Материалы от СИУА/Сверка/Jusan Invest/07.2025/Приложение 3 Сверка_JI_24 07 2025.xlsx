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894FECD7-53F9-46EA-B565-D66C9894CA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6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<sst xmlns="http://schemas.openxmlformats.org/spreadsheetml/2006/main" count="160" uniqueCount="121">
  <si>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</si>
  <si>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</si>
  <si>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</si>
  <si>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</si>
  <si>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</si>
  <si>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</si>
  <si>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</si>
  <si>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</si>
  <si>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</si>
  <si>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</si>
  <si>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</si>
  <si>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</si>
  <si>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</si>
  <si>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</si>
  <si>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</si>
  <si>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</si>
  <si>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</si>
  <si>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</si>
  <si>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</si>
  <si>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</si>
  <si>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</si>
  <si>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</si>
  <si>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</si>
  <si>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</si>
  <si>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</si>
  <si>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</si>
  <si>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</si>
  <si>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</si>
  <si>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</si>
  <si>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</si>
  <si>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</si>
  <si>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</si>
  <si>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</si>
  <si>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</si>
  <si>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</si>
  <si>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</si>
  <si>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</si>
  <si>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</si>
  <si>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</si>
  <si>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</si>
  <si>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</si>
  <si>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</si>
  <si>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</si>
  <si>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</si>
  <si>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</si>
  <si>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</si>
  <si>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</si>
  <si>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</si>
  <si>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</si>
  <si>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</si>
  <si>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</si>
  <si>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</si>
  <si>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23.07.2025</t>
  </si>
  <si>
    <t>24.07.2025</t>
  </si>
  <si>
    <t>МИНИСТЕРСТВО ФИНАНСОВ РК, ГЦБ, MUM084_0019</t>
  </si>
  <si>
    <t>KZKD00001244</t>
  </si>
  <si>
    <t>МИНИСТЕРСТВО ФИНАНСОВ РК, ГЦБ, MUM180_0009</t>
  </si>
  <si>
    <t>KZKD00000717</t>
  </si>
  <si>
    <t>25.07.2025</t>
  </si>
  <si>
    <t>АКЦИОНЕРНОЕ ОБЩЕСТВО КАЗАХСТАНСКИЙ ФОНД УСТОЙЧИВОСТИ, ОБЛИГАЦИИ, KFUSb11</t>
  </si>
  <si>
    <t>KZ2C00007334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</si>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</sst>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6" zoomScale="90" zoomScaleNormal="90" workbookViewId="0">
      <selection activeCell="J36" sqref="J3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97.579400000000007</v>
      </c>
      <c r="J4" s="11">
        <v>97.668316666666655</v>
      </c>
      <c r="K4" s="11">
        <v>2685283.3333333302</v>
      </c>
      <c r="L4" s="11">
        <v>2949583163.333333</v>
      </c>
      <c r="M4" s="6">
        <f t="shared" ref="M4:M22" si="0">L4/$L$24</f>
        <v>9.7399928024913887E-2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82.758400000000009</v>
      </c>
      <c r="J5" s="11">
        <v>93.191177777777767</v>
      </c>
      <c r="K5" s="11">
        <v>236302416.66666701</v>
      </c>
      <c r="L5" s="11">
        <v>2110780176.666666</v>
      </c>
      <c r="M5" s="6">
        <f t="shared" si="0"/>
        <v>6.9701319101445697E-2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82.758400000000009</v>
      </c>
      <c r="J6" s="11">
        <v>93.191177777778051</v>
      </c>
      <c r="K6" s="11">
        <v>161879779.07777801</v>
      </c>
      <c r="L6" s="11">
        <v>1445997182.3417821</v>
      </c>
      <c r="M6" s="6">
        <f t="shared" si="0"/>
        <v>4.7749127142817739E-2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82.758400000000009</v>
      </c>
      <c r="J7" s="11">
        <v>93.191177777777781</v>
      </c>
      <c r="K7" s="11">
        <v>56930833.711111121</v>
      </c>
      <c r="L7" s="11">
        <v>508536801.83911097</v>
      </c>
      <c r="M7" s="6">
        <f t="shared" si="0"/>
        <v>1.6792694138236693E-2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86.377800000000008</v>
      </c>
      <c r="J8" s="11">
        <v>89.324466666666652</v>
      </c>
      <c r="K8" s="11">
        <v>66741999.999999993</v>
      </c>
      <c r="L8" s="11">
        <v>2023199169.999999</v>
      </c>
      <c r="M8" s="6">
        <f t="shared" si="0"/>
        <v>6.6809254944135199E-2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84.6648</v>
      </c>
      <c r="J9" s="11">
        <v>88.14813333333332</v>
      </c>
      <c r="K9" s="11">
        <v>78897499.999999985</v>
      </c>
      <c r="L9" s="11">
        <v>1996555219.999999</v>
      </c>
      <c r="M9" s="6">
        <f t="shared" si="0"/>
        <v>6.5929429331974237E-2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77.813200000000009</v>
      </c>
      <c r="J10" s="11">
        <v>81.446811111111103</v>
      </c>
      <c r="K10" s="11">
        <v>82301291.666666657</v>
      </c>
      <c r="L10" s="11">
        <v>1844770271.666666</v>
      </c>
      <c r="M10" s="6">
        <f t="shared" si="0"/>
        <v>6.091724889010304E-2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68.508200000000002</v>
      </c>
      <c r="J11" s="11">
        <v>70.808477777777767</v>
      </c>
      <c r="K11" s="11">
        <v>52101291.666666657</v>
      </c>
      <c r="L11" s="11">
        <v>1603812021.666666</v>
      </c>
      <c r="M11" s="6">
        <f t="shared" si="0"/>
        <v>5.2960424177120054E-2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76.684300000000007</v>
      </c>
      <c r="J12" s="11">
        <v>87.275133333333329</v>
      </c>
      <c r="K12" s="11">
        <v>239882375</v>
      </c>
      <c r="L12" s="11">
        <v>1976781770</v>
      </c>
      <c r="M12" s="6">
        <f t="shared" si="0"/>
        <v>6.5276478558880038E-2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62.471800000000002</v>
      </c>
      <c r="J13" s="11">
        <v>64.085800000000006</v>
      </c>
      <c r="K13" s="11">
        <v>36557100</v>
      </c>
      <c r="L13" s="11">
        <v>1451543370</v>
      </c>
      <c r="M13" s="6">
        <f t="shared" si="0"/>
        <v>4.7932271081743874E-2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61.0961</v>
      </c>
      <c r="J14" s="11">
        <v>65.019016666666658</v>
      </c>
      <c r="K14" s="11">
        <v>88854062.5</v>
      </c>
      <c r="L14" s="11">
        <v>1472680727.5</v>
      </c>
      <c r="M14" s="6">
        <f t="shared" si="0"/>
        <v>4.8630260250088E-2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84.230100000000007</v>
      </c>
      <c r="J15" s="11">
        <v>86.014349999999993</v>
      </c>
      <c r="K15" s="11">
        <v>67355437.5</v>
      </c>
      <c r="L15" s="11">
        <v>3247041712.5</v>
      </c>
      <c r="M15" s="6">
        <f t="shared" si="0"/>
        <v>0.10722248249274141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57.07</v>
      </c>
      <c r="J16" s="11">
        <v>58.445</v>
      </c>
      <c r="K16" s="11">
        <v>38553075</v>
      </c>
      <c r="L16" s="11">
        <v>1638715977</v>
      </c>
      <c r="M16" s="6">
        <f t="shared" si="0"/>
        <v>5.4113008304773398E-2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85.384799999999998</v>
      </c>
      <c r="J17" s="11">
        <v>89.951466666666661</v>
      </c>
      <c r="K17" s="11">
        <v>47423920</v>
      </c>
      <c r="L17" s="11">
        <v>934127991.03999996</v>
      </c>
      <c r="M17" s="6">
        <f t="shared" si="0"/>
        <v>3.0846392203612967E-2</v>
      </c>
    </row>
    <row r="18" spans="1:15" x14ac:dyDescent="0.25">
      <c r="A18" s="1" t="s">
        <v>101</v>
      </c>
      <c r="B18" s="13" t="s">
        <v>102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98.039100000000005</v>
      </c>
      <c r="J18" s="11">
        <v>100.85326666666701</v>
      </c>
      <c r="K18" s="11">
        <v>14267515.441666661</v>
      </c>
      <c r="L18" s="11">
        <v>511314968.14066702</v>
      </c>
      <c r="M18" s="6">
        <f t="shared" si="0"/>
        <v>1.6884433608808869E-2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94.591109175443194</v>
      </c>
      <c r="J19" s="11">
        <v>107.34194250877701</v>
      </c>
      <c r="K19" s="11">
        <v>267767500</v>
      </c>
      <c r="L19" s="11">
        <v>2254180792.6843071</v>
      </c>
      <c r="M19" s="6">
        <f t="shared" si="0"/>
        <v>7.443663555309718E-2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112</v>
      </c>
      <c r="H20" s="11">
        <v>1100000000</v>
      </c>
      <c r="I20" s="11">
        <v>99.620100000000008</v>
      </c>
      <c r="J20" s="11">
        <v>104.78282222222201</v>
      </c>
      <c r="K20" s="11">
        <v>56789944.44444444</v>
      </c>
      <c r="L20" s="11">
        <v>1152611044.4444439</v>
      </c>
      <c r="M20" s="6">
        <f t="shared" si="0"/>
        <v>3.8061050173184299E-2</v>
      </c>
    </row>
    <row r="21" spans="1:15" x14ac:dyDescent="0.25">
      <c r="A21" s="1" t="s">
        <v>113</v>
      </c>
      <c r="B21" s="13" t="s">
        <v>114</v>
      </c>
      <c r="C21" s="10">
        <v>1000000</v>
      </c>
      <c r="D21" s="11">
        <v>1000000000</v>
      </c>
      <c r="E21" s="3">
        <v>0.1389</v>
      </c>
      <c r="F21" s="4" t="s">
        <v>115</v>
      </c>
      <c r="G21" s="4" t="s">
        <v>116</v>
      </c>
      <c r="H21" s="11">
        <v>1000000000</v>
      </c>
      <c r="I21" s="11">
        <v>97.83692299162189</v>
      </c>
      <c r="J21" s="11">
        <v>99.997589658288561</v>
      </c>
      <c r="K21" s="11">
        <v>21606666.66666666</v>
      </c>
      <c r="L21" s="11">
        <v>999975896.58288598</v>
      </c>
      <c r="M21" s="6">
        <f t="shared" si="0"/>
        <v>3.3020794790458635E-2</v>
      </c>
    </row>
    <row r="22" spans="1:15" x14ac:dyDescent="0.25">
      <c r="A22" s="1" t="s">
        <v>117</v>
      </c>
      <c r="B22" s="13" t="s">
        <v>118</v>
      </c>
      <c r="C22" s="10">
        <v>165739</v>
      </c>
      <c r="D22" s="11">
        <v>165739000</v>
      </c>
      <c r="E22" s="3">
        <v>0.125</v>
      </c>
      <c r="F22" s="4" t="s">
        <v>119</v>
      </c>
      <c r="G22" s="4" t="s">
        <v>120</v>
      </c>
      <c r="H22" s="11">
        <v>159596381.18279999</v>
      </c>
      <c r="I22" s="11">
        <v>95.687671054580491</v>
      </c>
      <c r="J22" s="11">
        <v>97.146004387900419</v>
      </c>
      <c r="K22" s="11">
        <v>2417027.0833111098</v>
      </c>
      <c r="L22" s="11">
        <v>161008816.21246201</v>
      </c>
      <c r="M22" s="6">
        <f t="shared" si="0"/>
        <v>5.3167672318646646E-3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1619315019.7583115</v>
      </c>
      <c r="L24" s="22">
        <f>SUM(L4:L23)</f>
        <v>30283217073.618992</v>
      </c>
      <c r="M24" s="23"/>
      <c r="N24" s="26">
        <v>30283217073.619011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6835898.71</v>
      </c>
      <c r="C27" s="51">
        <v>6835898.71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199272</v>
      </c>
      <c r="D32" s="7" t="s">
        <v>51</v>
      </c>
      <c r="E32" s="34" t="s">
        <v>52</v>
      </c>
      <c r="F32" s="34" t="s">
        <v>53</v>
      </c>
      <c r="G32" s="15">
        <v>924.00199997992706</v>
      </c>
      <c r="H32" s="15">
        <v>924.39995373158308</v>
      </c>
      <c r="I32" s="16">
        <f t="shared" ref="I32:I37" si="1">+C32*G32</f>
        <v>184127726.54000002</v>
      </c>
      <c r="J32" s="16">
        <f t="shared" ref="J32:J37" si="2">+C32*H32</f>
        <v>184207027.58000001</v>
      </c>
      <c r="K32" s="18">
        <v>0.15720000000000001</v>
      </c>
      <c r="L32" s="17">
        <v>79301.040000000008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199272</v>
      </c>
      <c r="D33" s="7" t="s">
        <v>51</v>
      </c>
      <c r="E33" s="34" t="s">
        <v>53</v>
      </c>
      <c r="F33" s="34" t="s">
        <v>53</v>
      </c>
      <c r="G33" s="15">
        <v>924.00199997992706</v>
      </c>
      <c r="H33" s="15">
        <v>924.39995373158308</v>
      </c>
      <c r="I33" s="16">
        <f t="shared" si="1"/>
        <v>184127726.54000002</v>
      </c>
      <c r="J33" s="16">
        <f t="shared" si="2"/>
        <v>184207027.58000001</v>
      </c>
      <c r="K33" s="18">
        <v>0.15720000000000001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1466400</v>
      </c>
      <c r="D34" s="7" t="s">
        <v>51</v>
      </c>
      <c r="E34" s="34" t="s">
        <v>52</v>
      </c>
      <c r="F34" s="34" t="s">
        <v>53</v>
      </c>
      <c r="G34" s="15">
        <v>887.24700000000007</v>
      </c>
      <c r="H34" s="15">
        <v>887.6286353177851</v>
      </c>
      <c r="I34" s="16">
        <f t="shared" si="1"/>
        <v>1301059000.8000002</v>
      </c>
      <c r="J34" s="16">
        <f t="shared" si="2"/>
        <v>1301618630.8300002</v>
      </c>
      <c r="K34" s="18">
        <v>0.156999</v>
      </c>
      <c r="L34" s="17">
        <v>559630.03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1466400</v>
      </c>
      <c r="D35" s="7" t="s">
        <v>51</v>
      </c>
      <c r="E35" s="34" t="s">
        <v>53</v>
      </c>
      <c r="F35" s="34" t="s">
        <v>53</v>
      </c>
      <c r="G35" s="15">
        <v>887.24700000000007</v>
      </c>
      <c r="H35" s="15">
        <v>887.6286353177851</v>
      </c>
      <c r="I35" s="16">
        <f t="shared" si="1"/>
        <v>1301059000.8000002</v>
      </c>
      <c r="J35" s="16">
        <f t="shared" si="2"/>
        <v>1301618630.8300002</v>
      </c>
      <c r="K35" s="18">
        <v>0.156999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1608100</v>
      </c>
      <c r="D36" s="7" t="s">
        <v>51</v>
      </c>
      <c r="E36" s="34" t="s">
        <v>53</v>
      </c>
      <c r="F36" s="34" t="s">
        <v>58</v>
      </c>
      <c r="G36" s="15">
        <v>808.87300000000005</v>
      </c>
      <c r="H36" s="15">
        <v>809.22203202537207</v>
      </c>
      <c r="I36" s="16">
        <f t="shared" si="1"/>
        <v>1300748671.3000002</v>
      </c>
      <c r="J36" s="16">
        <f t="shared" si="2"/>
        <v>1301309949.7000008</v>
      </c>
      <c r="K36" s="18">
        <v>0.157499</v>
      </c>
      <c r="L36" s="17"/>
      <c r="M36" s="17">
        <v>1300748671.3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235887</v>
      </c>
      <c r="D37" s="7" t="s">
        <v>51</v>
      </c>
      <c r="E37" s="34" t="s">
        <v>53</v>
      </c>
      <c r="F37" s="34" t="s">
        <v>58</v>
      </c>
      <c r="G37" s="15">
        <v>775.89</v>
      </c>
      <c r="H37" s="15">
        <v>776.22267823152606</v>
      </c>
      <c r="I37" s="16">
        <f t="shared" si="1"/>
        <v>183022364.43000001</v>
      </c>
      <c r="J37" s="16">
        <f t="shared" si="2"/>
        <v>183100838.89999998</v>
      </c>
      <c r="K37" s="18">
        <v>0.156501</v>
      </c>
      <c r="L37" s="17"/>
      <c r="M37" s="17">
        <v>183022364.43000001</v>
      </c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1483771035.73</v>
      </c>
      <c r="N39" s="38">
        <v>1483771035.73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31773824008.05899</v>
      </c>
      <c r="C46" s="32">
        <v>31773824008.05901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354403.39999999997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48628.740000000005</v>
      </c>
    </row>
    <row r="56" spans="1:2" x14ac:dyDescent="0.25">
      <c r="A56" s="48" t="s">
        <v>41</v>
      </c>
      <c r="B56" s="50">
        <v>24218.090000000004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427250.23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2025-07-25T06:06:24Z</dcterms:created>
  <dcterms:modified xsi:type="dcterms:W3CDTF">2025-07-25T10:10:40Z</dcterms:modified>
</cp:coreProperties>
</file>