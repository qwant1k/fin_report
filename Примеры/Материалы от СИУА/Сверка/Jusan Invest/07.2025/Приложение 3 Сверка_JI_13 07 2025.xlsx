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5A7F056D-4801-4BC4-8808-0B34A59C6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B42" i="1" s="1"/>
  <c r="K24" i="1"/>
  <c r="M21" i="1"/>
  <c r="M20" i="1"/>
  <c r="M19" i="1"/>
  <c r="M17" i="1"/>
  <c r="M16" i="1"/>
  <c r="M15" i="1"/>
  <c r="M13" i="1"/>
  <c r="M12" i="1"/>
  <c r="M11" i="1"/>
  <c r="M9" i="1"/>
  <c r="M8" i="1"/>
  <c r="M7" i="1"/>
  <c r="M5" i="1"/>
  <c r="M4" i="1"/>
  <c r="M6" i="1" l="1"/>
  <c r="M10" i="1"/>
  <c r="M14" i="1"/>
  <c r="M18" i="1"/>
  <c r="M22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<sst xmlns="http://schemas.openxmlformats.org/spreadsheetml/2006/main" count="140" uniqueCount="117">
  <si>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</si>
  <si>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</si>
  <si>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</si>
  <si>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</si>
  <si>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</si>
  <si>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</si>
  <si>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</si>
  <si>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</si>
  <si>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</si>
  <si>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</si>
  <si>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</si>
  <si>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</si>
  <si>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</si>
  <si>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</si>
  <si>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</si>
  <si>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</si>
  <si>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</si>
  <si>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</si>
  <si>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</si>
  <si>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</si>
  <si>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</si>
  <si>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</si>
  <si>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</si>
  <si>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</si>
  <si>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</si>
  <si>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</si>
  <si>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</si>
  <si>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</si>
  <si>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</si>
  <si>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</si>
  <si>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</si>
  <si>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</si>
  <si>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</si>
  <si>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</si>
  <si>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</si>
  <si>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</si>
  <si>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</si>
  <si>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</si>
  <si>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</si>
  <si>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</si>
  <si>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</si>
  <si>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</si>
  <si>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</si>
  <si>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</si>
  <si>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</si>
  <si>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</si>
  <si>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</si>
  <si>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</si>
  <si>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</si>
  <si>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</si>
  <si>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</si>
  <si>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</si>
  <si>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11.07.2025</t>
  </si>
  <si>
    <t>14.07.2025</t>
  </si>
  <si>
    <t>МИНИСТЕРСТВО ФИНАНСОВ РК, ГЦБ, MUM180_0009</t>
  </si>
  <si>
    <t>KZKD00000717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</si>
  <si>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</si>
  <si>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</si>
  <si>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</si>
  <si>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</si>
  <si>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</si>
  <si>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</si>
  <si>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</si>
  <si>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</si>
  <si>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</si>
  <si>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</si>
  <si>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</si>
  <si>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</si>
  <si>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</si>
  <si>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</si>
  <si>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</si>
  <si>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</si>
  <si>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</si>
  <si>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</si>
  <si>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</si>
  <si>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</si>
  <si>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</si>
  <si>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</si>
  <si>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</si>
  <si>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</si>
  <si>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</si>
  <si>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</si>
  <si>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</si>
  <si>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</si>
  <si>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</si>
  <si>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</si>
  <si>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</si>
  <si>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</si>
  <si>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</si>
  <si>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</si>
  <si>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</si>
  <si>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</si>
  <si>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</si>
  <si>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</si>
  <si>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</si>
  <si>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</si>
  <si>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</si>
  <si>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</si>
  <si>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</si>
  <si>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</si>
  <si>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</si>
  <si>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</si>
  <si>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</si>
  <si>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</si>
  <si>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</si>
  <si>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</si>
  <si>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</si>
  <si>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</si>
  <si>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</si>
  <si>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</si>
  <si>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</si>
  <si>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</si>
  <si>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</si>
  <si>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</si>
  <si>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</si>
  <si>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</si>
  <si>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13.07.2025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</si>
</sst>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22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97.20450000000001</v>
      </c>
      <c r="J4" s="11">
        <v>102.302388888889</v>
      </c>
      <c r="K4" s="11">
        <v>153956244.444444</v>
      </c>
      <c r="L4" s="11">
        <v>3089532144.4444442</v>
      </c>
      <c r="M4" s="6">
        <f t="shared" ref="M4:M22" si="0">L4/$L$24</f>
        <v>0.10137674956438793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82.770800000000008</v>
      </c>
      <c r="J5" s="11">
        <v>92.88121666666666</v>
      </c>
      <c r="K5" s="11">
        <v>229000937.5</v>
      </c>
      <c r="L5" s="11">
        <v>2103759557.499999</v>
      </c>
      <c r="M5" s="6">
        <f t="shared" si="0"/>
        <v>6.9030615586204019E-2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82.770800000000008</v>
      </c>
      <c r="J6" s="11">
        <v>92.881216666666944</v>
      </c>
      <c r="K6" s="11">
        <v>156877875.79166701</v>
      </c>
      <c r="L6" s="11">
        <v>1441187683.1596711</v>
      </c>
      <c r="M6" s="6">
        <f t="shared" si="0"/>
        <v>4.7289659404799775E-2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82.770800000000008</v>
      </c>
      <c r="J7" s="11">
        <v>92.88121666666666</v>
      </c>
      <c r="K7" s="11">
        <v>55171734.916666672</v>
      </c>
      <c r="L7" s="11">
        <v>506845368.85266697</v>
      </c>
      <c r="M7" s="6">
        <f t="shared" si="0"/>
        <v>1.6631105819190677E-2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85.7864</v>
      </c>
      <c r="J8" s="11">
        <v>88.415288888888881</v>
      </c>
      <c r="K8" s="11">
        <v>59544333.333333328</v>
      </c>
      <c r="L8" s="11">
        <v>2002606293.333333</v>
      </c>
      <c r="M8" s="6">
        <f t="shared" si="0"/>
        <v>6.5711475778099368E-2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84.539100000000005</v>
      </c>
      <c r="J9" s="11">
        <v>87.686322222222216</v>
      </c>
      <c r="K9" s="11">
        <v>71284583.333333328</v>
      </c>
      <c r="L9" s="11">
        <v>1986095198.333333</v>
      </c>
      <c r="M9" s="6">
        <f t="shared" si="0"/>
        <v>6.5169697584964617E-2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78.711399999999998</v>
      </c>
      <c r="J10" s="11">
        <v>82.030288888888876</v>
      </c>
      <c r="K10" s="11">
        <v>75172833.333333328</v>
      </c>
      <c r="L10" s="11">
        <v>1857986043.333333</v>
      </c>
      <c r="M10" s="6">
        <f t="shared" si="0"/>
        <v>6.0966054730270933E-2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69.842100000000002</v>
      </c>
      <c r="J11" s="11">
        <v>71.884183333333326</v>
      </c>
      <c r="K11" s="11">
        <v>46253187.499999993</v>
      </c>
      <c r="L11" s="11">
        <v>1628176752.499999</v>
      </c>
      <c r="M11" s="6">
        <f t="shared" si="0"/>
        <v>5.3425327579633121E-2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78.160899999999998</v>
      </c>
      <c r="J12" s="11">
        <v>88.426316666666651</v>
      </c>
      <c r="K12" s="11">
        <v>232511687.5</v>
      </c>
      <c r="L12" s="11">
        <v>2002856072.5</v>
      </c>
      <c r="M12" s="6">
        <f t="shared" si="0"/>
        <v>6.5719671776341734E-2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64.449799999999996</v>
      </c>
      <c r="J13" s="11">
        <v>65.817216666666653</v>
      </c>
      <c r="K13" s="11">
        <v>30971987.5</v>
      </c>
      <c r="L13" s="11">
        <v>1490759957.5</v>
      </c>
      <c r="M13" s="6">
        <f t="shared" si="0"/>
        <v>4.8916273340561346E-2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63.228300000000004</v>
      </c>
      <c r="J14" s="11">
        <v>66.904633333333322</v>
      </c>
      <c r="K14" s="11">
        <v>83268950</v>
      </c>
      <c r="L14" s="11">
        <v>1515389945</v>
      </c>
      <c r="M14" s="6">
        <f t="shared" si="0"/>
        <v>4.9724456572786783E-2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83.3249</v>
      </c>
      <c r="J15" s="11">
        <v>84.941400000000002</v>
      </c>
      <c r="K15" s="11">
        <v>61022875</v>
      </c>
      <c r="L15" s="11">
        <v>3206537850</v>
      </c>
      <c r="M15" s="6">
        <f t="shared" si="0"/>
        <v>0.10521605517933016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58.323</v>
      </c>
      <c r="J16" s="11">
        <v>59.529944444444439</v>
      </c>
      <c r="K16" s="11">
        <v>33841032.5</v>
      </c>
      <c r="L16" s="11">
        <v>1669136300.3</v>
      </c>
      <c r="M16" s="6">
        <f t="shared" si="0"/>
        <v>5.4769332310918392E-2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85.772800000000004</v>
      </c>
      <c r="J17" s="11">
        <v>89.972800000000007</v>
      </c>
      <c r="K17" s="11">
        <v>43616160</v>
      </c>
      <c r="L17" s="11">
        <v>934349533.44000006</v>
      </c>
      <c r="M17" s="6">
        <f t="shared" si="0"/>
        <v>3.0658790466859587E-2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97.397800000000004</v>
      </c>
      <c r="J18" s="11">
        <v>99.742938888888872</v>
      </c>
      <c r="K18" s="11">
        <v>11889596.201388881</v>
      </c>
      <c r="L18" s="11">
        <v>505685728.443389</v>
      </c>
      <c r="M18" s="6">
        <f t="shared" si="0"/>
        <v>1.6593054564223962E-2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94.149003361915589</v>
      </c>
      <c r="J19" s="11">
        <v>106.462892250804</v>
      </c>
      <c r="K19" s="11">
        <v>258591666.66666701</v>
      </c>
      <c r="L19" s="11">
        <v>2235720737.2668939</v>
      </c>
      <c r="M19" s="6">
        <f t="shared" si="0"/>
        <v>7.3360654843929632E-2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99.52300000000001</v>
      </c>
      <c r="J20" s="11">
        <v>104.26191666666701</v>
      </c>
      <c r="K20" s="11">
        <v>52128083.333333328</v>
      </c>
      <c r="L20" s="11">
        <v>1146881083.333333</v>
      </c>
      <c r="M20" s="6">
        <f t="shared" si="0"/>
        <v>3.7632583488178668E-2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97.4786406831455</v>
      </c>
      <c r="J21" s="11">
        <v>99.214890683145484</v>
      </c>
      <c r="K21" s="11">
        <v>17362499.999999989</v>
      </c>
      <c r="L21" s="11">
        <v>992148906.83145499</v>
      </c>
      <c r="M21" s="6">
        <f t="shared" si="0"/>
        <v>3.2555360020868139E-2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95.516192198095297</v>
      </c>
      <c r="J22" s="11">
        <v>96.592581086970782</v>
      </c>
      <c r="K22" s="11">
        <v>1783996.18053333</v>
      </c>
      <c r="L22" s="11">
        <v>160091577.96773499</v>
      </c>
      <c r="M22" s="6">
        <f t="shared" si="0"/>
        <v>5.2530813884511737E-3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1674250265.0347002</v>
      </c>
      <c r="L24" s="22">
        <f>SUM(L4:L23)</f>
        <v>30475746734.039585</v>
      </c>
      <c r="M24" s="23"/>
      <c r="N24" s="26">
        <v>30475746734.039604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1230739.3999999999</v>
      </c>
      <c r="C27" s="51">
        <v>1230739.3999999999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228880</v>
      </c>
      <c r="D32" s="7" t="s">
        <v>51</v>
      </c>
      <c r="E32" s="34" t="s">
        <v>52</v>
      </c>
      <c r="F32" s="34" t="s">
        <v>53</v>
      </c>
      <c r="G32" s="15">
        <v>87.386399991261783</v>
      </c>
      <c r="H32" s="15">
        <v>87.49837355819642</v>
      </c>
      <c r="I32" s="16">
        <f>+C32*G32</f>
        <v>20000999.229999997</v>
      </c>
      <c r="J32" s="16">
        <f>+C32*H32</f>
        <v>20026627.739999998</v>
      </c>
      <c r="K32" s="18">
        <v>0.15589899999999998</v>
      </c>
      <c r="L32" s="17">
        <v>8542.8366666666661</v>
      </c>
      <c r="M32" s="17">
        <v>20018084.903333329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1619800</v>
      </c>
      <c r="D33" s="7" t="s">
        <v>51</v>
      </c>
      <c r="E33" s="34" t="s">
        <v>52</v>
      </c>
      <c r="F33" s="34" t="s">
        <v>53</v>
      </c>
      <c r="G33" s="15">
        <v>802.99200000000008</v>
      </c>
      <c r="H33" s="15">
        <v>804.02158313989401</v>
      </c>
      <c r="I33" s="16">
        <f>+C33*G33</f>
        <v>1300686441.6000001</v>
      </c>
      <c r="J33" s="16">
        <f>+C33*H33</f>
        <v>1302354160.3700004</v>
      </c>
      <c r="K33" s="18">
        <v>0.155999</v>
      </c>
      <c r="L33" s="17">
        <v>555906.2566666666</v>
      </c>
      <c r="M33" s="17">
        <v>1301798254.113333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1321816339.0166664</v>
      </c>
      <c r="N35" s="38">
        <v>1321816339.0166667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31798793812.456253</v>
      </c>
      <c r="C42" s="32">
        <v>31798793812.456268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190345.11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25783.93</v>
      </c>
    </row>
    <row r="52" spans="1:2" x14ac:dyDescent="0.25">
      <c r="A52" s="48" t="s">
        <v>41</v>
      </c>
      <c r="B52" s="50">
        <v>12821.980000000003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228951.02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2025-07-14T06:04:25Z</dcterms:created>
  <dcterms:modified xsi:type="dcterms:W3CDTF">2025-07-14T10:29:59Z</dcterms:modified>
</cp:coreProperties>
</file>