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47F5918E-659E-4DC4-A387-0D0E0D7DC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8" i="1" s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<sst xmlns="http://schemas.openxmlformats.org/spreadsheetml/2006/main" count="170" uniqueCount="117">
  <si>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</si>
  <si>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</si>
  <si>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</si>
  <si>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</si>
  <si>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</si>
  <si>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</si>
  <si>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</si>
  <si>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</si>
  <si>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</si>
  <si>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</si>
  <si>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</si>
  <si>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</si>
  <si>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</si>
  <si>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</si>
  <si>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</si>
  <si>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</si>
  <si>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</si>
  <si>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</si>
  <si>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</si>
  <si>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</si>
  <si>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</si>
  <si>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</si>
  <si>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</si>
  <si>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</si>
  <si>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</si>
  <si>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</si>
  <si>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</si>
  <si>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</si>
  <si>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</si>
  <si>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</si>
  <si>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</si>
  <si>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</si>
  <si>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</si>
  <si>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</si>
  <si>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</si>
  <si>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</si>
  <si>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</si>
  <si>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</si>
  <si>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</si>
  <si>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</si>
  <si>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</si>
  <si>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</si>
  <si>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</si>
  <si>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</si>
  <si>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</si>
  <si>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</si>
  <si>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</si>
  <si>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</si>
  <si>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</si>
  <si>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</si>
  <si>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</si>
  <si>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</si>
  <si>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16.07.2025</t>
  </si>
  <si>
    <t>17.07.2025</t>
  </si>
  <si>
    <t>МИНИСТЕРСТВО ФИНАНСОВ РК, ОБЛИГАЦИИ, KZ_14_2609</t>
  </si>
  <si>
    <t>XS2050933899</t>
  </si>
  <si>
    <t>18.07.2025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</si>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</sst>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2" zoomScale="90" zoomScaleNormal="90" workbookViewId="0">
      <selection activeCell="A42" sqref="A4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97.199200000000005</v>
      </c>
      <c r="J4" s="11">
        <v>102.415644444444</v>
      </c>
      <c r="K4" s="11">
        <v>157536622.222222</v>
      </c>
      <c r="L4" s="11">
        <v>3092952462.2222219</v>
      </c>
      <c r="M4" s="6">
        <f t="shared" ref="M4:M22" si="0">L4/$L$24</f>
        <v>0.10126796669026303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82.659000000000006</v>
      </c>
      <c r="J5" s="11">
        <v>92.886638888888882</v>
      </c>
      <c r="K5" s="11">
        <v>231656020.83333299</v>
      </c>
      <c r="L5" s="11">
        <v>2103882370.833333</v>
      </c>
      <c r="M5" s="6">
        <f t="shared" si="0"/>
        <v>6.8884307939445458E-2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82.659000000000006</v>
      </c>
      <c r="J6" s="11">
        <v>92.886638888889166</v>
      </c>
      <c r="K6" s="11">
        <v>158696749.713889</v>
      </c>
      <c r="L6" s="11">
        <v>1441271816.853893</v>
      </c>
      <c r="M6" s="6">
        <f t="shared" si="0"/>
        <v>4.7189430850776648E-2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82.659000000000006</v>
      </c>
      <c r="J7" s="11">
        <v>92.886638888888882</v>
      </c>
      <c r="K7" s="11">
        <v>55811407.205555558</v>
      </c>
      <c r="L7" s="11">
        <v>506874957.48555601</v>
      </c>
      <c r="M7" s="6">
        <f t="shared" si="0"/>
        <v>1.6595856851254705E-2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85.480200000000011</v>
      </c>
      <c r="J8" s="11">
        <v>88.224644444444436</v>
      </c>
      <c r="K8" s="11">
        <v>62161666.666666657</v>
      </c>
      <c r="L8" s="11">
        <v>1998288196.666666</v>
      </c>
      <c r="M8" s="6">
        <f t="shared" si="0"/>
        <v>6.5426994112994671E-2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84.346800000000002</v>
      </c>
      <c r="J9" s="11">
        <v>87.616244444444433</v>
      </c>
      <c r="K9" s="11">
        <v>74052916.666666657</v>
      </c>
      <c r="L9" s="11">
        <v>1984507936.666666</v>
      </c>
      <c r="M9" s="6">
        <f t="shared" si="0"/>
        <v>6.497580744662719E-2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78.874099999999999</v>
      </c>
      <c r="J10" s="11">
        <v>82.307433333333321</v>
      </c>
      <c r="K10" s="11">
        <v>77765000</v>
      </c>
      <c r="L10" s="11">
        <v>1864263365</v>
      </c>
      <c r="M10" s="6">
        <f t="shared" si="0"/>
        <v>6.1038817328946553E-2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70.19250000000001</v>
      </c>
      <c r="J11" s="11">
        <v>72.328472222222217</v>
      </c>
      <c r="K11" s="11">
        <v>48379770.833333328</v>
      </c>
      <c r="L11" s="11">
        <v>1638239895.833333</v>
      </c>
      <c r="M11" s="6">
        <f t="shared" si="0"/>
        <v>5.3638465261995449E-2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78.551900000000003</v>
      </c>
      <c r="J12" s="11">
        <v>88.935649999999995</v>
      </c>
      <c r="K12" s="11">
        <v>235191937.5</v>
      </c>
      <c r="L12" s="11">
        <v>2014392472.5</v>
      </c>
      <c r="M12" s="6">
        <f t="shared" si="0"/>
        <v>6.5954272591594101E-2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65.042299999999997</v>
      </c>
      <c r="J13" s="11">
        <v>66.499383333333327</v>
      </c>
      <c r="K13" s="11">
        <v>33002937.5</v>
      </c>
      <c r="L13" s="11">
        <v>1506211032.5</v>
      </c>
      <c r="M13" s="6">
        <f t="shared" si="0"/>
        <v>4.9315639516207238E-2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63.889900000000004</v>
      </c>
      <c r="J14" s="11">
        <v>67.655900000000003</v>
      </c>
      <c r="K14" s="11">
        <v>85299900</v>
      </c>
      <c r="L14" s="11">
        <v>1532406135</v>
      </c>
      <c r="M14" s="6">
        <f t="shared" si="0"/>
        <v>5.0173307003767681E-2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83.109300000000005</v>
      </c>
      <c r="J15" s="11">
        <v>84.786799999999999</v>
      </c>
      <c r="K15" s="11">
        <v>63325625</v>
      </c>
      <c r="L15" s="11">
        <v>3200701700</v>
      </c>
      <c r="M15" s="6">
        <f t="shared" si="0"/>
        <v>0.10479584057628503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58.702600000000004</v>
      </c>
      <c r="J16" s="11">
        <v>59.970655555555545</v>
      </c>
      <c r="K16" s="11">
        <v>35554502.5</v>
      </c>
      <c r="L16" s="11">
        <v>1681493222.8599999</v>
      </c>
      <c r="M16" s="6">
        <f t="shared" si="0"/>
        <v>5.5054644958928936E-2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85.727900000000005</v>
      </c>
      <c r="J17" s="11">
        <v>90.06123333333332</v>
      </c>
      <c r="K17" s="11">
        <v>45000800</v>
      </c>
      <c r="L17" s="11">
        <v>935267895.91999996</v>
      </c>
      <c r="M17" s="6">
        <f t="shared" si="0"/>
        <v>3.0622093060702866E-2</v>
      </c>
    </row>
    <row r="18" spans="1:15" x14ac:dyDescent="0.25">
      <c r="A18" s="1" t="s">
        <v>57</v>
      </c>
      <c r="B18" s="13" t="s">
        <v>58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96.993300000000005</v>
      </c>
      <c r="J18" s="11">
        <v>99.50899444444444</v>
      </c>
      <c r="K18" s="11">
        <v>12754294.10694444</v>
      </c>
      <c r="L18" s="11">
        <v>504499655.84394401</v>
      </c>
      <c r="M18" s="6">
        <f t="shared" si="0"/>
        <v>1.651808586367565E-2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93.966296986069011</v>
      </c>
      <c r="J19" s="11">
        <v>106.439074763847</v>
      </c>
      <c r="K19" s="11">
        <v>261928333.33333299</v>
      </c>
      <c r="L19" s="11">
        <v>2235220570.040782</v>
      </c>
      <c r="M19" s="6">
        <f t="shared" si="0"/>
        <v>7.3184520291543181E-2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99.567400000000006</v>
      </c>
      <c r="J20" s="11">
        <v>104.46042777777801</v>
      </c>
      <c r="K20" s="11">
        <v>53823305.555555552</v>
      </c>
      <c r="L20" s="11">
        <v>1149064705.5555551</v>
      </c>
      <c r="M20" s="6">
        <f t="shared" si="0"/>
        <v>3.7622125703009393E-2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97.422903896444396</v>
      </c>
      <c r="J21" s="11">
        <v>99.313487229777721</v>
      </c>
      <c r="K21" s="11">
        <v>18905833.333333328</v>
      </c>
      <c r="L21" s="11">
        <v>993134872.29777706</v>
      </c>
      <c r="M21" s="6">
        <f t="shared" si="0"/>
        <v>3.2516745858593148E-2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95.072070507215898</v>
      </c>
      <c r="J22" s="11">
        <v>96.287348284980254</v>
      </c>
      <c r="K22" s="11">
        <v>2014189.2360888899</v>
      </c>
      <c r="L22" s="11">
        <v>159585688.174043</v>
      </c>
      <c r="M22" s="6">
        <f t="shared" si="0"/>
        <v>5.2250780933892549E-3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1712861812.2069213</v>
      </c>
      <c r="L24" s="22">
        <f>SUM(L4:L23)</f>
        <v>30542258952.253765</v>
      </c>
      <c r="M24" s="23"/>
      <c r="N24" s="26">
        <v>30542258952.253792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3296376.93</v>
      </c>
      <c r="C27" s="51">
        <v>3296376.93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12788802</v>
      </c>
      <c r="D32" s="7" t="s">
        <v>51</v>
      </c>
      <c r="E32" s="34" t="s">
        <v>52</v>
      </c>
      <c r="F32" s="34" t="s">
        <v>53</v>
      </c>
      <c r="G32" s="15">
        <v>87.42219999965593</v>
      </c>
      <c r="H32" s="15">
        <v>87.459444252088659</v>
      </c>
      <c r="I32" s="16">
        <f t="shared" ref="I32:I39" si="1">+C32*G32</f>
        <v>1118025206.1999998</v>
      </c>
      <c r="J32" s="16">
        <f t="shared" ref="J32:J39" si="2">+C32*H32</f>
        <v>1118501515.5699999</v>
      </c>
      <c r="K32" s="18">
        <v>0.1555</v>
      </c>
      <c r="L32" s="17">
        <v>476309.37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12788802</v>
      </c>
      <c r="D33" s="7" t="s">
        <v>51</v>
      </c>
      <c r="E33" s="34" t="s">
        <v>53</v>
      </c>
      <c r="F33" s="34" t="s">
        <v>53</v>
      </c>
      <c r="G33" s="15">
        <v>87.42219999965593</v>
      </c>
      <c r="H33" s="15">
        <v>87.459444252088659</v>
      </c>
      <c r="I33" s="16">
        <f t="shared" si="1"/>
        <v>1118025206.1999998</v>
      </c>
      <c r="J33" s="16">
        <f t="shared" si="2"/>
        <v>1118501515.5699999</v>
      </c>
      <c r="K33" s="18">
        <v>0.1555</v>
      </c>
      <c r="L33" s="17"/>
      <c r="M33" s="17"/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2230605</v>
      </c>
      <c r="D34" s="7" t="s">
        <v>51</v>
      </c>
      <c r="E34" s="34" t="s">
        <v>52</v>
      </c>
      <c r="F34" s="34" t="s">
        <v>53</v>
      </c>
      <c r="G34" s="15">
        <v>87.42219999955168</v>
      </c>
      <c r="H34" s="15">
        <v>87.459444253913162</v>
      </c>
      <c r="I34" s="16">
        <f t="shared" si="1"/>
        <v>195004396.42999998</v>
      </c>
      <c r="J34" s="16">
        <f t="shared" si="2"/>
        <v>195087473.64999998</v>
      </c>
      <c r="K34" s="18">
        <v>0.1555</v>
      </c>
      <c r="L34" s="17">
        <v>83077.22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14976</v>
      </c>
      <c r="D35" s="7" t="s">
        <v>51</v>
      </c>
      <c r="E35" s="34" t="s">
        <v>52</v>
      </c>
      <c r="F35" s="34" t="s">
        <v>53</v>
      </c>
      <c r="G35" s="15">
        <v>601.05489983974405</v>
      </c>
      <c r="H35" s="15">
        <v>601.31096554487203</v>
      </c>
      <c r="I35" s="16">
        <f t="shared" si="1"/>
        <v>9001398.1800000072</v>
      </c>
      <c r="J35" s="16">
        <f t="shared" si="2"/>
        <v>9005233.0200000033</v>
      </c>
      <c r="K35" s="18">
        <v>0.1555</v>
      </c>
      <c r="L35" s="17">
        <v>3834.84</v>
      </c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14976</v>
      </c>
      <c r="D36" s="7" t="s">
        <v>51</v>
      </c>
      <c r="E36" s="34" t="s">
        <v>53</v>
      </c>
      <c r="F36" s="34" t="s">
        <v>53</v>
      </c>
      <c r="G36" s="15">
        <v>601.05489983974405</v>
      </c>
      <c r="H36" s="15">
        <v>601.31096554487203</v>
      </c>
      <c r="I36" s="16">
        <f t="shared" si="1"/>
        <v>9001398.1800000072</v>
      </c>
      <c r="J36" s="16">
        <f t="shared" si="2"/>
        <v>9005233.0200000033</v>
      </c>
      <c r="K36" s="18">
        <v>0.1555</v>
      </c>
      <c r="L36" s="17"/>
      <c r="M36" s="17"/>
      <c r="N36" s="35"/>
    </row>
    <row r="37" spans="1:15" s="36" customFormat="1" ht="12" customHeight="1" x14ac:dyDescent="0.25">
      <c r="A37" s="12" t="s">
        <v>49</v>
      </c>
      <c r="B37" s="7" t="s">
        <v>50</v>
      </c>
      <c r="C37" s="14">
        <v>2230605</v>
      </c>
      <c r="D37" s="7" t="s">
        <v>51</v>
      </c>
      <c r="E37" s="34" t="s">
        <v>53</v>
      </c>
      <c r="F37" s="34" t="s">
        <v>53</v>
      </c>
      <c r="G37" s="15">
        <v>87.42219999955168</v>
      </c>
      <c r="H37" s="15">
        <v>87.459444253913162</v>
      </c>
      <c r="I37" s="16">
        <f t="shared" si="1"/>
        <v>195004396.42999998</v>
      </c>
      <c r="J37" s="16">
        <f t="shared" si="2"/>
        <v>195087473.64999998</v>
      </c>
      <c r="K37" s="18">
        <v>0.1555</v>
      </c>
      <c r="L37" s="17"/>
      <c r="M37" s="17"/>
      <c r="N37" s="35"/>
    </row>
    <row r="38" spans="1:15" s="36" customFormat="1" ht="12" customHeight="1" x14ac:dyDescent="0.25">
      <c r="A38" s="12" t="s">
        <v>49</v>
      </c>
      <c r="B38" s="7" t="s">
        <v>50</v>
      </c>
      <c r="C38" s="14">
        <v>14866800</v>
      </c>
      <c r="D38" s="7" t="s">
        <v>51</v>
      </c>
      <c r="E38" s="34" t="s">
        <v>53</v>
      </c>
      <c r="F38" s="34" t="s">
        <v>56</v>
      </c>
      <c r="G38" s="15">
        <v>87.443300000000008</v>
      </c>
      <c r="H38" s="15">
        <v>87.480792572712346</v>
      </c>
      <c r="I38" s="16">
        <f t="shared" si="1"/>
        <v>1300002052.4400001</v>
      </c>
      <c r="J38" s="16">
        <f t="shared" si="2"/>
        <v>1300559447.02</v>
      </c>
      <c r="K38" s="18">
        <v>0.156499</v>
      </c>
      <c r="L38" s="17"/>
      <c r="M38" s="17">
        <v>1300002052.4400001</v>
      </c>
      <c r="N38" s="35"/>
    </row>
    <row r="39" spans="1:15" s="36" customFormat="1" ht="12" customHeight="1" x14ac:dyDescent="0.25">
      <c r="A39" s="12" t="s">
        <v>57</v>
      </c>
      <c r="B39" s="7" t="s">
        <v>58</v>
      </c>
      <c r="C39" s="14">
        <v>22110</v>
      </c>
      <c r="D39" s="7" t="s">
        <v>51</v>
      </c>
      <c r="E39" s="34" t="s">
        <v>53</v>
      </c>
      <c r="F39" s="34" t="s">
        <v>56</v>
      </c>
      <c r="G39" s="15">
        <v>995.09</v>
      </c>
      <c r="H39" s="15">
        <v>995.51665897783801</v>
      </c>
      <c r="I39" s="16">
        <f t="shared" si="1"/>
        <v>22001439.900000002</v>
      </c>
      <c r="J39" s="16">
        <f t="shared" si="2"/>
        <v>22010873.329999998</v>
      </c>
      <c r="K39" s="18">
        <v>0.156499</v>
      </c>
      <c r="L39" s="17"/>
      <c r="M39" s="17">
        <v>22001439.899999999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1322003492.3400002</v>
      </c>
      <c r="N41" s="38">
        <v>1322003492.3400002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31867558821.523766</v>
      </c>
      <c r="C48" s="32">
        <v>31867558821.523792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251730.84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33763.020000000004</v>
      </c>
    </row>
    <row r="58" spans="1:2" x14ac:dyDescent="0.25">
      <c r="A58" s="48" t="s">
        <v>41</v>
      </c>
      <c r="B58" s="50">
        <v>16787.640000000003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302281.5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2025-07-18T08:08:34Z</dcterms:created>
  <dcterms:modified xsi:type="dcterms:W3CDTF">2025-07-18T09:57:06Z</dcterms:modified>
</cp:coreProperties>
</file>