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E5DDD282-88CC-4466-B490-C8F193508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<sst xmlns="http://schemas.openxmlformats.org/spreadsheetml/2006/main" count="160" uniqueCount="121">
  <si>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</si>
  <si>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</si>
  <si>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</si>
  <si>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</si>
  <si>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</si>
  <si>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</si>
  <si>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</si>
  <si>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</si>
  <si>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</si>
  <si>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</si>
  <si>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</si>
  <si>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</si>
  <si>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</si>
  <si>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</si>
  <si>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</si>
  <si>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</si>
  <si>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</si>
  <si>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</si>
  <si>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</si>
  <si>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</si>
  <si>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</si>
  <si>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</si>
  <si>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</si>
  <si>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</si>
  <si>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</si>
  <si>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</si>
  <si>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</si>
  <si>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</si>
  <si>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</si>
  <si>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</si>
  <si>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</si>
  <si>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</si>
  <si>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</si>
  <si>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</si>
  <si>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</si>
  <si>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</si>
  <si>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</si>
  <si>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</si>
  <si>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</si>
  <si>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</si>
  <si>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</si>
  <si>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</si>
  <si>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</si>
  <si>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</si>
  <si>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</si>
  <si>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</si>
  <si>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</si>
  <si>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</si>
  <si>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</si>
  <si>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</si>
  <si>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</si>
  <si>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</si>
  <si>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22.07.2025</t>
  </si>
  <si>
    <t>23.07.2025</t>
  </si>
  <si>
    <t>МИНИСТЕРСТВО ФИНАНСОВ РК, ГЦБ, MUM180_0009</t>
  </si>
  <si>
    <t>KZKD00000717</t>
  </si>
  <si>
    <t>МИНИСТЕРСТВО ФИНАНСОВ РК, ГЦБ, MUM096_0011</t>
  </si>
  <si>
    <t>KZKD00001095</t>
  </si>
  <si>
    <t>24.07.2025</t>
  </si>
  <si>
    <t>МИНИСТЕРСТВО ФИНАНСОВ РК, ГЦБ, MUM084_0019</t>
  </si>
  <si>
    <t>KZKD00001244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</si>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</sst>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6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97.574300000000008</v>
      </c>
      <c r="J4" s="11">
        <v>97.633577777777759</v>
      </c>
      <c r="K4" s="11">
        <v>1790188.8888888899</v>
      </c>
      <c r="L4" s="11">
        <v>2948534048.8888879</v>
      </c>
      <c r="M4" s="6">
        <f t="shared" ref="M4:M22" si="0">L4/$L$24</f>
        <v>9.740946084281156E-2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82.765100000000004</v>
      </c>
      <c r="J5" s="11">
        <v>93.16857222222221</v>
      </c>
      <c r="K5" s="11">
        <v>235638645.83333299</v>
      </c>
      <c r="L5" s="11">
        <v>2110268160.833333</v>
      </c>
      <c r="M5" s="6">
        <f t="shared" si="0"/>
        <v>6.9716028498293531E-2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82.765100000000004</v>
      </c>
      <c r="J6" s="11">
        <v>93.168572222222494</v>
      </c>
      <c r="K6" s="11">
        <v>161425060.59722301</v>
      </c>
      <c r="L6" s="11">
        <v>1445646424.1432259</v>
      </c>
      <c r="M6" s="6">
        <f t="shared" si="0"/>
        <v>4.7759203865458483E-2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82.765100000000004</v>
      </c>
      <c r="J7" s="11">
        <v>93.16857222222221</v>
      </c>
      <c r="K7" s="11">
        <v>56770915.638888888</v>
      </c>
      <c r="L7" s="11">
        <v>508413445.130889</v>
      </c>
      <c r="M7" s="6">
        <f t="shared" si="0"/>
        <v>1.6796237979377841E-2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86.404700000000005</v>
      </c>
      <c r="J8" s="11">
        <v>89.322477777777763</v>
      </c>
      <c r="K8" s="11">
        <v>66087666.666666657</v>
      </c>
      <c r="L8" s="11">
        <v>2023154121.666666</v>
      </c>
      <c r="M8" s="6">
        <f t="shared" si="0"/>
        <v>6.683807916945253E-2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84.680800000000005</v>
      </c>
      <c r="J9" s="11">
        <v>88.133577777777759</v>
      </c>
      <c r="K9" s="11">
        <v>78205416.666666657</v>
      </c>
      <c r="L9" s="11">
        <v>1996225536.666666</v>
      </c>
      <c r="M9" s="6">
        <f t="shared" si="0"/>
        <v>6.5948451000804362E-2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77.793400000000005</v>
      </c>
      <c r="J10" s="11">
        <v>81.398399999999995</v>
      </c>
      <c r="K10" s="11">
        <v>81653250</v>
      </c>
      <c r="L10" s="11">
        <v>1843673760</v>
      </c>
      <c r="M10" s="6">
        <f t="shared" si="0"/>
        <v>6.0908663069132785E-2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68.469700000000003</v>
      </c>
      <c r="J11" s="11">
        <v>70.746505555555544</v>
      </c>
      <c r="K11" s="11">
        <v>51569645.833333328</v>
      </c>
      <c r="L11" s="11">
        <v>1602408350.833333</v>
      </c>
      <c r="M11" s="6">
        <f t="shared" si="0"/>
        <v>5.2938080726425377E-2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76.641500000000008</v>
      </c>
      <c r="J12" s="11">
        <v>87.202749999999995</v>
      </c>
      <c r="K12" s="11">
        <v>239212312.5</v>
      </c>
      <c r="L12" s="11">
        <v>1975142287.5</v>
      </c>
      <c r="M12" s="6">
        <f t="shared" si="0"/>
        <v>6.5251932697102388E-2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62.4114</v>
      </c>
      <c r="J13" s="11">
        <v>64.002983333333333</v>
      </c>
      <c r="K13" s="11">
        <v>36049362.5</v>
      </c>
      <c r="L13" s="11">
        <v>1449667572.5</v>
      </c>
      <c r="M13" s="6">
        <f t="shared" si="0"/>
        <v>4.7892048827364191E-2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61.029300000000006</v>
      </c>
      <c r="J14" s="11">
        <v>64.9298</v>
      </c>
      <c r="K14" s="11">
        <v>88346325</v>
      </c>
      <c r="L14" s="11">
        <v>1470659970</v>
      </c>
      <c r="M14" s="6">
        <f t="shared" si="0"/>
        <v>4.8585565703332965E-2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84.242400000000004</v>
      </c>
      <c r="J15" s="11">
        <v>86.011400000000009</v>
      </c>
      <c r="K15" s="11">
        <v>66779750</v>
      </c>
      <c r="L15" s="11">
        <v>3246930350</v>
      </c>
      <c r="M15" s="6">
        <f t="shared" si="0"/>
        <v>0.10726745207736285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57.0276</v>
      </c>
      <c r="J16" s="11">
        <v>58.387322222222217</v>
      </c>
      <c r="K16" s="11">
        <v>38124707.5</v>
      </c>
      <c r="L16" s="11">
        <v>1637098772.8599999</v>
      </c>
      <c r="M16" s="6">
        <f t="shared" si="0"/>
        <v>5.4084133391918796E-2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85.386499999999998</v>
      </c>
      <c r="J17" s="11">
        <v>89.91983333333333</v>
      </c>
      <c r="K17" s="11">
        <v>47077760</v>
      </c>
      <c r="L17" s="11">
        <v>933799485.20000005</v>
      </c>
      <c r="M17" s="6">
        <f t="shared" si="0"/>
        <v>3.0849535016529414E-2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98.0792</v>
      </c>
      <c r="J18" s="11">
        <v>100.850727777778</v>
      </c>
      <c r="K18" s="11">
        <v>14051340.965277771</v>
      </c>
      <c r="L18" s="11">
        <v>511302096.25327802</v>
      </c>
      <c r="M18" s="6">
        <f t="shared" si="0"/>
        <v>1.6891669113537858E-2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94.60634080985929</v>
      </c>
      <c r="J19" s="11">
        <v>107.31745192097</v>
      </c>
      <c r="K19" s="11">
        <v>266933333.33333299</v>
      </c>
      <c r="L19" s="11">
        <v>2253666490.3403778</v>
      </c>
      <c r="M19" s="6">
        <f t="shared" si="0"/>
        <v>7.4453417903141972E-2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99.612500000000011</v>
      </c>
      <c r="J20" s="11">
        <v>104.736694444444</v>
      </c>
      <c r="K20" s="11">
        <v>56366138.888888881</v>
      </c>
      <c r="L20" s="11">
        <v>1152103638.8888879</v>
      </c>
      <c r="M20" s="6">
        <f t="shared" si="0"/>
        <v>3.8061556162628844E-2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97.859987605188792</v>
      </c>
      <c r="J21" s="11">
        <v>99.982070938522128</v>
      </c>
      <c r="K21" s="11">
        <v>21220833.333333328</v>
      </c>
      <c r="L21" s="11">
        <v>999820709.385221</v>
      </c>
      <c r="M21" s="6">
        <f t="shared" si="0"/>
        <v>3.3030650019928554E-2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95.697818084725299</v>
      </c>
      <c r="J22" s="11">
        <v>97.121429195822998</v>
      </c>
      <c r="K22" s="11">
        <v>2359478.8194222199</v>
      </c>
      <c r="L22" s="11">
        <v>160968085.53486499</v>
      </c>
      <c r="M22" s="6">
        <f t="shared" si="0"/>
        <v>5.3178339353956196E-3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1609662132.9652555</v>
      </c>
      <c r="L24" s="22">
        <f>SUM(L4:L23)</f>
        <v>30269483306.625633</v>
      </c>
      <c r="M24" s="23"/>
      <c r="N24" s="26">
        <v>30269483306.625656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4781276.03</v>
      </c>
      <c r="C27" s="51">
        <v>4781276.03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14852500</v>
      </c>
      <c r="D32" s="7" t="s">
        <v>51</v>
      </c>
      <c r="E32" s="34" t="s">
        <v>52</v>
      </c>
      <c r="F32" s="34" t="s">
        <v>53</v>
      </c>
      <c r="G32" s="15">
        <v>87.534100000000009</v>
      </c>
      <c r="H32" s="15">
        <v>87.571751414240012</v>
      </c>
      <c r="I32" s="16">
        <f t="shared" ref="I32:I37" si="1">+C32*G32</f>
        <v>1300100220.2500002</v>
      </c>
      <c r="J32" s="16">
        <f t="shared" ref="J32:J37" si="2">+C32*H32</f>
        <v>1300659437.8799999</v>
      </c>
      <c r="K32" s="18">
        <v>0.156999</v>
      </c>
      <c r="L32" s="17">
        <v>559217.63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14852500</v>
      </c>
      <c r="D33" s="7" t="s">
        <v>51</v>
      </c>
      <c r="E33" s="34" t="s">
        <v>53</v>
      </c>
      <c r="F33" s="34" t="s">
        <v>53</v>
      </c>
      <c r="G33" s="15">
        <v>87.534100000000009</v>
      </c>
      <c r="H33" s="15">
        <v>87.571751414240012</v>
      </c>
      <c r="I33" s="16">
        <f t="shared" si="1"/>
        <v>1300100220.2500002</v>
      </c>
      <c r="J33" s="16">
        <f t="shared" si="2"/>
        <v>1300659437.8799999</v>
      </c>
      <c r="K33" s="18">
        <v>0.156999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231756</v>
      </c>
      <c r="D34" s="7" t="s">
        <v>51</v>
      </c>
      <c r="E34" s="34" t="s">
        <v>52</v>
      </c>
      <c r="F34" s="34" t="s">
        <v>53</v>
      </c>
      <c r="G34" s="15">
        <v>802.93800000863007</v>
      </c>
      <c r="H34" s="15">
        <v>803.28337113170699</v>
      </c>
      <c r="I34" s="16">
        <f t="shared" si="1"/>
        <v>186085699.13000008</v>
      </c>
      <c r="J34" s="16">
        <f t="shared" si="2"/>
        <v>186165740.95999989</v>
      </c>
      <c r="K34" s="18">
        <v>0.156999</v>
      </c>
      <c r="L34" s="17">
        <v>80041.83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231756</v>
      </c>
      <c r="D35" s="7" t="s">
        <v>51</v>
      </c>
      <c r="E35" s="34" t="s">
        <v>53</v>
      </c>
      <c r="F35" s="34" t="s">
        <v>53</v>
      </c>
      <c r="G35" s="15">
        <v>802.93800000863007</v>
      </c>
      <c r="H35" s="15">
        <v>803.28337113170699</v>
      </c>
      <c r="I35" s="16">
        <f t="shared" si="1"/>
        <v>186085699.13000008</v>
      </c>
      <c r="J35" s="16">
        <f t="shared" si="2"/>
        <v>186165740.95999989</v>
      </c>
      <c r="K35" s="18">
        <v>0.156999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199272</v>
      </c>
      <c r="D36" s="7" t="s">
        <v>51</v>
      </c>
      <c r="E36" s="34" t="s">
        <v>53</v>
      </c>
      <c r="F36" s="34" t="s">
        <v>58</v>
      </c>
      <c r="G36" s="15">
        <v>924.00199997992706</v>
      </c>
      <c r="H36" s="15">
        <v>924.39995373158308</v>
      </c>
      <c r="I36" s="16">
        <f t="shared" si="1"/>
        <v>184127726.54000002</v>
      </c>
      <c r="J36" s="16">
        <f t="shared" si="2"/>
        <v>184207027.58000001</v>
      </c>
      <c r="K36" s="18">
        <v>0.15720000000000001</v>
      </c>
      <c r="L36" s="17"/>
      <c r="M36" s="17">
        <v>184127726.53999999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1466400</v>
      </c>
      <c r="D37" s="7" t="s">
        <v>51</v>
      </c>
      <c r="E37" s="34" t="s">
        <v>53</v>
      </c>
      <c r="F37" s="34" t="s">
        <v>58</v>
      </c>
      <c r="G37" s="15">
        <v>887.24700000000007</v>
      </c>
      <c r="H37" s="15">
        <v>887.6286353177851</v>
      </c>
      <c r="I37" s="16">
        <f t="shared" si="1"/>
        <v>1301059000.8000002</v>
      </c>
      <c r="J37" s="16">
        <f t="shared" si="2"/>
        <v>1301618630.8300002</v>
      </c>
      <c r="K37" s="18">
        <v>0.156999</v>
      </c>
      <c r="L37" s="17"/>
      <c r="M37" s="17">
        <v>1301059000.8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1485186727.3399999</v>
      </c>
      <c r="N39" s="38">
        <v>1485186727.3399999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31759451309.995632</v>
      </c>
      <c r="C46" s="32">
        <v>31759451309.995655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339345.66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46403.090000000004</v>
      </c>
    </row>
    <row r="56" spans="1:2" x14ac:dyDescent="0.25">
      <c r="A56" s="48" t="s">
        <v>41</v>
      </c>
      <c r="B56" s="50">
        <v>23105.260000000002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408854.01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2025-07-24T05:11:43Z</dcterms:created>
  <dcterms:modified xsi:type="dcterms:W3CDTF">2025-07-24T07:17:22Z</dcterms:modified>
</cp:coreProperties>
</file>