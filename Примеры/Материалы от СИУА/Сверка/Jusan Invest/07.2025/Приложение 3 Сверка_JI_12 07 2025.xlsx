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B97973A1-528F-4BFF-A55D-11D9C45436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J33" i="1"/>
  <c r="I33" i="1"/>
  <c r="J32" i="1"/>
  <c r="I32" i="1"/>
  <c r="L24" i="1"/>
  <c r="B42" i="1" s="1"/>
  <c r="K24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  <c r="M22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<sst xmlns="http://schemas.openxmlformats.org/spreadsheetml/2006/main" count="140" uniqueCount="117">
  <si>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</si>
  <si>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</si>
  <si>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</si>
  <si>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</si>
  <si>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</si>
  <si>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</si>
  <si>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</si>
  <si>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</si>
  <si>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</si>
  <si>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</si>
  <si>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</si>
  <si>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</si>
  <si>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</si>
  <si>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</si>
  <si>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</si>
  <si>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</si>
  <si>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</si>
  <si>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</si>
  <si>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</si>
  <si>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</si>
  <si>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</si>
  <si>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</si>
  <si>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</si>
  <si>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</si>
  <si>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</si>
  <si>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</si>
  <si>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</si>
  <si>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</si>
  <si>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</si>
  <si>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</si>
  <si>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</si>
  <si>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</si>
  <si>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</si>
  <si>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</si>
  <si>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</si>
  <si>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</si>
  <si>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</si>
  <si>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</si>
  <si>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</si>
  <si>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</si>
  <si>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</si>
  <si>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</si>
  <si>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</si>
  <si>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</si>
  <si>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</si>
  <si>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</si>
  <si>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</si>
  <si>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</si>
  <si>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</si>
  <si>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</si>
  <si>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</si>
  <si>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</si>
  <si>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11.07.2025</t>
  </si>
  <si>
    <t>14.07.2025</t>
  </si>
  <si>
    <t>МИНИСТЕРСТВО ФИНАНСОВ РК, ГЦБ, MUM180_0009</t>
  </si>
  <si>
    <t>KZKD00000717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</si>
  <si>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</si>
  <si>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</si>
  <si>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</si>
  <si>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</si>
  <si>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</si>
  <si>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</si>
  <si>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</si>
  <si>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</si>
  <si>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</si>
  <si>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</si>
  <si>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</si>
  <si>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</si>
  <si>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</si>
  <si>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</si>
  <si>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</si>
  <si>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</si>
  <si>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</si>
  <si>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</si>
  <si>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</si>
  <si>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</si>
  <si>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</si>
  <si>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</si>
  <si>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</si>
  <si>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</si>
  <si>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</si>
  <si>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</si>
  <si>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</si>
  <si>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</si>
  <si>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</si>
  <si>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</si>
  <si>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</si>
  <si>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</si>
  <si>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</si>
  <si>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</si>
  <si>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</si>
  <si>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</si>
  <si>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</si>
  <si>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</si>
  <si>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</si>
  <si>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</si>
  <si>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</si>
  <si>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</si>
  <si>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</si>
  <si>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</si>
  <si>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</si>
  <si>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</si>
  <si>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</si>
  <si>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</si>
  <si>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</si>
  <si>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</si>
  <si>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</si>
  <si>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</si>
  <si>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</si>
  <si>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</si>
  <si>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</si>
  <si>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</si>
  <si>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</si>
  <si>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</si>
  <si>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</si>
  <si>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</si>
  <si>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12.07.2025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</si>
</sst>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3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97.20450000000001</v>
      </c>
      <c r="J4" s="11">
        <v>102.27275</v>
      </c>
      <c r="K4" s="11">
        <v>153061150</v>
      </c>
      <c r="L4" s="11">
        <v>3088637049.999999</v>
      </c>
      <c r="M4" s="6">
        <f t="shared" ref="M4:M22" si="0">L4/$L$24</f>
        <v>0.10137948978579492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82.770800000000008</v>
      </c>
      <c r="J5" s="11">
        <v>92.851911111111107</v>
      </c>
      <c r="K5" s="11">
        <v>228337166.66666701</v>
      </c>
      <c r="L5" s="11">
        <v>2103095786.666666</v>
      </c>
      <c r="M5" s="6">
        <f t="shared" si="0"/>
        <v>6.9030700069767567E-2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82.770800000000008</v>
      </c>
      <c r="J6" s="11">
        <v>92.851911111111392</v>
      </c>
      <c r="K6" s="11">
        <v>156423157.31111199</v>
      </c>
      <c r="L6" s="11">
        <v>1440732964.6791151</v>
      </c>
      <c r="M6" s="6">
        <f t="shared" si="0"/>
        <v>4.7289717280554033E-2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82.770800000000008</v>
      </c>
      <c r="J7" s="11">
        <v>92.851911111111107</v>
      </c>
      <c r="K7" s="11">
        <v>55011816.844444454</v>
      </c>
      <c r="L7" s="11">
        <v>506685450.78044403</v>
      </c>
      <c r="M7" s="6">
        <f t="shared" si="0"/>
        <v>1.6631126173276636E-2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85.7864</v>
      </c>
      <c r="J8" s="11">
        <v>88.386399999999981</v>
      </c>
      <c r="K8" s="11">
        <v>58889999.999999993</v>
      </c>
      <c r="L8" s="11">
        <v>2001951959.999999</v>
      </c>
      <c r="M8" s="6">
        <f t="shared" si="0"/>
        <v>6.5710818394952589E-2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84.539100000000005</v>
      </c>
      <c r="J9" s="11">
        <v>87.655766666666651</v>
      </c>
      <c r="K9" s="11">
        <v>70592499.999999985</v>
      </c>
      <c r="L9" s="11">
        <v>1985403114.999999</v>
      </c>
      <c r="M9" s="6">
        <f t="shared" si="0"/>
        <v>6.5167629462266508E-2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78.711399999999998</v>
      </c>
      <c r="J10" s="11">
        <v>82.001677777777772</v>
      </c>
      <c r="K10" s="11">
        <v>74524791.666666657</v>
      </c>
      <c r="L10" s="11">
        <v>1857338001.666666</v>
      </c>
      <c r="M10" s="6">
        <f t="shared" si="0"/>
        <v>6.0964100320150788E-2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69.842100000000002</v>
      </c>
      <c r="J11" s="11">
        <v>71.860711111111101</v>
      </c>
      <c r="K11" s="11">
        <v>45721541.666666657</v>
      </c>
      <c r="L11" s="11">
        <v>1627645106.666666</v>
      </c>
      <c r="M11" s="6">
        <f t="shared" si="0"/>
        <v>5.3424804467139451E-2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78.160899999999998</v>
      </c>
      <c r="J12" s="11">
        <v>88.39673333333333</v>
      </c>
      <c r="K12" s="11">
        <v>231841625</v>
      </c>
      <c r="L12" s="11">
        <v>2002186010</v>
      </c>
      <c r="M12" s="6">
        <f t="shared" si="0"/>
        <v>6.5718500705693655E-2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64.449799999999996</v>
      </c>
      <c r="J13" s="11">
        <v>65.794800000000009</v>
      </c>
      <c r="K13" s="11">
        <v>30464250</v>
      </c>
      <c r="L13" s="11">
        <v>1490252220</v>
      </c>
      <c r="M13" s="6">
        <f t="shared" si="0"/>
        <v>4.8915106330071463E-2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63.228300000000004</v>
      </c>
      <c r="J14" s="11">
        <v>66.88221666666665</v>
      </c>
      <c r="K14" s="11">
        <v>82761212.5</v>
      </c>
      <c r="L14" s="11">
        <v>1514882207.5</v>
      </c>
      <c r="M14" s="6">
        <f t="shared" si="0"/>
        <v>4.9723545627327358E-2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83.3249</v>
      </c>
      <c r="J15" s="11">
        <v>84.926149999999993</v>
      </c>
      <c r="K15" s="11">
        <v>60447187.5</v>
      </c>
      <c r="L15" s="11">
        <v>3205962162.5</v>
      </c>
      <c r="M15" s="6">
        <f t="shared" si="0"/>
        <v>0.10523049586121291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58.323</v>
      </c>
      <c r="J16" s="11">
        <v>59.514666666666656</v>
      </c>
      <c r="K16" s="11">
        <v>33412665</v>
      </c>
      <c r="L16" s="11">
        <v>1668707932.8</v>
      </c>
      <c r="M16" s="6">
        <f t="shared" si="0"/>
        <v>5.4772624976694044E-2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85.772800000000004</v>
      </c>
      <c r="J17" s="11">
        <v>89.939466666666661</v>
      </c>
      <c r="K17" s="11">
        <v>43270000</v>
      </c>
      <c r="L17" s="11">
        <v>934003373.44000006</v>
      </c>
      <c r="M17" s="6">
        <f t="shared" si="0"/>
        <v>3.0657142268483283E-2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97.397800000000004</v>
      </c>
      <c r="J18" s="11">
        <v>99.700299999999999</v>
      </c>
      <c r="K18" s="11">
        <v>11673421.725</v>
      </c>
      <c r="L18" s="11">
        <v>505469553.96700001</v>
      </c>
      <c r="M18" s="6">
        <f t="shared" si="0"/>
        <v>1.6591216337130905E-2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94.149003361915589</v>
      </c>
      <c r="J19" s="11">
        <v>106.42317002858201</v>
      </c>
      <c r="K19" s="11">
        <v>257757500</v>
      </c>
      <c r="L19" s="11">
        <v>2234886570.6002269</v>
      </c>
      <c r="M19" s="6">
        <f t="shared" si="0"/>
        <v>7.3356518292292075E-2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99.52300000000001</v>
      </c>
      <c r="J20" s="11">
        <v>104.223388888889</v>
      </c>
      <c r="K20" s="11">
        <v>51704277.777777769</v>
      </c>
      <c r="L20" s="11">
        <v>1146457277.777777</v>
      </c>
      <c r="M20" s="6">
        <f t="shared" si="0"/>
        <v>3.76305962794568E-2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97.4786406831455</v>
      </c>
      <c r="J21" s="11">
        <v>99.176307349812149</v>
      </c>
      <c r="K21" s="11">
        <v>16976666.66666666</v>
      </c>
      <c r="L21" s="11">
        <v>991763073.49812198</v>
      </c>
      <c r="M21" s="6">
        <f t="shared" si="0"/>
        <v>3.2553010519520725E-2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95.516192198095297</v>
      </c>
      <c r="J22" s="11">
        <v>96.557858864748539</v>
      </c>
      <c r="K22" s="11">
        <v>1726447.91664444</v>
      </c>
      <c r="L22" s="11">
        <v>160034029.70384601</v>
      </c>
      <c r="M22" s="6">
        <f t="shared" si="0"/>
        <v>5.2528568482142187E-3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1664597378.2416453</v>
      </c>
      <c r="L24" s="22">
        <f>SUM(L4:L23)</f>
        <v>30466093847.246529</v>
      </c>
      <c r="M24" s="23"/>
      <c r="N24" s="26">
        <v>30466093847.246548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1230739.3999999999</v>
      </c>
      <c r="C27" s="51">
        <v>1230739.3999999999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228880</v>
      </c>
      <c r="D32" s="7" t="s">
        <v>51</v>
      </c>
      <c r="E32" s="34" t="s">
        <v>52</v>
      </c>
      <c r="F32" s="34" t="s">
        <v>53</v>
      </c>
      <c r="G32" s="15">
        <v>87.386399991261783</v>
      </c>
      <c r="H32" s="15">
        <v>87.49837355819642</v>
      </c>
      <c r="I32" s="16">
        <f>+C32*G32</f>
        <v>20000999.229999997</v>
      </c>
      <c r="J32" s="16">
        <f>+C32*H32</f>
        <v>20026627.739999998</v>
      </c>
      <c r="K32" s="18">
        <v>0.15589899999999998</v>
      </c>
      <c r="L32" s="17">
        <v>8542.8366666666661</v>
      </c>
      <c r="M32" s="17">
        <v>20009542.066666659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1619800</v>
      </c>
      <c r="D33" s="7" t="s">
        <v>51</v>
      </c>
      <c r="E33" s="34" t="s">
        <v>52</v>
      </c>
      <c r="F33" s="34" t="s">
        <v>53</v>
      </c>
      <c r="G33" s="15">
        <v>802.99200000000008</v>
      </c>
      <c r="H33" s="15">
        <v>804.02158313989401</v>
      </c>
      <c r="I33" s="16">
        <f>+C33*G33</f>
        <v>1300686441.6000001</v>
      </c>
      <c r="J33" s="16">
        <f>+C33*H33</f>
        <v>1302354160.3700004</v>
      </c>
      <c r="K33" s="18">
        <v>0.155999</v>
      </c>
      <c r="L33" s="17">
        <v>555906.2566666666</v>
      </c>
      <c r="M33" s="17">
        <v>1301242347.8566661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1321251889.9233327</v>
      </c>
      <c r="N35" s="38">
        <v>1321251889.9233332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31788576476.569862</v>
      </c>
      <c r="C42" s="32">
        <v>31788576476.569881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177277.11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25783.93</v>
      </c>
    </row>
    <row r="52" spans="1:2" x14ac:dyDescent="0.25">
      <c r="A52" s="48" t="s">
        <v>41</v>
      </c>
      <c r="B52" s="50">
        <v>12821.980000000003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215883.02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2025-07-14T05:59:10Z</dcterms:created>
  <dcterms:modified xsi:type="dcterms:W3CDTF">2025-07-14T10:22:33Z</dcterms:modified>
</cp:coreProperties>
</file>