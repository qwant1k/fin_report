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3A964077-3FA4-47EC-ABD3-FDF3441A8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O42" i="1"/>
  <c r="O24" i="1"/>
  <c r="D27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5" i="1"/>
  <c r="M11" i="1"/>
  <c r="M7" i="1"/>
  <c r="M4" i="1" l="1"/>
  <c r="M8" i="1"/>
  <c r="M12" i="1"/>
  <c r="M16" i="1"/>
  <c r="M20" i="1"/>
  <c r="M5" i="1"/>
  <c r="M9" i="1"/>
  <c r="M13" i="1"/>
  <c r="M17" i="1"/>
  <c r="M21" i="1"/>
  <c r="B49" i="1"/>
  <c r="M6" i="1"/>
  <c r="M10" i="1"/>
  <c r="M14" i="1"/>
  <c r="M18" i="1"/>
</calcChain>
</file>

<file path=xl/sharedStrings.xml><?xml version="1.0" encoding="utf-8"?>
<sst xmlns="http://schemas.openxmlformats.org/spreadsheetml/2006/main" count="175" uniqueCount="123">
  <si>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</si>
  <si>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</si>
  <si>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</si>
  <si>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</si>
  <si>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</si>
  <si>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</si>
  <si>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</si>
  <si>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</si>
  <si>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</si>
  <si>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</si>
  <si>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</si>
  <si>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</si>
  <si>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</si>
  <si>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</si>
  <si>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</si>
  <si>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</si>
  <si>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</si>
  <si>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</si>
  <si>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</si>
  <si>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</si>
  <si>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</si>
  <si>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</si>
  <si>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</si>
  <si>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</si>
  <si>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</si>
  <si>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</si>
  <si>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</si>
  <si>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</si>
  <si>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</si>
  <si>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</si>
  <si>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</si>
  <si>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</si>
  <si>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</si>
  <si>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</si>
  <si>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</si>
  <si>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</si>
  <si>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</si>
  <si>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</si>
  <si>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</si>
  <si>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</si>
  <si>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</si>
  <si>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</si>
  <si>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</si>
  <si>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</si>
  <si>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</si>
  <si>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</si>
  <si>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</si>
  <si>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</si>
  <si>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</si>
  <si>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MUM084_0019</t>
  </si>
  <si>
    <t>KZKD00001244</t>
  </si>
  <si>
    <t>KZT</t>
  </si>
  <si>
    <t>30.07.2025</t>
  </si>
  <si>
    <t>31.07.2025</t>
  </si>
  <si>
    <t>МИНИСТЕРСТВО ФИНАНСОВ РК, ОБЛИГАЦИИ, MFKZ.0435</t>
  </si>
  <si>
    <t>XS2914770545</t>
  </si>
  <si>
    <t>МИНИСТЕРСТВО ФИНАНСОВ РК, ГЦБ, KZ_25_3707</t>
  </si>
  <si>
    <t>XS3093658014</t>
  </si>
  <si>
    <t>МИНИСТЕРСТВО ФИНАНСОВ РК, ГЦБ, MUM072_0015</t>
  </si>
  <si>
    <t>KZKD00001251</t>
  </si>
  <si>
    <t>01.08.2025</t>
  </si>
  <si>
    <t>МИНИСТЕРСТВО ФИНАНСОВ РК, ГЦБ, MKM012_0161</t>
  </si>
  <si>
    <t>KZK100000423</t>
  </si>
  <si>
    <t>МИНИСТЕРСТВО ФИНАНСОВ РК, ГЦБ, MUM120_0017</t>
  </si>
  <si>
    <t>KZKD00000899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</si>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</sst>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9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97.691600000000008</v>
      </c>
      <c r="J4" s="11">
        <v>97.958349999999982</v>
      </c>
      <c r="K4" s="11">
        <v>8055850</v>
      </c>
      <c r="L4" s="11">
        <v>2958342169.999999</v>
      </c>
      <c r="M4" s="6">
        <f t="shared" ref="M4:M22" si="0">L4/$L$24</f>
        <v>9.9640085399951867E-2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82.987800000000007</v>
      </c>
      <c r="J5" s="11">
        <v>83.046411111111112</v>
      </c>
      <c r="K5" s="11">
        <v>1327541.66666667</v>
      </c>
      <c r="L5" s="11">
        <v>1881001211.666666</v>
      </c>
      <c r="M5" s="6">
        <f t="shared" si="0"/>
        <v>6.3354105305499397E-2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82.987800000000007</v>
      </c>
      <c r="J6" s="11">
        <v>83.046411111111354</v>
      </c>
      <c r="K6" s="11">
        <v>909436.9611111111</v>
      </c>
      <c r="L6" s="11">
        <v>1288586316.1491151</v>
      </c>
      <c r="M6" s="6">
        <f t="shared" si="0"/>
        <v>4.340094661406501E-2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82.987800000000007</v>
      </c>
      <c r="J7" s="11">
        <v>83.046411111111112</v>
      </c>
      <c r="K7" s="11">
        <v>319836.14444444439</v>
      </c>
      <c r="L7" s="11">
        <v>453177621.72044402</v>
      </c>
      <c r="M7" s="6">
        <f t="shared" si="0"/>
        <v>1.5263500411641746E-2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86.545200000000008</v>
      </c>
      <c r="J8" s="11">
        <v>89.665199999999984</v>
      </c>
      <c r="K8" s="11">
        <v>70667999.999999985</v>
      </c>
      <c r="L8" s="11">
        <v>2030916779.999999</v>
      </c>
      <c r="M8" s="6">
        <f t="shared" si="0"/>
        <v>6.8403419811101568E-2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84.87</v>
      </c>
      <c r="J9" s="11">
        <v>88.536666666666662</v>
      </c>
      <c r="K9" s="11">
        <v>83049999.999999985</v>
      </c>
      <c r="L9" s="11">
        <v>2005355499.999999</v>
      </c>
      <c r="M9" s="6">
        <f t="shared" si="0"/>
        <v>6.75424889330037E-2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78.102000000000004</v>
      </c>
      <c r="J10" s="11">
        <v>81.907277777777765</v>
      </c>
      <c r="K10" s="11">
        <v>86189541.666666657</v>
      </c>
      <c r="L10" s="11">
        <v>1855199841.666666</v>
      </c>
      <c r="M10" s="6">
        <f t="shared" si="0"/>
        <v>6.2485087942901425E-2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68.824200000000005</v>
      </c>
      <c r="J11" s="11">
        <v>71.265311111111103</v>
      </c>
      <c r="K11" s="11">
        <v>55291166.666666657</v>
      </c>
      <c r="L11" s="11">
        <v>1614159296.666666</v>
      </c>
      <c r="M11" s="6">
        <f t="shared" si="0"/>
        <v>5.436658808436378E-2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77.014300000000006</v>
      </c>
      <c r="J12" s="11">
        <v>77.132633333333331</v>
      </c>
      <c r="K12" s="11">
        <v>2680250</v>
      </c>
      <c r="L12" s="11">
        <v>1747054145</v>
      </c>
      <c r="M12" s="6">
        <f t="shared" si="0"/>
        <v>5.8842626783141838E-2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62.820100000000004</v>
      </c>
      <c r="J13" s="11">
        <v>64.568600000000004</v>
      </c>
      <c r="K13" s="11">
        <v>39603525</v>
      </c>
      <c r="L13" s="11">
        <v>1462478790</v>
      </c>
      <c r="M13" s="6">
        <f t="shared" si="0"/>
        <v>4.9257828593647204E-2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61.4587</v>
      </c>
      <c r="J14" s="11">
        <v>65.516116666666662</v>
      </c>
      <c r="K14" s="11">
        <v>91900487.5</v>
      </c>
      <c r="L14" s="11">
        <v>1483940042.5</v>
      </c>
      <c r="M14" s="6">
        <f t="shared" si="0"/>
        <v>4.9980666219928249E-2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84.4221</v>
      </c>
      <c r="J15" s="11">
        <v>86.297849999999997</v>
      </c>
      <c r="K15" s="11">
        <v>70809562.5</v>
      </c>
      <c r="L15" s="11">
        <v>3257743837.5</v>
      </c>
      <c r="M15" s="6">
        <f t="shared" si="0"/>
        <v>0.10972424943652377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57.3782</v>
      </c>
      <c r="J16" s="11">
        <v>58.844866666666654</v>
      </c>
      <c r="K16" s="11">
        <v>41123280</v>
      </c>
      <c r="L16" s="11">
        <v>1649927678.52</v>
      </c>
      <c r="M16" s="6">
        <f t="shared" si="0"/>
        <v>5.5571304921593019E-2</v>
      </c>
    </row>
    <row r="17" spans="1:15" x14ac:dyDescent="0.25">
      <c r="A17" s="1" t="s">
        <v>58</v>
      </c>
      <c r="B17" s="13" t="s">
        <v>59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102</v>
      </c>
      <c r="H17" s="11">
        <v>979029096.96000004</v>
      </c>
      <c r="I17" s="11">
        <v>85.63</v>
      </c>
      <c r="J17" s="11">
        <v>90.396666666666661</v>
      </c>
      <c r="K17" s="11">
        <v>49500880</v>
      </c>
      <c r="L17" s="11">
        <v>938751304</v>
      </c>
      <c r="M17" s="6">
        <f t="shared" si="0"/>
        <v>3.1618134321452142E-2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98.139499999999998</v>
      </c>
      <c r="J18" s="11">
        <v>101.20950000000001</v>
      </c>
      <c r="K18" s="11">
        <v>15564562.300000001</v>
      </c>
      <c r="L18" s="11">
        <v>513121031.95499998</v>
      </c>
      <c r="M18" s="6">
        <f t="shared" si="0"/>
        <v>1.7282457709923271E-2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93.235330027991196</v>
      </c>
      <c r="J19" s="11">
        <v>106.224496694658</v>
      </c>
      <c r="K19" s="11">
        <v>272772500</v>
      </c>
      <c r="L19" s="11">
        <v>2230714430.5878148</v>
      </c>
      <c r="M19" s="6">
        <f t="shared" si="0"/>
        <v>7.513281547369989E-2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99.6738</v>
      </c>
      <c r="J20" s="11">
        <v>105.06768888888901</v>
      </c>
      <c r="K20" s="11">
        <v>59332777.777777769</v>
      </c>
      <c r="L20" s="11">
        <v>1155744577.777777</v>
      </c>
      <c r="M20" s="6">
        <f t="shared" si="0"/>
        <v>3.8926696714839122E-2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97.905443220013197</v>
      </c>
      <c r="J21" s="11">
        <v>100.29760988668001</v>
      </c>
      <c r="K21" s="11">
        <v>23921666.66666666</v>
      </c>
      <c r="L21" s="11">
        <v>1002976098.866798</v>
      </c>
      <c r="M21" s="6">
        <f t="shared" si="0"/>
        <v>3.3781293171100069E-2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95.528732619994699</v>
      </c>
      <c r="J22" s="11">
        <v>97.195399286647941</v>
      </c>
      <c r="K22" s="11">
        <v>2762316.66664444</v>
      </c>
      <c r="L22" s="11">
        <v>161090682.823697</v>
      </c>
      <c r="M22" s="6">
        <f t="shared" si="0"/>
        <v>5.4257041516227759E-3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975783181.51664436</v>
      </c>
      <c r="L24" s="22">
        <f>SUM(L4:L23)</f>
        <v>29690281357.400646</v>
      </c>
      <c r="M24" s="23"/>
      <c r="N24" s="26">
        <v>29690281357.400669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3535784.58</v>
      </c>
      <c r="C27" s="51">
        <v>3535784.58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996101</v>
      </c>
      <c r="D32" s="7" t="s">
        <v>51</v>
      </c>
      <c r="E32" s="34" t="s">
        <v>52</v>
      </c>
      <c r="F32" s="34" t="s">
        <v>53</v>
      </c>
      <c r="G32" s="15">
        <v>891.21299999698806</v>
      </c>
      <c r="H32" s="15">
        <v>891.595125273441</v>
      </c>
      <c r="I32" s="16">
        <f t="shared" ref="I32:I40" si="1">+C32*G32</f>
        <v>887738160.50999975</v>
      </c>
      <c r="J32" s="16">
        <f t="shared" ref="J32:J40" si="2">+C32*H32</f>
        <v>888118795.87999988</v>
      </c>
      <c r="K32" s="18">
        <v>0.156501</v>
      </c>
      <c r="L32" s="17">
        <v>380635.37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996101</v>
      </c>
      <c r="D33" s="7" t="s">
        <v>51</v>
      </c>
      <c r="E33" s="34" t="s">
        <v>53</v>
      </c>
      <c r="F33" s="34" t="s">
        <v>53</v>
      </c>
      <c r="G33" s="15">
        <v>891.21299999698806</v>
      </c>
      <c r="H33" s="15">
        <v>891.595125273441</v>
      </c>
      <c r="I33" s="16">
        <f t="shared" si="1"/>
        <v>887738160.50999975</v>
      </c>
      <c r="J33" s="16">
        <f t="shared" si="2"/>
        <v>888118795.87999988</v>
      </c>
      <c r="K33" s="18">
        <v>0.156501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9395</v>
      </c>
      <c r="D34" s="7" t="s">
        <v>51</v>
      </c>
      <c r="E34" s="34" t="s">
        <v>52</v>
      </c>
      <c r="F34" s="34" t="s">
        <v>53</v>
      </c>
      <c r="G34" s="15">
        <v>532.46600000000001</v>
      </c>
      <c r="H34" s="15">
        <v>532.69430548163905</v>
      </c>
      <c r="I34" s="16">
        <f t="shared" si="1"/>
        <v>5002518.07</v>
      </c>
      <c r="J34" s="16">
        <f t="shared" si="2"/>
        <v>5004662.9999999991</v>
      </c>
      <c r="K34" s="18">
        <v>0.156501</v>
      </c>
      <c r="L34" s="17">
        <v>2144.9299999999998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9395</v>
      </c>
      <c r="D35" s="7" t="s">
        <v>51</v>
      </c>
      <c r="E35" s="34" t="s">
        <v>53</v>
      </c>
      <c r="F35" s="34" t="s">
        <v>53</v>
      </c>
      <c r="G35" s="15">
        <v>532.46600000000001</v>
      </c>
      <c r="H35" s="15">
        <v>532.69430548163905</v>
      </c>
      <c r="I35" s="16">
        <f t="shared" si="1"/>
        <v>5002518.07</v>
      </c>
      <c r="J35" s="16">
        <f t="shared" si="2"/>
        <v>5004662.9999999991</v>
      </c>
      <c r="K35" s="18">
        <v>0.156501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2379000</v>
      </c>
      <c r="D36" s="7" t="s">
        <v>51</v>
      </c>
      <c r="E36" s="34" t="s">
        <v>52</v>
      </c>
      <c r="F36" s="34" t="s">
        <v>53</v>
      </c>
      <c r="G36" s="15">
        <v>546.72070000000008</v>
      </c>
      <c r="H36" s="15">
        <v>546.95586479613303</v>
      </c>
      <c r="I36" s="16">
        <f t="shared" si="1"/>
        <v>1300648545.3000002</v>
      </c>
      <c r="J36" s="16">
        <f t="shared" si="2"/>
        <v>1301208002.3500004</v>
      </c>
      <c r="K36" s="18">
        <v>0.157</v>
      </c>
      <c r="L36" s="17">
        <v>559457.05000000005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2379000</v>
      </c>
      <c r="D37" s="7" t="s">
        <v>51</v>
      </c>
      <c r="E37" s="34" t="s">
        <v>53</v>
      </c>
      <c r="F37" s="34" t="s">
        <v>53</v>
      </c>
      <c r="G37" s="15">
        <v>546.72070000000008</v>
      </c>
      <c r="H37" s="15">
        <v>546.95586479613303</v>
      </c>
      <c r="I37" s="16">
        <f t="shared" si="1"/>
        <v>1300648545.3000002</v>
      </c>
      <c r="J37" s="16">
        <f t="shared" si="2"/>
        <v>1301208002.3500004</v>
      </c>
      <c r="K37" s="18">
        <v>0.157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1439100</v>
      </c>
      <c r="D38" s="7" t="s">
        <v>51</v>
      </c>
      <c r="E38" s="34" t="s">
        <v>53</v>
      </c>
      <c r="F38" s="34" t="s">
        <v>60</v>
      </c>
      <c r="G38" s="15">
        <v>903.9670000000001</v>
      </c>
      <c r="H38" s="15">
        <v>904.35533432006105</v>
      </c>
      <c r="I38" s="16">
        <f t="shared" si="1"/>
        <v>1300898909.7</v>
      </c>
      <c r="J38" s="16">
        <f t="shared" si="2"/>
        <v>1301457761.6199999</v>
      </c>
      <c r="K38" s="18">
        <v>0.15679999999999999</v>
      </c>
      <c r="L38" s="17"/>
      <c r="M38" s="17">
        <v>1300898909.7</v>
      </c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10022213</v>
      </c>
      <c r="D39" s="7" t="s">
        <v>51</v>
      </c>
      <c r="E39" s="34" t="s">
        <v>53</v>
      </c>
      <c r="F39" s="34" t="s">
        <v>60</v>
      </c>
      <c r="G39" s="15">
        <v>88.503700000189568</v>
      </c>
      <c r="H39" s="15">
        <v>88.541743982092569</v>
      </c>
      <c r="I39" s="16">
        <f t="shared" si="1"/>
        <v>887002932.68999994</v>
      </c>
      <c r="J39" s="16">
        <f t="shared" si="2"/>
        <v>887384217.57999992</v>
      </c>
      <c r="K39" s="18">
        <v>0.15689799999999998</v>
      </c>
      <c r="L39" s="17"/>
      <c r="M39" s="17">
        <v>887002932.69000006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6456</v>
      </c>
      <c r="D40" s="7" t="s">
        <v>51</v>
      </c>
      <c r="E40" s="34" t="s">
        <v>53</v>
      </c>
      <c r="F40" s="34" t="s">
        <v>60</v>
      </c>
      <c r="G40" s="15">
        <v>930.19800030978899</v>
      </c>
      <c r="H40" s="15">
        <v>930.596838599752</v>
      </c>
      <c r="I40" s="16">
        <f t="shared" si="1"/>
        <v>6005358.2899999982</v>
      </c>
      <c r="J40" s="16">
        <f t="shared" si="2"/>
        <v>6007933.1899999985</v>
      </c>
      <c r="K40" s="18">
        <v>0.1565</v>
      </c>
      <c r="L40" s="17"/>
      <c r="M40" s="17">
        <v>6005358.29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2193907200.6800003</v>
      </c>
      <c r="N42" s="38">
        <v>2193907200.6800003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31887724342.660648</v>
      </c>
      <c r="C49" s="32">
        <v>31887724342.660671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461017.86999999994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68596.570000000007</v>
      </c>
    </row>
    <row r="59" spans="1:4" x14ac:dyDescent="0.25">
      <c r="A59" s="48" t="s">
        <v>41</v>
      </c>
      <c r="B59" s="50">
        <v>34148.090000000004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563762.52999999991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2025-08-01T05:48:23Z</dcterms:created>
  <dcterms:modified xsi:type="dcterms:W3CDTF">2025-08-01T07:17:48Z</dcterms:modified>
</cp:coreProperties>
</file>