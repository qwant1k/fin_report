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A2FB981D-A522-4FD9-8201-DD192D9493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5" i="1"/>
  <c r="O24" i="1"/>
  <c r="D27" i="1"/>
  <c r="B56" i="1"/>
  <c r="B42" i="1"/>
  <c r="G40" i="1"/>
  <c r="M35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<sst xmlns="http://schemas.openxmlformats.org/spreadsheetml/2006/main" count="140" uniqueCount="117">
  <si>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</si>
  <si>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</si>
  <si>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</si>
  <si>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</si>
  <si>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</si>
  <si>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</si>
  <si>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</si>
  <si>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</si>
  <si>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</si>
  <si>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</si>
  <si>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</si>
  <si>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</si>
  <si>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</si>
  <si>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</si>
  <si>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</si>
  <si>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</si>
  <si>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</si>
  <si>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</si>
  <si>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</si>
  <si>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</si>
  <si>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</si>
  <si>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</si>
  <si>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</si>
  <si>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</si>
  <si>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</si>
  <si>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</si>
  <si>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</si>
  <si>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</si>
  <si>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</si>
  <si>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</si>
  <si>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</si>
  <si>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</si>
  <si>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</si>
  <si>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</si>
  <si>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</si>
  <si>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</si>
  <si>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</si>
  <si>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</si>
  <si>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</si>
  <si>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</si>
  <si>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</si>
  <si>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</si>
  <si>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</si>
  <si>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</si>
  <si>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</si>
  <si>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</si>
  <si>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</si>
  <si>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</si>
  <si>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</si>
  <si>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MUM096_0011</t>
  </si>
  <si>
    <t>KZKD00001095</t>
  </si>
  <si>
    <t>KZT</t>
  </si>
  <si>
    <t>04.07.2025</t>
  </si>
  <si>
    <t>08.07.2025</t>
  </si>
  <si>
    <t>МИНИСТЕРСТВО ФИНАНСОВ РК, ОБЛИГАЦИИ, KZ_14_2609</t>
  </si>
  <si>
    <t>XS2050933899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</si>
  <si>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</si>
  <si>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</si>
  <si>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</si>
  <si>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</si>
  <si>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</si>
  <si>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</si>
  <si>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</si>
  <si>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</si>
  <si>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</si>
  <si>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</si>
  <si>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</si>
  <si>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</si>
  <si>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</si>
  <si>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</si>
  <si>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</si>
  <si>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</si>
  <si>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</si>
  <si>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</si>
  <si>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</si>
  <si>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</si>
  <si>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</si>
  <si>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</si>
  <si>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</si>
  <si>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</si>
  <si>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</si>
  <si>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</si>
  <si>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</si>
  <si>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</si>
  <si>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</si>
  <si>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</si>
  <si>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</si>
  <si>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</si>
  <si>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</si>
  <si>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</si>
  <si>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</si>
  <si>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</si>
  <si>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</si>
  <si>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</si>
  <si>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</si>
  <si>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</si>
  <si>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</si>
  <si>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</si>
  <si>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</si>
  <si>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</si>
  <si>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</si>
  <si>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</si>
  <si>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</si>
  <si>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</si>
  <si>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</si>
  <si>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</si>
  <si>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</si>
  <si>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</si>
  <si>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</si>
  <si>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</si>
  <si>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</si>
  <si>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</si>
  <si>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</si>
  <si>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</si>
  <si>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</si>
  <si>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</si>
  <si>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06.07.2025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</si>
</sst>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A13" zoomScale="90" zoomScaleNormal="90" workbookViewId="0">
      <selection activeCell="D43" sqref="D4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116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56</v>
      </c>
      <c r="B4" s="13" t="s">
        <v>57</v>
      </c>
      <c r="C4" s="10">
        <v>3020000</v>
      </c>
      <c r="D4" s="11">
        <v>3020000000</v>
      </c>
      <c r="E4" s="3">
        <v>0.1067</v>
      </c>
      <c r="F4" s="4" t="s">
        <v>58</v>
      </c>
      <c r="G4" s="4" t="s">
        <v>59</v>
      </c>
      <c r="H4" s="11">
        <v>2930617060.0000029</v>
      </c>
      <c r="I4" s="11">
        <v>97.051700000000011</v>
      </c>
      <c r="J4" s="11">
        <v>101.942116666667</v>
      </c>
      <c r="K4" s="11">
        <v>147690583.33333299</v>
      </c>
      <c r="L4" s="11">
        <v>3078651923.333333</v>
      </c>
      <c r="M4" s="6">
        <f t="shared" ref="M4:M22" si="0">L4/$L$24</f>
        <v>9.9515898525857918E-2</v>
      </c>
    </row>
    <row r="5" spans="1:13" x14ac:dyDescent="0.25">
      <c r="A5" s="1" t="s">
        <v>60</v>
      </c>
      <c r="B5" s="13" t="s">
        <v>61</v>
      </c>
      <c r="C5" s="10">
        <v>2265000</v>
      </c>
      <c r="D5" s="11">
        <v>2265000000</v>
      </c>
      <c r="E5" s="3">
        <v>0.10550000000000001</v>
      </c>
      <c r="F5" s="4" t="s">
        <v>58</v>
      </c>
      <c r="G5" s="4" t="s">
        <v>62</v>
      </c>
      <c r="H5" s="11">
        <v>2039188560.0000031</v>
      </c>
      <c r="I5" s="11">
        <v>84.138400000000004</v>
      </c>
      <c r="J5" s="11">
        <v>94.043677777777759</v>
      </c>
      <c r="K5" s="11">
        <v>224354541.66666701</v>
      </c>
      <c r="L5" s="11">
        <v>2130089301.666666</v>
      </c>
      <c r="M5" s="6">
        <f t="shared" si="0"/>
        <v>6.8854081615748852E-2</v>
      </c>
    </row>
    <row r="6" spans="1:13" x14ac:dyDescent="0.25">
      <c r="A6" s="1" t="s">
        <v>60</v>
      </c>
      <c r="B6" s="13" t="s">
        <v>61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84.138400000000004</v>
      </c>
      <c r="J6" s="11">
        <v>94.043677777778058</v>
      </c>
      <c r="K6" s="11">
        <v>153694846.42777801</v>
      </c>
      <c r="L6" s="11">
        <v>1459224964.4917819</v>
      </c>
      <c r="M6" s="6">
        <f t="shared" si="0"/>
        <v>4.7168724204304888E-2</v>
      </c>
    </row>
    <row r="7" spans="1:13" x14ac:dyDescent="0.25">
      <c r="A7" s="1" t="s">
        <v>60</v>
      </c>
      <c r="B7" s="13" t="s">
        <v>61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84.138400000000004</v>
      </c>
      <c r="J7" s="11">
        <v>94.043677777777773</v>
      </c>
      <c r="K7" s="11">
        <v>54052308.411111116</v>
      </c>
      <c r="L7" s="11">
        <v>513188826.13911098</v>
      </c>
      <c r="M7" s="6">
        <f t="shared" si="0"/>
        <v>1.6588574615921069E-2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58</v>
      </c>
      <c r="G8" s="4" t="s">
        <v>67</v>
      </c>
      <c r="H8" s="11">
        <v>2073109200</v>
      </c>
      <c r="I8" s="11">
        <v>86.352800000000002</v>
      </c>
      <c r="J8" s="11">
        <v>88.77946666666665</v>
      </c>
      <c r="K8" s="11">
        <v>54963999.999999993</v>
      </c>
      <c r="L8" s="11">
        <v>2010854919.999999</v>
      </c>
      <c r="M8" s="6">
        <f t="shared" si="0"/>
        <v>6.4999889286696547E-2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58</v>
      </c>
      <c r="G9" s="4" t="s">
        <v>70</v>
      </c>
      <c r="H9" s="11">
        <v>2080889475</v>
      </c>
      <c r="I9" s="11">
        <v>85.729300000000009</v>
      </c>
      <c r="J9" s="11">
        <v>88.662633333333332</v>
      </c>
      <c r="K9" s="11">
        <v>66439999.999999993</v>
      </c>
      <c r="L9" s="11">
        <v>2008208644.999999</v>
      </c>
      <c r="M9" s="6">
        <f t="shared" si="0"/>
        <v>6.4914349758055587E-2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58</v>
      </c>
      <c r="G10" s="4" t="s">
        <v>73</v>
      </c>
      <c r="H10" s="11">
        <v>1963990560.0000031</v>
      </c>
      <c r="I10" s="11">
        <v>81.055500000000009</v>
      </c>
      <c r="J10" s="11">
        <v>84.174111111111102</v>
      </c>
      <c r="K10" s="11">
        <v>70636541.666666657</v>
      </c>
      <c r="L10" s="11">
        <v>1906543616.666666</v>
      </c>
      <c r="M10" s="6">
        <f t="shared" si="0"/>
        <v>6.1628078073176648E-2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58</v>
      </c>
      <c r="G11" s="4" t="s">
        <v>76</v>
      </c>
      <c r="H11" s="11">
        <v>1740247065.0000031</v>
      </c>
      <c r="I11" s="11">
        <v>72.584699999999998</v>
      </c>
      <c r="J11" s="11">
        <v>74.462477777777764</v>
      </c>
      <c r="K11" s="11">
        <v>42531666.666666657</v>
      </c>
      <c r="L11" s="11">
        <v>1686575121.666666</v>
      </c>
      <c r="M11" s="6">
        <f t="shared" si="0"/>
        <v>5.4517705425526225E-2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58</v>
      </c>
      <c r="G12" s="4" t="s">
        <v>79</v>
      </c>
      <c r="H12" s="11">
        <v>1967775375</v>
      </c>
      <c r="I12" s="11">
        <v>81.188100000000006</v>
      </c>
      <c r="J12" s="11">
        <v>91.246433333333329</v>
      </c>
      <c r="K12" s="11">
        <v>227821250</v>
      </c>
      <c r="L12" s="11">
        <v>2066731715</v>
      </c>
      <c r="M12" s="6">
        <f t="shared" si="0"/>
        <v>6.680607900857638E-2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58</v>
      </c>
      <c r="G13" s="4" t="s">
        <v>82</v>
      </c>
      <c r="H13" s="11">
        <v>1622351550</v>
      </c>
      <c r="I13" s="11">
        <v>67.881500000000003</v>
      </c>
      <c r="J13" s="11">
        <v>69.091999999999999</v>
      </c>
      <c r="K13" s="11">
        <v>27417825</v>
      </c>
      <c r="L13" s="11">
        <v>1564933800</v>
      </c>
      <c r="M13" s="6">
        <f t="shared" si="0"/>
        <v>5.0585709953162292E-2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58</v>
      </c>
      <c r="G14" s="4" t="s">
        <v>85</v>
      </c>
      <c r="H14" s="11">
        <v>1597764975</v>
      </c>
      <c r="I14" s="11">
        <v>66.842500000000001</v>
      </c>
      <c r="J14" s="11">
        <v>70.361916666666659</v>
      </c>
      <c r="K14" s="11">
        <v>79714787.5</v>
      </c>
      <c r="L14" s="11">
        <v>1593697412.5</v>
      </c>
      <c r="M14" s="6">
        <f t="shared" si="0"/>
        <v>5.1515479480237596E-2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58</v>
      </c>
      <c r="G15" s="4" t="s">
        <v>88</v>
      </c>
      <c r="H15" s="11">
        <v>3136670150</v>
      </c>
      <c r="I15" s="11">
        <v>83.278900000000007</v>
      </c>
      <c r="J15" s="11">
        <v>84.78864999999999</v>
      </c>
      <c r="K15" s="11">
        <v>56993062.5</v>
      </c>
      <c r="L15" s="11">
        <v>3200771537.5</v>
      </c>
      <c r="M15" s="6">
        <f t="shared" si="0"/>
        <v>0.10346335456637995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60.8371</v>
      </c>
      <c r="J16" s="11">
        <v>61.937100000000001</v>
      </c>
      <c r="K16" s="11">
        <v>30842460</v>
      </c>
      <c r="L16" s="11">
        <v>1736629572.0599999</v>
      </c>
      <c r="M16" s="6">
        <f t="shared" si="0"/>
        <v>5.6135690741877714E-2</v>
      </c>
    </row>
    <row r="17" spans="1:15" x14ac:dyDescent="0.25">
      <c r="A17" s="1" t="s">
        <v>93</v>
      </c>
      <c r="B17" s="13" t="s">
        <v>94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95</v>
      </c>
      <c r="H17" s="11">
        <v>979029096.96000004</v>
      </c>
      <c r="I17" s="11">
        <v>87.593800000000002</v>
      </c>
      <c r="J17" s="11">
        <v>91.560466666666656</v>
      </c>
      <c r="K17" s="11">
        <v>41193040</v>
      </c>
      <c r="L17" s="11">
        <v>950837134.24000001</v>
      </c>
      <c r="M17" s="6">
        <f t="shared" si="0"/>
        <v>3.0735339402446722E-2</v>
      </c>
    </row>
    <row r="18" spans="1:15" x14ac:dyDescent="0.25">
      <c r="A18" s="1" t="s">
        <v>96</v>
      </c>
      <c r="B18" s="13" t="s">
        <v>97</v>
      </c>
      <c r="C18" s="10">
        <v>506989</v>
      </c>
      <c r="D18" s="11">
        <v>506989000</v>
      </c>
      <c r="E18" s="3">
        <v>0.1535</v>
      </c>
      <c r="F18" s="4" t="s">
        <v>98</v>
      </c>
      <c r="G18" s="4" t="s">
        <v>99</v>
      </c>
      <c r="H18" s="11">
        <v>492216861.50999999</v>
      </c>
      <c r="I18" s="11">
        <v>97.798700000000011</v>
      </c>
      <c r="J18" s="11">
        <v>99.845366666666649</v>
      </c>
      <c r="K18" s="11">
        <v>10376374.86666666</v>
      </c>
      <c r="L18" s="11">
        <v>506205026.00966698</v>
      </c>
      <c r="M18" s="6">
        <f t="shared" si="0"/>
        <v>1.6362826735902815E-2</v>
      </c>
    </row>
    <row r="19" spans="1:15" x14ac:dyDescent="0.25">
      <c r="A19" s="1" t="s">
        <v>100</v>
      </c>
      <c r="B19" s="13" t="s">
        <v>101</v>
      </c>
      <c r="C19" s="10">
        <v>2100000</v>
      </c>
      <c r="D19" s="11">
        <v>2100000000</v>
      </c>
      <c r="E19" s="3">
        <v>0.14300000000000002</v>
      </c>
      <c r="F19" s="4" t="s">
        <v>102</v>
      </c>
      <c r="G19" s="4" t="s">
        <v>103</v>
      </c>
      <c r="H19" s="11">
        <v>2100000000</v>
      </c>
      <c r="I19" s="11">
        <v>94.299034271423693</v>
      </c>
      <c r="J19" s="11">
        <v>106.33486760475701</v>
      </c>
      <c r="K19" s="11">
        <v>252752500</v>
      </c>
      <c r="L19" s="11">
        <v>2233032219.6998968</v>
      </c>
      <c r="M19" s="6">
        <f t="shared" si="0"/>
        <v>7.2181660452221783E-2</v>
      </c>
    </row>
    <row r="20" spans="1:15" x14ac:dyDescent="0.25">
      <c r="A20" s="1" t="s">
        <v>104</v>
      </c>
      <c r="B20" s="13" t="s">
        <v>105</v>
      </c>
      <c r="C20" s="10">
        <v>1100000</v>
      </c>
      <c r="D20" s="11">
        <v>1100000000</v>
      </c>
      <c r="E20" s="3">
        <v>0.13870000000000002</v>
      </c>
      <c r="F20" s="4" t="s">
        <v>106</v>
      </c>
      <c r="G20" s="4" t="s">
        <v>107</v>
      </c>
      <c r="H20" s="11">
        <v>1100000000</v>
      </c>
      <c r="I20" s="11">
        <v>99.472100000000012</v>
      </c>
      <c r="J20" s="11">
        <v>103.941322222222</v>
      </c>
      <c r="K20" s="11">
        <v>49161444.44444444</v>
      </c>
      <c r="L20" s="11">
        <v>1143354544.4444439</v>
      </c>
      <c r="M20" s="6">
        <f t="shared" si="0"/>
        <v>3.6958369330956142E-2</v>
      </c>
    </row>
    <row r="21" spans="1:15" x14ac:dyDescent="0.25">
      <c r="A21" s="1" t="s">
        <v>108</v>
      </c>
      <c r="B21" s="13" t="s">
        <v>109</v>
      </c>
      <c r="C21" s="10">
        <v>1000000</v>
      </c>
      <c r="D21" s="11">
        <v>1000000000</v>
      </c>
      <c r="E21" s="3">
        <v>0.1389</v>
      </c>
      <c r="F21" s="4" t="s">
        <v>110</v>
      </c>
      <c r="G21" s="4" t="s">
        <v>111</v>
      </c>
      <c r="H21" s="11">
        <v>1000000000</v>
      </c>
      <c r="I21" s="11">
        <v>97.266789203725097</v>
      </c>
      <c r="J21" s="11">
        <v>98.732955870391748</v>
      </c>
      <c r="K21" s="11">
        <v>14661666.66666666</v>
      </c>
      <c r="L21" s="11">
        <v>987329558.70391798</v>
      </c>
      <c r="M21" s="6">
        <f t="shared" si="0"/>
        <v>3.1914938948075705E-2</v>
      </c>
    </row>
    <row r="22" spans="1:15" x14ac:dyDescent="0.25">
      <c r="A22" s="1" t="s">
        <v>112</v>
      </c>
      <c r="B22" s="13" t="s">
        <v>113</v>
      </c>
      <c r="C22" s="10">
        <v>165739</v>
      </c>
      <c r="D22" s="11">
        <v>165739000</v>
      </c>
      <c r="E22" s="3">
        <v>0.125</v>
      </c>
      <c r="F22" s="4" t="s">
        <v>114</v>
      </c>
      <c r="G22" s="4" t="s">
        <v>115</v>
      </c>
      <c r="H22" s="11">
        <v>159596381.18279999</v>
      </c>
      <c r="I22" s="11">
        <v>95.355489176415006</v>
      </c>
      <c r="J22" s="11">
        <v>96.188822509734919</v>
      </c>
      <c r="K22" s="11">
        <v>1381158.33331111</v>
      </c>
      <c r="L22" s="11">
        <v>159422392.53941</v>
      </c>
      <c r="M22" s="6">
        <f t="shared" si="0"/>
        <v>5.1532498748750764E-3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1606680057.4833112</v>
      </c>
      <c r="L24" s="22">
        <f>SUM(L4:L23)</f>
        <v>30936282231.66156</v>
      </c>
      <c r="M24" s="23"/>
      <c r="N24" s="26">
        <v>30936282231.661583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5870043.96</v>
      </c>
      <c r="C27" s="51">
        <v>5870043.96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8664</v>
      </c>
      <c r="D32" s="7" t="s">
        <v>51</v>
      </c>
      <c r="E32" s="34" t="s">
        <v>52</v>
      </c>
      <c r="F32" s="34" t="s">
        <v>53</v>
      </c>
      <c r="G32" s="15">
        <v>923.51799976916004</v>
      </c>
      <c r="H32" s="15">
        <v>925.09126962142204</v>
      </c>
      <c r="I32" s="16">
        <f>+C32*G32</f>
        <v>8001359.950000003</v>
      </c>
      <c r="J32" s="16">
        <f>+C32*H32</f>
        <v>8014990.7600000007</v>
      </c>
      <c r="K32" s="18">
        <v>0.15545</v>
      </c>
      <c r="L32" s="17">
        <v>3407.7025000000003</v>
      </c>
      <c r="M32" s="17">
        <v>8008175.3550000004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2178984</v>
      </c>
      <c r="D33" s="7" t="s">
        <v>51</v>
      </c>
      <c r="E33" s="34" t="s">
        <v>52</v>
      </c>
      <c r="F33" s="34" t="s">
        <v>53</v>
      </c>
      <c r="G33" s="15">
        <v>598.50289999834808</v>
      </c>
      <c r="H33" s="15">
        <v>599.52248658090207</v>
      </c>
      <c r="I33" s="16">
        <f>+C33*G33</f>
        <v>1304128243.0500004</v>
      </c>
      <c r="J33" s="16">
        <f>+C33*H33</f>
        <v>1306349905.9000003</v>
      </c>
      <c r="K33" s="18">
        <v>0.15545</v>
      </c>
      <c r="L33" s="17">
        <v>555415.71250000002</v>
      </c>
      <c r="M33" s="17">
        <v>1305239074.4749999</v>
      </c>
      <c r="N33" s="35"/>
    </row>
    <row r="34" spans="1:15" s="36" customFormat="1" ht="11.25" hidden="1" x14ac:dyDescent="0.25">
      <c r="A34" s="7"/>
      <c r="B34" s="7"/>
      <c r="C34" s="7"/>
      <c r="D34" s="7"/>
      <c r="E34" s="37"/>
      <c r="F34" s="37"/>
      <c r="G34" s="7"/>
      <c r="H34" s="7"/>
      <c r="I34" s="8"/>
      <c r="J34" s="8"/>
      <c r="K34" s="7"/>
      <c r="L34" s="9"/>
      <c r="M34" s="9"/>
      <c r="N34" s="35"/>
    </row>
    <row r="35" spans="1:15" x14ac:dyDescent="0.25">
      <c r="A35" s="1" t="s">
        <v>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>
        <f>SUM(M32:M34)</f>
        <v>1313247249.8299999</v>
      </c>
      <c r="N35" s="38">
        <v>1313247249.8299999</v>
      </c>
      <c r="O35" s="29">
        <f>M35-N35</f>
        <v>0</v>
      </c>
    </row>
    <row r="37" spans="1:15" x14ac:dyDescent="0.25">
      <c r="A37" s="39" t="s">
        <v>28</v>
      </c>
      <c r="B37" s="33"/>
      <c r="D37" s="33"/>
      <c r="F37" s="28"/>
      <c r="G37" s="28"/>
    </row>
    <row r="38" spans="1:15" ht="22.5" x14ac:dyDescent="0.25">
      <c r="A38" s="19" t="s">
        <v>6</v>
      </c>
      <c r="B38" s="19" t="s">
        <v>29</v>
      </c>
      <c r="C38" s="19" t="s">
        <v>17</v>
      </c>
      <c r="D38" s="19" t="s">
        <v>30</v>
      </c>
      <c r="E38" s="19" t="s">
        <v>16</v>
      </c>
      <c r="F38" s="19" t="s">
        <v>31</v>
      </c>
      <c r="G38" s="19" t="s">
        <v>32</v>
      </c>
    </row>
    <row r="39" spans="1:15" hidden="1" x14ac:dyDescent="0.25">
      <c r="B39" s="41"/>
      <c r="C39" s="42"/>
      <c r="D39" s="43"/>
      <c r="G39" s="44"/>
      <c r="H39" s="33"/>
    </row>
    <row r="40" spans="1:15" x14ac:dyDescent="0.25">
      <c r="G40" s="45">
        <f>SUM(G39:G39)</f>
        <v>0</v>
      </c>
    </row>
    <row r="42" spans="1:15" x14ac:dyDescent="0.25">
      <c r="A42" s="46" t="s">
        <v>13</v>
      </c>
      <c r="B42" s="47">
        <f>+L24+B27+M35+G40</f>
        <v>32255399525.451561</v>
      </c>
      <c r="C42" s="32">
        <v>32255399525.45158</v>
      </c>
      <c r="D42" s="29">
        <f>B42-C42</f>
        <v>0</v>
      </c>
    </row>
    <row r="45" spans="1:15" x14ac:dyDescent="0.25">
      <c r="A45" s="24" t="s">
        <v>46</v>
      </c>
      <c r="B45" s="33"/>
    </row>
    <row r="46" spans="1:15" x14ac:dyDescent="0.25">
      <c r="A46" s="48" t="s">
        <v>35</v>
      </c>
      <c r="B46" s="49"/>
    </row>
    <row r="47" spans="1:15" x14ac:dyDescent="0.25">
      <c r="A47" s="48" t="s">
        <v>36</v>
      </c>
      <c r="B47" s="40"/>
    </row>
    <row r="48" spans="1:15" x14ac:dyDescent="0.25">
      <c r="A48" s="48" t="s">
        <v>37</v>
      </c>
      <c r="B48" s="40">
        <v>89530.89</v>
      </c>
    </row>
    <row r="49" spans="1:2" x14ac:dyDescent="0.25">
      <c r="A49" s="48" t="s">
        <v>38</v>
      </c>
      <c r="B49" s="40"/>
    </row>
    <row r="50" spans="1:2" x14ac:dyDescent="0.25">
      <c r="A50" s="48" t="s">
        <v>39</v>
      </c>
      <c r="B50" s="49"/>
    </row>
    <row r="51" spans="1:2" x14ac:dyDescent="0.25">
      <c r="A51" s="48" t="s">
        <v>40</v>
      </c>
      <c r="B51" s="50">
        <v>13842.369999999999</v>
      </c>
    </row>
    <row r="52" spans="1:2" x14ac:dyDescent="0.25">
      <c r="A52" s="48" t="s">
        <v>41</v>
      </c>
      <c r="B52" s="50">
        <v>6888.4400000000005</v>
      </c>
    </row>
    <row r="53" spans="1:2" x14ac:dyDescent="0.25">
      <c r="A53" s="48" t="s">
        <v>42</v>
      </c>
      <c r="B53" s="40"/>
    </row>
    <row r="54" spans="1:2" x14ac:dyDescent="0.25">
      <c r="A54" s="48" t="s">
        <v>43</v>
      </c>
      <c r="B54" s="40"/>
    </row>
    <row r="55" spans="1:2" x14ac:dyDescent="0.25">
      <c r="A55" s="48" t="s">
        <v>44</v>
      </c>
      <c r="B55" s="50"/>
    </row>
    <row r="56" spans="1:2" x14ac:dyDescent="0.25">
      <c r="A56" s="48" t="s">
        <v>45</v>
      </c>
      <c r="B56" s="49">
        <f>SUM(B46:B55)</f>
        <v>110261.7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2025-07-08T06:07:51Z</dcterms:created>
  <dcterms:modified xsi:type="dcterms:W3CDTF">2025-07-08T10:16:48Z</dcterms:modified>
</cp:coreProperties>
</file>