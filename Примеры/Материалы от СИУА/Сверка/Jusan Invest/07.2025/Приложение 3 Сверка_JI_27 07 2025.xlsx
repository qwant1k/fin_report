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A5EBCB03-C8CF-448C-A1D9-B758E2A30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ДУ!$39:$39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I39" i="1"/>
  <c r="O35" i="1"/>
  <c r="O24" i="1"/>
  <c r="D27" i="1"/>
  <c r="B57" i="1"/>
  <c r="G41" i="1"/>
  <c r="A39" i="1"/>
  <c r="M35" i="1"/>
  <c r="J33" i="1"/>
  <c r="I33" i="1"/>
  <c r="J32" i="1"/>
  <c r="I32" i="1"/>
  <c r="L24" i="1"/>
  <c r="B43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<sst xmlns="http://schemas.openxmlformats.org/spreadsheetml/2006/main" count="143" uniqueCount="117">
  <si>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</si>
  <si>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</si>
  <si>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</si>
  <si>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</si>
  <si>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</si>
  <si>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</si>
  <si>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</si>
  <si>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</si>
  <si>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</si>
  <si>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</si>
  <si>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</si>
  <si>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</si>
  <si>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</si>
  <si>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</si>
  <si>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</si>
  <si>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</si>
  <si>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</si>
  <si>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</si>
  <si>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</si>
  <si>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</si>
  <si>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</si>
  <si>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</si>
  <si>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</si>
  <si>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</si>
  <si>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</si>
  <si>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</si>
  <si>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</si>
  <si>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</si>
  <si>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</si>
  <si>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</si>
  <si>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</si>
  <si>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</si>
  <si>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</si>
  <si>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</si>
  <si>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</si>
  <si>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</si>
  <si>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</si>
  <si>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</si>
  <si>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</si>
  <si>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</si>
  <si>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</si>
  <si>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</si>
  <si>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</si>
  <si>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</si>
  <si>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</si>
  <si>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</si>
  <si>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</si>
  <si>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</si>
  <si>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</si>
  <si>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KZKD00001152 _MUM132_0007</t>
  </si>
  <si>
    <t>KZT</t>
  </si>
  <si>
    <t>26.07.2025</t>
  </si>
  <si>
    <t>МИНИСТЕРСТВО ФИНАНСОВ РК, ГЦБ, MKM012_0161</t>
  </si>
  <si>
    <t>KZK100000423</t>
  </si>
  <si>
    <t>25.07.2025</t>
  </si>
  <si>
    <t>28.07.2025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</si>
  <si>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</si>
  <si>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</si>
  <si>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</si>
  <si>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</si>
  <si>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</si>
  <si>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</si>
  <si>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</si>
  <si>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</si>
  <si>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</si>
  <si>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</si>
  <si>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</si>
  <si>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</si>
  <si>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</si>
  <si>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</si>
  <si>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</si>
  <si>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</si>
  <si>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</si>
  <si>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</si>
  <si>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</si>
  <si>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</si>
  <si>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</si>
  <si>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</si>
  <si>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</si>
  <si>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</si>
  <si>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</si>
  <si>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</si>
  <si>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</si>
  <si>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</si>
  <si>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</si>
  <si>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</si>
  <si>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</si>
  <si>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</si>
  <si>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</si>
  <si>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</si>
  <si>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</si>
  <si>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</si>
  <si>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</si>
  <si>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</si>
  <si>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</si>
  <si>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</si>
  <si>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</si>
  <si>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</si>
  <si>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</si>
  <si>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</si>
  <si>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</si>
  <si>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</si>
  <si>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</si>
  <si>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</si>
  <si>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</si>
  <si>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</si>
  <si>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</si>
  <si>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</si>
  <si>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</si>
  <si>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</si>
  <si>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</si>
  <si>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</si>
  <si>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</si>
  <si>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</si>
  <si>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</si>
  <si>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</si>
  <si>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27.07.2025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</si>
</sst>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3" zoomScale="90" zoomScaleNormal="90" workbookViewId="0">
      <selection activeCell="D44" sqref="D4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97.590400000000002</v>
      </c>
      <c r="J4" s="11">
        <v>97.768233333333328</v>
      </c>
      <c r="K4" s="11">
        <v>5370566.6666666698</v>
      </c>
      <c r="L4" s="11">
        <v>2952600646.666666</v>
      </c>
      <c r="M4" s="6">
        <f t="shared" ref="M4:M22" si="0">L4/$L$24</f>
        <v>9.8163577019011322E-2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82.7727</v>
      </c>
      <c r="J5" s="11">
        <v>93.293394444444431</v>
      </c>
      <c r="K5" s="11">
        <v>238293729.16666701</v>
      </c>
      <c r="L5" s="11">
        <v>2113095384.166666</v>
      </c>
      <c r="M5" s="6">
        <f t="shared" si="0"/>
        <v>7.0252982477104889E-2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82.7727</v>
      </c>
      <c r="J6" s="11">
        <v>93.293394444444729</v>
      </c>
      <c r="K6" s="11">
        <v>163243934.519445</v>
      </c>
      <c r="L6" s="11">
        <v>1447583223.161448</v>
      </c>
      <c r="M6" s="6">
        <f t="shared" si="0"/>
        <v>4.8127046025902953E-2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82.7727</v>
      </c>
      <c r="J7" s="11">
        <v>93.293394444444431</v>
      </c>
      <c r="K7" s="11">
        <v>57410587.927777782</v>
      </c>
      <c r="L7" s="11">
        <v>509094590.011778</v>
      </c>
      <c r="M7" s="6">
        <f t="shared" si="0"/>
        <v>1.6925602875892426E-2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86.378900000000002</v>
      </c>
      <c r="J8" s="11">
        <v>89.412233333333333</v>
      </c>
      <c r="K8" s="11">
        <v>68704999.999999985</v>
      </c>
      <c r="L8" s="11">
        <v>2025187084.999999</v>
      </c>
      <c r="M8" s="6">
        <f t="shared" si="0"/>
        <v>6.7330341006576339E-2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84.67240000000001</v>
      </c>
      <c r="J9" s="11">
        <v>88.247399999999985</v>
      </c>
      <c r="K9" s="11">
        <v>80973749.999999985</v>
      </c>
      <c r="L9" s="11">
        <v>1998803609.999999</v>
      </c>
      <c r="M9" s="6">
        <f t="shared" si="0"/>
        <v>6.6453183344528308E-2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77.841200000000001</v>
      </c>
      <c r="J10" s="11">
        <v>81.560644444444435</v>
      </c>
      <c r="K10" s="11">
        <v>84245416.666666657</v>
      </c>
      <c r="L10" s="11">
        <v>1847348596.666666</v>
      </c>
      <c r="M10" s="6">
        <f t="shared" si="0"/>
        <v>6.1417837340981732E-2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68.54610000000001</v>
      </c>
      <c r="J11" s="11">
        <v>70.916794444444434</v>
      </c>
      <c r="K11" s="11">
        <v>53696229.166666657</v>
      </c>
      <c r="L11" s="11">
        <v>1606265394.166666</v>
      </c>
      <c r="M11" s="6">
        <f t="shared" si="0"/>
        <v>5.3402669579193193E-2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76.726100000000002</v>
      </c>
      <c r="J12" s="11">
        <v>76.755683333333323</v>
      </c>
      <c r="K12" s="11">
        <v>670062.5</v>
      </c>
      <c r="L12" s="11">
        <v>1738516227.5</v>
      </c>
      <c r="M12" s="6">
        <f t="shared" si="0"/>
        <v>5.7799544205093381E-2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62.520900000000005</v>
      </c>
      <c r="J13" s="11">
        <v>64.202150000000003</v>
      </c>
      <c r="K13" s="11">
        <v>38080312.5</v>
      </c>
      <c r="L13" s="11">
        <v>1454178697.5</v>
      </c>
      <c r="M13" s="6">
        <f t="shared" si="0"/>
        <v>4.8346322328622821E-2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61.148900000000005</v>
      </c>
      <c r="J14" s="11">
        <v>65.13906666666665</v>
      </c>
      <c r="K14" s="11">
        <v>90377275</v>
      </c>
      <c r="L14" s="11">
        <v>1475399860</v>
      </c>
      <c r="M14" s="6">
        <f t="shared" si="0"/>
        <v>4.9051851273708397E-2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84.241700000000009</v>
      </c>
      <c r="J15" s="11">
        <v>86.071700000000007</v>
      </c>
      <c r="K15" s="11">
        <v>69082500</v>
      </c>
      <c r="L15" s="11">
        <v>3249206675</v>
      </c>
      <c r="M15" s="6">
        <f t="shared" si="0"/>
        <v>0.10802468327443149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57.1096</v>
      </c>
      <c r="J16" s="11">
        <v>58.530433333333328</v>
      </c>
      <c r="K16" s="11">
        <v>39838177.5</v>
      </c>
      <c r="L16" s="11">
        <v>1641111408.0599999</v>
      </c>
      <c r="M16" s="6">
        <f t="shared" si="0"/>
        <v>5.4561176867500366E-2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85.400700000000001</v>
      </c>
      <c r="J17" s="11">
        <v>90.067366666666658</v>
      </c>
      <c r="K17" s="11">
        <v>48462400</v>
      </c>
      <c r="L17" s="11">
        <v>935331589.36000001</v>
      </c>
      <c r="M17" s="6">
        <f t="shared" si="0"/>
        <v>3.1096482558218497E-2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98.028800000000004</v>
      </c>
      <c r="J18" s="11">
        <v>100.97088333333301</v>
      </c>
      <c r="K18" s="11">
        <v>14916038.87083333</v>
      </c>
      <c r="L18" s="11">
        <v>511911271.702833</v>
      </c>
      <c r="M18" s="6">
        <f t="shared" si="0"/>
        <v>1.7019247626133226E-2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94.59178432307101</v>
      </c>
      <c r="J19" s="11">
        <v>107.461784323071</v>
      </c>
      <c r="K19" s="11">
        <v>270270000</v>
      </c>
      <c r="L19" s="11">
        <v>2256697470.7844911</v>
      </c>
      <c r="M19" s="6">
        <f t="shared" si="0"/>
        <v>7.5027246313195906E-2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99.627700000000004</v>
      </c>
      <c r="J20" s="11">
        <v>104.90600555555601</v>
      </c>
      <c r="K20" s="11">
        <v>58061361.111111112</v>
      </c>
      <c r="L20" s="11">
        <v>1153966061.1111109</v>
      </c>
      <c r="M20" s="6">
        <f t="shared" si="0"/>
        <v>3.8365309052238422E-2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97.82461138073289</v>
      </c>
      <c r="J21" s="11">
        <v>100.10102804740001</v>
      </c>
      <c r="K21" s="11">
        <v>22764166.66666666</v>
      </c>
      <c r="L21" s="11">
        <v>1001010280.473995</v>
      </c>
      <c r="M21" s="6">
        <f t="shared" si="0"/>
        <v>3.3280067819217177E-2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95.617127196287399</v>
      </c>
      <c r="J22" s="11">
        <v>97.179627196273984</v>
      </c>
      <c r="K22" s="11">
        <v>2589671.87497778</v>
      </c>
      <c r="L22" s="11">
        <v>161064542.31883299</v>
      </c>
      <c r="M22" s="6">
        <f t="shared" si="0"/>
        <v>5.3548290124490775E-3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1407051180.1374788</v>
      </c>
      <c r="L24" s="22">
        <f>SUM(L4:L23)</f>
        <v>30078372613.651154</v>
      </c>
      <c r="M24" s="23"/>
      <c r="N24" s="26">
        <v>30078372613.651176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2088632.89</v>
      </c>
      <c r="C27" s="58">
        <v>2088632.89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14727700</v>
      </c>
      <c r="D32" s="7" t="s">
        <v>50</v>
      </c>
      <c r="E32" s="34" t="s">
        <v>54</v>
      </c>
      <c r="F32" s="34" t="s">
        <v>55</v>
      </c>
      <c r="G32" s="15">
        <v>88.2697</v>
      </c>
      <c r="H32" s="15">
        <v>88.383603462862482</v>
      </c>
      <c r="I32" s="16">
        <f>+C32*G32</f>
        <v>1300009660.6900001</v>
      </c>
      <c r="J32" s="16">
        <f>+C32*H32</f>
        <v>1301687196.7199998</v>
      </c>
      <c r="K32" s="18">
        <v>0.156999</v>
      </c>
      <c r="L32" s="17">
        <v>559178.67666666664</v>
      </c>
      <c r="M32" s="17">
        <v>1301128018.0433331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187488</v>
      </c>
      <c r="D33" s="7" t="s">
        <v>50</v>
      </c>
      <c r="E33" s="34" t="s">
        <v>54</v>
      </c>
      <c r="F33" s="34" t="s">
        <v>55</v>
      </c>
      <c r="G33" s="15">
        <v>1008.856000010667</v>
      </c>
      <c r="H33" s="15">
        <v>1010.157822260624</v>
      </c>
      <c r="I33" s="16">
        <f>+C33*G33</f>
        <v>189148393.72999993</v>
      </c>
      <c r="J33" s="16">
        <f>+C33*H33</f>
        <v>189392469.77999988</v>
      </c>
      <c r="K33" s="18">
        <v>0.156998</v>
      </c>
      <c r="L33" s="17">
        <v>81358.683333333305</v>
      </c>
      <c r="M33" s="17">
        <v>189311111.09666699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1490439129.1400001</v>
      </c>
      <c r="N35" s="38">
        <v>1490439129.1399999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x14ac:dyDescent="0.25">
      <c r="A39" s="57">
        <f ca="1">IF(OFFSET(A39,-1,0)="№ п/п",1,OFFSET(A39,-1,0)+1)</f>
        <v>1</v>
      </c>
      <c r="B39" s="40" t="s">
        <v>49</v>
      </c>
      <c r="C39" s="52" t="s">
        <v>50</v>
      </c>
      <c r="D39" s="53" t="s">
        <v>51</v>
      </c>
      <c r="E39" s="54">
        <v>2265000</v>
      </c>
      <c r="F39" s="55">
        <v>241222500</v>
      </c>
      <c r="G39" s="56">
        <v>241222500</v>
      </c>
      <c r="H39" s="58">
        <v>241222500</v>
      </c>
      <c r="I39" s="29">
        <f>G39-H39</f>
        <v>0</v>
      </c>
    </row>
    <row r="40" spans="1:15" hidden="1" x14ac:dyDescent="0.25">
      <c r="B40" s="42"/>
      <c r="C40" s="43"/>
      <c r="D40" s="44"/>
      <c r="G40" s="45"/>
      <c r="H40" s="33"/>
    </row>
    <row r="41" spans="1:15" x14ac:dyDescent="0.25">
      <c r="G41" s="46">
        <f>SUM(G39:G40)</f>
        <v>241222500</v>
      </c>
    </row>
    <row r="43" spans="1:15" x14ac:dyDescent="0.25">
      <c r="A43" s="47" t="s">
        <v>13</v>
      </c>
      <c r="B43" s="48">
        <f>+L24+B27+M35+G41</f>
        <v>31812122875.681152</v>
      </c>
      <c r="C43" s="32">
        <v>31812122875.681175</v>
      </c>
      <c r="D43" s="29">
        <f>B43-C43</f>
        <v>0</v>
      </c>
    </row>
    <row r="46" spans="1:15" x14ac:dyDescent="0.25">
      <c r="A46" s="24" t="s">
        <v>46</v>
      </c>
      <c r="B46" s="33"/>
    </row>
    <row r="47" spans="1:15" x14ac:dyDescent="0.25">
      <c r="A47" s="49" t="s">
        <v>35</v>
      </c>
      <c r="B47" s="50"/>
    </row>
    <row r="48" spans="1:15" x14ac:dyDescent="0.25">
      <c r="A48" s="49" t="s">
        <v>36</v>
      </c>
      <c r="B48" s="41"/>
    </row>
    <row r="49" spans="1:2" x14ac:dyDescent="0.25">
      <c r="A49" s="49" t="s">
        <v>37</v>
      </c>
      <c r="B49" s="41">
        <v>395611.12999999995</v>
      </c>
    </row>
    <row r="50" spans="1:2" x14ac:dyDescent="0.25">
      <c r="A50" s="49" t="s">
        <v>38</v>
      </c>
      <c r="B50" s="41"/>
    </row>
    <row r="51" spans="1:2" x14ac:dyDescent="0.25">
      <c r="A51" s="49" t="s">
        <v>39</v>
      </c>
      <c r="B51" s="50"/>
    </row>
    <row r="52" spans="1:2" x14ac:dyDescent="0.25">
      <c r="A52" s="49" t="s">
        <v>40</v>
      </c>
      <c r="B52" s="51">
        <v>55329.950000000004</v>
      </c>
    </row>
    <row r="53" spans="1:2" x14ac:dyDescent="0.25">
      <c r="A53" s="49" t="s">
        <v>41</v>
      </c>
      <c r="B53" s="51">
        <v>27568.690000000002</v>
      </c>
    </row>
    <row r="54" spans="1:2" x14ac:dyDescent="0.25">
      <c r="A54" s="49" t="s">
        <v>42</v>
      </c>
      <c r="B54" s="41"/>
    </row>
    <row r="55" spans="1:2" x14ac:dyDescent="0.25">
      <c r="A55" s="49" t="s">
        <v>43</v>
      </c>
      <c r="B55" s="41"/>
    </row>
    <row r="56" spans="1:2" x14ac:dyDescent="0.25">
      <c r="A56" s="49" t="s">
        <v>44</v>
      </c>
      <c r="B56" s="51"/>
    </row>
    <row r="57" spans="1:2" x14ac:dyDescent="0.25">
      <c r="A57" s="49" t="s">
        <v>45</v>
      </c>
      <c r="B57" s="50">
        <f>SUM(B47:B56)</f>
        <v>478509.76999999996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2025-07-28T06:13:10Z</dcterms:created>
  <dcterms:modified xsi:type="dcterms:W3CDTF">2025-07-28T10:16:39Z</dcterms:modified>
</cp:coreProperties>
</file>