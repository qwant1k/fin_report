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54DF4199-081A-44E3-A0A1-B69707319B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46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<sst xmlns="http://schemas.openxmlformats.org/spreadsheetml/2006/main" count="160" uniqueCount="119">
  <si>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</si>
  <si>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</si>
  <si>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</si>
  <si>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</si>
  <si>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</si>
  <si>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</si>
  <si>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</si>
  <si>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</si>
  <si>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</si>
  <si>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</si>
  <si>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</si>
  <si>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</si>
  <si>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</si>
  <si>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</si>
  <si>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</si>
  <si>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</si>
  <si>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</si>
  <si>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</si>
  <si>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</si>
  <si>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</si>
  <si>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</si>
  <si>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</si>
  <si>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</si>
  <si>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</si>
  <si>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</si>
  <si>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</si>
  <si>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</si>
  <si>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</si>
  <si>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</si>
  <si>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</si>
  <si>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</si>
  <si>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</si>
  <si>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</si>
  <si>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</si>
  <si>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</si>
  <si>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</si>
  <si>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</si>
  <si>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</si>
  <si>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</si>
  <si>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</si>
  <si>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</si>
  <si>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</si>
  <si>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</si>
  <si>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</si>
  <si>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</si>
  <si>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</si>
  <si>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</si>
  <si>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</si>
  <si>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</si>
  <si>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MKM012_0161</t>
  </si>
  <si>
    <t>KZK100000423</t>
  </si>
  <si>
    <t>KZT</t>
  </si>
  <si>
    <t>11.07.2025</t>
  </si>
  <si>
    <t>14.07.2025</t>
  </si>
  <si>
    <t>МИНИСТЕРСТВО ФИНАНСОВ РК, ГЦБ, MUM180_0009</t>
  </si>
  <si>
    <t>KZKD00000717</t>
  </si>
  <si>
    <t>МИНИСТЕРСТВО ФИНАНСОВ РК, ГЦБ, MOM060_0054</t>
  </si>
  <si>
    <t>KZK200000737</t>
  </si>
  <si>
    <t>15.07.2025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</si>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</sst>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22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97.255300000000005</v>
      </c>
      <c r="J4" s="11">
        <v>102.382827777778</v>
      </c>
      <c r="K4" s="11">
        <v>154851338.88888901</v>
      </c>
      <c r="L4" s="11">
        <v>3091961398.8888879</v>
      </c>
      <c r="M4" s="6">
        <f t="shared" ref="M4:M22" si="0">L4/$L$24</f>
        <v>0.10103927200888548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82.8018</v>
      </c>
      <c r="J5" s="11">
        <v>92.941522222222218</v>
      </c>
      <c r="K5" s="11">
        <v>229664708.33333299</v>
      </c>
      <c r="L5" s="11">
        <v>2105125478.333333</v>
      </c>
      <c r="M5" s="6">
        <f t="shared" si="0"/>
        <v>6.8791397555801229E-2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82.8018</v>
      </c>
      <c r="J6" s="11">
        <v>92.941522222222503</v>
      </c>
      <c r="K6" s="11">
        <v>157332594.272223</v>
      </c>
      <c r="L6" s="11">
        <v>1442123411.9002261</v>
      </c>
      <c r="M6" s="6">
        <f t="shared" si="0"/>
        <v>4.7125782274555876E-2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82.8018</v>
      </c>
      <c r="J7" s="11">
        <v>92.941522222222218</v>
      </c>
      <c r="K7" s="11">
        <v>55331652.98888889</v>
      </c>
      <c r="L7" s="11">
        <v>507174451.44488901</v>
      </c>
      <c r="M7" s="6">
        <f t="shared" si="0"/>
        <v>1.6573472545262823E-2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85.797600000000003</v>
      </c>
      <c r="J8" s="11">
        <v>88.45537777777777</v>
      </c>
      <c r="K8" s="11">
        <v>60198666.666666657</v>
      </c>
      <c r="L8" s="11">
        <v>2003514306.666666</v>
      </c>
      <c r="M8" s="6">
        <f t="shared" si="0"/>
        <v>6.547094251491381E-2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84.555300000000003</v>
      </c>
      <c r="J9" s="11">
        <v>87.733077777777766</v>
      </c>
      <c r="K9" s="11">
        <v>71976666.666666657</v>
      </c>
      <c r="L9" s="11">
        <v>1987154211.666666</v>
      </c>
      <c r="M9" s="6">
        <f t="shared" si="0"/>
        <v>6.4936326497588945E-2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78.761099999999999</v>
      </c>
      <c r="J10" s="11">
        <v>82.108599999999996</v>
      </c>
      <c r="K10" s="11">
        <v>75820875</v>
      </c>
      <c r="L10" s="11">
        <v>1859759790</v>
      </c>
      <c r="M10" s="6">
        <f t="shared" si="0"/>
        <v>6.077332510054094E-2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69.910899999999998</v>
      </c>
      <c r="J11" s="11">
        <v>71.976455555555546</v>
      </c>
      <c r="K11" s="11">
        <v>46784833.333333328</v>
      </c>
      <c r="L11" s="11">
        <v>1630266718.333333</v>
      </c>
      <c r="M11" s="6">
        <f t="shared" si="0"/>
        <v>5.3273938820810648E-2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78.237400000000008</v>
      </c>
      <c r="J12" s="11">
        <v>88.53240000000001</v>
      </c>
      <c r="K12" s="11">
        <v>233181750</v>
      </c>
      <c r="L12" s="11">
        <v>2005258860</v>
      </c>
      <c r="M12" s="6">
        <f t="shared" si="0"/>
        <v>6.5527951117558103E-2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64.539100000000005</v>
      </c>
      <c r="J13" s="11">
        <v>65.928933333333333</v>
      </c>
      <c r="K13" s="11">
        <v>31479725</v>
      </c>
      <c r="L13" s="11">
        <v>1493290340</v>
      </c>
      <c r="M13" s="6">
        <f t="shared" si="0"/>
        <v>4.8797817755978752E-2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63.325800000000001</v>
      </c>
      <c r="J14" s="11">
        <v>67.024549999999991</v>
      </c>
      <c r="K14" s="11">
        <v>83776687.5</v>
      </c>
      <c r="L14" s="11">
        <v>1518106057.5</v>
      </c>
      <c r="M14" s="6">
        <f t="shared" si="0"/>
        <v>4.960874703584596E-2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83.376400000000004</v>
      </c>
      <c r="J15" s="11">
        <v>85.008150000000001</v>
      </c>
      <c r="K15" s="11">
        <v>61598562.5</v>
      </c>
      <c r="L15" s="11">
        <v>3209057662.5</v>
      </c>
      <c r="M15" s="6">
        <f t="shared" si="0"/>
        <v>0.10486574967270074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58.399100000000004</v>
      </c>
      <c r="J16" s="11">
        <v>59.621322222222219</v>
      </c>
      <c r="K16" s="11">
        <v>34269400</v>
      </c>
      <c r="L16" s="11">
        <v>1671698405.26</v>
      </c>
      <c r="M16" s="6">
        <f t="shared" si="0"/>
        <v>5.4627845595544261E-2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85.799700000000001</v>
      </c>
      <c r="J17" s="11">
        <v>90.033033333333321</v>
      </c>
      <c r="K17" s="11">
        <v>43962320</v>
      </c>
      <c r="L17" s="11">
        <v>934975044.55999994</v>
      </c>
      <c r="M17" s="6">
        <f t="shared" si="0"/>
        <v>3.0553162106993201E-2</v>
      </c>
    </row>
    <row r="18" spans="1:15" x14ac:dyDescent="0.25">
      <c r="A18" s="1" t="s">
        <v>56</v>
      </c>
      <c r="B18" s="13" t="s">
        <v>57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97.381100000000004</v>
      </c>
      <c r="J18" s="11">
        <v>99.76887777777776</v>
      </c>
      <c r="K18" s="11">
        <v>12105770.677777771</v>
      </c>
      <c r="L18" s="11">
        <v>505817235.756778</v>
      </c>
      <c r="M18" s="6">
        <f t="shared" si="0"/>
        <v>1.6529121381909023E-2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98.929513755948193</v>
      </c>
      <c r="J19" s="11">
        <v>111.283124867059</v>
      </c>
      <c r="K19" s="11">
        <v>259425833.33333299</v>
      </c>
      <c r="L19" s="11">
        <v>2336945622.2082448</v>
      </c>
      <c r="M19" s="6">
        <f t="shared" si="0"/>
        <v>7.6366828019626978E-2</v>
      </c>
    </row>
    <row r="20" spans="1:15" x14ac:dyDescent="0.25">
      <c r="A20" s="1" t="s">
        <v>107</v>
      </c>
      <c r="B20" s="13" t="s">
        <v>108</v>
      </c>
      <c r="C20" s="10">
        <v>1100000</v>
      </c>
      <c r="D20" s="11">
        <v>1100000000</v>
      </c>
      <c r="E20" s="3">
        <v>0.13870000000000002</v>
      </c>
      <c r="F20" s="4" t="s">
        <v>109</v>
      </c>
      <c r="G20" s="4" t="s">
        <v>110</v>
      </c>
      <c r="H20" s="11">
        <v>1100000000</v>
      </c>
      <c r="I20" s="11">
        <v>99.530300000000011</v>
      </c>
      <c r="J20" s="11">
        <v>104.30774444444401</v>
      </c>
      <c r="K20" s="11">
        <v>52551888.888888881</v>
      </c>
      <c r="L20" s="11">
        <v>1147385188.8888879</v>
      </c>
      <c r="M20" s="6">
        <f t="shared" si="0"/>
        <v>3.7494311617464297E-2</v>
      </c>
    </row>
    <row r="21" spans="1:15" x14ac:dyDescent="0.25">
      <c r="A21" s="1" t="s">
        <v>111</v>
      </c>
      <c r="B21" s="13" t="s">
        <v>112</v>
      </c>
      <c r="C21" s="10">
        <v>1000000</v>
      </c>
      <c r="D21" s="11">
        <v>1000000000</v>
      </c>
      <c r="E21" s="3">
        <v>0.1389</v>
      </c>
      <c r="F21" s="4" t="s">
        <v>113</v>
      </c>
      <c r="G21" s="4" t="s">
        <v>114</v>
      </c>
      <c r="H21" s="11">
        <v>1000000000</v>
      </c>
      <c r="I21" s="11">
        <v>97.489040058160796</v>
      </c>
      <c r="J21" s="11">
        <v>99.26387339149413</v>
      </c>
      <c r="K21" s="11">
        <v>17748333.333333328</v>
      </c>
      <c r="L21" s="11">
        <v>992638733.91494095</v>
      </c>
      <c r="M21" s="6">
        <f t="shared" si="0"/>
        <v>3.2437499083471454E-2</v>
      </c>
    </row>
    <row r="22" spans="1:15" x14ac:dyDescent="0.25">
      <c r="A22" s="1" t="s">
        <v>115</v>
      </c>
      <c r="B22" s="13" t="s">
        <v>116</v>
      </c>
      <c r="C22" s="10">
        <v>165739</v>
      </c>
      <c r="D22" s="11">
        <v>165739000</v>
      </c>
      <c r="E22" s="3">
        <v>0.125</v>
      </c>
      <c r="F22" s="4" t="s">
        <v>117</v>
      </c>
      <c r="G22" s="4" t="s">
        <v>118</v>
      </c>
      <c r="H22" s="11">
        <v>159596381.18279999</v>
      </c>
      <c r="I22" s="11">
        <v>95.020404354325194</v>
      </c>
      <c r="J22" s="11">
        <v>96.131515465422893</v>
      </c>
      <c r="K22" s="11">
        <v>1841544.4444222201</v>
      </c>
      <c r="L22" s="11">
        <v>159327412.41723701</v>
      </c>
      <c r="M22" s="6">
        <f t="shared" si="0"/>
        <v>5.2065092945475008E-3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1683903151.8277557</v>
      </c>
      <c r="L24" s="22">
        <f>SUM(L4:L23)</f>
        <v>30601580330.240089</v>
      </c>
      <c r="M24" s="23"/>
      <c r="N24" s="26">
        <v>30601580330.240112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1718572.96</v>
      </c>
      <c r="C27" s="51">
        <v>1718572.96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228880</v>
      </c>
      <c r="D32" s="7" t="s">
        <v>51</v>
      </c>
      <c r="E32" s="34" t="s">
        <v>52</v>
      </c>
      <c r="F32" s="34" t="s">
        <v>53</v>
      </c>
      <c r="G32" s="15">
        <v>87.386399991261783</v>
      </c>
      <c r="H32" s="15">
        <v>87.49837355819642</v>
      </c>
      <c r="I32" s="16">
        <f t="shared" ref="I32:I37" si="1">+C32*G32</f>
        <v>20000999.229999997</v>
      </c>
      <c r="J32" s="16">
        <f t="shared" ref="J32:J37" si="2">+C32*H32</f>
        <v>20026627.739999998</v>
      </c>
      <c r="K32" s="18">
        <v>0.15589899999999998</v>
      </c>
      <c r="L32" s="17">
        <v>8542.8366666666661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228880</v>
      </c>
      <c r="D33" s="7" t="s">
        <v>51</v>
      </c>
      <c r="E33" s="34" t="s">
        <v>53</v>
      </c>
      <c r="F33" s="34" t="s">
        <v>53</v>
      </c>
      <c r="G33" s="15">
        <v>87.386399991261783</v>
      </c>
      <c r="H33" s="15">
        <v>87.49837355819642</v>
      </c>
      <c r="I33" s="16">
        <f t="shared" si="1"/>
        <v>20000999.229999997</v>
      </c>
      <c r="J33" s="16">
        <f t="shared" si="2"/>
        <v>20026627.739999998</v>
      </c>
      <c r="K33" s="18">
        <v>0.15589899999999998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1619800</v>
      </c>
      <c r="D34" s="7" t="s">
        <v>51</v>
      </c>
      <c r="E34" s="34" t="s">
        <v>52</v>
      </c>
      <c r="F34" s="34" t="s">
        <v>53</v>
      </c>
      <c r="G34" s="15">
        <v>802.99200000000008</v>
      </c>
      <c r="H34" s="15">
        <v>804.02158313989401</v>
      </c>
      <c r="I34" s="16">
        <f t="shared" si="1"/>
        <v>1300686441.6000001</v>
      </c>
      <c r="J34" s="16">
        <f t="shared" si="2"/>
        <v>1302354160.3700004</v>
      </c>
      <c r="K34" s="18">
        <v>0.155999</v>
      </c>
      <c r="L34" s="17">
        <v>555906.2566666666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1619800</v>
      </c>
      <c r="D35" s="7" t="s">
        <v>51</v>
      </c>
      <c r="E35" s="34" t="s">
        <v>53</v>
      </c>
      <c r="F35" s="34" t="s">
        <v>53</v>
      </c>
      <c r="G35" s="15">
        <v>802.99200000000008</v>
      </c>
      <c r="H35" s="15">
        <v>804.02158313989401</v>
      </c>
      <c r="I35" s="16">
        <f t="shared" si="1"/>
        <v>1300686441.6000001</v>
      </c>
      <c r="J35" s="16">
        <f t="shared" si="2"/>
        <v>1302354160.3700004</v>
      </c>
      <c r="K35" s="18">
        <v>0.155999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1303900</v>
      </c>
      <c r="D36" s="7" t="s">
        <v>51</v>
      </c>
      <c r="E36" s="34" t="s">
        <v>53</v>
      </c>
      <c r="F36" s="34" t="s">
        <v>58</v>
      </c>
      <c r="G36" s="15">
        <v>997.68900000000008</v>
      </c>
      <c r="H36" s="15">
        <v>998.11404011810703</v>
      </c>
      <c r="I36" s="16">
        <f t="shared" si="1"/>
        <v>1300886687.1000001</v>
      </c>
      <c r="J36" s="16">
        <f t="shared" si="2"/>
        <v>1301440896.9099998</v>
      </c>
      <c r="K36" s="18">
        <v>0.155499</v>
      </c>
      <c r="L36" s="17"/>
      <c r="M36" s="17">
        <v>1300886687.0999999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22890</v>
      </c>
      <c r="D37" s="7" t="s">
        <v>51</v>
      </c>
      <c r="E37" s="34" t="s">
        <v>53</v>
      </c>
      <c r="F37" s="34" t="s">
        <v>58</v>
      </c>
      <c r="G37" s="15">
        <v>917.70500000000004</v>
      </c>
      <c r="H37" s="15">
        <v>918.09571603320205</v>
      </c>
      <c r="I37" s="16">
        <f t="shared" si="1"/>
        <v>21006267.449999999</v>
      </c>
      <c r="J37" s="16">
        <f t="shared" si="2"/>
        <v>21015210.939999994</v>
      </c>
      <c r="K37" s="18">
        <v>0.15540000000000001</v>
      </c>
      <c r="L37" s="17"/>
      <c r="M37" s="17">
        <v>21006267.449999999</v>
      </c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1321892954.55</v>
      </c>
      <c r="N39" s="38">
        <v>1321892954.55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31925191857.750088</v>
      </c>
      <c r="C46" s="32">
        <v>31925191857.750111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205465.05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27774.58</v>
      </c>
    </row>
    <row r="56" spans="1:2" x14ac:dyDescent="0.25">
      <c r="A56" s="48" t="s">
        <v>41</v>
      </c>
      <c r="B56" s="50">
        <v>13813.400000000003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247053.03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2025-07-15T06:23:31Z</dcterms:created>
  <dcterms:modified xsi:type="dcterms:W3CDTF">2025-07-15T10:06:09Z</dcterms:modified>
</cp:coreProperties>
</file>