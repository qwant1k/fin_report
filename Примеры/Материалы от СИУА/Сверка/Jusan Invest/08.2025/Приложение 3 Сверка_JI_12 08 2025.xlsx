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72D3AC0F-BF21-46BD-9DEE-E5A8E2BF5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O48" i="1"/>
  <c r="O24" i="1"/>
  <c r="D27" i="1"/>
  <c r="B69" i="1"/>
  <c r="G53" i="1"/>
  <c r="M48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55" i="1"/>
  <c r="M6" i="1"/>
  <c r="M10" i="1"/>
  <c r="M14" i="1"/>
  <c r="M18" i="1"/>
</calcChain>
</file>

<file path=xl/sharedStrings.xml><?xml version="1.0" encoding="utf-8"?>
<sst xmlns="http://schemas.openxmlformats.org/spreadsheetml/2006/main" count="205" uniqueCount="121">
  <si>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</si>
  <si>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</si>
  <si>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</si>
  <si>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</si>
  <si>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</si>
  <si>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</si>
  <si>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</si>
  <si>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</si>
  <si>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</si>
  <si>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</si>
  <si>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</si>
  <si>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</si>
  <si>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</si>
  <si>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</si>
  <si>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</si>
  <si>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</si>
  <si>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</si>
  <si>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</si>
  <si>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</si>
  <si>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</si>
  <si>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</si>
  <si>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</si>
  <si>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</si>
  <si>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</si>
  <si>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</si>
  <si>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</si>
  <si>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</si>
  <si>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</si>
  <si>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</si>
  <si>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</si>
  <si>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</si>
  <si>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</si>
  <si>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</si>
  <si>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</si>
  <si>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</si>
  <si>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</si>
  <si>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</si>
  <si>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</si>
  <si>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</si>
  <si>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</si>
  <si>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</si>
  <si>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</si>
  <si>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</si>
  <si>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</si>
  <si>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</si>
  <si>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</si>
  <si>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</si>
  <si>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</si>
  <si>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</si>
  <si>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MUM192_0001</t>
  </si>
  <si>
    <t>KZKD00000477</t>
  </si>
  <si>
    <t>KZT</t>
  </si>
  <si>
    <t>11.08.2025</t>
  </si>
  <si>
    <t>12.08.2025</t>
  </si>
  <si>
    <t>АКЦИОНЕРНОЕ ОБЩЕСТВО КАЗАХСТАНСКИЙ ФОНД УСТОЙЧИВОСТИ, ОБЛИГАЦИИ, KFUSb90</t>
  </si>
  <si>
    <t>KZ2C00012383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</si>
  <si>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</si>
  <si>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</si>
  <si>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MUM120_0017</t>
  </si>
  <si>
    <t>KZKD00000899</t>
  </si>
  <si>
    <t>МИНИСТЕРСТВО ФИНАНСОВ РК, ГЦБ, MUM240_0004</t>
  </si>
  <si>
    <t>KZKD00000832</t>
  </si>
  <si>
    <t>13.08.2025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</si>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</sst>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19" zoomScale="90" zoomScaleNormal="90" workbookViewId="0">
      <selection activeCell="D56" sqref="D5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97.484200000000001</v>
      </c>
      <c r="J4" s="11">
        <v>98.106616666666653</v>
      </c>
      <c r="K4" s="11">
        <v>18796983.333333328</v>
      </c>
      <c r="L4" s="11">
        <v>2962819823.333333</v>
      </c>
      <c r="M4" s="6">
        <f t="shared" ref="M4:M22" si="0">L4/$L$24</f>
        <v>9.945155954880168E-2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83.311000000000007</v>
      </c>
      <c r="J5" s="11">
        <v>83.721277777777772</v>
      </c>
      <c r="K5" s="11">
        <v>9292791.6666666698</v>
      </c>
      <c r="L5" s="11">
        <v>1896286941.666666</v>
      </c>
      <c r="M5" s="6">
        <f t="shared" si="0"/>
        <v>6.3651759116625906E-2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83.311000000000007</v>
      </c>
      <c r="J6" s="11">
        <v>83.721277777778027</v>
      </c>
      <c r="K6" s="11">
        <v>6366058.72777778</v>
      </c>
      <c r="L6" s="11">
        <v>1299057857.787781</v>
      </c>
      <c r="M6" s="6">
        <f t="shared" si="0"/>
        <v>4.3604855375839469E-2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83.311000000000007</v>
      </c>
      <c r="J7" s="11">
        <v>83.721277777777772</v>
      </c>
      <c r="K7" s="11">
        <v>2238853.01111111</v>
      </c>
      <c r="L7" s="11">
        <v>456860315.13111103</v>
      </c>
      <c r="M7" s="6">
        <f t="shared" si="0"/>
        <v>1.5335212245417144E-2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87.12660000000001</v>
      </c>
      <c r="J8" s="11">
        <v>90.593266666666651</v>
      </c>
      <c r="K8" s="11">
        <v>78519999.999999985</v>
      </c>
      <c r="L8" s="11">
        <v>2051937489.999999</v>
      </c>
      <c r="M8" s="6">
        <f t="shared" si="0"/>
        <v>6.8876406816924002E-2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85.277000000000001</v>
      </c>
      <c r="J9" s="11">
        <v>89.310333333333332</v>
      </c>
      <c r="K9" s="11">
        <v>91354999.999999985</v>
      </c>
      <c r="L9" s="11">
        <v>2022879049.999999</v>
      </c>
      <c r="M9" s="6">
        <f t="shared" si="0"/>
        <v>6.7901016024241923E-2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77.93780000000001</v>
      </c>
      <c r="J10" s="11">
        <v>82.086411111111104</v>
      </c>
      <c r="K10" s="11">
        <v>93966041.666666657</v>
      </c>
      <c r="L10" s="11">
        <v>1859257211.666666</v>
      </c>
      <c r="M10" s="6">
        <f t="shared" si="0"/>
        <v>6.2408799835346411E-2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68.387700000000009</v>
      </c>
      <c r="J11" s="11">
        <v>71.11047777777776</v>
      </c>
      <c r="K11" s="11">
        <v>61670916.666666657</v>
      </c>
      <c r="L11" s="11">
        <v>1610652321.666666</v>
      </c>
      <c r="M11" s="6">
        <f t="shared" si="0"/>
        <v>5.4063998093692646E-2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76.47890000000001</v>
      </c>
      <c r="J12" s="11">
        <v>76.952233333333325</v>
      </c>
      <c r="K12" s="11">
        <v>10721000</v>
      </c>
      <c r="L12" s="11">
        <v>1742968085</v>
      </c>
      <c r="M12" s="6">
        <f t="shared" si="0"/>
        <v>5.8505378198131675E-2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61.9788</v>
      </c>
      <c r="J13" s="11">
        <v>63.996300000000005</v>
      </c>
      <c r="K13" s="11">
        <v>45696375</v>
      </c>
      <c r="L13" s="11">
        <v>1449516195</v>
      </c>
      <c r="M13" s="6">
        <f t="shared" si="0"/>
        <v>4.8655218602463267E-2</v>
      </c>
    </row>
    <row r="14" spans="1:13" x14ac:dyDescent="0.25">
      <c r="A14" s="1" t="s">
        <v>60</v>
      </c>
      <c r="B14" s="13" t="s">
        <v>61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92</v>
      </c>
      <c r="H14" s="11">
        <v>1597764975</v>
      </c>
      <c r="I14" s="11">
        <v>60.514800000000001</v>
      </c>
      <c r="J14" s="11">
        <v>64.841216666666654</v>
      </c>
      <c r="K14" s="11">
        <v>97993337.5</v>
      </c>
      <c r="L14" s="11">
        <v>1468653557.5</v>
      </c>
      <c r="M14" s="6">
        <f t="shared" si="0"/>
        <v>4.9297593319713034E-2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95</v>
      </c>
      <c r="H15" s="11">
        <v>3136670150</v>
      </c>
      <c r="I15" s="11">
        <v>84.980100000000007</v>
      </c>
      <c r="J15" s="11">
        <v>87.038849999999996</v>
      </c>
      <c r="K15" s="11">
        <v>77717812.5</v>
      </c>
      <c r="L15" s="11">
        <v>3285716587.5</v>
      </c>
      <c r="M15" s="6">
        <f t="shared" si="0"/>
        <v>0.11029008118847002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56.9756</v>
      </c>
      <c r="J16" s="11">
        <v>58.625600000000006</v>
      </c>
      <c r="K16" s="11">
        <v>46263690</v>
      </c>
      <c r="L16" s="11">
        <v>1643779748.1600001</v>
      </c>
      <c r="M16" s="6">
        <f t="shared" si="0"/>
        <v>5.5175970614820775E-2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85.761099999999999</v>
      </c>
      <c r="J17" s="11">
        <v>90.927766666666656</v>
      </c>
      <c r="K17" s="11">
        <v>53654800</v>
      </c>
      <c r="L17" s="11">
        <v>944266671.27999997</v>
      </c>
      <c r="M17" s="6">
        <f t="shared" si="0"/>
        <v>3.1695748877196041E-2</v>
      </c>
    </row>
    <row r="18" spans="1:15" x14ac:dyDescent="0.25">
      <c r="A18" s="1" t="s">
        <v>63</v>
      </c>
      <c r="B18" s="13" t="s">
        <v>64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98.599299999999999</v>
      </c>
      <c r="J18" s="11">
        <v>102.180966666667</v>
      </c>
      <c r="K18" s="11">
        <v>18158656.016666658</v>
      </c>
      <c r="L18" s="11">
        <v>518046261.09366697</v>
      </c>
      <c r="M18" s="6">
        <f t="shared" si="0"/>
        <v>1.7389011703798956E-2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93.658654429911891</v>
      </c>
      <c r="J19" s="11">
        <v>107.124487763245</v>
      </c>
      <c r="K19" s="11">
        <v>282782500</v>
      </c>
      <c r="L19" s="11">
        <v>2249614243.0281491</v>
      </c>
      <c r="M19" s="6">
        <f t="shared" si="0"/>
        <v>7.5511728080933607E-2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99.602439335294292</v>
      </c>
      <c r="J20" s="11">
        <v>105.458661557517</v>
      </c>
      <c r="K20" s="11">
        <v>64418444.44444444</v>
      </c>
      <c r="L20" s="11">
        <v>1160045277.1326809</v>
      </c>
      <c r="M20" s="6">
        <f t="shared" si="0"/>
        <v>3.8938686399185539E-2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97.829180120296797</v>
      </c>
      <c r="J21" s="11">
        <v>100.684346786963</v>
      </c>
      <c r="K21" s="11">
        <v>28551666.66666666</v>
      </c>
      <c r="L21" s="11">
        <v>1006843467.869634</v>
      </c>
      <c r="M21" s="6">
        <f t="shared" si="0"/>
        <v>3.3796234355049234E-2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95.893753891314091</v>
      </c>
      <c r="J22" s="11">
        <v>97.977087224634019</v>
      </c>
      <c r="K22" s="11">
        <v>3452895.8333111098</v>
      </c>
      <c r="L22" s="11">
        <v>162386244.595236</v>
      </c>
      <c r="M22" s="6">
        <f t="shared" si="0"/>
        <v>5.4507416033487488E-3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1091617823.0333109</v>
      </c>
      <c r="L24" s="22">
        <f>SUM(L4:L23)</f>
        <v>29791587349.411587</v>
      </c>
      <c r="M24" s="23"/>
      <c r="N24" s="26">
        <v>29791587349.411606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2783084.69</v>
      </c>
      <c r="C27" s="51">
        <v>2783084.69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232854</v>
      </c>
      <c r="D32" s="7" t="s">
        <v>51</v>
      </c>
      <c r="E32" s="34" t="s">
        <v>52</v>
      </c>
      <c r="F32" s="34" t="s">
        <v>53</v>
      </c>
      <c r="G32" s="15">
        <v>846.66299999141108</v>
      </c>
      <c r="H32" s="15">
        <v>847.02256499781004</v>
      </c>
      <c r="I32" s="16">
        <f t="shared" ref="I32:I46" si="1">+C32*G32</f>
        <v>197148866.20000005</v>
      </c>
      <c r="J32" s="16">
        <f t="shared" ref="J32:J46" si="2">+C32*H32</f>
        <v>197232592.35000005</v>
      </c>
      <c r="K32" s="18">
        <v>0.15500999999999998</v>
      </c>
      <c r="L32" s="17">
        <v>83726.150000000009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232854</v>
      </c>
      <c r="D33" s="7" t="s">
        <v>51</v>
      </c>
      <c r="E33" s="34" t="s">
        <v>53</v>
      </c>
      <c r="F33" s="34" t="s">
        <v>53</v>
      </c>
      <c r="G33" s="15">
        <v>846.66299999141108</v>
      </c>
      <c r="H33" s="15">
        <v>847.02256499781004</v>
      </c>
      <c r="I33" s="16">
        <f t="shared" si="1"/>
        <v>197148866.20000005</v>
      </c>
      <c r="J33" s="16">
        <f t="shared" si="2"/>
        <v>197232592.35000005</v>
      </c>
      <c r="K33" s="18">
        <v>0.15500999999999998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5910</v>
      </c>
      <c r="D34" s="7" t="s">
        <v>51</v>
      </c>
      <c r="E34" s="34" t="s">
        <v>52</v>
      </c>
      <c r="F34" s="34" t="s">
        <v>53</v>
      </c>
      <c r="G34" s="15">
        <v>846.66300000000001</v>
      </c>
      <c r="H34" s="15">
        <v>847.02256514382407</v>
      </c>
      <c r="I34" s="16">
        <f t="shared" si="1"/>
        <v>5003778.33</v>
      </c>
      <c r="J34" s="16">
        <f t="shared" si="2"/>
        <v>5005903.3600000003</v>
      </c>
      <c r="K34" s="18">
        <v>0.15500999999999998</v>
      </c>
      <c r="L34" s="17">
        <v>2125.0300000000002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5910</v>
      </c>
      <c r="D35" s="7" t="s">
        <v>51</v>
      </c>
      <c r="E35" s="34" t="s">
        <v>53</v>
      </c>
      <c r="F35" s="34" t="s">
        <v>53</v>
      </c>
      <c r="G35" s="15">
        <v>846.66300000000001</v>
      </c>
      <c r="H35" s="15">
        <v>847.02256514382407</v>
      </c>
      <c r="I35" s="16">
        <f t="shared" si="1"/>
        <v>5003778.33</v>
      </c>
      <c r="J35" s="16">
        <f t="shared" si="2"/>
        <v>5005903.3600000003</v>
      </c>
      <c r="K35" s="18">
        <v>0.15500999999999998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1062618</v>
      </c>
      <c r="D36" s="7" t="s">
        <v>51</v>
      </c>
      <c r="E36" s="34" t="s">
        <v>52</v>
      </c>
      <c r="F36" s="34" t="s">
        <v>53</v>
      </c>
      <c r="G36" s="15">
        <v>846.66299999623607</v>
      </c>
      <c r="H36" s="15">
        <v>847.02256501395607</v>
      </c>
      <c r="I36" s="16">
        <f t="shared" si="1"/>
        <v>899679343.73000038</v>
      </c>
      <c r="J36" s="16">
        <f t="shared" si="2"/>
        <v>900061423.99000001</v>
      </c>
      <c r="K36" s="18">
        <v>0.15500999999999998</v>
      </c>
      <c r="L36" s="17">
        <v>382080.26</v>
      </c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1062618</v>
      </c>
      <c r="D37" s="7" t="s">
        <v>51</v>
      </c>
      <c r="E37" s="34" t="s">
        <v>53</v>
      </c>
      <c r="F37" s="34" t="s">
        <v>53</v>
      </c>
      <c r="G37" s="15">
        <v>846.66299999623607</v>
      </c>
      <c r="H37" s="15">
        <v>847.02256501395607</v>
      </c>
      <c r="I37" s="16">
        <f t="shared" si="1"/>
        <v>899679343.73000038</v>
      </c>
      <c r="J37" s="16">
        <f t="shared" si="2"/>
        <v>900061423.99000001</v>
      </c>
      <c r="K37" s="18">
        <v>0.15500999999999998</v>
      </c>
      <c r="L37" s="17"/>
      <c r="M37" s="17"/>
      <c r="N37" s="35"/>
    </row>
    <row r="38" spans="1:15" s="36" customFormat="1" ht="12" customHeight="1" x14ac:dyDescent="0.25">
      <c r="A38" s="12" t="s">
        <v>54</v>
      </c>
      <c r="B38" s="7" t="s">
        <v>55</v>
      </c>
      <c r="C38" s="14">
        <v>630000</v>
      </c>
      <c r="D38" s="7" t="s">
        <v>51</v>
      </c>
      <c r="E38" s="34" t="s">
        <v>52</v>
      </c>
      <c r="F38" s="34" t="s">
        <v>53</v>
      </c>
      <c r="G38" s="15">
        <v>992.24300000000005</v>
      </c>
      <c r="H38" s="15">
        <v>992.66463531746001</v>
      </c>
      <c r="I38" s="16">
        <f t="shared" si="1"/>
        <v>625113090</v>
      </c>
      <c r="J38" s="16">
        <f t="shared" si="2"/>
        <v>625378720.24999976</v>
      </c>
      <c r="K38" s="18">
        <v>0.15510000000000002</v>
      </c>
      <c r="L38" s="17">
        <v>265630.25</v>
      </c>
      <c r="M38" s="17"/>
      <c r="N38" s="35"/>
    </row>
    <row r="39" spans="1:15" s="36" customFormat="1" ht="12" customHeight="1" x14ac:dyDescent="0.25">
      <c r="A39" s="12" t="s">
        <v>54</v>
      </c>
      <c r="B39" s="7" t="s">
        <v>55</v>
      </c>
      <c r="C39" s="14">
        <v>630000</v>
      </c>
      <c r="D39" s="7" t="s">
        <v>51</v>
      </c>
      <c r="E39" s="34" t="s">
        <v>53</v>
      </c>
      <c r="F39" s="34" t="s">
        <v>53</v>
      </c>
      <c r="G39" s="15">
        <v>992.24300000000005</v>
      </c>
      <c r="H39" s="15">
        <v>992.66463531746001</v>
      </c>
      <c r="I39" s="16">
        <f t="shared" si="1"/>
        <v>625113090</v>
      </c>
      <c r="J39" s="16">
        <f t="shared" si="2"/>
        <v>625378720.24999976</v>
      </c>
      <c r="K39" s="18">
        <v>0.15510000000000002</v>
      </c>
      <c r="L39" s="17"/>
      <c r="M39" s="17"/>
      <c r="N39" s="35"/>
    </row>
    <row r="40" spans="1:15" s="36" customFormat="1" ht="12" customHeight="1" x14ac:dyDescent="0.25">
      <c r="A40" s="12" t="s">
        <v>56</v>
      </c>
      <c r="B40" s="7" t="s">
        <v>57</v>
      </c>
      <c r="C40" s="14">
        <v>453523</v>
      </c>
      <c r="D40" s="7" t="s">
        <v>51</v>
      </c>
      <c r="E40" s="34" t="s">
        <v>52</v>
      </c>
      <c r="F40" s="34" t="s">
        <v>53</v>
      </c>
      <c r="G40" s="15">
        <v>1034.5969999977951</v>
      </c>
      <c r="H40" s="15">
        <v>1035.0366328499319</v>
      </c>
      <c r="I40" s="16">
        <f t="shared" si="1"/>
        <v>469213535.23000002</v>
      </c>
      <c r="J40" s="16">
        <f t="shared" si="2"/>
        <v>469412918.83999968</v>
      </c>
      <c r="K40" s="18">
        <v>0.15510000000000002</v>
      </c>
      <c r="L40" s="17">
        <v>199383.61</v>
      </c>
      <c r="M40" s="17"/>
      <c r="N40" s="35"/>
    </row>
    <row r="41" spans="1:15" s="36" customFormat="1" ht="12" customHeight="1" x14ac:dyDescent="0.25">
      <c r="A41" s="12" t="s">
        <v>56</v>
      </c>
      <c r="B41" s="7" t="s">
        <v>57</v>
      </c>
      <c r="C41" s="14">
        <v>453523</v>
      </c>
      <c r="D41" s="7" t="s">
        <v>51</v>
      </c>
      <c r="E41" s="34" t="s">
        <v>53</v>
      </c>
      <c r="F41" s="34" t="s">
        <v>53</v>
      </c>
      <c r="G41" s="15">
        <v>1034.5969999977951</v>
      </c>
      <c r="H41" s="15">
        <v>1035.0366328499319</v>
      </c>
      <c r="I41" s="16">
        <f t="shared" si="1"/>
        <v>469213535.23000002</v>
      </c>
      <c r="J41" s="16">
        <f t="shared" si="2"/>
        <v>469412918.83999968</v>
      </c>
      <c r="K41" s="18">
        <v>0.15510000000000002</v>
      </c>
      <c r="L41" s="17"/>
      <c r="M41" s="17"/>
      <c r="N41" s="35"/>
    </row>
    <row r="42" spans="1:15" s="36" customFormat="1" ht="12" customHeight="1" x14ac:dyDescent="0.25">
      <c r="A42" s="12" t="s">
        <v>58</v>
      </c>
      <c r="B42" s="7" t="s">
        <v>59</v>
      </c>
      <c r="C42" s="14">
        <v>9603</v>
      </c>
      <c r="D42" s="7" t="s">
        <v>51</v>
      </c>
      <c r="E42" s="34" t="s">
        <v>52</v>
      </c>
      <c r="F42" s="34" t="s">
        <v>53</v>
      </c>
      <c r="G42" s="15">
        <v>937.48900031240203</v>
      </c>
      <c r="H42" s="15">
        <v>937.88839425179606</v>
      </c>
      <c r="I42" s="16">
        <f t="shared" si="1"/>
        <v>9002706.8699999973</v>
      </c>
      <c r="J42" s="16">
        <f t="shared" si="2"/>
        <v>9006542.2499999981</v>
      </c>
      <c r="K42" s="18">
        <v>0.155499</v>
      </c>
      <c r="L42" s="17">
        <v>3835.38</v>
      </c>
      <c r="M42" s="17"/>
      <c r="N42" s="35"/>
    </row>
    <row r="43" spans="1:15" s="36" customFormat="1" ht="12" customHeight="1" x14ac:dyDescent="0.25">
      <c r="A43" s="12" t="s">
        <v>58</v>
      </c>
      <c r="B43" s="7" t="s">
        <v>59</v>
      </c>
      <c r="C43" s="14">
        <v>9603</v>
      </c>
      <c r="D43" s="7" t="s">
        <v>51</v>
      </c>
      <c r="E43" s="34" t="s">
        <v>53</v>
      </c>
      <c r="F43" s="34" t="s">
        <v>53</v>
      </c>
      <c r="G43" s="15">
        <v>937.48900031240203</v>
      </c>
      <c r="H43" s="15">
        <v>937.88839425179606</v>
      </c>
      <c r="I43" s="16">
        <f t="shared" si="1"/>
        <v>9002706.8699999973</v>
      </c>
      <c r="J43" s="16">
        <f t="shared" si="2"/>
        <v>9006542.2499999981</v>
      </c>
      <c r="K43" s="18">
        <v>0.155499</v>
      </c>
      <c r="L43" s="17"/>
      <c r="M43" s="17"/>
      <c r="N43" s="35"/>
    </row>
    <row r="44" spans="1:15" s="36" customFormat="1" ht="12" customHeight="1" x14ac:dyDescent="0.25">
      <c r="A44" s="12" t="s">
        <v>60</v>
      </c>
      <c r="B44" s="7" t="s">
        <v>61</v>
      </c>
      <c r="C44" s="14">
        <v>1387157</v>
      </c>
      <c r="D44" s="7" t="s">
        <v>51</v>
      </c>
      <c r="E44" s="34" t="s">
        <v>53</v>
      </c>
      <c r="F44" s="34" t="s">
        <v>62</v>
      </c>
      <c r="G44" s="15">
        <v>648.41199999711603</v>
      </c>
      <c r="H44" s="15">
        <v>648.68735303934602</v>
      </c>
      <c r="I44" s="16">
        <f t="shared" si="1"/>
        <v>899449244.67999947</v>
      </c>
      <c r="J44" s="16">
        <f t="shared" si="2"/>
        <v>899831202.58000016</v>
      </c>
      <c r="K44" s="18">
        <v>0.155</v>
      </c>
      <c r="L44" s="17"/>
      <c r="M44" s="17">
        <v>899449244.67999995</v>
      </c>
      <c r="N44" s="35"/>
    </row>
    <row r="45" spans="1:15" s="36" customFormat="1" ht="12" customHeight="1" x14ac:dyDescent="0.25">
      <c r="A45" s="12" t="s">
        <v>60</v>
      </c>
      <c r="B45" s="7" t="s">
        <v>61</v>
      </c>
      <c r="C45" s="14">
        <v>9258</v>
      </c>
      <c r="D45" s="7" t="s">
        <v>51</v>
      </c>
      <c r="E45" s="34" t="s">
        <v>53</v>
      </c>
      <c r="F45" s="34" t="s">
        <v>62</v>
      </c>
      <c r="G45" s="15">
        <v>648.41200043205902</v>
      </c>
      <c r="H45" s="15">
        <v>648.68735364009501</v>
      </c>
      <c r="I45" s="16">
        <f t="shared" si="1"/>
        <v>6002998.3000000026</v>
      </c>
      <c r="J45" s="16">
        <f t="shared" si="2"/>
        <v>6005547.5199999996</v>
      </c>
      <c r="K45" s="18">
        <v>0.155</v>
      </c>
      <c r="L45" s="17"/>
      <c r="M45" s="17">
        <v>6002998.2999999998</v>
      </c>
      <c r="N45" s="35"/>
    </row>
    <row r="46" spans="1:15" s="36" customFormat="1" ht="12" customHeight="1" x14ac:dyDescent="0.25">
      <c r="A46" s="12" t="s">
        <v>63</v>
      </c>
      <c r="B46" s="7" t="s">
        <v>64</v>
      </c>
      <c r="C46" s="14">
        <v>1272700</v>
      </c>
      <c r="D46" s="7" t="s">
        <v>51</v>
      </c>
      <c r="E46" s="34" t="s">
        <v>53</v>
      </c>
      <c r="F46" s="34" t="s">
        <v>62</v>
      </c>
      <c r="G46" s="15">
        <v>1021.81</v>
      </c>
      <c r="H46" s="15">
        <v>1022.2440592912701</v>
      </c>
      <c r="I46" s="16">
        <f t="shared" si="1"/>
        <v>1300457587</v>
      </c>
      <c r="J46" s="16">
        <f t="shared" si="2"/>
        <v>1301010014.2599995</v>
      </c>
      <c r="K46" s="18">
        <v>0.15504999999999999</v>
      </c>
      <c r="L46" s="17"/>
      <c r="M46" s="17">
        <v>1300457587</v>
      </c>
      <c r="N46" s="35"/>
    </row>
    <row r="47" spans="1:15" s="36" customFormat="1" ht="11.25" hidden="1" x14ac:dyDescent="0.25">
      <c r="A47" s="7"/>
      <c r="B47" s="7"/>
      <c r="C47" s="7"/>
      <c r="D47" s="7"/>
      <c r="E47" s="37"/>
      <c r="F47" s="37"/>
      <c r="G47" s="7"/>
      <c r="H47" s="7"/>
      <c r="I47" s="8"/>
      <c r="J47" s="8"/>
      <c r="K47" s="7"/>
      <c r="L47" s="9"/>
      <c r="M47" s="9"/>
      <c r="N47" s="35"/>
    </row>
    <row r="48" spans="1:15" x14ac:dyDescent="0.25">
      <c r="A48" s="1" t="s">
        <v>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>
        <f>SUM(M32:M47)</f>
        <v>2205909829.98</v>
      </c>
      <c r="N48" s="38">
        <v>2205909829.98</v>
      </c>
      <c r="O48" s="29">
        <f>M48-N48</f>
        <v>0</v>
      </c>
    </row>
    <row r="50" spans="1:8" x14ac:dyDescent="0.25">
      <c r="A50" s="39" t="s">
        <v>28</v>
      </c>
      <c r="B50" s="33"/>
      <c r="D50" s="33"/>
      <c r="F50" s="28"/>
      <c r="G50" s="28"/>
    </row>
    <row r="51" spans="1:8" ht="22.5" x14ac:dyDescent="0.25">
      <c r="A51" s="19" t="s">
        <v>6</v>
      </c>
      <c r="B51" s="19" t="s">
        <v>29</v>
      </c>
      <c r="C51" s="19" t="s">
        <v>17</v>
      </c>
      <c r="D51" s="19" t="s">
        <v>30</v>
      </c>
      <c r="E51" s="19" t="s">
        <v>16</v>
      </c>
      <c r="F51" s="19" t="s">
        <v>31</v>
      </c>
      <c r="G51" s="19" t="s">
        <v>32</v>
      </c>
    </row>
    <row r="52" spans="1:8" hidden="1" x14ac:dyDescent="0.25">
      <c r="B52" s="41"/>
      <c r="C52" s="42"/>
      <c r="D52" s="43"/>
      <c r="G52" s="44"/>
      <c r="H52" s="33"/>
    </row>
    <row r="53" spans="1:8" x14ac:dyDescent="0.25">
      <c r="G53" s="45">
        <f>SUM(G52:G52)</f>
        <v>0</v>
      </c>
    </row>
    <row r="55" spans="1:8" x14ac:dyDescent="0.25">
      <c r="A55" s="46" t="s">
        <v>13</v>
      </c>
      <c r="B55" s="47">
        <f>+L24+B27+M48+G53</f>
        <v>32000280264.081585</v>
      </c>
      <c r="C55" s="32">
        <v>32000280264.081604</v>
      </c>
      <c r="D55" s="29">
        <f>B55-C55</f>
        <v>0</v>
      </c>
    </row>
    <row r="58" spans="1:8" x14ac:dyDescent="0.25">
      <c r="A58" s="24" t="s">
        <v>46</v>
      </c>
      <c r="B58" s="33"/>
    </row>
    <row r="59" spans="1:8" x14ac:dyDescent="0.25">
      <c r="A59" s="48" t="s">
        <v>35</v>
      </c>
      <c r="B59" s="49"/>
    </row>
    <row r="60" spans="1:8" x14ac:dyDescent="0.25">
      <c r="A60" s="48" t="s">
        <v>36</v>
      </c>
      <c r="B60" s="40"/>
    </row>
    <row r="61" spans="1:8" x14ac:dyDescent="0.25">
      <c r="A61" s="48" t="s">
        <v>37</v>
      </c>
      <c r="B61" s="40">
        <v>191571.27</v>
      </c>
    </row>
    <row r="62" spans="1:8" x14ac:dyDescent="0.25">
      <c r="A62" s="48" t="s">
        <v>38</v>
      </c>
      <c r="B62" s="40"/>
    </row>
    <row r="63" spans="1:8" x14ac:dyDescent="0.25">
      <c r="A63" s="48" t="s">
        <v>39</v>
      </c>
      <c r="B63" s="49"/>
    </row>
    <row r="64" spans="1:8" x14ac:dyDescent="0.25">
      <c r="A64" s="48" t="s">
        <v>40</v>
      </c>
      <c r="B64" s="50">
        <v>39860.910000000003</v>
      </c>
    </row>
    <row r="65" spans="1:2" x14ac:dyDescent="0.25">
      <c r="A65" s="48" t="s">
        <v>41</v>
      </c>
      <c r="B65" s="50">
        <v>19796.14</v>
      </c>
    </row>
    <row r="66" spans="1:2" x14ac:dyDescent="0.25">
      <c r="A66" s="48" t="s">
        <v>42</v>
      </c>
      <c r="B66" s="40"/>
    </row>
    <row r="67" spans="1:2" x14ac:dyDescent="0.25">
      <c r="A67" s="48" t="s">
        <v>43</v>
      </c>
      <c r="B67" s="40"/>
    </row>
    <row r="68" spans="1:2" x14ac:dyDescent="0.25">
      <c r="A68" s="48" t="s">
        <v>44</v>
      </c>
      <c r="B68" s="50"/>
    </row>
    <row r="69" spans="1:2" x14ac:dyDescent="0.25">
      <c r="A69" s="48" t="s">
        <v>45</v>
      </c>
      <c r="B69" s="49">
        <f>SUM(B59:B68)</f>
        <v>251228.32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2025-08-13T05:57:42Z</dcterms:created>
  <dcterms:modified xsi:type="dcterms:W3CDTF">2025-08-13T10:23:51Z</dcterms:modified>
</cp:coreProperties>
</file>