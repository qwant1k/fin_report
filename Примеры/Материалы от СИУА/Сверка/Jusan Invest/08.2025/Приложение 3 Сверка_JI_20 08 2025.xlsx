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0.08.2025\"/>
    </mc:Choice>
  </mc:AlternateContent>
  <xr:revisionPtr revIDLastSave="0" documentId="8_{AAED5BB9-D6C7-462B-B114-60EF02F6EC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<sst xmlns="http://schemas.openxmlformats.org/spreadsheetml/2006/main" count="175" uniqueCount="119">
  <si>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</si>
  <si>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</si>
  <si>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</si>
  <si>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</si>
  <si>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</si>
  <si>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</si>
  <si>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</si>
  <si>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</si>
  <si>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</si>
  <si>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</si>
  <si>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</si>
  <si>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</si>
  <si>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</si>
  <si>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</si>
  <si>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</si>
  <si>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</si>
  <si>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</si>
  <si>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</si>
  <si>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</si>
  <si>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</si>
  <si>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</si>
  <si>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</si>
  <si>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</si>
  <si>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</si>
  <si>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</si>
  <si>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</si>
  <si>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</si>
  <si>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</si>
  <si>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</si>
  <si>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</si>
  <si>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</si>
  <si>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</si>
  <si>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</si>
  <si>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</si>
  <si>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</si>
  <si>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</si>
  <si>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</si>
  <si>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</si>
  <si>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</si>
  <si>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</si>
  <si>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</si>
  <si>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</si>
  <si>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</si>
  <si>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</si>
  <si>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</si>
  <si>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</si>
  <si>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</si>
  <si>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</si>
  <si>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</si>
  <si>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REPUBLIC OF KAZAKHSTAN, ЕВРО ОБЛИГАЦИИ, KZ_22_4507</t>
  </si>
  <si>
    <t>XS1263139856</t>
  </si>
  <si>
    <t>KZT</t>
  </si>
  <si>
    <t>20.08.2025</t>
  </si>
  <si>
    <t>21.08.2025</t>
  </si>
  <si>
    <t>МИНИСТЕРСТВО ФИНАНСОВ РК, ГЦБ, MUM096_0011</t>
  </si>
  <si>
    <t>KZKD00001095</t>
  </si>
  <si>
    <t>МИНИСТЕРСТВО ФИНАНСОВ РК, ГЦБ, MUM240_0002</t>
  </si>
  <si>
    <t>KZKD00000741</t>
  </si>
  <si>
    <t>19.08.2025</t>
  </si>
  <si>
    <t>МИНИСТЕРСТВО ФИНАНСОВ РК, ГЦБ, MUM108_0012</t>
  </si>
  <si>
    <t>KZKD00000915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</si>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</sst>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zoomScale="90" zoomScaleNormal="90" workbookViewId="0">
      <selection activeCell="F55" sqref="F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97.914000000000001</v>
      </c>
      <c r="J4" s="11">
        <v>98.773527777777772</v>
      </c>
      <c r="K4" s="11">
        <v>25957738.888888881</v>
      </c>
      <c r="L4" s="11">
        <v>2982960538.8888879</v>
      </c>
      <c r="M4" s="6">
        <f t="shared" ref="M4:M22" si="0">L4/$L$24</f>
        <v>0.10041043943954817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82.542299999999997</v>
      </c>
      <c r="J5" s="11">
        <v>83.187022222222211</v>
      </c>
      <c r="K5" s="11">
        <v>14602958.33333333</v>
      </c>
      <c r="L5" s="11">
        <v>1884186053.333333</v>
      </c>
      <c r="M5" s="6">
        <f t="shared" si="0"/>
        <v>6.3424221384953128E-2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82.542299999999997</v>
      </c>
      <c r="J6" s="11">
        <v>83.187022222222481</v>
      </c>
      <c r="K6" s="11">
        <v>10003806.57222222</v>
      </c>
      <c r="L6" s="11">
        <v>1290768102.8302259</v>
      </c>
      <c r="M6" s="6">
        <f t="shared" si="0"/>
        <v>4.3448979874206303E-2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82.542299999999997</v>
      </c>
      <c r="J7" s="11">
        <v>83.187022222222211</v>
      </c>
      <c r="K7" s="11">
        <v>3518197.5888888901</v>
      </c>
      <c r="L7" s="11">
        <v>453944925.30488902</v>
      </c>
      <c r="M7" s="6">
        <f t="shared" si="0"/>
        <v>1.5280393031345631E-2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86.456400000000002</v>
      </c>
      <c r="J8" s="11">
        <v>90.154177777777761</v>
      </c>
      <c r="K8" s="11">
        <v>83754666.666666657</v>
      </c>
      <c r="L8" s="11">
        <v>2041992126.666666</v>
      </c>
      <c r="M8" s="6">
        <f t="shared" si="0"/>
        <v>6.8736184772685935E-2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84.5261</v>
      </c>
      <c r="J9" s="11">
        <v>88.803877777777771</v>
      </c>
      <c r="K9" s="11">
        <v>96891666.666666657</v>
      </c>
      <c r="L9" s="11">
        <v>2011407831.666666</v>
      </c>
      <c r="M9" s="6">
        <f t="shared" si="0"/>
        <v>6.7706676517091419E-2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77.232200000000006</v>
      </c>
      <c r="J10" s="11">
        <v>81.609699999999989</v>
      </c>
      <c r="K10" s="11">
        <v>99150375</v>
      </c>
      <c r="L10" s="11">
        <v>1848459705</v>
      </c>
      <c r="M10" s="6">
        <f t="shared" si="0"/>
        <v>6.2221624740125714E-2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67.770600000000002</v>
      </c>
      <c r="J11" s="11">
        <v>70.681155555555549</v>
      </c>
      <c r="K11" s="11">
        <v>65924083.333333328</v>
      </c>
      <c r="L11" s="11">
        <v>1600928173.333333</v>
      </c>
      <c r="M11" s="6">
        <f t="shared" si="0"/>
        <v>5.388938247752692E-2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75.760199999999998</v>
      </c>
      <c r="J12" s="11">
        <v>76.470200000000006</v>
      </c>
      <c r="K12" s="11">
        <v>16081500</v>
      </c>
      <c r="L12" s="11">
        <v>1732050030</v>
      </c>
      <c r="M12" s="6">
        <f t="shared" si="0"/>
        <v>5.8303119460093117E-2</v>
      </c>
    </row>
    <row r="13" spans="1:13" x14ac:dyDescent="0.25">
      <c r="A13" s="1" t="s">
        <v>56</v>
      </c>
      <c r="B13" s="13" t="s">
        <v>57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85</v>
      </c>
      <c r="H13" s="11">
        <v>1622351550</v>
      </c>
      <c r="I13" s="11">
        <v>61.420900000000003</v>
      </c>
      <c r="J13" s="11">
        <v>63.617733333333327</v>
      </c>
      <c r="K13" s="11">
        <v>49758275</v>
      </c>
      <c r="L13" s="11">
        <v>1440941660</v>
      </c>
      <c r="M13" s="6">
        <f t="shared" si="0"/>
        <v>4.8504022564524234E-2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88</v>
      </c>
      <c r="H14" s="11">
        <v>1597764975</v>
      </c>
      <c r="I14" s="11">
        <v>59.9895</v>
      </c>
      <c r="J14" s="11">
        <v>64.495249999999999</v>
      </c>
      <c r="K14" s="11">
        <v>102055237.5</v>
      </c>
      <c r="L14" s="11">
        <v>1460817412.5</v>
      </c>
      <c r="M14" s="6">
        <f t="shared" si="0"/>
        <v>4.9173066964105894E-2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91</v>
      </c>
      <c r="H15" s="11">
        <v>3136670150</v>
      </c>
      <c r="I15" s="11">
        <v>84.715100000000007</v>
      </c>
      <c r="J15" s="11">
        <v>86.895849999999996</v>
      </c>
      <c r="K15" s="11">
        <v>82323312.5</v>
      </c>
      <c r="L15" s="11">
        <v>3280318337.5</v>
      </c>
      <c r="M15" s="6">
        <f t="shared" si="0"/>
        <v>0.11041990045656853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56.471800000000002</v>
      </c>
      <c r="J16" s="11">
        <v>58.24402222222222</v>
      </c>
      <c r="K16" s="11">
        <v>49690630</v>
      </c>
      <c r="L16" s="11">
        <v>1633080841.48</v>
      </c>
      <c r="M16" s="6">
        <f t="shared" si="0"/>
        <v>5.4971684269880951E-2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84.984800000000007</v>
      </c>
      <c r="J17" s="11">
        <v>90.41813333333333</v>
      </c>
      <c r="K17" s="11">
        <v>56424080</v>
      </c>
      <c r="L17" s="11">
        <v>938974231.03999996</v>
      </c>
      <c r="M17" s="6">
        <f t="shared" si="0"/>
        <v>3.1607127862394481E-2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97.928400000000011</v>
      </c>
      <c r="J18" s="11">
        <v>101.85117777777801</v>
      </c>
      <c r="K18" s="11">
        <v>19888051.827777769</v>
      </c>
      <c r="L18" s="11">
        <v>516374267.70377803</v>
      </c>
      <c r="M18" s="6">
        <f t="shared" si="0"/>
        <v>1.7381848153688421E-2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93.3572697684871</v>
      </c>
      <c r="J19" s="11">
        <v>107.140880879598</v>
      </c>
      <c r="K19" s="11">
        <v>289455833.33333302</v>
      </c>
      <c r="L19" s="11">
        <v>2249958498.4715619</v>
      </c>
      <c r="M19" s="6">
        <f t="shared" si="0"/>
        <v>7.5736610862585305E-2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99.824700000000007</v>
      </c>
      <c r="J20" s="11">
        <v>105.98914444444401</v>
      </c>
      <c r="K20" s="11">
        <v>67808888.888888881</v>
      </c>
      <c r="L20" s="11">
        <v>1165880588.8888879</v>
      </c>
      <c r="M20" s="6">
        <f t="shared" si="0"/>
        <v>3.9245099202008929E-2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98.050876829359893</v>
      </c>
      <c r="J21" s="11">
        <v>101.21471016269301</v>
      </c>
      <c r="K21" s="11">
        <v>31638333.333333328</v>
      </c>
      <c r="L21" s="11">
        <v>1012147101.626932</v>
      </c>
      <c r="M21" s="6">
        <f t="shared" si="0"/>
        <v>3.4070224505779449E-2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95.674326852762192</v>
      </c>
      <c r="J22" s="11">
        <v>98.035437963859891</v>
      </c>
      <c r="K22" s="11">
        <v>3913281.9444222199</v>
      </c>
      <c r="L22" s="11">
        <v>162482954.52692199</v>
      </c>
      <c r="M22" s="6">
        <f t="shared" si="0"/>
        <v>5.4693934608875073E-3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1168840917.3777552</v>
      </c>
      <c r="L24" s="22">
        <f>SUM(L4:L23)</f>
        <v>29707673380.762081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6182871.2699999996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6764</v>
      </c>
      <c r="D32" s="7" t="s">
        <v>51</v>
      </c>
      <c r="E32" s="34" t="s">
        <v>52</v>
      </c>
      <c r="F32" s="34" t="s">
        <v>53</v>
      </c>
      <c r="G32" s="15">
        <v>591.57500000000005</v>
      </c>
      <c r="H32" s="15">
        <v>591.82622856298008</v>
      </c>
      <c r="I32" s="16">
        <f t="shared" ref="I32:I40" si="1">+C32*G32</f>
        <v>4001413.3000000003</v>
      </c>
      <c r="J32" s="16">
        <f t="shared" ref="J32:J40" si="2">+C32*H32</f>
        <v>4003112.6099999971</v>
      </c>
      <c r="K32" s="18">
        <v>0.15500700000000001</v>
      </c>
      <c r="L32" s="17"/>
      <c r="M32" s="17">
        <v>4001413.3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970896</v>
      </c>
      <c r="D33" s="7" t="s">
        <v>51</v>
      </c>
      <c r="E33" s="34" t="s">
        <v>52</v>
      </c>
      <c r="F33" s="34" t="s">
        <v>53</v>
      </c>
      <c r="G33" s="15">
        <v>931.94699999794</v>
      </c>
      <c r="H33" s="15">
        <v>932.34277618818101</v>
      </c>
      <c r="I33" s="16">
        <f t="shared" si="1"/>
        <v>904823614.50999999</v>
      </c>
      <c r="J33" s="16">
        <f t="shared" si="2"/>
        <v>905207872.03000021</v>
      </c>
      <c r="K33" s="18">
        <v>0.15500700000000001</v>
      </c>
      <c r="L33" s="17"/>
      <c r="M33" s="17">
        <v>904823614.50999999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1396200</v>
      </c>
      <c r="D34" s="7" t="s">
        <v>51</v>
      </c>
      <c r="E34" s="34" t="s">
        <v>52</v>
      </c>
      <c r="F34" s="34" t="s">
        <v>53</v>
      </c>
      <c r="G34" s="15">
        <v>931.947</v>
      </c>
      <c r="H34" s="15">
        <v>932.34277618536009</v>
      </c>
      <c r="I34" s="16">
        <f t="shared" si="1"/>
        <v>1301184401.4000001</v>
      </c>
      <c r="J34" s="16">
        <f t="shared" si="2"/>
        <v>1301736984.1099997</v>
      </c>
      <c r="K34" s="18">
        <v>0.15500700000000001</v>
      </c>
      <c r="L34" s="17"/>
      <c r="M34" s="17">
        <v>1301184401.4000001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2041000</v>
      </c>
      <c r="D35" s="7" t="s">
        <v>51</v>
      </c>
      <c r="E35" s="34" t="s">
        <v>58</v>
      </c>
      <c r="F35" s="34" t="s">
        <v>52</v>
      </c>
      <c r="G35" s="15">
        <v>637.00900000000001</v>
      </c>
      <c r="H35" s="15">
        <v>637.27951067124002</v>
      </c>
      <c r="I35" s="16">
        <f t="shared" si="1"/>
        <v>1300135369</v>
      </c>
      <c r="J35" s="16">
        <f t="shared" si="2"/>
        <v>1300687481.2800009</v>
      </c>
      <c r="K35" s="18">
        <v>0.155</v>
      </c>
      <c r="L35" s="17">
        <v>552112.28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2041000</v>
      </c>
      <c r="D36" s="7" t="s">
        <v>51</v>
      </c>
      <c r="E36" s="34" t="s">
        <v>52</v>
      </c>
      <c r="F36" s="34" t="s">
        <v>52</v>
      </c>
      <c r="G36" s="15">
        <v>637.00900000000001</v>
      </c>
      <c r="H36" s="15">
        <v>637.27951067124002</v>
      </c>
      <c r="I36" s="16">
        <f t="shared" si="1"/>
        <v>1300135369</v>
      </c>
      <c r="J36" s="16">
        <f t="shared" si="2"/>
        <v>1300687481.2800009</v>
      </c>
      <c r="K36" s="18">
        <v>0.155</v>
      </c>
      <c r="L36" s="17"/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951912</v>
      </c>
      <c r="D37" s="7" t="s">
        <v>51</v>
      </c>
      <c r="E37" s="34" t="s">
        <v>58</v>
      </c>
      <c r="F37" s="34" t="s">
        <v>52</v>
      </c>
      <c r="G37" s="15">
        <v>950.54499999999996</v>
      </c>
      <c r="H37" s="15">
        <v>950.94865869954401</v>
      </c>
      <c r="I37" s="16">
        <f t="shared" si="1"/>
        <v>904835192.03999996</v>
      </c>
      <c r="J37" s="16">
        <f t="shared" si="2"/>
        <v>905219439.60000038</v>
      </c>
      <c r="K37" s="18">
        <v>0.155001</v>
      </c>
      <c r="L37" s="17">
        <v>384247.56</v>
      </c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951912</v>
      </c>
      <c r="D38" s="7" t="s">
        <v>51</v>
      </c>
      <c r="E38" s="34" t="s">
        <v>52</v>
      </c>
      <c r="F38" s="34" t="s">
        <v>52</v>
      </c>
      <c r="G38" s="15">
        <v>950.54499999999996</v>
      </c>
      <c r="H38" s="15">
        <v>950.94865869954401</v>
      </c>
      <c r="I38" s="16">
        <f t="shared" si="1"/>
        <v>904835192.03999996</v>
      </c>
      <c r="J38" s="16">
        <f t="shared" si="2"/>
        <v>905219439.60000038</v>
      </c>
      <c r="K38" s="18">
        <v>0.155001</v>
      </c>
      <c r="L38" s="17"/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5265</v>
      </c>
      <c r="D39" s="7" t="s">
        <v>51</v>
      </c>
      <c r="E39" s="34" t="s">
        <v>58</v>
      </c>
      <c r="F39" s="34" t="s">
        <v>52</v>
      </c>
      <c r="G39" s="15">
        <v>950.54500094966807</v>
      </c>
      <c r="H39" s="15">
        <v>950.94865906932603</v>
      </c>
      <c r="I39" s="16">
        <f t="shared" si="1"/>
        <v>5004619.4300000025</v>
      </c>
      <c r="J39" s="16">
        <f t="shared" si="2"/>
        <v>5006744.6900000013</v>
      </c>
      <c r="K39" s="18">
        <v>0.155001</v>
      </c>
      <c r="L39" s="17">
        <v>2125.2600000000002</v>
      </c>
      <c r="M39" s="17"/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5265</v>
      </c>
      <c r="D40" s="7" t="s">
        <v>51</v>
      </c>
      <c r="E40" s="34" t="s">
        <v>52</v>
      </c>
      <c r="F40" s="34" t="s">
        <v>52</v>
      </c>
      <c r="G40" s="15">
        <v>950.54500094966807</v>
      </c>
      <c r="H40" s="15">
        <v>950.94865906932603</v>
      </c>
      <c r="I40" s="16">
        <f t="shared" si="1"/>
        <v>5004619.4300000025</v>
      </c>
      <c r="J40" s="16">
        <f t="shared" si="2"/>
        <v>5006744.6900000013</v>
      </c>
      <c r="K40" s="18">
        <v>0.155001</v>
      </c>
      <c r="L40" s="17"/>
      <c r="M40" s="17"/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2210009429.21</v>
      </c>
      <c r="N42" s="38"/>
      <c r="O42" s="29"/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31923865681.242081</v>
      </c>
      <c r="C49" s="32"/>
      <c r="D49" s="29"/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317316.60000000003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66527.509999999995</v>
      </c>
    </row>
    <row r="59" spans="1:4" x14ac:dyDescent="0.25">
      <c r="A59" s="48" t="s">
        <v>41</v>
      </c>
      <c r="B59" s="50">
        <v>33043.730000000003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416887.84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2025-08-21T05:31:23Z</dcterms:created>
  <dcterms:modified xsi:type="dcterms:W3CDTF">2025-08-21T05:32:54Z</dcterms:modified>
</cp:coreProperties>
</file>