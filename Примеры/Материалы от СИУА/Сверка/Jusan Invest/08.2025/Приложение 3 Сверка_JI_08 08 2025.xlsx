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4674FF86-AE7D-4BF4-A74B-D61C86A44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O44" i="1"/>
  <c r="O24" i="1"/>
  <c r="D27" i="1"/>
  <c r="B65" i="1"/>
  <c r="G49" i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9" i="1"/>
  <c r="M15" i="1"/>
  <c r="M11" i="1"/>
  <c r="M7" i="1"/>
  <c r="M4" i="1"/>
  <c r="M8" i="1" l="1"/>
  <c r="M12" i="1"/>
  <c r="M16" i="1"/>
  <c r="M20" i="1"/>
  <c r="M5" i="1"/>
  <c r="M9" i="1"/>
  <c r="M13" i="1"/>
  <c r="M17" i="1"/>
  <c r="M21" i="1"/>
  <c r="B51" i="1"/>
  <c r="M6" i="1"/>
  <c r="M10" i="1"/>
  <c r="M14" i="1"/>
  <c r="M18" i="1"/>
</calcChain>
</file>

<file path=xl/sharedStrings.xml><?xml version="1.0" encoding="utf-8"?>
<sst xmlns="http://schemas.openxmlformats.org/spreadsheetml/2006/main" count="185" uniqueCount="121">
  <si>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</si>
  <si>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</si>
  <si>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</si>
  <si>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</si>
  <si>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</si>
  <si>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</si>
  <si>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</si>
  <si>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</si>
  <si>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</si>
  <si>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</si>
  <si>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</si>
  <si>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</si>
  <si>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</si>
  <si>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</si>
  <si>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</si>
  <si>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</si>
  <si>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</si>
  <si>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</si>
  <si>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</si>
  <si>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</si>
  <si>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</si>
  <si>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</si>
  <si>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</si>
  <si>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</si>
  <si>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</si>
  <si>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</si>
  <si>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</si>
  <si>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</si>
  <si>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</si>
  <si>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</si>
  <si>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</si>
  <si>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</si>
  <si>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</si>
  <si>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</si>
  <si>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</si>
  <si>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</si>
  <si>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</si>
  <si>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</si>
  <si>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</si>
  <si>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</si>
  <si>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</si>
  <si>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</si>
  <si>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</si>
  <si>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</si>
  <si>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</si>
  <si>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</si>
  <si>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</si>
  <si>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</si>
  <si>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</si>
  <si>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</si>
  <si>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</si>
  <si>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</si>
  <si>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08.08.2025</t>
  </si>
  <si>
    <t>11.08.2025</t>
  </si>
  <si>
    <t>ГУ "Национальный Банк Республики Казахстан", ГЦБ, NTK028_2865</t>
  </si>
  <si>
    <t>KZW100014312</t>
  </si>
  <si>
    <t>МИНИСТЕРСТВО ФИНАНСОВ РК, ГЦБ, MOM060_0052</t>
  </si>
  <si>
    <t>KZK200000679</t>
  </si>
  <si>
    <t>07.08.2025</t>
  </si>
  <si>
    <t>МИНИСТЕРСТВО ФИНАНСОВ РК, ГЦБ, MUM180_0009</t>
  </si>
  <si>
    <t>KZKD00000717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</si>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</sst>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B25" zoomScale="90" zoomScaleNormal="90" workbookViewId="0">
      <selection activeCell="D52" sqref="D52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97.549800000000005</v>
      </c>
      <c r="J4" s="11">
        <v>98.053661111111111</v>
      </c>
      <c r="K4" s="11">
        <v>15216605.55555555</v>
      </c>
      <c r="L4" s="11">
        <v>2961220565.5555549</v>
      </c>
      <c r="M4" s="6">
        <f t="shared" ref="M4:M22" si="0">L4/$L$24</f>
        <v>9.9589716675485357E-2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83.241100000000003</v>
      </c>
      <c r="J5" s="11">
        <v>83.534155555555543</v>
      </c>
      <c r="K5" s="11">
        <v>6637708.3333333302</v>
      </c>
      <c r="L5" s="11">
        <v>1892048623.333333</v>
      </c>
      <c r="M5" s="6">
        <f t="shared" si="0"/>
        <v>6.3632067305549614E-2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83.241100000000003</v>
      </c>
      <c r="J6" s="11">
        <v>83.534155555555813</v>
      </c>
      <c r="K6" s="11">
        <v>4547184.8055555597</v>
      </c>
      <c r="L6" s="11">
        <v>1296154383.311559</v>
      </c>
      <c r="M6" s="6">
        <f t="shared" si="0"/>
        <v>4.3591365433283492E-2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83.241100000000003</v>
      </c>
      <c r="J7" s="11">
        <v>83.534155555555543</v>
      </c>
      <c r="K7" s="11">
        <v>1599180.7222222199</v>
      </c>
      <c r="L7" s="11">
        <v>455839204.13422197</v>
      </c>
      <c r="M7" s="6">
        <f t="shared" si="0"/>
        <v>1.5330468023002192E-2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87.0441</v>
      </c>
      <c r="J8" s="11">
        <v>90.395211111111109</v>
      </c>
      <c r="K8" s="11">
        <v>75902666.666666657</v>
      </c>
      <c r="L8" s="11">
        <v>2047451531.666666</v>
      </c>
      <c r="M8" s="6">
        <f t="shared" si="0"/>
        <v>6.8858470158306886E-2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85.20620000000001</v>
      </c>
      <c r="J9" s="11">
        <v>89.117311111111107</v>
      </c>
      <c r="K9" s="11">
        <v>88586666.666666657</v>
      </c>
      <c r="L9" s="11">
        <v>2018507096.666666</v>
      </c>
      <c r="M9" s="6">
        <f t="shared" si="0"/>
        <v>6.7885030991190601E-2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77.877400000000009</v>
      </c>
      <c r="J10" s="11">
        <v>81.911566666666658</v>
      </c>
      <c r="K10" s="11">
        <v>91373875</v>
      </c>
      <c r="L10" s="11">
        <v>1855296985</v>
      </c>
      <c r="M10" s="6">
        <f t="shared" si="0"/>
        <v>6.2396061689639036E-2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68.328000000000003</v>
      </c>
      <c r="J11" s="11">
        <v>70.956888888888884</v>
      </c>
      <c r="K11" s="11">
        <v>59544333.333333328</v>
      </c>
      <c r="L11" s="11">
        <v>1607173533.333333</v>
      </c>
      <c r="M11" s="6">
        <f t="shared" si="0"/>
        <v>5.4051345818266282E-2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76.426900000000003</v>
      </c>
      <c r="J12" s="11">
        <v>76.781900000000007</v>
      </c>
      <c r="K12" s="11">
        <v>8040750</v>
      </c>
      <c r="L12" s="11">
        <v>1739110035</v>
      </c>
      <c r="M12" s="6">
        <f t="shared" si="0"/>
        <v>5.8488542754210483E-2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61.9298</v>
      </c>
      <c r="J13" s="11">
        <v>63.857633333333325</v>
      </c>
      <c r="K13" s="11">
        <v>43665425</v>
      </c>
      <c r="L13" s="11">
        <v>1446375395</v>
      </c>
      <c r="M13" s="6">
        <f t="shared" si="0"/>
        <v>4.8643494331338029E-2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60.471900000000005</v>
      </c>
      <c r="J14" s="11">
        <v>64.708649999999992</v>
      </c>
      <c r="K14" s="11">
        <v>95962387.5</v>
      </c>
      <c r="L14" s="11">
        <v>1465650922.5</v>
      </c>
      <c r="M14" s="6">
        <f t="shared" si="0"/>
        <v>4.9291755506079456E-2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84.848600000000005</v>
      </c>
      <c r="J15" s="11">
        <v>86.846350000000001</v>
      </c>
      <c r="K15" s="11">
        <v>75415062.5</v>
      </c>
      <c r="L15" s="11">
        <v>3278449712.5</v>
      </c>
      <c r="M15" s="6">
        <f t="shared" si="0"/>
        <v>0.1102585473708024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56.908900000000003</v>
      </c>
      <c r="J16" s="11">
        <v>58.497788888888877</v>
      </c>
      <c r="K16" s="11">
        <v>44550220</v>
      </c>
      <c r="L16" s="11">
        <v>1640196103.54</v>
      </c>
      <c r="M16" s="6">
        <f t="shared" si="0"/>
        <v>5.516193800077103E-2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85.701999999999998</v>
      </c>
      <c r="J17" s="11">
        <v>90.73533333333333</v>
      </c>
      <c r="K17" s="11">
        <v>52270160</v>
      </c>
      <c r="L17" s="11">
        <v>942268289.60000002</v>
      </c>
      <c r="M17" s="6">
        <f t="shared" si="0"/>
        <v>3.1689713723149431E-2</v>
      </c>
    </row>
    <row r="18" spans="1:15" x14ac:dyDescent="0.25">
      <c r="A18" s="1" t="s">
        <v>61</v>
      </c>
      <c r="B18" s="13" t="s">
        <v>62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98.56</v>
      </c>
      <c r="J18" s="11">
        <v>101.971111111111</v>
      </c>
      <c r="K18" s="11">
        <v>17293958.111111108</v>
      </c>
      <c r="L18" s="11">
        <v>516982316.51111102</v>
      </c>
      <c r="M18" s="6">
        <f t="shared" si="0"/>
        <v>1.7386790780280267E-2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93.596421946422893</v>
      </c>
      <c r="J19" s="11">
        <v>106.90336639086701</v>
      </c>
      <c r="K19" s="11">
        <v>279445833.33333302</v>
      </c>
      <c r="L19" s="11">
        <v>2244970694.2082138</v>
      </c>
      <c r="M19" s="6">
        <f t="shared" si="0"/>
        <v>7.5501297668118333E-2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99.728500000000011</v>
      </c>
      <c r="J20" s="11">
        <v>105.43061111111101</v>
      </c>
      <c r="K20" s="11">
        <v>62723222.222222216</v>
      </c>
      <c r="L20" s="11">
        <v>1159736722.2222221</v>
      </c>
      <c r="M20" s="6">
        <f t="shared" si="0"/>
        <v>3.9003461250985402E-2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97.803726754455795</v>
      </c>
      <c r="J21" s="11">
        <v>100.504560087789</v>
      </c>
      <c r="K21" s="11">
        <v>27008333.333333328</v>
      </c>
      <c r="L21" s="11">
        <v>1005045600.8778909</v>
      </c>
      <c r="M21" s="6">
        <f t="shared" si="0"/>
        <v>3.3800996724671128E-2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95.632109876694898</v>
      </c>
      <c r="J22" s="11">
        <v>97.576554321125926</v>
      </c>
      <c r="K22" s="11">
        <v>3222702.7777555599</v>
      </c>
      <c r="L22" s="11">
        <v>161722405.36629099</v>
      </c>
      <c r="M22" s="6">
        <f t="shared" si="0"/>
        <v>5.4389357948705468E-3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1053006275.8610886</v>
      </c>
      <c r="L24" s="22">
        <f>SUM(L4:L23)</f>
        <v>29734200120.327065</v>
      </c>
      <c r="M24" s="23"/>
      <c r="N24" s="26">
        <v>29734200120.327087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1693408.89</v>
      </c>
      <c r="C27" s="51">
        <v>1693408.89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2442700</v>
      </c>
      <c r="D32" s="7" t="s">
        <v>51</v>
      </c>
      <c r="E32" s="34" t="s">
        <v>52</v>
      </c>
      <c r="F32" s="34" t="s">
        <v>53</v>
      </c>
      <c r="G32" s="15">
        <v>532.27730000000008</v>
      </c>
      <c r="H32" s="15">
        <v>532.95672353543205</v>
      </c>
      <c r="I32" s="16">
        <f t="shared" ref="I32:I42" si="1">+C32*G32</f>
        <v>1300193760.7100003</v>
      </c>
      <c r="J32" s="16">
        <f t="shared" ref="J32:J42" si="2">+C32*H32</f>
        <v>1301853388.5799999</v>
      </c>
      <c r="K32" s="18">
        <v>0.15530099999999999</v>
      </c>
      <c r="L32" s="17"/>
      <c r="M32" s="17">
        <v>1300193760.71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9024002</v>
      </c>
      <c r="D33" s="7" t="s">
        <v>51</v>
      </c>
      <c r="E33" s="34" t="s">
        <v>52</v>
      </c>
      <c r="F33" s="34" t="s">
        <v>53</v>
      </c>
      <c r="G33" s="15">
        <v>99.518400000354589</v>
      </c>
      <c r="H33" s="15">
        <v>99.645429921225627</v>
      </c>
      <c r="I33" s="16">
        <f t="shared" si="1"/>
        <v>898054240.63999987</v>
      </c>
      <c r="J33" s="16">
        <f t="shared" si="2"/>
        <v>899200558.89999986</v>
      </c>
      <c r="K33" s="18">
        <v>0.15530099999999999</v>
      </c>
      <c r="L33" s="17"/>
      <c r="M33" s="17">
        <v>898054240.63999999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5265</v>
      </c>
      <c r="D34" s="7" t="s">
        <v>51</v>
      </c>
      <c r="E34" s="34" t="s">
        <v>52</v>
      </c>
      <c r="F34" s="34" t="s">
        <v>53</v>
      </c>
      <c r="G34" s="15">
        <v>950.12200000000007</v>
      </c>
      <c r="H34" s="15">
        <v>951.33478062678103</v>
      </c>
      <c r="I34" s="16">
        <f t="shared" si="1"/>
        <v>5002392.33</v>
      </c>
      <c r="J34" s="16">
        <f t="shared" si="2"/>
        <v>5008777.620000002</v>
      </c>
      <c r="K34" s="18">
        <v>0.15530099999999999</v>
      </c>
      <c r="L34" s="17"/>
      <c r="M34" s="17">
        <v>5002392.33</v>
      </c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60318</v>
      </c>
      <c r="D35" s="7" t="s">
        <v>51</v>
      </c>
      <c r="E35" s="34" t="s">
        <v>58</v>
      </c>
      <c r="F35" s="34" t="s">
        <v>52</v>
      </c>
      <c r="G35" s="15">
        <v>99.480300076262466</v>
      </c>
      <c r="H35" s="15">
        <v>99.522626910706578</v>
      </c>
      <c r="I35" s="16">
        <f t="shared" si="1"/>
        <v>6000452.7399999993</v>
      </c>
      <c r="J35" s="16">
        <f t="shared" si="2"/>
        <v>6003005.8099999996</v>
      </c>
      <c r="K35" s="18">
        <v>0.15529999999999999</v>
      </c>
      <c r="L35" s="17">
        <v>2553.0700000000002</v>
      </c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60318</v>
      </c>
      <c r="D36" s="7" t="s">
        <v>51</v>
      </c>
      <c r="E36" s="34" t="s">
        <v>52</v>
      </c>
      <c r="F36" s="34" t="s">
        <v>52</v>
      </c>
      <c r="G36" s="15">
        <v>99.480300076262466</v>
      </c>
      <c r="H36" s="15">
        <v>99.522626910706578</v>
      </c>
      <c r="I36" s="16">
        <f t="shared" si="1"/>
        <v>6000452.7399999993</v>
      </c>
      <c r="J36" s="16">
        <f t="shared" si="2"/>
        <v>6003005.8099999996</v>
      </c>
      <c r="K36" s="18">
        <v>0.15529999999999999</v>
      </c>
      <c r="L36" s="17"/>
      <c r="M36" s="17"/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1591200</v>
      </c>
      <c r="D37" s="7" t="s">
        <v>51</v>
      </c>
      <c r="E37" s="34" t="s">
        <v>58</v>
      </c>
      <c r="F37" s="34" t="s">
        <v>52</v>
      </c>
      <c r="G37" s="15">
        <v>817.11500000000001</v>
      </c>
      <c r="H37" s="15">
        <v>817.46255370789299</v>
      </c>
      <c r="I37" s="16">
        <f t="shared" si="1"/>
        <v>1300193388</v>
      </c>
      <c r="J37" s="16">
        <f t="shared" si="2"/>
        <v>1300746415.4599993</v>
      </c>
      <c r="K37" s="18">
        <v>0.15525</v>
      </c>
      <c r="L37" s="17">
        <v>553027.46</v>
      </c>
      <c r="M37" s="17"/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1591200</v>
      </c>
      <c r="D38" s="7" t="s">
        <v>51</v>
      </c>
      <c r="E38" s="34" t="s">
        <v>52</v>
      </c>
      <c r="F38" s="34" t="s">
        <v>52</v>
      </c>
      <c r="G38" s="15">
        <v>817.11500000000001</v>
      </c>
      <c r="H38" s="15">
        <v>817.46255370789299</v>
      </c>
      <c r="I38" s="16">
        <f t="shared" si="1"/>
        <v>1300193388</v>
      </c>
      <c r="J38" s="16">
        <f t="shared" si="2"/>
        <v>1300746415.4599993</v>
      </c>
      <c r="K38" s="18">
        <v>0.15525</v>
      </c>
      <c r="L38" s="17"/>
      <c r="M38" s="17"/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7864</v>
      </c>
      <c r="D39" s="7" t="s">
        <v>51</v>
      </c>
      <c r="E39" s="34" t="s">
        <v>58</v>
      </c>
      <c r="F39" s="34" t="s">
        <v>52</v>
      </c>
      <c r="G39" s="15">
        <v>1018.177000254323</v>
      </c>
      <c r="H39" s="15">
        <v>1018.609795269582</v>
      </c>
      <c r="I39" s="16">
        <f t="shared" si="1"/>
        <v>8006943.9299999969</v>
      </c>
      <c r="J39" s="16">
        <f t="shared" si="2"/>
        <v>8010347.4299999932</v>
      </c>
      <c r="K39" s="18">
        <v>0.15514999999999998</v>
      </c>
      <c r="L39" s="17">
        <v>3403.5</v>
      </c>
      <c r="M39" s="17"/>
      <c r="N39" s="35"/>
    </row>
    <row r="40" spans="1:15" s="36" customFormat="1" ht="12" customHeight="1" x14ac:dyDescent="0.25">
      <c r="A40" s="12" t="s">
        <v>61</v>
      </c>
      <c r="B40" s="7" t="s">
        <v>62</v>
      </c>
      <c r="C40" s="14">
        <v>7864</v>
      </c>
      <c r="D40" s="7" t="s">
        <v>51</v>
      </c>
      <c r="E40" s="34" t="s">
        <v>52</v>
      </c>
      <c r="F40" s="34" t="s">
        <v>52</v>
      </c>
      <c r="G40" s="15">
        <v>1018.177000254323</v>
      </c>
      <c r="H40" s="15">
        <v>1018.609795269582</v>
      </c>
      <c r="I40" s="16">
        <f t="shared" si="1"/>
        <v>8006943.9299999969</v>
      </c>
      <c r="J40" s="16">
        <f t="shared" si="2"/>
        <v>8010347.4299999932</v>
      </c>
      <c r="K40" s="18">
        <v>0.15514999999999998</v>
      </c>
      <c r="L40" s="17"/>
      <c r="M40" s="17"/>
      <c r="N40" s="35"/>
    </row>
    <row r="41" spans="1:15" s="36" customFormat="1" ht="12" customHeight="1" x14ac:dyDescent="0.25">
      <c r="A41" s="12" t="s">
        <v>54</v>
      </c>
      <c r="B41" s="7" t="s">
        <v>55</v>
      </c>
      <c r="C41" s="14">
        <v>8937117</v>
      </c>
      <c r="D41" s="7" t="s">
        <v>51</v>
      </c>
      <c r="E41" s="34" t="s">
        <v>58</v>
      </c>
      <c r="F41" s="34" t="s">
        <v>52</v>
      </c>
      <c r="G41" s="15">
        <v>99.480300000548269</v>
      </c>
      <c r="H41" s="15">
        <v>99.522626823616591</v>
      </c>
      <c r="I41" s="16">
        <f t="shared" si="1"/>
        <v>889067080.29999995</v>
      </c>
      <c r="J41" s="16">
        <f t="shared" si="2"/>
        <v>889445360.06999981</v>
      </c>
      <c r="K41" s="18">
        <v>0.15529999999999999</v>
      </c>
      <c r="L41" s="17">
        <v>378279.77</v>
      </c>
      <c r="M41" s="17"/>
      <c r="N41" s="35"/>
    </row>
    <row r="42" spans="1:15" s="36" customFormat="1" ht="12" customHeight="1" x14ac:dyDescent="0.25">
      <c r="A42" s="12" t="s">
        <v>54</v>
      </c>
      <c r="B42" s="7" t="s">
        <v>55</v>
      </c>
      <c r="C42" s="14">
        <v>8937117</v>
      </c>
      <c r="D42" s="7" t="s">
        <v>51</v>
      </c>
      <c r="E42" s="34" t="s">
        <v>52</v>
      </c>
      <c r="F42" s="34" t="s">
        <v>52</v>
      </c>
      <c r="G42" s="15">
        <v>99.480300000548269</v>
      </c>
      <c r="H42" s="15">
        <v>99.522626823616591</v>
      </c>
      <c r="I42" s="16">
        <f t="shared" si="1"/>
        <v>889067080.29999995</v>
      </c>
      <c r="J42" s="16">
        <f t="shared" si="2"/>
        <v>889445360.06999981</v>
      </c>
      <c r="K42" s="18">
        <v>0.15529999999999999</v>
      </c>
      <c r="L42" s="17"/>
      <c r="M42" s="17"/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2203250393.6799998</v>
      </c>
      <c r="N44" s="38">
        <v>2203250393.6799998</v>
      </c>
      <c r="O44" s="29">
        <f>M44-N44</f>
        <v>0</v>
      </c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hidden="1" x14ac:dyDescent="0.25">
      <c r="B48" s="41"/>
      <c r="C48" s="42"/>
      <c r="D48" s="43"/>
      <c r="G48" s="44"/>
      <c r="H48" s="33"/>
    </row>
    <row r="49" spans="1:7" x14ac:dyDescent="0.25">
      <c r="G49" s="45">
        <f>SUM(G48:G48)</f>
        <v>0</v>
      </c>
    </row>
    <row r="51" spans="1:7" x14ac:dyDescent="0.25">
      <c r="A51" s="46" t="s">
        <v>13</v>
      </c>
      <c r="B51" s="47">
        <f>+L24+B27+M44+G49</f>
        <v>31939143922.897064</v>
      </c>
      <c r="C51" s="32">
        <v>31939143922.897087</v>
      </c>
      <c r="D51" s="29">
        <f>B51-C51</f>
        <v>0</v>
      </c>
    </row>
    <row r="54" spans="1:7" x14ac:dyDescent="0.25">
      <c r="A54" s="24" t="s">
        <v>46</v>
      </c>
      <c r="B54" s="33"/>
    </row>
    <row r="55" spans="1:7" x14ac:dyDescent="0.25">
      <c r="A55" s="48" t="s">
        <v>35</v>
      </c>
      <c r="B55" s="49"/>
    </row>
    <row r="56" spans="1:7" x14ac:dyDescent="0.25">
      <c r="A56" s="48" t="s">
        <v>36</v>
      </c>
      <c r="B56" s="40"/>
    </row>
    <row r="57" spans="1:7" x14ac:dyDescent="0.25">
      <c r="A57" s="48" t="s">
        <v>37</v>
      </c>
      <c r="B57" s="40">
        <v>130012.76999999999</v>
      </c>
    </row>
    <row r="58" spans="1:7" x14ac:dyDescent="0.25">
      <c r="A58" s="48" t="s">
        <v>38</v>
      </c>
      <c r="B58" s="40"/>
    </row>
    <row r="59" spans="1:7" x14ac:dyDescent="0.25">
      <c r="A59" s="48" t="s">
        <v>39</v>
      </c>
      <c r="B59" s="49"/>
    </row>
    <row r="60" spans="1:7" x14ac:dyDescent="0.25">
      <c r="A60" s="48" t="s">
        <v>40</v>
      </c>
      <c r="B60" s="50">
        <v>33156.36</v>
      </c>
    </row>
    <row r="61" spans="1:7" x14ac:dyDescent="0.25">
      <c r="A61" s="48" t="s">
        <v>41</v>
      </c>
      <c r="B61" s="50">
        <v>16487.849999999999</v>
      </c>
    </row>
    <row r="62" spans="1:7" x14ac:dyDescent="0.25">
      <c r="A62" s="48" t="s">
        <v>42</v>
      </c>
      <c r="B62" s="40"/>
    </row>
    <row r="63" spans="1:7" x14ac:dyDescent="0.25">
      <c r="A63" s="48" t="s">
        <v>43</v>
      </c>
      <c r="B63" s="40"/>
    </row>
    <row r="64" spans="1:7" x14ac:dyDescent="0.25">
      <c r="A64" s="48" t="s">
        <v>44</v>
      </c>
      <c r="B64" s="50"/>
    </row>
    <row r="65" spans="1:2" x14ac:dyDescent="0.25">
      <c r="A65" s="48" t="s">
        <v>45</v>
      </c>
      <c r="B65" s="49">
        <f>SUM(B55:B64)</f>
        <v>179656.98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2025-08-11T06:07:55Z</dcterms:created>
  <dcterms:modified xsi:type="dcterms:W3CDTF">2025-08-11T10:10:49Z</dcterms:modified>
</cp:coreProperties>
</file>