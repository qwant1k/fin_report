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F0724E85-08ED-4BD8-BCB1-E0B388F0C3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O38" i="1"/>
  <c r="O24" i="1"/>
  <c r="D27" i="1"/>
  <c r="B59" i="1"/>
  <c r="G43" i="1"/>
  <c r="M38" i="1"/>
  <c r="J36" i="1"/>
  <c r="I36" i="1"/>
  <c r="J35" i="1"/>
  <c r="I35" i="1"/>
  <c r="J34" i="1"/>
  <c r="I34" i="1"/>
  <c r="J33" i="1"/>
  <c r="I33" i="1"/>
  <c r="J32" i="1"/>
  <c r="I32" i="1"/>
  <c r="L24" i="1"/>
  <c r="B45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<sst xmlns="http://schemas.openxmlformats.org/spreadsheetml/2006/main" count="155" uniqueCount="119">
  <si>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</si>
  <si>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</si>
  <si>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</si>
  <si>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</si>
  <si>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</si>
  <si>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</si>
  <si>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</si>
  <si>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</si>
  <si>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</si>
  <si>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</si>
  <si>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</si>
  <si>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</si>
  <si>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</si>
  <si>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</si>
  <si>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</si>
  <si>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</si>
  <si>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</si>
  <si>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</si>
  <si>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</si>
  <si>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</si>
  <si>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</si>
  <si>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</si>
  <si>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</si>
  <si>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</si>
  <si>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</si>
  <si>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</si>
  <si>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</si>
  <si>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</si>
  <si>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</si>
  <si>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</si>
  <si>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</si>
  <si>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</si>
  <si>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</si>
  <si>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</si>
  <si>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</si>
  <si>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</si>
  <si>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</si>
  <si>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</si>
  <si>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</si>
  <si>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</si>
  <si>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</si>
  <si>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</si>
  <si>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</si>
  <si>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</si>
  <si>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</si>
  <si>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</si>
  <si>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</si>
  <si>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</si>
  <si>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</si>
  <si>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MUM156_0006</t>
  </si>
  <si>
    <t>KZKD00000964</t>
  </si>
  <si>
    <t>KZT</t>
  </si>
  <si>
    <t>01.08.2025</t>
  </si>
  <si>
    <t>04.08.2025</t>
  </si>
  <si>
    <t>МИНИСТЕРСТВО ФИНАНСОВ РК, ГЦБ, MOM060_0054</t>
  </si>
  <si>
    <t>KZK200000737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</si>
  <si>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</si>
  <si>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</si>
  <si>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MUM144_0009</t>
  </si>
  <si>
    <t>KZKD00001178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</si>
  <si>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</si>
  <si>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</si>
  <si>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</si>
  <si>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</si>
  <si>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</si>
  <si>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</si>
  <si>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</si>
  <si>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</si>
  <si>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</si>
  <si>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</si>
  <si>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</si>
  <si>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</si>
  <si>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</si>
  <si>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</si>
  <si>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</si>
  <si>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</si>
  <si>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</si>
  <si>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</si>
  <si>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</si>
  <si>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</si>
  <si>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</si>
  <si>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</si>
  <si>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</si>
  <si>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</si>
  <si>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</si>
  <si>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</si>
  <si>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</si>
  <si>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</si>
  <si>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</si>
  <si>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</si>
  <si>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</si>
  <si>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</si>
  <si>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</si>
  <si>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</si>
  <si>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</si>
  <si>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</si>
  <si>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</si>
  <si>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</si>
  <si>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</si>
  <si>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</si>
  <si>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</si>
  <si>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</si>
  <si>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</si>
  <si>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</si>
  <si>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</si>
  <si>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</si>
  <si>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</si>
  <si>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</si>
  <si>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</si>
  <si>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</si>
  <si>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</si>
  <si>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</si>
  <si>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</si>
  <si>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</si>
  <si>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</si>
  <si>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</si>
  <si>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</si>
  <si>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</si>
  <si>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03.08.2025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</si>
</sst>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topLeftCell="A13" zoomScale="90" zoomScaleNormal="90" workbookViewId="0">
      <selection activeCell="D46" sqref="D46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60</v>
      </c>
      <c r="B4" s="13" t="s">
        <v>61</v>
      </c>
      <c r="C4" s="10">
        <v>3020000</v>
      </c>
      <c r="D4" s="11">
        <v>3020000000</v>
      </c>
      <c r="E4" s="3">
        <v>0.1067</v>
      </c>
      <c r="F4" s="4" t="s">
        <v>62</v>
      </c>
      <c r="G4" s="4" t="s">
        <v>63</v>
      </c>
      <c r="H4" s="11">
        <v>2930617060.0000029</v>
      </c>
      <c r="I4" s="11">
        <v>97.7286</v>
      </c>
      <c r="J4" s="11">
        <v>98.08426666666665</v>
      </c>
      <c r="K4" s="11">
        <v>10741133.33333333</v>
      </c>
      <c r="L4" s="11">
        <v>2962144853.333333</v>
      </c>
      <c r="M4" s="6">
        <f t="shared" ref="M4:M22" si="0">L4/$L$24</f>
        <v>9.9559578296594731E-2</v>
      </c>
    </row>
    <row r="5" spans="1:13" x14ac:dyDescent="0.25">
      <c r="A5" s="1" t="s">
        <v>64</v>
      </c>
      <c r="B5" s="13" t="s">
        <v>65</v>
      </c>
      <c r="C5" s="10">
        <v>2265000</v>
      </c>
      <c r="D5" s="11">
        <v>2265000000</v>
      </c>
      <c r="E5" s="3">
        <v>0.10550000000000001</v>
      </c>
      <c r="F5" s="4" t="s">
        <v>62</v>
      </c>
      <c r="G5" s="4" t="s">
        <v>66</v>
      </c>
      <c r="H5" s="11">
        <v>2039188560.0000031</v>
      </c>
      <c r="I5" s="11">
        <v>83.083100000000002</v>
      </c>
      <c r="J5" s="11">
        <v>83.229627777777765</v>
      </c>
      <c r="K5" s="11">
        <v>3318854.1666666698</v>
      </c>
      <c r="L5" s="11">
        <v>1885151069.166666</v>
      </c>
      <c r="M5" s="6">
        <f t="shared" si="0"/>
        <v>6.3361130115026018E-2</v>
      </c>
    </row>
    <row r="6" spans="1:13" x14ac:dyDescent="0.25">
      <c r="A6" s="1" t="s">
        <v>64</v>
      </c>
      <c r="B6" s="13" t="s">
        <v>65</v>
      </c>
      <c r="C6" s="10">
        <v>1551646</v>
      </c>
      <c r="D6" s="11">
        <v>1551646000</v>
      </c>
      <c r="E6" s="3">
        <v>0.10550000000000001</v>
      </c>
      <c r="F6" s="4" t="s">
        <v>67</v>
      </c>
      <c r="G6" s="4" t="s">
        <v>66</v>
      </c>
      <c r="H6" s="11">
        <v>1395452658.7</v>
      </c>
      <c r="I6" s="11">
        <v>83.083100000000002</v>
      </c>
      <c r="J6" s="11">
        <v>83.22962777777802</v>
      </c>
      <c r="K6" s="11">
        <v>2273592.4027777798</v>
      </c>
      <c r="L6" s="11">
        <v>1291429190.228781</v>
      </c>
      <c r="M6" s="6">
        <f t="shared" si="0"/>
        <v>4.3405758983867518E-2</v>
      </c>
    </row>
    <row r="7" spans="1:13" x14ac:dyDescent="0.25">
      <c r="A7" s="1" t="s">
        <v>64</v>
      </c>
      <c r="B7" s="13" t="s">
        <v>65</v>
      </c>
      <c r="C7" s="10">
        <v>545692</v>
      </c>
      <c r="D7" s="11">
        <v>545692000</v>
      </c>
      <c r="E7" s="3">
        <v>0.10550000000000001</v>
      </c>
      <c r="F7" s="4" t="s">
        <v>68</v>
      </c>
      <c r="G7" s="4" t="s">
        <v>66</v>
      </c>
      <c r="H7" s="11">
        <v>449784993.92000002</v>
      </c>
      <c r="I7" s="11">
        <v>83.083100000000002</v>
      </c>
      <c r="J7" s="11">
        <v>83.229627777777765</v>
      </c>
      <c r="K7" s="11">
        <v>799590.36111111112</v>
      </c>
      <c r="L7" s="11">
        <v>454177420.41311097</v>
      </c>
      <c r="M7" s="6">
        <f t="shared" si="0"/>
        <v>1.5265192854184892E-2</v>
      </c>
    </row>
    <row r="8" spans="1:13" x14ac:dyDescent="0.25">
      <c r="A8" s="1" t="s">
        <v>69</v>
      </c>
      <c r="B8" s="13" t="s">
        <v>70</v>
      </c>
      <c r="C8" s="10">
        <v>2265000</v>
      </c>
      <c r="D8" s="11">
        <v>2265000000</v>
      </c>
      <c r="E8" s="3">
        <v>0.10400000000000001</v>
      </c>
      <c r="F8" s="4" t="s">
        <v>62</v>
      </c>
      <c r="G8" s="4" t="s">
        <v>71</v>
      </c>
      <c r="H8" s="11">
        <v>2073109200</v>
      </c>
      <c r="I8" s="11">
        <v>86.624099999999999</v>
      </c>
      <c r="J8" s="11">
        <v>89.830766666666662</v>
      </c>
      <c r="K8" s="11">
        <v>72630999.999999985</v>
      </c>
      <c r="L8" s="11">
        <v>2034666864.999999</v>
      </c>
      <c r="M8" s="6">
        <f t="shared" si="0"/>
        <v>6.8386451400409928E-2</v>
      </c>
    </row>
    <row r="9" spans="1:13" x14ac:dyDescent="0.25">
      <c r="A9" s="1" t="s">
        <v>72</v>
      </c>
      <c r="B9" s="13" t="s">
        <v>73</v>
      </c>
      <c r="C9" s="10">
        <v>2265000</v>
      </c>
      <c r="D9" s="11">
        <v>2265000000</v>
      </c>
      <c r="E9" s="3">
        <v>0.11</v>
      </c>
      <c r="F9" s="4" t="s">
        <v>62</v>
      </c>
      <c r="G9" s="4" t="s">
        <v>74</v>
      </c>
      <c r="H9" s="11">
        <v>2080889475</v>
      </c>
      <c r="I9" s="11">
        <v>84.963000000000008</v>
      </c>
      <c r="J9" s="11">
        <v>88.72133333333332</v>
      </c>
      <c r="K9" s="11">
        <v>85126249.999999985</v>
      </c>
      <c r="L9" s="11">
        <v>2009538199.999999</v>
      </c>
      <c r="M9" s="6">
        <f t="shared" si="0"/>
        <v>6.7541860938285458E-2</v>
      </c>
    </row>
    <row r="10" spans="1:13" x14ac:dyDescent="0.25">
      <c r="A10" s="1" t="s">
        <v>75</v>
      </c>
      <c r="B10" s="13" t="s">
        <v>76</v>
      </c>
      <c r="C10" s="10">
        <v>2265000</v>
      </c>
      <c r="D10" s="11">
        <v>2265000000</v>
      </c>
      <c r="E10" s="3">
        <v>0.10300000000000001</v>
      </c>
      <c r="F10" s="4" t="s">
        <v>62</v>
      </c>
      <c r="G10" s="4" t="s">
        <v>77</v>
      </c>
      <c r="H10" s="11">
        <v>1963990560.0000031</v>
      </c>
      <c r="I10" s="11">
        <v>78.2196</v>
      </c>
      <c r="J10" s="11">
        <v>82.110711111111101</v>
      </c>
      <c r="K10" s="11">
        <v>88133666.666666657</v>
      </c>
      <c r="L10" s="11">
        <v>1859807606.666666</v>
      </c>
      <c r="M10" s="6">
        <f t="shared" si="0"/>
        <v>6.2509320171890995E-2</v>
      </c>
    </row>
    <row r="11" spans="1:13" x14ac:dyDescent="0.25">
      <c r="A11" s="1" t="s">
        <v>78</v>
      </c>
      <c r="B11" s="13" t="s">
        <v>79</v>
      </c>
      <c r="C11" s="10">
        <v>2265000</v>
      </c>
      <c r="D11" s="11">
        <v>2265000000</v>
      </c>
      <c r="E11" s="3">
        <v>8.4500000000000006E-2</v>
      </c>
      <c r="F11" s="4" t="s">
        <v>62</v>
      </c>
      <c r="G11" s="4" t="s">
        <v>80</v>
      </c>
      <c r="H11" s="11">
        <v>1740247065.0000031</v>
      </c>
      <c r="I11" s="11">
        <v>68.946100000000001</v>
      </c>
      <c r="J11" s="11">
        <v>71.457627777777773</v>
      </c>
      <c r="K11" s="11">
        <v>56886104.166666657</v>
      </c>
      <c r="L11" s="11">
        <v>1618515269.166666</v>
      </c>
      <c r="M11" s="6">
        <f t="shared" si="0"/>
        <v>5.4399330769898613E-2</v>
      </c>
    </row>
    <row r="12" spans="1:13" x14ac:dyDescent="0.25">
      <c r="A12" s="1" t="s">
        <v>81</v>
      </c>
      <c r="B12" s="13" t="s">
        <v>82</v>
      </c>
      <c r="C12" s="10">
        <v>2265000</v>
      </c>
      <c r="D12" s="11">
        <v>2265000000</v>
      </c>
      <c r="E12" s="3">
        <v>0.10650000000000001</v>
      </c>
      <c r="F12" s="4" t="s">
        <v>62</v>
      </c>
      <c r="G12" s="4" t="s">
        <v>83</v>
      </c>
      <c r="H12" s="11">
        <v>1967775375</v>
      </c>
      <c r="I12" s="11">
        <v>77.144000000000005</v>
      </c>
      <c r="J12" s="11">
        <v>77.351083333333321</v>
      </c>
      <c r="K12" s="11">
        <v>4690437.5</v>
      </c>
      <c r="L12" s="11">
        <v>1752002037.5</v>
      </c>
      <c r="M12" s="6">
        <f t="shared" si="0"/>
        <v>5.888590621487954E-2</v>
      </c>
    </row>
    <row r="13" spans="1:13" x14ac:dyDescent="0.25">
      <c r="A13" s="1" t="s">
        <v>84</v>
      </c>
      <c r="B13" s="13" t="s">
        <v>85</v>
      </c>
      <c r="C13" s="10">
        <v>2265000</v>
      </c>
      <c r="D13" s="11">
        <v>2265000000</v>
      </c>
      <c r="E13" s="3">
        <v>8.0700000000000008E-2</v>
      </c>
      <c r="F13" s="4" t="s">
        <v>62</v>
      </c>
      <c r="G13" s="4" t="s">
        <v>86</v>
      </c>
      <c r="H13" s="11">
        <v>1622351550</v>
      </c>
      <c r="I13" s="11">
        <v>62.951300000000003</v>
      </c>
      <c r="J13" s="11">
        <v>64.767049999999998</v>
      </c>
      <c r="K13" s="11">
        <v>41126737.5</v>
      </c>
      <c r="L13" s="11">
        <v>1466973682.5</v>
      </c>
      <c r="M13" s="6">
        <f t="shared" si="0"/>
        <v>4.9305921362201313E-2</v>
      </c>
    </row>
    <row r="14" spans="1:13" x14ac:dyDescent="0.25">
      <c r="A14" s="1" t="s">
        <v>87</v>
      </c>
      <c r="B14" s="13" t="s">
        <v>88</v>
      </c>
      <c r="C14" s="10">
        <v>2265000</v>
      </c>
      <c r="D14" s="11">
        <v>2265000000</v>
      </c>
      <c r="E14" s="3">
        <v>8.0700000000000008E-2</v>
      </c>
      <c r="F14" s="4" t="s">
        <v>62</v>
      </c>
      <c r="G14" s="4" t="s">
        <v>89</v>
      </c>
      <c r="H14" s="11">
        <v>1597764975</v>
      </c>
      <c r="I14" s="11">
        <v>61.593600000000002</v>
      </c>
      <c r="J14" s="11">
        <v>65.718266666666651</v>
      </c>
      <c r="K14" s="11">
        <v>93423700</v>
      </c>
      <c r="L14" s="11">
        <v>1488518740</v>
      </c>
      <c r="M14" s="6">
        <f t="shared" si="0"/>
        <v>5.0030064489996723E-2</v>
      </c>
    </row>
    <row r="15" spans="1:13" x14ac:dyDescent="0.25">
      <c r="A15" s="1" t="s">
        <v>90</v>
      </c>
      <c r="B15" s="13" t="s">
        <v>91</v>
      </c>
      <c r="C15" s="10">
        <v>3775000</v>
      </c>
      <c r="D15" s="11">
        <v>3775000000</v>
      </c>
      <c r="E15" s="3">
        <v>5.4900000000000004E-2</v>
      </c>
      <c r="F15" s="4" t="s">
        <v>62</v>
      </c>
      <c r="G15" s="4" t="s">
        <v>92</v>
      </c>
      <c r="H15" s="11">
        <v>3136670150</v>
      </c>
      <c r="I15" s="11">
        <v>84.493499999999997</v>
      </c>
      <c r="J15" s="11">
        <v>86.415000000000006</v>
      </c>
      <c r="K15" s="11">
        <v>72536625</v>
      </c>
      <c r="L15" s="11">
        <v>3262166250</v>
      </c>
      <c r="M15" s="6">
        <f t="shared" si="0"/>
        <v>0.10964348884488399</v>
      </c>
    </row>
    <row r="16" spans="1:13" x14ac:dyDescent="0.25">
      <c r="A16" s="1" t="s">
        <v>93</v>
      </c>
      <c r="B16" s="13" t="s">
        <v>94</v>
      </c>
      <c r="C16" s="10">
        <v>2803860</v>
      </c>
      <c r="D16" s="11">
        <v>2803860000</v>
      </c>
      <c r="E16" s="3">
        <v>5.5E-2</v>
      </c>
      <c r="F16" s="4" t="s">
        <v>95</v>
      </c>
      <c r="G16" s="4" t="s">
        <v>96</v>
      </c>
      <c r="H16" s="11">
        <v>1773018067.1400001</v>
      </c>
      <c r="I16" s="11">
        <v>57.490700000000004</v>
      </c>
      <c r="J16" s="11">
        <v>59.0032</v>
      </c>
      <c r="K16" s="11">
        <v>42408382.5</v>
      </c>
      <c r="L16" s="11">
        <v>1654367123.52</v>
      </c>
      <c r="M16" s="6">
        <f t="shared" si="0"/>
        <v>5.5604334467321506E-2</v>
      </c>
    </row>
    <row r="17" spans="1:15" x14ac:dyDescent="0.25">
      <c r="A17" s="1" t="s">
        <v>97</v>
      </c>
      <c r="B17" s="13" t="s">
        <v>98</v>
      </c>
      <c r="C17" s="10">
        <v>1038480</v>
      </c>
      <c r="D17" s="11">
        <v>1038480000</v>
      </c>
      <c r="E17" s="3">
        <v>0.12</v>
      </c>
      <c r="F17" s="4" t="s">
        <v>95</v>
      </c>
      <c r="G17" s="4" t="s">
        <v>99</v>
      </c>
      <c r="H17" s="11">
        <v>979029096.96000004</v>
      </c>
      <c r="I17" s="11">
        <v>85.737800000000007</v>
      </c>
      <c r="J17" s="11">
        <v>90.604466666666653</v>
      </c>
      <c r="K17" s="11">
        <v>50539360</v>
      </c>
      <c r="L17" s="11">
        <v>940909265.44000006</v>
      </c>
      <c r="M17" s="6">
        <f t="shared" si="0"/>
        <v>3.1624560688566575E-2</v>
      </c>
    </row>
    <row r="18" spans="1:15" x14ac:dyDescent="0.25">
      <c r="A18" s="1" t="s">
        <v>54</v>
      </c>
      <c r="B18" s="13" t="s">
        <v>55</v>
      </c>
      <c r="C18" s="10">
        <v>506989</v>
      </c>
      <c r="D18" s="11">
        <v>506989000</v>
      </c>
      <c r="E18" s="3">
        <v>0.1535</v>
      </c>
      <c r="F18" s="4" t="s">
        <v>100</v>
      </c>
      <c r="G18" s="4" t="s">
        <v>101</v>
      </c>
      <c r="H18" s="11">
        <v>492216861.50999999</v>
      </c>
      <c r="I18" s="11">
        <v>98.206800000000001</v>
      </c>
      <c r="J18" s="11">
        <v>101.404716666667</v>
      </c>
      <c r="K18" s="11">
        <v>16213085.72916666</v>
      </c>
      <c r="L18" s="11">
        <v>514110758.98116702</v>
      </c>
      <c r="M18" s="6">
        <f t="shared" si="0"/>
        <v>1.7279590599463296E-2</v>
      </c>
    </row>
    <row r="19" spans="1:15" x14ac:dyDescent="0.25">
      <c r="A19" s="1" t="s">
        <v>102</v>
      </c>
      <c r="B19" s="13" t="s">
        <v>103</v>
      </c>
      <c r="C19" s="10">
        <v>2100000</v>
      </c>
      <c r="D19" s="11">
        <v>2100000000</v>
      </c>
      <c r="E19" s="3">
        <v>0.14300000000000002</v>
      </c>
      <c r="F19" s="4" t="s">
        <v>104</v>
      </c>
      <c r="G19" s="4" t="s">
        <v>105</v>
      </c>
      <c r="H19" s="11">
        <v>2100000000</v>
      </c>
      <c r="I19" s="11">
        <v>93.323726045034789</v>
      </c>
      <c r="J19" s="11">
        <v>106.43205937836801</v>
      </c>
      <c r="K19" s="11">
        <v>275275000</v>
      </c>
      <c r="L19" s="11">
        <v>2235073246.9457302</v>
      </c>
      <c r="M19" s="6">
        <f t="shared" si="0"/>
        <v>7.5122237751982388E-2</v>
      </c>
    </row>
    <row r="20" spans="1:15" x14ac:dyDescent="0.25">
      <c r="A20" s="1" t="s">
        <v>106</v>
      </c>
      <c r="B20" s="13" t="s">
        <v>107</v>
      </c>
      <c r="C20" s="10">
        <v>1100000</v>
      </c>
      <c r="D20" s="11">
        <v>1100000000</v>
      </c>
      <c r="E20" s="3">
        <v>0.13870000000000002</v>
      </c>
      <c r="F20" s="4" t="s">
        <v>108</v>
      </c>
      <c r="G20" s="4" t="s">
        <v>109</v>
      </c>
      <c r="H20" s="11">
        <v>1100000000</v>
      </c>
      <c r="I20" s="11">
        <v>99.6738</v>
      </c>
      <c r="J20" s="11">
        <v>105.183272222222</v>
      </c>
      <c r="K20" s="11">
        <v>60604194.44444444</v>
      </c>
      <c r="L20" s="11">
        <v>1157015994.4444439</v>
      </c>
      <c r="M20" s="6">
        <f t="shared" si="0"/>
        <v>3.8888045721220295E-2</v>
      </c>
    </row>
    <row r="21" spans="1:15" x14ac:dyDescent="0.25">
      <c r="A21" s="1" t="s">
        <v>110</v>
      </c>
      <c r="B21" s="13" t="s">
        <v>111</v>
      </c>
      <c r="C21" s="10">
        <v>1000000</v>
      </c>
      <c r="D21" s="11">
        <v>1000000000</v>
      </c>
      <c r="E21" s="3">
        <v>0.1389</v>
      </c>
      <c r="F21" s="4" t="s">
        <v>112</v>
      </c>
      <c r="G21" s="4" t="s">
        <v>113</v>
      </c>
      <c r="H21" s="11">
        <v>1000000000</v>
      </c>
      <c r="I21" s="11">
        <v>97.946181028769999</v>
      </c>
      <c r="J21" s="11">
        <v>100.454097695437</v>
      </c>
      <c r="K21" s="11">
        <v>25079166.66666666</v>
      </c>
      <c r="L21" s="11">
        <v>1004540976.954366</v>
      </c>
      <c r="M21" s="6">
        <f t="shared" si="0"/>
        <v>3.3763263108042056E-2</v>
      </c>
    </row>
    <row r="22" spans="1:15" x14ac:dyDescent="0.25">
      <c r="A22" s="1" t="s">
        <v>114</v>
      </c>
      <c r="B22" s="13" t="s">
        <v>115</v>
      </c>
      <c r="C22" s="10">
        <v>165739</v>
      </c>
      <c r="D22" s="11">
        <v>165739000</v>
      </c>
      <c r="E22" s="3">
        <v>0.125</v>
      </c>
      <c r="F22" s="4" t="s">
        <v>116</v>
      </c>
      <c r="G22" s="4" t="s">
        <v>117</v>
      </c>
      <c r="H22" s="11">
        <v>159596381.18279999</v>
      </c>
      <c r="I22" s="11">
        <v>95.5969461424732</v>
      </c>
      <c r="J22" s="11">
        <v>97.367779475793114</v>
      </c>
      <c r="K22" s="11">
        <v>2934961.4583111098</v>
      </c>
      <c r="L22" s="11">
        <v>161376384.02538499</v>
      </c>
      <c r="M22" s="6">
        <f t="shared" si="0"/>
        <v>5.4239632212843281E-3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1004741841.895811</v>
      </c>
      <c r="L24" s="22">
        <f>SUM(L4:L23)</f>
        <v>29752484934.286308</v>
      </c>
      <c r="M24" s="23"/>
      <c r="N24" s="26">
        <v>29752484934.286339</v>
      </c>
      <c r="O24" s="29">
        <f>L24-N24</f>
        <v>-3.0517578125E-5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4200719.21</v>
      </c>
      <c r="C27" s="51">
        <v>4200719.21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215670</v>
      </c>
      <c r="D32" s="7" t="s">
        <v>51</v>
      </c>
      <c r="E32" s="34" t="s">
        <v>52</v>
      </c>
      <c r="F32" s="34" t="s">
        <v>53</v>
      </c>
      <c r="G32" s="15">
        <v>732.875</v>
      </c>
      <c r="H32" s="15">
        <v>733.81046974544404</v>
      </c>
      <c r="I32" s="16">
        <f>+C32*G32</f>
        <v>158059151.25</v>
      </c>
      <c r="J32" s="16">
        <f>+C32*H32</f>
        <v>158260904.0099999</v>
      </c>
      <c r="K32" s="18">
        <v>0.15529999999999999</v>
      </c>
      <c r="L32" s="17">
        <v>67250.92</v>
      </c>
      <c r="M32" s="17">
        <v>158193653.09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499422</v>
      </c>
      <c r="D33" s="7" t="s">
        <v>51</v>
      </c>
      <c r="E33" s="34" t="s">
        <v>52</v>
      </c>
      <c r="F33" s="34" t="s">
        <v>53</v>
      </c>
      <c r="G33" s="15">
        <v>1013.194000004004</v>
      </c>
      <c r="H33" s="15">
        <v>1014.4872796953271</v>
      </c>
      <c r="I33" s="16">
        <f>+C33*G33</f>
        <v>506011373.86999971</v>
      </c>
      <c r="J33" s="16">
        <f>+C33*H33</f>
        <v>506657266.19999963</v>
      </c>
      <c r="K33" s="18">
        <v>0.15529999999999999</v>
      </c>
      <c r="L33" s="17">
        <v>215297.4433333333</v>
      </c>
      <c r="M33" s="17">
        <v>506441968.75666702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219600</v>
      </c>
      <c r="D34" s="7" t="s">
        <v>51</v>
      </c>
      <c r="E34" s="34" t="s">
        <v>52</v>
      </c>
      <c r="F34" s="34" t="s">
        <v>53</v>
      </c>
      <c r="G34" s="15">
        <v>1024.9760000000001</v>
      </c>
      <c r="H34" s="15">
        <v>1026.2843186703089</v>
      </c>
      <c r="I34" s="16">
        <f>+C34*G34</f>
        <v>225084729.60000002</v>
      </c>
      <c r="J34" s="16">
        <f>+C34*H34</f>
        <v>225372036.37999985</v>
      </c>
      <c r="K34" s="18">
        <v>0.15529999999999999</v>
      </c>
      <c r="L34" s="17">
        <v>95768.926666666695</v>
      </c>
      <c r="M34" s="17">
        <v>225276267.45333299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5835</v>
      </c>
      <c r="D35" s="7" t="s">
        <v>51</v>
      </c>
      <c r="E35" s="34" t="s">
        <v>52</v>
      </c>
      <c r="F35" s="34" t="s">
        <v>53</v>
      </c>
      <c r="G35" s="15">
        <v>856.98400000000004</v>
      </c>
      <c r="H35" s="15">
        <v>858.07788688946005</v>
      </c>
      <c r="I35" s="16">
        <f>+C35*G35</f>
        <v>5000501.6400000006</v>
      </c>
      <c r="J35" s="16">
        <f>+C35*H35</f>
        <v>5006884.47</v>
      </c>
      <c r="K35" s="18">
        <v>0.15529999999999999</v>
      </c>
      <c r="L35" s="17">
        <v>2127.61</v>
      </c>
      <c r="M35" s="17">
        <v>5004756.8600000003</v>
      </c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1283100</v>
      </c>
      <c r="D36" s="7" t="s">
        <v>51</v>
      </c>
      <c r="E36" s="34" t="s">
        <v>52</v>
      </c>
      <c r="F36" s="34" t="s">
        <v>53</v>
      </c>
      <c r="G36" s="15">
        <v>1013.1940000000001</v>
      </c>
      <c r="H36" s="15">
        <v>1014.4947745460211</v>
      </c>
      <c r="I36" s="16">
        <f>+C36*G36</f>
        <v>1300029221.4000001</v>
      </c>
      <c r="J36" s="16">
        <f>+C36*H36</f>
        <v>1301698245.2199996</v>
      </c>
      <c r="K36" s="18">
        <v>0.15620000000000001</v>
      </c>
      <c r="L36" s="17">
        <v>556341.27333333332</v>
      </c>
      <c r="M36" s="17">
        <v>1301141903.946666</v>
      </c>
      <c r="N36" s="35"/>
    </row>
    <row r="37" spans="1:15" s="36" customFormat="1" ht="11.25" hidden="1" x14ac:dyDescent="0.25">
      <c r="A37" s="7"/>
      <c r="B37" s="7"/>
      <c r="C37" s="7"/>
      <c r="D37" s="7"/>
      <c r="E37" s="37"/>
      <c r="F37" s="37"/>
      <c r="G37" s="7"/>
      <c r="H37" s="7"/>
      <c r="I37" s="8"/>
      <c r="J37" s="8"/>
      <c r="K37" s="7"/>
      <c r="L37" s="9"/>
      <c r="M37" s="9"/>
      <c r="N37" s="35"/>
    </row>
    <row r="38" spans="1:15" x14ac:dyDescent="0.25">
      <c r="A38" s="1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2">
        <f>SUM(M32:M37)</f>
        <v>2196058550.1066661</v>
      </c>
      <c r="N38" s="38">
        <v>2196058550.1066666</v>
      </c>
      <c r="O38" s="29">
        <f>M38-N38</f>
        <v>0</v>
      </c>
    </row>
    <row r="40" spans="1:15" x14ac:dyDescent="0.25">
      <c r="A40" s="39" t="s">
        <v>28</v>
      </c>
      <c r="B40" s="33"/>
      <c r="D40" s="33"/>
      <c r="F40" s="28"/>
      <c r="G40" s="28"/>
    </row>
    <row r="41" spans="1:15" ht="22.5" x14ac:dyDescent="0.25">
      <c r="A41" s="19" t="s">
        <v>6</v>
      </c>
      <c r="B41" s="19" t="s">
        <v>29</v>
      </c>
      <c r="C41" s="19" t="s">
        <v>17</v>
      </c>
      <c r="D41" s="19" t="s">
        <v>30</v>
      </c>
      <c r="E41" s="19" t="s">
        <v>16</v>
      </c>
      <c r="F41" s="19" t="s">
        <v>31</v>
      </c>
      <c r="G41" s="19" t="s">
        <v>32</v>
      </c>
    </row>
    <row r="42" spans="1:15" hidden="1" x14ac:dyDescent="0.25">
      <c r="B42" s="41"/>
      <c r="C42" s="42"/>
      <c r="D42" s="43"/>
      <c r="G42" s="44"/>
      <c r="H42" s="33"/>
    </row>
    <row r="43" spans="1:15" x14ac:dyDescent="0.25">
      <c r="G43" s="45">
        <f>SUM(G42:G42)</f>
        <v>0</v>
      </c>
    </row>
    <row r="45" spans="1:15" x14ac:dyDescent="0.25">
      <c r="A45" s="46" t="s">
        <v>13</v>
      </c>
      <c r="B45" s="47">
        <f>+L24+B27+M38+G43</f>
        <v>31952744203.602974</v>
      </c>
      <c r="C45" s="32">
        <v>31952744203.603004</v>
      </c>
      <c r="D45" s="29">
        <f>B45-C45</f>
        <v>-3.0517578125E-5</v>
      </c>
    </row>
    <row r="48" spans="1:15" x14ac:dyDescent="0.25">
      <c r="A48" s="24" t="s">
        <v>46</v>
      </c>
      <c r="B48" s="33"/>
    </row>
    <row r="49" spans="1:2" x14ac:dyDescent="0.25">
      <c r="A49" s="48" t="s">
        <v>35</v>
      </c>
      <c r="B49" s="49"/>
    </row>
    <row r="50" spans="1:2" x14ac:dyDescent="0.25">
      <c r="A50" s="48" t="s">
        <v>36</v>
      </c>
      <c r="B50" s="40"/>
    </row>
    <row r="51" spans="1:2" x14ac:dyDescent="0.25">
      <c r="A51" s="48" t="s">
        <v>37</v>
      </c>
      <c r="B51" s="40">
        <v>42380.73</v>
      </c>
    </row>
    <row r="52" spans="1:2" x14ac:dyDescent="0.25">
      <c r="A52" s="48" t="s">
        <v>38</v>
      </c>
      <c r="B52" s="40"/>
    </row>
    <row r="53" spans="1:2" x14ac:dyDescent="0.25">
      <c r="A53" s="48" t="s">
        <v>39</v>
      </c>
      <c r="B53" s="49"/>
    </row>
    <row r="54" spans="1:2" x14ac:dyDescent="0.25">
      <c r="A54" s="48" t="s">
        <v>40</v>
      </c>
      <c r="B54" s="50">
        <v>9890.65</v>
      </c>
    </row>
    <row r="55" spans="1:2" x14ac:dyDescent="0.25">
      <c r="A55" s="48" t="s">
        <v>41</v>
      </c>
      <c r="B55" s="50">
        <v>4936.92</v>
      </c>
    </row>
    <row r="56" spans="1:2" x14ac:dyDescent="0.25">
      <c r="A56" s="48" t="s">
        <v>42</v>
      </c>
      <c r="B56" s="40"/>
    </row>
    <row r="57" spans="1:2" x14ac:dyDescent="0.25">
      <c r="A57" s="48" t="s">
        <v>43</v>
      </c>
      <c r="B57" s="40"/>
    </row>
    <row r="58" spans="1:2" x14ac:dyDescent="0.25">
      <c r="A58" s="48" t="s">
        <v>44</v>
      </c>
      <c r="B58" s="50"/>
    </row>
    <row r="59" spans="1:2" x14ac:dyDescent="0.25">
      <c r="A59" s="48" t="s">
        <v>45</v>
      </c>
      <c r="B59" s="49">
        <f>SUM(B49:B58)</f>
        <v>57208.3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2025-08-04T06:12:55Z</dcterms:created>
  <dcterms:modified xsi:type="dcterms:W3CDTF">2025-08-04T07:57:02Z</dcterms:modified>
</cp:coreProperties>
</file>