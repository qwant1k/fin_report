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25.08.2025\"/>
    </mc:Choice>
  </mc:AlternateContent>
  <xr:revisionPtr revIDLastSave="0" documentId="8_{58149E4E-4FBB-4CDB-8D91-D7BE52B4E91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1" l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2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<sst xmlns="http://schemas.openxmlformats.org/spreadsheetml/2006/main" count="190" uniqueCount="123">
  <si>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</si>
  <si>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</si>
  <si>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</si>
  <si>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</si>
  <si>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</si>
  <si>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</si>
  <si>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</si>
  <si>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</si>
  <si>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</si>
  <si>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</si>
  <si>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</si>
  <si>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</si>
  <si>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</si>
  <si>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</si>
  <si>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</si>
  <si>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</si>
  <si>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</si>
  <si>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</si>
  <si>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</si>
  <si>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</si>
  <si>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</si>
  <si>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</si>
  <si>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</si>
  <si>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</si>
  <si>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</si>
  <si>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</si>
  <si>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</si>
  <si>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</si>
  <si>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</si>
  <si>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</si>
  <si>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</si>
  <si>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</si>
  <si>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</si>
  <si>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</si>
  <si>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</si>
  <si>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</si>
  <si>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</si>
  <si>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</si>
  <si>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</si>
  <si>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</si>
  <si>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</si>
  <si>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</si>
  <si>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</si>
  <si>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</si>
  <si>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</si>
  <si>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</si>
  <si>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</si>
  <si>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</si>
  <si>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</si>
  <si>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KZ_25_3707</t>
  </si>
  <si>
    <t>XS3093658014</t>
  </si>
  <si>
    <t>KZT</t>
  </si>
  <si>
    <t>25.08.2025</t>
  </si>
  <si>
    <t>26.08.2025</t>
  </si>
  <si>
    <t>МИНИСТЕРСТВО ФИНАНСОВ РК, ГЦБ, KZ_24_3207</t>
  </si>
  <si>
    <t>XS3093655341</t>
  </si>
  <si>
    <t>МИНИСТЕРСТВО ФИНАНСОВ РК, ГЦБ, MUM096_0014</t>
  </si>
  <si>
    <t>KZKD00001228</t>
  </si>
  <si>
    <t>22.08.2025</t>
  </si>
  <si>
    <t>МИНИСТЕРСТВО ФИНАНСОВ РК, ГЦБ, KZ_06_4410</t>
  </si>
  <si>
    <t>XS1120709826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</si>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</sst>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zoomScale="90" zoomScaleNormal="90" workbookViewId="0">
      <selection activeCell="D60" sqref="D6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98.027200000000008</v>
      </c>
      <c r="J4" s="11">
        <v>99.034922222222221</v>
      </c>
      <c r="K4" s="11">
        <v>30433211.111111108</v>
      </c>
      <c r="L4" s="11">
        <v>2990854651.1111112</v>
      </c>
      <c r="M4" s="6">
        <f t="shared" ref="M4:M22" si="0">L4/$L$24</f>
        <v>0.10007141691249294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83.134600000000006</v>
      </c>
      <c r="J5" s="11">
        <v>83.925849999999983</v>
      </c>
      <c r="K5" s="11">
        <v>17921812.499999989</v>
      </c>
      <c r="L5" s="11">
        <v>1900920502.499999</v>
      </c>
      <c r="M5" s="6">
        <f t="shared" si="0"/>
        <v>6.3603160405174747E-2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83.134600000000006</v>
      </c>
      <c r="J6" s="11">
        <v>83.925850000000253</v>
      </c>
      <c r="K6" s="11">
        <v>12277398.975</v>
      </c>
      <c r="L6" s="11">
        <v>1302232094.491004</v>
      </c>
      <c r="M6" s="6">
        <f t="shared" si="0"/>
        <v>4.3571562662272904E-2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83.134600000000006</v>
      </c>
      <c r="J7" s="11">
        <v>83.925849999999997</v>
      </c>
      <c r="K7" s="11">
        <v>4317787.95</v>
      </c>
      <c r="L7" s="11">
        <v>457976649.38200003</v>
      </c>
      <c r="M7" s="6">
        <f t="shared" si="0"/>
        <v>1.5323503667911981E-2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87.195599999999999</v>
      </c>
      <c r="J8" s="11">
        <v>91.037822222222218</v>
      </c>
      <c r="K8" s="11">
        <v>87026333.333333328</v>
      </c>
      <c r="L8" s="11">
        <v>2062006673.333333</v>
      </c>
      <c r="M8" s="6">
        <f t="shared" si="0"/>
        <v>6.899296473896642E-2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85.173000000000002</v>
      </c>
      <c r="J9" s="11">
        <v>89.603555555555545</v>
      </c>
      <c r="K9" s="11">
        <v>100352083.333333</v>
      </c>
      <c r="L9" s="11">
        <v>2029520533.333333</v>
      </c>
      <c r="M9" s="6">
        <f t="shared" si="0"/>
        <v>6.7906006514965159E-2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77.603000000000009</v>
      </c>
      <c r="J10" s="11">
        <v>82.123555555555541</v>
      </c>
      <c r="K10" s="11">
        <v>102390583.333333</v>
      </c>
      <c r="L10" s="11">
        <v>1860098533.333333</v>
      </c>
      <c r="M10" s="6">
        <f t="shared" si="0"/>
        <v>6.2237292527192539E-2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67.988700000000009</v>
      </c>
      <c r="J11" s="11">
        <v>71.01661666666665</v>
      </c>
      <c r="K11" s="11">
        <v>68582312.499999985</v>
      </c>
      <c r="L11" s="11">
        <v>1608526367.499999</v>
      </c>
      <c r="M11" s="6">
        <f t="shared" si="0"/>
        <v>5.3819904847943821E-2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75.979900000000001</v>
      </c>
      <c r="J12" s="11">
        <v>76.837816666666654</v>
      </c>
      <c r="K12" s="11">
        <v>19431812.5</v>
      </c>
      <c r="L12" s="11">
        <v>1740376547.5</v>
      </c>
      <c r="M12" s="6">
        <f t="shared" si="0"/>
        <v>5.8231498145486907E-2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61.461300000000001</v>
      </c>
      <c r="J13" s="11">
        <v>63.770216666666656</v>
      </c>
      <c r="K13" s="11">
        <v>52296962.5</v>
      </c>
      <c r="L13" s="11">
        <v>1444395407.5</v>
      </c>
      <c r="M13" s="6">
        <f t="shared" si="0"/>
        <v>4.8328224494869579E-2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59.990700000000004</v>
      </c>
      <c r="J14" s="11">
        <v>64.608533333333327</v>
      </c>
      <c r="K14" s="11">
        <v>104593925</v>
      </c>
      <c r="L14" s="11">
        <v>1463383280</v>
      </c>
      <c r="M14" s="6">
        <f t="shared" si="0"/>
        <v>4.8963542331034858E-2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85.383400000000009</v>
      </c>
      <c r="J15" s="11">
        <v>87.6404</v>
      </c>
      <c r="K15" s="11">
        <v>85201750</v>
      </c>
      <c r="L15" s="11">
        <v>3308425100</v>
      </c>
      <c r="M15" s="6">
        <f t="shared" si="0"/>
        <v>0.11069705021702055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56.641500000000001</v>
      </c>
      <c r="J16" s="11">
        <v>58.490111111111105</v>
      </c>
      <c r="K16" s="11">
        <v>51832467.5</v>
      </c>
      <c r="L16" s="11">
        <v>1639980829.4000001</v>
      </c>
      <c r="M16" s="6">
        <f t="shared" si="0"/>
        <v>5.4872344012576499E-2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85.515000000000001</v>
      </c>
      <c r="J17" s="11">
        <v>91.114999999999995</v>
      </c>
      <c r="K17" s="11">
        <v>58154880</v>
      </c>
      <c r="L17" s="11">
        <v>946211052</v>
      </c>
      <c r="M17" s="6">
        <f t="shared" si="0"/>
        <v>3.1659405660761017E-2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98.650500000000008</v>
      </c>
      <c r="J18" s="11">
        <v>102.786472222222</v>
      </c>
      <c r="K18" s="11">
        <v>20968924.209722221</v>
      </c>
      <c r="L18" s="11">
        <v>521116107.65472198</v>
      </c>
      <c r="M18" s="6">
        <f t="shared" si="0"/>
        <v>1.7436095481790728E-2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93.802628105989498</v>
      </c>
      <c r="J19" s="11">
        <v>107.784850328212</v>
      </c>
      <c r="K19" s="11">
        <v>293626666.66666698</v>
      </c>
      <c r="L19" s="11">
        <v>2263481856.892446</v>
      </c>
      <c r="M19" s="6">
        <f t="shared" si="0"/>
        <v>7.5734150601667841E-2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99.849100000000007</v>
      </c>
      <c r="J20" s="11">
        <v>106.206183333333</v>
      </c>
      <c r="K20" s="11">
        <v>69927916.666666657</v>
      </c>
      <c r="L20" s="11">
        <v>1168268016.666666</v>
      </c>
      <c r="M20" s="6">
        <f t="shared" si="0"/>
        <v>3.9089240166836153E-2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98.282982825575701</v>
      </c>
      <c r="J21" s="11">
        <v>101.639732825576</v>
      </c>
      <c r="K21" s="11">
        <v>33567499.999999993</v>
      </c>
      <c r="L21" s="11">
        <v>1016397328.255756</v>
      </c>
      <c r="M21" s="6">
        <f t="shared" si="0"/>
        <v>3.4007777926232316E-2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95.831059737747594</v>
      </c>
      <c r="J22" s="11">
        <v>98.365781959956408</v>
      </c>
      <c r="K22" s="11">
        <v>4201023.2638666704</v>
      </c>
      <c r="L22" s="11">
        <v>163030463.36261201</v>
      </c>
      <c r="M22" s="6">
        <f t="shared" si="0"/>
        <v>5.4548586848029868E-3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1217105351.3430331</v>
      </c>
      <c r="L24" s="22">
        <f>SUM(L4:L23)</f>
        <v>29887201994.216316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7488866.9500000002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2377700</v>
      </c>
      <c r="D32" s="7" t="s">
        <v>51</v>
      </c>
      <c r="E32" s="34" t="s">
        <v>52</v>
      </c>
      <c r="F32" s="34" t="s">
        <v>53</v>
      </c>
      <c r="G32" s="15">
        <v>546.76859999999999</v>
      </c>
      <c r="H32" s="15">
        <v>547.00079090297299</v>
      </c>
      <c r="I32" s="16">
        <f t="shared" ref="I32:I43" si="1">+C32*G32</f>
        <v>1300051700.22</v>
      </c>
      <c r="J32" s="16">
        <f t="shared" ref="J32:J43" si="2">+C32*H32</f>
        <v>1300603780.5299988</v>
      </c>
      <c r="K32" s="18">
        <v>0.155001</v>
      </c>
      <c r="L32" s="17"/>
      <c r="M32" s="17">
        <v>1300051700.22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1444932</v>
      </c>
      <c r="D33" s="7" t="s">
        <v>51</v>
      </c>
      <c r="E33" s="34" t="s">
        <v>52</v>
      </c>
      <c r="F33" s="34" t="s">
        <v>53</v>
      </c>
      <c r="G33" s="15">
        <v>544.89860000332203</v>
      </c>
      <c r="H33" s="15">
        <v>545.12999828365605</v>
      </c>
      <c r="I33" s="16">
        <f t="shared" si="1"/>
        <v>787341423.9000001</v>
      </c>
      <c r="J33" s="16">
        <f t="shared" si="2"/>
        <v>787675778.67999971</v>
      </c>
      <c r="K33" s="18">
        <v>0.155002</v>
      </c>
      <c r="L33" s="17"/>
      <c r="M33" s="17">
        <v>787341423.89999998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221309</v>
      </c>
      <c r="D34" s="7" t="s">
        <v>51</v>
      </c>
      <c r="E34" s="34" t="s">
        <v>52</v>
      </c>
      <c r="F34" s="34" t="s">
        <v>53</v>
      </c>
      <c r="G34" s="15">
        <v>546.76860001174805</v>
      </c>
      <c r="H34" s="15">
        <v>547.00079093032798</v>
      </c>
      <c r="I34" s="16">
        <f t="shared" si="1"/>
        <v>121004812.09999995</v>
      </c>
      <c r="J34" s="16">
        <f t="shared" si="2"/>
        <v>121056198.03999996</v>
      </c>
      <c r="K34" s="18">
        <v>0.155001</v>
      </c>
      <c r="L34" s="17"/>
      <c r="M34" s="17">
        <v>121004812.09999999</v>
      </c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9145</v>
      </c>
      <c r="D35" s="7" t="s">
        <v>51</v>
      </c>
      <c r="E35" s="34" t="s">
        <v>52</v>
      </c>
      <c r="F35" s="34" t="s">
        <v>53</v>
      </c>
      <c r="G35" s="15">
        <v>546.76860032804802</v>
      </c>
      <c r="H35" s="15">
        <v>547.00079168944808</v>
      </c>
      <c r="I35" s="16">
        <f t="shared" si="1"/>
        <v>5000198.8499999996</v>
      </c>
      <c r="J35" s="16">
        <f t="shared" si="2"/>
        <v>5002322.240000003</v>
      </c>
      <c r="K35" s="18">
        <v>0.155001</v>
      </c>
      <c r="L35" s="17"/>
      <c r="M35" s="17">
        <v>5000198.8499999996</v>
      </c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1224664</v>
      </c>
      <c r="D36" s="7" t="s">
        <v>51</v>
      </c>
      <c r="E36" s="34" t="s">
        <v>58</v>
      </c>
      <c r="F36" s="34" t="s">
        <v>52</v>
      </c>
      <c r="G36" s="15">
        <v>940.59400000326605</v>
      </c>
      <c r="H36" s="15">
        <v>941.79229872030203</v>
      </c>
      <c r="I36" s="16">
        <f t="shared" si="1"/>
        <v>1151911610.4199998</v>
      </c>
      <c r="J36" s="16">
        <f t="shared" si="2"/>
        <v>1153379123.72</v>
      </c>
      <c r="K36" s="18">
        <v>0.155001</v>
      </c>
      <c r="L36" s="17">
        <v>489171.1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1224664</v>
      </c>
      <c r="D37" s="7" t="s">
        <v>51</v>
      </c>
      <c r="E37" s="34" t="s">
        <v>52</v>
      </c>
      <c r="F37" s="34" t="s">
        <v>52</v>
      </c>
      <c r="G37" s="15">
        <v>940.59400000326605</v>
      </c>
      <c r="H37" s="15">
        <v>941.79229872030203</v>
      </c>
      <c r="I37" s="16">
        <f t="shared" si="1"/>
        <v>1151911610.4199998</v>
      </c>
      <c r="J37" s="16">
        <f t="shared" si="2"/>
        <v>1153379123.72</v>
      </c>
      <c r="K37" s="18">
        <v>0.155001</v>
      </c>
      <c r="L37" s="17"/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298298</v>
      </c>
      <c r="D38" s="7" t="s">
        <v>51</v>
      </c>
      <c r="E38" s="34" t="s">
        <v>58</v>
      </c>
      <c r="F38" s="34" t="s">
        <v>52</v>
      </c>
      <c r="G38" s="15">
        <v>499.71120000804603</v>
      </c>
      <c r="H38" s="15">
        <v>500.34782247953405</v>
      </c>
      <c r="I38" s="16">
        <f t="shared" si="1"/>
        <v>149062851.54000011</v>
      </c>
      <c r="J38" s="16">
        <f t="shared" si="2"/>
        <v>149252754.75000006</v>
      </c>
      <c r="K38" s="18">
        <v>0.155001</v>
      </c>
      <c r="L38" s="17">
        <v>63301.07</v>
      </c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298298</v>
      </c>
      <c r="D39" s="7" t="s">
        <v>51</v>
      </c>
      <c r="E39" s="34" t="s">
        <v>52</v>
      </c>
      <c r="F39" s="34" t="s">
        <v>52</v>
      </c>
      <c r="G39" s="15">
        <v>499.71120000804603</v>
      </c>
      <c r="H39" s="15">
        <v>500.34782247953405</v>
      </c>
      <c r="I39" s="16">
        <f t="shared" si="1"/>
        <v>149062851.54000011</v>
      </c>
      <c r="J39" s="16">
        <f t="shared" si="2"/>
        <v>149252754.75000006</v>
      </c>
      <c r="K39" s="18">
        <v>0.155001</v>
      </c>
      <c r="L39" s="17"/>
      <c r="M39" s="17"/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962760</v>
      </c>
      <c r="D40" s="7" t="s">
        <v>51</v>
      </c>
      <c r="E40" s="34" t="s">
        <v>58</v>
      </c>
      <c r="F40" s="34" t="s">
        <v>52</v>
      </c>
      <c r="G40" s="15">
        <v>939.30600000000004</v>
      </c>
      <c r="H40" s="15">
        <v>940.50267327267409</v>
      </c>
      <c r="I40" s="16">
        <f t="shared" si="1"/>
        <v>904326244.56000006</v>
      </c>
      <c r="J40" s="16">
        <f t="shared" si="2"/>
        <v>905478353.71999967</v>
      </c>
      <c r="K40" s="18">
        <v>0.155003</v>
      </c>
      <c r="L40" s="17">
        <v>384036.3866666666</v>
      </c>
      <c r="M40" s="17"/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962760</v>
      </c>
      <c r="D41" s="7" t="s">
        <v>51</v>
      </c>
      <c r="E41" s="34" t="s">
        <v>52</v>
      </c>
      <c r="F41" s="34" t="s">
        <v>52</v>
      </c>
      <c r="G41" s="15">
        <v>939.30600000000004</v>
      </c>
      <c r="H41" s="15">
        <v>940.50267327267409</v>
      </c>
      <c r="I41" s="16">
        <f t="shared" si="1"/>
        <v>904326244.56000006</v>
      </c>
      <c r="J41" s="16">
        <f t="shared" si="2"/>
        <v>905478353.71999967</v>
      </c>
      <c r="K41" s="18">
        <v>0.155003</v>
      </c>
      <c r="L41" s="17"/>
      <c r="M41" s="17"/>
      <c r="N41" s="35"/>
    </row>
    <row r="42" spans="1:15" s="36" customFormat="1" ht="12" customHeight="1" x14ac:dyDescent="0.25">
      <c r="A42" s="12" t="s">
        <v>61</v>
      </c>
      <c r="B42" s="7" t="s">
        <v>62</v>
      </c>
      <c r="C42" s="14">
        <v>6390</v>
      </c>
      <c r="D42" s="7" t="s">
        <v>51</v>
      </c>
      <c r="E42" s="34" t="s">
        <v>58</v>
      </c>
      <c r="F42" s="34" t="s">
        <v>52</v>
      </c>
      <c r="G42" s="15">
        <v>939.30600000000004</v>
      </c>
      <c r="H42" s="15">
        <v>940.50266510172105</v>
      </c>
      <c r="I42" s="16">
        <f t="shared" si="1"/>
        <v>6002165.3399999999</v>
      </c>
      <c r="J42" s="16">
        <f t="shared" si="2"/>
        <v>6009812.0299999975</v>
      </c>
      <c r="K42" s="18">
        <v>0.155002</v>
      </c>
      <c r="L42" s="17">
        <v>2548.8966666666661</v>
      </c>
      <c r="M42" s="17"/>
      <c r="N42" s="35"/>
    </row>
    <row r="43" spans="1:15" s="36" customFormat="1" ht="12" customHeight="1" x14ac:dyDescent="0.25">
      <c r="A43" s="12" t="s">
        <v>61</v>
      </c>
      <c r="B43" s="7" t="s">
        <v>62</v>
      </c>
      <c r="C43" s="14">
        <v>6390</v>
      </c>
      <c r="D43" s="7" t="s">
        <v>51</v>
      </c>
      <c r="E43" s="34" t="s">
        <v>52</v>
      </c>
      <c r="F43" s="34" t="s">
        <v>52</v>
      </c>
      <c r="G43" s="15">
        <v>939.30600000000004</v>
      </c>
      <c r="H43" s="15">
        <v>940.50266510172105</v>
      </c>
      <c r="I43" s="16">
        <f t="shared" si="1"/>
        <v>6002165.3399999999</v>
      </c>
      <c r="J43" s="16">
        <f t="shared" si="2"/>
        <v>6009812.0299999975</v>
      </c>
      <c r="K43" s="18">
        <v>0.155002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2213398135.0699997</v>
      </c>
      <c r="N45" s="38"/>
      <c r="O45" s="29"/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32108088996.236317</v>
      </c>
      <c r="C52" s="32"/>
      <c r="D52" s="29"/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393188.76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83190.049999999988</v>
      </c>
    </row>
    <row r="62" spans="1:8" x14ac:dyDescent="0.25">
      <c r="A62" s="48" t="s">
        <v>41</v>
      </c>
      <c r="B62" s="50">
        <v>41337.01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517715.82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2025-08-26T06:07:16Z</dcterms:created>
  <dcterms:modified xsi:type="dcterms:W3CDTF">2025-08-26T06:08:03Z</dcterms:modified>
</cp:coreProperties>
</file>