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22.08.2025\"/>
    </mc:Choice>
  </mc:AlternateContent>
  <xr:revisionPtr revIDLastSave="0" documentId="8_{F81898E9-C2C0-4DCE-B2B7-9E562A7368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2" i="1" l="1"/>
</calcChain>
</file>

<file path=xl/sharedStrings.xml><?xml version="1.0" encoding="utf-8"?>
<sst xmlns="http://schemas.openxmlformats.org/spreadsheetml/2006/main" count="150" uniqueCount="119">
  <si>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</si>
  <si>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</si>
  <si>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</si>
  <si>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</si>
  <si>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</si>
  <si>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</si>
  <si>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</si>
  <si>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</si>
  <si>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</si>
  <si>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</si>
  <si>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</si>
  <si>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</si>
  <si>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</si>
  <si>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</si>
  <si>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</si>
  <si>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</si>
  <si>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</si>
  <si>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</si>
  <si>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</si>
  <si>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</si>
  <si>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</si>
  <si>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</si>
  <si>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</si>
  <si>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</si>
  <si>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</si>
  <si>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</si>
  <si>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</si>
  <si>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</si>
  <si>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</si>
  <si>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</si>
  <si>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</si>
  <si>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</si>
  <si>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</si>
  <si>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</si>
  <si>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</si>
  <si>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</si>
  <si>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</si>
  <si>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</si>
  <si>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</si>
  <si>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</si>
  <si>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</si>
  <si>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</si>
  <si>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</si>
  <si>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</si>
  <si>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</si>
  <si>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</si>
  <si>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</si>
  <si>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</si>
  <si>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</si>
  <si>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</si>
  <si>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</si>
  <si>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</si>
  <si>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22.08.2025</t>
  </si>
  <si>
    <t>25.08.2025</t>
  </si>
  <si>
    <t>МИНИСТЕРСТВО ФИНАНСОВ РК, ГЦБ, KZ_06_4410</t>
  </si>
  <si>
    <t>XS1120709826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</si>
  <si>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</si>
  <si>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</si>
  <si>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</si>
  <si>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</si>
  <si>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</si>
  <si>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</si>
  <si>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</si>
  <si>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</si>
  <si>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</si>
  <si>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</si>
  <si>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</si>
  <si>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</si>
  <si>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</si>
  <si>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</si>
  <si>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</si>
  <si>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</si>
  <si>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</si>
  <si>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</si>
  <si>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</si>
  <si>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</si>
  <si>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</si>
  <si>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</si>
  <si>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</si>
  <si>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</si>
  <si>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</si>
  <si>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</si>
  <si>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</si>
  <si>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</si>
  <si>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</si>
  <si>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</si>
  <si>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</si>
  <si>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</si>
  <si>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</si>
  <si>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</si>
  <si>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</si>
  <si>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</si>
  <si>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</si>
  <si>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</si>
  <si>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</si>
  <si>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</si>
  <si>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</si>
  <si>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</si>
  <si>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</si>
  <si>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</si>
  <si>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</si>
  <si>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</si>
  <si>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</si>
  <si>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</si>
  <si>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</si>
  <si>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</si>
  <si>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</si>
  <si>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</si>
  <si>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</si>
  <si>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</si>
  <si>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</si>
  <si>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</si>
  <si>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</si>
  <si>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</si>
  <si>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</si>
  <si>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</si>
  <si>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</si>
  <si>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</si>
  <si>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23.08.2025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</si>
</sst>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zoomScale="90" zoomScaleNormal="90" workbookViewId="0">
      <selection activeCell="E59" sqref="E5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98.001300000000001</v>
      </c>
      <c r="J4" s="11">
        <v>98.949744444444434</v>
      </c>
      <c r="K4" s="11">
        <v>28643022.22222222</v>
      </c>
      <c r="L4" s="11">
        <v>2988282282.2222219</v>
      </c>
      <c r="M4" s="6">
        <f t="shared" ref="M4:M22" si="0">L4/$L$24</f>
        <v>0.10007393014254228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83.120900000000006</v>
      </c>
      <c r="J5" s="11">
        <v>83.853538888888878</v>
      </c>
      <c r="K5" s="11">
        <v>16594270.83333333</v>
      </c>
      <c r="L5" s="11">
        <v>1899282655.833333</v>
      </c>
      <c r="M5" s="6">
        <f t="shared" si="0"/>
        <v>6.3604660427014098E-2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83.120900000000006</v>
      </c>
      <c r="J6" s="11">
        <v>83.853538888889133</v>
      </c>
      <c r="K6" s="11">
        <v>11367962.013888881</v>
      </c>
      <c r="L6" s="11">
        <v>1301110082.0278921</v>
      </c>
      <c r="M6" s="6">
        <f t="shared" si="0"/>
        <v>4.3572590257366435E-2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83.120900000000006</v>
      </c>
      <c r="J7" s="11">
        <v>83.853538888888892</v>
      </c>
      <c r="K7" s="11">
        <v>3997951.8055555602</v>
      </c>
      <c r="L7" s="11">
        <v>457582053.43355602</v>
      </c>
      <c r="M7" s="6">
        <f t="shared" si="0"/>
        <v>1.532386505860407E-2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87.174700000000001</v>
      </c>
      <c r="J8" s="11">
        <v>90.959144444444433</v>
      </c>
      <c r="K8" s="11">
        <v>85717666.666666657</v>
      </c>
      <c r="L8" s="11">
        <v>2060224621.666666</v>
      </c>
      <c r="M8" s="6">
        <f t="shared" si="0"/>
        <v>6.8994410632885264E-2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85.157000000000011</v>
      </c>
      <c r="J9" s="11">
        <v>89.526444444444436</v>
      </c>
      <c r="K9" s="11">
        <v>98967916.666666657</v>
      </c>
      <c r="L9" s="11">
        <v>2027773966.666666</v>
      </c>
      <c r="M9" s="6">
        <f t="shared" si="0"/>
        <v>6.7907677762677712E-2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77.587000000000003</v>
      </c>
      <c r="J10" s="11">
        <v>82.050333333333327</v>
      </c>
      <c r="K10" s="11">
        <v>101094500</v>
      </c>
      <c r="L10" s="11">
        <v>1858440050</v>
      </c>
      <c r="M10" s="6">
        <f t="shared" si="0"/>
        <v>6.2236891355357024E-2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67.969300000000004</v>
      </c>
      <c r="J11" s="11">
        <v>70.95027222222221</v>
      </c>
      <c r="K11" s="11">
        <v>67519020.833333328</v>
      </c>
      <c r="L11" s="11">
        <v>1607023665.833333</v>
      </c>
      <c r="M11" s="6">
        <f t="shared" si="0"/>
        <v>5.3817263191221439E-2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75.971400000000003</v>
      </c>
      <c r="J12" s="11">
        <v>76.770150000000001</v>
      </c>
      <c r="K12" s="11">
        <v>18091687.5</v>
      </c>
      <c r="L12" s="11">
        <v>1738843897.5</v>
      </c>
      <c r="M12" s="6">
        <f t="shared" si="0"/>
        <v>5.8231762026777815E-2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61.446100000000001</v>
      </c>
      <c r="J13" s="11">
        <v>63.710183333333326</v>
      </c>
      <c r="K13" s="11">
        <v>51281487.5</v>
      </c>
      <c r="L13" s="11">
        <v>1443035652.5</v>
      </c>
      <c r="M13" s="6">
        <f t="shared" si="0"/>
        <v>4.832550456849509E-2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87</v>
      </c>
      <c r="H14" s="11">
        <v>1597764975</v>
      </c>
      <c r="I14" s="11">
        <v>59.9741</v>
      </c>
      <c r="J14" s="11">
        <v>64.5471</v>
      </c>
      <c r="K14" s="11">
        <v>103578450</v>
      </c>
      <c r="L14" s="11">
        <v>1461991815</v>
      </c>
      <c r="M14" s="6">
        <f t="shared" si="0"/>
        <v>4.8960323338154615E-2</v>
      </c>
    </row>
    <row r="15" spans="1:13" x14ac:dyDescent="0.25">
      <c r="A15" s="1" t="s">
        <v>88</v>
      </c>
      <c r="B15" s="13" t="s">
        <v>89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90</v>
      </c>
      <c r="H15" s="11">
        <v>3136670150</v>
      </c>
      <c r="I15" s="11">
        <v>85.328000000000003</v>
      </c>
      <c r="J15" s="11">
        <v>87.554500000000004</v>
      </c>
      <c r="K15" s="11">
        <v>84050375</v>
      </c>
      <c r="L15" s="11">
        <v>3305182375</v>
      </c>
      <c r="M15" s="6">
        <f t="shared" si="0"/>
        <v>0.11068652786648453</v>
      </c>
    </row>
    <row r="16" spans="1:13" x14ac:dyDescent="0.25">
      <c r="A16" s="1" t="s">
        <v>91</v>
      </c>
      <c r="B16" s="13" t="s">
        <v>92</v>
      </c>
      <c r="C16" s="10">
        <v>2803860</v>
      </c>
      <c r="D16" s="11">
        <v>2803860000</v>
      </c>
      <c r="E16" s="3">
        <v>5.5E-2</v>
      </c>
      <c r="F16" s="4" t="s">
        <v>93</v>
      </c>
      <c r="G16" s="4" t="s">
        <v>94</v>
      </c>
      <c r="H16" s="11">
        <v>1773018067.1400001</v>
      </c>
      <c r="I16" s="11">
        <v>56.6126</v>
      </c>
      <c r="J16" s="11">
        <v>58.430655555555546</v>
      </c>
      <c r="K16" s="11">
        <v>50975732.5</v>
      </c>
      <c r="L16" s="11">
        <v>1638313778.8599999</v>
      </c>
      <c r="M16" s="6">
        <f t="shared" si="0"/>
        <v>5.4865130925742925E-2</v>
      </c>
    </row>
    <row r="17" spans="1:15" x14ac:dyDescent="0.25">
      <c r="A17" s="1" t="s">
        <v>95</v>
      </c>
      <c r="B17" s="13" t="s">
        <v>96</v>
      </c>
      <c r="C17" s="10">
        <v>1038480</v>
      </c>
      <c r="D17" s="11">
        <v>1038480000</v>
      </c>
      <c r="E17" s="3">
        <v>0.12</v>
      </c>
      <c r="F17" s="4" t="s">
        <v>93</v>
      </c>
      <c r="G17" s="4" t="s">
        <v>97</v>
      </c>
      <c r="H17" s="11">
        <v>979029096.96000004</v>
      </c>
      <c r="I17" s="11">
        <v>85.503900000000002</v>
      </c>
      <c r="J17" s="11">
        <v>91.037233333333319</v>
      </c>
      <c r="K17" s="11">
        <v>57462560</v>
      </c>
      <c r="L17" s="11">
        <v>945403460.72000003</v>
      </c>
      <c r="M17" s="6">
        <f t="shared" si="0"/>
        <v>3.1660409208147007E-2</v>
      </c>
    </row>
    <row r="18" spans="1:15" x14ac:dyDescent="0.25">
      <c r="A18" s="1" t="s">
        <v>98</v>
      </c>
      <c r="B18" s="13" t="s">
        <v>99</v>
      </c>
      <c r="C18" s="10">
        <v>506989</v>
      </c>
      <c r="D18" s="11">
        <v>506989000</v>
      </c>
      <c r="E18" s="3">
        <v>0.1535</v>
      </c>
      <c r="F18" s="4" t="s">
        <v>100</v>
      </c>
      <c r="G18" s="4" t="s">
        <v>101</v>
      </c>
      <c r="H18" s="11">
        <v>492216861.50999999</v>
      </c>
      <c r="I18" s="11">
        <v>98.658100000000005</v>
      </c>
      <c r="J18" s="11">
        <v>102.70879444444401</v>
      </c>
      <c r="K18" s="11">
        <v>20536575.25694444</v>
      </c>
      <c r="L18" s="11">
        <v>520722289.86594403</v>
      </c>
      <c r="M18" s="6">
        <f t="shared" si="0"/>
        <v>1.7438354592444069E-2</v>
      </c>
    </row>
    <row r="19" spans="1:15" x14ac:dyDescent="0.25">
      <c r="A19" s="1" t="s">
        <v>102</v>
      </c>
      <c r="B19" s="13" t="s">
        <v>103</v>
      </c>
      <c r="C19" s="10">
        <v>2100000</v>
      </c>
      <c r="D19" s="11">
        <v>2100000000</v>
      </c>
      <c r="E19" s="3">
        <v>0.14300000000000002</v>
      </c>
      <c r="F19" s="4" t="s">
        <v>104</v>
      </c>
      <c r="G19" s="4" t="s">
        <v>105</v>
      </c>
      <c r="H19" s="11">
        <v>2100000000</v>
      </c>
      <c r="I19" s="11">
        <v>93.79868358555369</v>
      </c>
      <c r="J19" s="11">
        <v>107.70146136333101</v>
      </c>
      <c r="K19" s="11">
        <v>291958333.33333302</v>
      </c>
      <c r="L19" s="11">
        <v>2261730688.629961</v>
      </c>
      <c r="M19" s="6">
        <f t="shared" si="0"/>
        <v>7.574260312746689E-2</v>
      </c>
    </row>
    <row r="20" spans="1:15" x14ac:dyDescent="0.25">
      <c r="A20" s="1" t="s">
        <v>106</v>
      </c>
      <c r="B20" s="13" t="s">
        <v>107</v>
      </c>
      <c r="C20" s="10">
        <v>1100000</v>
      </c>
      <c r="D20" s="11">
        <v>1100000000</v>
      </c>
      <c r="E20" s="3">
        <v>0.13870000000000002</v>
      </c>
      <c r="F20" s="4" t="s">
        <v>108</v>
      </c>
      <c r="G20" s="4" t="s">
        <v>109</v>
      </c>
      <c r="H20" s="11">
        <v>1100000000</v>
      </c>
      <c r="I20" s="11">
        <v>99.841000000000008</v>
      </c>
      <c r="J20" s="11">
        <v>106.12102777777801</v>
      </c>
      <c r="K20" s="11">
        <v>69080305.555555552</v>
      </c>
      <c r="L20" s="11">
        <v>1167331305.5555551</v>
      </c>
      <c r="M20" s="6">
        <f t="shared" si="0"/>
        <v>3.9092502144240898E-2</v>
      </c>
    </row>
    <row r="21" spans="1:15" x14ac:dyDescent="0.25">
      <c r="A21" s="1" t="s">
        <v>110</v>
      </c>
      <c r="B21" s="13" t="s">
        <v>111</v>
      </c>
      <c r="C21" s="10">
        <v>1000000</v>
      </c>
      <c r="D21" s="11">
        <v>1000000000</v>
      </c>
      <c r="E21" s="3">
        <v>0.1389</v>
      </c>
      <c r="F21" s="4" t="s">
        <v>112</v>
      </c>
      <c r="G21" s="4" t="s">
        <v>113</v>
      </c>
      <c r="H21" s="11">
        <v>1000000000</v>
      </c>
      <c r="I21" s="11">
        <v>98.276195099272499</v>
      </c>
      <c r="J21" s="11">
        <v>101.555778432606</v>
      </c>
      <c r="K21" s="11">
        <v>32795833.333333328</v>
      </c>
      <c r="L21" s="11">
        <v>1015557784.326058</v>
      </c>
      <c r="M21" s="6">
        <f t="shared" si="0"/>
        <v>3.4009791969446625E-2</v>
      </c>
    </row>
    <row r="22" spans="1:15" x14ac:dyDescent="0.25">
      <c r="A22" s="1" t="s">
        <v>114</v>
      </c>
      <c r="B22" s="13" t="s">
        <v>115</v>
      </c>
      <c r="C22" s="10">
        <v>165739</v>
      </c>
      <c r="D22" s="11">
        <v>165739000</v>
      </c>
      <c r="E22" s="3">
        <v>0.125</v>
      </c>
      <c r="F22" s="4" t="s">
        <v>116</v>
      </c>
      <c r="G22" s="4" t="s">
        <v>117</v>
      </c>
      <c r="H22" s="11">
        <v>159596381.18279999</v>
      </c>
      <c r="I22" s="11">
        <v>95.830418443192301</v>
      </c>
      <c r="J22" s="11">
        <v>98.295696220956657</v>
      </c>
      <c r="K22" s="11">
        <v>4085926.7360888901</v>
      </c>
      <c r="L22" s="11">
        <v>162914303.95965099</v>
      </c>
      <c r="M22" s="6">
        <f t="shared" si="0"/>
        <v>5.4558014049312003E-3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1197799577.756922</v>
      </c>
      <c r="L24" s="22">
        <f>SUM(L4:L23)</f>
        <v>29860746729.600838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6766957.7999999998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1224664</v>
      </c>
      <c r="D32" s="7" t="s">
        <v>51</v>
      </c>
      <c r="E32" s="34" t="s">
        <v>52</v>
      </c>
      <c r="F32" s="34" t="s">
        <v>53</v>
      </c>
      <c r="G32" s="15">
        <v>940.59400000326605</v>
      </c>
      <c r="H32" s="15">
        <v>941.79229872030203</v>
      </c>
      <c r="I32" s="16">
        <f>+C32*G32</f>
        <v>1151911610.4199998</v>
      </c>
      <c r="J32" s="16">
        <f>+C32*H32</f>
        <v>1153379123.72</v>
      </c>
      <c r="K32" s="18">
        <v>0.155001</v>
      </c>
      <c r="L32" s="17">
        <v>489171.1</v>
      </c>
      <c r="M32" s="17">
        <v>1152400781.52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298298</v>
      </c>
      <c r="D33" s="7" t="s">
        <v>51</v>
      </c>
      <c r="E33" s="34" t="s">
        <v>52</v>
      </c>
      <c r="F33" s="34" t="s">
        <v>53</v>
      </c>
      <c r="G33" s="15">
        <v>499.71120000804603</v>
      </c>
      <c r="H33" s="15">
        <v>500.34782247953405</v>
      </c>
      <c r="I33" s="16">
        <f>+C33*G33</f>
        <v>149062851.54000011</v>
      </c>
      <c r="J33" s="16">
        <f>+C33*H33</f>
        <v>149252754.75000006</v>
      </c>
      <c r="K33" s="18">
        <v>0.155001</v>
      </c>
      <c r="L33" s="17">
        <v>63301.07</v>
      </c>
      <c r="M33" s="17">
        <v>149126152.61000001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962760</v>
      </c>
      <c r="D34" s="7" t="s">
        <v>51</v>
      </c>
      <c r="E34" s="34" t="s">
        <v>52</v>
      </c>
      <c r="F34" s="34" t="s">
        <v>53</v>
      </c>
      <c r="G34" s="15">
        <v>939.30600000000004</v>
      </c>
      <c r="H34" s="15">
        <v>940.50267327267409</v>
      </c>
      <c r="I34" s="16">
        <f>+C34*G34</f>
        <v>904326244.56000006</v>
      </c>
      <c r="J34" s="16">
        <f>+C34*H34</f>
        <v>905478353.71999967</v>
      </c>
      <c r="K34" s="18">
        <v>0.155003</v>
      </c>
      <c r="L34" s="17">
        <v>384036.3866666666</v>
      </c>
      <c r="M34" s="17">
        <v>904710280.94666696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6390</v>
      </c>
      <c r="D35" s="7" t="s">
        <v>51</v>
      </c>
      <c r="E35" s="34" t="s">
        <v>52</v>
      </c>
      <c r="F35" s="34" t="s">
        <v>53</v>
      </c>
      <c r="G35" s="15">
        <v>939.30600000000004</v>
      </c>
      <c r="H35" s="15">
        <v>940.50266510172105</v>
      </c>
      <c r="I35" s="16">
        <f>+C35*G35</f>
        <v>6002165.3399999999</v>
      </c>
      <c r="J35" s="16">
        <f>+C35*H35</f>
        <v>6009812.0299999975</v>
      </c>
      <c r="K35" s="18">
        <v>0.155002</v>
      </c>
      <c r="L35" s="17">
        <v>2548.8966666666661</v>
      </c>
      <c r="M35" s="17">
        <v>6004714.2366666701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2212241929.3133335</v>
      </c>
      <c r="N37" s="38"/>
      <c r="O37" s="29"/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32079755616.714172</v>
      </c>
      <c r="C44" s="32"/>
      <c r="D44" s="29"/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362805.84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79838.12999999999</v>
      </c>
    </row>
    <row r="54" spans="1:2" x14ac:dyDescent="0.25">
      <c r="A54" s="48" t="s">
        <v>41</v>
      </c>
      <c r="B54" s="50">
        <v>39676.959999999999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482320.93000000005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2025-08-25T06:09:11Z</dcterms:created>
  <dcterms:modified xsi:type="dcterms:W3CDTF">2025-08-25T06:09:55Z</dcterms:modified>
</cp:coreProperties>
</file>