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48630B7D-07ED-4173-A874-ACBF42401C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ДУ!#REF!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1" l="1"/>
  <c r="O56" i="1"/>
  <c r="O25" i="1"/>
  <c r="D28" i="1"/>
  <c r="B77" i="1"/>
  <c r="G61" i="1"/>
  <c r="M56" i="1"/>
  <c r="B63" i="1" s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K25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<sst xmlns="http://schemas.openxmlformats.org/spreadsheetml/2006/main" count="244" uniqueCount="140">
  <si>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</si>
  <si>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</si>
  <si>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</si>
  <si>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</si>
  <si>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</si>
  <si>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</si>
  <si>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</si>
  <si>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</si>
  <si>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</si>
  <si>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</si>
  <si>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</si>
  <si>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</si>
  <si>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</si>
  <si>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</si>
  <si>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</si>
  <si>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</si>
  <si>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</si>
  <si>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</si>
  <si>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</si>
  <si>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</si>
  <si>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</si>
  <si>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</si>
  <si>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</si>
  <si>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</si>
  <si>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</si>
  <si>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</si>
  <si>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</si>
  <si>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</si>
  <si>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</si>
  <si>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</si>
  <si>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</si>
  <si>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</si>
  <si>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</si>
  <si>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</si>
  <si>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</si>
  <si>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</si>
  <si>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</si>
  <si>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</si>
  <si>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</si>
  <si>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</si>
  <si>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</si>
  <si>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</si>
  <si>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</si>
  <si>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</si>
  <si>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</si>
  <si>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</si>
  <si>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</si>
  <si>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</si>
  <si>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</si>
  <si>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KFUSb48</t>
  </si>
  <si>
    <t>KZ2C00008944</t>
  </si>
  <si>
    <t>KZT</t>
  </si>
  <si>
    <t>29.08.2025</t>
  </si>
  <si>
    <t>02.09.2025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</si>
  <si>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</si>
  <si>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</si>
  <si>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</si>
  <si>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</si>
  <si>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MUM120_0019</t>
  </si>
  <si>
    <t>KZKD00001129</t>
  </si>
  <si>
    <t>МИНИСТЕРСТВО ФИНАНСОВ РК, ГЦБ, KZ_10_2811</t>
  </si>
  <si>
    <t>XS1901718335</t>
  </si>
  <si>
    <t>АКЦИОНЕРНОЕ ОБЩЕСТВО КАЗАХСТАНСКИЙ ФОНД УСТОЙЧИВОСТИ, ОБЛИГАЦИИ, KFUSb3</t>
  </si>
  <si>
    <t>KZ2C00006955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</si>
  <si>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</si>
  <si>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</si>
  <si>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</si>
  <si>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</si>
  <si>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MUM216_0001</t>
  </si>
  <si>
    <t>KZKD00000972</t>
  </si>
  <si>
    <t>МИНИСТЕРСТВО ФИНАНСОВ РК, ГЦБ, MOM060_0052</t>
  </si>
  <si>
    <t>KZK200000679</t>
  </si>
  <si>
    <t>МИНИСТЕРСТВО ФИНАНСОВ РК, ОБЛИГАЦИИ, MFKZ.0435</t>
  </si>
  <si>
    <t>XS2914770545</t>
  </si>
  <si>
    <t>МИНИСТЕРСТВО ФИНАНСОВ РК, ГЦБ, KZ_06_4410</t>
  </si>
  <si>
    <t>XS1120709826</t>
  </si>
  <si>
    <t>МИНИСТЕРСТВО ФИНАНСОВ РК, ГЦБ, MUM192_0001</t>
  </si>
  <si>
    <t>KZKD00000477</t>
  </si>
  <si>
    <t>МИНИСТЕРСТВО ФИНАНСОВ РК, ГЦБ, MUM180_0009</t>
  </si>
  <si>
    <t>KZKD00000717</t>
  </si>
  <si>
    <t>28.08.2025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</si>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</sst>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topLeftCell="B26" zoomScale="90" zoomScaleNormal="90" workbookViewId="0">
      <selection activeCell="D64" sqref="D6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81</v>
      </c>
      <c r="B4" s="13" t="s">
        <v>82</v>
      </c>
      <c r="C4" s="10">
        <v>3020000</v>
      </c>
      <c r="D4" s="11">
        <v>3020000000</v>
      </c>
      <c r="E4" s="3">
        <v>0.1067</v>
      </c>
      <c r="F4" s="4" t="s">
        <v>83</v>
      </c>
      <c r="G4" s="4" t="s">
        <v>84</v>
      </c>
      <c r="H4" s="11">
        <v>2930617060.0000029</v>
      </c>
      <c r="I4" s="11">
        <v>97.928700000000006</v>
      </c>
      <c r="J4" s="11">
        <v>99.054977777777765</v>
      </c>
      <c r="K4" s="11">
        <v>34013588.888888881</v>
      </c>
      <c r="L4" s="11">
        <v>2991460328.8888879</v>
      </c>
      <c r="M4" s="6">
        <f t="shared" ref="M4:M23" si="0">L4/$L$25</f>
        <v>9.8731038706797183E-2</v>
      </c>
    </row>
    <row r="5" spans="1:13" x14ac:dyDescent="0.25">
      <c r="A5" s="1" t="s">
        <v>85</v>
      </c>
      <c r="B5" s="13" t="s">
        <v>86</v>
      </c>
      <c r="C5" s="10">
        <v>2265000</v>
      </c>
      <c r="D5" s="11">
        <v>2265000000</v>
      </c>
      <c r="E5" s="3">
        <v>0.10550000000000001</v>
      </c>
      <c r="F5" s="4" t="s">
        <v>83</v>
      </c>
      <c r="G5" s="4" t="s">
        <v>87</v>
      </c>
      <c r="H5" s="11">
        <v>2039188560.0000031</v>
      </c>
      <c r="I5" s="11">
        <v>82.436000000000007</v>
      </c>
      <c r="J5" s="11">
        <v>83.344472222222223</v>
      </c>
      <c r="K5" s="11">
        <v>20576895.833333328</v>
      </c>
      <c r="L5" s="11">
        <v>1887752295.833333</v>
      </c>
      <c r="M5" s="6">
        <f t="shared" si="0"/>
        <v>6.2303933362871211E-2</v>
      </c>
    </row>
    <row r="6" spans="1:13" x14ac:dyDescent="0.25">
      <c r="A6" s="1" t="s">
        <v>85</v>
      </c>
      <c r="B6" s="13" t="s">
        <v>86</v>
      </c>
      <c r="C6" s="10">
        <v>1551646</v>
      </c>
      <c r="D6" s="11">
        <v>1551646000</v>
      </c>
      <c r="E6" s="3">
        <v>0.10550000000000001</v>
      </c>
      <c r="F6" s="4" t="s">
        <v>88</v>
      </c>
      <c r="G6" s="4" t="s">
        <v>87</v>
      </c>
      <c r="H6" s="11">
        <v>1395452658.7</v>
      </c>
      <c r="I6" s="11">
        <v>82.436000000000007</v>
      </c>
      <c r="J6" s="11">
        <v>83.344472222222478</v>
      </c>
      <c r="K6" s="11">
        <v>14096272.897222221</v>
      </c>
      <c r="L6" s="11">
        <v>1293211169.457226</v>
      </c>
      <c r="M6" s="6">
        <f t="shared" si="0"/>
        <v>4.2681522731464E-2</v>
      </c>
    </row>
    <row r="7" spans="1:13" x14ac:dyDescent="0.25">
      <c r="A7" s="1" t="s">
        <v>85</v>
      </c>
      <c r="B7" s="13" t="s">
        <v>86</v>
      </c>
      <c r="C7" s="10">
        <v>545692</v>
      </c>
      <c r="D7" s="11">
        <v>545692000</v>
      </c>
      <c r="E7" s="3">
        <v>0.10550000000000001</v>
      </c>
      <c r="F7" s="4" t="s">
        <v>89</v>
      </c>
      <c r="G7" s="4" t="s">
        <v>87</v>
      </c>
      <c r="H7" s="11">
        <v>449784993.92000002</v>
      </c>
      <c r="I7" s="11">
        <v>82.436000000000007</v>
      </c>
      <c r="J7" s="11">
        <v>83.344472222222223</v>
      </c>
      <c r="K7" s="11">
        <v>4957460.2388888896</v>
      </c>
      <c r="L7" s="11">
        <v>454804117.35888898</v>
      </c>
      <c r="M7" s="6">
        <f t="shared" si="0"/>
        <v>1.5010489185276791E-2</v>
      </c>
    </row>
    <row r="8" spans="1:13" x14ac:dyDescent="0.25">
      <c r="A8" s="1" t="s">
        <v>90</v>
      </c>
      <c r="B8" s="13" t="s">
        <v>91</v>
      </c>
      <c r="C8" s="10">
        <v>2265000</v>
      </c>
      <c r="D8" s="11">
        <v>2265000000</v>
      </c>
      <c r="E8" s="3">
        <v>0.10400000000000001</v>
      </c>
      <c r="F8" s="4" t="s">
        <v>83</v>
      </c>
      <c r="G8" s="4" t="s">
        <v>92</v>
      </c>
      <c r="H8" s="11">
        <v>2073109200</v>
      </c>
      <c r="I8" s="11">
        <v>86.315899999999999</v>
      </c>
      <c r="J8" s="11">
        <v>90.273677777777763</v>
      </c>
      <c r="K8" s="11">
        <v>89643666.666666657</v>
      </c>
      <c r="L8" s="11">
        <v>2044698801.666666</v>
      </c>
      <c r="M8" s="6">
        <f t="shared" si="0"/>
        <v>6.7483842116026177E-2</v>
      </c>
    </row>
    <row r="9" spans="1:13" x14ac:dyDescent="0.25">
      <c r="A9" s="1" t="s">
        <v>93</v>
      </c>
      <c r="B9" s="13" t="s">
        <v>94</v>
      </c>
      <c r="C9" s="10">
        <v>2265000</v>
      </c>
      <c r="D9" s="11">
        <v>2265000000</v>
      </c>
      <c r="E9" s="3">
        <v>0.11</v>
      </c>
      <c r="F9" s="4" t="s">
        <v>83</v>
      </c>
      <c r="G9" s="4" t="s">
        <v>95</v>
      </c>
      <c r="H9" s="11">
        <v>2080889475</v>
      </c>
      <c r="I9" s="11">
        <v>84.406199999999998</v>
      </c>
      <c r="J9" s="11">
        <v>88.958977777777761</v>
      </c>
      <c r="K9" s="11">
        <v>103120416.666667</v>
      </c>
      <c r="L9" s="11">
        <v>2014920846.666666</v>
      </c>
      <c r="M9" s="6">
        <f t="shared" si="0"/>
        <v>6.6501041709374528E-2</v>
      </c>
    </row>
    <row r="10" spans="1:13" x14ac:dyDescent="0.25">
      <c r="A10" s="1" t="s">
        <v>58</v>
      </c>
      <c r="B10" s="13" t="s">
        <v>59</v>
      </c>
      <c r="C10" s="10">
        <v>2265000</v>
      </c>
      <c r="D10" s="11">
        <v>2265000000</v>
      </c>
      <c r="E10" s="3">
        <v>0.10300000000000001</v>
      </c>
      <c r="F10" s="4" t="s">
        <v>83</v>
      </c>
      <c r="G10" s="4" t="s">
        <v>96</v>
      </c>
      <c r="H10" s="11">
        <v>1963990560.0000031</v>
      </c>
      <c r="I10" s="11">
        <v>77.219000000000008</v>
      </c>
      <c r="J10" s="11">
        <v>81.853999999999999</v>
      </c>
      <c r="K10" s="11">
        <v>104982750</v>
      </c>
      <c r="L10" s="11">
        <v>1853993100</v>
      </c>
      <c r="M10" s="6">
        <f t="shared" si="0"/>
        <v>6.1189734909913904E-2</v>
      </c>
    </row>
    <row r="11" spans="1:13" x14ac:dyDescent="0.25">
      <c r="A11" s="1" t="s">
        <v>97</v>
      </c>
      <c r="B11" s="13" t="s">
        <v>98</v>
      </c>
      <c r="C11" s="10">
        <v>2265000</v>
      </c>
      <c r="D11" s="11">
        <v>2265000000</v>
      </c>
      <c r="E11" s="3">
        <v>8.4500000000000006E-2</v>
      </c>
      <c r="F11" s="4" t="s">
        <v>83</v>
      </c>
      <c r="G11" s="4" t="s">
        <v>99</v>
      </c>
      <c r="H11" s="11">
        <v>1740247065.0000031</v>
      </c>
      <c r="I11" s="11">
        <v>67.825699999999998</v>
      </c>
      <c r="J11" s="11">
        <v>70.947505555555551</v>
      </c>
      <c r="K11" s="11">
        <v>70708895.833333328</v>
      </c>
      <c r="L11" s="11">
        <v>1606961000.833333</v>
      </c>
      <c r="M11" s="6">
        <f t="shared" si="0"/>
        <v>5.3036614673248557E-2</v>
      </c>
    </row>
    <row r="12" spans="1:13" x14ac:dyDescent="0.25">
      <c r="A12" s="1" t="s">
        <v>100</v>
      </c>
      <c r="B12" s="13" t="s">
        <v>101</v>
      </c>
      <c r="C12" s="10">
        <v>2265000</v>
      </c>
      <c r="D12" s="11">
        <v>2265000000</v>
      </c>
      <c r="E12" s="3">
        <v>0.10650000000000001</v>
      </c>
      <c r="F12" s="4" t="s">
        <v>83</v>
      </c>
      <c r="G12" s="4" t="s">
        <v>102</v>
      </c>
      <c r="H12" s="11">
        <v>1967775375</v>
      </c>
      <c r="I12" s="11">
        <v>75.783000000000001</v>
      </c>
      <c r="J12" s="11">
        <v>76.759249999999994</v>
      </c>
      <c r="K12" s="11">
        <v>22112062.5</v>
      </c>
      <c r="L12" s="11">
        <v>1738597012.5</v>
      </c>
      <c r="M12" s="6">
        <f t="shared" si="0"/>
        <v>5.7381168414296295E-2</v>
      </c>
    </row>
    <row r="13" spans="1:13" x14ac:dyDescent="0.25">
      <c r="A13" s="1" t="s">
        <v>103</v>
      </c>
      <c r="B13" s="13" t="s">
        <v>104</v>
      </c>
      <c r="C13" s="10">
        <v>2265000</v>
      </c>
      <c r="D13" s="11">
        <v>2265000000</v>
      </c>
      <c r="E13" s="3">
        <v>8.0700000000000008E-2</v>
      </c>
      <c r="F13" s="4" t="s">
        <v>83</v>
      </c>
      <c r="G13" s="4" t="s">
        <v>105</v>
      </c>
      <c r="H13" s="11">
        <v>1622351550</v>
      </c>
      <c r="I13" s="11">
        <v>61.530700000000003</v>
      </c>
      <c r="J13" s="11">
        <v>63.929283333333331</v>
      </c>
      <c r="K13" s="11">
        <v>54327912.5</v>
      </c>
      <c r="L13" s="11">
        <v>1447998267.5</v>
      </c>
      <c r="M13" s="6">
        <f t="shared" si="0"/>
        <v>4.7790161753212351E-2</v>
      </c>
    </row>
    <row r="14" spans="1:13" x14ac:dyDescent="0.25">
      <c r="A14" s="1" t="s">
        <v>106</v>
      </c>
      <c r="B14" s="13" t="s">
        <v>107</v>
      </c>
      <c r="C14" s="10">
        <v>2265000</v>
      </c>
      <c r="D14" s="11">
        <v>2265000000</v>
      </c>
      <c r="E14" s="3">
        <v>8.0700000000000008E-2</v>
      </c>
      <c r="F14" s="4" t="s">
        <v>83</v>
      </c>
      <c r="G14" s="4" t="s">
        <v>108</v>
      </c>
      <c r="H14" s="11">
        <v>1597764975</v>
      </c>
      <c r="I14" s="11">
        <v>60.118900000000004</v>
      </c>
      <c r="J14" s="11">
        <v>64.826400000000007</v>
      </c>
      <c r="K14" s="11">
        <v>106624875</v>
      </c>
      <c r="L14" s="11">
        <v>1468317960</v>
      </c>
      <c r="M14" s="6">
        <f t="shared" si="0"/>
        <v>4.8460798875608314E-2</v>
      </c>
    </row>
    <row r="15" spans="1:13" x14ac:dyDescent="0.25">
      <c r="A15" s="1" t="s">
        <v>109</v>
      </c>
      <c r="B15" s="13" t="s">
        <v>110</v>
      </c>
      <c r="C15" s="10">
        <v>3775000</v>
      </c>
      <c r="D15" s="11">
        <v>3775000000</v>
      </c>
      <c r="E15" s="3">
        <v>5.4900000000000004E-2</v>
      </c>
      <c r="F15" s="4" t="s">
        <v>83</v>
      </c>
      <c r="G15" s="4" t="s">
        <v>111</v>
      </c>
      <c r="H15" s="11">
        <v>3136670150</v>
      </c>
      <c r="I15" s="11">
        <v>84.701999999999998</v>
      </c>
      <c r="J15" s="11">
        <v>87.02</v>
      </c>
      <c r="K15" s="11">
        <v>87504500</v>
      </c>
      <c r="L15" s="11">
        <v>3285005000</v>
      </c>
      <c r="M15" s="6">
        <f t="shared" si="0"/>
        <v>0.10841927358183896</v>
      </c>
    </row>
    <row r="16" spans="1:13" x14ac:dyDescent="0.25">
      <c r="A16" s="1" t="s">
        <v>112</v>
      </c>
      <c r="B16" s="13" t="s">
        <v>113</v>
      </c>
      <c r="C16" s="10">
        <v>2803860</v>
      </c>
      <c r="D16" s="11">
        <v>2803860000</v>
      </c>
      <c r="E16" s="3">
        <v>5.5E-2</v>
      </c>
      <c r="F16" s="4" t="s">
        <v>114</v>
      </c>
      <c r="G16" s="4" t="s">
        <v>115</v>
      </c>
      <c r="H16" s="11">
        <v>1773018067.1400001</v>
      </c>
      <c r="I16" s="11">
        <v>56.571800000000003</v>
      </c>
      <c r="J16" s="11">
        <v>58.481522222222218</v>
      </c>
      <c r="K16" s="11">
        <v>53545937.5</v>
      </c>
      <c r="L16" s="11">
        <v>1639740008.98</v>
      </c>
      <c r="M16" s="6">
        <f t="shared" si="0"/>
        <v>5.4118462722793331E-2</v>
      </c>
    </row>
    <row r="17" spans="1:15" x14ac:dyDescent="0.25">
      <c r="A17" s="1" t="s">
        <v>116</v>
      </c>
      <c r="B17" s="13" t="s">
        <v>117</v>
      </c>
      <c r="C17" s="10">
        <v>1038480</v>
      </c>
      <c r="D17" s="11">
        <v>1038480000</v>
      </c>
      <c r="E17" s="3">
        <v>0.12</v>
      </c>
      <c r="F17" s="4" t="s">
        <v>114</v>
      </c>
      <c r="G17" s="4" t="s">
        <v>118</v>
      </c>
      <c r="H17" s="11">
        <v>979029096.96000004</v>
      </c>
      <c r="I17" s="11">
        <v>84.89370000000001</v>
      </c>
      <c r="J17" s="11">
        <v>90.62703333333333</v>
      </c>
      <c r="K17" s="11">
        <v>59539520</v>
      </c>
      <c r="L17" s="11">
        <v>941143615.75999999</v>
      </c>
      <c r="M17" s="6">
        <f t="shared" si="0"/>
        <v>3.1061781384468082E-2</v>
      </c>
    </row>
    <row r="18" spans="1:15" x14ac:dyDescent="0.25">
      <c r="A18" s="1" t="s">
        <v>64</v>
      </c>
      <c r="B18" s="13" t="s">
        <v>65</v>
      </c>
      <c r="C18" s="10">
        <v>506989</v>
      </c>
      <c r="D18" s="11">
        <v>506989000</v>
      </c>
      <c r="E18" s="3">
        <v>0.1535</v>
      </c>
      <c r="F18" s="4" t="s">
        <v>119</v>
      </c>
      <c r="G18" s="4" t="s">
        <v>120</v>
      </c>
      <c r="H18" s="11">
        <v>492216861.50999999</v>
      </c>
      <c r="I18" s="11">
        <v>97.686900000000009</v>
      </c>
      <c r="J18" s="11">
        <v>101.99342777777801</v>
      </c>
      <c r="K18" s="11">
        <v>21833622.115277771</v>
      </c>
      <c r="L18" s="11">
        <v>517095459.55627799</v>
      </c>
      <c r="M18" s="6">
        <f t="shared" si="0"/>
        <v>1.7066371009346666E-2</v>
      </c>
    </row>
    <row r="19" spans="1:15" x14ac:dyDescent="0.25">
      <c r="A19" s="1" t="s">
        <v>121</v>
      </c>
      <c r="B19" s="13" t="s">
        <v>122</v>
      </c>
      <c r="C19" s="10">
        <v>2100000</v>
      </c>
      <c r="D19" s="11">
        <v>2100000000</v>
      </c>
      <c r="E19" s="3">
        <v>0.14300000000000002</v>
      </c>
      <c r="F19" s="4" t="s">
        <v>123</v>
      </c>
      <c r="G19" s="4" t="s">
        <v>124</v>
      </c>
      <c r="H19" s="11">
        <v>2100000000</v>
      </c>
      <c r="I19" s="11">
        <v>93.3070672857652</v>
      </c>
      <c r="J19" s="11">
        <v>107.448178396876</v>
      </c>
      <c r="K19" s="11">
        <v>296963333.33333302</v>
      </c>
      <c r="L19" s="11">
        <v>2256411746.3344021</v>
      </c>
      <c r="M19" s="6">
        <f t="shared" si="0"/>
        <v>7.4471278563991397E-2</v>
      </c>
    </row>
    <row r="20" spans="1:15" x14ac:dyDescent="0.25">
      <c r="A20" s="1" t="s">
        <v>125</v>
      </c>
      <c r="B20" s="13" t="s">
        <v>126</v>
      </c>
      <c r="C20" s="10">
        <v>1100000</v>
      </c>
      <c r="D20" s="11">
        <v>1100000000</v>
      </c>
      <c r="E20" s="3">
        <v>0.13870000000000002</v>
      </c>
      <c r="F20" s="4" t="s">
        <v>127</v>
      </c>
      <c r="G20" s="4" t="s">
        <v>128</v>
      </c>
      <c r="H20" s="11">
        <v>1100000000</v>
      </c>
      <c r="I20" s="11">
        <v>99.898700000000005</v>
      </c>
      <c r="J20" s="11">
        <v>106.40989444444401</v>
      </c>
      <c r="K20" s="11">
        <v>71623138.888888881</v>
      </c>
      <c r="L20" s="11">
        <v>1170508838.8888879</v>
      </c>
      <c r="M20" s="6">
        <f t="shared" si="0"/>
        <v>3.8631818835421862E-2</v>
      </c>
    </row>
    <row r="21" spans="1:15" x14ac:dyDescent="0.25">
      <c r="A21" s="1" t="s">
        <v>129</v>
      </c>
      <c r="B21" s="13" t="s">
        <v>130</v>
      </c>
      <c r="C21" s="10">
        <v>1000000</v>
      </c>
      <c r="D21" s="11">
        <v>1000000000</v>
      </c>
      <c r="E21" s="3">
        <v>0.1389</v>
      </c>
      <c r="F21" s="4" t="s">
        <v>131</v>
      </c>
      <c r="G21" s="4" t="s">
        <v>132</v>
      </c>
      <c r="H21" s="11">
        <v>1000000000</v>
      </c>
      <c r="I21" s="11">
        <v>98.003244842125198</v>
      </c>
      <c r="J21" s="11">
        <v>101.514328175459</v>
      </c>
      <c r="K21" s="11">
        <v>35110833.333333328</v>
      </c>
      <c r="L21" s="11">
        <v>1015143281.754585</v>
      </c>
      <c r="M21" s="6">
        <f t="shared" si="0"/>
        <v>3.3504088179261884E-2</v>
      </c>
    </row>
    <row r="22" spans="1:15" x14ac:dyDescent="0.25">
      <c r="A22" s="1" t="s">
        <v>133</v>
      </c>
      <c r="B22" s="13" t="s">
        <v>134</v>
      </c>
      <c r="C22" s="10">
        <v>165739</v>
      </c>
      <c r="D22" s="11">
        <v>165739000</v>
      </c>
      <c r="E22" s="3">
        <v>0.125</v>
      </c>
      <c r="F22" s="4" t="s">
        <v>135</v>
      </c>
      <c r="G22" s="4" t="s">
        <v>136</v>
      </c>
      <c r="H22" s="11">
        <v>159596381.18279999</v>
      </c>
      <c r="I22" s="11">
        <v>95.523982461749796</v>
      </c>
      <c r="J22" s="11">
        <v>98.197593572847495</v>
      </c>
      <c r="K22" s="11">
        <v>4431216.3194222199</v>
      </c>
      <c r="L22" s="11">
        <v>162751709.611702</v>
      </c>
      <c r="M22" s="6">
        <f t="shared" si="0"/>
        <v>5.3715054102819113E-3</v>
      </c>
    </row>
    <row r="23" spans="1:15" x14ac:dyDescent="0.25">
      <c r="A23" s="1" t="s">
        <v>137</v>
      </c>
      <c r="B23" s="13" t="s">
        <v>138</v>
      </c>
      <c r="C23" s="10">
        <v>494987</v>
      </c>
      <c r="D23" s="11">
        <v>494987000</v>
      </c>
      <c r="E23" s="3">
        <v>0.1701</v>
      </c>
      <c r="F23" s="4" t="s">
        <v>80</v>
      </c>
      <c r="G23" s="4" t="s">
        <v>139</v>
      </c>
      <c r="H23" s="11">
        <v>495088472.34249997</v>
      </c>
      <c r="I23" s="11">
        <v>101.7051</v>
      </c>
      <c r="J23" s="11">
        <v>102.74460000000001</v>
      </c>
      <c r="K23" s="11">
        <v>5145389.8650000002</v>
      </c>
      <c r="L23" s="11">
        <v>508572413.20200002</v>
      </c>
      <c r="M23" s="6">
        <f t="shared" si="0"/>
        <v>1.6785073874506642E-2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1260862288.3802555</v>
      </c>
      <c r="L25" s="22">
        <f>SUM(L4:L24)</f>
        <v>30299086974.792854</v>
      </c>
      <c r="M25" s="23"/>
      <c r="N25" s="26">
        <v>30299086974.792885</v>
      </c>
      <c r="O25" s="29">
        <f>L25-N25</f>
        <v>-3.0517578125E-5</v>
      </c>
    </row>
    <row r="27" spans="1:15" x14ac:dyDescent="0.25">
      <c r="A27" s="30" t="s">
        <v>26</v>
      </c>
    </row>
    <row r="28" spans="1:15" x14ac:dyDescent="0.25">
      <c r="A28" s="19" t="s">
        <v>51</v>
      </c>
      <c r="B28" s="31">
        <v>6864932.1600000001</v>
      </c>
      <c r="C28" s="51">
        <v>6864932.1600000001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4" s="36" customFormat="1" ht="12" customHeight="1" x14ac:dyDescent="0.25">
      <c r="A33" s="12" t="s">
        <v>49</v>
      </c>
      <c r="B33" s="7" t="s">
        <v>50</v>
      </c>
      <c r="C33" s="14">
        <v>35316</v>
      </c>
      <c r="D33" s="7" t="s">
        <v>51</v>
      </c>
      <c r="E33" s="34" t="s">
        <v>52</v>
      </c>
      <c r="F33" s="34" t="s">
        <v>53</v>
      </c>
      <c r="G33" s="15">
        <v>1020.218999886736</v>
      </c>
      <c r="H33" s="15">
        <v>1022.0078658398451</v>
      </c>
      <c r="I33" s="16">
        <f t="shared" ref="I33:I54" si="1">+C33*G33</f>
        <v>36030054.199999966</v>
      </c>
      <c r="J33" s="16">
        <f t="shared" ref="J33:J54" si="2">+C33*H33</f>
        <v>36093229.789999969</v>
      </c>
      <c r="K33" s="18">
        <v>0.159999</v>
      </c>
      <c r="L33" s="17"/>
      <c r="M33" s="17">
        <v>36030054.200000003</v>
      </c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29884</v>
      </c>
      <c r="D34" s="7" t="s">
        <v>51</v>
      </c>
      <c r="E34" s="34" t="s">
        <v>52</v>
      </c>
      <c r="F34" s="34" t="s">
        <v>53</v>
      </c>
      <c r="G34" s="15">
        <v>1037.717000066925</v>
      </c>
      <c r="H34" s="15">
        <v>1039.536547316289</v>
      </c>
      <c r="I34" s="16">
        <f t="shared" si="1"/>
        <v>31011134.829999987</v>
      </c>
      <c r="J34" s="16">
        <f t="shared" si="2"/>
        <v>31065510.179999981</v>
      </c>
      <c r="K34" s="18">
        <v>0.159999</v>
      </c>
      <c r="L34" s="17"/>
      <c r="M34" s="17">
        <v>31011134.829999998</v>
      </c>
      <c r="N34" s="35"/>
    </row>
    <row r="35" spans="1:14" s="36" customFormat="1" ht="12" customHeight="1" x14ac:dyDescent="0.25">
      <c r="A35" s="12" t="s">
        <v>56</v>
      </c>
      <c r="B35" s="7" t="s">
        <v>57</v>
      </c>
      <c r="C35" s="14">
        <v>102238</v>
      </c>
      <c r="D35" s="7" t="s">
        <v>51</v>
      </c>
      <c r="E35" s="34" t="s">
        <v>52</v>
      </c>
      <c r="F35" s="34" t="s">
        <v>53</v>
      </c>
      <c r="G35" s="15">
        <v>949.38899998043803</v>
      </c>
      <c r="H35" s="15">
        <v>951.05367162894402</v>
      </c>
      <c r="I35" s="16">
        <f t="shared" si="1"/>
        <v>97063632.580000028</v>
      </c>
      <c r="J35" s="16">
        <f t="shared" si="2"/>
        <v>97233825.279999971</v>
      </c>
      <c r="K35" s="18">
        <v>0.159999</v>
      </c>
      <c r="L35" s="17"/>
      <c r="M35" s="17">
        <v>97063632.579999998</v>
      </c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38998</v>
      </c>
      <c r="D36" s="7" t="s">
        <v>51</v>
      </c>
      <c r="E36" s="34" t="s">
        <v>52</v>
      </c>
      <c r="F36" s="34" t="s">
        <v>53</v>
      </c>
      <c r="G36" s="15">
        <v>949.38899994871508</v>
      </c>
      <c r="H36" s="15">
        <v>951.05367172675506</v>
      </c>
      <c r="I36" s="16">
        <f t="shared" si="1"/>
        <v>37024272.219999991</v>
      </c>
      <c r="J36" s="16">
        <f t="shared" si="2"/>
        <v>37089191.089999996</v>
      </c>
      <c r="K36" s="18">
        <v>0.159999</v>
      </c>
      <c r="L36" s="17"/>
      <c r="M36" s="17">
        <v>37024272.219999999</v>
      </c>
      <c r="N36" s="35"/>
    </row>
    <row r="37" spans="1:14" s="36" customFormat="1" ht="12" customHeight="1" x14ac:dyDescent="0.25">
      <c r="A37" s="12" t="s">
        <v>54</v>
      </c>
      <c r="B37" s="7" t="s">
        <v>55</v>
      </c>
      <c r="C37" s="14">
        <v>15424</v>
      </c>
      <c r="D37" s="7" t="s">
        <v>51</v>
      </c>
      <c r="E37" s="34" t="s">
        <v>52</v>
      </c>
      <c r="F37" s="34" t="s">
        <v>53</v>
      </c>
      <c r="G37" s="15">
        <v>1037.7170001296681</v>
      </c>
      <c r="H37" s="15">
        <v>1039.536547588174</v>
      </c>
      <c r="I37" s="16">
        <f t="shared" si="1"/>
        <v>16005747.010000002</v>
      </c>
      <c r="J37" s="16">
        <f t="shared" si="2"/>
        <v>16033811.709999995</v>
      </c>
      <c r="K37" s="18">
        <v>0.159999</v>
      </c>
      <c r="L37" s="17"/>
      <c r="M37" s="17">
        <v>16005747.01</v>
      </c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158860</v>
      </c>
      <c r="D38" s="7" t="s">
        <v>51</v>
      </c>
      <c r="E38" s="34" t="s">
        <v>52</v>
      </c>
      <c r="F38" s="34" t="s">
        <v>53</v>
      </c>
      <c r="G38" s="15">
        <v>818.54</v>
      </c>
      <c r="H38" s="15">
        <v>819.97523926727899</v>
      </c>
      <c r="I38" s="16">
        <f t="shared" si="1"/>
        <v>130033264.39999999</v>
      </c>
      <c r="J38" s="16">
        <f t="shared" si="2"/>
        <v>130261266.50999995</v>
      </c>
      <c r="K38" s="18">
        <v>0.159999</v>
      </c>
      <c r="L38" s="17"/>
      <c r="M38" s="17">
        <v>130033264.40000001</v>
      </c>
      <c r="N38" s="35"/>
    </row>
    <row r="39" spans="1:14" s="36" customFormat="1" ht="12" customHeight="1" x14ac:dyDescent="0.25">
      <c r="A39" s="12" t="s">
        <v>60</v>
      </c>
      <c r="B39" s="7" t="s">
        <v>61</v>
      </c>
      <c r="C39" s="14">
        <v>318200</v>
      </c>
      <c r="D39" s="7" t="s">
        <v>51</v>
      </c>
      <c r="E39" s="34" t="s">
        <v>52</v>
      </c>
      <c r="F39" s="34" t="s">
        <v>53</v>
      </c>
      <c r="G39" s="15">
        <v>628.83069999999998</v>
      </c>
      <c r="H39" s="15">
        <v>629.93330037712099</v>
      </c>
      <c r="I39" s="16">
        <f t="shared" si="1"/>
        <v>200093928.73999998</v>
      </c>
      <c r="J39" s="16">
        <f t="shared" si="2"/>
        <v>200444776.17999989</v>
      </c>
      <c r="K39" s="18">
        <v>0.159999</v>
      </c>
      <c r="L39" s="17"/>
      <c r="M39" s="17">
        <v>200093928.74000001</v>
      </c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198875</v>
      </c>
      <c r="D40" s="7" t="s">
        <v>51</v>
      </c>
      <c r="E40" s="34" t="s">
        <v>52</v>
      </c>
      <c r="F40" s="34" t="s">
        <v>53</v>
      </c>
      <c r="G40" s="15">
        <v>628.83069998742906</v>
      </c>
      <c r="H40" s="15">
        <v>629.93330036455097</v>
      </c>
      <c r="I40" s="16">
        <f t="shared" si="1"/>
        <v>125058705.45999995</v>
      </c>
      <c r="J40" s="16">
        <f t="shared" si="2"/>
        <v>125277985.11000007</v>
      </c>
      <c r="K40" s="18">
        <v>0.159999</v>
      </c>
      <c r="L40" s="17"/>
      <c r="M40" s="17">
        <v>125058705.45999999</v>
      </c>
      <c r="N40" s="35"/>
    </row>
    <row r="41" spans="1:14" s="36" customFormat="1" ht="12" customHeight="1" x14ac:dyDescent="0.25">
      <c r="A41" s="12" t="s">
        <v>60</v>
      </c>
      <c r="B41" s="7" t="s">
        <v>61</v>
      </c>
      <c r="C41" s="14">
        <v>30229</v>
      </c>
      <c r="D41" s="7" t="s">
        <v>51</v>
      </c>
      <c r="E41" s="34" t="s">
        <v>52</v>
      </c>
      <c r="F41" s="34" t="s">
        <v>53</v>
      </c>
      <c r="G41" s="15">
        <v>628.83069999007603</v>
      </c>
      <c r="H41" s="15">
        <v>629.93330047305608</v>
      </c>
      <c r="I41" s="16">
        <f t="shared" si="1"/>
        <v>19008923.230000008</v>
      </c>
      <c r="J41" s="16">
        <f t="shared" si="2"/>
        <v>19042253.740000013</v>
      </c>
      <c r="K41" s="18">
        <v>0.159999</v>
      </c>
      <c r="L41" s="17"/>
      <c r="M41" s="17">
        <v>19008923.23</v>
      </c>
      <c r="N41" s="35"/>
    </row>
    <row r="42" spans="1:14" s="36" customFormat="1" ht="12" customHeight="1" x14ac:dyDescent="0.25">
      <c r="A42" s="12" t="s">
        <v>62</v>
      </c>
      <c r="B42" s="7" t="s">
        <v>63</v>
      </c>
      <c r="C42" s="14">
        <v>4640</v>
      </c>
      <c r="D42" s="7" t="s">
        <v>51</v>
      </c>
      <c r="E42" s="34" t="s">
        <v>52</v>
      </c>
      <c r="F42" s="34" t="s">
        <v>53</v>
      </c>
      <c r="G42" s="15">
        <v>1078.3030000000001</v>
      </c>
      <c r="H42" s="15">
        <v>1080.217344827586</v>
      </c>
      <c r="I42" s="16">
        <f t="shared" si="1"/>
        <v>5003325.9200000009</v>
      </c>
      <c r="J42" s="16">
        <f t="shared" si="2"/>
        <v>5012208.4799999986</v>
      </c>
      <c r="K42" s="18">
        <v>0.161999</v>
      </c>
      <c r="L42" s="17"/>
      <c r="M42" s="17">
        <v>5003325.92</v>
      </c>
      <c r="N42" s="35"/>
    </row>
    <row r="43" spans="1:14" s="36" customFormat="1" ht="12" customHeight="1" x14ac:dyDescent="0.25">
      <c r="A43" s="12" t="s">
        <v>64</v>
      </c>
      <c r="B43" s="7" t="s">
        <v>65</v>
      </c>
      <c r="C43" s="14">
        <v>89271</v>
      </c>
      <c r="D43" s="7" t="s">
        <v>51</v>
      </c>
      <c r="E43" s="34" t="s">
        <v>52</v>
      </c>
      <c r="F43" s="34" t="s">
        <v>53</v>
      </c>
      <c r="G43" s="15">
        <v>1019.933999955192</v>
      </c>
      <c r="H43" s="15">
        <v>1021.7223661659441</v>
      </c>
      <c r="I43" s="16">
        <f t="shared" si="1"/>
        <v>91050528.10999994</v>
      </c>
      <c r="J43" s="16">
        <f t="shared" si="2"/>
        <v>91210177.349999994</v>
      </c>
      <c r="K43" s="18">
        <v>0.159999</v>
      </c>
      <c r="L43" s="17"/>
      <c r="M43" s="17">
        <v>91050528.109999999</v>
      </c>
      <c r="N43" s="35"/>
    </row>
    <row r="44" spans="1:14" s="36" customFormat="1" ht="12" customHeight="1" x14ac:dyDescent="0.25">
      <c r="A44" s="12" t="s">
        <v>66</v>
      </c>
      <c r="B44" s="7" t="s">
        <v>67</v>
      </c>
      <c r="C44" s="14">
        <v>500388</v>
      </c>
      <c r="D44" s="7" t="s">
        <v>51</v>
      </c>
      <c r="E44" s="34" t="s">
        <v>52</v>
      </c>
      <c r="F44" s="34" t="s">
        <v>53</v>
      </c>
      <c r="G44" s="15">
        <v>1035.477000007993</v>
      </c>
      <c r="H44" s="15">
        <v>1037.2926195672151</v>
      </c>
      <c r="I44" s="16">
        <f t="shared" si="1"/>
        <v>518140265.07999957</v>
      </c>
      <c r="J44" s="16">
        <f t="shared" si="2"/>
        <v>519048779.31999964</v>
      </c>
      <c r="K44" s="18">
        <v>0.159999</v>
      </c>
      <c r="L44" s="17"/>
      <c r="M44" s="17">
        <v>518140265.07999998</v>
      </c>
      <c r="N44" s="35"/>
    </row>
    <row r="45" spans="1:14" s="36" customFormat="1" ht="12" customHeight="1" x14ac:dyDescent="0.25">
      <c r="A45" s="12" t="s">
        <v>68</v>
      </c>
      <c r="B45" s="7" t="s">
        <v>69</v>
      </c>
      <c r="C45" s="14">
        <v>36366</v>
      </c>
      <c r="D45" s="7" t="s">
        <v>51</v>
      </c>
      <c r="E45" s="34" t="s">
        <v>52</v>
      </c>
      <c r="F45" s="34" t="s">
        <v>53</v>
      </c>
      <c r="G45" s="15">
        <v>605.03199994500403</v>
      </c>
      <c r="H45" s="15">
        <v>606.08624071935299</v>
      </c>
      <c r="I45" s="16">
        <f t="shared" si="1"/>
        <v>22002593.710000016</v>
      </c>
      <c r="J45" s="16">
        <f t="shared" si="2"/>
        <v>22040932.229999989</v>
      </c>
      <c r="K45" s="18">
        <v>0.158999</v>
      </c>
      <c r="L45" s="17"/>
      <c r="M45" s="17">
        <v>22002593.710000001</v>
      </c>
      <c r="N45" s="35"/>
    </row>
    <row r="46" spans="1:14" s="36" customFormat="1" ht="12" customHeight="1" x14ac:dyDescent="0.25">
      <c r="A46" s="12" t="s">
        <v>70</v>
      </c>
      <c r="B46" s="7" t="s">
        <v>71</v>
      </c>
      <c r="C46" s="14">
        <v>20920</v>
      </c>
      <c r="D46" s="7" t="s">
        <v>51</v>
      </c>
      <c r="E46" s="34" t="s">
        <v>52</v>
      </c>
      <c r="F46" s="34" t="s">
        <v>53</v>
      </c>
      <c r="G46" s="15">
        <v>956.7940000000001</v>
      </c>
      <c r="H46" s="15">
        <v>958.46117017208405</v>
      </c>
      <c r="I46" s="16">
        <f t="shared" si="1"/>
        <v>20016130.48</v>
      </c>
      <c r="J46" s="16">
        <f t="shared" si="2"/>
        <v>20051007.68</v>
      </c>
      <c r="K46" s="18">
        <v>0.158999</v>
      </c>
      <c r="L46" s="17"/>
      <c r="M46" s="17">
        <v>20016130.48</v>
      </c>
      <c r="N46" s="35"/>
    </row>
    <row r="47" spans="1:14" s="36" customFormat="1" ht="12" customHeight="1" x14ac:dyDescent="0.25">
      <c r="A47" s="12" t="s">
        <v>72</v>
      </c>
      <c r="B47" s="7" t="s">
        <v>73</v>
      </c>
      <c r="C47" s="14">
        <v>61545</v>
      </c>
      <c r="D47" s="7" t="s">
        <v>51</v>
      </c>
      <c r="E47" s="34" t="s">
        <v>52</v>
      </c>
      <c r="F47" s="34" t="s">
        <v>53</v>
      </c>
      <c r="G47" s="15">
        <v>536.39460004874502</v>
      </c>
      <c r="H47" s="15">
        <v>537.32924331789707</v>
      </c>
      <c r="I47" s="16">
        <f t="shared" si="1"/>
        <v>33012405.660000011</v>
      </c>
      <c r="J47" s="16">
        <f t="shared" si="2"/>
        <v>33069928.279999975</v>
      </c>
      <c r="K47" s="18">
        <v>0.158999</v>
      </c>
      <c r="L47" s="17"/>
      <c r="M47" s="17">
        <v>33012405.66</v>
      </c>
      <c r="N47" s="35"/>
    </row>
    <row r="48" spans="1:14" s="36" customFormat="1" ht="12" customHeight="1" x14ac:dyDescent="0.25">
      <c r="A48" s="12" t="s">
        <v>74</v>
      </c>
      <c r="B48" s="7" t="s">
        <v>75</v>
      </c>
      <c r="C48" s="14">
        <v>94000</v>
      </c>
      <c r="D48" s="7" t="s">
        <v>51</v>
      </c>
      <c r="E48" s="34" t="s">
        <v>52</v>
      </c>
      <c r="F48" s="34" t="s">
        <v>53</v>
      </c>
      <c r="G48" s="15">
        <v>500.12560000000002</v>
      </c>
      <c r="H48" s="15">
        <v>500.99704627659605</v>
      </c>
      <c r="I48" s="16">
        <f t="shared" si="1"/>
        <v>47011806.399999999</v>
      </c>
      <c r="J48" s="16">
        <f t="shared" si="2"/>
        <v>47093722.350000031</v>
      </c>
      <c r="K48" s="18">
        <v>0.158999</v>
      </c>
      <c r="L48" s="17"/>
      <c r="M48" s="17">
        <v>47011806.399999999</v>
      </c>
      <c r="N48" s="35"/>
    </row>
    <row r="49" spans="1:15" s="36" customFormat="1" ht="12" customHeight="1" x14ac:dyDescent="0.25">
      <c r="A49" s="12" t="s">
        <v>72</v>
      </c>
      <c r="B49" s="7" t="s">
        <v>73</v>
      </c>
      <c r="C49" s="14">
        <v>143605</v>
      </c>
      <c r="D49" s="7" t="s">
        <v>51</v>
      </c>
      <c r="E49" s="34" t="s">
        <v>52</v>
      </c>
      <c r="F49" s="34" t="s">
        <v>53</v>
      </c>
      <c r="G49" s="15">
        <v>536.39459997910899</v>
      </c>
      <c r="H49" s="15">
        <v>537.32924334110908</v>
      </c>
      <c r="I49" s="16">
        <f t="shared" si="1"/>
        <v>77028946.529999942</v>
      </c>
      <c r="J49" s="16">
        <f t="shared" si="2"/>
        <v>77163165.989999965</v>
      </c>
      <c r="K49" s="18">
        <v>0.158999</v>
      </c>
      <c r="L49" s="17"/>
      <c r="M49" s="17">
        <v>77028946.530000001</v>
      </c>
      <c r="N49" s="35"/>
    </row>
    <row r="50" spans="1:15" s="36" customFormat="1" ht="12" customHeight="1" x14ac:dyDescent="0.25">
      <c r="A50" s="12" t="s">
        <v>76</v>
      </c>
      <c r="B50" s="7" t="s">
        <v>77</v>
      </c>
      <c r="C50" s="14">
        <v>252192</v>
      </c>
      <c r="D50" s="7" t="s">
        <v>51</v>
      </c>
      <c r="E50" s="34" t="s">
        <v>52</v>
      </c>
      <c r="F50" s="34" t="s">
        <v>53</v>
      </c>
      <c r="G50" s="15">
        <v>844.71900000793005</v>
      </c>
      <c r="H50" s="15">
        <v>846.19088468309906</v>
      </c>
      <c r="I50" s="16">
        <f t="shared" si="1"/>
        <v>213031374.04999989</v>
      </c>
      <c r="J50" s="16">
        <f t="shared" si="2"/>
        <v>213402571.59000012</v>
      </c>
      <c r="K50" s="18">
        <v>0.158999</v>
      </c>
      <c r="L50" s="17"/>
      <c r="M50" s="17">
        <v>213031374.05000001</v>
      </c>
      <c r="N50" s="35"/>
    </row>
    <row r="51" spans="1:15" s="36" customFormat="1" ht="12" customHeight="1" x14ac:dyDescent="0.25">
      <c r="A51" s="12" t="s">
        <v>78</v>
      </c>
      <c r="B51" s="7" t="s">
        <v>79</v>
      </c>
      <c r="C51" s="14">
        <v>512468</v>
      </c>
      <c r="D51" s="7" t="s">
        <v>51</v>
      </c>
      <c r="E51" s="34" t="s">
        <v>80</v>
      </c>
      <c r="F51" s="34" t="s">
        <v>52</v>
      </c>
      <c r="G51" s="15">
        <v>816.16600000390304</v>
      </c>
      <c r="H51" s="15">
        <v>816.52198254330006</v>
      </c>
      <c r="I51" s="16">
        <f t="shared" si="1"/>
        <v>418258957.69000018</v>
      </c>
      <c r="J51" s="16">
        <f t="shared" si="2"/>
        <v>418441387.3499999</v>
      </c>
      <c r="K51" s="18">
        <v>0.15920000000000001</v>
      </c>
      <c r="L51" s="17">
        <v>182429.66</v>
      </c>
      <c r="M51" s="17"/>
      <c r="N51" s="35"/>
    </row>
    <row r="52" spans="1:15" s="36" customFormat="1" ht="12" customHeight="1" x14ac:dyDescent="0.25">
      <c r="A52" s="12" t="s">
        <v>78</v>
      </c>
      <c r="B52" s="7" t="s">
        <v>79</v>
      </c>
      <c r="C52" s="14">
        <v>512468</v>
      </c>
      <c r="D52" s="7" t="s">
        <v>51</v>
      </c>
      <c r="E52" s="34" t="s">
        <v>52</v>
      </c>
      <c r="F52" s="34" t="s">
        <v>52</v>
      </c>
      <c r="G52" s="15">
        <v>816.16600000390304</v>
      </c>
      <c r="H52" s="15">
        <v>816.52198254330006</v>
      </c>
      <c r="I52" s="16">
        <f t="shared" si="1"/>
        <v>418258957.69000018</v>
      </c>
      <c r="J52" s="16">
        <f t="shared" si="2"/>
        <v>418441387.3499999</v>
      </c>
      <c r="K52" s="18">
        <v>0.15920000000000001</v>
      </c>
      <c r="L52" s="17"/>
      <c r="M52" s="17"/>
      <c r="N52" s="35"/>
    </row>
    <row r="53" spans="1:15" s="36" customFormat="1" ht="12" customHeight="1" x14ac:dyDescent="0.25">
      <c r="A53" s="12" t="s">
        <v>64</v>
      </c>
      <c r="B53" s="7" t="s">
        <v>65</v>
      </c>
      <c r="C53" s="14">
        <v>1276600</v>
      </c>
      <c r="D53" s="7" t="s">
        <v>51</v>
      </c>
      <c r="E53" s="34" t="s">
        <v>80</v>
      </c>
      <c r="F53" s="34" t="s">
        <v>52</v>
      </c>
      <c r="G53" s="15">
        <v>1019.3140000000001</v>
      </c>
      <c r="H53" s="15">
        <v>1019.774782986056</v>
      </c>
      <c r="I53" s="16">
        <f t="shared" si="1"/>
        <v>1301256252.4000001</v>
      </c>
      <c r="J53" s="16">
        <f t="shared" si="2"/>
        <v>1301844487.9599991</v>
      </c>
      <c r="K53" s="18">
        <v>0.16499899999999998</v>
      </c>
      <c r="L53" s="17">
        <v>588235.56000000006</v>
      </c>
      <c r="M53" s="17"/>
      <c r="N53" s="35"/>
    </row>
    <row r="54" spans="1:15" s="36" customFormat="1" ht="12" customHeight="1" x14ac:dyDescent="0.25">
      <c r="A54" s="12" t="s">
        <v>64</v>
      </c>
      <c r="B54" s="7" t="s">
        <v>65</v>
      </c>
      <c r="C54" s="14">
        <v>1276600</v>
      </c>
      <c r="D54" s="7" t="s">
        <v>51</v>
      </c>
      <c r="E54" s="34" t="s">
        <v>52</v>
      </c>
      <c r="F54" s="34" t="s">
        <v>52</v>
      </c>
      <c r="G54" s="15">
        <v>1019.3140000000001</v>
      </c>
      <c r="H54" s="15">
        <v>1019.774782986056</v>
      </c>
      <c r="I54" s="16">
        <f t="shared" si="1"/>
        <v>1301256252.4000001</v>
      </c>
      <c r="J54" s="16">
        <f t="shared" si="2"/>
        <v>1301844487.9599991</v>
      </c>
      <c r="K54" s="18">
        <v>0.16499899999999998</v>
      </c>
      <c r="L54" s="17"/>
      <c r="M54" s="17"/>
      <c r="N54" s="35"/>
    </row>
    <row r="55" spans="1:15" s="36" customFormat="1" ht="11.25" hidden="1" x14ac:dyDescent="0.25">
      <c r="A55" s="7"/>
      <c r="B55" s="7"/>
      <c r="C55" s="7"/>
      <c r="D55" s="7"/>
      <c r="E55" s="37"/>
      <c r="F55" s="37"/>
      <c r="G55" s="7"/>
      <c r="H55" s="7"/>
      <c r="I55" s="8"/>
      <c r="J55" s="8"/>
      <c r="K55" s="7"/>
      <c r="L55" s="9"/>
      <c r="M55" s="9"/>
      <c r="N55" s="35"/>
    </row>
    <row r="56" spans="1:15" x14ac:dyDescent="0.25">
      <c r="A56" s="1" t="s">
        <v>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2">
        <f>SUM(M33:M55)</f>
        <v>1717627038.6100001</v>
      </c>
      <c r="N56" s="38">
        <v>1717627038.6099999</v>
      </c>
      <c r="O56" s="29">
        <f>M56-N56</f>
        <v>0</v>
      </c>
    </row>
    <row r="58" spans="1:15" x14ac:dyDescent="0.25">
      <c r="A58" s="39" t="s">
        <v>28</v>
      </c>
      <c r="B58" s="33"/>
      <c r="D58" s="33"/>
      <c r="F58" s="28"/>
      <c r="G58" s="28"/>
    </row>
    <row r="59" spans="1:15" ht="22.5" x14ac:dyDescent="0.25">
      <c r="A59" s="19" t="s">
        <v>6</v>
      </c>
      <c r="B59" s="19" t="s">
        <v>29</v>
      </c>
      <c r="C59" s="19" t="s">
        <v>17</v>
      </c>
      <c r="D59" s="19" t="s">
        <v>30</v>
      </c>
      <c r="E59" s="19" t="s">
        <v>16</v>
      </c>
      <c r="F59" s="19" t="s">
        <v>31</v>
      </c>
      <c r="G59" s="19" t="s">
        <v>32</v>
      </c>
    </row>
    <row r="60" spans="1:15" hidden="1" x14ac:dyDescent="0.25">
      <c r="B60" s="41"/>
      <c r="C60" s="42"/>
      <c r="D60" s="43"/>
      <c r="G60" s="44"/>
      <c r="H60" s="33"/>
    </row>
    <row r="61" spans="1:15" x14ac:dyDescent="0.25">
      <c r="G61" s="45">
        <f>SUM(G60:G60)</f>
        <v>0</v>
      </c>
    </row>
    <row r="63" spans="1:15" x14ac:dyDescent="0.25">
      <c r="A63" s="46" t="s">
        <v>13</v>
      </c>
      <c r="B63" s="47">
        <f>+L25+B28+M56+G61</f>
        <v>32023578945.562855</v>
      </c>
      <c r="C63" s="32">
        <v>32023578945.562885</v>
      </c>
      <c r="D63" s="29">
        <f>B63-C63</f>
        <v>-3.0517578125E-5</v>
      </c>
    </row>
    <row r="66" spans="1:2" x14ac:dyDescent="0.25">
      <c r="A66" s="24" t="s">
        <v>46</v>
      </c>
      <c r="B66" s="33"/>
    </row>
    <row r="67" spans="1:2" x14ac:dyDescent="0.25">
      <c r="A67" s="48" t="s">
        <v>35</v>
      </c>
      <c r="B67" s="49"/>
    </row>
    <row r="68" spans="1:2" x14ac:dyDescent="0.25">
      <c r="A68" s="48" t="s">
        <v>36</v>
      </c>
      <c r="B68" s="40"/>
    </row>
    <row r="69" spans="1:2" x14ac:dyDescent="0.25">
      <c r="A69" s="48" t="s">
        <v>37</v>
      </c>
      <c r="B69" s="40">
        <v>461855.70999999996</v>
      </c>
    </row>
    <row r="70" spans="1:2" x14ac:dyDescent="0.25">
      <c r="A70" s="48" t="s">
        <v>38</v>
      </c>
      <c r="B70" s="40"/>
    </row>
    <row r="71" spans="1:2" x14ac:dyDescent="0.25">
      <c r="A71" s="48" t="s">
        <v>39</v>
      </c>
      <c r="B71" s="49"/>
    </row>
    <row r="72" spans="1:2" x14ac:dyDescent="0.25">
      <c r="A72" s="48" t="s">
        <v>40</v>
      </c>
      <c r="B72" s="50">
        <v>102810.24000000001</v>
      </c>
    </row>
    <row r="73" spans="1:2" x14ac:dyDescent="0.25">
      <c r="A73" s="48" t="s">
        <v>41</v>
      </c>
      <c r="B73" s="50">
        <v>101111.37999999999</v>
      </c>
    </row>
    <row r="74" spans="1:2" x14ac:dyDescent="0.25">
      <c r="A74" s="48" t="s">
        <v>42</v>
      </c>
      <c r="B74" s="40"/>
    </row>
    <row r="75" spans="1:2" x14ac:dyDescent="0.25">
      <c r="A75" s="48" t="s">
        <v>43</v>
      </c>
      <c r="B75" s="40"/>
    </row>
    <row r="76" spans="1:2" x14ac:dyDescent="0.25">
      <c r="A76" s="48" t="s">
        <v>44</v>
      </c>
      <c r="B76" s="50"/>
    </row>
    <row r="77" spans="1:2" x14ac:dyDescent="0.25">
      <c r="A77" s="48" t="s">
        <v>45</v>
      </c>
      <c r="B77" s="49">
        <f>SUM(B67:B76)</f>
        <v>665777.32999999996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2025-09-02T07:39:03Z</dcterms:created>
  <dcterms:modified xsi:type="dcterms:W3CDTF">2025-09-02T09:48:56Z</dcterms:modified>
</cp:coreProperties>
</file>