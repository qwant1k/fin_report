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DA69ED0D-3EE4-47C6-B6A1-4C9B5A34D6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1" l="1"/>
  <c r="O45" i="1"/>
  <c r="O24" i="1"/>
  <c r="D27" i="1"/>
  <c r="B66" i="1"/>
  <c r="G50" i="1"/>
  <c r="M45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52" i="1" s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<sst xmlns="http://schemas.openxmlformats.org/spreadsheetml/2006/main" count="190" uniqueCount="121">
  <si>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</si>
  <si>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</si>
  <si>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</si>
  <si>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</si>
  <si>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</si>
  <si>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</si>
  <si>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</si>
  <si>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</si>
  <si>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</si>
  <si>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</si>
  <si>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</si>
  <si>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</si>
  <si>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</si>
  <si>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</si>
  <si>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</si>
  <si>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</si>
  <si>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</si>
  <si>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</si>
  <si>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</si>
  <si>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</si>
  <si>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</si>
  <si>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</si>
  <si>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</si>
  <si>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</si>
  <si>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</si>
  <si>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</si>
  <si>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</si>
  <si>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</si>
  <si>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</si>
  <si>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</si>
  <si>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</si>
  <si>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</si>
  <si>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</si>
  <si>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</si>
  <si>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</si>
  <si>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</si>
  <si>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</si>
  <si>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</si>
  <si>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</si>
  <si>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</si>
  <si>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</si>
  <si>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</si>
  <si>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</si>
  <si>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</si>
  <si>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</si>
  <si>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</si>
  <si>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</si>
  <si>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</si>
  <si>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</si>
  <si>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ОБЛИГАЦИИ, MFKZ.0435</t>
  </si>
  <si>
    <t>XS2914770545</t>
  </si>
  <si>
    <t>KZT</t>
  </si>
  <si>
    <t>14.08.2025</t>
  </si>
  <si>
    <t>15.08.2025</t>
  </si>
  <si>
    <t>МИНИСТЕРСТВО ФИНАНСОВ РК, ГЦБ, KZ_06_4410</t>
  </si>
  <si>
    <t>XS1120709826</t>
  </si>
  <si>
    <t>ГУ "Национальный Банк Республики Казахстан", ГЦБ, NTK028_2865</t>
  </si>
  <si>
    <t>KZW100014312</t>
  </si>
  <si>
    <t>13.08.2025</t>
  </si>
  <si>
    <t>МИНИСТЕРСТВО ФИНАНСОВ РК, ГЦБ, KZ_10_2811</t>
  </si>
  <si>
    <t>XS1901718335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</si>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</sst>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28" zoomScale="90" zoomScaleNormal="90" workbookViewId="0">
      <selection activeCell="D53" sqref="D5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61</v>
      </c>
      <c r="B4" s="13" t="s">
        <v>62</v>
      </c>
      <c r="C4" s="10">
        <v>3020000</v>
      </c>
      <c r="D4" s="11">
        <v>3020000000</v>
      </c>
      <c r="E4" s="3">
        <v>0.1067</v>
      </c>
      <c r="F4" s="4" t="s">
        <v>63</v>
      </c>
      <c r="G4" s="4" t="s">
        <v>64</v>
      </c>
      <c r="H4" s="11">
        <v>2930617060.0000029</v>
      </c>
      <c r="I4" s="11">
        <v>97.761499999999998</v>
      </c>
      <c r="J4" s="11">
        <v>98.44319444444443</v>
      </c>
      <c r="K4" s="11">
        <v>20587172.22222222</v>
      </c>
      <c r="L4" s="11">
        <v>2972984472.2222219</v>
      </c>
      <c r="M4" s="6">
        <f t="shared" ref="M4:M22" si="0">L4/$L$24</f>
        <v>0.10038553334334534</v>
      </c>
    </row>
    <row r="5" spans="1:13" x14ac:dyDescent="0.25">
      <c r="A5" s="1" t="s">
        <v>65</v>
      </c>
      <c r="B5" s="13" t="s">
        <v>66</v>
      </c>
      <c r="C5" s="10">
        <v>2265000</v>
      </c>
      <c r="D5" s="11">
        <v>2265000000</v>
      </c>
      <c r="E5" s="3">
        <v>0.10550000000000001</v>
      </c>
      <c r="F5" s="4" t="s">
        <v>63</v>
      </c>
      <c r="G5" s="4" t="s">
        <v>67</v>
      </c>
      <c r="H5" s="11">
        <v>2039188560.0000031</v>
      </c>
      <c r="I5" s="11">
        <v>82.368400000000008</v>
      </c>
      <c r="J5" s="11">
        <v>82.837288888888878</v>
      </c>
      <c r="K5" s="11">
        <v>10620333.33333333</v>
      </c>
      <c r="L5" s="11">
        <v>1876264593.333333</v>
      </c>
      <c r="M5" s="6">
        <f t="shared" si="0"/>
        <v>6.3353785953081485E-2</v>
      </c>
    </row>
    <row r="6" spans="1:13" x14ac:dyDescent="0.25">
      <c r="A6" s="1" t="s">
        <v>65</v>
      </c>
      <c r="B6" s="13" t="s">
        <v>66</v>
      </c>
      <c r="C6" s="10">
        <v>1551646</v>
      </c>
      <c r="D6" s="11">
        <v>1551646000</v>
      </c>
      <c r="E6" s="3">
        <v>0.10550000000000001</v>
      </c>
      <c r="F6" s="4" t="s">
        <v>68</v>
      </c>
      <c r="G6" s="4" t="s">
        <v>67</v>
      </c>
      <c r="H6" s="11">
        <v>1395452658.7</v>
      </c>
      <c r="I6" s="11">
        <v>82.368400000000008</v>
      </c>
      <c r="J6" s="11">
        <v>82.837288888889134</v>
      </c>
      <c r="K6" s="11">
        <v>7275495.6888888897</v>
      </c>
      <c r="L6" s="11">
        <v>1285341479.552892</v>
      </c>
      <c r="M6" s="6">
        <f t="shared" si="0"/>
        <v>4.3400727840598383E-2</v>
      </c>
    </row>
    <row r="7" spans="1:13" x14ac:dyDescent="0.25">
      <c r="A7" s="1" t="s">
        <v>65</v>
      </c>
      <c r="B7" s="13" t="s">
        <v>66</v>
      </c>
      <c r="C7" s="10">
        <v>545692</v>
      </c>
      <c r="D7" s="11">
        <v>545692000</v>
      </c>
      <c r="E7" s="3">
        <v>0.10550000000000001</v>
      </c>
      <c r="F7" s="4" t="s">
        <v>69</v>
      </c>
      <c r="G7" s="4" t="s">
        <v>67</v>
      </c>
      <c r="H7" s="11">
        <v>449784993.92000002</v>
      </c>
      <c r="I7" s="11">
        <v>82.368400000000008</v>
      </c>
      <c r="J7" s="11">
        <v>82.837288888888892</v>
      </c>
      <c r="K7" s="11">
        <v>2558689.1555555598</v>
      </c>
      <c r="L7" s="11">
        <v>452036458.48355597</v>
      </c>
      <c r="M7" s="6">
        <f t="shared" si="0"/>
        <v>1.5263423472101096E-2</v>
      </c>
    </row>
    <row r="8" spans="1:13" x14ac:dyDescent="0.25">
      <c r="A8" s="1" t="s">
        <v>70</v>
      </c>
      <c r="B8" s="13" t="s">
        <v>71</v>
      </c>
      <c r="C8" s="10">
        <v>2265000</v>
      </c>
      <c r="D8" s="11">
        <v>2265000000</v>
      </c>
      <c r="E8" s="3">
        <v>0.10400000000000001</v>
      </c>
      <c r="F8" s="4" t="s">
        <v>63</v>
      </c>
      <c r="G8" s="4" t="s">
        <v>72</v>
      </c>
      <c r="H8" s="11">
        <v>2073109200</v>
      </c>
      <c r="I8" s="11">
        <v>86.132400000000004</v>
      </c>
      <c r="J8" s="11">
        <v>89.656844444444431</v>
      </c>
      <c r="K8" s="11">
        <v>79828666.666666657</v>
      </c>
      <c r="L8" s="11">
        <v>2030727526.666666</v>
      </c>
      <c r="M8" s="6">
        <f t="shared" si="0"/>
        <v>6.8569367833619888E-2</v>
      </c>
    </row>
    <row r="9" spans="1:13" x14ac:dyDescent="0.25">
      <c r="A9" s="1" t="s">
        <v>73</v>
      </c>
      <c r="B9" s="13" t="s">
        <v>74</v>
      </c>
      <c r="C9" s="10">
        <v>2265000</v>
      </c>
      <c r="D9" s="11">
        <v>2265000000</v>
      </c>
      <c r="E9" s="3">
        <v>0.11</v>
      </c>
      <c r="F9" s="4" t="s">
        <v>63</v>
      </c>
      <c r="G9" s="4" t="s">
        <v>75</v>
      </c>
      <c r="H9" s="11">
        <v>2080889475</v>
      </c>
      <c r="I9" s="11">
        <v>84.306300000000007</v>
      </c>
      <c r="J9" s="11">
        <v>88.400744444444442</v>
      </c>
      <c r="K9" s="11">
        <v>92739166.666666657</v>
      </c>
      <c r="L9" s="11">
        <v>2002276861.666666</v>
      </c>
      <c r="M9" s="6">
        <f t="shared" si="0"/>
        <v>6.7608705170668595E-2</v>
      </c>
    </row>
    <row r="10" spans="1:13" x14ac:dyDescent="0.25">
      <c r="A10" s="1" t="s">
        <v>76</v>
      </c>
      <c r="B10" s="13" t="s">
        <v>77</v>
      </c>
      <c r="C10" s="10">
        <v>2265000</v>
      </c>
      <c r="D10" s="11">
        <v>2265000000</v>
      </c>
      <c r="E10" s="3">
        <v>0.10300000000000001</v>
      </c>
      <c r="F10" s="4" t="s">
        <v>63</v>
      </c>
      <c r="G10" s="4" t="s">
        <v>78</v>
      </c>
      <c r="H10" s="11">
        <v>1963990560.0000031</v>
      </c>
      <c r="I10" s="11">
        <v>77.21990000000001</v>
      </c>
      <c r="J10" s="11">
        <v>81.425733333333326</v>
      </c>
      <c r="K10" s="11">
        <v>95262125</v>
      </c>
      <c r="L10" s="11">
        <v>1844292860</v>
      </c>
      <c r="M10" s="6">
        <f t="shared" si="0"/>
        <v>6.2274231205128552E-2</v>
      </c>
    </row>
    <row r="11" spans="1:13" x14ac:dyDescent="0.25">
      <c r="A11" s="1" t="s">
        <v>79</v>
      </c>
      <c r="B11" s="13" t="s">
        <v>80</v>
      </c>
      <c r="C11" s="10">
        <v>2265000</v>
      </c>
      <c r="D11" s="11">
        <v>2265000000</v>
      </c>
      <c r="E11" s="3">
        <v>8.4500000000000006E-2</v>
      </c>
      <c r="F11" s="4" t="s">
        <v>63</v>
      </c>
      <c r="G11" s="4" t="s">
        <v>81</v>
      </c>
      <c r="H11" s="11">
        <v>1740247065.0000031</v>
      </c>
      <c r="I11" s="11">
        <v>67.848200000000006</v>
      </c>
      <c r="J11" s="11">
        <v>70.617922222222219</v>
      </c>
      <c r="K11" s="11">
        <v>62734208.333333328</v>
      </c>
      <c r="L11" s="11">
        <v>1599495938.333333</v>
      </c>
      <c r="M11" s="6">
        <f t="shared" si="0"/>
        <v>5.4008439785118524E-2</v>
      </c>
    </row>
    <row r="12" spans="1:13" x14ac:dyDescent="0.25">
      <c r="A12" s="1" t="s">
        <v>82</v>
      </c>
      <c r="B12" s="13" t="s">
        <v>83</v>
      </c>
      <c r="C12" s="10">
        <v>2265000</v>
      </c>
      <c r="D12" s="11">
        <v>2265000000</v>
      </c>
      <c r="E12" s="3">
        <v>0.10650000000000001</v>
      </c>
      <c r="F12" s="4" t="s">
        <v>63</v>
      </c>
      <c r="G12" s="4" t="s">
        <v>84</v>
      </c>
      <c r="H12" s="11">
        <v>1967775375</v>
      </c>
      <c r="I12" s="11">
        <v>75.870199999999997</v>
      </c>
      <c r="J12" s="11">
        <v>76.40270000000001</v>
      </c>
      <c r="K12" s="11">
        <v>12061125</v>
      </c>
      <c r="L12" s="11">
        <v>1730521155</v>
      </c>
      <c r="M12" s="6">
        <f t="shared" si="0"/>
        <v>5.843262577714263E-2</v>
      </c>
    </row>
    <row r="13" spans="1:13" x14ac:dyDescent="0.25">
      <c r="A13" s="1" t="s">
        <v>85</v>
      </c>
      <c r="B13" s="13" t="s">
        <v>86</v>
      </c>
      <c r="C13" s="10">
        <v>2265000</v>
      </c>
      <c r="D13" s="11">
        <v>2265000000</v>
      </c>
      <c r="E13" s="3">
        <v>8.0700000000000008E-2</v>
      </c>
      <c r="F13" s="4" t="s">
        <v>63</v>
      </c>
      <c r="G13" s="4" t="s">
        <v>87</v>
      </c>
      <c r="H13" s="11">
        <v>1622351550</v>
      </c>
      <c r="I13" s="11">
        <v>61.62</v>
      </c>
      <c r="J13" s="11">
        <v>63.682333333333325</v>
      </c>
      <c r="K13" s="11">
        <v>46711850</v>
      </c>
      <c r="L13" s="11">
        <v>1442404850</v>
      </c>
      <c r="M13" s="6">
        <f t="shared" si="0"/>
        <v>4.8704115852998948E-2</v>
      </c>
    </row>
    <row r="14" spans="1:13" x14ac:dyDescent="0.25">
      <c r="A14" s="1" t="s">
        <v>88</v>
      </c>
      <c r="B14" s="13" t="s">
        <v>89</v>
      </c>
      <c r="C14" s="10">
        <v>2265000</v>
      </c>
      <c r="D14" s="11">
        <v>2265000000</v>
      </c>
      <c r="E14" s="3">
        <v>8.0700000000000008E-2</v>
      </c>
      <c r="F14" s="4" t="s">
        <v>63</v>
      </c>
      <c r="G14" s="4" t="s">
        <v>90</v>
      </c>
      <c r="H14" s="11">
        <v>1597764975</v>
      </c>
      <c r="I14" s="11">
        <v>60.212900000000005</v>
      </c>
      <c r="J14" s="11">
        <v>64.584149999999994</v>
      </c>
      <c r="K14" s="11">
        <v>99008812.5</v>
      </c>
      <c r="L14" s="11">
        <v>1462830997.5</v>
      </c>
      <c r="M14" s="6">
        <f t="shared" si="0"/>
        <v>4.9393823360756185E-2</v>
      </c>
    </row>
    <row r="15" spans="1:13" x14ac:dyDescent="0.25">
      <c r="A15" s="1" t="s">
        <v>91</v>
      </c>
      <c r="B15" s="13" t="s">
        <v>92</v>
      </c>
      <c r="C15" s="10">
        <v>3775000</v>
      </c>
      <c r="D15" s="11">
        <v>3775000000</v>
      </c>
      <c r="E15" s="3">
        <v>5.4900000000000004E-2</v>
      </c>
      <c r="F15" s="4" t="s">
        <v>63</v>
      </c>
      <c r="G15" s="4" t="s">
        <v>93</v>
      </c>
      <c r="H15" s="11">
        <v>3136670150</v>
      </c>
      <c r="I15" s="11">
        <v>84.306899999999999</v>
      </c>
      <c r="J15" s="11">
        <v>86.396149999999992</v>
      </c>
      <c r="K15" s="11">
        <v>78869187.5</v>
      </c>
      <c r="L15" s="11">
        <v>3261454662.5</v>
      </c>
      <c r="M15" s="6">
        <f t="shared" si="0"/>
        <v>0.11012599252678856</v>
      </c>
    </row>
    <row r="16" spans="1:13" x14ac:dyDescent="0.25">
      <c r="A16" s="1" t="s">
        <v>94</v>
      </c>
      <c r="B16" s="13" t="s">
        <v>95</v>
      </c>
      <c r="C16" s="10">
        <v>2803860</v>
      </c>
      <c r="D16" s="11">
        <v>2803860000</v>
      </c>
      <c r="E16" s="3">
        <v>5.5E-2</v>
      </c>
      <c r="F16" s="4" t="s">
        <v>96</v>
      </c>
      <c r="G16" s="4" t="s">
        <v>97</v>
      </c>
      <c r="H16" s="11">
        <v>1773018067.1400001</v>
      </c>
      <c r="I16" s="11">
        <v>56.546100000000003</v>
      </c>
      <c r="J16" s="11">
        <v>58.226655555555546</v>
      </c>
      <c r="K16" s="11">
        <v>47120425</v>
      </c>
      <c r="L16" s="11">
        <v>1632593904.46</v>
      </c>
      <c r="M16" s="6">
        <f t="shared" si="0"/>
        <v>5.5126022810946411E-2</v>
      </c>
    </row>
    <row r="17" spans="1:15" x14ac:dyDescent="0.25">
      <c r="A17" s="1" t="s">
        <v>98</v>
      </c>
      <c r="B17" s="13" t="s">
        <v>99</v>
      </c>
      <c r="C17" s="10">
        <v>1038480</v>
      </c>
      <c r="D17" s="11">
        <v>1038480000</v>
      </c>
      <c r="E17" s="3">
        <v>0.12</v>
      </c>
      <c r="F17" s="4" t="s">
        <v>96</v>
      </c>
      <c r="G17" s="4" t="s">
        <v>100</v>
      </c>
      <c r="H17" s="11">
        <v>979029096.96000004</v>
      </c>
      <c r="I17" s="11">
        <v>84.869600000000005</v>
      </c>
      <c r="J17" s="11">
        <v>90.102933333333326</v>
      </c>
      <c r="K17" s="11">
        <v>54347120</v>
      </c>
      <c r="L17" s="11">
        <v>935700942.08000004</v>
      </c>
      <c r="M17" s="6">
        <f t="shared" si="0"/>
        <v>3.1594796070482281E-2</v>
      </c>
    </row>
    <row r="18" spans="1:15" x14ac:dyDescent="0.25">
      <c r="A18" s="1" t="s">
        <v>101</v>
      </c>
      <c r="B18" s="13" t="s">
        <v>102</v>
      </c>
      <c r="C18" s="10">
        <v>506989</v>
      </c>
      <c r="D18" s="11">
        <v>506989000</v>
      </c>
      <c r="E18" s="3">
        <v>0.1535</v>
      </c>
      <c r="F18" s="4" t="s">
        <v>103</v>
      </c>
      <c r="G18" s="4" t="s">
        <v>104</v>
      </c>
      <c r="H18" s="11">
        <v>492216861.50999999</v>
      </c>
      <c r="I18" s="11">
        <v>97.615099999999998</v>
      </c>
      <c r="J18" s="11">
        <v>101.28204444444401</v>
      </c>
      <c r="K18" s="11">
        <v>18591004.969444439</v>
      </c>
      <c r="L18" s="11">
        <v>513488824.30844402</v>
      </c>
      <c r="M18" s="6">
        <f t="shared" si="0"/>
        <v>1.7338418675130411E-2</v>
      </c>
    </row>
    <row r="19" spans="1:15" x14ac:dyDescent="0.25">
      <c r="A19" s="1" t="s">
        <v>105</v>
      </c>
      <c r="B19" s="13" t="s">
        <v>106</v>
      </c>
      <c r="C19" s="10">
        <v>2100000</v>
      </c>
      <c r="D19" s="11">
        <v>2100000000</v>
      </c>
      <c r="E19" s="3">
        <v>0.14300000000000002</v>
      </c>
      <c r="F19" s="4" t="s">
        <v>107</v>
      </c>
      <c r="G19" s="4" t="s">
        <v>108</v>
      </c>
      <c r="H19" s="11">
        <v>2100000000</v>
      </c>
      <c r="I19" s="11">
        <v>93.11006348451339</v>
      </c>
      <c r="J19" s="11">
        <v>106.655341262291</v>
      </c>
      <c r="K19" s="11">
        <v>284450833.33333302</v>
      </c>
      <c r="L19" s="11">
        <v>2239762166.5081139</v>
      </c>
      <c r="M19" s="6">
        <f t="shared" si="0"/>
        <v>7.5627613177240149E-2</v>
      </c>
    </row>
    <row r="20" spans="1:15" x14ac:dyDescent="0.25">
      <c r="A20" s="1" t="s">
        <v>109</v>
      </c>
      <c r="B20" s="13" t="s">
        <v>110</v>
      </c>
      <c r="C20" s="10">
        <v>1100000</v>
      </c>
      <c r="D20" s="11">
        <v>1100000000</v>
      </c>
      <c r="E20" s="3">
        <v>0.13870000000000002</v>
      </c>
      <c r="F20" s="4" t="s">
        <v>111</v>
      </c>
      <c r="G20" s="4" t="s">
        <v>112</v>
      </c>
      <c r="H20" s="11">
        <v>1100000000</v>
      </c>
      <c r="I20" s="11">
        <v>99.776200000000003</v>
      </c>
      <c r="J20" s="11">
        <v>105.70947777777801</v>
      </c>
      <c r="K20" s="11">
        <v>65266055.555555552</v>
      </c>
      <c r="L20" s="11">
        <v>1162804255.5555551</v>
      </c>
      <c r="M20" s="6">
        <f t="shared" si="0"/>
        <v>3.9263146665749184E-2</v>
      </c>
    </row>
    <row r="21" spans="1:15" x14ac:dyDescent="0.25">
      <c r="A21" s="1" t="s">
        <v>113</v>
      </c>
      <c r="B21" s="13" t="s">
        <v>114</v>
      </c>
      <c r="C21" s="10">
        <v>1000000</v>
      </c>
      <c r="D21" s="11">
        <v>1000000000</v>
      </c>
      <c r="E21" s="3">
        <v>0.1389</v>
      </c>
      <c r="F21" s="4" t="s">
        <v>115</v>
      </c>
      <c r="G21" s="4" t="s">
        <v>116</v>
      </c>
      <c r="H21" s="11">
        <v>1000000000</v>
      </c>
      <c r="I21" s="11">
        <v>97.9575218328349</v>
      </c>
      <c r="J21" s="11">
        <v>100.889855166168</v>
      </c>
      <c r="K21" s="11">
        <v>29323333.333333328</v>
      </c>
      <c r="L21" s="11">
        <v>1008898551.661682</v>
      </c>
      <c r="M21" s="6">
        <f t="shared" si="0"/>
        <v>3.4066380145666736E-2</v>
      </c>
    </row>
    <row r="22" spans="1:15" x14ac:dyDescent="0.25">
      <c r="A22" s="1" t="s">
        <v>117</v>
      </c>
      <c r="B22" s="13" t="s">
        <v>118</v>
      </c>
      <c r="C22" s="10">
        <v>165739</v>
      </c>
      <c r="D22" s="11">
        <v>165739000</v>
      </c>
      <c r="E22" s="3">
        <v>0.125</v>
      </c>
      <c r="F22" s="4" t="s">
        <v>119</v>
      </c>
      <c r="G22" s="4" t="s">
        <v>120</v>
      </c>
      <c r="H22" s="11">
        <v>159596381.18279999</v>
      </c>
      <c r="I22" s="11">
        <v>95.462118751576398</v>
      </c>
      <c r="J22" s="11">
        <v>97.614896529340754</v>
      </c>
      <c r="K22" s="11">
        <v>3567992.3610888901</v>
      </c>
      <c r="L22" s="11">
        <v>161785953.35876399</v>
      </c>
      <c r="M22" s="6">
        <f t="shared" si="0"/>
        <v>5.4628503334366394E-3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1110923596.6194217</v>
      </c>
      <c r="L24" s="22">
        <f>SUM(L4:L23)</f>
        <v>29615666453.191227</v>
      </c>
      <c r="M24" s="23"/>
      <c r="N24" s="26">
        <v>29615666453.191246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4029390.72</v>
      </c>
      <c r="C27" s="51">
        <v>4029390.72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1685700</v>
      </c>
      <c r="D32" s="7" t="s">
        <v>51</v>
      </c>
      <c r="E32" s="34" t="s">
        <v>52</v>
      </c>
      <c r="F32" s="34" t="s">
        <v>53</v>
      </c>
      <c r="G32" s="15">
        <v>534.03710000000001</v>
      </c>
      <c r="H32" s="15">
        <v>534.26388433885006</v>
      </c>
      <c r="I32" s="16">
        <f t="shared" ref="I32:I43" si="1">+C32*G32</f>
        <v>900226339.47000003</v>
      </c>
      <c r="J32" s="16">
        <f t="shared" ref="J32:J43" si="2">+C32*H32</f>
        <v>900608629.82999957</v>
      </c>
      <c r="K32" s="18">
        <v>0.155001</v>
      </c>
      <c r="L32" s="17"/>
      <c r="M32" s="17">
        <v>900226339.47000003</v>
      </c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11238</v>
      </c>
      <c r="D33" s="7" t="s">
        <v>51</v>
      </c>
      <c r="E33" s="34" t="s">
        <v>52</v>
      </c>
      <c r="F33" s="34" t="s">
        <v>53</v>
      </c>
      <c r="G33" s="15">
        <v>534.037100017797</v>
      </c>
      <c r="H33" s="15">
        <v>534.26388414308599</v>
      </c>
      <c r="I33" s="16">
        <f t="shared" si="1"/>
        <v>6001508.9300000025</v>
      </c>
      <c r="J33" s="16">
        <f t="shared" si="2"/>
        <v>6004057.5300000003</v>
      </c>
      <c r="K33" s="18">
        <v>0.155001</v>
      </c>
      <c r="L33" s="17"/>
      <c r="M33" s="17">
        <v>6001508.9299999997</v>
      </c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2007856</v>
      </c>
      <c r="D34" s="7" t="s">
        <v>51</v>
      </c>
      <c r="E34" s="34" t="s">
        <v>52</v>
      </c>
      <c r="F34" s="34" t="s">
        <v>53</v>
      </c>
      <c r="G34" s="15">
        <v>534.03710000119497</v>
      </c>
      <c r="H34" s="15">
        <v>534.26388580655203</v>
      </c>
      <c r="I34" s="16">
        <f t="shared" si="1"/>
        <v>1072269595.4599993</v>
      </c>
      <c r="J34" s="16">
        <f t="shared" si="2"/>
        <v>1072724948.7000003</v>
      </c>
      <c r="K34" s="18">
        <v>0.155002</v>
      </c>
      <c r="L34" s="17"/>
      <c r="M34" s="17">
        <v>1072269595.46</v>
      </c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455772</v>
      </c>
      <c r="D35" s="7" t="s">
        <v>51</v>
      </c>
      <c r="E35" s="34" t="s">
        <v>52</v>
      </c>
      <c r="F35" s="34" t="s">
        <v>53</v>
      </c>
      <c r="G35" s="15">
        <v>500.33760000614302</v>
      </c>
      <c r="H35" s="15">
        <v>500.55007350166301</v>
      </c>
      <c r="I35" s="16">
        <f t="shared" si="1"/>
        <v>228039868.62999982</v>
      </c>
      <c r="J35" s="16">
        <f t="shared" si="2"/>
        <v>228136708.09999996</v>
      </c>
      <c r="K35" s="18">
        <v>0.155001</v>
      </c>
      <c r="L35" s="17"/>
      <c r="M35" s="17">
        <v>228039868.63</v>
      </c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13036400</v>
      </c>
      <c r="D36" s="7" t="s">
        <v>51</v>
      </c>
      <c r="E36" s="34" t="s">
        <v>58</v>
      </c>
      <c r="F36" s="34" t="s">
        <v>52</v>
      </c>
      <c r="G36" s="15">
        <v>99.72290000000001</v>
      </c>
      <c r="H36" s="15">
        <v>99.765248626921533</v>
      </c>
      <c r="I36" s="16">
        <f t="shared" si="1"/>
        <v>1300027613.5600002</v>
      </c>
      <c r="J36" s="16">
        <f t="shared" si="2"/>
        <v>1300579687.1999998</v>
      </c>
      <c r="K36" s="18">
        <v>0.155002</v>
      </c>
      <c r="L36" s="17">
        <v>552073.64</v>
      </c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13036400</v>
      </c>
      <c r="D37" s="7" t="s">
        <v>51</v>
      </c>
      <c r="E37" s="34" t="s">
        <v>52</v>
      </c>
      <c r="F37" s="34" t="s">
        <v>52</v>
      </c>
      <c r="G37" s="15">
        <v>99.72290000000001</v>
      </c>
      <c r="H37" s="15">
        <v>99.765248626921533</v>
      </c>
      <c r="I37" s="16">
        <f t="shared" si="1"/>
        <v>1300027613.5600002</v>
      </c>
      <c r="J37" s="16">
        <f t="shared" si="2"/>
        <v>1300579687.1999998</v>
      </c>
      <c r="K37" s="18">
        <v>0.155002</v>
      </c>
      <c r="L37" s="17"/>
      <c r="M37" s="17"/>
      <c r="N37" s="35"/>
    </row>
    <row r="38" spans="1:15" s="36" customFormat="1" ht="12" customHeight="1" x14ac:dyDescent="0.25">
      <c r="A38" s="12" t="s">
        <v>56</v>
      </c>
      <c r="B38" s="7" t="s">
        <v>57</v>
      </c>
      <c r="C38" s="14">
        <v>7871980</v>
      </c>
      <c r="D38" s="7" t="s">
        <v>51</v>
      </c>
      <c r="E38" s="34" t="s">
        <v>58</v>
      </c>
      <c r="F38" s="34" t="s">
        <v>52</v>
      </c>
      <c r="G38" s="15">
        <v>99.72289999974592</v>
      </c>
      <c r="H38" s="15">
        <v>99.765248627410131</v>
      </c>
      <c r="I38" s="16">
        <f t="shared" si="1"/>
        <v>785016674.33999991</v>
      </c>
      <c r="J38" s="16">
        <f t="shared" si="2"/>
        <v>785350041.88999999</v>
      </c>
      <c r="K38" s="18">
        <v>0.155002</v>
      </c>
      <c r="L38" s="17">
        <v>333367.55</v>
      </c>
      <c r="M38" s="17"/>
      <c r="N38" s="35"/>
    </row>
    <row r="39" spans="1:15" s="36" customFormat="1" ht="12" customHeight="1" x14ac:dyDescent="0.25">
      <c r="A39" s="12" t="s">
        <v>56</v>
      </c>
      <c r="B39" s="7" t="s">
        <v>57</v>
      </c>
      <c r="C39" s="14">
        <v>7871980</v>
      </c>
      <c r="D39" s="7" t="s">
        <v>51</v>
      </c>
      <c r="E39" s="34" t="s">
        <v>52</v>
      </c>
      <c r="F39" s="34" t="s">
        <v>52</v>
      </c>
      <c r="G39" s="15">
        <v>99.72289999974592</v>
      </c>
      <c r="H39" s="15">
        <v>99.765248627410131</v>
      </c>
      <c r="I39" s="16">
        <f t="shared" si="1"/>
        <v>785016674.33999991</v>
      </c>
      <c r="J39" s="16">
        <f t="shared" si="2"/>
        <v>785350041.88999999</v>
      </c>
      <c r="K39" s="18">
        <v>0.155002</v>
      </c>
      <c r="L39" s="17"/>
      <c r="M39" s="17"/>
      <c r="N39" s="35"/>
    </row>
    <row r="40" spans="1:15" s="36" customFormat="1" ht="12" customHeight="1" x14ac:dyDescent="0.25">
      <c r="A40" s="12" t="s">
        <v>59</v>
      </c>
      <c r="B40" s="7" t="s">
        <v>60</v>
      </c>
      <c r="C40" s="14">
        <v>184556</v>
      </c>
      <c r="D40" s="7" t="s">
        <v>51</v>
      </c>
      <c r="E40" s="34" t="s">
        <v>58</v>
      </c>
      <c r="F40" s="34" t="s">
        <v>52</v>
      </c>
      <c r="G40" s="15">
        <v>628.88719998266106</v>
      </c>
      <c r="H40" s="15">
        <v>629.15426510110808</v>
      </c>
      <c r="I40" s="16">
        <f t="shared" si="1"/>
        <v>116064906.08</v>
      </c>
      <c r="J40" s="16">
        <f t="shared" si="2"/>
        <v>116114194.5500001</v>
      </c>
      <c r="K40" s="18">
        <v>0.155002</v>
      </c>
      <c r="L40" s="17">
        <v>49288.47</v>
      </c>
      <c r="M40" s="17"/>
      <c r="N40" s="35"/>
    </row>
    <row r="41" spans="1:15" s="36" customFormat="1" ht="12" customHeight="1" x14ac:dyDescent="0.25">
      <c r="A41" s="12" t="s">
        <v>59</v>
      </c>
      <c r="B41" s="7" t="s">
        <v>60</v>
      </c>
      <c r="C41" s="14">
        <v>184556</v>
      </c>
      <c r="D41" s="7" t="s">
        <v>51</v>
      </c>
      <c r="E41" s="34" t="s">
        <v>52</v>
      </c>
      <c r="F41" s="34" t="s">
        <v>52</v>
      </c>
      <c r="G41" s="15">
        <v>628.88719998266106</v>
      </c>
      <c r="H41" s="15">
        <v>629.15426510110808</v>
      </c>
      <c r="I41" s="16">
        <f t="shared" si="1"/>
        <v>116064906.08</v>
      </c>
      <c r="J41" s="16">
        <f t="shared" si="2"/>
        <v>116114194.5500001</v>
      </c>
      <c r="K41" s="18">
        <v>0.155002</v>
      </c>
      <c r="L41" s="17"/>
      <c r="M41" s="17"/>
      <c r="N41" s="35"/>
    </row>
    <row r="42" spans="1:15" s="36" customFormat="1" ht="12" customHeight="1" x14ac:dyDescent="0.25">
      <c r="A42" s="12" t="s">
        <v>59</v>
      </c>
      <c r="B42" s="7" t="s">
        <v>60</v>
      </c>
      <c r="C42" s="14">
        <v>7955</v>
      </c>
      <c r="D42" s="7" t="s">
        <v>51</v>
      </c>
      <c r="E42" s="34" t="s">
        <v>58</v>
      </c>
      <c r="F42" s="34" t="s">
        <v>52</v>
      </c>
      <c r="G42" s="15">
        <v>628.88720050282802</v>
      </c>
      <c r="H42" s="15">
        <v>629.15426524198608</v>
      </c>
      <c r="I42" s="16">
        <f t="shared" si="1"/>
        <v>5002797.6799999969</v>
      </c>
      <c r="J42" s="16">
        <f t="shared" si="2"/>
        <v>5004922.18</v>
      </c>
      <c r="K42" s="18">
        <v>0.155002</v>
      </c>
      <c r="L42" s="17">
        <v>2124.5</v>
      </c>
      <c r="M42" s="17"/>
      <c r="N42" s="35"/>
    </row>
    <row r="43" spans="1:15" s="36" customFormat="1" ht="12" customHeight="1" x14ac:dyDescent="0.25">
      <c r="A43" s="12" t="s">
        <v>59</v>
      </c>
      <c r="B43" s="7" t="s">
        <v>60</v>
      </c>
      <c r="C43" s="14">
        <v>7955</v>
      </c>
      <c r="D43" s="7" t="s">
        <v>51</v>
      </c>
      <c r="E43" s="34" t="s">
        <v>52</v>
      </c>
      <c r="F43" s="34" t="s">
        <v>52</v>
      </c>
      <c r="G43" s="15">
        <v>628.88720050282802</v>
      </c>
      <c r="H43" s="15">
        <v>629.15426524198608</v>
      </c>
      <c r="I43" s="16">
        <f t="shared" si="1"/>
        <v>5002797.6799999969</v>
      </c>
      <c r="J43" s="16">
        <f t="shared" si="2"/>
        <v>5004922.18</v>
      </c>
      <c r="K43" s="18">
        <v>0.155002</v>
      </c>
      <c r="L43" s="17"/>
      <c r="M43" s="17"/>
      <c r="N43" s="35"/>
    </row>
    <row r="44" spans="1:15" s="36" customFormat="1" ht="11.25" hidden="1" x14ac:dyDescent="0.25">
      <c r="A44" s="7"/>
      <c r="B44" s="7"/>
      <c r="C44" s="7"/>
      <c r="D44" s="7"/>
      <c r="E44" s="37"/>
      <c r="F44" s="37"/>
      <c r="G44" s="7"/>
      <c r="H44" s="7"/>
      <c r="I44" s="8"/>
      <c r="J44" s="8"/>
      <c r="K44" s="7"/>
      <c r="L44" s="9"/>
      <c r="M44" s="9"/>
      <c r="N44" s="35"/>
    </row>
    <row r="45" spans="1:15" x14ac:dyDescent="0.25">
      <c r="A45" s="1" t="s">
        <v>5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2">
        <f>SUM(M32:M44)</f>
        <v>2206537312.4900002</v>
      </c>
      <c r="N45" s="38">
        <v>2206537312.4900002</v>
      </c>
      <c r="O45" s="29">
        <f>M45-N45</f>
        <v>0</v>
      </c>
    </row>
    <row r="47" spans="1:15" x14ac:dyDescent="0.25">
      <c r="A47" s="39" t="s">
        <v>28</v>
      </c>
      <c r="B47" s="33"/>
      <c r="D47" s="33"/>
      <c r="F47" s="28"/>
      <c r="G47" s="28"/>
    </row>
    <row r="48" spans="1:15" ht="22.5" x14ac:dyDescent="0.25">
      <c r="A48" s="19" t="s">
        <v>6</v>
      </c>
      <c r="B48" s="19" t="s">
        <v>29</v>
      </c>
      <c r="C48" s="19" t="s">
        <v>17</v>
      </c>
      <c r="D48" s="19" t="s">
        <v>30</v>
      </c>
      <c r="E48" s="19" t="s">
        <v>16</v>
      </c>
      <c r="F48" s="19" t="s">
        <v>31</v>
      </c>
      <c r="G48" s="19" t="s">
        <v>32</v>
      </c>
    </row>
    <row r="49" spans="1:8" hidden="1" x14ac:dyDescent="0.25">
      <c r="B49" s="41"/>
      <c r="C49" s="42"/>
      <c r="D49" s="43"/>
      <c r="G49" s="44"/>
      <c r="H49" s="33"/>
    </row>
    <row r="50" spans="1:8" x14ac:dyDescent="0.25">
      <c r="G50" s="45">
        <f>SUM(G49:G49)</f>
        <v>0</v>
      </c>
    </row>
    <row r="52" spans="1:8" x14ac:dyDescent="0.25">
      <c r="A52" s="46" t="s">
        <v>13</v>
      </c>
      <c r="B52" s="47">
        <f>+L24+B27+M45+G50</f>
        <v>31826233156.40123</v>
      </c>
      <c r="C52" s="32">
        <v>31826233156.401249</v>
      </c>
      <c r="D52" s="29">
        <f>B52-C52</f>
        <v>0</v>
      </c>
    </row>
    <row r="55" spans="1:8" x14ac:dyDescent="0.25">
      <c r="A55" s="24" t="s">
        <v>46</v>
      </c>
      <c r="B55" s="33"/>
    </row>
    <row r="56" spans="1:8" x14ac:dyDescent="0.25">
      <c r="A56" s="48" t="s">
        <v>35</v>
      </c>
      <c r="B56" s="49"/>
    </row>
    <row r="57" spans="1:8" x14ac:dyDescent="0.25">
      <c r="A57" s="48" t="s">
        <v>36</v>
      </c>
      <c r="B57" s="40"/>
    </row>
    <row r="58" spans="1:8" x14ac:dyDescent="0.25">
      <c r="A58" s="48" t="s">
        <v>37</v>
      </c>
      <c r="B58" s="40">
        <v>224720.11</v>
      </c>
    </row>
    <row r="59" spans="1:8" x14ac:dyDescent="0.25">
      <c r="A59" s="48" t="s">
        <v>38</v>
      </c>
      <c r="B59" s="40"/>
    </row>
    <row r="60" spans="1:8" x14ac:dyDescent="0.25">
      <c r="A60" s="48" t="s">
        <v>39</v>
      </c>
      <c r="B60" s="49"/>
    </row>
    <row r="61" spans="1:8" x14ac:dyDescent="0.25">
      <c r="A61" s="48" t="s">
        <v>40</v>
      </c>
      <c r="B61" s="50">
        <v>46542.020000000004</v>
      </c>
    </row>
    <row r="62" spans="1:8" x14ac:dyDescent="0.25">
      <c r="A62" s="48" t="s">
        <v>41</v>
      </c>
      <c r="B62" s="50">
        <v>23105.620000000003</v>
      </c>
    </row>
    <row r="63" spans="1:8" x14ac:dyDescent="0.25">
      <c r="A63" s="48" t="s">
        <v>42</v>
      </c>
      <c r="B63" s="40"/>
    </row>
    <row r="64" spans="1:8" x14ac:dyDescent="0.25">
      <c r="A64" s="48" t="s">
        <v>43</v>
      </c>
      <c r="B64" s="40"/>
    </row>
    <row r="65" spans="1:2" x14ac:dyDescent="0.25">
      <c r="A65" s="48" t="s">
        <v>44</v>
      </c>
      <c r="B65" s="50"/>
    </row>
    <row r="66" spans="1:2" x14ac:dyDescent="0.25">
      <c r="A66" s="48" t="s">
        <v>45</v>
      </c>
      <c r="B66" s="49">
        <f>SUM(B56:B65)</f>
        <v>294367.75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2025-08-15T05:59:36Z</dcterms:created>
  <dcterms:modified xsi:type="dcterms:W3CDTF">2025-08-15T10:47:53Z</dcterms:modified>
</cp:coreProperties>
</file>