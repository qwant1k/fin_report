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EC2FDCB0-030A-4B59-99C0-9700F00600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O44" i="1"/>
  <c r="O24" i="1"/>
  <c r="D27" i="1"/>
  <c r="B65" i="1"/>
  <c r="B51" i="1"/>
  <c r="G49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<sst xmlns="http://schemas.openxmlformats.org/spreadsheetml/2006/main" count="185" uniqueCount="117">
  <si>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</si>
  <si>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</si>
  <si>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</si>
  <si>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</si>
  <si>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</si>
  <si>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</si>
  <si>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</si>
  <si>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</si>
  <si>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</si>
  <si>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</si>
  <si>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</si>
  <si>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</si>
  <si>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</si>
  <si>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</si>
  <si>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</si>
  <si>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</si>
  <si>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</si>
  <si>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</si>
  <si>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</si>
  <si>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</si>
  <si>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</si>
  <si>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</si>
  <si>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</si>
  <si>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</si>
  <si>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</si>
  <si>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</si>
  <si>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</si>
  <si>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</si>
  <si>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</si>
  <si>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</si>
  <si>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</si>
  <si>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</si>
  <si>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</si>
  <si>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</si>
  <si>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</si>
  <si>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</si>
  <si>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</si>
  <si>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</si>
  <si>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</si>
  <si>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</si>
  <si>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</si>
  <si>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</si>
  <si>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</si>
  <si>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</si>
  <si>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</si>
  <si>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</si>
  <si>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</si>
  <si>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</si>
  <si>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</si>
  <si>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</si>
  <si>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</si>
  <si>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</si>
  <si>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15.08.2025</t>
  </si>
  <si>
    <t>18.08.2025</t>
  </si>
  <si>
    <t>МИНИСТЕРСТВО ФИНАНСОВ РК, ГЦБ, KZ_06_4410</t>
  </si>
  <si>
    <t>XS1120709826</t>
  </si>
  <si>
    <t>14.08.2025</t>
  </si>
  <si>
    <t>МИНИСТЕРСТВО ФИНАНСОВ РК, ОБЛИГАЦИИ, MFKZ.0435</t>
  </si>
  <si>
    <t>XS2914770545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</si>
  <si>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</si>
  <si>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</si>
  <si>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</si>
  <si>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</si>
  <si>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</si>
  <si>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</si>
  <si>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</si>
  <si>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12.06.2025</t>
  </si>
  <si>
    <t>08.08.2024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</si>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</sst>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16" zoomScale="90" zoomScaleNormal="90" workbookViewId="0">
      <selection activeCell="D52" sqref="D5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97.792000000000002</v>
      </c>
      <c r="J4" s="11">
        <v>98.50333333333333</v>
      </c>
      <c r="K4" s="11">
        <v>21482266.66666666</v>
      </c>
      <c r="L4" s="11">
        <v>2974800666.666666</v>
      </c>
      <c r="M4" s="6">
        <f t="shared" ref="M4:M22" si="0">L4/$L$24</f>
        <v>0.1003847226429848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82.39970000000001</v>
      </c>
      <c r="J5" s="11">
        <v>82.897894444444432</v>
      </c>
      <c r="K5" s="11">
        <v>11284104.16666666</v>
      </c>
      <c r="L5" s="11">
        <v>1877637309.166666</v>
      </c>
      <c r="M5" s="6">
        <f t="shared" si="0"/>
        <v>6.3360917797567654E-2</v>
      </c>
    </row>
    <row r="6" spans="1:13" x14ac:dyDescent="0.25">
      <c r="A6" s="1" t="s">
        <v>63</v>
      </c>
      <c r="B6" s="13" t="s">
        <v>64</v>
      </c>
      <c r="C6" s="10">
        <v>545692</v>
      </c>
      <c r="D6" s="11">
        <v>545692000</v>
      </c>
      <c r="E6" s="3">
        <v>0.10550000000000001</v>
      </c>
      <c r="F6" s="4" t="s">
        <v>66</v>
      </c>
      <c r="G6" s="4" t="s">
        <v>65</v>
      </c>
      <c r="H6" s="11">
        <v>449784993.92000002</v>
      </c>
      <c r="I6" s="11">
        <v>82.39970000000001</v>
      </c>
      <c r="J6" s="11">
        <v>82.897894444444432</v>
      </c>
      <c r="K6" s="11">
        <v>2718607.22777778</v>
      </c>
      <c r="L6" s="11">
        <v>452367178.15177798</v>
      </c>
      <c r="M6" s="6">
        <f t="shared" si="0"/>
        <v>1.5265141701894178E-2</v>
      </c>
    </row>
    <row r="7" spans="1:13" x14ac:dyDescent="0.25">
      <c r="A7" s="1" t="s">
        <v>63</v>
      </c>
      <c r="B7" s="13" t="s">
        <v>64</v>
      </c>
      <c r="C7" s="10">
        <v>1551646</v>
      </c>
      <c r="D7" s="11">
        <v>1551646000</v>
      </c>
      <c r="E7" s="3">
        <v>0.10550000000000001</v>
      </c>
      <c r="F7" s="4" t="s">
        <v>67</v>
      </c>
      <c r="G7" s="4" t="s">
        <v>65</v>
      </c>
      <c r="H7" s="11">
        <v>1395452658.7</v>
      </c>
      <c r="I7" s="11">
        <v>82.39970000000001</v>
      </c>
      <c r="J7" s="11">
        <v>82.897894444444702</v>
      </c>
      <c r="K7" s="11">
        <v>7730214.1694444399</v>
      </c>
      <c r="L7" s="11">
        <v>1286281863.2314479</v>
      </c>
      <c r="M7" s="6">
        <f t="shared" si="0"/>
        <v>4.3405613535066202E-2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86.186999999999998</v>
      </c>
      <c r="J8" s="11">
        <v>89.740333333333325</v>
      </c>
      <c r="K8" s="11">
        <v>80482999.999999985</v>
      </c>
      <c r="L8" s="11">
        <v>2032618549.999999</v>
      </c>
      <c r="M8" s="6">
        <f t="shared" si="0"/>
        <v>6.8590763632365243E-2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84.344300000000004</v>
      </c>
      <c r="J9" s="11">
        <v>88.46929999999999</v>
      </c>
      <c r="K9" s="11">
        <v>93431249.999999985</v>
      </c>
      <c r="L9" s="11">
        <v>2003829644.999999</v>
      </c>
      <c r="M9" s="6">
        <f t="shared" si="0"/>
        <v>6.761928131558248E-2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77.232200000000006</v>
      </c>
      <c r="J10" s="11">
        <v>81.466644444444441</v>
      </c>
      <c r="K10" s="11">
        <v>95910166.666666657</v>
      </c>
      <c r="L10" s="11">
        <v>1845219496.666666</v>
      </c>
      <c r="M10" s="6">
        <f t="shared" si="0"/>
        <v>6.2266977906747588E-2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67.849900000000005</v>
      </c>
      <c r="J11" s="11">
        <v>70.643094444444444</v>
      </c>
      <c r="K11" s="11">
        <v>63265854.166666657</v>
      </c>
      <c r="L11" s="11">
        <v>1600066089.166666</v>
      </c>
      <c r="M11" s="6">
        <f t="shared" si="0"/>
        <v>5.3994270060259898E-2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75.868200000000002</v>
      </c>
      <c r="J12" s="11">
        <v>76.430283333333321</v>
      </c>
      <c r="K12" s="11">
        <v>12731187.5</v>
      </c>
      <c r="L12" s="11">
        <v>1731145917.5</v>
      </c>
      <c r="M12" s="6">
        <f t="shared" si="0"/>
        <v>5.8417562134507044E-2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61.607700000000001</v>
      </c>
      <c r="J13" s="11">
        <v>63.692449999999994</v>
      </c>
      <c r="K13" s="11">
        <v>47219587.5</v>
      </c>
      <c r="L13" s="11">
        <v>1442633992.5</v>
      </c>
      <c r="M13" s="6">
        <f t="shared" si="0"/>
        <v>4.868172003427939E-2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86</v>
      </c>
      <c r="H14" s="11">
        <v>1597764975</v>
      </c>
      <c r="I14" s="11">
        <v>60.198300000000003</v>
      </c>
      <c r="J14" s="11">
        <v>64.59196666666665</v>
      </c>
      <c r="K14" s="11">
        <v>99516550</v>
      </c>
      <c r="L14" s="11">
        <v>1463008045</v>
      </c>
      <c r="M14" s="6">
        <f t="shared" si="0"/>
        <v>4.9369242943711117E-2</v>
      </c>
    </row>
    <row r="15" spans="1:13" x14ac:dyDescent="0.25">
      <c r="A15" s="1" t="s">
        <v>87</v>
      </c>
      <c r="B15" s="13" t="s">
        <v>88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89</v>
      </c>
      <c r="H15" s="11">
        <v>3136670150</v>
      </c>
      <c r="I15" s="11">
        <v>84.380300000000005</v>
      </c>
      <c r="J15" s="11">
        <v>86.484800000000007</v>
      </c>
      <c r="K15" s="11">
        <v>79444875</v>
      </c>
      <c r="L15" s="11">
        <v>3264801200</v>
      </c>
      <c r="M15" s="6">
        <f t="shared" si="0"/>
        <v>0.11017079786852409</v>
      </c>
    </row>
    <row r="16" spans="1:13" x14ac:dyDescent="0.25">
      <c r="A16" s="1" t="s">
        <v>90</v>
      </c>
      <c r="B16" s="13" t="s">
        <v>91</v>
      </c>
      <c r="C16" s="10">
        <v>2803860</v>
      </c>
      <c r="D16" s="11">
        <v>2803860000</v>
      </c>
      <c r="E16" s="3">
        <v>5.5E-2</v>
      </c>
      <c r="F16" s="4" t="s">
        <v>92</v>
      </c>
      <c r="G16" s="4" t="s">
        <v>93</v>
      </c>
      <c r="H16" s="11">
        <v>1773018067.1400001</v>
      </c>
      <c r="I16" s="11">
        <v>56.547400000000003</v>
      </c>
      <c r="J16" s="11">
        <v>58.243233333333329</v>
      </c>
      <c r="K16" s="11">
        <v>47548792.5</v>
      </c>
      <c r="L16" s="11">
        <v>1633058722.1400001</v>
      </c>
      <c r="M16" s="6">
        <f t="shared" si="0"/>
        <v>5.5107607282279911E-2</v>
      </c>
    </row>
    <row r="17" spans="1:15" x14ac:dyDescent="0.25">
      <c r="A17" s="1" t="s">
        <v>94</v>
      </c>
      <c r="B17" s="13" t="s">
        <v>95</v>
      </c>
      <c r="C17" s="10">
        <v>1038480</v>
      </c>
      <c r="D17" s="11">
        <v>1038480000</v>
      </c>
      <c r="E17" s="3">
        <v>0.12</v>
      </c>
      <c r="F17" s="4" t="s">
        <v>92</v>
      </c>
      <c r="G17" s="4" t="s">
        <v>96</v>
      </c>
      <c r="H17" s="11">
        <v>979029096.96000004</v>
      </c>
      <c r="I17" s="11">
        <v>84.894100000000009</v>
      </c>
      <c r="J17" s="11">
        <v>90.16076666666666</v>
      </c>
      <c r="K17" s="11">
        <v>54693280</v>
      </c>
      <c r="L17" s="11">
        <v>936301529.67999995</v>
      </c>
      <c r="M17" s="6">
        <f t="shared" si="0"/>
        <v>3.1595518456182012E-2</v>
      </c>
    </row>
    <row r="18" spans="1:15" x14ac:dyDescent="0.25">
      <c r="A18" s="1" t="s">
        <v>97</v>
      </c>
      <c r="B18" s="13" t="s">
        <v>98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97.669700000000006</v>
      </c>
      <c r="J18" s="11">
        <v>101.37928333333301</v>
      </c>
      <c r="K18" s="11">
        <v>18807179.445833329</v>
      </c>
      <c r="L18" s="11">
        <v>513981814.77883297</v>
      </c>
      <c r="M18" s="6">
        <f t="shared" si="0"/>
        <v>1.7344329150606779E-2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93.15325498501079</v>
      </c>
      <c r="J19" s="11">
        <v>106.73825498501101</v>
      </c>
      <c r="K19" s="11">
        <v>285285000</v>
      </c>
      <c r="L19" s="11">
        <v>2241503354.685226</v>
      </c>
      <c r="M19" s="6">
        <f t="shared" si="0"/>
        <v>7.5639586572880668E-2</v>
      </c>
    </row>
    <row r="20" spans="1:15" x14ac:dyDescent="0.25">
      <c r="A20" s="1" t="s">
        <v>105</v>
      </c>
      <c r="B20" s="13" t="s">
        <v>106</v>
      </c>
      <c r="C20" s="10">
        <v>1100000</v>
      </c>
      <c r="D20" s="11">
        <v>1100000000</v>
      </c>
      <c r="E20" s="3">
        <v>0.13870000000000002</v>
      </c>
      <c r="F20" s="4" t="s">
        <v>107</v>
      </c>
      <c r="G20" s="4" t="s">
        <v>108</v>
      </c>
      <c r="H20" s="11">
        <v>1100000000</v>
      </c>
      <c r="I20" s="11">
        <v>99.784199999999998</v>
      </c>
      <c r="J20" s="11">
        <v>105.756005555556</v>
      </c>
      <c r="K20" s="11">
        <v>65689861.111111112</v>
      </c>
      <c r="L20" s="11">
        <v>1163316061.1111109</v>
      </c>
      <c r="M20" s="6">
        <f t="shared" si="0"/>
        <v>3.9256129477617141E-2</v>
      </c>
    </row>
    <row r="21" spans="1:15" x14ac:dyDescent="0.25">
      <c r="A21" s="1" t="s">
        <v>109</v>
      </c>
      <c r="B21" s="13" t="s">
        <v>110</v>
      </c>
      <c r="C21" s="10">
        <v>1000000</v>
      </c>
      <c r="D21" s="11">
        <v>1000000000</v>
      </c>
      <c r="E21" s="3">
        <v>0.1389</v>
      </c>
      <c r="F21" s="4" t="s">
        <v>111</v>
      </c>
      <c r="G21" s="4" t="s">
        <v>112</v>
      </c>
      <c r="H21" s="11">
        <v>1000000000</v>
      </c>
      <c r="I21" s="11">
        <v>97.981496567855089</v>
      </c>
      <c r="J21" s="11">
        <v>100.952413234522</v>
      </c>
      <c r="K21" s="11">
        <v>29709166.66666666</v>
      </c>
      <c r="L21" s="11">
        <v>1009524132.345217</v>
      </c>
      <c r="M21" s="6">
        <f t="shared" si="0"/>
        <v>3.4066417008178647E-2</v>
      </c>
    </row>
    <row r="22" spans="1:15" x14ac:dyDescent="0.25">
      <c r="A22" s="1" t="s">
        <v>113</v>
      </c>
      <c r="B22" s="13" t="s">
        <v>114</v>
      </c>
      <c r="C22" s="10">
        <v>165739</v>
      </c>
      <c r="D22" s="11">
        <v>165739000</v>
      </c>
      <c r="E22" s="3">
        <v>0.125</v>
      </c>
      <c r="F22" s="4" t="s">
        <v>115</v>
      </c>
      <c r="G22" s="4" t="s">
        <v>116</v>
      </c>
      <c r="H22" s="11">
        <v>159596381.18279999</v>
      </c>
      <c r="I22" s="11">
        <v>95.497654778144195</v>
      </c>
      <c r="J22" s="11">
        <v>97.68515477813078</v>
      </c>
      <c r="K22" s="11">
        <v>3625540.62497778</v>
      </c>
      <c r="L22" s="11">
        <v>161902398.677726</v>
      </c>
      <c r="M22" s="6">
        <f t="shared" si="0"/>
        <v>5.4634004787651241E-3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1120576483.4124777</v>
      </c>
      <c r="L24" s="22">
        <f>SUM(L4:L23)</f>
        <v>29633997966.468002</v>
      </c>
      <c r="M24" s="23"/>
      <c r="N24" s="26">
        <v>29633997966.468025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4334378.4000000004</v>
      </c>
      <c r="C27" s="51">
        <v>4334378.4000000004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9294</v>
      </c>
      <c r="D32" s="7" t="s">
        <v>51</v>
      </c>
      <c r="E32" s="34" t="s">
        <v>52</v>
      </c>
      <c r="F32" s="34" t="s">
        <v>53</v>
      </c>
      <c r="G32" s="15">
        <v>645.91999999999996</v>
      </c>
      <c r="H32" s="15">
        <v>646.74288465676807</v>
      </c>
      <c r="I32" s="16">
        <f t="shared" ref="I32:I42" si="1">+C32*G32</f>
        <v>6003180.4799999995</v>
      </c>
      <c r="J32" s="16">
        <f t="shared" ref="J32:J42" si="2">+C32*H32</f>
        <v>6010828.370000002</v>
      </c>
      <c r="K32" s="18">
        <v>0.155</v>
      </c>
      <c r="L32" s="17"/>
      <c r="M32" s="17">
        <v>6003180.4800000004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1394100</v>
      </c>
      <c r="D33" s="7" t="s">
        <v>51</v>
      </c>
      <c r="E33" s="34" t="s">
        <v>52</v>
      </c>
      <c r="F33" s="34" t="s">
        <v>53</v>
      </c>
      <c r="G33" s="15">
        <v>645.91999999999996</v>
      </c>
      <c r="H33" s="15">
        <v>646.74288438419103</v>
      </c>
      <c r="I33" s="16">
        <f t="shared" si="1"/>
        <v>900477072</v>
      </c>
      <c r="J33" s="16">
        <f t="shared" si="2"/>
        <v>901624255.12000072</v>
      </c>
      <c r="K33" s="18">
        <v>0.155</v>
      </c>
      <c r="L33" s="17"/>
      <c r="M33" s="17">
        <v>900477072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2013700</v>
      </c>
      <c r="D34" s="7" t="s">
        <v>51</v>
      </c>
      <c r="E34" s="34" t="s">
        <v>52</v>
      </c>
      <c r="F34" s="34" t="s">
        <v>53</v>
      </c>
      <c r="G34" s="15">
        <v>645.91999999999996</v>
      </c>
      <c r="H34" s="15">
        <v>646.742884381983</v>
      </c>
      <c r="I34" s="16">
        <f t="shared" si="1"/>
        <v>1300689104</v>
      </c>
      <c r="J34" s="16">
        <f t="shared" si="2"/>
        <v>1302346146.2799993</v>
      </c>
      <c r="K34" s="18">
        <v>0.155</v>
      </c>
      <c r="L34" s="17"/>
      <c r="M34" s="17">
        <v>1300689104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455772</v>
      </c>
      <c r="D35" s="7" t="s">
        <v>51</v>
      </c>
      <c r="E35" s="34" t="s">
        <v>52</v>
      </c>
      <c r="F35" s="34" t="s">
        <v>52</v>
      </c>
      <c r="G35" s="15">
        <v>500.33760000614302</v>
      </c>
      <c r="H35" s="15">
        <v>500.55007350166301</v>
      </c>
      <c r="I35" s="16">
        <f t="shared" si="1"/>
        <v>228039868.62999982</v>
      </c>
      <c r="J35" s="16">
        <f t="shared" si="2"/>
        <v>228136708.09999996</v>
      </c>
      <c r="K35" s="18">
        <v>0.155001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455772</v>
      </c>
      <c r="D36" s="7" t="s">
        <v>51</v>
      </c>
      <c r="E36" s="34" t="s">
        <v>56</v>
      </c>
      <c r="F36" s="34" t="s">
        <v>52</v>
      </c>
      <c r="G36" s="15">
        <v>500.33760000614302</v>
      </c>
      <c r="H36" s="15">
        <v>500.55007350166301</v>
      </c>
      <c r="I36" s="16">
        <f t="shared" si="1"/>
        <v>228039868.62999982</v>
      </c>
      <c r="J36" s="16">
        <f t="shared" si="2"/>
        <v>228136708.09999996</v>
      </c>
      <c r="K36" s="18">
        <v>0.155001</v>
      </c>
      <c r="L36" s="17">
        <v>96839.47</v>
      </c>
      <c r="M36" s="17"/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2007856</v>
      </c>
      <c r="D37" s="7" t="s">
        <v>51</v>
      </c>
      <c r="E37" s="34" t="s">
        <v>52</v>
      </c>
      <c r="F37" s="34" t="s">
        <v>52</v>
      </c>
      <c r="G37" s="15">
        <v>534.03710000119497</v>
      </c>
      <c r="H37" s="15">
        <v>534.26388580655203</v>
      </c>
      <c r="I37" s="16">
        <f t="shared" si="1"/>
        <v>1072269595.4599993</v>
      </c>
      <c r="J37" s="16">
        <f t="shared" si="2"/>
        <v>1072724948.7000003</v>
      </c>
      <c r="K37" s="18">
        <v>0.155002</v>
      </c>
      <c r="L37" s="17"/>
      <c r="M37" s="17"/>
      <c r="N37" s="35"/>
    </row>
    <row r="38" spans="1:15" s="36" customFormat="1" ht="12" customHeight="1" x14ac:dyDescent="0.25">
      <c r="A38" s="12" t="s">
        <v>57</v>
      </c>
      <c r="B38" s="7" t="s">
        <v>58</v>
      </c>
      <c r="C38" s="14">
        <v>2007856</v>
      </c>
      <c r="D38" s="7" t="s">
        <v>51</v>
      </c>
      <c r="E38" s="34" t="s">
        <v>56</v>
      </c>
      <c r="F38" s="34" t="s">
        <v>52</v>
      </c>
      <c r="G38" s="15">
        <v>534.03710000119497</v>
      </c>
      <c r="H38" s="15">
        <v>534.26388580655203</v>
      </c>
      <c r="I38" s="16">
        <f t="shared" si="1"/>
        <v>1072269595.4599993</v>
      </c>
      <c r="J38" s="16">
        <f t="shared" si="2"/>
        <v>1072724948.7000003</v>
      </c>
      <c r="K38" s="18">
        <v>0.155002</v>
      </c>
      <c r="L38" s="17">
        <v>455353.24</v>
      </c>
      <c r="M38" s="17"/>
      <c r="N38" s="35"/>
    </row>
    <row r="39" spans="1:15" s="36" customFormat="1" ht="12" customHeight="1" x14ac:dyDescent="0.25">
      <c r="A39" s="12" t="s">
        <v>57</v>
      </c>
      <c r="B39" s="7" t="s">
        <v>58</v>
      </c>
      <c r="C39" s="14">
        <v>11238</v>
      </c>
      <c r="D39" s="7" t="s">
        <v>51</v>
      </c>
      <c r="E39" s="34" t="s">
        <v>52</v>
      </c>
      <c r="F39" s="34" t="s">
        <v>52</v>
      </c>
      <c r="G39" s="15">
        <v>534.037100017797</v>
      </c>
      <c r="H39" s="15">
        <v>534.26388414308599</v>
      </c>
      <c r="I39" s="16">
        <f t="shared" si="1"/>
        <v>6001508.9300000025</v>
      </c>
      <c r="J39" s="16">
        <f t="shared" si="2"/>
        <v>6004057.5300000003</v>
      </c>
      <c r="K39" s="18">
        <v>0.155001</v>
      </c>
      <c r="L39" s="17"/>
      <c r="M39" s="17"/>
      <c r="N39" s="35"/>
    </row>
    <row r="40" spans="1:15" s="36" customFormat="1" ht="12" customHeight="1" x14ac:dyDescent="0.25">
      <c r="A40" s="12" t="s">
        <v>57</v>
      </c>
      <c r="B40" s="7" t="s">
        <v>58</v>
      </c>
      <c r="C40" s="14">
        <v>11238</v>
      </c>
      <c r="D40" s="7" t="s">
        <v>51</v>
      </c>
      <c r="E40" s="34" t="s">
        <v>56</v>
      </c>
      <c r="F40" s="34" t="s">
        <v>52</v>
      </c>
      <c r="G40" s="15">
        <v>534.037100017797</v>
      </c>
      <c r="H40" s="15">
        <v>534.26388414308599</v>
      </c>
      <c r="I40" s="16">
        <f t="shared" si="1"/>
        <v>6001508.9300000025</v>
      </c>
      <c r="J40" s="16">
        <f t="shared" si="2"/>
        <v>6004057.5300000003</v>
      </c>
      <c r="K40" s="18">
        <v>0.155001</v>
      </c>
      <c r="L40" s="17">
        <v>2548.6</v>
      </c>
      <c r="M40" s="17"/>
      <c r="N40" s="35"/>
    </row>
    <row r="41" spans="1:15" s="36" customFormat="1" ht="12" customHeight="1" x14ac:dyDescent="0.25">
      <c r="A41" s="12" t="s">
        <v>57</v>
      </c>
      <c r="B41" s="7" t="s">
        <v>58</v>
      </c>
      <c r="C41" s="14">
        <v>1685700</v>
      </c>
      <c r="D41" s="7" t="s">
        <v>51</v>
      </c>
      <c r="E41" s="34" t="s">
        <v>52</v>
      </c>
      <c r="F41" s="34" t="s">
        <v>52</v>
      </c>
      <c r="G41" s="15">
        <v>534.03710000000001</v>
      </c>
      <c r="H41" s="15">
        <v>534.26388433885006</v>
      </c>
      <c r="I41" s="16">
        <f t="shared" si="1"/>
        <v>900226339.47000003</v>
      </c>
      <c r="J41" s="16">
        <f t="shared" si="2"/>
        <v>900608629.82999957</v>
      </c>
      <c r="K41" s="18">
        <v>0.155001</v>
      </c>
      <c r="L41" s="17"/>
      <c r="M41" s="17"/>
      <c r="N41" s="35"/>
    </row>
    <row r="42" spans="1:15" s="36" customFormat="1" ht="12" customHeight="1" x14ac:dyDescent="0.25">
      <c r="A42" s="12" t="s">
        <v>57</v>
      </c>
      <c r="B42" s="7" t="s">
        <v>58</v>
      </c>
      <c r="C42" s="14">
        <v>1685700</v>
      </c>
      <c r="D42" s="7" t="s">
        <v>51</v>
      </c>
      <c r="E42" s="34" t="s">
        <v>56</v>
      </c>
      <c r="F42" s="34" t="s">
        <v>52</v>
      </c>
      <c r="G42" s="15">
        <v>534.03710000000001</v>
      </c>
      <c r="H42" s="15">
        <v>534.26388433885006</v>
      </c>
      <c r="I42" s="16">
        <f t="shared" si="1"/>
        <v>900226339.47000003</v>
      </c>
      <c r="J42" s="16">
        <f t="shared" si="2"/>
        <v>900608629.82999957</v>
      </c>
      <c r="K42" s="18">
        <v>0.155001</v>
      </c>
      <c r="L42" s="17">
        <v>382290.36</v>
      </c>
      <c r="M42" s="17"/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2207169356.48</v>
      </c>
      <c r="N44" s="38">
        <v>2207169356.48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31845501701.348003</v>
      </c>
      <c r="C51" s="32">
        <v>31845501701.34803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254898.84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9"/>
    </row>
    <row r="60" spans="1:7" x14ac:dyDescent="0.25">
      <c r="A60" s="48" t="s">
        <v>40</v>
      </c>
      <c r="B60" s="50">
        <v>56486.590000000004</v>
      </c>
    </row>
    <row r="61" spans="1:7" x14ac:dyDescent="0.25">
      <c r="A61" s="48" t="s">
        <v>41</v>
      </c>
      <c r="B61" s="50">
        <v>28071.750000000004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339457.18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2025-08-18T06:57:38Z</dcterms:created>
  <dcterms:modified xsi:type="dcterms:W3CDTF">2025-08-18T07:44:57Z</dcterms:modified>
</cp:coreProperties>
</file>