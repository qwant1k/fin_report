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5F57593F-2F1E-4CF2-8E4C-B45151601C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6" i="1"/>
  <c r="D27" i="1"/>
  <c r="B57" i="1"/>
  <c r="G41" i="1"/>
  <c r="M36" i="1"/>
  <c r="J34" i="1"/>
  <c r="I34" i="1"/>
  <c r="J33" i="1"/>
  <c r="I33" i="1"/>
  <c r="J32" i="1"/>
  <c r="I32" i="1"/>
  <c r="L24" i="1"/>
  <c r="M22" i="1" s="1"/>
  <c r="K24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B43" i="1" l="1"/>
  <c r="O24" i="1" l="1"/>
</calcChain>
</file>

<file path=xl/sharedStrings.xml><?xml version="1.0" encoding="utf-8"?>
<sst xmlns="http://schemas.openxmlformats.org/spreadsheetml/2006/main" count="145" uniqueCount="113">
  <si>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</si>
  <si>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</si>
  <si>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</si>
  <si>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</si>
  <si>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</si>
  <si>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</si>
  <si>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</si>
  <si>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</si>
  <si>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</si>
  <si>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</si>
  <si>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</si>
  <si>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</si>
  <si>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</si>
  <si>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</si>
  <si>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</si>
  <si>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</si>
  <si>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</si>
  <si>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</si>
  <si>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</si>
  <si>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</si>
  <si>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</si>
  <si>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</si>
  <si>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</si>
  <si>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</si>
  <si>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</si>
  <si>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</si>
  <si>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</si>
  <si>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</si>
  <si>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</si>
  <si>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</si>
  <si>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</si>
  <si>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</si>
  <si>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</si>
  <si>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</si>
  <si>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</si>
  <si>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</si>
  <si>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</si>
  <si>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</si>
  <si>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</si>
  <si>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</si>
  <si>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</si>
  <si>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</si>
  <si>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</si>
  <si>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</si>
  <si>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</si>
  <si>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</si>
  <si>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</si>
  <si>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</si>
  <si>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</si>
  <si>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</si>
  <si>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</si>
  <si>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</si>
  <si>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15.08.2025</t>
  </si>
  <si>
    <t>18.08.2025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</si>
  <si>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</si>
  <si>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</si>
  <si>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</si>
  <si>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</si>
  <si>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</si>
  <si>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</si>
  <si>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</si>
  <si>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</si>
  <si>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</si>
  <si>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</si>
  <si>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</si>
  <si>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</si>
  <si>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</si>
  <si>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</si>
  <si>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</si>
  <si>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</si>
  <si>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</si>
  <si>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</si>
  <si>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</si>
  <si>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</si>
  <si>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</si>
  <si>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</si>
  <si>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</si>
  <si>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</si>
  <si>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</si>
  <si>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</si>
  <si>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</si>
  <si>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</si>
  <si>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</si>
  <si>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</si>
  <si>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</si>
  <si>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</si>
  <si>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</si>
  <si>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</si>
  <si>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</si>
  <si>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</si>
  <si>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</si>
  <si>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</si>
  <si>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</si>
  <si>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</si>
  <si>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</si>
  <si>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</si>
  <si>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</si>
  <si>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</si>
  <si>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</si>
  <si>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</si>
  <si>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</si>
  <si>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</si>
  <si>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</si>
  <si>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</si>
  <si>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</si>
  <si>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</si>
  <si>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</si>
  <si>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</si>
  <si>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</si>
  <si>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</si>
  <si>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</si>
  <si>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</si>
  <si>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17.08.2025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</si>
</sst>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13" zoomScale="90" zoomScaleNormal="90" workbookViewId="0">
      <selection activeCell="D44" sqref="D4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5" width="16.42578125" style="26" bestFit="1" customWidth="1"/>
    <col min="16" max="16384" width="8.85546875" style="26"/>
  </cols>
  <sheetData>
    <row r="1" spans="1:13" x14ac:dyDescent="0.25">
      <c r="A1" s="24" t="s">
        <v>27</v>
      </c>
      <c r="B1" s="25" t="s">
        <v>112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54</v>
      </c>
      <c r="B4" s="13" t="s">
        <v>55</v>
      </c>
      <c r="C4" s="10">
        <v>3020000</v>
      </c>
      <c r="D4" s="11">
        <v>3020000000</v>
      </c>
      <c r="E4" s="3">
        <v>0.1067</v>
      </c>
      <c r="F4" s="4" t="s">
        <v>56</v>
      </c>
      <c r="G4" s="4" t="s">
        <v>57</v>
      </c>
      <c r="H4" s="11">
        <v>2930617060.0000029</v>
      </c>
      <c r="I4" s="11">
        <v>97.792000000000002</v>
      </c>
      <c r="J4" s="11">
        <v>98.56261111111111</v>
      </c>
      <c r="K4" s="11">
        <v>23272455.555555549</v>
      </c>
      <c r="L4" s="11">
        <v>2976590855.5555549</v>
      </c>
      <c r="M4" s="6">
        <f t="shared" ref="M4:M22" si="0">L4/$L$24</f>
        <v>0.10037973784131626</v>
      </c>
    </row>
    <row r="5" spans="1:13" x14ac:dyDescent="0.25">
      <c r="A5" s="1" t="s">
        <v>58</v>
      </c>
      <c r="B5" s="13" t="s">
        <v>59</v>
      </c>
      <c r="C5" s="10">
        <v>2265000</v>
      </c>
      <c r="D5" s="11">
        <v>2265000000</v>
      </c>
      <c r="E5" s="3">
        <v>0.10550000000000001</v>
      </c>
      <c r="F5" s="4" t="s">
        <v>56</v>
      </c>
      <c r="G5" s="4" t="s">
        <v>60</v>
      </c>
      <c r="H5" s="11">
        <v>2039188560.0000031</v>
      </c>
      <c r="I5" s="11">
        <v>82.39970000000001</v>
      </c>
      <c r="J5" s="11">
        <v>82.956505555555552</v>
      </c>
      <c r="K5" s="11">
        <v>12611645.83333333</v>
      </c>
      <c r="L5" s="11">
        <v>1878964850.833333</v>
      </c>
      <c r="M5" s="6">
        <f t="shared" si="0"/>
        <v>6.3364435453960116E-2</v>
      </c>
    </row>
    <row r="6" spans="1:13" x14ac:dyDescent="0.25">
      <c r="A6" s="1" t="s">
        <v>58</v>
      </c>
      <c r="B6" s="13" t="s">
        <v>59</v>
      </c>
      <c r="C6" s="10">
        <v>1551646</v>
      </c>
      <c r="D6" s="11">
        <v>1551646000</v>
      </c>
      <c r="E6" s="3">
        <v>0.10550000000000001</v>
      </c>
      <c r="F6" s="4" t="s">
        <v>61</v>
      </c>
      <c r="G6" s="4" t="s">
        <v>60</v>
      </c>
      <c r="H6" s="11">
        <v>1395452658.7</v>
      </c>
      <c r="I6" s="11">
        <v>82.39970000000001</v>
      </c>
      <c r="J6" s="11">
        <v>82.956505555555808</v>
      </c>
      <c r="K6" s="11">
        <v>8639651.1305555608</v>
      </c>
      <c r="L6" s="11">
        <v>1287191300.192559</v>
      </c>
      <c r="M6" s="6">
        <f t="shared" si="0"/>
        <v>4.3408023317613988E-2</v>
      </c>
    </row>
    <row r="7" spans="1:13" x14ac:dyDescent="0.25">
      <c r="A7" s="1" t="s">
        <v>58</v>
      </c>
      <c r="B7" s="13" t="s">
        <v>59</v>
      </c>
      <c r="C7" s="10">
        <v>545692</v>
      </c>
      <c r="D7" s="11">
        <v>545692000</v>
      </c>
      <c r="E7" s="3">
        <v>0.10550000000000001</v>
      </c>
      <c r="F7" s="4" t="s">
        <v>62</v>
      </c>
      <c r="G7" s="4" t="s">
        <v>60</v>
      </c>
      <c r="H7" s="11">
        <v>449784993.92000002</v>
      </c>
      <c r="I7" s="11">
        <v>82.39970000000001</v>
      </c>
      <c r="J7" s="11">
        <v>82.956505555555552</v>
      </c>
      <c r="K7" s="11">
        <v>3038443.3722222201</v>
      </c>
      <c r="L7" s="11">
        <v>452687014.29622197</v>
      </c>
      <c r="M7" s="6">
        <f t="shared" si="0"/>
        <v>1.5265989188407238E-2</v>
      </c>
    </row>
    <row r="8" spans="1:13" x14ac:dyDescent="0.25">
      <c r="A8" s="1" t="s">
        <v>63</v>
      </c>
      <c r="B8" s="13" t="s">
        <v>64</v>
      </c>
      <c r="C8" s="10">
        <v>2265000</v>
      </c>
      <c r="D8" s="11">
        <v>2265000000</v>
      </c>
      <c r="E8" s="3">
        <v>0.10400000000000001</v>
      </c>
      <c r="F8" s="4" t="s">
        <v>56</v>
      </c>
      <c r="G8" s="4" t="s">
        <v>65</v>
      </c>
      <c r="H8" s="11">
        <v>2073109200</v>
      </c>
      <c r="I8" s="11">
        <v>86.186999999999998</v>
      </c>
      <c r="J8" s="11">
        <v>89.798111111111112</v>
      </c>
      <c r="K8" s="11">
        <v>81791666.666666657</v>
      </c>
      <c r="L8" s="11">
        <v>2033927216.666666</v>
      </c>
      <c r="M8" s="6">
        <f t="shared" si="0"/>
        <v>6.859023987669019E-2</v>
      </c>
    </row>
    <row r="9" spans="1:13" x14ac:dyDescent="0.25">
      <c r="A9" s="1" t="s">
        <v>66</v>
      </c>
      <c r="B9" s="13" t="s">
        <v>67</v>
      </c>
      <c r="C9" s="10">
        <v>2265000</v>
      </c>
      <c r="D9" s="11">
        <v>2265000000</v>
      </c>
      <c r="E9" s="3">
        <v>0.11</v>
      </c>
      <c r="F9" s="4" t="s">
        <v>56</v>
      </c>
      <c r="G9" s="4" t="s">
        <v>68</v>
      </c>
      <c r="H9" s="11">
        <v>2080889475</v>
      </c>
      <c r="I9" s="11">
        <v>84.344300000000004</v>
      </c>
      <c r="J9" s="11">
        <v>88.530411111111107</v>
      </c>
      <c r="K9" s="11">
        <v>94815416.666666657</v>
      </c>
      <c r="L9" s="11">
        <v>2005213811.666666</v>
      </c>
      <c r="M9" s="6">
        <f t="shared" si="0"/>
        <v>6.7621936133818686E-2</v>
      </c>
    </row>
    <row r="10" spans="1:13" x14ac:dyDescent="0.25">
      <c r="A10" s="1" t="s">
        <v>69</v>
      </c>
      <c r="B10" s="13" t="s">
        <v>70</v>
      </c>
      <c r="C10" s="10">
        <v>2265000</v>
      </c>
      <c r="D10" s="11">
        <v>2265000000</v>
      </c>
      <c r="E10" s="3">
        <v>0.10300000000000001</v>
      </c>
      <c r="F10" s="4" t="s">
        <v>56</v>
      </c>
      <c r="G10" s="4" t="s">
        <v>71</v>
      </c>
      <c r="H10" s="11">
        <v>1963990560.0000031</v>
      </c>
      <c r="I10" s="11">
        <v>77.232200000000006</v>
      </c>
      <c r="J10" s="11">
        <v>81.523866666666663</v>
      </c>
      <c r="K10" s="11">
        <v>97206250</v>
      </c>
      <c r="L10" s="11">
        <v>1846515580</v>
      </c>
      <c r="M10" s="6">
        <f t="shared" si="0"/>
        <v>6.2270146901231262E-2</v>
      </c>
    </row>
    <row r="11" spans="1:13" x14ac:dyDescent="0.25">
      <c r="A11" s="1" t="s">
        <v>72</v>
      </c>
      <c r="B11" s="13" t="s">
        <v>73</v>
      </c>
      <c r="C11" s="10">
        <v>2265000</v>
      </c>
      <c r="D11" s="11">
        <v>2265000000</v>
      </c>
      <c r="E11" s="3">
        <v>8.4500000000000006E-2</v>
      </c>
      <c r="F11" s="4" t="s">
        <v>56</v>
      </c>
      <c r="G11" s="4" t="s">
        <v>74</v>
      </c>
      <c r="H11" s="11">
        <v>1740247065.0000031</v>
      </c>
      <c r="I11" s="11">
        <v>67.849900000000005</v>
      </c>
      <c r="J11" s="11">
        <v>70.690038888888878</v>
      </c>
      <c r="K11" s="11">
        <v>64329145.833333328</v>
      </c>
      <c r="L11" s="11">
        <v>1601129380.833333</v>
      </c>
      <c r="M11" s="6">
        <f t="shared" si="0"/>
        <v>5.3994974552215316E-2</v>
      </c>
    </row>
    <row r="12" spans="1:13" x14ac:dyDescent="0.25">
      <c r="A12" s="1" t="s">
        <v>75</v>
      </c>
      <c r="B12" s="13" t="s">
        <v>76</v>
      </c>
      <c r="C12" s="10">
        <v>2265000</v>
      </c>
      <c r="D12" s="11">
        <v>2265000000</v>
      </c>
      <c r="E12" s="3">
        <v>0.10650000000000001</v>
      </c>
      <c r="F12" s="4" t="s">
        <v>56</v>
      </c>
      <c r="G12" s="4" t="s">
        <v>77</v>
      </c>
      <c r="H12" s="11">
        <v>1967775375</v>
      </c>
      <c r="I12" s="11">
        <v>75.868200000000002</v>
      </c>
      <c r="J12" s="11">
        <v>76.489449999999991</v>
      </c>
      <c r="K12" s="11">
        <v>14071312.5</v>
      </c>
      <c r="L12" s="11">
        <v>1732486042.5</v>
      </c>
      <c r="M12" s="6">
        <f t="shared" si="0"/>
        <v>5.8424722509412996E-2</v>
      </c>
    </row>
    <row r="13" spans="1:13" x14ac:dyDescent="0.25">
      <c r="A13" s="1" t="s">
        <v>78</v>
      </c>
      <c r="B13" s="13" t="s">
        <v>79</v>
      </c>
      <c r="C13" s="10">
        <v>2265000</v>
      </c>
      <c r="D13" s="11">
        <v>2265000000</v>
      </c>
      <c r="E13" s="3">
        <v>8.0700000000000008E-2</v>
      </c>
      <c r="F13" s="4" t="s">
        <v>56</v>
      </c>
      <c r="G13" s="4" t="s">
        <v>80</v>
      </c>
      <c r="H13" s="11">
        <v>1622351550</v>
      </c>
      <c r="I13" s="11">
        <v>61.607700000000001</v>
      </c>
      <c r="J13" s="11">
        <v>63.73728333333333</v>
      </c>
      <c r="K13" s="11">
        <v>48235062.5</v>
      </c>
      <c r="L13" s="11">
        <v>1443649467.5</v>
      </c>
      <c r="M13" s="6">
        <f t="shared" si="0"/>
        <v>4.8684270736079734E-2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56</v>
      </c>
      <c r="G14" s="4" t="s">
        <v>81</v>
      </c>
      <c r="H14" s="11">
        <v>1597764975</v>
      </c>
      <c r="I14" s="11">
        <v>60.198300000000003</v>
      </c>
      <c r="J14" s="11">
        <v>64.636800000000008</v>
      </c>
      <c r="K14" s="11">
        <v>100532025</v>
      </c>
      <c r="L14" s="11">
        <v>1464023520</v>
      </c>
      <c r="M14" s="6">
        <f t="shared" si="0"/>
        <v>4.9371346033948812E-2</v>
      </c>
    </row>
    <row r="15" spans="1:13" x14ac:dyDescent="0.25">
      <c r="A15" s="1" t="s">
        <v>82</v>
      </c>
      <c r="B15" s="13" t="s">
        <v>83</v>
      </c>
      <c r="C15" s="10">
        <v>3775000</v>
      </c>
      <c r="D15" s="11">
        <v>3775000000</v>
      </c>
      <c r="E15" s="3">
        <v>5.4900000000000004E-2</v>
      </c>
      <c r="F15" s="4" t="s">
        <v>56</v>
      </c>
      <c r="G15" s="4" t="s">
        <v>84</v>
      </c>
      <c r="H15" s="11">
        <v>3136670150</v>
      </c>
      <c r="I15" s="11">
        <v>84.380300000000005</v>
      </c>
      <c r="J15" s="11">
        <v>86.515300000000011</v>
      </c>
      <c r="K15" s="11">
        <v>80596250</v>
      </c>
      <c r="L15" s="11">
        <v>3265952575</v>
      </c>
      <c r="M15" s="6">
        <f t="shared" si="0"/>
        <v>0.11013789908975721</v>
      </c>
    </row>
    <row r="16" spans="1:13" x14ac:dyDescent="0.25">
      <c r="A16" s="1" t="s">
        <v>85</v>
      </c>
      <c r="B16" s="13" t="s">
        <v>86</v>
      </c>
      <c r="C16" s="10">
        <v>2803860</v>
      </c>
      <c r="D16" s="11">
        <v>2803860000</v>
      </c>
      <c r="E16" s="3">
        <v>5.5E-2</v>
      </c>
      <c r="F16" s="4" t="s">
        <v>87</v>
      </c>
      <c r="G16" s="4" t="s">
        <v>88</v>
      </c>
      <c r="H16" s="11">
        <v>1773018067.1400001</v>
      </c>
      <c r="I16" s="11">
        <v>56.547400000000003</v>
      </c>
      <c r="J16" s="11">
        <v>58.27378888888888</v>
      </c>
      <c r="K16" s="11">
        <v>48405527.5</v>
      </c>
      <c r="L16" s="11">
        <v>1633915457.1400001</v>
      </c>
      <c r="M16" s="6">
        <f t="shared" si="0"/>
        <v>5.5100621214525705E-2</v>
      </c>
    </row>
    <row r="17" spans="1:15" x14ac:dyDescent="0.25">
      <c r="A17" s="1" t="s">
        <v>89</v>
      </c>
      <c r="B17" s="13" t="s">
        <v>90</v>
      </c>
      <c r="C17" s="10">
        <v>1038480</v>
      </c>
      <c r="D17" s="11">
        <v>1038480000</v>
      </c>
      <c r="E17" s="3">
        <v>0.12</v>
      </c>
      <c r="F17" s="4" t="s">
        <v>87</v>
      </c>
      <c r="G17" s="4" t="s">
        <v>91</v>
      </c>
      <c r="H17" s="11">
        <v>979029096.96000004</v>
      </c>
      <c r="I17" s="11">
        <v>84.894100000000009</v>
      </c>
      <c r="J17" s="11">
        <v>90.227433333333323</v>
      </c>
      <c r="K17" s="11">
        <v>55385600</v>
      </c>
      <c r="L17" s="11">
        <v>936993849.67999995</v>
      </c>
      <c r="M17" s="6">
        <f t="shared" si="0"/>
        <v>3.1598295349949769E-2</v>
      </c>
    </row>
    <row r="18" spans="1:15" x14ac:dyDescent="0.25">
      <c r="A18" s="1" t="s">
        <v>92</v>
      </c>
      <c r="B18" s="13" t="s">
        <v>93</v>
      </c>
      <c r="C18" s="10">
        <v>506989</v>
      </c>
      <c r="D18" s="11">
        <v>506989000</v>
      </c>
      <c r="E18" s="3">
        <v>0.1535</v>
      </c>
      <c r="F18" s="4" t="s">
        <v>94</v>
      </c>
      <c r="G18" s="4" t="s">
        <v>95</v>
      </c>
      <c r="H18" s="11">
        <v>492216861.50999999</v>
      </c>
      <c r="I18" s="11">
        <v>97.669700000000006</v>
      </c>
      <c r="J18" s="11">
        <v>101.46456111111101</v>
      </c>
      <c r="K18" s="11">
        <v>19239528.39861111</v>
      </c>
      <c r="L18" s="11">
        <v>514414163.73161101</v>
      </c>
      <c r="M18" s="6">
        <f t="shared" si="0"/>
        <v>1.7347617258469842E-2</v>
      </c>
    </row>
    <row r="19" spans="1:15" x14ac:dyDescent="0.25">
      <c r="A19" s="1" t="s">
        <v>96</v>
      </c>
      <c r="B19" s="13" t="s">
        <v>97</v>
      </c>
      <c r="C19" s="10">
        <v>2100000</v>
      </c>
      <c r="D19" s="11">
        <v>2100000000</v>
      </c>
      <c r="E19" s="3">
        <v>0.14300000000000002</v>
      </c>
      <c r="F19" s="4" t="s">
        <v>98</v>
      </c>
      <c r="G19" s="4" t="s">
        <v>99</v>
      </c>
      <c r="H19" s="11">
        <v>2100000000</v>
      </c>
      <c r="I19" s="11">
        <v>93.15325498501079</v>
      </c>
      <c r="J19" s="11">
        <v>106.817699429455</v>
      </c>
      <c r="K19" s="11">
        <v>286953333.33333302</v>
      </c>
      <c r="L19" s="11">
        <v>2243171688.0185599</v>
      </c>
      <c r="M19" s="6">
        <f t="shared" si="0"/>
        <v>7.5646602742230118E-2</v>
      </c>
    </row>
    <row r="20" spans="1:15" x14ac:dyDescent="0.25">
      <c r="A20" s="1" t="s">
        <v>100</v>
      </c>
      <c r="B20" s="13" t="s">
        <v>101</v>
      </c>
      <c r="C20" s="10">
        <v>1100000</v>
      </c>
      <c r="D20" s="11">
        <v>1100000000</v>
      </c>
      <c r="E20" s="3">
        <v>0.13870000000000002</v>
      </c>
      <c r="F20" s="4" t="s">
        <v>102</v>
      </c>
      <c r="G20" s="4" t="s">
        <v>103</v>
      </c>
      <c r="H20" s="11">
        <v>1100000000</v>
      </c>
      <c r="I20" s="11">
        <v>99.784199999999998</v>
      </c>
      <c r="J20" s="11">
        <v>105.83306111111101</v>
      </c>
      <c r="K20" s="11">
        <v>66537472.222222216</v>
      </c>
      <c r="L20" s="11">
        <v>1164163672.2222221</v>
      </c>
      <c r="M20" s="6">
        <f t="shared" si="0"/>
        <v>3.9259155823832589E-2</v>
      </c>
    </row>
    <row r="21" spans="1:15" x14ac:dyDescent="0.25">
      <c r="A21" s="1" t="s">
        <v>104</v>
      </c>
      <c r="B21" s="13" t="s">
        <v>105</v>
      </c>
      <c r="C21" s="10">
        <v>1000000</v>
      </c>
      <c r="D21" s="11">
        <v>1000000000</v>
      </c>
      <c r="E21" s="3">
        <v>0.1389</v>
      </c>
      <c r="F21" s="4" t="s">
        <v>106</v>
      </c>
      <c r="G21" s="4" t="s">
        <v>107</v>
      </c>
      <c r="H21" s="11">
        <v>1000000000</v>
      </c>
      <c r="I21" s="11">
        <v>97.981496567855089</v>
      </c>
      <c r="J21" s="11">
        <v>101.029579901188</v>
      </c>
      <c r="K21" s="11">
        <v>30480833.333333328</v>
      </c>
      <c r="L21" s="11">
        <v>1010295799.011884</v>
      </c>
      <c r="M21" s="6">
        <f t="shared" si="0"/>
        <v>3.4070261036284799E-2</v>
      </c>
    </row>
    <row r="22" spans="1:15" x14ac:dyDescent="0.25">
      <c r="A22" s="1" t="s">
        <v>108</v>
      </c>
      <c r="B22" s="13" t="s">
        <v>109</v>
      </c>
      <c r="C22" s="10">
        <v>165739</v>
      </c>
      <c r="D22" s="11">
        <v>165739000</v>
      </c>
      <c r="E22" s="3">
        <v>0.125</v>
      </c>
      <c r="F22" s="4" t="s">
        <v>110</v>
      </c>
      <c r="G22" s="4" t="s">
        <v>111</v>
      </c>
      <c r="H22" s="11">
        <v>159596381.18279999</v>
      </c>
      <c r="I22" s="11">
        <v>95.497654778144195</v>
      </c>
      <c r="J22" s="11">
        <v>97.754599222575223</v>
      </c>
      <c r="K22" s="11">
        <v>3740637.1527555599</v>
      </c>
      <c r="L22" s="11">
        <v>162017495.205504</v>
      </c>
      <c r="M22" s="6">
        <f t="shared" si="0"/>
        <v>5.4637249402554548E-3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1139882256.9985883</v>
      </c>
      <c r="L24" s="22">
        <f>SUM(L4:L23)</f>
        <v>29653303740.054111</v>
      </c>
      <c r="M24" s="23"/>
      <c r="N24" s="26">
        <v>29653303740.054134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4334378.4000000004</v>
      </c>
      <c r="C27" s="51">
        <v>4334378.4000000004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2013700</v>
      </c>
      <c r="D32" s="7" t="s">
        <v>51</v>
      </c>
      <c r="E32" s="34" t="s">
        <v>52</v>
      </c>
      <c r="F32" s="34" t="s">
        <v>53</v>
      </c>
      <c r="G32" s="15">
        <v>645.91999999999996</v>
      </c>
      <c r="H32" s="15">
        <v>646.742884381983</v>
      </c>
      <c r="I32" s="16">
        <f>+C32*G32</f>
        <v>1300689104</v>
      </c>
      <c r="J32" s="16">
        <f>+C32*H32</f>
        <v>1302346146.2799993</v>
      </c>
      <c r="K32" s="18">
        <v>0.155</v>
      </c>
      <c r="L32" s="17">
        <v>552347.42666666664</v>
      </c>
      <c r="M32" s="17">
        <v>1301793798.853333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1394100</v>
      </c>
      <c r="D33" s="7" t="s">
        <v>51</v>
      </c>
      <c r="E33" s="34" t="s">
        <v>52</v>
      </c>
      <c r="F33" s="34" t="s">
        <v>53</v>
      </c>
      <c r="G33" s="15">
        <v>645.91999999999996</v>
      </c>
      <c r="H33" s="15">
        <v>646.74288438419103</v>
      </c>
      <c r="I33" s="16">
        <f>+C33*G33</f>
        <v>900477072</v>
      </c>
      <c r="J33" s="16">
        <f>+C33*H33</f>
        <v>901624255.12000072</v>
      </c>
      <c r="K33" s="18">
        <v>0.155</v>
      </c>
      <c r="L33" s="17">
        <v>382394.37333333329</v>
      </c>
      <c r="M33" s="17">
        <v>901241860.74666703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9294</v>
      </c>
      <c r="D34" s="7" t="s">
        <v>51</v>
      </c>
      <c r="E34" s="34" t="s">
        <v>52</v>
      </c>
      <c r="F34" s="34" t="s">
        <v>53</v>
      </c>
      <c r="G34" s="15">
        <v>645.91999999999996</v>
      </c>
      <c r="H34" s="15">
        <v>646.74288465676807</v>
      </c>
      <c r="I34" s="16">
        <f>+C34*G34</f>
        <v>6003180.4799999995</v>
      </c>
      <c r="J34" s="16">
        <f>+C34*H34</f>
        <v>6010828.370000002</v>
      </c>
      <c r="K34" s="18">
        <v>0.155</v>
      </c>
      <c r="L34" s="17">
        <v>2549.2966666666662</v>
      </c>
      <c r="M34" s="17">
        <v>6008279.0733333305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2209043938.6733332</v>
      </c>
      <c r="N36" s="38">
        <v>2209043938.6733332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hidden="1" x14ac:dyDescent="0.25">
      <c r="B40" s="41"/>
      <c r="C40" s="42"/>
      <c r="D40" s="43"/>
      <c r="G40" s="44"/>
      <c r="H40" s="33"/>
    </row>
    <row r="41" spans="1:15" x14ac:dyDescent="0.25">
      <c r="G41" s="45">
        <f>SUM(G40:G40)</f>
        <v>0</v>
      </c>
    </row>
    <row r="43" spans="1:15" x14ac:dyDescent="0.25">
      <c r="A43" s="46" t="s">
        <v>13</v>
      </c>
      <c r="B43" s="47">
        <f>+L24+B27+M36+G41</f>
        <v>31866682057.127445</v>
      </c>
      <c r="C43" s="32">
        <v>31866682057.127468</v>
      </c>
      <c r="D43" s="29">
        <f>B43-C43</f>
        <v>0</v>
      </c>
    </row>
    <row r="46" spans="1:15" x14ac:dyDescent="0.25">
      <c r="A46" s="24" t="s">
        <v>46</v>
      </c>
      <c r="B46" s="33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254898.84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50">
        <v>56486.590000000004</v>
      </c>
    </row>
    <row r="53" spans="1:2" x14ac:dyDescent="0.25">
      <c r="A53" s="48" t="s">
        <v>41</v>
      </c>
      <c r="B53" s="50">
        <v>28071.750000000004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339457.18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2025-08-18T06:59:26Z</dcterms:created>
  <dcterms:modified xsi:type="dcterms:W3CDTF">2025-08-18T07:59:11Z</dcterms:modified>
</cp:coreProperties>
</file>