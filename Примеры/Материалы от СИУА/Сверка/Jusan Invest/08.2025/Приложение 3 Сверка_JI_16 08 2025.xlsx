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AEF8B6BA-5BB7-4A0D-8738-E66FE2444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6" i="1"/>
  <c r="O24" i="1"/>
  <c r="D27" i="1"/>
  <c r="B57" i="1"/>
  <c r="B43" i="1"/>
  <c r="G41" i="1"/>
  <c r="M36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<sst xmlns="http://schemas.openxmlformats.org/spreadsheetml/2006/main" count="145" uniqueCount="113">
  <si>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</si>
  <si>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</si>
  <si>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</si>
  <si>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</si>
  <si>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</si>
  <si>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</si>
  <si>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</si>
  <si>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</si>
  <si>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</si>
  <si>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</si>
  <si>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</si>
  <si>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</si>
  <si>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</si>
  <si>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</si>
  <si>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</si>
  <si>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</si>
  <si>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</si>
  <si>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</si>
  <si>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</si>
  <si>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</si>
  <si>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</si>
  <si>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</si>
  <si>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</si>
  <si>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</si>
  <si>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</si>
  <si>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</si>
  <si>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</si>
  <si>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</si>
  <si>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</si>
  <si>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</si>
  <si>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</si>
  <si>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</si>
  <si>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</si>
  <si>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</si>
  <si>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</si>
  <si>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</si>
  <si>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</si>
  <si>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</si>
  <si>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</si>
  <si>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</si>
  <si>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</si>
  <si>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</si>
  <si>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</si>
  <si>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</si>
  <si>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</si>
  <si>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</si>
  <si>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</si>
  <si>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</si>
  <si>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</si>
  <si>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</si>
  <si>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</si>
  <si>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</si>
  <si>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15.08.2025</t>
  </si>
  <si>
    <t>18.08.2025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</si>
  <si>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</si>
  <si>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</si>
  <si>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</si>
  <si>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</si>
  <si>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</si>
  <si>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</si>
  <si>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</si>
  <si>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</si>
  <si>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</si>
  <si>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</si>
  <si>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</si>
  <si>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</si>
  <si>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</si>
  <si>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</si>
  <si>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</si>
  <si>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</si>
  <si>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</si>
  <si>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</si>
  <si>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</si>
  <si>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</si>
  <si>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</si>
  <si>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</si>
  <si>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</si>
  <si>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</si>
  <si>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</si>
  <si>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</si>
  <si>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</si>
  <si>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</si>
  <si>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</si>
  <si>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</si>
  <si>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</si>
  <si>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</si>
  <si>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</si>
  <si>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</si>
  <si>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</si>
  <si>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</si>
  <si>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</si>
  <si>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</si>
  <si>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</si>
  <si>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</si>
  <si>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</si>
  <si>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</si>
  <si>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</si>
  <si>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</si>
  <si>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</si>
  <si>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</si>
  <si>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</si>
  <si>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</si>
  <si>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</si>
  <si>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</si>
  <si>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</si>
  <si>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</si>
  <si>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</si>
  <si>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</si>
  <si>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</si>
  <si>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</si>
  <si>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</si>
  <si>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</si>
  <si>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16.08.2025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</si>
</sst>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19" zoomScale="90" zoomScaleNormal="90" workbookViewId="0">
      <selection activeCell="C43" sqref="C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54</v>
      </c>
      <c r="B4" s="13" t="s">
        <v>55</v>
      </c>
      <c r="C4" s="10">
        <v>3020000</v>
      </c>
      <c r="D4" s="11">
        <v>3020000000</v>
      </c>
      <c r="E4" s="3">
        <v>0.1067</v>
      </c>
      <c r="F4" s="4" t="s">
        <v>56</v>
      </c>
      <c r="G4" s="4" t="s">
        <v>57</v>
      </c>
      <c r="H4" s="11">
        <v>2930617060.0000029</v>
      </c>
      <c r="I4" s="11">
        <v>97.792000000000002</v>
      </c>
      <c r="J4" s="11">
        <v>98.532972222222213</v>
      </c>
      <c r="K4" s="11">
        <v>22377361.111111108</v>
      </c>
      <c r="L4" s="11">
        <v>2975695761.1111112</v>
      </c>
      <c r="M4" s="6">
        <f t="shared" ref="M4:M22" si="0">L4/$L$24</f>
        <v>0.10038222943054799</v>
      </c>
    </row>
    <row r="5" spans="1:13" x14ac:dyDescent="0.25">
      <c r="A5" s="1" t="s">
        <v>58</v>
      </c>
      <c r="B5" s="13" t="s">
        <v>59</v>
      </c>
      <c r="C5" s="10">
        <v>2265000</v>
      </c>
      <c r="D5" s="11">
        <v>2265000000</v>
      </c>
      <c r="E5" s="3">
        <v>0.10550000000000001</v>
      </c>
      <c r="F5" s="4" t="s">
        <v>56</v>
      </c>
      <c r="G5" s="4" t="s">
        <v>60</v>
      </c>
      <c r="H5" s="11">
        <v>2039188560.0000031</v>
      </c>
      <c r="I5" s="11">
        <v>82.39970000000001</v>
      </c>
      <c r="J5" s="11">
        <v>82.927199999999985</v>
      </c>
      <c r="K5" s="11">
        <v>11947874.999999991</v>
      </c>
      <c r="L5" s="11">
        <v>1878301079.999999</v>
      </c>
      <c r="M5" s="6">
        <f t="shared" si="0"/>
        <v>6.3362677198492562E-2</v>
      </c>
    </row>
    <row r="6" spans="1:13" x14ac:dyDescent="0.25">
      <c r="A6" s="1" t="s">
        <v>58</v>
      </c>
      <c r="B6" s="13" t="s">
        <v>59</v>
      </c>
      <c r="C6" s="10">
        <v>1551646</v>
      </c>
      <c r="D6" s="11">
        <v>1551646000</v>
      </c>
      <c r="E6" s="3">
        <v>0.10550000000000001</v>
      </c>
      <c r="F6" s="4" t="s">
        <v>61</v>
      </c>
      <c r="G6" s="4" t="s">
        <v>60</v>
      </c>
      <c r="H6" s="11">
        <v>1395452658.7</v>
      </c>
      <c r="I6" s="11">
        <v>82.39970000000001</v>
      </c>
      <c r="J6" s="11">
        <v>82.927200000000241</v>
      </c>
      <c r="K6" s="11">
        <v>8184932.6500000004</v>
      </c>
      <c r="L6" s="11">
        <v>1286736581.7120039</v>
      </c>
      <c r="M6" s="6">
        <f t="shared" si="0"/>
        <v>4.3406818818689866E-2</v>
      </c>
    </row>
    <row r="7" spans="1:13" x14ac:dyDescent="0.25">
      <c r="A7" s="1" t="s">
        <v>58</v>
      </c>
      <c r="B7" s="13" t="s">
        <v>59</v>
      </c>
      <c r="C7" s="10">
        <v>545692</v>
      </c>
      <c r="D7" s="11">
        <v>545692000</v>
      </c>
      <c r="E7" s="3">
        <v>0.10550000000000001</v>
      </c>
      <c r="F7" s="4" t="s">
        <v>62</v>
      </c>
      <c r="G7" s="4" t="s">
        <v>60</v>
      </c>
      <c r="H7" s="11">
        <v>449784993.92000002</v>
      </c>
      <c r="I7" s="11">
        <v>82.39970000000001</v>
      </c>
      <c r="J7" s="11">
        <v>82.927199999999999</v>
      </c>
      <c r="K7" s="11">
        <v>2878525.3</v>
      </c>
      <c r="L7" s="11">
        <v>452527096.22399998</v>
      </c>
      <c r="M7" s="6">
        <f t="shared" si="0"/>
        <v>1.5265565583134577E-2</v>
      </c>
    </row>
    <row r="8" spans="1:13" x14ac:dyDescent="0.25">
      <c r="A8" s="1" t="s">
        <v>63</v>
      </c>
      <c r="B8" s="13" t="s">
        <v>64</v>
      </c>
      <c r="C8" s="10">
        <v>2265000</v>
      </c>
      <c r="D8" s="11">
        <v>2265000000</v>
      </c>
      <c r="E8" s="3">
        <v>0.10400000000000001</v>
      </c>
      <c r="F8" s="4" t="s">
        <v>56</v>
      </c>
      <c r="G8" s="4" t="s">
        <v>65</v>
      </c>
      <c r="H8" s="11">
        <v>2073109200</v>
      </c>
      <c r="I8" s="11">
        <v>86.186999999999998</v>
      </c>
      <c r="J8" s="11">
        <v>89.769222222222211</v>
      </c>
      <c r="K8" s="11">
        <v>81137333.333333328</v>
      </c>
      <c r="L8" s="11">
        <v>2033272883.333333</v>
      </c>
      <c r="M8" s="6">
        <f t="shared" si="0"/>
        <v>6.8590501669252235E-2</v>
      </c>
    </row>
    <row r="9" spans="1:13" x14ac:dyDescent="0.25">
      <c r="A9" s="1" t="s">
        <v>66</v>
      </c>
      <c r="B9" s="13" t="s">
        <v>67</v>
      </c>
      <c r="C9" s="10">
        <v>2265000</v>
      </c>
      <c r="D9" s="11">
        <v>2265000000</v>
      </c>
      <c r="E9" s="3">
        <v>0.11</v>
      </c>
      <c r="F9" s="4" t="s">
        <v>56</v>
      </c>
      <c r="G9" s="4" t="s">
        <v>68</v>
      </c>
      <c r="H9" s="11">
        <v>2080889475</v>
      </c>
      <c r="I9" s="11">
        <v>84.344300000000004</v>
      </c>
      <c r="J9" s="11">
        <v>88.499855555555541</v>
      </c>
      <c r="K9" s="11">
        <v>94123333.333333328</v>
      </c>
      <c r="L9" s="11">
        <v>2004521728.333333</v>
      </c>
      <c r="M9" s="6">
        <f t="shared" si="0"/>
        <v>6.7620609156945941E-2</v>
      </c>
    </row>
    <row r="10" spans="1:13" x14ac:dyDescent="0.25">
      <c r="A10" s="1" t="s">
        <v>69</v>
      </c>
      <c r="B10" s="13" t="s">
        <v>70</v>
      </c>
      <c r="C10" s="10">
        <v>2265000</v>
      </c>
      <c r="D10" s="11">
        <v>2265000000</v>
      </c>
      <c r="E10" s="3">
        <v>0.10300000000000001</v>
      </c>
      <c r="F10" s="4" t="s">
        <v>56</v>
      </c>
      <c r="G10" s="4" t="s">
        <v>71</v>
      </c>
      <c r="H10" s="11">
        <v>1963990560.0000031</v>
      </c>
      <c r="I10" s="11">
        <v>77.232200000000006</v>
      </c>
      <c r="J10" s="11">
        <v>81.495255555555545</v>
      </c>
      <c r="K10" s="11">
        <v>96558208.333333328</v>
      </c>
      <c r="L10" s="11">
        <v>1845867538.333333</v>
      </c>
      <c r="M10" s="6">
        <f t="shared" si="0"/>
        <v>6.2268562919950581E-2</v>
      </c>
    </row>
    <row r="11" spans="1:13" x14ac:dyDescent="0.25">
      <c r="A11" s="1" t="s">
        <v>72</v>
      </c>
      <c r="B11" s="13" t="s">
        <v>73</v>
      </c>
      <c r="C11" s="10">
        <v>2265000</v>
      </c>
      <c r="D11" s="11">
        <v>2265000000</v>
      </c>
      <c r="E11" s="3">
        <v>8.4500000000000006E-2</v>
      </c>
      <c r="F11" s="4" t="s">
        <v>56</v>
      </c>
      <c r="G11" s="4" t="s">
        <v>74</v>
      </c>
      <c r="H11" s="11">
        <v>1740247065.0000031</v>
      </c>
      <c r="I11" s="11">
        <v>67.849900000000005</v>
      </c>
      <c r="J11" s="11">
        <v>70.666566666666654</v>
      </c>
      <c r="K11" s="11">
        <v>63797499.999999993</v>
      </c>
      <c r="L11" s="11">
        <v>1600597734.999999</v>
      </c>
      <c r="M11" s="6">
        <f t="shared" si="0"/>
        <v>5.399462242093974E-2</v>
      </c>
    </row>
    <row r="12" spans="1:13" x14ac:dyDescent="0.25">
      <c r="A12" s="1" t="s">
        <v>75</v>
      </c>
      <c r="B12" s="13" t="s">
        <v>76</v>
      </c>
      <c r="C12" s="10">
        <v>2265000</v>
      </c>
      <c r="D12" s="11">
        <v>2265000000</v>
      </c>
      <c r="E12" s="3">
        <v>0.10650000000000001</v>
      </c>
      <c r="F12" s="4" t="s">
        <v>56</v>
      </c>
      <c r="G12" s="4" t="s">
        <v>77</v>
      </c>
      <c r="H12" s="11">
        <v>1967775375</v>
      </c>
      <c r="I12" s="11">
        <v>75.868200000000002</v>
      </c>
      <c r="J12" s="11">
        <v>76.459866666666656</v>
      </c>
      <c r="K12" s="11">
        <v>13401250</v>
      </c>
      <c r="L12" s="11">
        <v>1731815980</v>
      </c>
      <c r="M12" s="6">
        <f t="shared" si="0"/>
        <v>5.8421143487779451E-2</v>
      </c>
    </row>
    <row r="13" spans="1:13" x14ac:dyDescent="0.25">
      <c r="A13" s="1" t="s">
        <v>78</v>
      </c>
      <c r="B13" s="13" t="s">
        <v>79</v>
      </c>
      <c r="C13" s="10">
        <v>2265000</v>
      </c>
      <c r="D13" s="11">
        <v>2265000000</v>
      </c>
      <c r="E13" s="3">
        <v>8.0700000000000008E-2</v>
      </c>
      <c r="F13" s="4" t="s">
        <v>56</v>
      </c>
      <c r="G13" s="4" t="s">
        <v>80</v>
      </c>
      <c r="H13" s="11">
        <v>1622351550</v>
      </c>
      <c r="I13" s="11">
        <v>61.607700000000001</v>
      </c>
      <c r="J13" s="11">
        <v>63.714866666666659</v>
      </c>
      <c r="K13" s="11">
        <v>47727325</v>
      </c>
      <c r="L13" s="11">
        <v>1443141730</v>
      </c>
      <c r="M13" s="6">
        <f t="shared" si="0"/>
        <v>4.8682995800473132E-2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56</v>
      </c>
      <c r="G14" s="4" t="s">
        <v>81</v>
      </c>
      <c r="H14" s="11">
        <v>1597764975</v>
      </c>
      <c r="I14" s="11">
        <v>60.198300000000003</v>
      </c>
      <c r="J14" s="11">
        <v>64.614383333333322</v>
      </c>
      <c r="K14" s="11">
        <v>100024287.5</v>
      </c>
      <c r="L14" s="11">
        <v>1463515782.5</v>
      </c>
      <c r="M14" s="6">
        <f t="shared" si="0"/>
        <v>4.9370294831245477E-2</v>
      </c>
    </row>
    <row r="15" spans="1:13" x14ac:dyDescent="0.25">
      <c r="A15" s="1" t="s">
        <v>82</v>
      </c>
      <c r="B15" s="13" t="s">
        <v>83</v>
      </c>
      <c r="C15" s="10">
        <v>3775000</v>
      </c>
      <c r="D15" s="11">
        <v>3775000000</v>
      </c>
      <c r="E15" s="3">
        <v>5.4900000000000004E-2</v>
      </c>
      <c r="F15" s="4" t="s">
        <v>56</v>
      </c>
      <c r="G15" s="4" t="s">
        <v>84</v>
      </c>
      <c r="H15" s="11">
        <v>3136670150</v>
      </c>
      <c r="I15" s="11">
        <v>84.380300000000005</v>
      </c>
      <c r="J15" s="11">
        <v>86.500050000000002</v>
      </c>
      <c r="K15" s="11">
        <v>80020562.5</v>
      </c>
      <c r="L15" s="11">
        <v>3265376887.5</v>
      </c>
      <c r="M15" s="6">
        <f t="shared" si="0"/>
        <v>0.11015434312271223</v>
      </c>
    </row>
    <row r="16" spans="1:13" x14ac:dyDescent="0.25">
      <c r="A16" s="1" t="s">
        <v>85</v>
      </c>
      <c r="B16" s="13" t="s">
        <v>86</v>
      </c>
      <c r="C16" s="10">
        <v>2803860</v>
      </c>
      <c r="D16" s="11">
        <v>2803860000</v>
      </c>
      <c r="E16" s="3">
        <v>5.5E-2</v>
      </c>
      <c r="F16" s="4" t="s">
        <v>87</v>
      </c>
      <c r="G16" s="4" t="s">
        <v>88</v>
      </c>
      <c r="H16" s="11">
        <v>1773018067.1400001</v>
      </c>
      <c r="I16" s="11">
        <v>56.547400000000003</v>
      </c>
      <c r="J16" s="11">
        <v>58.258511111111105</v>
      </c>
      <c r="K16" s="11">
        <v>47977160</v>
      </c>
      <c r="L16" s="11">
        <v>1633487089.6400001</v>
      </c>
      <c r="M16" s="6">
        <f t="shared" si="0"/>
        <v>5.5104113110963263E-2</v>
      </c>
    </row>
    <row r="17" spans="1:15" x14ac:dyDescent="0.25">
      <c r="A17" s="1" t="s">
        <v>89</v>
      </c>
      <c r="B17" s="13" t="s">
        <v>90</v>
      </c>
      <c r="C17" s="10">
        <v>1038480</v>
      </c>
      <c r="D17" s="11">
        <v>1038480000</v>
      </c>
      <c r="E17" s="3">
        <v>0.12</v>
      </c>
      <c r="F17" s="4" t="s">
        <v>87</v>
      </c>
      <c r="G17" s="4" t="s">
        <v>91</v>
      </c>
      <c r="H17" s="11">
        <v>979029096.96000004</v>
      </c>
      <c r="I17" s="11">
        <v>84.894100000000009</v>
      </c>
      <c r="J17" s="11">
        <v>90.194100000000006</v>
      </c>
      <c r="K17" s="11">
        <v>55039440</v>
      </c>
      <c r="L17" s="11">
        <v>936647689.67999995</v>
      </c>
      <c r="M17" s="6">
        <f t="shared" si="0"/>
        <v>3.1596907355187005E-2</v>
      </c>
    </row>
    <row r="18" spans="1:15" x14ac:dyDescent="0.25">
      <c r="A18" s="1" t="s">
        <v>92</v>
      </c>
      <c r="B18" s="13" t="s">
        <v>93</v>
      </c>
      <c r="C18" s="10">
        <v>506989</v>
      </c>
      <c r="D18" s="11">
        <v>506989000</v>
      </c>
      <c r="E18" s="3">
        <v>0.1535</v>
      </c>
      <c r="F18" s="4" t="s">
        <v>94</v>
      </c>
      <c r="G18" s="4" t="s">
        <v>95</v>
      </c>
      <c r="H18" s="11">
        <v>492216861.50999999</v>
      </c>
      <c r="I18" s="11">
        <v>97.669700000000006</v>
      </c>
      <c r="J18" s="11">
        <v>101.42192222222201</v>
      </c>
      <c r="K18" s="11">
        <v>19023353.922222219</v>
      </c>
      <c r="L18" s="11">
        <v>514197989.25522202</v>
      </c>
      <c r="M18" s="6">
        <f t="shared" si="0"/>
        <v>1.7345973739892967E-2</v>
      </c>
    </row>
    <row r="19" spans="1:15" x14ac:dyDescent="0.25">
      <c r="A19" s="1" t="s">
        <v>96</v>
      </c>
      <c r="B19" s="13" t="s">
        <v>97</v>
      </c>
      <c r="C19" s="10">
        <v>2100000</v>
      </c>
      <c r="D19" s="11">
        <v>2100000000</v>
      </c>
      <c r="E19" s="3">
        <v>0.14300000000000002</v>
      </c>
      <c r="F19" s="4" t="s">
        <v>98</v>
      </c>
      <c r="G19" s="4" t="s">
        <v>99</v>
      </c>
      <c r="H19" s="11">
        <v>2100000000</v>
      </c>
      <c r="I19" s="11">
        <v>93.15325498501079</v>
      </c>
      <c r="J19" s="11">
        <v>106.77797720723301</v>
      </c>
      <c r="K19" s="11">
        <v>286119166.66666698</v>
      </c>
      <c r="L19" s="11">
        <v>2242337521.3518929</v>
      </c>
      <c r="M19" s="6">
        <f t="shared" si="0"/>
        <v>7.5643095799895935E-2</v>
      </c>
    </row>
    <row r="20" spans="1:15" x14ac:dyDescent="0.25">
      <c r="A20" s="1" t="s">
        <v>100</v>
      </c>
      <c r="B20" s="13" t="s">
        <v>101</v>
      </c>
      <c r="C20" s="10">
        <v>1100000</v>
      </c>
      <c r="D20" s="11">
        <v>1100000000</v>
      </c>
      <c r="E20" s="3">
        <v>0.13870000000000002</v>
      </c>
      <c r="F20" s="4" t="s">
        <v>102</v>
      </c>
      <c r="G20" s="4" t="s">
        <v>103</v>
      </c>
      <c r="H20" s="11">
        <v>1100000000</v>
      </c>
      <c r="I20" s="11">
        <v>99.784199999999998</v>
      </c>
      <c r="J20" s="11">
        <v>105.79453333333301</v>
      </c>
      <c r="K20" s="11">
        <v>66113666.666666657</v>
      </c>
      <c r="L20" s="11">
        <v>1163739866.666666</v>
      </c>
      <c r="M20" s="6">
        <f t="shared" si="0"/>
        <v>3.9257643143460669E-2</v>
      </c>
    </row>
    <row r="21" spans="1:15" x14ac:dyDescent="0.25">
      <c r="A21" s="1" t="s">
        <v>104</v>
      </c>
      <c r="B21" s="13" t="s">
        <v>105</v>
      </c>
      <c r="C21" s="10">
        <v>1000000</v>
      </c>
      <c r="D21" s="11">
        <v>1000000000</v>
      </c>
      <c r="E21" s="3">
        <v>0.1389</v>
      </c>
      <c r="F21" s="4" t="s">
        <v>106</v>
      </c>
      <c r="G21" s="4" t="s">
        <v>107</v>
      </c>
      <c r="H21" s="11">
        <v>1000000000</v>
      </c>
      <c r="I21" s="11">
        <v>97.981496567855089</v>
      </c>
      <c r="J21" s="11">
        <v>100.99099656785501</v>
      </c>
      <c r="K21" s="11">
        <v>30094999.999999989</v>
      </c>
      <c r="L21" s="11">
        <v>1009909965.67855</v>
      </c>
      <c r="M21" s="6">
        <f t="shared" si="0"/>
        <v>3.4068339648098744E-2</v>
      </c>
    </row>
    <row r="22" spans="1:15" x14ac:dyDescent="0.25">
      <c r="A22" s="1" t="s">
        <v>108</v>
      </c>
      <c r="B22" s="13" t="s">
        <v>109</v>
      </c>
      <c r="C22" s="10">
        <v>165739</v>
      </c>
      <c r="D22" s="11">
        <v>165739000</v>
      </c>
      <c r="E22" s="3">
        <v>0.125</v>
      </c>
      <c r="F22" s="4" t="s">
        <v>110</v>
      </c>
      <c r="G22" s="4" t="s">
        <v>111</v>
      </c>
      <c r="H22" s="11">
        <v>159596381.18279999</v>
      </c>
      <c r="I22" s="11">
        <v>95.497654778144195</v>
      </c>
      <c r="J22" s="11">
        <v>97.719877000353009</v>
      </c>
      <c r="K22" s="11">
        <v>3683088.88886667</v>
      </c>
      <c r="L22" s="11">
        <v>161959946.94161499</v>
      </c>
      <c r="M22" s="6">
        <f t="shared" si="0"/>
        <v>5.4635627623376218E-3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1130229370.2055337</v>
      </c>
      <c r="L24" s="22">
        <f>SUM(L4:L23)</f>
        <v>29643650853.261059</v>
      </c>
      <c r="M24" s="23"/>
      <c r="N24" s="26">
        <v>29643650853.261086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4334378.4000000004</v>
      </c>
      <c r="C27" s="51">
        <v>4334378.4000000004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2013700</v>
      </c>
      <c r="D32" s="7" t="s">
        <v>51</v>
      </c>
      <c r="E32" s="34" t="s">
        <v>52</v>
      </c>
      <c r="F32" s="34" t="s">
        <v>53</v>
      </c>
      <c r="G32" s="15">
        <v>645.91999999999996</v>
      </c>
      <c r="H32" s="15">
        <v>646.742884381983</v>
      </c>
      <c r="I32" s="16">
        <f>+C32*G32</f>
        <v>1300689104</v>
      </c>
      <c r="J32" s="16">
        <f>+C32*H32</f>
        <v>1302346146.2799993</v>
      </c>
      <c r="K32" s="18">
        <v>0.155</v>
      </c>
      <c r="L32" s="17">
        <v>552347.42666666664</v>
      </c>
      <c r="M32" s="17">
        <v>1301241451.426666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1394100</v>
      </c>
      <c r="D33" s="7" t="s">
        <v>51</v>
      </c>
      <c r="E33" s="34" t="s">
        <v>52</v>
      </c>
      <c r="F33" s="34" t="s">
        <v>53</v>
      </c>
      <c r="G33" s="15">
        <v>645.91999999999996</v>
      </c>
      <c r="H33" s="15">
        <v>646.74288438419103</v>
      </c>
      <c r="I33" s="16">
        <f>+C33*G33</f>
        <v>900477072</v>
      </c>
      <c r="J33" s="16">
        <f>+C33*H33</f>
        <v>901624255.12000072</v>
      </c>
      <c r="K33" s="18">
        <v>0.155</v>
      </c>
      <c r="L33" s="17">
        <v>382394.37333333329</v>
      </c>
      <c r="M33" s="17">
        <v>900859466.37333298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9294</v>
      </c>
      <c r="D34" s="7" t="s">
        <v>51</v>
      </c>
      <c r="E34" s="34" t="s">
        <v>52</v>
      </c>
      <c r="F34" s="34" t="s">
        <v>53</v>
      </c>
      <c r="G34" s="15">
        <v>645.91999999999996</v>
      </c>
      <c r="H34" s="15">
        <v>646.74288465676807</v>
      </c>
      <c r="I34" s="16">
        <f>+C34*G34</f>
        <v>6003180.4799999995</v>
      </c>
      <c r="J34" s="16">
        <f>+C34*H34</f>
        <v>6010828.370000002</v>
      </c>
      <c r="K34" s="18">
        <v>0.155</v>
      </c>
      <c r="L34" s="17">
        <v>2549.2966666666662</v>
      </c>
      <c r="M34" s="17">
        <v>6005729.7766666701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2208106647.5766659</v>
      </c>
      <c r="N36" s="38">
        <v>2208106647.5766668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hidden="1" x14ac:dyDescent="0.25">
      <c r="B40" s="41"/>
      <c r="C40" s="42"/>
      <c r="D40" s="43"/>
      <c r="G40" s="44"/>
      <c r="H40" s="33"/>
    </row>
    <row r="41" spans="1:15" x14ac:dyDescent="0.25">
      <c r="G41" s="45">
        <f>SUM(G40:G40)</f>
        <v>0</v>
      </c>
    </row>
    <row r="43" spans="1:15" x14ac:dyDescent="0.25">
      <c r="A43" s="46" t="s">
        <v>13</v>
      </c>
      <c r="B43" s="47">
        <f>+L24+B27+M36+G41</f>
        <v>31856091879.237724</v>
      </c>
      <c r="C43" s="32">
        <v>31856091879.237755</v>
      </c>
      <c r="D43" s="29">
        <f>B43-C43</f>
        <v>-3.0517578125E-5</v>
      </c>
    </row>
    <row r="46" spans="1:15" x14ac:dyDescent="0.25">
      <c r="A46" s="24" t="s">
        <v>46</v>
      </c>
      <c r="B46" s="33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254898.84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50">
        <v>56486.590000000004</v>
      </c>
    </row>
    <row r="53" spans="1:2" x14ac:dyDescent="0.25">
      <c r="A53" s="48" t="s">
        <v>41</v>
      </c>
      <c r="B53" s="50">
        <v>28071.750000000004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339457.18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2025-08-18T06:58:40Z</dcterms:created>
  <dcterms:modified xsi:type="dcterms:W3CDTF">2025-08-18T07:51:39Z</dcterms:modified>
</cp:coreProperties>
</file>