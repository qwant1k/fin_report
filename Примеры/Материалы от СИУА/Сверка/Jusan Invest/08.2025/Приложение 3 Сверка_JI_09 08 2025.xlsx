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08.08.2025\"/>
    </mc:Choice>
  </mc:AlternateContent>
  <xr:revisionPtr revIDLastSave="0" documentId="8_{60AB2958-AA0C-4107-A88F-E7997DA60E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G41" i="1"/>
  <c r="M36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3" i="1"/>
  <c r="M6" i="1"/>
  <c r="M10" i="1"/>
  <c r="M14" i="1"/>
  <c r="M18" i="1"/>
</calcChain>
</file>

<file path=xl/sharedStrings.xml><?xml version="1.0" encoding="utf-8"?>
<sst xmlns="http://schemas.openxmlformats.org/spreadsheetml/2006/main" count="145" uniqueCount="119">
  <si>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</si>
  <si>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</si>
  <si>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</si>
  <si>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</si>
  <si>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</si>
  <si>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</si>
  <si>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</si>
  <si>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</si>
  <si>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</si>
  <si>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</si>
  <si>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</si>
  <si>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</si>
  <si>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</si>
  <si>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</si>
  <si>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</si>
  <si>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</si>
  <si>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</si>
  <si>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</si>
  <si>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</si>
  <si>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</si>
  <si>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</si>
  <si>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</si>
  <si>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</si>
  <si>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</si>
  <si>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</si>
  <si>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</si>
  <si>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</si>
  <si>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</si>
  <si>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</si>
  <si>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</si>
  <si>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</si>
  <si>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</si>
  <si>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</si>
  <si>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</si>
  <si>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</si>
  <si>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</si>
  <si>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</si>
  <si>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</si>
  <si>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</si>
  <si>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</si>
  <si>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</si>
  <si>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</si>
  <si>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</si>
  <si>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</si>
  <si>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</si>
  <si>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</si>
  <si>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</si>
  <si>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</si>
  <si>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</si>
  <si>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</si>
  <si>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</si>
  <si>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</si>
  <si>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08.08.2025</t>
  </si>
  <si>
    <t>11.08.2025</t>
  </si>
  <si>
    <t>ГУ "Национальный Банк Республики Казахстан", ГЦБ, NTK028_2865</t>
  </si>
  <si>
    <t>KZW100014312</t>
  </si>
  <si>
    <t>МИНИСТЕРСТВО ФИНАНСОВ РК, ГЦБ, MOM060_0052</t>
  </si>
  <si>
    <t>KZK200000679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</si>
  <si>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</si>
  <si>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</si>
  <si>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</si>
  <si>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</si>
  <si>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</si>
  <si>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</si>
  <si>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</si>
  <si>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</si>
  <si>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</si>
  <si>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</si>
  <si>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</si>
  <si>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</si>
  <si>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</si>
  <si>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</si>
  <si>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</si>
  <si>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</si>
  <si>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</si>
  <si>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</si>
  <si>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</si>
  <si>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</si>
  <si>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</si>
  <si>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</si>
  <si>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</si>
  <si>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</si>
  <si>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</si>
  <si>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</si>
  <si>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</si>
  <si>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</si>
  <si>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</si>
  <si>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</si>
  <si>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</si>
  <si>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</si>
  <si>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</si>
  <si>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</si>
  <si>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</si>
  <si>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</si>
  <si>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</si>
  <si>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</si>
  <si>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</si>
  <si>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</si>
  <si>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</si>
  <si>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</si>
  <si>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</si>
  <si>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</si>
  <si>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</si>
  <si>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</si>
  <si>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</si>
  <si>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</si>
  <si>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</si>
  <si>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</si>
  <si>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</si>
  <si>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</si>
  <si>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</si>
  <si>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</si>
  <si>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</si>
  <si>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</si>
  <si>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</si>
  <si>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</si>
  <si>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</si>
  <si>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</si>
  <si>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09.08.2025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</si>
</sst>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zoomScale="90" zoomScaleNormal="90" workbookViewId="0">
      <selection activeCell="F51" sqref="F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97.549800000000005</v>
      </c>
      <c r="J4" s="11">
        <v>98.08329999999998</v>
      </c>
      <c r="K4" s="11">
        <v>16111699.999999991</v>
      </c>
      <c r="L4" s="11">
        <v>2962115659.999999</v>
      </c>
      <c r="M4" s="6">
        <f t="shared" ref="M4:M22" si="0">L4/$L$24</f>
        <v>9.9587489868609991E-2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83.241100000000003</v>
      </c>
      <c r="J5" s="11">
        <v>83.56346111111111</v>
      </c>
      <c r="K5" s="11">
        <v>7301479.1666666698</v>
      </c>
      <c r="L5" s="11">
        <v>1892712394.166666</v>
      </c>
      <c r="M5" s="6">
        <f t="shared" si="0"/>
        <v>6.3633732782151217E-2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83.241100000000003</v>
      </c>
      <c r="J6" s="11">
        <v>83.563461111111351</v>
      </c>
      <c r="K6" s="11">
        <v>5001903.2861111099</v>
      </c>
      <c r="L6" s="11">
        <v>1296609101.792115</v>
      </c>
      <c r="M6" s="6">
        <f t="shared" si="0"/>
        <v>4.3592506373728093E-2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83.241100000000003</v>
      </c>
      <c r="J7" s="11">
        <v>83.56346111111111</v>
      </c>
      <c r="K7" s="11">
        <v>1759098.7944444399</v>
      </c>
      <c r="L7" s="11">
        <v>455999122.20644403</v>
      </c>
      <c r="M7" s="6">
        <f t="shared" si="0"/>
        <v>1.5330869275654586E-2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87.0441</v>
      </c>
      <c r="J8" s="11">
        <v>90.424099999999981</v>
      </c>
      <c r="K8" s="11">
        <v>76556999.999999985</v>
      </c>
      <c r="L8" s="11">
        <v>2048105864.999999</v>
      </c>
      <c r="M8" s="6">
        <f t="shared" si="0"/>
        <v>6.8858122197878041E-2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85.20620000000001</v>
      </c>
      <c r="J9" s="11">
        <v>89.147866666666658</v>
      </c>
      <c r="K9" s="11">
        <v>89278749.999999985</v>
      </c>
      <c r="L9" s="11">
        <v>2019199179.999999</v>
      </c>
      <c r="M9" s="6">
        <f t="shared" si="0"/>
        <v>6.7886268114512302E-2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77.877400000000009</v>
      </c>
      <c r="J10" s="11">
        <v>81.940177777777762</v>
      </c>
      <c r="K10" s="11">
        <v>92021916.666666657</v>
      </c>
      <c r="L10" s="11">
        <v>1855945026.666666</v>
      </c>
      <c r="M10" s="6">
        <f t="shared" si="0"/>
        <v>6.2397599471137384E-2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68.328000000000003</v>
      </c>
      <c r="J11" s="11">
        <v>70.980361111111108</v>
      </c>
      <c r="K11" s="11">
        <v>60075979.166666657</v>
      </c>
      <c r="L11" s="11">
        <v>1607705179.166666</v>
      </c>
      <c r="M11" s="6">
        <f t="shared" si="0"/>
        <v>5.4051678468886054E-2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76.426900000000003</v>
      </c>
      <c r="J12" s="11">
        <v>76.811483333333328</v>
      </c>
      <c r="K12" s="11">
        <v>8710812.5</v>
      </c>
      <c r="L12" s="11">
        <v>1739780097.5</v>
      </c>
      <c r="M12" s="6">
        <f t="shared" si="0"/>
        <v>5.8492089006879161E-2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61.9298</v>
      </c>
      <c r="J13" s="11">
        <v>63.880049999999997</v>
      </c>
      <c r="K13" s="11">
        <v>44173162.5</v>
      </c>
      <c r="L13" s="11">
        <v>1446883132.5</v>
      </c>
      <c r="M13" s="6">
        <f t="shared" si="0"/>
        <v>4.8644778205219195E-2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60.471900000000005</v>
      </c>
      <c r="J14" s="11">
        <v>64.731066666666663</v>
      </c>
      <c r="K14" s="11">
        <v>96470125</v>
      </c>
      <c r="L14" s="11">
        <v>1466158660</v>
      </c>
      <c r="M14" s="6">
        <f t="shared" si="0"/>
        <v>4.9292828997273136E-2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84.848600000000005</v>
      </c>
      <c r="J15" s="11">
        <v>86.86160000000001</v>
      </c>
      <c r="K15" s="11">
        <v>75990750</v>
      </c>
      <c r="L15" s="11">
        <v>3279025400</v>
      </c>
      <c r="M15" s="6">
        <f t="shared" si="0"/>
        <v>0.11024211958064288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56.908900000000003</v>
      </c>
      <c r="J16" s="11">
        <v>58.51306666666666</v>
      </c>
      <c r="K16" s="11">
        <v>44978587.5</v>
      </c>
      <c r="L16" s="11">
        <v>1640624471.04</v>
      </c>
      <c r="M16" s="6">
        <f t="shared" si="0"/>
        <v>5.515843796858684E-2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85.701999999999998</v>
      </c>
      <c r="J17" s="11">
        <v>90.768666666666661</v>
      </c>
      <c r="K17" s="11">
        <v>52616320</v>
      </c>
      <c r="L17" s="11">
        <v>942614449.60000002</v>
      </c>
      <c r="M17" s="6">
        <f t="shared" si="0"/>
        <v>3.1691067373630311E-2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98.56</v>
      </c>
      <c r="J18" s="11">
        <v>102.01375</v>
      </c>
      <c r="K18" s="11">
        <v>17510132.587499999</v>
      </c>
      <c r="L18" s="11">
        <v>517198490.98750001</v>
      </c>
      <c r="M18" s="6">
        <f t="shared" si="0"/>
        <v>1.7388416048979685E-2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93.596421946422893</v>
      </c>
      <c r="J19" s="11">
        <v>106.94308861309001</v>
      </c>
      <c r="K19" s="11">
        <v>280280000</v>
      </c>
      <c r="L19" s="11">
        <v>2245804860.8748798</v>
      </c>
      <c r="M19" s="6">
        <f t="shared" si="0"/>
        <v>7.5504839952553457E-2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99.728500000000011</v>
      </c>
      <c r="J20" s="11">
        <v>105.46913888888901</v>
      </c>
      <c r="K20" s="11">
        <v>63147027.777777769</v>
      </c>
      <c r="L20" s="11">
        <v>1160160527.777777</v>
      </c>
      <c r="M20" s="6">
        <f t="shared" si="0"/>
        <v>3.90050518169269E-2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97.803726754455795</v>
      </c>
      <c r="J21" s="11">
        <v>100.54314342112201</v>
      </c>
      <c r="K21" s="11">
        <v>27394166.66666666</v>
      </c>
      <c r="L21" s="11">
        <v>1005431434.211224</v>
      </c>
      <c r="M21" s="6">
        <f t="shared" si="0"/>
        <v>3.3802999025396699E-2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95.632109876694898</v>
      </c>
      <c r="J22" s="11">
        <v>97.61127654334814</v>
      </c>
      <c r="K22" s="11">
        <v>3280251.04164444</v>
      </c>
      <c r="L22" s="11">
        <v>161779953.63018</v>
      </c>
      <c r="M22" s="6">
        <f t="shared" si="0"/>
        <v>5.4391054713541298E-3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1062659162.6541443</v>
      </c>
      <c r="L24" s="22">
        <f>SUM(L4:L23)</f>
        <v>29743853007.120113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1693408.89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2442700</v>
      </c>
      <c r="D32" s="7" t="s">
        <v>51</v>
      </c>
      <c r="E32" s="34" t="s">
        <v>52</v>
      </c>
      <c r="F32" s="34" t="s">
        <v>53</v>
      </c>
      <c r="G32" s="15">
        <v>532.27730000000008</v>
      </c>
      <c r="H32" s="15">
        <v>532.95672353543205</v>
      </c>
      <c r="I32" s="16">
        <f>+C32*G32</f>
        <v>1300193760.7100003</v>
      </c>
      <c r="J32" s="16">
        <f>+C32*H32</f>
        <v>1301853388.5799999</v>
      </c>
      <c r="K32" s="18">
        <v>0.15530099999999999</v>
      </c>
      <c r="L32" s="17">
        <v>553209.29</v>
      </c>
      <c r="M32" s="17">
        <v>1300746970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9024002</v>
      </c>
      <c r="D33" s="7" t="s">
        <v>51</v>
      </c>
      <c r="E33" s="34" t="s">
        <v>52</v>
      </c>
      <c r="F33" s="34" t="s">
        <v>53</v>
      </c>
      <c r="G33" s="15">
        <v>99.518400000354589</v>
      </c>
      <c r="H33" s="15">
        <v>99.645429921225627</v>
      </c>
      <c r="I33" s="16">
        <f>+C33*G33</f>
        <v>898054240.63999987</v>
      </c>
      <c r="J33" s="16">
        <f>+C33*H33</f>
        <v>899200558.89999986</v>
      </c>
      <c r="K33" s="18">
        <v>0.15530099999999999</v>
      </c>
      <c r="L33" s="17">
        <v>382106.08666666661</v>
      </c>
      <c r="M33" s="17">
        <v>898436346.72666705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5265</v>
      </c>
      <c r="D34" s="7" t="s">
        <v>51</v>
      </c>
      <c r="E34" s="34" t="s">
        <v>52</v>
      </c>
      <c r="F34" s="34" t="s">
        <v>53</v>
      </c>
      <c r="G34" s="15">
        <v>950.12200000000007</v>
      </c>
      <c r="H34" s="15">
        <v>951.33478062678103</v>
      </c>
      <c r="I34" s="16">
        <f>+C34*G34</f>
        <v>5002392.33</v>
      </c>
      <c r="J34" s="16">
        <f>+C34*H34</f>
        <v>5008777.620000002</v>
      </c>
      <c r="K34" s="18">
        <v>0.15530099999999999</v>
      </c>
      <c r="L34" s="17">
        <v>2128.4299999999998</v>
      </c>
      <c r="M34" s="17">
        <v>5004520.76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2204187837.4866672</v>
      </c>
      <c r="N36" s="38"/>
      <c r="O36" s="29"/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31949734253.49678</v>
      </c>
      <c r="C43" s="32"/>
      <c r="D43" s="29"/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143142.79999999999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33156.36</v>
      </c>
    </row>
    <row r="53" spans="1:2" x14ac:dyDescent="0.25">
      <c r="A53" s="48" t="s">
        <v>41</v>
      </c>
      <c r="B53" s="50">
        <v>16487.849999999999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192787.00999999998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2025-08-11T06:14:19Z</dcterms:created>
  <dcterms:modified xsi:type="dcterms:W3CDTF">2025-08-11T06:15:08Z</dcterms:modified>
</cp:coreProperties>
</file>