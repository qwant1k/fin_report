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CF1C726B-C859-4E86-ABD3-1BE52B730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G41" i="1"/>
  <c r="M36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3" i="1"/>
  <c r="M6" i="1"/>
  <c r="M10" i="1"/>
  <c r="M14" i="1"/>
  <c r="M18" i="1"/>
</calcChain>
</file>

<file path=xl/sharedStrings.xml><?xml version="1.0" encoding="utf-8"?>
<sst xmlns="http://schemas.openxmlformats.org/spreadsheetml/2006/main" count="145" uniqueCount="119">
  <si>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</si>
  <si>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</si>
  <si>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</si>
  <si>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</si>
  <si>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</si>
  <si>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</si>
  <si>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</si>
  <si>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</si>
  <si>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</si>
  <si>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</si>
  <si>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</si>
  <si>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</si>
  <si>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</si>
  <si>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</si>
  <si>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</si>
  <si>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</si>
  <si>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</si>
  <si>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</si>
  <si>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</si>
  <si>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</si>
  <si>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</si>
  <si>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</si>
  <si>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</si>
  <si>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</si>
  <si>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</si>
  <si>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</si>
  <si>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</si>
  <si>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</si>
  <si>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</si>
  <si>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</si>
  <si>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</si>
  <si>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</si>
  <si>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</si>
  <si>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</si>
  <si>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</si>
  <si>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</si>
  <si>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</si>
  <si>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</si>
  <si>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</si>
  <si>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</si>
  <si>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</si>
  <si>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</si>
  <si>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</si>
  <si>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</si>
  <si>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</si>
  <si>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</si>
  <si>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</si>
  <si>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</si>
  <si>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</si>
  <si>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</si>
  <si>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</si>
  <si>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</si>
  <si>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08.08.2025</t>
  </si>
  <si>
    <t>11.08.2025</t>
  </si>
  <si>
    <t>ГУ "Национальный Банк Республики Казахстан", ГЦБ, NTK028_2865</t>
  </si>
  <si>
    <t>KZW100014312</t>
  </si>
  <si>
    <t>МИНИСТЕРСТВО ФИНАНСОВ РК, ГЦБ, MOM060_0052</t>
  </si>
  <si>
    <t>KZK200000679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</si>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</sst>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9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97.549800000000005</v>
      </c>
      <c r="J4" s="11">
        <v>98.112938888888877</v>
      </c>
      <c r="K4" s="11">
        <v>17006794.44444444</v>
      </c>
      <c r="L4" s="11">
        <v>2963010754.4444442</v>
      </c>
      <c r="M4" s="6">
        <f t="shared" ref="M4:M22" si="0">L4/$L$24</f>
        <v>9.9585264506614091E-2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83.241100000000003</v>
      </c>
      <c r="J5" s="11">
        <v>83.592766666666662</v>
      </c>
      <c r="K5" s="11">
        <v>7965250</v>
      </c>
      <c r="L5" s="11">
        <v>1893376164.999999</v>
      </c>
      <c r="M5" s="6">
        <f t="shared" si="0"/>
        <v>6.3635397178096478E-2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83.241100000000003</v>
      </c>
      <c r="J6" s="11">
        <v>83.592766666666918</v>
      </c>
      <c r="K6" s="11">
        <v>5456621.7666666703</v>
      </c>
      <c r="L6" s="11">
        <v>1297063820.27267</v>
      </c>
      <c r="M6" s="6">
        <f t="shared" si="0"/>
        <v>4.3593646573865337E-2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83.241100000000003</v>
      </c>
      <c r="J7" s="11">
        <v>83.592766666666662</v>
      </c>
      <c r="K7" s="11">
        <v>1919016.86666667</v>
      </c>
      <c r="L7" s="11">
        <v>456159040.27866697</v>
      </c>
      <c r="M7" s="6">
        <f t="shared" si="0"/>
        <v>1.5331270267951376E-2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87.0441</v>
      </c>
      <c r="J8" s="11">
        <v>90.452988888888882</v>
      </c>
      <c r="K8" s="11">
        <v>77211333.333333328</v>
      </c>
      <c r="L8" s="11">
        <v>2048760198.333333</v>
      </c>
      <c r="M8" s="6">
        <f t="shared" si="0"/>
        <v>6.8857774463225815E-2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85.20620000000001</v>
      </c>
      <c r="J9" s="11">
        <v>89.17842222222221</v>
      </c>
      <c r="K9" s="11">
        <v>89970833.333333328</v>
      </c>
      <c r="L9" s="11">
        <v>2019891263.333333</v>
      </c>
      <c r="M9" s="6">
        <f t="shared" si="0"/>
        <v>6.7887504435117776E-2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77.877400000000009</v>
      </c>
      <c r="J10" s="11">
        <v>81.968788888888881</v>
      </c>
      <c r="K10" s="11">
        <v>92669958.333333328</v>
      </c>
      <c r="L10" s="11">
        <v>1856593068.333333</v>
      </c>
      <c r="M10" s="6">
        <f t="shared" si="0"/>
        <v>6.23991362548353E-2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68.328000000000003</v>
      </c>
      <c r="J11" s="11">
        <v>71.003833333333333</v>
      </c>
      <c r="K11" s="11">
        <v>60607624.999999993</v>
      </c>
      <c r="L11" s="11">
        <v>1608236824.999999</v>
      </c>
      <c r="M11" s="6">
        <f t="shared" si="0"/>
        <v>5.40520109036631E-2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76.426900000000003</v>
      </c>
      <c r="J12" s="11">
        <v>76.841066666666663</v>
      </c>
      <c r="K12" s="11">
        <v>9380875</v>
      </c>
      <c r="L12" s="11">
        <v>1740450160</v>
      </c>
      <c r="M12" s="6">
        <f t="shared" si="0"/>
        <v>5.8495632958536596E-2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61.9298</v>
      </c>
      <c r="J13" s="11">
        <v>63.902466666666655</v>
      </c>
      <c r="K13" s="11">
        <v>44680900</v>
      </c>
      <c r="L13" s="11">
        <v>1447390870</v>
      </c>
      <c r="M13" s="6">
        <f t="shared" si="0"/>
        <v>4.8646061246049671E-2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60.471900000000005</v>
      </c>
      <c r="J14" s="11">
        <v>64.753483333333321</v>
      </c>
      <c r="K14" s="11">
        <v>96977862.5</v>
      </c>
      <c r="L14" s="11">
        <v>1466666397.5</v>
      </c>
      <c r="M14" s="6">
        <f t="shared" si="0"/>
        <v>4.9293901791924416E-2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84.848600000000005</v>
      </c>
      <c r="J15" s="11">
        <v>86.87684999999999</v>
      </c>
      <c r="K15" s="11">
        <v>76566437.5</v>
      </c>
      <c r="L15" s="11">
        <v>3279601087.5</v>
      </c>
      <c r="M15" s="6">
        <f t="shared" si="0"/>
        <v>0.11022570244977165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56.908900000000003</v>
      </c>
      <c r="J16" s="11">
        <v>58.528344444444436</v>
      </c>
      <c r="K16" s="11">
        <v>45406955</v>
      </c>
      <c r="L16" s="11">
        <v>1641052838.54</v>
      </c>
      <c r="M16" s="6">
        <f t="shared" si="0"/>
        <v>5.5154940207423377E-2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85.701999999999998</v>
      </c>
      <c r="J17" s="11">
        <v>90.802000000000007</v>
      </c>
      <c r="K17" s="11">
        <v>52962480</v>
      </c>
      <c r="L17" s="11">
        <v>942960609.60000002</v>
      </c>
      <c r="M17" s="6">
        <f t="shared" si="0"/>
        <v>3.1692420145785452E-2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98.56</v>
      </c>
      <c r="J18" s="11">
        <v>102.056388888889</v>
      </c>
      <c r="K18" s="11">
        <v>17726307.063888881</v>
      </c>
      <c r="L18" s="11">
        <v>517414665.463889</v>
      </c>
      <c r="M18" s="6">
        <f t="shared" si="0"/>
        <v>1.7390040263111958E-2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93.596421946422893</v>
      </c>
      <c r="J19" s="11">
        <v>106.98281083531201</v>
      </c>
      <c r="K19" s="11">
        <v>281114166.66666698</v>
      </c>
      <c r="L19" s="11">
        <v>2246639027.5415468</v>
      </c>
      <c r="M19" s="6">
        <f t="shared" si="0"/>
        <v>7.5508379938552167E-2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99.728500000000011</v>
      </c>
      <c r="J20" s="11">
        <v>105.50766666666701</v>
      </c>
      <c r="K20" s="11">
        <v>63570833.333333328</v>
      </c>
      <c r="L20" s="11">
        <v>1160584333.333333</v>
      </c>
      <c r="M20" s="6">
        <f t="shared" si="0"/>
        <v>3.9006641350818418E-2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97.803726754455795</v>
      </c>
      <c r="J21" s="11">
        <v>100.581726754456</v>
      </c>
      <c r="K21" s="11">
        <v>27779999.999999989</v>
      </c>
      <c r="L21" s="11">
        <v>1005817267.544557</v>
      </c>
      <c r="M21" s="6">
        <f t="shared" si="0"/>
        <v>3.3805000026915222E-2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95.632109876694898</v>
      </c>
      <c r="J22" s="11">
        <v>97.645998765570369</v>
      </c>
      <c r="K22" s="11">
        <v>3337799.30553333</v>
      </c>
      <c r="L22" s="11">
        <v>161837501.89406899</v>
      </c>
      <c r="M22" s="6">
        <f t="shared" si="0"/>
        <v>5.4392750377419193E-3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1072312049.4472003</v>
      </c>
      <c r="L24" s="22">
        <f>SUM(L4:L23)</f>
        <v>29753505893.91317</v>
      </c>
      <c r="M24" s="23"/>
      <c r="N24" s="26">
        <v>29753505893.9132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1693408.89</v>
      </c>
      <c r="C27" s="51">
        <v>1693408.89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2442700</v>
      </c>
      <c r="D32" s="7" t="s">
        <v>51</v>
      </c>
      <c r="E32" s="34" t="s">
        <v>52</v>
      </c>
      <c r="F32" s="34" t="s">
        <v>53</v>
      </c>
      <c r="G32" s="15">
        <v>532.27730000000008</v>
      </c>
      <c r="H32" s="15">
        <v>532.95672353543205</v>
      </c>
      <c r="I32" s="16">
        <f>+C32*G32</f>
        <v>1300193760.7100003</v>
      </c>
      <c r="J32" s="16">
        <f>+C32*H32</f>
        <v>1301853388.5799999</v>
      </c>
      <c r="K32" s="18">
        <v>0.15530099999999999</v>
      </c>
      <c r="L32" s="17">
        <v>553209.29</v>
      </c>
      <c r="M32" s="17">
        <v>1301300179.29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9024002</v>
      </c>
      <c r="D33" s="7" t="s">
        <v>51</v>
      </c>
      <c r="E33" s="34" t="s">
        <v>52</v>
      </c>
      <c r="F33" s="34" t="s">
        <v>53</v>
      </c>
      <c r="G33" s="15">
        <v>99.518400000354589</v>
      </c>
      <c r="H33" s="15">
        <v>99.645429921225627</v>
      </c>
      <c r="I33" s="16">
        <f>+C33*G33</f>
        <v>898054240.63999987</v>
      </c>
      <c r="J33" s="16">
        <f>+C33*H33</f>
        <v>899200558.89999986</v>
      </c>
      <c r="K33" s="18">
        <v>0.15530099999999999</v>
      </c>
      <c r="L33" s="17">
        <v>382106.08666666661</v>
      </c>
      <c r="M33" s="17">
        <v>898818452.81333303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5265</v>
      </c>
      <c r="D34" s="7" t="s">
        <v>51</v>
      </c>
      <c r="E34" s="34" t="s">
        <v>52</v>
      </c>
      <c r="F34" s="34" t="s">
        <v>53</v>
      </c>
      <c r="G34" s="15">
        <v>950.12200000000007</v>
      </c>
      <c r="H34" s="15">
        <v>951.33478062678103</v>
      </c>
      <c r="I34" s="16">
        <f>+C34*G34</f>
        <v>5002392.33</v>
      </c>
      <c r="J34" s="16">
        <f>+C34*H34</f>
        <v>5008777.620000002</v>
      </c>
      <c r="K34" s="18">
        <v>0.15530099999999999</v>
      </c>
      <c r="L34" s="17">
        <v>2128.4299999999998</v>
      </c>
      <c r="M34" s="17">
        <v>5006649.1900000004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2205125281.2933331</v>
      </c>
      <c r="N36" s="38">
        <v>2205125281.2933331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31960324584.096504</v>
      </c>
      <c r="C43" s="32">
        <v>31960324584.096535</v>
      </c>
      <c r="D43" s="29">
        <f>B43-C43</f>
        <v>-3.0517578125E-5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156277.18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33156.36</v>
      </c>
    </row>
    <row r="53" spans="1:2" x14ac:dyDescent="0.25">
      <c r="A53" s="48" t="s">
        <v>41</v>
      </c>
      <c r="B53" s="50">
        <v>16487.849999999999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205921.38999999998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2025-08-11T06:17:10Z</dcterms:created>
  <dcterms:modified xsi:type="dcterms:W3CDTF">2025-08-11T10:24:43Z</dcterms:modified>
</cp:coreProperties>
</file>