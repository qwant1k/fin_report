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8.2025\"/>
    </mc:Choice>
  </mc:AlternateContent>
  <xr:revisionPtr revIDLastSave="0" documentId="13_ncr:1_{FFE85347-896F-4463-A391-47226F67C7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O43" i="1"/>
  <c r="O24" i="1"/>
  <c r="D27" i="1"/>
  <c r="B64" i="1"/>
  <c r="G48" i="1"/>
  <c r="M43" i="1"/>
  <c r="B50" i="1" s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<sst xmlns="http://schemas.openxmlformats.org/spreadsheetml/2006/main" count="180" uniqueCount="119">
  <si>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</si>
  <si>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</si>
  <si>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</si>
  <si>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</si>
  <si>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</si>
  <si>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</si>
  <si>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</si>
  <si>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</si>
  <si>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</si>
  <si>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</si>
  <si>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</si>
  <si>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</si>
  <si>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</si>
  <si>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</si>
  <si>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</si>
  <si>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</si>
  <si>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</si>
  <si>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</si>
  <si>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</si>
  <si>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</si>
  <si>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</si>
  <si>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</si>
  <si>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</si>
  <si>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</si>
  <si>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</si>
  <si>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</si>
  <si>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</si>
  <si>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</si>
  <si>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</si>
  <si>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</si>
  <si>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</si>
  <si>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</si>
  <si>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</si>
  <si>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</si>
  <si>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</si>
  <si>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</si>
  <si>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</si>
  <si>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</si>
  <si>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</si>
  <si>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</si>
  <si>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</si>
  <si>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</si>
  <si>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</si>
  <si>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</si>
  <si>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</si>
  <si>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</si>
  <si>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</si>
  <si>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</si>
  <si>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</si>
  <si>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</si>
  <si>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</si>
  <si>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</si>
  <si>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05.08.2025</t>
  </si>
  <si>
    <t>06.08.2025</t>
  </si>
  <si>
    <t>МИНИСТЕРСТВО ФИНАНСОВ РК, ГЦБ, MUM180_0009</t>
  </si>
  <si>
    <t>KZKD00000717</t>
  </si>
  <si>
    <t>МИНИСТЕРСТВО ФИНАНСОВ РК, ГЦБ, MUM240_0001</t>
  </si>
  <si>
    <t>KZKD00000550</t>
  </si>
  <si>
    <t>04.08.2025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</si>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</sst>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19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97.773400000000009</v>
      </c>
      <c r="J4" s="11">
        <v>98.188344444444439</v>
      </c>
      <c r="K4" s="11">
        <v>12531322.22222222</v>
      </c>
      <c r="L4" s="11">
        <v>2965288002.2222219</v>
      </c>
      <c r="M4" s="6">
        <f t="shared" ref="M4:M22" si="0">L4/$L$24</f>
        <v>9.9518040891552348E-2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83.110799999999998</v>
      </c>
      <c r="J5" s="11">
        <v>83.31593888888888</v>
      </c>
      <c r="K5" s="11">
        <v>4646395.8333333302</v>
      </c>
      <c r="L5" s="11">
        <v>1887106015.833333</v>
      </c>
      <c r="M5" s="6">
        <f t="shared" si="0"/>
        <v>6.3333171519817211E-2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83.110799999999998</v>
      </c>
      <c r="J6" s="11">
        <v>83.315938888889136</v>
      </c>
      <c r="K6" s="11">
        <v>3183029.36388889</v>
      </c>
      <c r="L6" s="11">
        <v>1292768433.131892</v>
      </c>
      <c r="M6" s="6">
        <f t="shared" si="0"/>
        <v>4.3386605852555646E-2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83.110799999999998</v>
      </c>
      <c r="J7" s="11">
        <v>83.31593888888888</v>
      </c>
      <c r="K7" s="11">
        <v>1119426.5055555601</v>
      </c>
      <c r="L7" s="11">
        <v>454648413.24155599</v>
      </c>
      <c r="M7" s="6">
        <f t="shared" si="0"/>
        <v>1.5258456968208446E-2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86.62700000000001</v>
      </c>
      <c r="J8" s="11">
        <v>89.891444444444431</v>
      </c>
      <c r="K8" s="11">
        <v>73939666.666666657</v>
      </c>
      <c r="L8" s="11">
        <v>2036041216.666666</v>
      </c>
      <c r="M8" s="6">
        <f t="shared" si="0"/>
        <v>6.8331586309751807E-2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84.983699999999999</v>
      </c>
      <c r="J9" s="11">
        <v>88.803144444444442</v>
      </c>
      <c r="K9" s="11">
        <v>86510416.666666657</v>
      </c>
      <c r="L9" s="11">
        <v>2011391221.666666</v>
      </c>
      <c r="M9" s="6">
        <f t="shared" si="0"/>
        <v>6.7504307742358646E-2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78.306100000000001</v>
      </c>
      <c r="J10" s="11">
        <v>82.254433333333324</v>
      </c>
      <c r="K10" s="11">
        <v>89429750</v>
      </c>
      <c r="L10" s="11">
        <v>1863062915</v>
      </c>
      <c r="M10" s="6">
        <f t="shared" si="0"/>
        <v>6.2526260929649163E-2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69.066400000000002</v>
      </c>
      <c r="J11" s="11">
        <v>71.624872222222223</v>
      </c>
      <c r="K11" s="11">
        <v>57949395.833333328</v>
      </c>
      <c r="L11" s="11">
        <v>1622303355.833333</v>
      </c>
      <c r="M11" s="6">
        <f t="shared" si="0"/>
        <v>5.4446128532315535E-2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77.259799999999998</v>
      </c>
      <c r="J12" s="11">
        <v>77.526049999999998</v>
      </c>
      <c r="K12" s="11">
        <v>6030562.5</v>
      </c>
      <c r="L12" s="11">
        <v>1755965032.5</v>
      </c>
      <c r="M12" s="6">
        <f t="shared" si="0"/>
        <v>5.8931948524902536E-2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63.108200000000004</v>
      </c>
      <c r="J13" s="11">
        <v>64.96878333333332</v>
      </c>
      <c r="K13" s="11">
        <v>42142212.5</v>
      </c>
      <c r="L13" s="11">
        <v>1471542942.5</v>
      </c>
      <c r="M13" s="6">
        <f t="shared" si="0"/>
        <v>4.9386457779359919E-2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61.763200000000005</v>
      </c>
      <c r="J14" s="11">
        <v>65.932699999999997</v>
      </c>
      <c r="K14" s="11">
        <v>94439175</v>
      </c>
      <c r="L14" s="11">
        <v>1493375655</v>
      </c>
      <c r="M14" s="6">
        <f t="shared" si="0"/>
        <v>5.0119185519033167E-2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84.543199999999999</v>
      </c>
      <c r="J15" s="11">
        <v>86.495200000000011</v>
      </c>
      <c r="K15" s="11">
        <v>73688000</v>
      </c>
      <c r="L15" s="11">
        <v>3265193800</v>
      </c>
      <c r="M15" s="6">
        <f t="shared" si="0"/>
        <v>0.10958318040734158</v>
      </c>
    </row>
    <row r="16" spans="1:13" x14ac:dyDescent="0.25">
      <c r="A16" s="1" t="s">
        <v>56</v>
      </c>
      <c r="B16" s="13" t="s">
        <v>57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57.619800000000005</v>
      </c>
      <c r="J16" s="11">
        <v>59.162855555555545</v>
      </c>
      <c r="K16" s="11">
        <v>43265117.5</v>
      </c>
      <c r="L16" s="11">
        <v>1658843641.78</v>
      </c>
      <c r="M16" s="6">
        <f t="shared" si="0"/>
        <v>5.5672457195266402E-2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85.783300000000011</v>
      </c>
      <c r="J17" s="11">
        <v>90.71663333333332</v>
      </c>
      <c r="K17" s="11">
        <v>51231680</v>
      </c>
      <c r="L17" s="11">
        <v>942074093.84000003</v>
      </c>
      <c r="M17" s="6">
        <f t="shared" si="0"/>
        <v>3.1616951919470004E-2</v>
      </c>
    </row>
    <row r="18" spans="1:15" x14ac:dyDescent="0.25">
      <c r="A18" s="1" t="s">
        <v>99</v>
      </c>
      <c r="B18" s="13" t="s">
        <v>100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98.166499999999999</v>
      </c>
      <c r="J18" s="11">
        <v>101.44969444444401</v>
      </c>
      <c r="K18" s="11">
        <v>16645434.681944439</v>
      </c>
      <c r="L18" s="11">
        <v>514338791.36694402</v>
      </c>
      <c r="M18" s="6">
        <f t="shared" si="0"/>
        <v>1.7261725954783404E-2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93.3397091526504</v>
      </c>
      <c r="J19" s="11">
        <v>106.52748693042801</v>
      </c>
      <c r="K19" s="11">
        <v>276943333.33333302</v>
      </c>
      <c r="L19" s="11">
        <v>2237077225.538991</v>
      </c>
      <c r="M19" s="6">
        <f t="shared" si="0"/>
        <v>7.5078556498359886E-2</v>
      </c>
    </row>
    <row r="20" spans="1:15" x14ac:dyDescent="0.25">
      <c r="A20" s="1" t="s">
        <v>107</v>
      </c>
      <c r="B20" s="13" t="s">
        <v>108</v>
      </c>
      <c r="C20" s="10">
        <v>1100000</v>
      </c>
      <c r="D20" s="11">
        <v>1100000000</v>
      </c>
      <c r="E20" s="3">
        <v>0.13870000000000002</v>
      </c>
      <c r="F20" s="4" t="s">
        <v>109</v>
      </c>
      <c r="G20" s="4" t="s">
        <v>110</v>
      </c>
      <c r="H20" s="11">
        <v>1100000000</v>
      </c>
      <c r="I20" s="11">
        <v>99.704999999999998</v>
      </c>
      <c r="J20" s="11">
        <v>105.291527777778</v>
      </c>
      <c r="K20" s="11">
        <v>61451805.555555552</v>
      </c>
      <c r="L20" s="11">
        <v>1158206805.5555551</v>
      </c>
      <c r="M20" s="6">
        <f t="shared" si="0"/>
        <v>3.8870582604378701E-2</v>
      </c>
    </row>
    <row r="21" spans="1:15" x14ac:dyDescent="0.25">
      <c r="A21" s="1" t="s">
        <v>111</v>
      </c>
      <c r="B21" s="13" t="s">
        <v>112</v>
      </c>
      <c r="C21" s="10">
        <v>1000000</v>
      </c>
      <c r="D21" s="11">
        <v>1000000000</v>
      </c>
      <c r="E21" s="3">
        <v>0.1389</v>
      </c>
      <c r="F21" s="4" t="s">
        <v>113</v>
      </c>
      <c r="G21" s="4" t="s">
        <v>114</v>
      </c>
      <c r="H21" s="11">
        <v>1000000000</v>
      </c>
      <c r="I21" s="11">
        <v>97.988476029655303</v>
      </c>
      <c r="J21" s="11">
        <v>100.573559362989</v>
      </c>
      <c r="K21" s="11">
        <v>25850833.333333328</v>
      </c>
      <c r="L21" s="11">
        <v>1005735593.629886</v>
      </c>
      <c r="M21" s="6">
        <f t="shared" si="0"/>
        <v>3.3753495733952629E-2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95.616415909627889</v>
      </c>
      <c r="J22" s="11">
        <v>97.45669368739226</v>
      </c>
      <c r="K22" s="11">
        <v>3050057.9860888901</v>
      </c>
      <c r="L22" s="11">
        <v>161523749.550547</v>
      </c>
      <c r="M22" s="6">
        <f t="shared" si="0"/>
        <v>5.420899116943028E-3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1024047615.481922</v>
      </c>
      <c r="L24" s="22">
        <f>SUM(L4:L23)</f>
        <v>29796486904.85759</v>
      </c>
      <c r="M24" s="23"/>
      <c r="N24" s="26">
        <v>29796486904.857613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5436256.2999999998</v>
      </c>
      <c r="C27" s="51">
        <v>5436256.2999999998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1673298</v>
      </c>
      <c r="D32" s="7" t="s">
        <v>51</v>
      </c>
      <c r="E32" s="34" t="s">
        <v>52</v>
      </c>
      <c r="F32" s="34" t="s">
        <v>53</v>
      </c>
      <c r="G32" s="15">
        <v>532.60210000251004</v>
      </c>
      <c r="H32" s="15">
        <v>532.82900600490802</v>
      </c>
      <c r="I32" s="16">
        <f t="shared" ref="I32:I41" si="1">+C32*G32</f>
        <v>891202028.73000002</v>
      </c>
      <c r="J32" s="16">
        <f t="shared" ref="J32:J41" si="2">+C32*H32</f>
        <v>891581710.09000063</v>
      </c>
      <c r="K32" s="18">
        <v>0.155502</v>
      </c>
      <c r="L32" s="17"/>
      <c r="M32" s="17">
        <v>891202028.73000002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9390</v>
      </c>
      <c r="D33" s="7" t="s">
        <v>51</v>
      </c>
      <c r="E33" s="34" t="s">
        <v>52</v>
      </c>
      <c r="F33" s="34" t="s">
        <v>53</v>
      </c>
      <c r="G33" s="15">
        <v>532.60210010649598</v>
      </c>
      <c r="H33" s="15">
        <v>532.82900638977605</v>
      </c>
      <c r="I33" s="16">
        <f t="shared" si="1"/>
        <v>5001133.7199999969</v>
      </c>
      <c r="J33" s="16">
        <f t="shared" si="2"/>
        <v>5003264.3699999973</v>
      </c>
      <c r="K33" s="18">
        <v>0.155502</v>
      </c>
      <c r="L33" s="17"/>
      <c r="M33" s="17">
        <v>5001133.72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1585348</v>
      </c>
      <c r="D34" s="7" t="s">
        <v>51</v>
      </c>
      <c r="E34" s="34" t="s">
        <v>52</v>
      </c>
      <c r="F34" s="34" t="s">
        <v>53</v>
      </c>
      <c r="G34" s="15">
        <v>814.64200000252299</v>
      </c>
      <c r="H34" s="15">
        <v>814.98917140590004</v>
      </c>
      <c r="I34" s="16">
        <f t="shared" si="1"/>
        <v>1291491065.4199998</v>
      </c>
      <c r="J34" s="16">
        <f t="shared" si="2"/>
        <v>1292041452.9100008</v>
      </c>
      <c r="K34" s="18">
        <v>0.15554999999999999</v>
      </c>
      <c r="L34" s="17"/>
      <c r="M34" s="17">
        <v>1291491065.4200001</v>
      </c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15219</v>
      </c>
      <c r="D35" s="7" t="s">
        <v>51</v>
      </c>
      <c r="E35" s="34" t="s">
        <v>52</v>
      </c>
      <c r="F35" s="34" t="s">
        <v>53</v>
      </c>
      <c r="G35" s="15">
        <v>591.62899993429301</v>
      </c>
      <c r="H35" s="15">
        <v>591.88113279453307</v>
      </c>
      <c r="I35" s="16">
        <f t="shared" si="1"/>
        <v>9004001.7500000056</v>
      </c>
      <c r="J35" s="16">
        <f t="shared" si="2"/>
        <v>9007838.959999999</v>
      </c>
      <c r="K35" s="18">
        <v>0.15555099999999999</v>
      </c>
      <c r="L35" s="17"/>
      <c r="M35" s="17">
        <v>9004001.75</v>
      </c>
      <c r="N35" s="35"/>
    </row>
    <row r="36" spans="1:15" s="36" customFormat="1" ht="12" customHeight="1" x14ac:dyDescent="0.25">
      <c r="A36" s="12" t="s">
        <v>49</v>
      </c>
      <c r="B36" s="7" t="s">
        <v>50</v>
      </c>
      <c r="C36" s="14">
        <v>2440100</v>
      </c>
      <c r="D36" s="7" t="s">
        <v>51</v>
      </c>
      <c r="E36" s="34" t="s">
        <v>58</v>
      </c>
      <c r="F36" s="34" t="s">
        <v>52</v>
      </c>
      <c r="G36" s="15">
        <v>532.79309999999998</v>
      </c>
      <c r="H36" s="15">
        <v>533.02067271833107</v>
      </c>
      <c r="I36" s="16">
        <f t="shared" si="1"/>
        <v>1300068443.3099999</v>
      </c>
      <c r="J36" s="16">
        <f t="shared" si="2"/>
        <v>1300623743.4999998</v>
      </c>
      <c r="K36" s="18">
        <v>0.15590299999999999</v>
      </c>
      <c r="L36" s="17">
        <v>555300.19000000006</v>
      </c>
      <c r="M36" s="17"/>
      <c r="N36" s="35"/>
    </row>
    <row r="37" spans="1:15" s="36" customFormat="1" ht="12" customHeight="1" x14ac:dyDescent="0.25">
      <c r="A37" s="12" t="s">
        <v>49</v>
      </c>
      <c r="B37" s="7" t="s">
        <v>50</v>
      </c>
      <c r="C37" s="14">
        <v>2440100</v>
      </c>
      <c r="D37" s="7" t="s">
        <v>51</v>
      </c>
      <c r="E37" s="34" t="s">
        <v>52</v>
      </c>
      <c r="F37" s="34" t="s">
        <v>52</v>
      </c>
      <c r="G37" s="15">
        <v>532.79309999999998</v>
      </c>
      <c r="H37" s="15">
        <v>533.02067271833107</v>
      </c>
      <c r="I37" s="16">
        <f t="shared" si="1"/>
        <v>1300068443.3099999</v>
      </c>
      <c r="J37" s="16">
        <f t="shared" si="2"/>
        <v>1300623743.4999998</v>
      </c>
      <c r="K37" s="18">
        <v>0.15590299999999999</v>
      </c>
      <c r="L37" s="17"/>
      <c r="M37" s="17"/>
      <c r="N37" s="35"/>
    </row>
    <row r="38" spans="1:15" s="36" customFormat="1" ht="12" customHeight="1" x14ac:dyDescent="0.25">
      <c r="A38" s="12" t="s">
        <v>59</v>
      </c>
      <c r="B38" s="7" t="s">
        <v>60</v>
      </c>
      <c r="C38" s="14">
        <v>958716</v>
      </c>
      <c r="D38" s="7" t="s">
        <v>51</v>
      </c>
      <c r="E38" s="34" t="s">
        <v>58</v>
      </c>
      <c r="F38" s="34" t="s">
        <v>52</v>
      </c>
      <c r="G38" s="15">
        <v>930.11399999582807</v>
      </c>
      <c r="H38" s="15">
        <v>930.51140075893204</v>
      </c>
      <c r="I38" s="16">
        <f t="shared" si="1"/>
        <v>891715173.62000024</v>
      </c>
      <c r="J38" s="16">
        <f t="shared" si="2"/>
        <v>892096168.09000027</v>
      </c>
      <c r="K38" s="18">
        <v>0.15595000000000001</v>
      </c>
      <c r="L38" s="17">
        <v>380994.47</v>
      </c>
      <c r="M38" s="17"/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958716</v>
      </c>
      <c r="D39" s="7" t="s">
        <v>51</v>
      </c>
      <c r="E39" s="34" t="s">
        <v>52</v>
      </c>
      <c r="F39" s="34" t="s">
        <v>52</v>
      </c>
      <c r="G39" s="15">
        <v>930.11399999582807</v>
      </c>
      <c r="H39" s="15">
        <v>930.51140075893204</v>
      </c>
      <c r="I39" s="16">
        <f t="shared" si="1"/>
        <v>891715173.62000024</v>
      </c>
      <c r="J39" s="16">
        <f t="shared" si="2"/>
        <v>892096168.09000027</v>
      </c>
      <c r="K39" s="18">
        <v>0.15595000000000001</v>
      </c>
      <c r="L39" s="17"/>
      <c r="M39" s="17"/>
      <c r="N39" s="35"/>
    </row>
    <row r="40" spans="1:15" s="36" customFormat="1" ht="12" customHeight="1" x14ac:dyDescent="0.25">
      <c r="A40" s="12" t="s">
        <v>49</v>
      </c>
      <c r="B40" s="7" t="s">
        <v>50</v>
      </c>
      <c r="C40" s="14">
        <v>9385</v>
      </c>
      <c r="D40" s="7" t="s">
        <v>51</v>
      </c>
      <c r="E40" s="34" t="s">
        <v>58</v>
      </c>
      <c r="F40" s="34" t="s">
        <v>52</v>
      </c>
      <c r="G40" s="15">
        <v>532.79309962706407</v>
      </c>
      <c r="H40" s="15">
        <v>533.02067234949402</v>
      </c>
      <c r="I40" s="16">
        <f t="shared" si="1"/>
        <v>5000263.2399999965</v>
      </c>
      <c r="J40" s="16">
        <f t="shared" si="2"/>
        <v>5002399.0100000016</v>
      </c>
      <c r="K40" s="18">
        <v>0.15590299999999999</v>
      </c>
      <c r="L40" s="17">
        <v>2135.77</v>
      </c>
      <c r="M40" s="17"/>
      <c r="N40" s="35"/>
    </row>
    <row r="41" spans="1:15" s="36" customFormat="1" ht="12" customHeight="1" x14ac:dyDescent="0.25">
      <c r="A41" s="12" t="s">
        <v>49</v>
      </c>
      <c r="B41" s="7" t="s">
        <v>50</v>
      </c>
      <c r="C41" s="14">
        <v>9385</v>
      </c>
      <c r="D41" s="7" t="s">
        <v>51</v>
      </c>
      <c r="E41" s="34" t="s">
        <v>52</v>
      </c>
      <c r="F41" s="34" t="s">
        <v>52</v>
      </c>
      <c r="G41" s="15">
        <v>532.79309962706407</v>
      </c>
      <c r="H41" s="15">
        <v>533.02067234949402</v>
      </c>
      <c r="I41" s="16">
        <f t="shared" si="1"/>
        <v>5000263.2399999965</v>
      </c>
      <c r="J41" s="16">
        <f t="shared" si="2"/>
        <v>5002399.0100000016</v>
      </c>
      <c r="K41" s="18">
        <v>0.15590299999999999</v>
      </c>
      <c r="L41" s="17"/>
      <c r="M41" s="17"/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2196698229.6199999</v>
      </c>
      <c r="N43" s="38">
        <v>2196698229.6199999</v>
      </c>
      <c r="O43" s="29">
        <f>M43-N43</f>
        <v>0</v>
      </c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hidden="1" x14ac:dyDescent="0.25">
      <c r="B47" s="41"/>
      <c r="C47" s="42"/>
      <c r="D47" s="43"/>
      <c r="G47" s="44"/>
      <c r="H47" s="33"/>
    </row>
    <row r="48" spans="1:15" x14ac:dyDescent="0.25">
      <c r="G48" s="45">
        <f>SUM(G47:G47)</f>
        <v>0</v>
      </c>
    </row>
    <row r="50" spans="1:4" x14ac:dyDescent="0.25">
      <c r="A50" s="46" t="s">
        <v>13</v>
      </c>
      <c r="B50" s="47">
        <f>+L24+B27+M43+G48</f>
        <v>31998621390.777588</v>
      </c>
      <c r="C50" s="32">
        <v>31998621390.777611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8" t="s">
        <v>35</v>
      </c>
      <c r="B54" s="49"/>
    </row>
    <row r="55" spans="1:4" x14ac:dyDescent="0.25">
      <c r="A55" s="48" t="s">
        <v>36</v>
      </c>
      <c r="B55" s="40"/>
    </row>
    <row r="56" spans="1:4" x14ac:dyDescent="0.25">
      <c r="A56" s="48" t="s">
        <v>37</v>
      </c>
      <c r="B56" s="40">
        <v>76671.03</v>
      </c>
    </row>
    <row r="57" spans="1:4" x14ac:dyDescent="0.25">
      <c r="A57" s="48" t="s">
        <v>38</v>
      </c>
      <c r="B57" s="40"/>
    </row>
    <row r="58" spans="1:4" x14ac:dyDescent="0.25">
      <c r="A58" s="48" t="s">
        <v>39</v>
      </c>
      <c r="B58" s="49"/>
    </row>
    <row r="59" spans="1:4" x14ac:dyDescent="0.25">
      <c r="A59" s="48" t="s">
        <v>40</v>
      </c>
      <c r="B59" s="50">
        <v>16570.32</v>
      </c>
    </row>
    <row r="60" spans="1:4" x14ac:dyDescent="0.25">
      <c r="A60" s="48" t="s">
        <v>41</v>
      </c>
      <c r="B60" s="50">
        <v>8232.0300000000007</v>
      </c>
    </row>
    <row r="61" spans="1:4" x14ac:dyDescent="0.25">
      <c r="A61" s="48" t="s">
        <v>42</v>
      </c>
      <c r="B61" s="40"/>
    </row>
    <row r="62" spans="1:4" x14ac:dyDescent="0.25">
      <c r="A62" s="48" t="s">
        <v>43</v>
      </c>
      <c r="B62" s="40"/>
    </row>
    <row r="63" spans="1:4" x14ac:dyDescent="0.25">
      <c r="A63" s="48" t="s">
        <v>44</v>
      </c>
      <c r="B63" s="50"/>
    </row>
    <row r="64" spans="1:4" x14ac:dyDescent="0.25">
      <c r="A64" s="48" t="s">
        <v>45</v>
      </c>
      <c r="B64" s="49">
        <f>SUM(B54:B63)</f>
        <v>101473.38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2025-08-06T05:07:06Z</dcterms:created>
  <dcterms:modified xsi:type="dcterms:W3CDTF">2025-08-06T07:20:58Z</dcterms:modified>
</cp:coreProperties>
</file>