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DE4206C3-953A-45BE-BE68-1D9BB373EB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ДУ!$28:$28</definedName>
    <definedName name="__mdDATAOther__">ДУ!#REF!</definedName>
    <definedName name="__mdDATAREPO__">ДУ!$33:$33</definedName>
    <definedName name="__mdDATASecurities__">ДУ!$4:$4</definedName>
    <definedName name="_FilterDatabase" localSheetId="0" hidden="1">ДУ!$A$3:$M$25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O42" i="1"/>
  <c r="D28" i="1"/>
  <c r="B63" i="1"/>
  <c r="G47" i="1"/>
  <c r="M42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L25" i="1"/>
  <c r="B49" i="1" s="1"/>
  <c r="K25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O25" i="1" l="1"/>
</calcChain>
</file>

<file path=xl/sharedStrings.xml><?xml version="1.0" encoding="utf-8"?>
<sst xmlns="http://schemas.openxmlformats.org/spreadsheetml/2006/main" count="174" uniqueCount="120">
  <si>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</si>
  <si>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</si>
  <si>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</si>
  <si>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</si>
  <si>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</si>
  <si>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</si>
  <si>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</si>
  <si>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</si>
  <si>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</si>
  <si>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</si>
  <si>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</si>
  <si>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</si>
  <si>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</si>
  <si>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</si>
  <si>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</si>
  <si>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</si>
  <si>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</si>
  <si>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</si>
  <si>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</si>
  <si>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</si>
  <si>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</si>
  <si>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</si>
  <si>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</si>
  <si>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</si>
  <si>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</si>
  <si>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</si>
  <si>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</si>
  <si>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</si>
  <si>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</si>
  <si>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</si>
  <si>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</si>
  <si>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</si>
  <si>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</si>
  <si>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</si>
  <si>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</si>
  <si>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</si>
  <si>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</si>
  <si>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</si>
  <si>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</si>
  <si>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</si>
  <si>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</si>
  <si>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</si>
  <si>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</si>
  <si>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</si>
  <si>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</si>
  <si>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</si>
  <si>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</si>
  <si>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</si>
  <si>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</si>
  <si>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MUM180_0009</t>
  </si>
  <si>
    <t>KZKD00000717</t>
  </si>
  <si>
    <t>KZT</t>
  </si>
  <si>
    <t>28.08.2025</t>
  </si>
  <si>
    <t>29.08.2025</t>
  </si>
  <si>
    <t>ГУ "Национальный Банк Республики Казахстан", ГЦБ, NTK028_2866</t>
  </si>
  <si>
    <t>KZW100014320</t>
  </si>
  <si>
    <t>27.08.2025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</si>
  <si>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</si>
  <si>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</si>
  <si>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</si>
  <si>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</si>
  <si>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</si>
  <si>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</si>
  <si>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</si>
  <si>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</si>
  <si>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</si>
  <si>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</si>
  <si>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</si>
  <si>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</si>
  <si>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</si>
  <si>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</si>
  <si>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</si>
  <si>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</si>
  <si>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</si>
  <si>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</si>
  <si>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</si>
  <si>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</si>
  <si>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</si>
  <si>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</si>
  <si>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07.08.2029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</si>
  <si>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</si>
  <si>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</si>
  <si>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</si>
  <si>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</si>
  <si>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</si>
  <si>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</si>
  <si>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08.08.2024</t>
  </si>
  <si>
    <t>28.07.2029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</si>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</sst>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6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3" fontId="0" fillId="0" borderId="1" xfId="7" applyFont="1" applyBorder="1" applyAlignment="1">
      <alignment vertical="center"/>
    </xf>
    <xf numFmtId="43" fontId="4" fillId="0" borderId="1" xfId="7" applyFont="1" applyBorder="1" applyAlignment="1">
      <alignment vertical="center"/>
    </xf>
    <xf numFmtId="43" fontId="0" fillId="0" borderId="1" xfId="7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  <xf numFmtId="43" fontId="0" fillId="0" borderId="0" xfId="2" applyFont="1" applyAlignment="1">
      <alignment vertical="center"/>
    </xf>
  </cellXfs>
  <cellStyles count="9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  <cellStyle name="Финансовый 2 2" xfId="8" xr:uid="{0119D4B7-E7B6-425E-BA84-693B3B44D9B9}"/>
    <cellStyle name="Финансовый 3" xfId="7" xr:uid="{811CBE18-B6AF-4CDB-93F0-0FA2730E6D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topLeftCell="A19" zoomScale="90" zoomScaleNormal="90" workbookViewId="0">
      <selection activeCell="D50" sqref="D5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8.85546875" style="26" bestFit="1" customWidth="1"/>
    <col min="15" max="15" width="14.85546875" style="26" bestFit="1" customWidth="1"/>
    <col min="16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57</v>
      </c>
      <c r="B4" s="13" t="s">
        <v>58</v>
      </c>
      <c r="C4" s="10">
        <v>506989</v>
      </c>
      <c r="D4" s="11">
        <v>506989000</v>
      </c>
      <c r="E4" s="3">
        <v>0.1535</v>
      </c>
      <c r="F4" s="4" t="s">
        <v>59</v>
      </c>
      <c r="G4" s="4" t="s">
        <v>60</v>
      </c>
      <c r="H4" s="11">
        <v>492216861.50999999</v>
      </c>
      <c r="I4" s="11">
        <v>97.667500000000004</v>
      </c>
      <c r="J4" s="11">
        <v>101.931388888889</v>
      </c>
      <c r="K4" s="11">
        <v>21617447.638888881</v>
      </c>
      <c r="L4" s="11">
        <v>516780929.213889</v>
      </c>
      <c r="M4" s="6">
        <f t="shared" ref="M4:M23" si="0">L4/$L$25</f>
        <v>1.7063686359333464E-2</v>
      </c>
    </row>
    <row r="5" spans="1:13" x14ac:dyDescent="0.25">
      <c r="A5" s="1" t="s">
        <v>61</v>
      </c>
      <c r="B5" s="13" t="s">
        <v>62</v>
      </c>
      <c r="C5" s="10">
        <v>2100000</v>
      </c>
      <c r="D5" s="11">
        <v>2100000000</v>
      </c>
      <c r="E5" s="3">
        <v>0.14300000000000002</v>
      </c>
      <c r="F5" s="4" t="s">
        <v>63</v>
      </c>
      <c r="G5" s="4" t="s">
        <v>64</v>
      </c>
      <c r="H5" s="11">
        <v>2100000000</v>
      </c>
      <c r="I5" s="11">
        <v>93.285639764423394</v>
      </c>
      <c r="J5" s="11">
        <v>107.387028653312</v>
      </c>
      <c r="K5" s="11">
        <v>296129166.66666698</v>
      </c>
      <c r="L5" s="11">
        <v>2255127601.7195578</v>
      </c>
      <c r="M5" s="6">
        <f t="shared" si="0"/>
        <v>7.4462480948269863E-2</v>
      </c>
    </row>
    <row r="6" spans="1:13" x14ac:dyDescent="0.25">
      <c r="A6" s="1" t="s">
        <v>65</v>
      </c>
      <c r="B6" s="13" t="s">
        <v>66</v>
      </c>
      <c r="C6" s="10">
        <v>1100000</v>
      </c>
      <c r="D6" s="11">
        <v>1100000000</v>
      </c>
      <c r="E6" s="3">
        <v>0.13870000000000002</v>
      </c>
      <c r="F6" s="4" t="s">
        <v>67</v>
      </c>
      <c r="G6" s="4" t="s">
        <v>68</v>
      </c>
      <c r="H6" s="11">
        <v>1100000000</v>
      </c>
      <c r="I6" s="11">
        <v>99.8904</v>
      </c>
      <c r="J6" s="11">
        <v>106.36306666666701</v>
      </c>
      <c r="K6" s="11">
        <v>71199333.333333328</v>
      </c>
      <c r="L6" s="11">
        <v>1169993733.333333</v>
      </c>
      <c r="M6" s="6">
        <f t="shared" si="0"/>
        <v>3.8632242366905566E-2</v>
      </c>
    </row>
    <row r="7" spans="1:13" x14ac:dyDescent="0.25">
      <c r="A7" s="1" t="s">
        <v>69</v>
      </c>
      <c r="B7" s="13" t="s">
        <v>70</v>
      </c>
      <c r="C7" s="10">
        <v>1000000</v>
      </c>
      <c r="D7" s="11">
        <v>1000000000</v>
      </c>
      <c r="E7" s="3">
        <v>0.1389</v>
      </c>
      <c r="F7" s="4" t="s">
        <v>71</v>
      </c>
      <c r="G7" s="4" t="s">
        <v>72</v>
      </c>
      <c r="H7" s="11">
        <v>1000000000</v>
      </c>
      <c r="I7" s="11">
        <v>98.056536843672291</v>
      </c>
      <c r="J7" s="11">
        <v>101.529036843672</v>
      </c>
      <c r="K7" s="11">
        <v>34724999.999999993</v>
      </c>
      <c r="L7" s="11">
        <v>1015290368.436722</v>
      </c>
      <c r="M7" s="6">
        <f t="shared" si="0"/>
        <v>3.3524062966119851E-2</v>
      </c>
    </row>
    <row r="8" spans="1:13" x14ac:dyDescent="0.25">
      <c r="A8" s="1" t="s">
        <v>73</v>
      </c>
      <c r="B8" s="13" t="s">
        <v>74</v>
      </c>
      <c r="C8" s="10">
        <v>165739</v>
      </c>
      <c r="D8" s="11">
        <v>165739000</v>
      </c>
      <c r="E8" s="3">
        <v>0.125</v>
      </c>
      <c r="F8" s="4" t="s">
        <v>75</v>
      </c>
      <c r="G8" s="4" t="s">
        <v>76</v>
      </c>
      <c r="H8" s="11">
        <v>159596381.18279999</v>
      </c>
      <c r="I8" s="11">
        <v>95.508958326890692</v>
      </c>
      <c r="J8" s="11">
        <v>98.147847215766177</v>
      </c>
      <c r="K8" s="11">
        <v>4373668.05553333</v>
      </c>
      <c r="L8" s="11">
        <v>162669260.496939</v>
      </c>
      <c r="M8" s="6">
        <f t="shared" si="0"/>
        <v>5.3712068006202254E-3</v>
      </c>
    </row>
    <row r="9" spans="1:13" x14ac:dyDescent="0.25">
      <c r="A9" s="1" t="s">
        <v>77</v>
      </c>
      <c r="B9" s="13" t="s">
        <v>78</v>
      </c>
      <c r="C9" s="10">
        <v>494987</v>
      </c>
      <c r="D9" s="11">
        <v>494987000</v>
      </c>
      <c r="E9" s="3">
        <v>0.1701</v>
      </c>
      <c r="F9" s="4" t="s">
        <v>52</v>
      </c>
      <c r="G9" s="4" t="s">
        <v>79</v>
      </c>
      <c r="H9" s="11">
        <v>495088472.34249997</v>
      </c>
      <c r="I9" s="11">
        <v>101.6932</v>
      </c>
      <c r="J9" s="11">
        <v>102.68545</v>
      </c>
      <c r="K9" s="11">
        <v>4911508.5075000003</v>
      </c>
      <c r="L9" s="11">
        <v>508279628.3915</v>
      </c>
      <c r="M9" s="6">
        <f t="shared" si="0"/>
        <v>1.6782980314123442E-2</v>
      </c>
    </row>
    <row r="10" spans="1:13" x14ac:dyDescent="0.25">
      <c r="A10" s="1" t="s">
        <v>80</v>
      </c>
      <c r="B10" s="13" t="s">
        <v>81</v>
      </c>
      <c r="C10" s="10">
        <v>3020000</v>
      </c>
      <c r="D10" s="11">
        <v>3020000000</v>
      </c>
      <c r="E10" s="3">
        <v>0.1067</v>
      </c>
      <c r="F10" s="4" t="s">
        <v>82</v>
      </c>
      <c r="G10" s="4" t="s">
        <v>83</v>
      </c>
      <c r="H10" s="11">
        <v>2930617060.0000029</v>
      </c>
      <c r="I10" s="11">
        <v>97.9405</v>
      </c>
      <c r="J10" s="11">
        <v>99.037138888888876</v>
      </c>
      <c r="K10" s="11">
        <v>33118494.44444444</v>
      </c>
      <c r="L10" s="11">
        <v>2990921594.4444442</v>
      </c>
      <c r="M10" s="6">
        <f t="shared" si="0"/>
        <v>9.8757800700177048E-2</v>
      </c>
    </row>
    <row r="11" spans="1:13" x14ac:dyDescent="0.25">
      <c r="A11" s="1" t="s">
        <v>84</v>
      </c>
      <c r="B11" s="13" t="s">
        <v>85</v>
      </c>
      <c r="C11" s="10">
        <v>1551646</v>
      </c>
      <c r="D11" s="11">
        <v>1551646000</v>
      </c>
      <c r="E11" s="3">
        <v>0.10550000000000001</v>
      </c>
      <c r="F11" s="4" t="s">
        <v>86</v>
      </c>
      <c r="G11" s="4" t="s">
        <v>87</v>
      </c>
      <c r="H11" s="11">
        <v>1395452658.7</v>
      </c>
      <c r="I11" s="11">
        <v>82.415300000000002</v>
      </c>
      <c r="J11" s="11">
        <v>83.294466666666921</v>
      </c>
      <c r="K11" s="11">
        <v>13641554.41666666</v>
      </c>
      <c r="L11" s="11">
        <v>1292435260.2546699</v>
      </c>
      <c r="M11" s="6">
        <f t="shared" si="0"/>
        <v>4.2675162092913568E-2</v>
      </c>
    </row>
    <row r="12" spans="1:13" x14ac:dyDescent="0.25">
      <c r="A12" s="1" t="s">
        <v>84</v>
      </c>
      <c r="B12" s="13" t="s">
        <v>85</v>
      </c>
      <c r="C12" s="10">
        <v>2265000</v>
      </c>
      <c r="D12" s="11">
        <v>2265000000</v>
      </c>
      <c r="E12" s="3">
        <v>0.10550000000000001</v>
      </c>
      <c r="F12" s="4" t="s">
        <v>82</v>
      </c>
      <c r="G12" s="4" t="s">
        <v>87</v>
      </c>
      <c r="H12" s="11">
        <v>2039188560.0000031</v>
      </c>
      <c r="I12" s="11">
        <v>82.415300000000002</v>
      </c>
      <c r="J12" s="11">
        <v>83.294466666666651</v>
      </c>
      <c r="K12" s="11">
        <v>19913124.999999989</v>
      </c>
      <c r="L12" s="11">
        <v>1886619669.999999</v>
      </c>
      <c r="M12" s="6">
        <f t="shared" si="0"/>
        <v>6.2294648483255159E-2</v>
      </c>
    </row>
    <row r="13" spans="1:13" x14ac:dyDescent="0.25">
      <c r="A13" s="1" t="s">
        <v>84</v>
      </c>
      <c r="B13" s="13" t="s">
        <v>85</v>
      </c>
      <c r="C13" s="10">
        <v>545692</v>
      </c>
      <c r="D13" s="11">
        <v>545692000</v>
      </c>
      <c r="E13" s="3">
        <v>0.10550000000000001</v>
      </c>
      <c r="F13" s="4" t="s">
        <v>88</v>
      </c>
      <c r="G13" s="4" t="s">
        <v>87</v>
      </c>
      <c r="H13" s="11">
        <v>449784993.92000002</v>
      </c>
      <c r="I13" s="11">
        <v>82.415300000000002</v>
      </c>
      <c r="J13" s="11">
        <v>83.294466666666651</v>
      </c>
      <c r="K13" s="11">
        <v>4797542.1666666698</v>
      </c>
      <c r="L13" s="11">
        <v>454531241.04266697</v>
      </c>
      <c r="M13" s="6">
        <f t="shared" si="0"/>
        <v>1.500825223846557E-2</v>
      </c>
    </row>
    <row r="14" spans="1:13" x14ac:dyDescent="0.25">
      <c r="A14" s="1" t="s">
        <v>89</v>
      </c>
      <c r="B14" s="13" t="s">
        <v>90</v>
      </c>
      <c r="C14" s="10">
        <v>2265000</v>
      </c>
      <c r="D14" s="11">
        <v>2265000000</v>
      </c>
      <c r="E14" s="3">
        <v>0.10400000000000001</v>
      </c>
      <c r="F14" s="4" t="s">
        <v>82</v>
      </c>
      <c r="G14" s="4" t="s">
        <v>91</v>
      </c>
      <c r="H14" s="11">
        <v>2073109200</v>
      </c>
      <c r="I14" s="11">
        <v>86.286600000000007</v>
      </c>
      <c r="J14" s="11">
        <v>90.215488888888871</v>
      </c>
      <c r="K14" s="11">
        <v>88989333.333333328</v>
      </c>
      <c r="L14" s="11">
        <v>2043380823.333333</v>
      </c>
      <c r="M14" s="6">
        <f t="shared" si="0"/>
        <v>6.7470774386113846E-2</v>
      </c>
    </row>
    <row r="15" spans="1:13" x14ac:dyDescent="0.25">
      <c r="A15" s="1" t="s">
        <v>92</v>
      </c>
      <c r="B15" s="13" t="s">
        <v>93</v>
      </c>
      <c r="C15" s="10">
        <v>2265000</v>
      </c>
      <c r="D15" s="11">
        <v>2265000000</v>
      </c>
      <c r="E15" s="3">
        <v>0.11</v>
      </c>
      <c r="F15" s="4" t="s">
        <v>82</v>
      </c>
      <c r="G15" s="4" t="s">
        <v>94</v>
      </c>
      <c r="H15" s="11">
        <v>2080889475</v>
      </c>
      <c r="I15" s="11">
        <v>84.383300000000006</v>
      </c>
      <c r="J15" s="11">
        <v>88.905522222222217</v>
      </c>
      <c r="K15" s="11">
        <v>102428333.333333</v>
      </c>
      <c r="L15" s="11">
        <v>2013710078.333333</v>
      </c>
      <c r="M15" s="6">
        <f t="shared" si="0"/>
        <v>6.6491070495922081E-2</v>
      </c>
    </row>
    <row r="16" spans="1:13" x14ac:dyDescent="0.25">
      <c r="A16" s="1" t="s">
        <v>95</v>
      </c>
      <c r="B16" s="13" t="s">
        <v>96</v>
      </c>
      <c r="C16" s="10">
        <v>2265000</v>
      </c>
      <c r="D16" s="11">
        <v>2265000000</v>
      </c>
      <c r="E16" s="3">
        <v>0.10300000000000001</v>
      </c>
      <c r="F16" s="4" t="s">
        <v>82</v>
      </c>
      <c r="G16" s="4" t="s">
        <v>97</v>
      </c>
      <c r="H16" s="11">
        <v>1963990560.0000031</v>
      </c>
      <c r="I16" s="11">
        <v>77.209000000000003</v>
      </c>
      <c r="J16" s="11">
        <v>81.815388888888876</v>
      </c>
      <c r="K16" s="11">
        <v>104334708.333333</v>
      </c>
      <c r="L16" s="11">
        <v>1853118558.333333</v>
      </c>
      <c r="M16" s="6">
        <f t="shared" si="0"/>
        <v>6.1188468998190616E-2</v>
      </c>
    </row>
    <row r="17" spans="1:15" x14ac:dyDescent="0.25">
      <c r="A17" s="1" t="s">
        <v>98</v>
      </c>
      <c r="B17" s="13" t="s">
        <v>99</v>
      </c>
      <c r="C17" s="10">
        <v>2265000</v>
      </c>
      <c r="D17" s="11">
        <v>2265000000</v>
      </c>
      <c r="E17" s="3">
        <v>8.4500000000000006E-2</v>
      </c>
      <c r="F17" s="4" t="s">
        <v>82</v>
      </c>
      <c r="G17" s="4" t="s">
        <v>100</v>
      </c>
      <c r="H17" s="11">
        <v>1740247065.0000031</v>
      </c>
      <c r="I17" s="11">
        <v>67.820400000000006</v>
      </c>
      <c r="J17" s="11">
        <v>70.918733333333321</v>
      </c>
      <c r="K17" s="11">
        <v>70177249.999999985</v>
      </c>
      <c r="L17" s="11">
        <v>1606309309.999999</v>
      </c>
      <c r="M17" s="6">
        <f t="shared" si="0"/>
        <v>5.3039028169270669E-2</v>
      </c>
    </row>
    <row r="18" spans="1:15" x14ac:dyDescent="0.25">
      <c r="A18" s="1" t="s">
        <v>101</v>
      </c>
      <c r="B18" s="13" t="s">
        <v>102</v>
      </c>
      <c r="C18" s="10">
        <v>2265000</v>
      </c>
      <c r="D18" s="11">
        <v>2265000000</v>
      </c>
      <c r="E18" s="3">
        <v>0.10650000000000001</v>
      </c>
      <c r="F18" s="4" t="s">
        <v>82</v>
      </c>
      <c r="G18" s="4" t="s">
        <v>103</v>
      </c>
      <c r="H18" s="11">
        <v>1967775375</v>
      </c>
      <c r="I18" s="11">
        <v>75.780799999999999</v>
      </c>
      <c r="J18" s="11">
        <v>76.727466666666658</v>
      </c>
      <c r="K18" s="11">
        <v>21442000</v>
      </c>
      <c r="L18" s="11">
        <v>1737877120</v>
      </c>
      <c r="M18" s="6">
        <f t="shared" si="0"/>
        <v>5.7383290346745879E-2</v>
      </c>
    </row>
    <row r="19" spans="1:15" x14ac:dyDescent="0.25">
      <c r="A19" s="1" t="s">
        <v>104</v>
      </c>
      <c r="B19" s="13" t="s">
        <v>105</v>
      </c>
      <c r="C19" s="10">
        <v>2265000</v>
      </c>
      <c r="D19" s="11">
        <v>2265000000</v>
      </c>
      <c r="E19" s="3">
        <v>8.0700000000000008E-2</v>
      </c>
      <c r="F19" s="4" t="s">
        <v>82</v>
      </c>
      <c r="G19" s="4" t="s">
        <v>106</v>
      </c>
      <c r="H19" s="11">
        <v>1622351550</v>
      </c>
      <c r="I19" s="11">
        <v>61.5334</v>
      </c>
      <c r="J19" s="11">
        <v>63.909566666666656</v>
      </c>
      <c r="K19" s="11">
        <v>53820175</v>
      </c>
      <c r="L19" s="11">
        <v>1447551685</v>
      </c>
      <c r="M19" s="6">
        <f t="shared" si="0"/>
        <v>4.7796980394261841E-2</v>
      </c>
    </row>
    <row r="20" spans="1:15" x14ac:dyDescent="0.25">
      <c r="A20" s="1" t="s">
        <v>107</v>
      </c>
      <c r="B20" s="13" t="s">
        <v>108</v>
      </c>
      <c r="C20" s="10">
        <v>2265000</v>
      </c>
      <c r="D20" s="11">
        <v>2265000000</v>
      </c>
      <c r="E20" s="3">
        <v>8.0700000000000008E-2</v>
      </c>
      <c r="F20" s="4" t="s">
        <v>82</v>
      </c>
      <c r="G20" s="4" t="s">
        <v>109</v>
      </c>
      <c r="H20" s="11">
        <v>1597764975</v>
      </c>
      <c r="I20" s="11">
        <v>60.123400000000004</v>
      </c>
      <c r="J20" s="11">
        <v>64.808483333333328</v>
      </c>
      <c r="K20" s="11">
        <v>106117137.5</v>
      </c>
      <c r="L20" s="11">
        <v>1467912147.5</v>
      </c>
      <c r="M20" s="6">
        <f t="shared" si="0"/>
        <v>4.8469266321607231E-2</v>
      </c>
    </row>
    <row r="21" spans="1:15" x14ac:dyDescent="0.25">
      <c r="A21" s="1" t="s">
        <v>110</v>
      </c>
      <c r="B21" s="13" t="s">
        <v>111</v>
      </c>
      <c r="C21" s="10">
        <v>3775000</v>
      </c>
      <c r="D21" s="11">
        <v>3775000000</v>
      </c>
      <c r="E21" s="3">
        <v>5.4900000000000004E-2</v>
      </c>
      <c r="F21" s="4" t="s">
        <v>82</v>
      </c>
      <c r="G21" s="4" t="s">
        <v>112</v>
      </c>
      <c r="H21" s="11">
        <v>3136670150</v>
      </c>
      <c r="I21" s="11">
        <v>84.668599999999998</v>
      </c>
      <c r="J21" s="11">
        <v>86.971350000000001</v>
      </c>
      <c r="K21" s="11">
        <v>86928812.5</v>
      </c>
      <c r="L21" s="11">
        <v>3283168462.5</v>
      </c>
      <c r="M21" s="6">
        <f t="shared" si="0"/>
        <v>0.10840755481084691</v>
      </c>
    </row>
    <row r="22" spans="1:15" x14ac:dyDescent="0.25">
      <c r="A22" s="1" t="s">
        <v>113</v>
      </c>
      <c r="B22" s="13" t="s">
        <v>114</v>
      </c>
      <c r="C22" s="10">
        <v>2803860</v>
      </c>
      <c r="D22" s="11">
        <v>2803860000</v>
      </c>
      <c r="E22" s="3">
        <v>5.5E-2</v>
      </c>
      <c r="F22" s="4" t="s">
        <v>115</v>
      </c>
      <c r="G22" s="4" t="s">
        <v>116</v>
      </c>
      <c r="H22" s="11">
        <v>1773018067.1400001</v>
      </c>
      <c r="I22" s="11">
        <v>56.564400000000006</v>
      </c>
      <c r="J22" s="11">
        <v>58.458844444444438</v>
      </c>
      <c r="K22" s="11">
        <v>53117570</v>
      </c>
      <c r="L22" s="11">
        <v>1639104155.8399999</v>
      </c>
      <c r="M22" s="6">
        <f t="shared" si="0"/>
        <v>5.4121887330632744E-2</v>
      </c>
    </row>
    <row r="23" spans="1:15" x14ac:dyDescent="0.25">
      <c r="A23" s="1" t="s">
        <v>117</v>
      </c>
      <c r="B23" s="13" t="s">
        <v>118</v>
      </c>
      <c r="C23" s="10">
        <v>1038480</v>
      </c>
      <c r="D23" s="11">
        <v>1038480000</v>
      </c>
      <c r="E23" s="3">
        <v>0.12</v>
      </c>
      <c r="F23" s="4" t="s">
        <v>115</v>
      </c>
      <c r="G23" s="4" t="s">
        <v>119</v>
      </c>
      <c r="H23" s="11">
        <v>979029096.96000004</v>
      </c>
      <c r="I23" s="11">
        <v>84.878500000000003</v>
      </c>
      <c r="J23" s="11">
        <v>90.578500000000005</v>
      </c>
      <c r="K23" s="11">
        <v>59193360</v>
      </c>
      <c r="L23" s="11">
        <v>940639606.79999995</v>
      </c>
      <c r="M23" s="6">
        <f t="shared" si="0"/>
        <v>3.1059155476224509E-2</v>
      </c>
    </row>
    <row r="24" spans="1:15" ht="9.75" hidden="1" customHeight="1" thickBot="1" x14ac:dyDescent="0.3">
      <c r="A24" s="1"/>
      <c r="B24" s="1"/>
      <c r="C24" s="1"/>
      <c r="D24" s="2"/>
      <c r="E24" s="3"/>
      <c r="F24" s="4"/>
      <c r="G24" s="4"/>
      <c r="H24" s="2"/>
      <c r="I24" s="5"/>
      <c r="J24" s="5"/>
      <c r="K24" s="2"/>
      <c r="L24" s="2"/>
      <c r="M24" s="6"/>
    </row>
    <row r="25" spans="1:15" x14ac:dyDescent="0.25">
      <c r="A25" s="1"/>
      <c r="B25" s="21"/>
      <c r="C25" s="1"/>
      <c r="D25" s="22"/>
      <c r="E25" s="13"/>
      <c r="F25" s="22"/>
      <c r="G25" s="22"/>
      <c r="H25" s="22"/>
      <c r="I25" s="22"/>
      <c r="J25" s="22"/>
      <c r="K25" s="22">
        <f>SUM(K4:K24)</f>
        <v>1250975520.2296996</v>
      </c>
      <c r="L25" s="22">
        <f>SUM(L4:L24)</f>
        <v>30285421234.973717</v>
      </c>
      <c r="M25" s="23"/>
      <c r="N25" s="55">
        <v>30285421234.97374</v>
      </c>
      <c r="O25" s="29">
        <f>L25-N25</f>
        <v>0</v>
      </c>
    </row>
    <row r="27" spans="1:15" x14ac:dyDescent="0.25">
      <c r="A27" s="30" t="s">
        <v>26</v>
      </c>
    </row>
    <row r="28" spans="1:15" x14ac:dyDescent="0.25">
      <c r="A28" s="19" t="s">
        <v>51</v>
      </c>
      <c r="B28" s="31">
        <v>4206095.46</v>
      </c>
      <c r="C28" s="54">
        <v>4206095.46</v>
      </c>
      <c r="D28" s="29">
        <f>B28-C28</f>
        <v>0</v>
      </c>
    </row>
    <row r="31" spans="1:15" x14ac:dyDescent="0.25">
      <c r="A31" s="27" t="s">
        <v>9</v>
      </c>
      <c r="E31" s="28"/>
      <c r="F31" s="28"/>
      <c r="G31" s="33"/>
      <c r="H31" s="33"/>
      <c r="I31" s="33"/>
      <c r="J31" s="33"/>
      <c r="K31" s="28"/>
      <c r="L31" s="28"/>
      <c r="M31" s="28"/>
    </row>
    <row r="32" spans="1:15" ht="22.5" x14ac:dyDescent="0.25">
      <c r="A32" s="19" t="s">
        <v>14</v>
      </c>
      <c r="B32" s="19" t="s">
        <v>15</v>
      </c>
      <c r="C32" s="19" t="s">
        <v>16</v>
      </c>
      <c r="D32" s="19" t="s">
        <v>17</v>
      </c>
      <c r="E32" s="19" t="s">
        <v>10</v>
      </c>
      <c r="F32" s="19" t="s">
        <v>11</v>
      </c>
      <c r="G32" s="19" t="s">
        <v>18</v>
      </c>
      <c r="H32" s="19" t="s">
        <v>19</v>
      </c>
      <c r="I32" s="19" t="s">
        <v>20</v>
      </c>
      <c r="J32" s="19" t="s">
        <v>21</v>
      </c>
      <c r="K32" s="19" t="s">
        <v>22</v>
      </c>
      <c r="L32" s="19" t="s">
        <v>24</v>
      </c>
      <c r="M32" s="19" t="s">
        <v>23</v>
      </c>
    </row>
    <row r="33" spans="1:15" s="36" customFormat="1" ht="12" customHeight="1" x14ac:dyDescent="0.25">
      <c r="A33" s="12" t="s">
        <v>49</v>
      </c>
      <c r="B33" s="7" t="s">
        <v>50</v>
      </c>
      <c r="C33" s="14">
        <v>512468</v>
      </c>
      <c r="D33" s="7" t="s">
        <v>51</v>
      </c>
      <c r="E33" s="34" t="s">
        <v>52</v>
      </c>
      <c r="F33" s="34" t="s">
        <v>53</v>
      </c>
      <c r="G33" s="15">
        <v>816.16600000390304</v>
      </c>
      <c r="H33" s="15">
        <v>816.52198254330006</v>
      </c>
      <c r="I33" s="16">
        <f t="shared" ref="I33:I40" si="1">+C33*G33</f>
        <v>418258957.69000018</v>
      </c>
      <c r="J33" s="16">
        <f t="shared" ref="J33:J40" si="2">+C33*H33</f>
        <v>418441387.3499999</v>
      </c>
      <c r="K33" s="18">
        <v>0.15920000000000001</v>
      </c>
      <c r="L33" s="17"/>
      <c r="M33" s="17">
        <v>418258957.69</v>
      </c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13110500</v>
      </c>
      <c r="D34" s="7" t="s">
        <v>51</v>
      </c>
      <c r="E34" s="34" t="s">
        <v>56</v>
      </c>
      <c r="F34" s="34" t="s">
        <v>52</v>
      </c>
      <c r="G34" s="15">
        <v>99.166300000000007</v>
      </c>
      <c r="H34" s="15">
        <v>99.208683404904463</v>
      </c>
      <c r="I34" s="16">
        <f t="shared" si="1"/>
        <v>1300119776.1500001</v>
      </c>
      <c r="J34" s="16">
        <f t="shared" si="2"/>
        <v>1300675443.78</v>
      </c>
      <c r="K34" s="18">
        <v>0.156</v>
      </c>
      <c r="L34" s="17">
        <v>555667.63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13110500</v>
      </c>
      <c r="D35" s="7" t="s">
        <v>51</v>
      </c>
      <c r="E35" s="34" t="s">
        <v>52</v>
      </c>
      <c r="F35" s="34" t="s">
        <v>52</v>
      </c>
      <c r="G35" s="15">
        <v>99.166300000000007</v>
      </c>
      <c r="H35" s="15">
        <v>99.208683404904463</v>
      </c>
      <c r="I35" s="16">
        <f t="shared" si="1"/>
        <v>1300119776.1500001</v>
      </c>
      <c r="J35" s="16">
        <f t="shared" si="2"/>
        <v>1300675443.78</v>
      </c>
      <c r="K35" s="18">
        <v>0.156</v>
      </c>
      <c r="L35" s="17"/>
      <c r="M35" s="17"/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9237860</v>
      </c>
      <c r="D36" s="7" t="s">
        <v>51</v>
      </c>
      <c r="E36" s="34" t="s">
        <v>56</v>
      </c>
      <c r="F36" s="34" t="s">
        <v>52</v>
      </c>
      <c r="G36" s="15">
        <v>99.166300000216495</v>
      </c>
      <c r="H36" s="15">
        <v>99.208683405031024</v>
      </c>
      <c r="I36" s="16">
        <f t="shared" si="1"/>
        <v>916084396.12</v>
      </c>
      <c r="J36" s="16">
        <f t="shared" si="2"/>
        <v>916475928.07999992</v>
      </c>
      <c r="K36" s="18">
        <v>0.156</v>
      </c>
      <c r="L36" s="17">
        <v>391531.96</v>
      </c>
      <c r="M36" s="17"/>
      <c r="N36" s="35"/>
    </row>
    <row r="37" spans="1:15" s="36" customFormat="1" ht="12" customHeight="1" x14ac:dyDescent="0.25">
      <c r="A37" s="12" t="s">
        <v>54</v>
      </c>
      <c r="B37" s="7" t="s">
        <v>55</v>
      </c>
      <c r="C37" s="14">
        <v>9237860</v>
      </c>
      <c r="D37" s="7" t="s">
        <v>51</v>
      </c>
      <c r="E37" s="34" t="s">
        <v>52</v>
      </c>
      <c r="F37" s="34" t="s">
        <v>52</v>
      </c>
      <c r="G37" s="15">
        <v>99.166300000216495</v>
      </c>
      <c r="H37" s="15">
        <v>99.208683405031024</v>
      </c>
      <c r="I37" s="16">
        <f t="shared" si="1"/>
        <v>916084396.12</v>
      </c>
      <c r="J37" s="16">
        <f t="shared" si="2"/>
        <v>916475928.07999992</v>
      </c>
      <c r="K37" s="18">
        <v>0.156</v>
      </c>
      <c r="L37" s="17"/>
      <c r="M37" s="17"/>
      <c r="N37" s="35"/>
    </row>
    <row r="38" spans="1:15" s="36" customFormat="1" ht="12" customHeight="1" x14ac:dyDescent="0.25">
      <c r="A38" s="12" t="s">
        <v>49</v>
      </c>
      <c r="B38" s="7" t="s">
        <v>50</v>
      </c>
      <c r="C38" s="14">
        <v>6120</v>
      </c>
      <c r="D38" s="7" t="s">
        <v>51</v>
      </c>
      <c r="E38" s="34" t="s">
        <v>56</v>
      </c>
      <c r="F38" s="34" t="s">
        <v>52</v>
      </c>
      <c r="G38" s="15">
        <v>817.44</v>
      </c>
      <c r="H38" s="15">
        <v>817.78937091503303</v>
      </c>
      <c r="I38" s="16">
        <f t="shared" si="1"/>
        <v>5002732.8000000007</v>
      </c>
      <c r="J38" s="16">
        <f t="shared" si="2"/>
        <v>5004870.950000002</v>
      </c>
      <c r="K38" s="18">
        <v>0.156</v>
      </c>
      <c r="L38" s="17">
        <v>2138.15</v>
      </c>
      <c r="M38" s="17"/>
      <c r="N38" s="35"/>
    </row>
    <row r="39" spans="1:15" s="36" customFormat="1" ht="12" customHeight="1" x14ac:dyDescent="0.25">
      <c r="A39" s="12" t="s">
        <v>49</v>
      </c>
      <c r="B39" s="7" t="s">
        <v>50</v>
      </c>
      <c r="C39" s="14">
        <v>6120</v>
      </c>
      <c r="D39" s="7" t="s">
        <v>51</v>
      </c>
      <c r="E39" s="34" t="s">
        <v>52</v>
      </c>
      <c r="F39" s="34" t="s">
        <v>52</v>
      </c>
      <c r="G39" s="15">
        <v>817.44</v>
      </c>
      <c r="H39" s="15">
        <v>817.78937091503303</v>
      </c>
      <c r="I39" s="16">
        <f t="shared" si="1"/>
        <v>5002732.8000000007</v>
      </c>
      <c r="J39" s="16">
        <f t="shared" si="2"/>
        <v>5004870.950000002</v>
      </c>
      <c r="K39" s="18">
        <v>0.156</v>
      </c>
      <c r="L39" s="17"/>
      <c r="M39" s="17"/>
      <c r="N39" s="35"/>
    </row>
    <row r="40" spans="1:15" s="36" customFormat="1" ht="12" customHeight="1" x14ac:dyDescent="0.25">
      <c r="A40" s="12" t="s">
        <v>57</v>
      </c>
      <c r="B40" s="7" t="s">
        <v>58</v>
      </c>
      <c r="C40" s="14">
        <v>1276600</v>
      </c>
      <c r="D40" s="7" t="s">
        <v>51</v>
      </c>
      <c r="E40" s="34" t="s">
        <v>52</v>
      </c>
      <c r="F40" s="34" t="s">
        <v>53</v>
      </c>
      <c r="G40" s="15">
        <v>1019.3140000000001</v>
      </c>
      <c r="H40" s="15">
        <v>1019.774782986056</v>
      </c>
      <c r="I40" s="16">
        <f t="shared" si="1"/>
        <v>1301256252.4000001</v>
      </c>
      <c r="J40" s="16">
        <f t="shared" si="2"/>
        <v>1301844487.9599991</v>
      </c>
      <c r="K40" s="18">
        <v>0.16499899999999998</v>
      </c>
      <c r="L40" s="17"/>
      <c r="M40" s="17">
        <v>1301256252.4000001</v>
      </c>
      <c r="N40" s="35"/>
    </row>
    <row r="41" spans="1:15" s="36" customFormat="1" ht="11.25" hidden="1" x14ac:dyDescent="0.25">
      <c r="A41" s="7"/>
      <c r="B41" s="7"/>
      <c r="C41" s="7"/>
      <c r="D41" s="7"/>
      <c r="E41" s="37"/>
      <c r="F41" s="37"/>
      <c r="G41" s="7"/>
      <c r="H41" s="7"/>
      <c r="I41" s="8"/>
      <c r="J41" s="8"/>
      <c r="K41" s="7"/>
      <c r="L41" s="9"/>
      <c r="M41" s="9"/>
      <c r="N41" s="35"/>
    </row>
    <row r="42" spans="1:15" x14ac:dyDescent="0.25">
      <c r="A42" s="1" t="s">
        <v>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2">
        <f>SUM(M33:M41)</f>
        <v>1719515210.0900002</v>
      </c>
      <c r="N42" s="38">
        <v>1719515210.0900002</v>
      </c>
      <c r="O42" s="29">
        <f>M42-N42</f>
        <v>0</v>
      </c>
    </row>
    <row r="44" spans="1:15" x14ac:dyDescent="0.25">
      <c r="A44" s="39" t="s">
        <v>28</v>
      </c>
      <c r="B44" s="33"/>
      <c r="D44" s="33"/>
      <c r="F44" s="28"/>
      <c r="G44" s="28"/>
    </row>
    <row r="45" spans="1:15" ht="22.5" x14ac:dyDescent="0.25">
      <c r="A45" s="19" t="s">
        <v>6</v>
      </c>
      <c r="B45" s="19" t="s">
        <v>29</v>
      </c>
      <c r="C45" s="19" t="s">
        <v>17</v>
      </c>
      <c r="D45" s="19" t="s">
        <v>30</v>
      </c>
      <c r="E45" s="19" t="s">
        <v>16</v>
      </c>
      <c r="F45" s="19" t="s">
        <v>31</v>
      </c>
      <c r="G45" s="19" t="s">
        <v>32</v>
      </c>
    </row>
    <row r="46" spans="1:15" hidden="1" x14ac:dyDescent="0.25">
      <c r="B46" s="41"/>
      <c r="C46" s="42"/>
      <c r="D46" s="43"/>
      <c r="G46" s="44"/>
      <c r="H46" s="33"/>
    </row>
    <row r="47" spans="1:15" x14ac:dyDescent="0.25">
      <c r="G47" s="45">
        <f>SUM(G46:G46)</f>
        <v>0</v>
      </c>
    </row>
    <row r="49" spans="1:4" x14ac:dyDescent="0.25">
      <c r="A49" s="46" t="s">
        <v>13</v>
      </c>
      <c r="B49" s="47">
        <f>+L25+B28+M42+G47</f>
        <v>32009142540.523716</v>
      </c>
      <c r="C49" s="32">
        <v>32009142540.523739</v>
      </c>
      <c r="D49" s="29">
        <f>B49-C49</f>
        <v>0</v>
      </c>
    </row>
    <row r="52" spans="1:4" x14ac:dyDescent="0.25">
      <c r="A52" s="24" t="s">
        <v>46</v>
      </c>
      <c r="B52" s="33"/>
    </row>
    <row r="53" spans="1:4" x14ac:dyDescent="0.25">
      <c r="A53" s="48" t="s">
        <v>35</v>
      </c>
      <c r="B53" s="49"/>
    </row>
    <row r="54" spans="1:4" x14ac:dyDescent="0.25">
      <c r="A54" s="48" t="s">
        <v>36</v>
      </c>
      <c r="B54" s="40"/>
    </row>
    <row r="55" spans="1:4" x14ac:dyDescent="0.25">
      <c r="A55" s="48" t="s">
        <v>37</v>
      </c>
      <c r="B55" s="51">
        <v>446695.33999999997</v>
      </c>
    </row>
    <row r="56" spans="1:4" x14ac:dyDescent="0.25">
      <c r="A56" s="48" t="s">
        <v>38</v>
      </c>
      <c r="B56" s="51"/>
    </row>
    <row r="57" spans="1:4" x14ac:dyDescent="0.25">
      <c r="A57" s="48" t="s">
        <v>39</v>
      </c>
      <c r="B57" s="52"/>
    </row>
    <row r="58" spans="1:4" x14ac:dyDescent="0.25">
      <c r="A58" s="48" t="s">
        <v>40</v>
      </c>
      <c r="B58" s="53">
        <v>92495.19</v>
      </c>
    </row>
    <row r="59" spans="1:4" x14ac:dyDescent="0.25">
      <c r="A59" s="48" t="s">
        <v>41</v>
      </c>
      <c r="B59" s="53">
        <v>95958.489999999991</v>
      </c>
    </row>
    <row r="60" spans="1:4" x14ac:dyDescent="0.25">
      <c r="A60" s="48" t="s">
        <v>42</v>
      </c>
      <c r="B60" s="40"/>
    </row>
    <row r="61" spans="1:4" x14ac:dyDescent="0.25">
      <c r="A61" s="48" t="s">
        <v>43</v>
      </c>
      <c r="B61" s="40"/>
    </row>
    <row r="62" spans="1:4" x14ac:dyDescent="0.25">
      <c r="A62" s="48" t="s">
        <v>44</v>
      </c>
      <c r="B62" s="50"/>
    </row>
    <row r="63" spans="1:4" x14ac:dyDescent="0.25">
      <c r="A63" s="48" t="s">
        <v>45</v>
      </c>
      <c r="B63" s="49">
        <f>SUM(B53:B62)</f>
        <v>635149.02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2025-08-29T06:55:21Z</dcterms:created>
  <dcterms:modified xsi:type="dcterms:W3CDTF">2025-08-29T07:59:22Z</dcterms:modified>
</cp:coreProperties>
</file>