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22.08.2025\"/>
    </mc:Choice>
  </mc:AlternateContent>
  <xr:revisionPtr revIDLastSave="0" documentId="8_{EA76B9FD-A9EC-4BCC-B9FA-F9527A3AEA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21" i="1" l="1"/>
</calcChain>
</file>

<file path=xl/sharedStrings.xml><?xml version="1.0" encoding="utf-8"?>
<sst xmlns="http://schemas.openxmlformats.org/spreadsheetml/2006/main" count="150" uniqueCount="119">
  <si>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</si>
  <si>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</si>
  <si>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</si>
  <si>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</si>
  <si>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</si>
  <si>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</si>
  <si>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</si>
  <si>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</si>
  <si>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</si>
  <si>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</si>
  <si>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</si>
  <si>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</si>
  <si>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</si>
  <si>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</si>
  <si>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</si>
  <si>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</si>
  <si>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</si>
  <si>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</si>
  <si>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</si>
  <si>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</si>
  <si>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</si>
  <si>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</si>
  <si>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</si>
  <si>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</si>
  <si>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</si>
  <si>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</si>
  <si>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</si>
  <si>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</si>
  <si>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</si>
  <si>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</si>
  <si>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</si>
  <si>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</si>
  <si>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</si>
  <si>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</si>
  <si>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</si>
  <si>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</si>
  <si>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</si>
  <si>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</si>
  <si>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</si>
  <si>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</si>
  <si>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</si>
  <si>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</si>
  <si>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</si>
  <si>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</si>
  <si>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</si>
  <si>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</si>
  <si>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</si>
  <si>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</si>
  <si>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</si>
  <si>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</si>
  <si>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</si>
  <si>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</si>
  <si>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22.08.2025</t>
  </si>
  <si>
    <t>25.08.2025</t>
  </si>
  <si>
    <t>МИНИСТЕРСТВО ФИНАНСОВ РК, ГЦБ, KZ_06_4410</t>
  </si>
  <si>
    <t>XS1120709826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</si>
  <si>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</si>
  <si>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</si>
  <si>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</si>
  <si>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</si>
  <si>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</si>
  <si>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</si>
  <si>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</si>
  <si>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</si>
  <si>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</si>
  <si>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</si>
  <si>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</si>
  <si>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</si>
  <si>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</si>
  <si>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</si>
  <si>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</si>
  <si>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</si>
  <si>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</si>
  <si>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</si>
  <si>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</si>
  <si>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</si>
  <si>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</si>
  <si>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</si>
  <si>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</si>
  <si>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</si>
  <si>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</si>
  <si>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</si>
  <si>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</si>
  <si>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</si>
  <si>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</si>
  <si>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</si>
  <si>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</si>
  <si>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</si>
  <si>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</si>
  <si>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</si>
  <si>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</si>
  <si>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</si>
  <si>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</si>
  <si>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</si>
  <si>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</si>
  <si>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</si>
  <si>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</si>
  <si>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</si>
  <si>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</si>
  <si>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</si>
  <si>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</si>
  <si>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</si>
  <si>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</si>
  <si>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</si>
  <si>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</si>
  <si>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</si>
  <si>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</si>
  <si>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</si>
  <si>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</si>
  <si>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</si>
  <si>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</si>
  <si>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</si>
  <si>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</si>
  <si>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</si>
  <si>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</si>
  <si>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</si>
  <si>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</si>
  <si>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</si>
  <si>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24.08.2025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</si>
</sst>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98.001300000000001</v>
      </c>
      <c r="J4" s="11">
        <v>98.979383333333331</v>
      </c>
      <c r="K4" s="11">
        <v>29538116.66666666</v>
      </c>
      <c r="L4" s="11">
        <v>2989177376.666666</v>
      </c>
      <c r="M4" s="6">
        <f>L4/$L$24</f>
        <v>0.10007155629167089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83.120900000000006</v>
      </c>
      <c r="J5" s="11">
        <v>83.88284444444443</v>
      </c>
      <c r="K5" s="11">
        <v>17258041.66666666</v>
      </c>
      <c r="L5" s="11">
        <v>1899946426.666666</v>
      </c>
      <c r="M5" s="6">
        <f t="shared" ref="M4:M22" si="0">L5/$L$24</f>
        <v>6.3606327704565105E-2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83.120900000000006</v>
      </c>
      <c r="J6" s="11">
        <v>83.8828444444447</v>
      </c>
      <c r="K6" s="11">
        <v>11822680.494444439</v>
      </c>
      <c r="L6" s="11">
        <v>1301564800.5084479</v>
      </c>
      <c r="M6" s="6">
        <f t="shared" si="0"/>
        <v>4.3573732431557585E-2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83.120900000000006</v>
      </c>
      <c r="J7" s="11">
        <v>83.88284444444443</v>
      </c>
      <c r="K7" s="11">
        <v>4157869.8777777799</v>
      </c>
      <c r="L7" s="11">
        <v>457741971.50577801</v>
      </c>
      <c r="M7" s="6">
        <f t="shared" si="0"/>
        <v>1.5324266745147716E-2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87.174700000000001</v>
      </c>
      <c r="J8" s="11">
        <v>90.98803333333332</v>
      </c>
      <c r="K8" s="11">
        <v>86371999.999999985</v>
      </c>
      <c r="L8" s="11">
        <v>2060878954.999999</v>
      </c>
      <c r="M8" s="6">
        <f t="shared" si="0"/>
        <v>6.8994020216218283E-2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85.157000000000011</v>
      </c>
      <c r="J9" s="11">
        <v>89.556999999999988</v>
      </c>
      <c r="K9" s="11">
        <v>99659999.999999985</v>
      </c>
      <c r="L9" s="11">
        <v>2028466049.999999</v>
      </c>
      <c r="M9" s="6">
        <f t="shared" si="0"/>
        <v>6.7908902326392295E-2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77.587000000000003</v>
      </c>
      <c r="J10" s="11">
        <v>82.078944444444431</v>
      </c>
      <c r="K10" s="11">
        <v>101742541.666667</v>
      </c>
      <c r="L10" s="11">
        <v>1859088091.666666</v>
      </c>
      <c r="M10" s="6">
        <f t="shared" si="0"/>
        <v>6.2238474059327115E-2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67.969300000000004</v>
      </c>
      <c r="J11" s="11">
        <v>70.973744444444435</v>
      </c>
      <c r="K11" s="11">
        <v>68050666.666666657</v>
      </c>
      <c r="L11" s="11">
        <v>1607555311.666666</v>
      </c>
      <c r="M11" s="6">
        <f t="shared" si="0"/>
        <v>5.3817670078454019E-2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75.971400000000003</v>
      </c>
      <c r="J12" s="11">
        <v>76.799733333333322</v>
      </c>
      <c r="K12" s="11">
        <v>18761750</v>
      </c>
      <c r="L12" s="11">
        <v>1739513960</v>
      </c>
      <c r="M12" s="6">
        <f t="shared" si="0"/>
        <v>5.823537623665722E-2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61.446100000000001</v>
      </c>
      <c r="J13" s="11">
        <v>63.732600000000005</v>
      </c>
      <c r="K13" s="11">
        <v>51789225</v>
      </c>
      <c r="L13" s="11">
        <v>1443543390</v>
      </c>
      <c r="M13" s="6">
        <f t="shared" si="0"/>
        <v>4.832688576445205E-2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59.9741</v>
      </c>
      <c r="J14" s="11">
        <v>64.569516666666658</v>
      </c>
      <c r="K14" s="11">
        <v>104086187.5</v>
      </c>
      <c r="L14" s="11">
        <v>1462499552.5</v>
      </c>
      <c r="M14" s="6">
        <f t="shared" si="0"/>
        <v>4.8961499386748424E-2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85.328000000000003</v>
      </c>
      <c r="J15" s="11">
        <v>87.569749999999999</v>
      </c>
      <c r="K15" s="11">
        <v>84626062.5</v>
      </c>
      <c r="L15" s="11">
        <v>3305758062.5</v>
      </c>
      <c r="M15" s="6">
        <f t="shared" si="0"/>
        <v>0.11067003136729671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56.6126</v>
      </c>
      <c r="J16" s="11">
        <v>58.445933333333329</v>
      </c>
      <c r="K16" s="11">
        <v>51404100</v>
      </c>
      <c r="L16" s="11">
        <v>1638742146.3599999</v>
      </c>
      <c r="M16" s="6">
        <f t="shared" si="0"/>
        <v>5.4861741637383464E-2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85.503900000000002</v>
      </c>
      <c r="J17" s="11">
        <v>91.07056666666665</v>
      </c>
      <c r="K17" s="11">
        <v>57808720</v>
      </c>
      <c r="L17" s="11">
        <v>945749620.72000003</v>
      </c>
      <c r="M17" s="6">
        <f t="shared" si="0"/>
        <v>3.1661766593873771E-2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98.658100000000005</v>
      </c>
      <c r="J18" s="11">
        <v>102.75143333333301</v>
      </c>
      <c r="K18" s="11">
        <v>20752749.733333331</v>
      </c>
      <c r="L18" s="11">
        <v>520938464.34233302</v>
      </c>
      <c r="M18" s="6">
        <f t="shared" si="0"/>
        <v>1.7439956312349576E-2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93.79868358555369</v>
      </c>
      <c r="J19" s="11">
        <v>107.74118358555401</v>
      </c>
      <c r="K19" s="11">
        <v>292792500</v>
      </c>
      <c r="L19" s="11">
        <v>2262564855.296627</v>
      </c>
      <c r="M19" s="6">
        <f t="shared" si="0"/>
        <v>7.574605242491815E-2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99.841000000000008</v>
      </c>
      <c r="J20" s="11">
        <v>106.15955555555601</v>
      </c>
      <c r="K20" s="11">
        <v>69504111.111111104</v>
      </c>
      <c r="L20" s="11">
        <v>1167755111.1111109</v>
      </c>
      <c r="M20" s="6">
        <f t="shared" si="0"/>
        <v>3.9094057197353566E-2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98.276195099272499</v>
      </c>
      <c r="J21" s="11">
        <v>101.594361765939</v>
      </c>
      <c r="K21" s="11">
        <v>33181666.66666666</v>
      </c>
      <c r="L21" s="11">
        <v>1015943617.659391</v>
      </c>
      <c r="M21" s="6">
        <f t="shared" si="0"/>
        <v>3.4011718313330046E-2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95.830418443192301</v>
      </c>
      <c r="J22" s="11">
        <v>98.330418443178885</v>
      </c>
      <c r="K22" s="11">
        <v>4143474.99997778</v>
      </c>
      <c r="L22" s="11">
        <v>162971852.22354001</v>
      </c>
      <c r="M22" s="6">
        <f t="shared" si="0"/>
        <v>5.4559649123038685E-3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1207452464.5499783</v>
      </c>
      <c r="L24" s="22">
        <f>SUM(L4:L23)</f>
        <v>29870399616.393894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6766957.7999999998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1224664</v>
      </c>
      <c r="D32" s="7" t="s">
        <v>51</v>
      </c>
      <c r="E32" s="34" t="s">
        <v>52</v>
      </c>
      <c r="F32" s="34" t="s">
        <v>53</v>
      </c>
      <c r="G32" s="15">
        <v>940.59400000326605</v>
      </c>
      <c r="H32" s="15">
        <v>941.79229872030203</v>
      </c>
      <c r="I32" s="16">
        <f>+C32*G32</f>
        <v>1151911610.4199998</v>
      </c>
      <c r="J32" s="16">
        <f>+C32*H32</f>
        <v>1153379123.72</v>
      </c>
      <c r="K32" s="18">
        <v>0.155001</v>
      </c>
      <c r="L32" s="17">
        <v>489171.1</v>
      </c>
      <c r="M32" s="17">
        <v>1152889952.6199999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298298</v>
      </c>
      <c r="D33" s="7" t="s">
        <v>51</v>
      </c>
      <c r="E33" s="34" t="s">
        <v>52</v>
      </c>
      <c r="F33" s="34" t="s">
        <v>53</v>
      </c>
      <c r="G33" s="15">
        <v>499.71120000804603</v>
      </c>
      <c r="H33" s="15">
        <v>500.34782247953405</v>
      </c>
      <c r="I33" s="16">
        <f>+C33*G33</f>
        <v>149062851.54000011</v>
      </c>
      <c r="J33" s="16">
        <f>+C33*H33</f>
        <v>149252754.75000006</v>
      </c>
      <c r="K33" s="18">
        <v>0.155001</v>
      </c>
      <c r="L33" s="17">
        <v>63301.07</v>
      </c>
      <c r="M33" s="17">
        <v>149189453.68000001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962760</v>
      </c>
      <c r="D34" s="7" t="s">
        <v>51</v>
      </c>
      <c r="E34" s="34" t="s">
        <v>52</v>
      </c>
      <c r="F34" s="34" t="s">
        <v>53</v>
      </c>
      <c r="G34" s="15">
        <v>939.30600000000004</v>
      </c>
      <c r="H34" s="15">
        <v>940.50267327267409</v>
      </c>
      <c r="I34" s="16">
        <f>+C34*G34</f>
        <v>904326244.56000006</v>
      </c>
      <c r="J34" s="16">
        <f>+C34*H34</f>
        <v>905478353.71999967</v>
      </c>
      <c r="K34" s="18">
        <v>0.155003</v>
      </c>
      <c r="L34" s="17">
        <v>384036.3866666666</v>
      </c>
      <c r="M34" s="17">
        <v>905094317.33333302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6390</v>
      </c>
      <c r="D35" s="7" t="s">
        <v>51</v>
      </c>
      <c r="E35" s="34" t="s">
        <v>52</v>
      </c>
      <c r="F35" s="34" t="s">
        <v>53</v>
      </c>
      <c r="G35" s="15">
        <v>939.30600000000004</v>
      </c>
      <c r="H35" s="15">
        <v>940.50266510172105</v>
      </c>
      <c r="I35" s="16">
        <f>+C35*G35</f>
        <v>6002165.3399999999</v>
      </c>
      <c r="J35" s="16">
        <f>+C35*H35</f>
        <v>6009812.0299999975</v>
      </c>
      <c r="K35" s="18">
        <v>0.155002</v>
      </c>
      <c r="L35" s="17">
        <v>2548.8966666666661</v>
      </c>
      <c r="M35" s="17">
        <v>6007263.13333333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2213180986.7666664</v>
      </c>
      <c r="N37" s="38"/>
      <c r="O37" s="29"/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32090347560.96056</v>
      </c>
      <c r="C44" s="32"/>
      <c r="D44" s="29"/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375993.65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79838.12999999999</v>
      </c>
    </row>
    <row r="54" spans="1:2" x14ac:dyDescent="0.25">
      <c r="A54" s="48" t="s">
        <v>41</v>
      </c>
      <c r="B54" s="50">
        <v>39676.959999999999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495508.74000000005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2025-08-25T06:12:37Z</dcterms:created>
  <dcterms:modified xsi:type="dcterms:W3CDTF">2025-08-25T06:13:34Z</dcterms:modified>
</cp:coreProperties>
</file>