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08.2025\"/>
    </mc:Choice>
  </mc:AlternateContent>
  <xr:revisionPtr revIDLastSave="0" documentId="13_ncr:1_{9E053D84-D7BE-4D38-ACB7-1F385CEFA2B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ДУ!#REF!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4" i="1" l="1"/>
  <c r="O47" i="1"/>
  <c r="O24" i="1"/>
  <c r="D27" i="1"/>
  <c r="B68" i="1"/>
  <c r="G52" i="1"/>
  <c r="M47" i="1"/>
  <c r="J45" i="1"/>
  <c r="I45" i="1"/>
  <c r="J44" i="1"/>
  <c r="I44" i="1"/>
  <c r="J43" i="1"/>
  <c r="I43" i="1"/>
  <c r="J42" i="1"/>
  <c r="I42" i="1"/>
  <c r="J41" i="1"/>
  <c r="I41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L24" i="1"/>
  <c r="B54" i="1" s="1"/>
  <c r="K24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21" i="1" l="1"/>
  <c r="M22" i="1"/>
</calcChain>
</file>

<file path=xl/sharedStrings.xml><?xml version="1.0" encoding="utf-8"?>
<sst xmlns="http://schemas.openxmlformats.org/spreadsheetml/2006/main" count="200" uniqueCount="123">
  <si>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</si>
  <si>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</si>
  <si>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</si>
  <si>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</si>
  <si>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</si>
  <si>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</si>
  <si>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</si>
  <si>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</si>
  <si>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</si>
  <si>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</si>
  <si>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</si>
  <si>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</si>
  <si>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</si>
  <si>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</si>
  <si>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</si>
  <si>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</si>
  <si>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</si>
  <si>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</si>
  <si>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</si>
  <si>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</si>
  <si>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</si>
  <si>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</si>
  <si>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</si>
  <si>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</si>
  <si>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</si>
  <si>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</si>
  <si>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</si>
  <si>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</si>
  <si>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</si>
  <si>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</si>
  <si>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</si>
  <si>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</si>
  <si>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</si>
  <si>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</si>
  <si>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</si>
  <si>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</si>
  <si>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</si>
  <si>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</si>
  <si>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</si>
  <si>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</si>
  <si>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</si>
  <si>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</si>
  <si>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</si>
  <si>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</si>
  <si>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</si>
  <si>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</si>
  <si>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</si>
  <si>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</si>
  <si>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</si>
  <si>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МИНИСТЕРСТВО ФИНАНСОВ РК, ГЦБ, KZ_25_3707</t>
  </si>
  <si>
    <t>XS3093658014</t>
  </si>
  <si>
    <t>KZT</t>
  </si>
  <si>
    <t>25.08.2025</t>
  </si>
  <si>
    <t>26.08.2025</t>
  </si>
  <si>
    <t>МИНИСТЕРСТВО ФИНАНСОВ РК, ГЦБ, KZ_24_3207</t>
  </si>
  <si>
    <t>XS3093655341</t>
  </si>
  <si>
    <t>МИНИСТЕРСТВО ФИНАНСОВ РК, ГЦБ, MUM096_0014</t>
  </si>
  <si>
    <t>KZKD00001228</t>
  </si>
  <si>
    <t>27.08.2025</t>
  </si>
  <si>
    <t>МИНИСТЕРСТВО ФИНАНСОВ РК, ГЦБ, MUM156_0006</t>
  </si>
  <si>
    <t>KZKD00000964</t>
  </si>
  <si>
    <t>МИНИСТЕРСТВО ФИНАНСОВ РК, ГЦБ, MOM060_0054</t>
  </si>
  <si>
    <t>KZK200000737</t>
  </si>
  <si>
    <t>МИНИСТЕРСТВО ФИНАНСОВ РК, ГЦБ, MUM096_0012</t>
  </si>
  <si>
    <t>KZKD00001160</t>
  </si>
  <si>
    <t>МИНИСТЕРСТВО ФИНАНСОВ РК, ГЦБ, MUM168_0005</t>
  </si>
  <si>
    <t>KZKD00001111</t>
  </si>
  <si>
    <t>МИНИСТЕРСТВО ФИНАНСОВ РК, ГЦБ, MOM048_0052</t>
  </si>
  <si>
    <t>KZK200000687</t>
  </si>
  <si>
    <t>18.07.2024</t>
  </si>
  <si>
    <t>21.01.2026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</si>
  <si>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</si>
  <si>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</si>
  <si>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</si>
  <si>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</si>
  <si>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</si>
  <si>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</si>
  <si>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</si>
  <si>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</si>
  <si>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</si>
  <si>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</si>
  <si>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</si>
  <si>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</si>
  <si>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</si>
  <si>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</si>
  <si>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</si>
  <si>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</si>
  <si>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</si>
  <si>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</si>
  <si>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</si>
  <si>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</si>
  <si>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</si>
  <si>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</si>
  <si>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</si>
  <si>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</si>
  <si>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</si>
  <si>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</si>
  <si>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</si>
  <si>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</si>
  <si>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</si>
  <si>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</si>
  <si>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</si>
  <si>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МИНИСТЕРСТВО ФИНАНСОВ РК, ГЦБ, MUM072_0015</t>
  </si>
  <si>
    <t>KZKD00001251</t>
  </si>
  <si>
    <t>07.03.2030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</si>
  <si>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</si>
  <si>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</si>
  <si>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</si>
  <si>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</si>
  <si>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</si>
  <si>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</si>
  <si>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BTRKb14</t>
  </si>
  <si>
    <t>KZ2C00011245</t>
  </si>
  <si>
    <t>10.09.2024</t>
  </si>
  <si>
    <t>10.09.2025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</si>
  <si>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</si>
  <si>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</si>
  <si>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</si>
  <si>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</si>
  <si>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АКЦИОНЕРНОЕ ОБЩЕСТВО КАЗАХСТАНСКИЙ ФОНД УСТОЙЧИВОСТИ, ОБЛИГАЦИИ, KFUSb83</t>
  </si>
  <si>
    <t>KZ2C00012094</t>
  </si>
  <si>
    <t>19.06.2025</t>
  </si>
  <si>
    <t>12.06.2026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</si>
</sst>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4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2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11" fillId="0" borderId="0" xfId="0" applyNumberFormat="1" applyFont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8"/>
  <sheetViews>
    <sheetView tabSelected="1" topLeftCell="A19" zoomScale="90" zoomScaleNormal="90" workbookViewId="0">
      <selection activeCell="D55" sqref="D55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53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67</v>
      </c>
      <c r="B4" s="13" t="s">
        <v>68</v>
      </c>
      <c r="C4" s="10">
        <v>3020000</v>
      </c>
      <c r="D4" s="11">
        <v>3020000000</v>
      </c>
      <c r="E4" s="3">
        <v>0.1067</v>
      </c>
      <c r="F4" s="4" t="s">
        <v>69</v>
      </c>
      <c r="G4" s="4" t="s">
        <v>70</v>
      </c>
      <c r="H4" s="11">
        <v>2930617060.0000029</v>
      </c>
      <c r="I4" s="11">
        <v>98.039200000000008</v>
      </c>
      <c r="J4" s="11">
        <v>99.076561111111104</v>
      </c>
      <c r="K4" s="11">
        <v>31328305.555555549</v>
      </c>
      <c r="L4" s="11">
        <v>2992112145.5555549</v>
      </c>
      <c r="M4" s="6">
        <f t="shared" ref="M4:M22" si="0">L4/$L$24</f>
        <v>0.10006783230593218</v>
      </c>
    </row>
    <row r="5" spans="1:13" x14ac:dyDescent="0.25">
      <c r="A5" s="1" t="s">
        <v>63</v>
      </c>
      <c r="B5" s="13" t="s">
        <v>64</v>
      </c>
      <c r="C5" s="10">
        <v>2265000</v>
      </c>
      <c r="D5" s="11">
        <v>2265000000</v>
      </c>
      <c r="E5" s="3">
        <v>0.10550000000000001</v>
      </c>
      <c r="F5" s="4" t="s">
        <v>69</v>
      </c>
      <c r="G5" s="4" t="s">
        <v>71</v>
      </c>
      <c r="H5" s="11">
        <v>2039188560.0000031</v>
      </c>
      <c r="I5" s="11">
        <v>83.138800000000003</v>
      </c>
      <c r="J5" s="11">
        <v>83.959355555555547</v>
      </c>
      <c r="K5" s="11">
        <v>18585583.333333328</v>
      </c>
      <c r="L5" s="11">
        <v>1901679403.333333</v>
      </c>
      <c r="M5" s="6">
        <f t="shared" si="0"/>
        <v>6.359953316424645E-2</v>
      </c>
    </row>
    <row r="6" spans="1:13" x14ac:dyDescent="0.25">
      <c r="A6" s="1" t="s">
        <v>63</v>
      </c>
      <c r="B6" s="13" t="s">
        <v>64</v>
      </c>
      <c r="C6" s="10">
        <v>1551646</v>
      </c>
      <c r="D6" s="11">
        <v>1551646000</v>
      </c>
      <c r="E6" s="3">
        <v>0.10550000000000001</v>
      </c>
      <c r="F6" s="4" t="s">
        <v>72</v>
      </c>
      <c r="G6" s="4" t="s">
        <v>71</v>
      </c>
      <c r="H6" s="11">
        <v>1395452658.7</v>
      </c>
      <c r="I6" s="11">
        <v>83.138800000000003</v>
      </c>
      <c r="J6" s="11">
        <v>83.959355555555803</v>
      </c>
      <c r="K6" s="11">
        <v>12732117.455555551</v>
      </c>
      <c r="L6" s="11">
        <v>1302751982.103559</v>
      </c>
      <c r="M6" s="6">
        <f t="shared" si="0"/>
        <v>4.3569077808463856E-2</v>
      </c>
    </row>
    <row r="7" spans="1:13" x14ac:dyDescent="0.25">
      <c r="A7" s="1" t="s">
        <v>63</v>
      </c>
      <c r="B7" s="13" t="s">
        <v>64</v>
      </c>
      <c r="C7" s="10">
        <v>545692</v>
      </c>
      <c r="D7" s="11">
        <v>545692000</v>
      </c>
      <c r="E7" s="3">
        <v>0.10550000000000001</v>
      </c>
      <c r="F7" s="4" t="s">
        <v>73</v>
      </c>
      <c r="G7" s="4" t="s">
        <v>71</v>
      </c>
      <c r="H7" s="11">
        <v>449784993.92000002</v>
      </c>
      <c r="I7" s="11">
        <v>83.138800000000003</v>
      </c>
      <c r="J7" s="11">
        <v>83.959355555555547</v>
      </c>
      <c r="K7" s="11">
        <v>4477706.02222222</v>
      </c>
      <c r="L7" s="11">
        <v>458159486.51822197</v>
      </c>
      <c r="M7" s="6">
        <f t="shared" si="0"/>
        <v>1.5322629779895789E-2</v>
      </c>
    </row>
    <row r="8" spans="1:13" x14ac:dyDescent="0.25">
      <c r="A8" s="1" t="s">
        <v>74</v>
      </c>
      <c r="B8" s="13" t="s">
        <v>75</v>
      </c>
      <c r="C8" s="10">
        <v>2265000</v>
      </c>
      <c r="D8" s="11">
        <v>2265000000</v>
      </c>
      <c r="E8" s="3">
        <v>0.10400000000000001</v>
      </c>
      <c r="F8" s="4" t="s">
        <v>69</v>
      </c>
      <c r="G8" s="4" t="s">
        <v>76</v>
      </c>
      <c r="H8" s="11">
        <v>2073109200</v>
      </c>
      <c r="I8" s="11">
        <v>87.203900000000004</v>
      </c>
      <c r="J8" s="11">
        <v>91.07501111111111</v>
      </c>
      <c r="K8" s="11">
        <v>87680666.666666657</v>
      </c>
      <c r="L8" s="11">
        <v>2062849001.666666</v>
      </c>
      <c r="M8" s="6">
        <f t="shared" si="0"/>
        <v>6.8989669480758048E-2</v>
      </c>
    </row>
    <row r="9" spans="1:13" x14ac:dyDescent="0.25">
      <c r="A9" s="1" t="s">
        <v>77</v>
      </c>
      <c r="B9" s="13" t="s">
        <v>78</v>
      </c>
      <c r="C9" s="10">
        <v>2265000</v>
      </c>
      <c r="D9" s="11">
        <v>2265000000</v>
      </c>
      <c r="E9" s="3">
        <v>0.11</v>
      </c>
      <c r="F9" s="4" t="s">
        <v>69</v>
      </c>
      <c r="G9" s="4" t="s">
        <v>79</v>
      </c>
      <c r="H9" s="11">
        <v>2080889475</v>
      </c>
      <c r="I9" s="11">
        <v>85.178600000000003</v>
      </c>
      <c r="J9" s="11">
        <v>89.639711111111112</v>
      </c>
      <c r="K9" s="11">
        <v>101044166.666667</v>
      </c>
      <c r="L9" s="11">
        <v>2030339456.666666</v>
      </c>
      <c r="M9" s="6">
        <f t="shared" si="0"/>
        <v>6.7902424237549372E-2</v>
      </c>
    </row>
    <row r="10" spans="1:13" x14ac:dyDescent="0.25">
      <c r="A10" s="1" t="s">
        <v>80</v>
      </c>
      <c r="B10" s="13" t="s">
        <v>81</v>
      </c>
      <c r="C10" s="10">
        <v>2265000</v>
      </c>
      <c r="D10" s="11">
        <v>2265000000</v>
      </c>
      <c r="E10" s="3">
        <v>0.10300000000000001</v>
      </c>
      <c r="F10" s="4" t="s">
        <v>69</v>
      </c>
      <c r="G10" s="4" t="s">
        <v>82</v>
      </c>
      <c r="H10" s="11">
        <v>1963990560.0000031</v>
      </c>
      <c r="I10" s="11">
        <v>77.606499999999997</v>
      </c>
      <c r="J10" s="11">
        <v>82.155666666666662</v>
      </c>
      <c r="K10" s="11">
        <v>103038625</v>
      </c>
      <c r="L10" s="11">
        <v>1860825850</v>
      </c>
      <c r="M10" s="6">
        <f t="shared" si="0"/>
        <v>6.2233231927799192E-2</v>
      </c>
    </row>
    <row r="11" spans="1:13" x14ac:dyDescent="0.25">
      <c r="A11" s="1" t="s">
        <v>83</v>
      </c>
      <c r="B11" s="13" t="s">
        <v>84</v>
      </c>
      <c r="C11" s="10">
        <v>2265000</v>
      </c>
      <c r="D11" s="11">
        <v>2265000000</v>
      </c>
      <c r="E11" s="3">
        <v>8.4500000000000006E-2</v>
      </c>
      <c r="F11" s="4" t="s">
        <v>69</v>
      </c>
      <c r="G11" s="4" t="s">
        <v>85</v>
      </c>
      <c r="H11" s="11">
        <v>1740247065.0000031</v>
      </c>
      <c r="I11" s="11">
        <v>67.992400000000004</v>
      </c>
      <c r="J11" s="11">
        <v>71.043788888888884</v>
      </c>
      <c r="K11" s="11">
        <v>69113958.333333328</v>
      </c>
      <c r="L11" s="11">
        <v>1609141818.333333</v>
      </c>
      <c r="M11" s="6">
        <f t="shared" si="0"/>
        <v>5.3815941983533185E-2</v>
      </c>
    </row>
    <row r="12" spans="1:13" x14ac:dyDescent="0.25">
      <c r="A12" s="1" t="s">
        <v>86</v>
      </c>
      <c r="B12" s="13" t="s">
        <v>87</v>
      </c>
      <c r="C12" s="10">
        <v>2265000</v>
      </c>
      <c r="D12" s="11">
        <v>2265000000</v>
      </c>
      <c r="E12" s="3">
        <v>0.10650000000000001</v>
      </c>
      <c r="F12" s="4" t="s">
        <v>69</v>
      </c>
      <c r="G12" s="4" t="s">
        <v>88</v>
      </c>
      <c r="H12" s="11">
        <v>1967775375</v>
      </c>
      <c r="I12" s="11">
        <v>75.979700000000008</v>
      </c>
      <c r="J12" s="11">
        <v>76.867199999999997</v>
      </c>
      <c r="K12" s="11">
        <v>20101875</v>
      </c>
      <c r="L12" s="11">
        <v>1741042080</v>
      </c>
      <c r="M12" s="6">
        <f t="shared" si="0"/>
        <v>5.822719818767453E-2</v>
      </c>
    </row>
    <row r="13" spans="1:13" x14ac:dyDescent="0.25">
      <c r="A13" s="1" t="s">
        <v>89</v>
      </c>
      <c r="B13" s="13" t="s">
        <v>90</v>
      </c>
      <c r="C13" s="10">
        <v>2265000</v>
      </c>
      <c r="D13" s="11">
        <v>2265000000</v>
      </c>
      <c r="E13" s="3">
        <v>8.0700000000000008E-2</v>
      </c>
      <c r="F13" s="4" t="s">
        <v>69</v>
      </c>
      <c r="G13" s="4" t="s">
        <v>91</v>
      </c>
      <c r="H13" s="11">
        <v>1622351550</v>
      </c>
      <c r="I13" s="11">
        <v>61.462800000000001</v>
      </c>
      <c r="J13" s="11">
        <v>63.794133333333328</v>
      </c>
      <c r="K13" s="11">
        <v>52804700</v>
      </c>
      <c r="L13" s="11">
        <v>1444937120</v>
      </c>
      <c r="M13" s="6">
        <f t="shared" si="0"/>
        <v>4.8324300154174132E-2</v>
      </c>
    </row>
    <row r="14" spans="1:13" x14ac:dyDescent="0.25">
      <c r="A14" s="1" t="s">
        <v>92</v>
      </c>
      <c r="B14" s="13" t="s">
        <v>93</v>
      </c>
      <c r="C14" s="10">
        <v>2265000</v>
      </c>
      <c r="D14" s="11">
        <v>2265000000</v>
      </c>
      <c r="E14" s="3">
        <v>8.0700000000000008E-2</v>
      </c>
      <c r="F14" s="4" t="s">
        <v>69</v>
      </c>
      <c r="G14" s="4" t="s">
        <v>94</v>
      </c>
      <c r="H14" s="11">
        <v>1597764975</v>
      </c>
      <c r="I14" s="11">
        <v>59.9923</v>
      </c>
      <c r="J14" s="11">
        <v>64.632549999999995</v>
      </c>
      <c r="K14" s="11">
        <v>105101662.5</v>
      </c>
      <c r="L14" s="11">
        <v>1463927257.5</v>
      </c>
      <c r="M14" s="6">
        <f t="shared" si="0"/>
        <v>4.8959403987979051E-2</v>
      </c>
    </row>
    <row r="15" spans="1:13" x14ac:dyDescent="0.25">
      <c r="A15" s="1" t="s">
        <v>95</v>
      </c>
      <c r="B15" s="13" t="s">
        <v>96</v>
      </c>
      <c r="C15" s="10">
        <v>3775000</v>
      </c>
      <c r="D15" s="11">
        <v>3775000000</v>
      </c>
      <c r="E15" s="3">
        <v>5.4900000000000004E-2</v>
      </c>
      <c r="F15" s="4" t="s">
        <v>69</v>
      </c>
      <c r="G15" s="4" t="s">
        <v>97</v>
      </c>
      <c r="H15" s="11">
        <v>3136670150</v>
      </c>
      <c r="I15" s="11">
        <v>85.404700000000005</v>
      </c>
      <c r="J15" s="11">
        <v>87.676949999999991</v>
      </c>
      <c r="K15" s="11">
        <v>85777437.5</v>
      </c>
      <c r="L15" s="11">
        <v>3309804862.5</v>
      </c>
      <c r="M15" s="6">
        <f t="shared" si="0"/>
        <v>0.11069270863994071</v>
      </c>
    </row>
    <row r="16" spans="1:13" x14ac:dyDescent="0.25">
      <c r="A16" s="1" t="s">
        <v>98</v>
      </c>
      <c r="B16" s="13" t="s">
        <v>99</v>
      </c>
      <c r="C16" s="10">
        <v>2803860</v>
      </c>
      <c r="D16" s="11">
        <v>2803860000</v>
      </c>
      <c r="E16" s="3">
        <v>5.5E-2</v>
      </c>
      <c r="F16" s="4" t="s">
        <v>100</v>
      </c>
      <c r="G16" s="4" t="s">
        <v>101</v>
      </c>
      <c r="H16" s="11">
        <v>1773018067.1400001</v>
      </c>
      <c r="I16" s="11">
        <v>56.648400000000002</v>
      </c>
      <c r="J16" s="11">
        <v>58.512288888888875</v>
      </c>
      <c r="K16" s="11">
        <v>52260835</v>
      </c>
      <c r="L16" s="11">
        <v>1640602663.24</v>
      </c>
      <c r="M16" s="6">
        <f t="shared" si="0"/>
        <v>5.486811462920077E-2</v>
      </c>
    </row>
    <row r="17" spans="1:15" x14ac:dyDescent="0.25">
      <c r="A17" s="1" t="s">
        <v>102</v>
      </c>
      <c r="B17" s="13" t="s">
        <v>103</v>
      </c>
      <c r="C17" s="10">
        <v>1038480</v>
      </c>
      <c r="D17" s="11">
        <v>1038480000</v>
      </c>
      <c r="E17" s="3">
        <v>0.12</v>
      </c>
      <c r="F17" s="4" t="s">
        <v>100</v>
      </c>
      <c r="G17" s="4" t="s">
        <v>104</v>
      </c>
      <c r="H17" s="11">
        <v>979029096.96000004</v>
      </c>
      <c r="I17" s="11">
        <v>85.517899999999997</v>
      </c>
      <c r="J17" s="11">
        <v>91.151233333333323</v>
      </c>
      <c r="K17" s="11">
        <v>58501040</v>
      </c>
      <c r="L17" s="11">
        <v>946587327.91999996</v>
      </c>
      <c r="M17" s="6">
        <f t="shared" si="0"/>
        <v>3.1657550715109138E-2</v>
      </c>
    </row>
    <row r="18" spans="1:15" x14ac:dyDescent="0.25">
      <c r="A18" s="1" t="s">
        <v>61</v>
      </c>
      <c r="B18" s="13" t="s">
        <v>62</v>
      </c>
      <c r="C18" s="10">
        <v>506989</v>
      </c>
      <c r="D18" s="11">
        <v>506989000</v>
      </c>
      <c r="E18" s="3">
        <v>0.1535</v>
      </c>
      <c r="F18" s="4" t="s">
        <v>105</v>
      </c>
      <c r="G18" s="4" t="s">
        <v>106</v>
      </c>
      <c r="H18" s="11">
        <v>492216861.50999999</v>
      </c>
      <c r="I18" s="11">
        <v>98.650300000000001</v>
      </c>
      <c r="J18" s="11">
        <v>102.82891111111101</v>
      </c>
      <c r="K18" s="11">
        <v>21185098.686111111</v>
      </c>
      <c r="L18" s="11">
        <v>521331268.15311098</v>
      </c>
      <c r="M18" s="6">
        <f t="shared" si="0"/>
        <v>1.7435339111495161E-2</v>
      </c>
    </row>
    <row r="19" spans="1:15" x14ac:dyDescent="0.25">
      <c r="A19" s="1" t="s">
        <v>107</v>
      </c>
      <c r="B19" s="13" t="s">
        <v>108</v>
      </c>
      <c r="C19" s="10">
        <v>2100000</v>
      </c>
      <c r="D19" s="11">
        <v>2100000000</v>
      </c>
      <c r="E19" s="3">
        <v>0.14300000000000002</v>
      </c>
      <c r="F19" s="4" t="s">
        <v>109</v>
      </c>
      <c r="G19" s="4" t="s">
        <v>110</v>
      </c>
      <c r="H19" s="11">
        <v>2100000000</v>
      </c>
      <c r="I19" s="11">
        <v>93.832529690418795</v>
      </c>
      <c r="J19" s="11">
        <v>107.85447413486301</v>
      </c>
      <c r="K19" s="11">
        <v>294460833.33333302</v>
      </c>
      <c r="L19" s="11">
        <v>2264943956.832128</v>
      </c>
      <c r="M19" s="6">
        <f t="shared" si="0"/>
        <v>7.5748508421140545E-2</v>
      </c>
    </row>
    <row r="20" spans="1:15" x14ac:dyDescent="0.25">
      <c r="A20" s="1" t="s">
        <v>111</v>
      </c>
      <c r="B20" s="13" t="s">
        <v>112</v>
      </c>
      <c r="C20" s="10">
        <v>1100000</v>
      </c>
      <c r="D20" s="11">
        <v>1100000000</v>
      </c>
      <c r="E20" s="3">
        <v>0.13870000000000002</v>
      </c>
      <c r="F20" s="4" t="s">
        <v>113</v>
      </c>
      <c r="G20" s="4" t="s">
        <v>114</v>
      </c>
      <c r="H20" s="11">
        <v>1100000000</v>
      </c>
      <c r="I20" s="11">
        <v>99.873800000000003</v>
      </c>
      <c r="J20" s="11">
        <v>106.26941111111101</v>
      </c>
      <c r="K20" s="11">
        <v>70351722.222222224</v>
      </c>
      <c r="L20" s="11">
        <v>1168963522.2222221</v>
      </c>
      <c r="M20" s="6">
        <f t="shared" si="0"/>
        <v>3.9094672934381576E-2</v>
      </c>
    </row>
    <row r="21" spans="1:15" x14ac:dyDescent="0.25">
      <c r="A21" s="1" t="s">
        <v>115</v>
      </c>
      <c r="B21" s="13" t="s">
        <v>116</v>
      </c>
      <c r="C21" s="10">
        <v>1000000</v>
      </c>
      <c r="D21" s="11">
        <v>1000000000</v>
      </c>
      <c r="E21" s="3">
        <v>0.1389</v>
      </c>
      <c r="F21" s="4" t="s">
        <v>117</v>
      </c>
      <c r="G21" s="4" t="s">
        <v>118</v>
      </c>
      <c r="H21" s="11">
        <v>1000000000</v>
      </c>
      <c r="I21" s="11">
        <v>98.378654914734597</v>
      </c>
      <c r="J21" s="11">
        <v>101.77398824806801</v>
      </c>
      <c r="K21" s="11">
        <v>33953333.333333328</v>
      </c>
      <c r="L21" s="11">
        <v>1017739882.480679</v>
      </c>
      <c r="M21" s="6">
        <f t="shared" si="0"/>
        <v>3.4037168039443989E-2</v>
      </c>
    </row>
    <row r="22" spans="1:15" x14ac:dyDescent="0.25">
      <c r="A22" s="1" t="s">
        <v>119</v>
      </c>
      <c r="B22" s="13" t="s">
        <v>120</v>
      </c>
      <c r="C22" s="10">
        <v>165739</v>
      </c>
      <c r="D22" s="11">
        <v>165739000</v>
      </c>
      <c r="E22" s="3">
        <v>0.125</v>
      </c>
      <c r="F22" s="4" t="s">
        <v>121</v>
      </c>
      <c r="G22" s="4" t="s">
        <v>122</v>
      </c>
      <c r="H22" s="11">
        <v>159596381.18279999</v>
      </c>
      <c r="I22" s="11">
        <v>95.838257982293399</v>
      </c>
      <c r="J22" s="11">
        <v>98.407702426724427</v>
      </c>
      <c r="K22" s="11">
        <v>4258571.5277555604</v>
      </c>
      <c r="L22" s="11">
        <v>163099941.92502901</v>
      </c>
      <c r="M22" s="6">
        <f t="shared" si="0"/>
        <v>5.454694491282411E-3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1226758238.1360888</v>
      </c>
      <c r="L24" s="22">
        <f>SUM(L4:L23)</f>
        <v>29900839026.9505</v>
      </c>
      <c r="M24" s="23"/>
      <c r="N24" s="26">
        <v>29900839026.950531</v>
      </c>
      <c r="O24" s="29">
        <f>L24-N24</f>
        <v>-3.0517578125E-5</v>
      </c>
    </row>
    <row r="26" spans="1:15" x14ac:dyDescent="0.25">
      <c r="A26" s="30" t="s">
        <v>26</v>
      </c>
    </row>
    <row r="27" spans="1:15" x14ac:dyDescent="0.25">
      <c r="A27" s="19" t="s">
        <v>51</v>
      </c>
      <c r="B27" s="31">
        <v>545259.88</v>
      </c>
      <c r="C27" s="51">
        <v>545259.88</v>
      </c>
      <c r="D27" s="29">
        <f>B27-C27</f>
        <v>0</v>
      </c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49</v>
      </c>
      <c r="B32" s="7" t="s">
        <v>50</v>
      </c>
      <c r="C32" s="14">
        <v>2377700</v>
      </c>
      <c r="D32" s="7" t="s">
        <v>51</v>
      </c>
      <c r="E32" s="34" t="s">
        <v>52</v>
      </c>
      <c r="F32" s="34" t="s">
        <v>53</v>
      </c>
      <c r="G32" s="15">
        <v>546.76859999999999</v>
      </c>
      <c r="H32" s="15">
        <v>547.00079090297299</v>
      </c>
      <c r="I32" s="16">
        <f t="shared" ref="I32:I45" si="1">+C32*G32</f>
        <v>1300051700.22</v>
      </c>
      <c r="J32" s="16">
        <f t="shared" ref="J32:J45" si="2">+C32*H32</f>
        <v>1300603780.5299988</v>
      </c>
      <c r="K32" s="18">
        <v>0.155001</v>
      </c>
      <c r="L32" s="17">
        <v>552080.31000000006</v>
      </c>
      <c r="M32" s="17"/>
      <c r="N32" s="35"/>
    </row>
    <row r="33" spans="1:15" s="36" customFormat="1" ht="12" customHeight="1" x14ac:dyDescent="0.25">
      <c r="A33" s="12" t="s">
        <v>49</v>
      </c>
      <c r="B33" s="7" t="s">
        <v>50</v>
      </c>
      <c r="C33" s="14">
        <v>2377700</v>
      </c>
      <c r="D33" s="7" t="s">
        <v>51</v>
      </c>
      <c r="E33" s="34" t="s">
        <v>53</v>
      </c>
      <c r="F33" s="34" t="s">
        <v>53</v>
      </c>
      <c r="G33" s="15">
        <v>546.76859999999999</v>
      </c>
      <c r="H33" s="15">
        <v>547.00079090297299</v>
      </c>
      <c r="I33" s="16">
        <f t="shared" si="1"/>
        <v>1300051700.22</v>
      </c>
      <c r="J33" s="16">
        <f t="shared" si="2"/>
        <v>1300603780.5299988</v>
      </c>
      <c r="K33" s="18">
        <v>0.155001</v>
      </c>
      <c r="L33" s="17"/>
      <c r="M33" s="17"/>
      <c r="N33" s="35"/>
    </row>
    <row r="34" spans="1:15" s="36" customFormat="1" ht="12" customHeight="1" x14ac:dyDescent="0.25">
      <c r="A34" s="12" t="s">
        <v>54</v>
      </c>
      <c r="B34" s="7" t="s">
        <v>55</v>
      </c>
      <c r="C34" s="14">
        <v>1444932</v>
      </c>
      <c r="D34" s="7" t="s">
        <v>51</v>
      </c>
      <c r="E34" s="34" t="s">
        <v>52</v>
      </c>
      <c r="F34" s="34" t="s">
        <v>53</v>
      </c>
      <c r="G34" s="15">
        <v>544.89860000332203</v>
      </c>
      <c r="H34" s="15">
        <v>545.12999828365605</v>
      </c>
      <c r="I34" s="16">
        <f t="shared" si="1"/>
        <v>787341423.9000001</v>
      </c>
      <c r="J34" s="16">
        <f t="shared" si="2"/>
        <v>787675778.67999971</v>
      </c>
      <c r="K34" s="18">
        <v>0.155002</v>
      </c>
      <c r="L34" s="17">
        <v>334354.78000000003</v>
      </c>
      <c r="M34" s="17"/>
      <c r="N34" s="35"/>
    </row>
    <row r="35" spans="1:15" s="36" customFormat="1" ht="12" customHeight="1" x14ac:dyDescent="0.25">
      <c r="A35" s="12" t="s">
        <v>54</v>
      </c>
      <c r="B35" s="7" t="s">
        <v>55</v>
      </c>
      <c r="C35" s="14">
        <v>1444932</v>
      </c>
      <c r="D35" s="7" t="s">
        <v>51</v>
      </c>
      <c r="E35" s="34" t="s">
        <v>53</v>
      </c>
      <c r="F35" s="34" t="s">
        <v>53</v>
      </c>
      <c r="G35" s="15">
        <v>544.89860000332203</v>
      </c>
      <c r="H35" s="15">
        <v>545.12999828365605</v>
      </c>
      <c r="I35" s="16">
        <f t="shared" si="1"/>
        <v>787341423.9000001</v>
      </c>
      <c r="J35" s="16">
        <f t="shared" si="2"/>
        <v>787675778.67999971</v>
      </c>
      <c r="K35" s="18">
        <v>0.155002</v>
      </c>
      <c r="L35" s="17"/>
      <c r="M35" s="17"/>
      <c r="N35" s="35"/>
    </row>
    <row r="36" spans="1:15" s="36" customFormat="1" ht="12" customHeight="1" x14ac:dyDescent="0.25">
      <c r="A36" s="12" t="s">
        <v>49</v>
      </c>
      <c r="B36" s="7" t="s">
        <v>50</v>
      </c>
      <c r="C36" s="14">
        <v>221309</v>
      </c>
      <c r="D36" s="7" t="s">
        <v>51</v>
      </c>
      <c r="E36" s="34" t="s">
        <v>52</v>
      </c>
      <c r="F36" s="34" t="s">
        <v>53</v>
      </c>
      <c r="G36" s="15">
        <v>546.76860001174805</v>
      </c>
      <c r="H36" s="15">
        <v>547.00079093032798</v>
      </c>
      <c r="I36" s="16">
        <f t="shared" si="1"/>
        <v>121004812.09999995</v>
      </c>
      <c r="J36" s="16">
        <f t="shared" si="2"/>
        <v>121056198.03999996</v>
      </c>
      <c r="K36" s="18">
        <v>0.155001</v>
      </c>
      <c r="L36" s="17">
        <v>51385.94</v>
      </c>
      <c r="M36" s="17"/>
      <c r="N36" s="35"/>
    </row>
    <row r="37" spans="1:15" s="36" customFormat="1" ht="12" customHeight="1" x14ac:dyDescent="0.25">
      <c r="A37" s="12" t="s">
        <v>49</v>
      </c>
      <c r="B37" s="7" t="s">
        <v>50</v>
      </c>
      <c r="C37" s="14">
        <v>221309</v>
      </c>
      <c r="D37" s="7" t="s">
        <v>51</v>
      </c>
      <c r="E37" s="34" t="s">
        <v>53</v>
      </c>
      <c r="F37" s="34" t="s">
        <v>53</v>
      </c>
      <c r="G37" s="15">
        <v>546.76860001174805</v>
      </c>
      <c r="H37" s="15">
        <v>547.00079093032798</v>
      </c>
      <c r="I37" s="16">
        <f t="shared" si="1"/>
        <v>121004812.09999995</v>
      </c>
      <c r="J37" s="16">
        <f t="shared" si="2"/>
        <v>121056198.03999996</v>
      </c>
      <c r="K37" s="18">
        <v>0.155001</v>
      </c>
      <c r="L37" s="17"/>
      <c r="M37" s="17"/>
      <c r="N37" s="35"/>
    </row>
    <row r="38" spans="1:15" s="36" customFormat="1" ht="12" customHeight="1" x14ac:dyDescent="0.25">
      <c r="A38" s="12" t="s">
        <v>49</v>
      </c>
      <c r="B38" s="7" t="s">
        <v>50</v>
      </c>
      <c r="C38" s="14">
        <v>9145</v>
      </c>
      <c r="D38" s="7" t="s">
        <v>51</v>
      </c>
      <c r="E38" s="34" t="s">
        <v>52</v>
      </c>
      <c r="F38" s="34" t="s">
        <v>53</v>
      </c>
      <c r="G38" s="15">
        <v>546.76860032804802</v>
      </c>
      <c r="H38" s="15">
        <v>547.00079168944808</v>
      </c>
      <c r="I38" s="16">
        <f t="shared" si="1"/>
        <v>5000198.8499999996</v>
      </c>
      <c r="J38" s="16">
        <f t="shared" si="2"/>
        <v>5002322.240000003</v>
      </c>
      <c r="K38" s="18">
        <v>0.155001</v>
      </c>
      <c r="L38" s="17">
        <v>2123.39</v>
      </c>
      <c r="M38" s="17"/>
      <c r="N38" s="35"/>
    </row>
    <row r="39" spans="1:15" s="36" customFormat="1" ht="12" customHeight="1" x14ac:dyDescent="0.25">
      <c r="A39" s="12" t="s">
        <v>49</v>
      </c>
      <c r="B39" s="7" t="s">
        <v>50</v>
      </c>
      <c r="C39" s="14">
        <v>9145</v>
      </c>
      <c r="D39" s="7" t="s">
        <v>51</v>
      </c>
      <c r="E39" s="34" t="s">
        <v>53</v>
      </c>
      <c r="F39" s="34" t="s">
        <v>53</v>
      </c>
      <c r="G39" s="15">
        <v>546.76860032804802</v>
      </c>
      <c r="H39" s="15">
        <v>547.00079168944808</v>
      </c>
      <c r="I39" s="16">
        <f t="shared" si="1"/>
        <v>5000198.8499999996</v>
      </c>
      <c r="J39" s="16">
        <f t="shared" si="2"/>
        <v>5002322.240000003</v>
      </c>
      <c r="K39" s="18">
        <v>0.155001</v>
      </c>
      <c r="L39" s="17"/>
      <c r="M39" s="17"/>
      <c r="N39" s="35"/>
    </row>
    <row r="40" spans="1:15" s="36" customFormat="1" ht="12" customHeight="1" x14ac:dyDescent="0.25">
      <c r="A40" s="12" t="s">
        <v>56</v>
      </c>
      <c r="B40" s="7" t="s">
        <v>57</v>
      </c>
      <c r="C40" s="14">
        <v>6372</v>
      </c>
      <c r="D40" s="7" t="s">
        <v>51</v>
      </c>
      <c r="E40" s="34" t="s">
        <v>53</v>
      </c>
      <c r="F40" s="34" t="s">
        <v>58</v>
      </c>
      <c r="G40" s="15">
        <v>942.12800062774602</v>
      </c>
      <c r="H40" s="15">
        <v>942.52859855618306</v>
      </c>
      <c r="I40" s="16">
        <f t="shared" si="1"/>
        <v>6003239.6199999973</v>
      </c>
      <c r="J40" s="16">
        <f t="shared" si="2"/>
        <v>6005792.2299999986</v>
      </c>
      <c r="K40" s="18">
        <v>0.1552</v>
      </c>
      <c r="L40" s="17"/>
      <c r="M40" s="17">
        <v>6003239.6200000001</v>
      </c>
      <c r="N40" s="35"/>
    </row>
    <row r="41" spans="1:15" s="36" customFormat="1" ht="12" customHeight="1" x14ac:dyDescent="0.25">
      <c r="A41" s="12" t="s">
        <v>59</v>
      </c>
      <c r="B41" s="7" t="s">
        <v>60</v>
      </c>
      <c r="C41" s="14">
        <v>330572</v>
      </c>
      <c r="D41" s="7" t="s">
        <v>51</v>
      </c>
      <c r="E41" s="34" t="s">
        <v>53</v>
      </c>
      <c r="F41" s="34" t="s">
        <v>58</v>
      </c>
      <c r="G41" s="15">
        <v>732.51900000605008</v>
      </c>
      <c r="H41" s="15">
        <v>732.83047109253107</v>
      </c>
      <c r="I41" s="16">
        <f t="shared" si="1"/>
        <v>242150270.86999997</v>
      </c>
      <c r="J41" s="16">
        <f t="shared" si="2"/>
        <v>242253234.49000019</v>
      </c>
      <c r="K41" s="18">
        <v>0.1552</v>
      </c>
      <c r="L41" s="17"/>
      <c r="M41" s="17">
        <v>242150270.87</v>
      </c>
      <c r="N41" s="35"/>
    </row>
    <row r="42" spans="1:15" s="36" customFormat="1" ht="12" customHeight="1" x14ac:dyDescent="0.25">
      <c r="A42" s="12" t="s">
        <v>61</v>
      </c>
      <c r="B42" s="7" t="s">
        <v>62</v>
      </c>
      <c r="C42" s="14">
        <v>398930</v>
      </c>
      <c r="D42" s="7" t="s">
        <v>51</v>
      </c>
      <c r="E42" s="34" t="s">
        <v>53</v>
      </c>
      <c r="F42" s="34" t="s">
        <v>58</v>
      </c>
      <c r="G42" s="15">
        <v>1028.289</v>
      </c>
      <c r="H42" s="15">
        <v>1028.726234126287</v>
      </c>
      <c r="I42" s="16">
        <f t="shared" si="1"/>
        <v>410215330.76999998</v>
      </c>
      <c r="J42" s="16">
        <f t="shared" si="2"/>
        <v>410389756.57999963</v>
      </c>
      <c r="K42" s="18">
        <v>0.1552</v>
      </c>
      <c r="L42" s="17"/>
      <c r="M42" s="17">
        <v>410215330.76999998</v>
      </c>
      <c r="N42" s="35"/>
    </row>
    <row r="43" spans="1:15" s="36" customFormat="1" ht="12" customHeight="1" x14ac:dyDescent="0.25">
      <c r="A43" s="12" t="s">
        <v>63</v>
      </c>
      <c r="B43" s="7" t="s">
        <v>64</v>
      </c>
      <c r="C43" s="14">
        <v>467264</v>
      </c>
      <c r="D43" s="7" t="s">
        <v>51</v>
      </c>
      <c r="E43" s="34" t="s">
        <v>53</v>
      </c>
      <c r="F43" s="34" t="s">
        <v>58</v>
      </c>
      <c r="G43" s="15">
        <v>839.59400000855999</v>
      </c>
      <c r="H43" s="15">
        <v>839.95099997003808</v>
      </c>
      <c r="I43" s="16">
        <f t="shared" si="1"/>
        <v>392312050.81999975</v>
      </c>
      <c r="J43" s="16">
        <f t="shared" si="2"/>
        <v>392478864.04999989</v>
      </c>
      <c r="K43" s="18">
        <v>0.1552</v>
      </c>
      <c r="L43" s="17"/>
      <c r="M43" s="17">
        <v>392312050.81999999</v>
      </c>
      <c r="N43" s="35"/>
    </row>
    <row r="44" spans="1:15" s="36" customFormat="1" ht="12" customHeight="1" x14ac:dyDescent="0.25">
      <c r="A44" s="12" t="s">
        <v>65</v>
      </c>
      <c r="B44" s="7" t="s">
        <v>66</v>
      </c>
      <c r="C44" s="14">
        <v>343552</v>
      </c>
      <c r="D44" s="7" t="s">
        <v>51</v>
      </c>
      <c r="E44" s="34" t="s">
        <v>53</v>
      </c>
      <c r="F44" s="34" t="s">
        <v>58</v>
      </c>
      <c r="G44" s="15">
        <v>745.50800001164305</v>
      </c>
      <c r="H44" s="15">
        <v>745.824994091142</v>
      </c>
      <c r="I44" s="16">
        <f t="shared" si="1"/>
        <v>256120764.41999999</v>
      </c>
      <c r="J44" s="16">
        <f t="shared" si="2"/>
        <v>256229668.37</v>
      </c>
      <c r="K44" s="18">
        <v>0.1552</v>
      </c>
      <c r="L44" s="17"/>
      <c r="M44" s="17">
        <v>256120764.41999999</v>
      </c>
      <c r="N44" s="35"/>
    </row>
    <row r="45" spans="1:15" s="36" customFormat="1" ht="12" customHeight="1" x14ac:dyDescent="0.25">
      <c r="A45" s="12" t="s">
        <v>61</v>
      </c>
      <c r="B45" s="7" t="s">
        <v>62</v>
      </c>
      <c r="C45" s="14">
        <v>889322</v>
      </c>
      <c r="D45" s="7" t="s">
        <v>51</v>
      </c>
      <c r="E45" s="34" t="s">
        <v>53</v>
      </c>
      <c r="F45" s="34" t="s">
        <v>58</v>
      </c>
      <c r="G45" s="15">
        <v>1028.289000002248</v>
      </c>
      <c r="H45" s="15">
        <v>1028.7267975603881</v>
      </c>
      <c r="I45" s="16">
        <f t="shared" si="1"/>
        <v>914480030.05999923</v>
      </c>
      <c r="J45" s="16">
        <f t="shared" si="2"/>
        <v>914869373.05999947</v>
      </c>
      <c r="K45" s="18">
        <v>0.15540000000000001</v>
      </c>
      <c r="L45" s="17"/>
      <c r="M45" s="17">
        <v>914480030.05999994</v>
      </c>
      <c r="N45" s="35"/>
    </row>
    <row r="46" spans="1:15" s="36" customFormat="1" ht="11.25" hidden="1" x14ac:dyDescent="0.25">
      <c r="A46" s="7"/>
      <c r="B46" s="7"/>
      <c r="C46" s="7"/>
      <c r="D46" s="7"/>
      <c r="E46" s="37"/>
      <c r="F46" s="37"/>
      <c r="G46" s="7"/>
      <c r="H46" s="7"/>
      <c r="I46" s="8"/>
      <c r="J46" s="8"/>
      <c r="K46" s="7"/>
      <c r="L46" s="9"/>
      <c r="M46" s="9"/>
      <c r="N46" s="35"/>
    </row>
    <row r="47" spans="1:15" x14ac:dyDescent="0.25">
      <c r="A47" s="1" t="s">
        <v>5</v>
      </c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2">
        <f>SUM(M32:M46)</f>
        <v>2221281686.5599999</v>
      </c>
      <c r="N47" s="38">
        <v>2221281686.5599999</v>
      </c>
      <c r="O47" s="29">
        <f>M47-N47</f>
        <v>0</v>
      </c>
    </row>
    <row r="49" spans="1:8" x14ac:dyDescent="0.25">
      <c r="A49" s="39" t="s">
        <v>28</v>
      </c>
      <c r="B49" s="33"/>
      <c r="D49" s="33"/>
      <c r="F49" s="28"/>
      <c r="G49" s="28"/>
    </row>
    <row r="50" spans="1:8" ht="22.5" x14ac:dyDescent="0.25">
      <c r="A50" s="19" t="s">
        <v>6</v>
      </c>
      <c r="B50" s="19" t="s">
        <v>29</v>
      </c>
      <c r="C50" s="19" t="s">
        <v>17</v>
      </c>
      <c r="D50" s="19" t="s">
        <v>30</v>
      </c>
      <c r="E50" s="19" t="s">
        <v>16</v>
      </c>
      <c r="F50" s="19" t="s">
        <v>31</v>
      </c>
      <c r="G50" s="19" t="s">
        <v>32</v>
      </c>
    </row>
    <row r="51" spans="1:8" hidden="1" x14ac:dyDescent="0.25">
      <c r="B51" s="41"/>
      <c r="C51" s="42"/>
      <c r="D51" s="43"/>
      <c r="G51" s="44"/>
      <c r="H51" s="33"/>
    </row>
    <row r="52" spans="1:8" x14ac:dyDescent="0.25">
      <c r="G52" s="45">
        <f>SUM(G51:G51)</f>
        <v>0</v>
      </c>
    </row>
    <row r="54" spans="1:8" x14ac:dyDescent="0.25">
      <c r="A54" s="46" t="s">
        <v>13</v>
      </c>
      <c r="B54" s="47">
        <f>+L24+B27+M47+G52</f>
        <v>32122665973.390503</v>
      </c>
      <c r="C54" s="32">
        <v>32122665973.390533</v>
      </c>
      <c r="D54" s="29">
        <f>B54-C54</f>
        <v>-3.0517578125E-5</v>
      </c>
    </row>
    <row r="57" spans="1:8" x14ac:dyDescent="0.25">
      <c r="A57" s="24" t="s">
        <v>46</v>
      </c>
      <c r="B57" s="33"/>
    </row>
    <row r="58" spans="1:8" x14ac:dyDescent="0.25">
      <c r="A58" s="48" t="s">
        <v>35</v>
      </c>
      <c r="B58" s="49"/>
    </row>
    <row r="59" spans="1:8" x14ac:dyDescent="0.25">
      <c r="A59" s="48" t="s">
        <v>36</v>
      </c>
      <c r="B59" s="40"/>
    </row>
    <row r="60" spans="1:8" x14ac:dyDescent="0.25">
      <c r="A60" s="48" t="s">
        <v>37</v>
      </c>
      <c r="B60" s="40">
        <v>410389.86</v>
      </c>
    </row>
    <row r="61" spans="1:8" x14ac:dyDescent="0.25">
      <c r="A61" s="48" t="s">
        <v>38</v>
      </c>
      <c r="B61" s="40"/>
    </row>
    <row r="62" spans="1:8" x14ac:dyDescent="0.25">
      <c r="A62" s="48" t="s">
        <v>39</v>
      </c>
      <c r="B62" s="49"/>
    </row>
    <row r="63" spans="1:8" x14ac:dyDescent="0.25">
      <c r="A63" s="48" t="s">
        <v>40</v>
      </c>
      <c r="B63" s="50">
        <v>86552.29</v>
      </c>
    </row>
    <row r="64" spans="1:8" x14ac:dyDescent="0.25">
      <c r="A64" s="48" t="s">
        <v>41</v>
      </c>
      <c r="B64" s="50">
        <v>43002.96</v>
      </c>
    </row>
    <row r="65" spans="1:2" x14ac:dyDescent="0.25">
      <c r="A65" s="48" t="s">
        <v>42</v>
      </c>
      <c r="B65" s="40"/>
    </row>
    <row r="66" spans="1:2" x14ac:dyDescent="0.25">
      <c r="A66" s="48" t="s">
        <v>43</v>
      </c>
      <c r="B66" s="40"/>
    </row>
    <row r="67" spans="1:2" x14ac:dyDescent="0.25">
      <c r="A67" s="48" t="s">
        <v>44</v>
      </c>
      <c r="B67" s="50"/>
    </row>
    <row r="68" spans="1:2" x14ac:dyDescent="0.25">
      <c r="A68" s="48" t="s">
        <v>45</v>
      </c>
      <c r="B68" s="49">
        <f>SUM(B58:B67)</f>
        <v>539945.11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ДУ</vt:lpstr>
      <vt:lpstr>Лист1</vt:lpstr>
      <vt:lpstr>__mdDATAHead__</vt:lpstr>
      <vt:lpstr>__mdDATAMoney__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2025-08-27T06:02:52Z</dcterms:created>
  <dcterms:modified xsi:type="dcterms:W3CDTF">2025-08-27T10:02:08Z</dcterms:modified>
</cp:coreProperties>
</file>