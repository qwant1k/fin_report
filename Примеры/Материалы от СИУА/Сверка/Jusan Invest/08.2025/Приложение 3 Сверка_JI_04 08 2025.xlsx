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DA8E6762-72F6-4734-BD95-594919FC9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B53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<sst xmlns="http://schemas.openxmlformats.org/spreadsheetml/2006/main" count="195" uniqueCount="123">
  <si>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</si>
  <si>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</si>
  <si>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</si>
  <si>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</si>
  <si>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</si>
  <si>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</si>
  <si>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</si>
  <si>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</si>
  <si>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</si>
  <si>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</si>
  <si>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</si>
  <si>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</si>
  <si>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</si>
  <si>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</si>
  <si>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</si>
  <si>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</si>
  <si>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</si>
  <si>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</si>
  <si>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</si>
  <si>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</si>
  <si>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</si>
  <si>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</si>
  <si>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</si>
  <si>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</si>
  <si>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</si>
  <si>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</si>
  <si>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</si>
  <si>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</si>
  <si>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</si>
  <si>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</si>
  <si>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</si>
  <si>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</si>
  <si>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</si>
  <si>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</si>
  <si>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</si>
  <si>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</si>
  <si>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</si>
  <si>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</si>
  <si>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</si>
  <si>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</si>
  <si>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</si>
  <si>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</si>
  <si>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</si>
  <si>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</si>
  <si>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</si>
  <si>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</si>
  <si>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</si>
  <si>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</si>
  <si>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</si>
  <si>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MUM156_0006</t>
  </si>
  <si>
    <t>KZKD00000964</t>
  </si>
  <si>
    <t>KZT</t>
  </si>
  <si>
    <t>01.08.2025</t>
  </si>
  <si>
    <t>04.08.2025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</si>
  <si>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</si>
  <si>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</si>
  <si>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</si>
  <si>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</si>
  <si>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MUM144_0009</t>
  </si>
  <si>
    <t>KZKD00001178</t>
  </si>
  <si>
    <t>МИНИСТЕРСТВО ФИНАНСОВ РК, ОБЛИГАЦИИ, MFKZ.0435</t>
  </si>
  <si>
    <t>XS2914770545</t>
  </si>
  <si>
    <t>05.08.2025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</si>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</sst>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9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97.76870000000001</v>
      </c>
      <c r="J4" s="11">
        <v>98.154005555555543</v>
      </c>
      <c r="K4" s="11">
        <v>11636227.777777771</v>
      </c>
      <c r="L4" s="11">
        <v>2964250967.7777772</v>
      </c>
      <c r="M4" s="6">
        <f t="shared" ref="M4:M22" si="0">L4/$L$24</f>
        <v>9.9560936446598858E-2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83.095200000000006</v>
      </c>
      <c r="J5" s="11">
        <v>83.271033333333321</v>
      </c>
      <c r="K5" s="11">
        <v>3982625</v>
      </c>
      <c r="L5" s="11">
        <v>1886088904.999999</v>
      </c>
      <c r="M5" s="6">
        <f t="shared" si="0"/>
        <v>6.3348474756209514E-2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83.095200000000006</v>
      </c>
      <c r="J6" s="11">
        <v>83.271033333333591</v>
      </c>
      <c r="K6" s="11">
        <v>2728310.88333333</v>
      </c>
      <c r="L6" s="11">
        <v>1292071657.8753369</v>
      </c>
      <c r="M6" s="6">
        <f t="shared" si="0"/>
        <v>4.3397089387008293E-2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83.095200000000006</v>
      </c>
      <c r="J7" s="11">
        <v>83.271033333333321</v>
      </c>
      <c r="K7" s="11">
        <v>959508.43333333335</v>
      </c>
      <c r="L7" s="11">
        <v>454403367.21733302</v>
      </c>
      <c r="M7" s="6">
        <f t="shared" si="0"/>
        <v>1.5262143879322506E-2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86.637600000000006</v>
      </c>
      <c r="J8" s="11">
        <v>89.873155555555542</v>
      </c>
      <c r="K8" s="11">
        <v>73285333.333333328</v>
      </c>
      <c r="L8" s="11">
        <v>2035626973.333333</v>
      </c>
      <c r="M8" s="6">
        <f t="shared" si="0"/>
        <v>6.8371042102740059E-2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84.975500000000011</v>
      </c>
      <c r="J9" s="11">
        <v>88.764388888888874</v>
      </c>
      <c r="K9" s="11">
        <v>85818333.333333328</v>
      </c>
      <c r="L9" s="11">
        <v>2010513408.333333</v>
      </c>
      <c r="M9" s="6">
        <f t="shared" si="0"/>
        <v>6.7527547379758829E-2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78.249499999999998</v>
      </c>
      <c r="J10" s="11">
        <v>82.169222222222217</v>
      </c>
      <c r="K10" s="11">
        <v>88781708.333333328</v>
      </c>
      <c r="L10" s="11">
        <v>1861132883.333333</v>
      </c>
      <c r="M10" s="6">
        <f t="shared" si="0"/>
        <v>6.2510271475136603E-2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68.987899999999996</v>
      </c>
      <c r="J11" s="11">
        <v>71.522899999999993</v>
      </c>
      <c r="K11" s="11">
        <v>57417749.999999993</v>
      </c>
      <c r="L11" s="11">
        <v>1619993684.999999</v>
      </c>
      <c r="M11" s="6">
        <f t="shared" si="0"/>
        <v>5.4411077223022693E-2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77.177400000000006</v>
      </c>
      <c r="J12" s="11">
        <v>77.414066666666656</v>
      </c>
      <c r="K12" s="11">
        <v>5360500</v>
      </c>
      <c r="L12" s="11">
        <v>1753428610</v>
      </c>
      <c r="M12" s="6">
        <f t="shared" si="0"/>
        <v>5.8892784822039232E-2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63.001800000000003</v>
      </c>
      <c r="J13" s="11">
        <v>64.839966666666655</v>
      </c>
      <c r="K13" s="11">
        <v>41634475</v>
      </c>
      <c r="L13" s="11">
        <v>1468625245</v>
      </c>
      <c r="M13" s="6">
        <f t="shared" si="0"/>
        <v>4.9327032788634401E-2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61.648900000000005</v>
      </c>
      <c r="J14" s="11">
        <v>65.795983333333325</v>
      </c>
      <c r="K14" s="11">
        <v>93931437.5</v>
      </c>
      <c r="L14" s="11">
        <v>1490279022.5</v>
      </c>
      <c r="M14" s="6">
        <f t="shared" si="0"/>
        <v>5.0054322882806992E-2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84.548400000000001</v>
      </c>
      <c r="J15" s="11">
        <v>86.48514999999999</v>
      </c>
      <c r="K15" s="11">
        <v>73112312.5</v>
      </c>
      <c r="L15" s="11">
        <v>3264814412.5</v>
      </c>
      <c r="M15" s="6">
        <f t="shared" si="0"/>
        <v>0.10965602567603533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57.540900000000001</v>
      </c>
      <c r="J16" s="11">
        <v>59.068677777777765</v>
      </c>
      <c r="K16" s="11">
        <v>42836750</v>
      </c>
      <c r="L16" s="11">
        <v>1656203028.74</v>
      </c>
      <c r="M16" s="6">
        <f t="shared" si="0"/>
        <v>5.5627248259166068E-2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85.75330000000001</v>
      </c>
      <c r="J17" s="11">
        <v>90.653300000000002</v>
      </c>
      <c r="K17" s="11">
        <v>50885520</v>
      </c>
      <c r="L17" s="11">
        <v>941416389.84000003</v>
      </c>
      <c r="M17" s="6">
        <f t="shared" si="0"/>
        <v>3.1619555286478487E-2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98.1935</v>
      </c>
      <c r="J18" s="11">
        <v>101.434055555556</v>
      </c>
      <c r="K18" s="11">
        <v>16429260.205555551</v>
      </c>
      <c r="L18" s="11">
        <v>514259503.92055601</v>
      </c>
      <c r="M18" s="6">
        <f t="shared" si="0"/>
        <v>1.7272544849762629E-2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93.326332928413294</v>
      </c>
      <c r="J19" s="11">
        <v>106.47438848396901</v>
      </c>
      <c r="K19" s="11">
        <v>276109166.66666698</v>
      </c>
      <c r="L19" s="11">
        <v>2235962158.1633449</v>
      </c>
      <c r="M19" s="6">
        <f t="shared" si="0"/>
        <v>7.5099743154605145E-2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99.681600000000003</v>
      </c>
      <c r="J20" s="11">
        <v>105.2296</v>
      </c>
      <c r="K20" s="11">
        <v>61028000</v>
      </c>
      <c r="L20" s="11">
        <v>1157525600</v>
      </c>
      <c r="M20" s="6">
        <f t="shared" si="0"/>
        <v>3.8878061928510364E-2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97.97308563920879</v>
      </c>
      <c r="J21" s="11">
        <v>100.519585639209</v>
      </c>
      <c r="K21" s="11">
        <v>25464999.999999989</v>
      </c>
      <c r="L21" s="11">
        <v>1005195856.392087</v>
      </c>
      <c r="M21" s="6">
        <f t="shared" si="0"/>
        <v>3.3761729982553793E-2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95.6014627272301</v>
      </c>
      <c r="J22" s="11">
        <v>97.407018282772242</v>
      </c>
      <c r="K22" s="11">
        <v>2992509.7222000002</v>
      </c>
      <c r="L22" s="11">
        <v>161441418.03168401</v>
      </c>
      <c r="M22" s="6">
        <f t="shared" si="0"/>
        <v>5.4223677196101249E-3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1014394728.688867</v>
      </c>
      <c r="L24" s="22">
        <f>SUM(L4:L23)</f>
        <v>29773233092.958118</v>
      </c>
      <c r="M24" s="23"/>
      <c r="N24" s="26">
        <v>29773233092.958138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4412175.32</v>
      </c>
      <c r="C27" s="51">
        <v>4412175.32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215670</v>
      </c>
      <c r="D32" s="7" t="s">
        <v>51</v>
      </c>
      <c r="E32" s="34" t="s">
        <v>52</v>
      </c>
      <c r="F32" s="34" t="s">
        <v>53</v>
      </c>
      <c r="G32" s="15">
        <v>732.875</v>
      </c>
      <c r="H32" s="15">
        <v>733.81046974544404</v>
      </c>
      <c r="I32" s="16">
        <f t="shared" ref="I32:I44" si="1">+C32*G32</f>
        <v>158059151.25</v>
      </c>
      <c r="J32" s="16">
        <f t="shared" ref="J32:J44" si="2">+C32*H32</f>
        <v>158260904.0099999</v>
      </c>
      <c r="K32" s="18">
        <v>0.15529999999999999</v>
      </c>
      <c r="L32" s="17">
        <v>67250.92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215670</v>
      </c>
      <c r="D33" s="7" t="s">
        <v>51</v>
      </c>
      <c r="E33" s="34" t="s">
        <v>53</v>
      </c>
      <c r="F33" s="34" t="s">
        <v>53</v>
      </c>
      <c r="G33" s="15">
        <v>732.875</v>
      </c>
      <c r="H33" s="15">
        <v>733.81046974544404</v>
      </c>
      <c r="I33" s="16">
        <f t="shared" si="1"/>
        <v>158059151.25</v>
      </c>
      <c r="J33" s="16">
        <f t="shared" si="2"/>
        <v>158260904.0099999</v>
      </c>
      <c r="K33" s="18">
        <v>0.15529999999999999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499422</v>
      </c>
      <c r="D34" s="7" t="s">
        <v>51</v>
      </c>
      <c r="E34" s="34" t="s">
        <v>52</v>
      </c>
      <c r="F34" s="34" t="s">
        <v>53</v>
      </c>
      <c r="G34" s="15">
        <v>1013.194000004004</v>
      </c>
      <c r="H34" s="15">
        <v>1014.4872796953271</v>
      </c>
      <c r="I34" s="16">
        <f t="shared" si="1"/>
        <v>506011373.86999971</v>
      </c>
      <c r="J34" s="16">
        <f t="shared" si="2"/>
        <v>506657266.19999963</v>
      </c>
      <c r="K34" s="18">
        <v>0.15529999999999999</v>
      </c>
      <c r="L34" s="17">
        <v>215297.4433333333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499422</v>
      </c>
      <c r="D35" s="7" t="s">
        <v>51</v>
      </c>
      <c r="E35" s="34" t="s">
        <v>53</v>
      </c>
      <c r="F35" s="34" t="s">
        <v>53</v>
      </c>
      <c r="G35" s="15">
        <v>1013.194000004004</v>
      </c>
      <c r="H35" s="15">
        <v>1014.4872796953271</v>
      </c>
      <c r="I35" s="16">
        <f t="shared" si="1"/>
        <v>506011373.86999971</v>
      </c>
      <c r="J35" s="16">
        <f t="shared" si="2"/>
        <v>506657266.19999963</v>
      </c>
      <c r="K35" s="18">
        <v>0.15529999999999999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219600</v>
      </c>
      <c r="D36" s="7" t="s">
        <v>51</v>
      </c>
      <c r="E36" s="34" t="s">
        <v>52</v>
      </c>
      <c r="F36" s="34" t="s">
        <v>53</v>
      </c>
      <c r="G36" s="15">
        <v>1024.9760000000001</v>
      </c>
      <c r="H36" s="15">
        <v>1026.2843186703089</v>
      </c>
      <c r="I36" s="16">
        <f t="shared" si="1"/>
        <v>225084729.60000002</v>
      </c>
      <c r="J36" s="16">
        <f t="shared" si="2"/>
        <v>225372036.37999985</v>
      </c>
      <c r="K36" s="18">
        <v>0.15529999999999999</v>
      </c>
      <c r="L36" s="17">
        <v>95768.926666666695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219600</v>
      </c>
      <c r="D37" s="7" t="s">
        <v>51</v>
      </c>
      <c r="E37" s="34" t="s">
        <v>53</v>
      </c>
      <c r="F37" s="34" t="s">
        <v>53</v>
      </c>
      <c r="G37" s="15">
        <v>1024.9760000000001</v>
      </c>
      <c r="H37" s="15">
        <v>1026.2843186703089</v>
      </c>
      <c r="I37" s="16">
        <f t="shared" si="1"/>
        <v>225084729.60000002</v>
      </c>
      <c r="J37" s="16">
        <f t="shared" si="2"/>
        <v>225372036.37999985</v>
      </c>
      <c r="K37" s="18">
        <v>0.15529999999999999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5835</v>
      </c>
      <c r="D38" s="7" t="s">
        <v>51</v>
      </c>
      <c r="E38" s="34" t="s">
        <v>52</v>
      </c>
      <c r="F38" s="34" t="s">
        <v>53</v>
      </c>
      <c r="G38" s="15">
        <v>856.98400000000004</v>
      </c>
      <c r="H38" s="15">
        <v>858.07788688946005</v>
      </c>
      <c r="I38" s="16">
        <f t="shared" si="1"/>
        <v>5000501.6400000006</v>
      </c>
      <c r="J38" s="16">
        <f t="shared" si="2"/>
        <v>5006884.47</v>
      </c>
      <c r="K38" s="18">
        <v>0.15529999999999999</v>
      </c>
      <c r="L38" s="17">
        <v>2127.61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5835</v>
      </c>
      <c r="D39" s="7" t="s">
        <v>51</v>
      </c>
      <c r="E39" s="34" t="s">
        <v>53</v>
      </c>
      <c r="F39" s="34" t="s">
        <v>53</v>
      </c>
      <c r="G39" s="15">
        <v>856.98400000000004</v>
      </c>
      <c r="H39" s="15">
        <v>858.07788688946005</v>
      </c>
      <c r="I39" s="16">
        <f t="shared" si="1"/>
        <v>5000501.6400000006</v>
      </c>
      <c r="J39" s="16">
        <f t="shared" si="2"/>
        <v>5006884.47</v>
      </c>
      <c r="K39" s="18">
        <v>0.15529999999999999</v>
      </c>
      <c r="L39" s="17"/>
      <c r="M39" s="17"/>
      <c r="N39" s="35"/>
    </row>
    <row r="40" spans="1:15" s="36" customFormat="1" ht="12" customHeight="1" x14ac:dyDescent="0.25">
      <c r="A40" s="12" t="s">
        <v>54</v>
      </c>
      <c r="B40" s="7" t="s">
        <v>55</v>
      </c>
      <c r="C40" s="14">
        <v>1283100</v>
      </c>
      <c r="D40" s="7" t="s">
        <v>51</v>
      </c>
      <c r="E40" s="34" t="s">
        <v>52</v>
      </c>
      <c r="F40" s="34" t="s">
        <v>53</v>
      </c>
      <c r="G40" s="15">
        <v>1013.1940000000001</v>
      </c>
      <c r="H40" s="15">
        <v>1014.4947745460211</v>
      </c>
      <c r="I40" s="16">
        <f t="shared" si="1"/>
        <v>1300029221.4000001</v>
      </c>
      <c r="J40" s="16">
        <f t="shared" si="2"/>
        <v>1301698245.2199996</v>
      </c>
      <c r="K40" s="18">
        <v>0.15620000000000001</v>
      </c>
      <c r="L40" s="17">
        <v>556341.27333333332</v>
      </c>
      <c r="M40" s="17"/>
      <c r="N40" s="35"/>
    </row>
    <row r="41" spans="1:15" s="36" customFormat="1" ht="12" customHeight="1" x14ac:dyDescent="0.25">
      <c r="A41" s="12" t="s">
        <v>54</v>
      </c>
      <c r="B41" s="7" t="s">
        <v>55</v>
      </c>
      <c r="C41" s="14">
        <v>1283100</v>
      </c>
      <c r="D41" s="7" t="s">
        <v>51</v>
      </c>
      <c r="E41" s="34" t="s">
        <v>53</v>
      </c>
      <c r="F41" s="34" t="s">
        <v>53</v>
      </c>
      <c r="G41" s="15">
        <v>1013.1940000000001</v>
      </c>
      <c r="H41" s="15">
        <v>1014.4947745460211</v>
      </c>
      <c r="I41" s="16">
        <f t="shared" si="1"/>
        <v>1300029221.4000001</v>
      </c>
      <c r="J41" s="16">
        <f t="shared" si="2"/>
        <v>1301698245.2199996</v>
      </c>
      <c r="K41" s="18">
        <v>0.15620000000000001</v>
      </c>
      <c r="L41" s="17"/>
      <c r="M41" s="17"/>
      <c r="N41" s="35"/>
    </row>
    <row r="42" spans="1:15" s="36" customFormat="1" ht="12" customHeight="1" x14ac:dyDescent="0.25">
      <c r="A42" s="12" t="s">
        <v>60</v>
      </c>
      <c r="B42" s="7" t="s">
        <v>61</v>
      </c>
      <c r="C42" s="14">
        <v>2440100</v>
      </c>
      <c r="D42" s="7" t="s">
        <v>51</v>
      </c>
      <c r="E42" s="34" t="s">
        <v>53</v>
      </c>
      <c r="F42" s="34" t="s">
        <v>62</v>
      </c>
      <c r="G42" s="15">
        <v>532.79309999999998</v>
      </c>
      <c r="H42" s="15">
        <v>533.02067271833107</v>
      </c>
      <c r="I42" s="16">
        <f t="shared" si="1"/>
        <v>1300068443.3099999</v>
      </c>
      <c r="J42" s="16">
        <f t="shared" si="2"/>
        <v>1300623743.4999998</v>
      </c>
      <c r="K42" s="18">
        <v>0.15590299999999999</v>
      </c>
      <c r="L42" s="17"/>
      <c r="M42" s="17">
        <v>1300068443.3099999</v>
      </c>
      <c r="N42" s="35"/>
    </row>
    <row r="43" spans="1:15" s="36" customFormat="1" ht="12" customHeight="1" x14ac:dyDescent="0.25">
      <c r="A43" s="12" t="s">
        <v>63</v>
      </c>
      <c r="B43" s="7" t="s">
        <v>64</v>
      </c>
      <c r="C43" s="14">
        <v>958716</v>
      </c>
      <c r="D43" s="7" t="s">
        <v>51</v>
      </c>
      <c r="E43" s="34" t="s">
        <v>53</v>
      </c>
      <c r="F43" s="34" t="s">
        <v>62</v>
      </c>
      <c r="G43" s="15">
        <v>930.11399999582807</v>
      </c>
      <c r="H43" s="15">
        <v>930.51140075893204</v>
      </c>
      <c r="I43" s="16">
        <f t="shared" si="1"/>
        <v>891715173.62000024</v>
      </c>
      <c r="J43" s="16">
        <f t="shared" si="2"/>
        <v>892096168.09000027</v>
      </c>
      <c r="K43" s="18">
        <v>0.15595000000000001</v>
      </c>
      <c r="L43" s="17"/>
      <c r="M43" s="17">
        <v>891715173.62</v>
      </c>
      <c r="N43" s="35"/>
    </row>
    <row r="44" spans="1:15" s="36" customFormat="1" ht="12" customHeight="1" x14ac:dyDescent="0.25">
      <c r="A44" s="12" t="s">
        <v>60</v>
      </c>
      <c r="B44" s="7" t="s">
        <v>61</v>
      </c>
      <c r="C44" s="14">
        <v>9385</v>
      </c>
      <c r="D44" s="7" t="s">
        <v>51</v>
      </c>
      <c r="E44" s="34" t="s">
        <v>53</v>
      </c>
      <c r="F44" s="34" t="s">
        <v>62</v>
      </c>
      <c r="G44" s="15">
        <v>532.79309962706407</v>
      </c>
      <c r="H44" s="15">
        <v>533.02067234949402</v>
      </c>
      <c r="I44" s="16">
        <f t="shared" si="1"/>
        <v>5000263.2399999965</v>
      </c>
      <c r="J44" s="16">
        <f t="shared" si="2"/>
        <v>5002399.0100000016</v>
      </c>
      <c r="K44" s="18">
        <v>0.15590299999999999</v>
      </c>
      <c r="L44" s="17"/>
      <c r="M44" s="17">
        <v>5000263.24</v>
      </c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2196783880.1699996</v>
      </c>
      <c r="N46" s="38">
        <v>2196783880.1700001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31974429148.448116</v>
      </c>
      <c r="C53" s="32">
        <v>31974429148.448139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60520.91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50">
        <v>13217.64</v>
      </c>
    </row>
    <row r="63" spans="1:8" x14ac:dyDescent="0.25">
      <c r="A63" s="48" t="s">
        <v>41</v>
      </c>
      <c r="B63" s="50">
        <v>6584.51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80323.06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2025-08-05T06:49:10Z</dcterms:created>
  <dcterms:modified xsi:type="dcterms:W3CDTF">2025-08-05T07:32:14Z</dcterms:modified>
</cp:coreProperties>
</file>