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D473CADC-11A6-4351-BB81-456C12770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2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</calcChain>
</file>

<file path=xl/sharedStrings.xml><?xml version="1.0" encoding="utf-8"?>
<sst xmlns="http://schemas.openxmlformats.org/spreadsheetml/2006/main" count="190" uniqueCount="127">
  <si>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</si>
  <si>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</si>
  <si>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</si>
  <si>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</si>
  <si>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</si>
  <si>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</si>
  <si>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</si>
  <si>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</si>
  <si>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</si>
  <si>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</si>
  <si>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</si>
  <si>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</si>
  <si>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</si>
  <si>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</si>
  <si>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</si>
  <si>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</si>
  <si>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</si>
  <si>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</si>
  <si>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</si>
  <si>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</si>
  <si>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</si>
  <si>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</si>
  <si>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</si>
  <si>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</si>
  <si>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</si>
  <si>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</si>
  <si>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</si>
  <si>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</si>
  <si>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</si>
  <si>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</si>
  <si>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</si>
  <si>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</si>
  <si>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</si>
  <si>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</si>
  <si>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</si>
  <si>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</si>
  <si>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</si>
  <si>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</si>
  <si>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</si>
  <si>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</si>
  <si>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</si>
  <si>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</si>
  <si>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</si>
  <si>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</si>
  <si>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</si>
  <si>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</si>
  <si>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</si>
  <si>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</si>
  <si>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</si>
  <si>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MUM192_0001</t>
  </si>
  <si>
    <t>KZKD00000477</t>
  </si>
  <si>
    <t>KZT</t>
  </si>
  <si>
    <t>11.08.2025</t>
  </si>
  <si>
    <t>12.08.2025</t>
  </si>
  <si>
    <t>АКЦИОНЕРНОЕ ОБЩЕСТВО КАЗАХСТАНСКИЙ ФОНД УСТОЙЧИВОСТИ, ОБЛИГАЦИИ, KFUSb90</t>
  </si>
  <si>
    <t>KZ2C00012383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</si>
  <si>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</si>
  <si>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</si>
  <si>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MUM120_0017</t>
  </si>
  <si>
    <t>KZKD00000899</t>
  </si>
  <si>
    <t>МИНИСТЕРСТВО ФИНАНСОВ РК, ОБЛИГАЦИИ, MFKZ.0435</t>
  </si>
  <si>
    <t>XS2914770545</t>
  </si>
  <si>
    <t>08.08.2025</t>
  </si>
  <si>
    <t>ГУ "Национальный Банк Республики Казахстан", ГЦБ, NTK028_2865</t>
  </si>
  <si>
    <t>KZW100014312</t>
  </si>
  <si>
    <t>МИНИСТЕРСТВО ФИНАНСОВ РК, ГЦБ, MOM060_0052</t>
  </si>
  <si>
    <t>KZK200000679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</si>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</sst>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3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97.508300000000006</v>
      </c>
      <c r="J4" s="11">
        <v>98.101077777777761</v>
      </c>
      <c r="K4" s="11">
        <v>17901888.888888881</v>
      </c>
      <c r="L4" s="11">
        <v>2962652548.8888879</v>
      </c>
      <c r="M4" s="6">
        <f t="shared" ref="M4:M22" si="0">L4/$L$24</f>
        <v>9.9503851081438832E-2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83.290900000000008</v>
      </c>
      <c r="J5" s="11">
        <v>83.67187222222222</v>
      </c>
      <c r="K5" s="11">
        <v>8629020.8333333302</v>
      </c>
      <c r="L5" s="11">
        <v>1895167905.833333</v>
      </c>
      <c r="M5" s="6">
        <f t="shared" si="0"/>
        <v>6.3651238869399634E-2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83.290900000000008</v>
      </c>
      <c r="J6" s="11">
        <v>83.671872222222476</v>
      </c>
      <c r="K6" s="11">
        <v>5911340.2472222196</v>
      </c>
      <c r="L6" s="11">
        <v>1298291258.461226</v>
      </c>
      <c r="M6" s="6">
        <f t="shared" si="0"/>
        <v>4.3604498978697025E-2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83.290900000000008</v>
      </c>
      <c r="J7" s="11">
        <v>83.67187222222222</v>
      </c>
      <c r="K7" s="11">
        <v>2078934.93888889</v>
      </c>
      <c r="L7" s="11">
        <v>456590712.96688902</v>
      </c>
      <c r="M7" s="6">
        <f t="shared" si="0"/>
        <v>1.5335086905571938E-2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87.118900000000011</v>
      </c>
      <c r="J8" s="11">
        <v>90.556677777777765</v>
      </c>
      <c r="K8" s="11">
        <v>77865666.666666657</v>
      </c>
      <c r="L8" s="11">
        <v>2051108751.666666</v>
      </c>
      <c r="M8" s="6">
        <f t="shared" si="0"/>
        <v>6.8888678780175849E-2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85.260500000000008</v>
      </c>
      <c r="J9" s="11">
        <v>89.263277777777759</v>
      </c>
      <c r="K9" s="11">
        <v>90662916.666666657</v>
      </c>
      <c r="L9" s="11">
        <v>2021813241.666666</v>
      </c>
      <c r="M9" s="6">
        <f t="shared" si="0"/>
        <v>6.7904757778204816E-2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77.905600000000007</v>
      </c>
      <c r="J10" s="11">
        <v>82.025599999999997</v>
      </c>
      <c r="K10" s="11">
        <v>93318000</v>
      </c>
      <c r="L10" s="11">
        <v>1857879840</v>
      </c>
      <c r="M10" s="6">
        <f t="shared" si="0"/>
        <v>6.2398879340710929E-2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68.349000000000004</v>
      </c>
      <c r="J11" s="11">
        <v>71.048305555555544</v>
      </c>
      <c r="K11" s="11">
        <v>61139270.833333328</v>
      </c>
      <c r="L11" s="11">
        <v>1609244120.833333</v>
      </c>
      <c r="M11" s="6">
        <f t="shared" si="0"/>
        <v>5.4048183076052747E-2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76.440100000000001</v>
      </c>
      <c r="J12" s="11">
        <v>76.883849999999995</v>
      </c>
      <c r="K12" s="11">
        <v>10050937.5</v>
      </c>
      <c r="L12" s="11">
        <v>1741419202.5</v>
      </c>
      <c r="M12" s="6">
        <f t="shared" si="0"/>
        <v>5.8487424406518426E-2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61.9345</v>
      </c>
      <c r="J13" s="11">
        <v>63.929583333333326</v>
      </c>
      <c r="K13" s="11">
        <v>45188637.5</v>
      </c>
      <c r="L13" s="11">
        <v>1448005062.5</v>
      </c>
      <c r="M13" s="6">
        <f t="shared" si="0"/>
        <v>4.8632797037980721E-2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60.469300000000004</v>
      </c>
      <c r="J14" s="11">
        <v>64.773300000000006</v>
      </c>
      <c r="K14" s="11">
        <v>97485600</v>
      </c>
      <c r="L14" s="11">
        <v>1467115245</v>
      </c>
      <c r="M14" s="6">
        <f t="shared" si="0"/>
        <v>4.9274632934104369E-2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84.973300000000009</v>
      </c>
      <c r="J15" s="11">
        <v>87.016800000000003</v>
      </c>
      <c r="K15" s="11">
        <v>77142125</v>
      </c>
      <c r="L15" s="11">
        <v>3284884200</v>
      </c>
      <c r="M15" s="6">
        <f t="shared" si="0"/>
        <v>0.11032634534858173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56.935200000000002</v>
      </c>
      <c r="J16" s="11">
        <v>58.569922222222218</v>
      </c>
      <c r="K16" s="11">
        <v>45835322.5</v>
      </c>
      <c r="L16" s="11">
        <v>1642218621.22</v>
      </c>
      <c r="M16" s="6">
        <f t="shared" si="0"/>
        <v>5.515566690070519E-2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85.738200000000006</v>
      </c>
      <c r="J17" s="11">
        <v>90.871533333333332</v>
      </c>
      <c r="K17" s="11">
        <v>53308640</v>
      </c>
      <c r="L17" s="11">
        <v>943682699.36000001</v>
      </c>
      <c r="M17" s="6">
        <f t="shared" si="0"/>
        <v>3.1694591665993331E-2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98.608500000000006</v>
      </c>
      <c r="J18" s="11">
        <v>102.14752777777801</v>
      </c>
      <c r="K18" s="11">
        <v>17942481.540277772</v>
      </c>
      <c r="L18" s="11">
        <v>517876729.60527802</v>
      </c>
      <c r="M18" s="6">
        <f t="shared" si="0"/>
        <v>1.7393443250884148E-2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93.633654889263099</v>
      </c>
      <c r="J19" s="11">
        <v>107.05976600037401</v>
      </c>
      <c r="K19" s="11">
        <v>281948333.33333302</v>
      </c>
      <c r="L19" s="11">
        <v>2248255086.0078578</v>
      </c>
      <c r="M19" s="6">
        <f t="shared" si="0"/>
        <v>7.5510049045445268E-2</v>
      </c>
    </row>
    <row r="20" spans="1:15" x14ac:dyDescent="0.25">
      <c r="A20" s="1" t="s">
        <v>115</v>
      </c>
      <c r="B20" s="13" t="s">
        <v>116</v>
      </c>
      <c r="C20" s="10">
        <v>1100000</v>
      </c>
      <c r="D20" s="11">
        <v>1100000000</v>
      </c>
      <c r="E20" s="3">
        <v>0.13870000000000002</v>
      </c>
      <c r="F20" s="4" t="s">
        <v>117</v>
      </c>
      <c r="G20" s="4" t="s">
        <v>118</v>
      </c>
      <c r="H20" s="11">
        <v>1100000000</v>
      </c>
      <c r="I20" s="11">
        <v>99.573842120419002</v>
      </c>
      <c r="J20" s="11">
        <v>105.391536564863</v>
      </c>
      <c r="K20" s="11">
        <v>63994638.888888881</v>
      </c>
      <c r="L20" s="11">
        <v>1159306902.2134969</v>
      </c>
      <c r="M20" s="6">
        <f t="shared" si="0"/>
        <v>3.8936560886560542E-2</v>
      </c>
    </row>
    <row r="21" spans="1:15" x14ac:dyDescent="0.25">
      <c r="A21" s="1" t="s">
        <v>119</v>
      </c>
      <c r="B21" s="13" t="s">
        <v>120</v>
      </c>
      <c r="C21" s="10">
        <v>1000000</v>
      </c>
      <c r="D21" s="11">
        <v>1000000000</v>
      </c>
      <c r="E21" s="3">
        <v>0.1389</v>
      </c>
      <c r="F21" s="4" t="s">
        <v>121</v>
      </c>
      <c r="G21" s="4" t="s">
        <v>122</v>
      </c>
      <c r="H21" s="11">
        <v>1000000000</v>
      </c>
      <c r="I21" s="11">
        <v>97.829836257782489</v>
      </c>
      <c r="J21" s="11">
        <v>100.646419591116</v>
      </c>
      <c r="K21" s="11">
        <v>28165833.333333328</v>
      </c>
      <c r="L21" s="11">
        <v>1006464195.911158</v>
      </c>
      <c r="M21" s="6">
        <f t="shared" si="0"/>
        <v>3.38031753019108E-2</v>
      </c>
    </row>
    <row r="22" spans="1:15" x14ac:dyDescent="0.25">
      <c r="A22" s="1" t="s">
        <v>123</v>
      </c>
      <c r="B22" s="13" t="s">
        <v>124</v>
      </c>
      <c r="C22" s="10">
        <v>165739</v>
      </c>
      <c r="D22" s="11">
        <v>165739000</v>
      </c>
      <c r="E22" s="3">
        <v>0.125</v>
      </c>
      <c r="F22" s="4" t="s">
        <v>125</v>
      </c>
      <c r="G22" s="4" t="s">
        <v>126</v>
      </c>
      <c r="H22" s="11">
        <v>159596381.18279999</v>
      </c>
      <c r="I22" s="11">
        <v>95.860622188642012</v>
      </c>
      <c r="J22" s="11">
        <v>97.909233299739697</v>
      </c>
      <c r="K22" s="11">
        <v>3395347.5694222199</v>
      </c>
      <c r="L22" s="11">
        <v>162273784.17865601</v>
      </c>
      <c r="M22" s="6">
        <f t="shared" si="0"/>
        <v>5.4501384110635072E-3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1081964936.2402551</v>
      </c>
      <c r="L24" s="22">
        <f>SUM(L4:L23)</f>
        <v>29774250108.813454</v>
      </c>
      <c r="M24" s="23"/>
      <c r="N24" s="26">
        <v>29774250108.813477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2594813.63</v>
      </c>
      <c r="C27" s="51">
        <v>2594813.63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232854</v>
      </c>
      <c r="D32" s="7" t="s">
        <v>51</v>
      </c>
      <c r="E32" s="34" t="s">
        <v>52</v>
      </c>
      <c r="F32" s="34" t="s">
        <v>53</v>
      </c>
      <c r="G32" s="15">
        <v>846.66299999141108</v>
      </c>
      <c r="H32" s="15">
        <v>847.02256499781004</v>
      </c>
      <c r="I32" s="16">
        <f t="shared" ref="I32:I43" si="1">+C32*G32</f>
        <v>197148866.20000005</v>
      </c>
      <c r="J32" s="16">
        <f t="shared" ref="J32:J43" si="2">+C32*H32</f>
        <v>197232592.35000005</v>
      </c>
      <c r="K32" s="18">
        <v>0.15500999999999998</v>
      </c>
      <c r="L32" s="17"/>
      <c r="M32" s="17">
        <v>197148866.19999999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5910</v>
      </c>
      <c r="D33" s="7" t="s">
        <v>51</v>
      </c>
      <c r="E33" s="34" t="s">
        <v>52</v>
      </c>
      <c r="F33" s="34" t="s">
        <v>53</v>
      </c>
      <c r="G33" s="15">
        <v>846.66300000000001</v>
      </c>
      <c r="H33" s="15">
        <v>847.02256514382407</v>
      </c>
      <c r="I33" s="16">
        <f t="shared" si="1"/>
        <v>5003778.33</v>
      </c>
      <c r="J33" s="16">
        <f t="shared" si="2"/>
        <v>5005903.3600000003</v>
      </c>
      <c r="K33" s="18">
        <v>0.15500999999999998</v>
      </c>
      <c r="L33" s="17"/>
      <c r="M33" s="17">
        <v>5003778.33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1062618</v>
      </c>
      <c r="D34" s="7" t="s">
        <v>51</v>
      </c>
      <c r="E34" s="34" t="s">
        <v>52</v>
      </c>
      <c r="F34" s="34" t="s">
        <v>53</v>
      </c>
      <c r="G34" s="15">
        <v>846.66299999623607</v>
      </c>
      <c r="H34" s="15">
        <v>847.02256501395607</v>
      </c>
      <c r="I34" s="16">
        <f t="shared" si="1"/>
        <v>899679343.73000038</v>
      </c>
      <c r="J34" s="16">
        <f t="shared" si="2"/>
        <v>900061423.99000001</v>
      </c>
      <c r="K34" s="18">
        <v>0.15500999999999998</v>
      </c>
      <c r="L34" s="17"/>
      <c r="M34" s="17">
        <v>899679343.73000002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630000</v>
      </c>
      <c r="D35" s="7" t="s">
        <v>51</v>
      </c>
      <c r="E35" s="34" t="s">
        <v>52</v>
      </c>
      <c r="F35" s="34" t="s">
        <v>53</v>
      </c>
      <c r="G35" s="15">
        <v>992.24300000000005</v>
      </c>
      <c r="H35" s="15">
        <v>992.66463531746001</v>
      </c>
      <c r="I35" s="16">
        <f t="shared" si="1"/>
        <v>625113090</v>
      </c>
      <c r="J35" s="16">
        <f t="shared" si="2"/>
        <v>625378720.24999976</v>
      </c>
      <c r="K35" s="18">
        <v>0.15510000000000002</v>
      </c>
      <c r="L35" s="17"/>
      <c r="M35" s="17">
        <v>625113090</v>
      </c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453523</v>
      </c>
      <c r="D36" s="7" t="s">
        <v>51</v>
      </c>
      <c r="E36" s="34" t="s">
        <v>52</v>
      </c>
      <c r="F36" s="34" t="s">
        <v>53</v>
      </c>
      <c r="G36" s="15">
        <v>1034.5969999977951</v>
      </c>
      <c r="H36" s="15">
        <v>1035.0366328499319</v>
      </c>
      <c r="I36" s="16">
        <f t="shared" si="1"/>
        <v>469213535.23000002</v>
      </c>
      <c r="J36" s="16">
        <f t="shared" si="2"/>
        <v>469412918.83999968</v>
      </c>
      <c r="K36" s="18">
        <v>0.15510000000000002</v>
      </c>
      <c r="L36" s="17"/>
      <c r="M36" s="17">
        <v>469213535.23000002</v>
      </c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9603</v>
      </c>
      <c r="D37" s="7" t="s">
        <v>51</v>
      </c>
      <c r="E37" s="34" t="s">
        <v>52</v>
      </c>
      <c r="F37" s="34" t="s">
        <v>53</v>
      </c>
      <c r="G37" s="15">
        <v>937.48900031240203</v>
      </c>
      <c r="H37" s="15">
        <v>937.88839425179606</v>
      </c>
      <c r="I37" s="16">
        <f t="shared" si="1"/>
        <v>9002706.8699999973</v>
      </c>
      <c r="J37" s="16">
        <f t="shared" si="2"/>
        <v>9006542.2499999981</v>
      </c>
      <c r="K37" s="18">
        <v>0.155499</v>
      </c>
      <c r="L37" s="17"/>
      <c r="M37" s="17">
        <v>9002706.8699999992</v>
      </c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2442700</v>
      </c>
      <c r="D38" s="7" t="s">
        <v>51</v>
      </c>
      <c r="E38" s="34" t="s">
        <v>62</v>
      </c>
      <c r="F38" s="34" t="s">
        <v>52</v>
      </c>
      <c r="G38" s="15">
        <v>532.27730000000008</v>
      </c>
      <c r="H38" s="15">
        <v>532.95672353543205</v>
      </c>
      <c r="I38" s="16">
        <f t="shared" si="1"/>
        <v>1300193760.7100003</v>
      </c>
      <c r="J38" s="16">
        <f t="shared" si="2"/>
        <v>1301853388.5799999</v>
      </c>
      <c r="K38" s="18">
        <v>0.15530099999999999</v>
      </c>
      <c r="L38" s="17">
        <v>553209.29</v>
      </c>
      <c r="M38" s="17"/>
      <c r="N38" s="35"/>
    </row>
    <row r="39" spans="1:15" s="36" customFormat="1" ht="12" customHeight="1" x14ac:dyDescent="0.25">
      <c r="A39" s="12" t="s">
        <v>60</v>
      </c>
      <c r="B39" s="7" t="s">
        <v>61</v>
      </c>
      <c r="C39" s="14">
        <v>2442700</v>
      </c>
      <c r="D39" s="7" t="s">
        <v>51</v>
      </c>
      <c r="E39" s="34" t="s">
        <v>52</v>
      </c>
      <c r="F39" s="34" t="s">
        <v>52</v>
      </c>
      <c r="G39" s="15">
        <v>532.27730000000008</v>
      </c>
      <c r="H39" s="15">
        <v>532.95672353543205</v>
      </c>
      <c r="I39" s="16">
        <f t="shared" si="1"/>
        <v>1300193760.7100003</v>
      </c>
      <c r="J39" s="16">
        <f t="shared" si="2"/>
        <v>1301853388.5799999</v>
      </c>
      <c r="K39" s="18">
        <v>0.15530099999999999</v>
      </c>
      <c r="L39" s="17"/>
      <c r="M39" s="17"/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9024002</v>
      </c>
      <c r="D40" s="7" t="s">
        <v>51</v>
      </c>
      <c r="E40" s="34" t="s">
        <v>62</v>
      </c>
      <c r="F40" s="34" t="s">
        <v>52</v>
      </c>
      <c r="G40" s="15">
        <v>99.518400000354589</v>
      </c>
      <c r="H40" s="15">
        <v>99.645429921225627</v>
      </c>
      <c r="I40" s="16">
        <f t="shared" si="1"/>
        <v>898054240.63999987</v>
      </c>
      <c r="J40" s="16">
        <f t="shared" si="2"/>
        <v>899200558.89999986</v>
      </c>
      <c r="K40" s="18">
        <v>0.15530099999999999</v>
      </c>
      <c r="L40" s="17">
        <v>382106.08666666661</v>
      </c>
      <c r="M40" s="17"/>
      <c r="N40" s="35"/>
    </row>
    <row r="41" spans="1:15" s="36" customFormat="1" ht="12" customHeight="1" x14ac:dyDescent="0.25">
      <c r="A41" s="12" t="s">
        <v>63</v>
      </c>
      <c r="B41" s="7" t="s">
        <v>64</v>
      </c>
      <c r="C41" s="14">
        <v>9024002</v>
      </c>
      <c r="D41" s="7" t="s">
        <v>51</v>
      </c>
      <c r="E41" s="34" t="s">
        <v>52</v>
      </c>
      <c r="F41" s="34" t="s">
        <v>52</v>
      </c>
      <c r="G41" s="15">
        <v>99.518400000354589</v>
      </c>
      <c r="H41" s="15">
        <v>99.645429921225627</v>
      </c>
      <c r="I41" s="16">
        <f t="shared" si="1"/>
        <v>898054240.63999987</v>
      </c>
      <c r="J41" s="16">
        <f t="shared" si="2"/>
        <v>899200558.89999986</v>
      </c>
      <c r="K41" s="18">
        <v>0.15530099999999999</v>
      </c>
      <c r="L41" s="17"/>
      <c r="M41" s="17"/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5265</v>
      </c>
      <c r="D42" s="7" t="s">
        <v>51</v>
      </c>
      <c r="E42" s="34" t="s">
        <v>62</v>
      </c>
      <c r="F42" s="34" t="s">
        <v>52</v>
      </c>
      <c r="G42" s="15">
        <v>950.12200000000007</v>
      </c>
      <c r="H42" s="15">
        <v>951.33478062678103</v>
      </c>
      <c r="I42" s="16">
        <f t="shared" si="1"/>
        <v>5002392.33</v>
      </c>
      <c r="J42" s="16">
        <f t="shared" si="2"/>
        <v>5008777.620000002</v>
      </c>
      <c r="K42" s="18">
        <v>0.15530099999999999</v>
      </c>
      <c r="L42" s="17">
        <v>2128.4299999999998</v>
      </c>
      <c r="M42" s="17"/>
      <c r="N42" s="35"/>
    </row>
    <row r="43" spans="1:15" s="36" customFormat="1" ht="12" customHeight="1" x14ac:dyDescent="0.25">
      <c r="A43" s="12" t="s">
        <v>65</v>
      </c>
      <c r="B43" s="7" t="s">
        <v>66</v>
      </c>
      <c r="C43" s="14">
        <v>5265</v>
      </c>
      <c r="D43" s="7" t="s">
        <v>51</v>
      </c>
      <c r="E43" s="34" t="s">
        <v>52</v>
      </c>
      <c r="F43" s="34" t="s">
        <v>52</v>
      </c>
      <c r="G43" s="15">
        <v>950.12200000000007</v>
      </c>
      <c r="H43" s="15">
        <v>951.33478062678103</v>
      </c>
      <c r="I43" s="16">
        <f t="shared" si="1"/>
        <v>5002392.33</v>
      </c>
      <c r="J43" s="16">
        <f t="shared" si="2"/>
        <v>5008777.620000002</v>
      </c>
      <c r="K43" s="18">
        <v>0.15530099999999999</v>
      </c>
      <c r="L43" s="17"/>
      <c r="M43" s="17"/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2205161320.3599997</v>
      </c>
      <c r="N45" s="38">
        <v>2205161320.3599997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31982006242.803455</v>
      </c>
      <c r="C52" s="32">
        <v>31982006242.803482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172420.47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36521.730000000003</v>
      </c>
    </row>
    <row r="62" spans="1:8" x14ac:dyDescent="0.25">
      <c r="A62" s="48" t="s">
        <v>41</v>
      </c>
      <c r="B62" s="50">
        <v>18141.71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227083.91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2025-08-12T06:06:50Z</dcterms:created>
  <dcterms:modified xsi:type="dcterms:W3CDTF">2025-08-12T11:03:48Z</dcterms:modified>
</cp:coreProperties>
</file>