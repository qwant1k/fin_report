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016A3C1A-3354-47DB-8F9A-6383D8AD9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O43" i="1"/>
  <c r="O24" i="1"/>
  <c r="D27" i="1"/>
  <c r="B64" i="1"/>
  <c r="G48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0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</calcChain>
</file>

<file path=xl/sharedStrings.xml><?xml version="1.0" encoding="utf-8"?>
<sst xmlns="http://schemas.openxmlformats.org/spreadsheetml/2006/main" count="180" uniqueCount="115">
  <si>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</si>
  <si>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</si>
  <si>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</si>
  <si>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</si>
  <si>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</si>
  <si>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</si>
  <si>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</si>
  <si>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</si>
  <si>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</si>
  <si>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</si>
  <si>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</si>
  <si>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</si>
  <si>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</si>
  <si>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</si>
  <si>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</si>
  <si>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</si>
  <si>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</si>
  <si>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</si>
  <si>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</si>
  <si>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</si>
  <si>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</si>
  <si>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</si>
  <si>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</si>
  <si>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</si>
  <si>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</si>
  <si>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</si>
  <si>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</si>
  <si>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</si>
  <si>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</si>
  <si>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</si>
  <si>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</si>
  <si>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</si>
  <si>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</si>
  <si>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</si>
  <si>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</si>
  <si>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</si>
  <si>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</si>
  <si>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</si>
  <si>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</si>
  <si>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</si>
  <si>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</si>
  <si>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</si>
  <si>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</si>
  <si>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</si>
  <si>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</si>
  <si>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</si>
  <si>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</si>
  <si>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</si>
  <si>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</si>
  <si>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</si>
  <si>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</si>
  <si>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</si>
  <si>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15.08.2025</t>
  </si>
  <si>
    <t>18.08.2025</t>
  </si>
  <si>
    <t>19.08.2025</t>
  </si>
  <si>
    <t>МИНИСТЕРСТВО ФИНАНСОВ РК, ГЦБ, MOM048_0054</t>
  </si>
  <si>
    <t>KZK200000729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</si>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</sst>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22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97.833400000000012</v>
      </c>
      <c r="J4" s="11">
        <v>98.633649999999989</v>
      </c>
      <c r="K4" s="11">
        <v>24167549.999999989</v>
      </c>
      <c r="L4" s="11">
        <v>2978736229.999999</v>
      </c>
      <c r="M4" s="6">
        <f t="shared" ref="M4:M22" si="0">L4/$L$24</f>
        <v>0.10040469277847029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82.404700000000005</v>
      </c>
      <c r="J5" s="11">
        <v>82.9908111111111</v>
      </c>
      <c r="K5" s="11">
        <v>13275416.66666666</v>
      </c>
      <c r="L5" s="11">
        <v>1879741871.666666</v>
      </c>
      <c r="M5" s="6">
        <f t="shared" si="0"/>
        <v>6.3360731046507732E-2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82.404700000000005</v>
      </c>
      <c r="J6" s="11">
        <v>82.990811111111356</v>
      </c>
      <c r="K6" s="11">
        <v>9094369.6111111101</v>
      </c>
      <c r="L6" s="11">
        <v>1287723600.973115</v>
      </c>
      <c r="M6" s="6">
        <f t="shared" si="0"/>
        <v>4.3405485600613629E-2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82.404700000000005</v>
      </c>
      <c r="J7" s="11">
        <v>82.9908111111111</v>
      </c>
      <c r="K7" s="11">
        <v>3198361.4444444398</v>
      </c>
      <c r="L7" s="11">
        <v>452874216.96844399</v>
      </c>
      <c r="M7" s="6">
        <f t="shared" si="0"/>
        <v>1.5265096709152704E-2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86.209699999999998</v>
      </c>
      <c r="J8" s="11">
        <v>89.849699999999984</v>
      </c>
      <c r="K8" s="11">
        <v>82445999.999999985</v>
      </c>
      <c r="L8" s="11">
        <v>2035095704.999999</v>
      </c>
      <c r="M8" s="6">
        <f t="shared" si="0"/>
        <v>6.8597265168158034E-2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84.354399999999998</v>
      </c>
      <c r="J9" s="11">
        <v>88.571066666666653</v>
      </c>
      <c r="K9" s="11">
        <v>95507499.999999985</v>
      </c>
      <c r="L9" s="11">
        <v>2006134659.999999</v>
      </c>
      <c r="M9" s="6">
        <f t="shared" si="0"/>
        <v>6.7621071037075653E-2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77.230800000000002</v>
      </c>
      <c r="J10" s="11">
        <v>81.551077777777763</v>
      </c>
      <c r="K10" s="11">
        <v>97854291.666666657</v>
      </c>
      <c r="L10" s="11">
        <v>1847131911.666666</v>
      </c>
      <c r="M10" s="6">
        <f t="shared" si="0"/>
        <v>6.2261542409950202E-2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67.847999999999999</v>
      </c>
      <c r="J11" s="11">
        <v>70.711611111111111</v>
      </c>
      <c r="K11" s="11">
        <v>64860791.666666657</v>
      </c>
      <c r="L11" s="11">
        <v>1601617991.666666</v>
      </c>
      <c r="M11" s="6">
        <f t="shared" si="0"/>
        <v>5.3985969211433754E-2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75.853300000000004</v>
      </c>
      <c r="J12" s="11">
        <v>76.504133333333328</v>
      </c>
      <c r="K12" s="11">
        <v>14741375</v>
      </c>
      <c r="L12" s="11">
        <v>1732818620</v>
      </c>
      <c r="M12" s="6">
        <f t="shared" si="0"/>
        <v>5.840836776001241E-2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61.596800000000002</v>
      </c>
      <c r="J13" s="11">
        <v>63.748800000000003</v>
      </c>
      <c r="K13" s="11">
        <v>48742800</v>
      </c>
      <c r="L13" s="11">
        <v>1443910320</v>
      </c>
      <c r="M13" s="6">
        <f t="shared" si="0"/>
        <v>4.8670093920757385E-2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86</v>
      </c>
      <c r="H14" s="11">
        <v>1597764975</v>
      </c>
      <c r="I14" s="11">
        <v>60.187800000000003</v>
      </c>
      <c r="J14" s="11">
        <v>64.648716666666658</v>
      </c>
      <c r="K14" s="11">
        <v>101039762.5</v>
      </c>
      <c r="L14" s="11">
        <v>1464293432.5</v>
      </c>
      <c r="M14" s="6">
        <f t="shared" si="0"/>
        <v>4.9357150440841241E-2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89</v>
      </c>
      <c r="H15" s="11">
        <v>3136670150</v>
      </c>
      <c r="I15" s="11">
        <v>84.447400000000002</v>
      </c>
      <c r="J15" s="11">
        <v>86.597650000000002</v>
      </c>
      <c r="K15" s="11">
        <v>81171937.5</v>
      </c>
      <c r="L15" s="11">
        <v>3269061287.5</v>
      </c>
      <c r="M15" s="6">
        <f t="shared" si="0"/>
        <v>0.11019072146761653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56.555700000000002</v>
      </c>
      <c r="J16" s="11">
        <v>58.297366666666655</v>
      </c>
      <c r="K16" s="11">
        <v>48833895</v>
      </c>
      <c r="L16" s="11">
        <v>1634576545.02</v>
      </c>
      <c r="M16" s="6">
        <f t="shared" si="0"/>
        <v>5.5096907934552693E-2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84.893300000000011</v>
      </c>
      <c r="J17" s="11">
        <v>90.259966666666656</v>
      </c>
      <c r="K17" s="11">
        <v>55731760</v>
      </c>
      <c r="L17" s="11">
        <v>937331701.84000003</v>
      </c>
      <c r="M17" s="6">
        <f t="shared" si="0"/>
        <v>3.1594775195911168E-2</v>
      </c>
    </row>
    <row r="18" spans="1:15" x14ac:dyDescent="0.25">
      <c r="A18" s="1" t="s">
        <v>57</v>
      </c>
      <c r="B18" s="13" t="s">
        <v>58</v>
      </c>
      <c r="C18" s="10">
        <v>506989</v>
      </c>
      <c r="D18" s="11">
        <v>506989000</v>
      </c>
      <c r="E18" s="3">
        <v>0.1535</v>
      </c>
      <c r="F18" s="4" t="s">
        <v>97</v>
      </c>
      <c r="G18" s="4" t="s">
        <v>98</v>
      </c>
      <c r="H18" s="11">
        <v>492216861.50999999</v>
      </c>
      <c r="I18" s="11">
        <v>97.6691</v>
      </c>
      <c r="J18" s="11">
        <v>101.50660000000001</v>
      </c>
      <c r="K18" s="11">
        <v>19455702.875</v>
      </c>
      <c r="L18" s="11">
        <v>514627296.27399999</v>
      </c>
      <c r="M18" s="6">
        <f t="shared" si="0"/>
        <v>1.7346616681734789E-2</v>
      </c>
    </row>
    <row r="19" spans="1:15" x14ac:dyDescent="0.25">
      <c r="A19" s="1" t="s">
        <v>99</v>
      </c>
      <c r="B19" s="13" t="s">
        <v>100</v>
      </c>
      <c r="C19" s="10">
        <v>2100000</v>
      </c>
      <c r="D19" s="11">
        <v>2100000000</v>
      </c>
      <c r="E19" s="3">
        <v>0.14300000000000002</v>
      </c>
      <c r="F19" s="4" t="s">
        <v>101</v>
      </c>
      <c r="G19" s="4" t="s">
        <v>102</v>
      </c>
      <c r="H19" s="11">
        <v>2100000000</v>
      </c>
      <c r="I19" s="11">
        <v>93.1620840672242</v>
      </c>
      <c r="J19" s="11">
        <v>106.86625073389101</v>
      </c>
      <c r="K19" s="11">
        <v>287787500</v>
      </c>
      <c r="L19" s="11">
        <v>2244191265.4117079</v>
      </c>
      <c r="M19" s="6">
        <f t="shared" si="0"/>
        <v>7.5645279454565562E-2</v>
      </c>
    </row>
    <row r="20" spans="1:15" x14ac:dyDescent="0.25">
      <c r="A20" s="1" t="s">
        <v>103</v>
      </c>
      <c r="B20" s="13" t="s">
        <v>104</v>
      </c>
      <c r="C20" s="10">
        <v>1100000</v>
      </c>
      <c r="D20" s="11">
        <v>1100000000</v>
      </c>
      <c r="E20" s="3">
        <v>0.13870000000000002</v>
      </c>
      <c r="F20" s="4" t="s">
        <v>105</v>
      </c>
      <c r="G20" s="4" t="s">
        <v>106</v>
      </c>
      <c r="H20" s="11">
        <v>1100000000</v>
      </c>
      <c r="I20" s="11">
        <v>99.792300000000012</v>
      </c>
      <c r="J20" s="11">
        <v>105.87968888888901</v>
      </c>
      <c r="K20" s="11">
        <v>66961277.777777769</v>
      </c>
      <c r="L20" s="11">
        <v>1164676577.777777</v>
      </c>
      <c r="M20" s="6">
        <f t="shared" si="0"/>
        <v>3.9257921799292009E-2</v>
      </c>
    </row>
    <row r="21" spans="1:15" x14ac:dyDescent="0.25">
      <c r="A21" s="1" t="s">
        <v>107</v>
      </c>
      <c r="B21" s="13" t="s">
        <v>108</v>
      </c>
      <c r="C21" s="10">
        <v>1000000</v>
      </c>
      <c r="D21" s="11">
        <v>1000000000</v>
      </c>
      <c r="E21" s="3">
        <v>0.1389</v>
      </c>
      <c r="F21" s="4" t="s">
        <v>109</v>
      </c>
      <c r="G21" s="4" t="s">
        <v>110</v>
      </c>
      <c r="H21" s="11">
        <v>1000000000</v>
      </c>
      <c r="I21" s="11">
        <v>97.979690810228689</v>
      </c>
      <c r="J21" s="11">
        <v>101.06635747689501</v>
      </c>
      <c r="K21" s="11">
        <v>30866666.66666666</v>
      </c>
      <c r="L21" s="11">
        <v>1010663574.768953</v>
      </c>
      <c r="M21" s="6">
        <f t="shared" si="0"/>
        <v>3.406658323925086E-2</v>
      </c>
    </row>
    <row r="22" spans="1:15" x14ac:dyDescent="0.25">
      <c r="A22" s="1" t="s">
        <v>111</v>
      </c>
      <c r="B22" s="13" t="s">
        <v>112</v>
      </c>
      <c r="C22" s="10">
        <v>165739</v>
      </c>
      <c r="D22" s="11">
        <v>165739000</v>
      </c>
      <c r="E22" s="3">
        <v>0.125</v>
      </c>
      <c r="F22" s="4" t="s">
        <v>113</v>
      </c>
      <c r="G22" s="4" t="s">
        <v>114</v>
      </c>
      <c r="H22" s="11">
        <v>159596381.18279999</v>
      </c>
      <c r="I22" s="11">
        <v>95.5091326350354</v>
      </c>
      <c r="J22" s="11">
        <v>97.800799301688642</v>
      </c>
      <c r="K22" s="11">
        <v>3798185.41664444</v>
      </c>
      <c r="L22" s="11">
        <v>162094066.75462601</v>
      </c>
      <c r="M22" s="6">
        <f t="shared" si="0"/>
        <v>5.4637281441032746E-3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1149535143.7916443</v>
      </c>
      <c r="L24" s="22">
        <f>SUM(L4:L23)</f>
        <v>29667300875.78862</v>
      </c>
      <c r="M24" s="23"/>
      <c r="N24" s="26">
        <v>29667300875.788643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4994763.82</v>
      </c>
      <c r="C27" s="51">
        <v>4994763.82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2013700</v>
      </c>
      <c r="D32" s="7" t="s">
        <v>51</v>
      </c>
      <c r="E32" s="34" t="s">
        <v>52</v>
      </c>
      <c r="F32" s="34" t="s">
        <v>53</v>
      </c>
      <c r="G32" s="15">
        <v>645.91999999999996</v>
      </c>
      <c r="H32" s="15">
        <v>646.742884381983</v>
      </c>
      <c r="I32" s="16">
        <f t="shared" ref="I32:I41" si="1">+C32*G32</f>
        <v>1300689104</v>
      </c>
      <c r="J32" s="16">
        <f t="shared" ref="J32:J41" si="2">+C32*H32</f>
        <v>1302346146.2799993</v>
      </c>
      <c r="K32" s="18">
        <v>0.155</v>
      </c>
      <c r="L32" s="17">
        <v>552347.42666666664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2013700</v>
      </c>
      <c r="D33" s="7" t="s">
        <v>51</v>
      </c>
      <c r="E33" s="34" t="s">
        <v>53</v>
      </c>
      <c r="F33" s="34" t="s">
        <v>53</v>
      </c>
      <c r="G33" s="15">
        <v>645.91999999999996</v>
      </c>
      <c r="H33" s="15">
        <v>646.742884381983</v>
      </c>
      <c r="I33" s="16">
        <f t="shared" si="1"/>
        <v>1300689104</v>
      </c>
      <c r="J33" s="16">
        <f t="shared" si="2"/>
        <v>1302346146.2799993</v>
      </c>
      <c r="K33" s="18">
        <v>0.155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1394100</v>
      </c>
      <c r="D34" s="7" t="s">
        <v>51</v>
      </c>
      <c r="E34" s="34" t="s">
        <v>52</v>
      </c>
      <c r="F34" s="34" t="s">
        <v>53</v>
      </c>
      <c r="G34" s="15">
        <v>645.91999999999996</v>
      </c>
      <c r="H34" s="15">
        <v>646.74288438419103</v>
      </c>
      <c r="I34" s="16">
        <f t="shared" si="1"/>
        <v>900477072</v>
      </c>
      <c r="J34" s="16">
        <f t="shared" si="2"/>
        <v>901624255.12000072</v>
      </c>
      <c r="K34" s="18">
        <v>0.155</v>
      </c>
      <c r="L34" s="17">
        <v>382394.37333333329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1394100</v>
      </c>
      <c r="D35" s="7" t="s">
        <v>51</v>
      </c>
      <c r="E35" s="34" t="s">
        <v>53</v>
      </c>
      <c r="F35" s="34" t="s">
        <v>53</v>
      </c>
      <c r="G35" s="15">
        <v>645.91999999999996</v>
      </c>
      <c r="H35" s="15">
        <v>646.74288438419103</v>
      </c>
      <c r="I35" s="16">
        <f t="shared" si="1"/>
        <v>900477072</v>
      </c>
      <c r="J35" s="16">
        <f t="shared" si="2"/>
        <v>901624255.12000072</v>
      </c>
      <c r="K35" s="18">
        <v>0.155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9294</v>
      </c>
      <c r="D36" s="7" t="s">
        <v>51</v>
      </c>
      <c r="E36" s="34" t="s">
        <v>52</v>
      </c>
      <c r="F36" s="34" t="s">
        <v>53</v>
      </c>
      <c r="G36" s="15">
        <v>645.91999999999996</v>
      </c>
      <c r="H36" s="15">
        <v>646.74288465676807</v>
      </c>
      <c r="I36" s="16">
        <f t="shared" si="1"/>
        <v>6003180.4799999995</v>
      </c>
      <c r="J36" s="16">
        <f t="shared" si="2"/>
        <v>6010828.370000002</v>
      </c>
      <c r="K36" s="18">
        <v>0.155</v>
      </c>
      <c r="L36" s="17">
        <v>2549.2966666666662</v>
      </c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9294</v>
      </c>
      <c r="D37" s="7" t="s">
        <v>51</v>
      </c>
      <c r="E37" s="34" t="s">
        <v>53</v>
      </c>
      <c r="F37" s="34" t="s">
        <v>53</v>
      </c>
      <c r="G37" s="15">
        <v>645.91999999999996</v>
      </c>
      <c r="H37" s="15">
        <v>646.74288465676807</v>
      </c>
      <c r="I37" s="16">
        <f t="shared" si="1"/>
        <v>6003180.4799999995</v>
      </c>
      <c r="J37" s="16">
        <f t="shared" si="2"/>
        <v>6010828.370000002</v>
      </c>
      <c r="K37" s="18">
        <v>0.155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1209754</v>
      </c>
      <c r="D38" s="7" t="s">
        <v>51</v>
      </c>
      <c r="E38" s="34" t="s">
        <v>53</v>
      </c>
      <c r="F38" s="34" t="s">
        <v>54</v>
      </c>
      <c r="G38" s="15">
        <v>646.48700000165309</v>
      </c>
      <c r="H38" s="15">
        <v>646.76153557665407</v>
      </c>
      <c r="I38" s="16">
        <f t="shared" si="1"/>
        <v>782090234.19999981</v>
      </c>
      <c r="J38" s="16">
        <f t="shared" si="2"/>
        <v>782422354.70999956</v>
      </c>
      <c r="K38" s="18">
        <v>0.155</v>
      </c>
      <c r="L38" s="17"/>
      <c r="M38" s="17">
        <v>782090234.20000005</v>
      </c>
      <c r="N38" s="35"/>
    </row>
    <row r="39" spans="1:15" s="36" customFormat="1" ht="12" customHeight="1" x14ac:dyDescent="0.25">
      <c r="A39" s="12" t="s">
        <v>55</v>
      </c>
      <c r="B39" s="7" t="s">
        <v>56</v>
      </c>
      <c r="C39" s="14">
        <v>501942</v>
      </c>
      <c r="D39" s="7" t="s">
        <v>51</v>
      </c>
      <c r="E39" s="34" t="s">
        <v>53</v>
      </c>
      <c r="F39" s="34" t="s">
        <v>54</v>
      </c>
      <c r="G39" s="15">
        <v>1032.904000003984</v>
      </c>
      <c r="H39" s="15">
        <v>1033.3426304632801</v>
      </c>
      <c r="I39" s="16">
        <f t="shared" si="1"/>
        <v>518457899.56999975</v>
      </c>
      <c r="J39" s="16">
        <f t="shared" si="2"/>
        <v>518678066.61999977</v>
      </c>
      <c r="K39" s="18">
        <v>0.155</v>
      </c>
      <c r="L39" s="17"/>
      <c r="M39" s="17">
        <v>518457899.56999999</v>
      </c>
      <c r="N39" s="35"/>
    </row>
    <row r="40" spans="1:15" s="36" customFormat="1" ht="12" customHeight="1" x14ac:dyDescent="0.25">
      <c r="A40" s="12" t="s">
        <v>57</v>
      </c>
      <c r="B40" s="7" t="s">
        <v>58</v>
      </c>
      <c r="C40" s="14">
        <v>890358</v>
      </c>
      <c r="D40" s="7" t="s">
        <v>51</v>
      </c>
      <c r="E40" s="34" t="s">
        <v>53</v>
      </c>
      <c r="F40" s="34" t="s">
        <v>54</v>
      </c>
      <c r="G40" s="15">
        <v>1015.066000002246</v>
      </c>
      <c r="H40" s="15">
        <v>1015.4970582058</v>
      </c>
      <c r="I40" s="16">
        <f t="shared" si="1"/>
        <v>903772133.62999976</v>
      </c>
      <c r="J40" s="16">
        <f t="shared" si="2"/>
        <v>904155929.74999976</v>
      </c>
      <c r="K40" s="18">
        <v>0.155001</v>
      </c>
      <c r="L40" s="17"/>
      <c r="M40" s="17">
        <v>903772133.63</v>
      </c>
      <c r="N40" s="35"/>
    </row>
    <row r="41" spans="1:15" s="36" customFormat="1" ht="12" customHeight="1" x14ac:dyDescent="0.25">
      <c r="A41" s="12" t="s">
        <v>49</v>
      </c>
      <c r="B41" s="7" t="s">
        <v>50</v>
      </c>
      <c r="C41" s="14">
        <v>7735</v>
      </c>
      <c r="D41" s="7" t="s">
        <v>51</v>
      </c>
      <c r="E41" s="34" t="s">
        <v>53</v>
      </c>
      <c r="F41" s="34" t="s">
        <v>54</v>
      </c>
      <c r="G41" s="15">
        <v>646.48700064641207</v>
      </c>
      <c r="H41" s="15">
        <v>646.76153587588908</v>
      </c>
      <c r="I41" s="16">
        <f t="shared" si="1"/>
        <v>5000576.9499999974</v>
      </c>
      <c r="J41" s="16">
        <f t="shared" si="2"/>
        <v>5002700.4800000023</v>
      </c>
      <c r="K41" s="18">
        <v>0.155</v>
      </c>
      <c r="L41" s="17"/>
      <c r="M41" s="17">
        <v>5000576.95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2209320844.3499999</v>
      </c>
      <c r="N43" s="38">
        <v>2209320844.3499999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31881616483.958618</v>
      </c>
      <c r="C50" s="32">
        <v>31881616483.958641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284096.77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59832.4</v>
      </c>
    </row>
    <row r="60" spans="1:4" x14ac:dyDescent="0.25">
      <c r="A60" s="48" t="s">
        <v>41</v>
      </c>
      <c r="B60" s="50">
        <v>29728.740000000005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373657.91000000003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2025-08-19T05:37:54Z</dcterms:created>
  <dcterms:modified xsi:type="dcterms:W3CDTF">2025-08-19T13:49:29Z</dcterms:modified>
</cp:coreProperties>
</file>