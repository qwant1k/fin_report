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98C06B88-AF39-4255-8145-B636213B55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1" l="1"/>
  <c r="O47" i="1"/>
  <c r="O24" i="1"/>
  <c r="D27" i="1"/>
  <c r="B68" i="1"/>
  <c r="G52" i="1"/>
  <c r="M47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4" i="1" s="1"/>
  <c r="K24" i="1"/>
  <c r="M20" i="1"/>
  <c r="M19" i="1"/>
  <c r="M16" i="1"/>
  <c r="M15" i="1"/>
  <c r="M12" i="1"/>
  <c r="M11" i="1"/>
  <c r="M10" i="1"/>
  <c r="M9" i="1"/>
  <c r="M8" i="1"/>
  <c r="M7" i="1"/>
  <c r="M6" i="1"/>
  <c r="M5" i="1"/>
  <c r="M4" i="1"/>
  <c r="M13" i="1" l="1"/>
  <c r="M17" i="1"/>
  <c r="M21" i="1"/>
  <c r="M14" i="1"/>
  <c r="M18" i="1"/>
  <c r="M22" i="1"/>
</calcChain>
</file>

<file path=xl/sharedStrings.xml><?xml version="1.0" encoding="utf-8"?>
<sst xmlns="http://schemas.openxmlformats.org/spreadsheetml/2006/main" count="200" uniqueCount="125">
  <si>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</si>
  <si>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</si>
  <si>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</si>
  <si>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</si>
  <si>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</si>
  <si>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</si>
  <si>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</si>
  <si>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</si>
  <si>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</si>
  <si>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</si>
  <si>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</si>
  <si>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</si>
  <si>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</si>
  <si>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</si>
  <si>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</si>
  <si>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</si>
  <si>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</si>
  <si>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</si>
  <si>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</si>
  <si>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</si>
  <si>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</si>
  <si>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</si>
  <si>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</si>
  <si>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</si>
  <si>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</si>
  <si>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</si>
  <si>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</si>
  <si>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</si>
  <si>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</si>
  <si>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</si>
  <si>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</si>
  <si>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</si>
  <si>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</si>
  <si>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</si>
  <si>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</si>
  <si>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</si>
  <si>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</si>
  <si>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</si>
  <si>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</si>
  <si>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</si>
  <si>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</si>
  <si>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</si>
  <si>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</si>
  <si>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</si>
  <si>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</si>
  <si>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</si>
  <si>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</si>
  <si>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</si>
  <si>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</si>
  <si>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</si>
  <si>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</si>
  <si>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</si>
  <si>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05.08.2025</t>
  </si>
  <si>
    <t>06.08.2025</t>
  </si>
  <si>
    <t>МИНИСТЕРСТВО ФИНАНСОВ РК, ГЦБ, MUM180_0009</t>
  </si>
  <si>
    <t>KZKD00000717</t>
  </si>
  <si>
    <t>МИНИСТЕРСТВО ФИНАНСОВ РК, ГЦБ, MUM240_0001</t>
  </si>
  <si>
    <t>KZKD00000550</t>
  </si>
  <si>
    <t>МИНИСТЕРСТВО ФИНАНСОВ РК, ГЦБ, MUM300_0001</t>
  </si>
  <si>
    <t>KZKD00000725</t>
  </si>
  <si>
    <t>07.08.2025</t>
  </si>
  <si>
    <t>МИНИСТЕРСТВО ФИНАНСОВ РК, ГЦБ, MUM300_0002</t>
  </si>
  <si>
    <t>KZKD00000774</t>
  </si>
  <si>
    <t>МИНИСТЕРСТВО ФИНАНСОВ РК, ГЦБ, KZ_10_2811</t>
  </si>
  <si>
    <t>XS1901718335</t>
  </si>
  <si>
    <t>МИНИСТЕРСТВО ФИНАНСОВ РК, ГЦБ, MUM108_0013</t>
  </si>
  <si>
    <t>KZKD00001087</t>
  </si>
  <si>
    <t>МИНИСТЕРСТВО ФИНАНСОВ РК, ГЦБ, MKM012_0161</t>
  </si>
  <si>
    <t>KZK100000423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</si>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</sst>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19" zoomScale="90" zoomScaleNormal="90" workbookViewId="0">
      <selection activeCell="D55" sqref="D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69</v>
      </c>
      <c r="B4" s="13" t="s">
        <v>70</v>
      </c>
      <c r="C4" s="10">
        <v>3020000</v>
      </c>
      <c r="D4" s="11">
        <v>3020000000</v>
      </c>
      <c r="E4" s="3">
        <v>0.1067</v>
      </c>
      <c r="F4" s="4" t="s">
        <v>71</v>
      </c>
      <c r="G4" s="4" t="s">
        <v>72</v>
      </c>
      <c r="H4" s="11">
        <v>2930617060.0000029</v>
      </c>
      <c r="I4" s="11">
        <v>97.558700000000002</v>
      </c>
      <c r="J4" s="11">
        <v>98.003283333333329</v>
      </c>
      <c r="K4" s="11">
        <v>13426416.66666666</v>
      </c>
      <c r="L4" s="11">
        <v>2959699156.666666</v>
      </c>
      <c r="M4" s="6">
        <f t="shared" ref="M4:M22" si="0">L4/$L$24</f>
        <v>9.9704319010422288E-2</v>
      </c>
    </row>
    <row r="5" spans="1:13" x14ac:dyDescent="0.25">
      <c r="A5" s="1" t="s">
        <v>73</v>
      </c>
      <c r="B5" s="13" t="s">
        <v>74</v>
      </c>
      <c r="C5" s="10">
        <v>2265000</v>
      </c>
      <c r="D5" s="11">
        <v>2265000000</v>
      </c>
      <c r="E5" s="3">
        <v>0.10550000000000001</v>
      </c>
      <c r="F5" s="4" t="s">
        <v>71</v>
      </c>
      <c r="G5" s="4" t="s">
        <v>75</v>
      </c>
      <c r="H5" s="11">
        <v>2039188560.0000031</v>
      </c>
      <c r="I5" s="11">
        <v>83.127300000000005</v>
      </c>
      <c r="J5" s="11">
        <v>83.36174444444444</v>
      </c>
      <c r="K5" s="11">
        <v>5310166.6666666698</v>
      </c>
      <c r="L5" s="11">
        <v>1888143511.666666</v>
      </c>
      <c r="M5" s="6">
        <f t="shared" si="0"/>
        <v>6.3606486017549813E-2</v>
      </c>
    </row>
    <row r="6" spans="1:13" x14ac:dyDescent="0.25">
      <c r="A6" s="1" t="s">
        <v>73</v>
      </c>
      <c r="B6" s="13" t="s">
        <v>74</v>
      </c>
      <c r="C6" s="10">
        <v>1551646</v>
      </c>
      <c r="D6" s="11">
        <v>1551646000</v>
      </c>
      <c r="E6" s="3">
        <v>0.10550000000000001</v>
      </c>
      <c r="F6" s="4" t="s">
        <v>76</v>
      </c>
      <c r="G6" s="4" t="s">
        <v>75</v>
      </c>
      <c r="H6" s="11">
        <v>1395452658.7</v>
      </c>
      <c r="I6" s="11">
        <v>83.127300000000005</v>
      </c>
      <c r="J6" s="11">
        <v>83.361744444444696</v>
      </c>
      <c r="K6" s="11">
        <v>3637747.8444444402</v>
      </c>
      <c r="L6" s="11">
        <v>1293479173.2024479</v>
      </c>
      <c r="M6" s="6">
        <f t="shared" si="0"/>
        <v>4.3573840884409451E-2</v>
      </c>
    </row>
    <row r="7" spans="1:13" x14ac:dyDescent="0.25">
      <c r="A7" s="1" t="s">
        <v>73</v>
      </c>
      <c r="B7" s="13" t="s">
        <v>74</v>
      </c>
      <c r="C7" s="10">
        <v>545692</v>
      </c>
      <c r="D7" s="11">
        <v>545692000</v>
      </c>
      <c r="E7" s="3">
        <v>0.10550000000000001</v>
      </c>
      <c r="F7" s="4" t="s">
        <v>77</v>
      </c>
      <c r="G7" s="4" t="s">
        <v>75</v>
      </c>
      <c r="H7" s="11">
        <v>449784993.92000002</v>
      </c>
      <c r="I7" s="11">
        <v>83.127300000000005</v>
      </c>
      <c r="J7" s="11">
        <v>83.36174444444444</v>
      </c>
      <c r="K7" s="11">
        <v>1279344.5777777799</v>
      </c>
      <c r="L7" s="11">
        <v>454898370.49377799</v>
      </c>
      <c r="M7" s="6">
        <f t="shared" si="0"/>
        <v>1.5324304886485132E-2</v>
      </c>
    </row>
    <row r="8" spans="1:13" x14ac:dyDescent="0.25">
      <c r="A8" s="1" t="s">
        <v>78</v>
      </c>
      <c r="B8" s="13" t="s">
        <v>79</v>
      </c>
      <c r="C8" s="10">
        <v>2265000</v>
      </c>
      <c r="D8" s="11">
        <v>2265000000</v>
      </c>
      <c r="E8" s="3">
        <v>0.10400000000000001</v>
      </c>
      <c r="F8" s="4" t="s">
        <v>71</v>
      </c>
      <c r="G8" s="4" t="s">
        <v>80</v>
      </c>
      <c r="H8" s="11">
        <v>2073109200</v>
      </c>
      <c r="I8" s="11">
        <v>86.90740000000001</v>
      </c>
      <c r="J8" s="11">
        <v>90.200733333333332</v>
      </c>
      <c r="K8" s="11">
        <v>74593999.999999985</v>
      </c>
      <c r="L8" s="11">
        <v>2043046609.999999</v>
      </c>
      <c r="M8" s="6">
        <f t="shared" si="0"/>
        <v>6.8824755549147645E-2</v>
      </c>
    </row>
    <row r="9" spans="1:13" x14ac:dyDescent="0.25">
      <c r="A9" s="1" t="s">
        <v>65</v>
      </c>
      <c r="B9" s="13" t="s">
        <v>66</v>
      </c>
      <c r="C9" s="10">
        <v>2265000</v>
      </c>
      <c r="D9" s="11">
        <v>2265000000</v>
      </c>
      <c r="E9" s="3">
        <v>0.11</v>
      </c>
      <c r="F9" s="4" t="s">
        <v>71</v>
      </c>
      <c r="G9" s="4" t="s">
        <v>81</v>
      </c>
      <c r="H9" s="11">
        <v>2080889475</v>
      </c>
      <c r="I9" s="11">
        <v>85.087100000000007</v>
      </c>
      <c r="J9" s="11">
        <v>88.937099999999987</v>
      </c>
      <c r="K9" s="11">
        <v>87202499.999999985</v>
      </c>
      <c r="L9" s="11">
        <v>2014425314.999999</v>
      </c>
      <c r="M9" s="6">
        <f t="shared" si="0"/>
        <v>6.7860580957029529E-2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71</v>
      </c>
      <c r="G10" s="4" t="s">
        <v>84</v>
      </c>
      <c r="H10" s="11">
        <v>1963990560.0000031</v>
      </c>
      <c r="I10" s="11">
        <v>77.786500000000004</v>
      </c>
      <c r="J10" s="11">
        <v>81.763444444444431</v>
      </c>
      <c r="K10" s="11">
        <v>90077791.666666657</v>
      </c>
      <c r="L10" s="11">
        <v>1851942016.666666</v>
      </c>
      <c r="M10" s="6">
        <f t="shared" si="0"/>
        <v>6.2386954837158053E-2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71</v>
      </c>
      <c r="G11" s="4" t="s">
        <v>87</v>
      </c>
      <c r="H11" s="11">
        <v>1740247065.0000031</v>
      </c>
      <c r="I11" s="11">
        <v>68.252400000000009</v>
      </c>
      <c r="J11" s="11">
        <v>70.83434444444444</v>
      </c>
      <c r="K11" s="11">
        <v>58481041.666666657</v>
      </c>
      <c r="L11" s="11">
        <v>1604397901.666666</v>
      </c>
      <c r="M11" s="6">
        <f t="shared" si="0"/>
        <v>5.4047858157173299E-2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71</v>
      </c>
      <c r="G12" s="4" t="s">
        <v>90</v>
      </c>
      <c r="H12" s="11">
        <v>1967775375</v>
      </c>
      <c r="I12" s="11">
        <v>76.349299999999999</v>
      </c>
      <c r="J12" s="11">
        <v>76.64513333333332</v>
      </c>
      <c r="K12" s="11">
        <v>6700625</v>
      </c>
      <c r="L12" s="11">
        <v>1736012270</v>
      </c>
      <c r="M12" s="6">
        <f t="shared" si="0"/>
        <v>5.8481592895754324E-2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71</v>
      </c>
      <c r="G13" s="4" t="s">
        <v>93</v>
      </c>
      <c r="H13" s="11">
        <v>1622351550</v>
      </c>
      <c r="I13" s="11">
        <v>61.873200000000004</v>
      </c>
      <c r="J13" s="11">
        <v>63.7562</v>
      </c>
      <c r="K13" s="11">
        <v>42649950</v>
      </c>
      <c r="L13" s="11">
        <v>1444077930</v>
      </c>
      <c r="M13" s="6">
        <f t="shared" si="0"/>
        <v>4.8647108705057486E-2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71</v>
      </c>
      <c r="G14" s="4" t="s">
        <v>96</v>
      </c>
      <c r="H14" s="11">
        <v>1597764975</v>
      </c>
      <c r="I14" s="11">
        <v>60.4206</v>
      </c>
      <c r="J14" s="11">
        <v>64.61251666666665</v>
      </c>
      <c r="K14" s="11">
        <v>94946912.5</v>
      </c>
      <c r="L14" s="11">
        <v>1463473502.5</v>
      </c>
      <c r="M14" s="6">
        <f t="shared" si="0"/>
        <v>4.9300493473429595E-2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71</v>
      </c>
      <c r="G15" s="4" t="s">
        <v>99</v>
      </c>
      <c r="H15" s="11">
        <v>3136670150</v>
      </c>
      <c r="I15" s="11">
        <v>84.687700000000007</v>
      </c>
      <c r="J15" s="11">
        <v>86.654949999999999</v>
      </c>
      <c r="K15" s="11">
        <v>74263687.5</v>
      </c>
      <c r="L15" s="11">
        <v>3271224362.5</v>
      </c>
      <c r="M15" s="6">
        <f t="shared" si="0"/>
        <v>0.11019876687760881</v>
      </c>
    </row>
    <row r="16" spans="1:13" x14ac:dyDescent="0.25">
      <c r="A16" s="1" t="s">
        <v>56</v>
      </c>
      <c r="B16" s="13" t="s">
        <v>57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56.839800000000004</v>
      </c>
      <c r="J16" s="11">
        <v>58.398133333333327</v>
      </c>
      <c r="K16" s="11">
        <v>43693485</v>
      </c>
      <c r="L16" s="11">
        <v>1637401901.28</v>
      </c>
      <c r="M16" s="6">
        <f t="shared" si="0"/>
        <v>5.5159674301951261E-2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85.596500000000006</v>
      </c>
      <c r="J17" s="11">
        <v>90.56316666666666</v>
      </c>
      <c r="K17" s="11">
        <v>51577840</v>
      </c>
      <c r="L17" s="11">
        <v>940480373.20000005</v>
      </c>
      <c r="M17" s="6">
        <f t="shared" si="0"/>
        <v>3.1682258969246514E-2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98.430900000000008</v>
      </c>
      <c r="J18" s="11">
        <v>101.756733333333</v>
      </c>
      <c r="K18" s="11">
        <v>16861609.158333331</v>
      </c>
      <c r="L18" s="11">
        <v>515895444.75933301</v>
      </c>
      <c r="M18" s="6">
        <f t="shared" si="0"/>
        <v>1.7379132566378363E-2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93.498910471933499</v>
      </c>
      <c r="J19" s="11">
        <v>106.726410471934</v>
      </c>
      <c r="K19" s="11">
        <v>277777500</v>
      </c>
      <c r="L19" s="11">
        <v>2241254619.910603</v>
      </c>
      <c r="M19" s="6">
        <f t="shared" si="0"/>
        <v>7.5501851295866979E-2</v>
      </c>
    </row>
    <row r="20" spans="1:15" x14ac:dyDescent="0.25">
      <c r="A20" s="1" t="s">
        <v>113</v>
      </c>
      <c r="B20" s="13" t="s">
        <v>114</v>
      </c>
      <c r="C20" s="10">
        <v>1100000</v>
      </c>
      <c r="D20" s="11">
        <v>1100000000</v>
      </c>
      <c r="E20" s="3">
        <v>0.13870000000000002</v>
      </c>
      <c r="F20" s="4" t="s">
        <v>115</v>
      </c>
      <c r="G20" s="4" t="s">
        <v>116</v>
      </c>
      <c r="H20" s="11">
        <v>1100000000</v>
      </c>
      <c r="I20" s="11">
        <v>99.712800000000001</v>
      </c>
      <c r="J20" s="11">
        <v>105.337855555556</v>
      </c>
      <c r="K20" s="11">
        <v>61875611.111111112</v>
      </c>
      <c r="L20" s="11">
        <v>1158716411.1111109</v>
      </c>
      <c r="M20" s="6">
        <f t="shared" si="0"/>
        <v>3.9034045212266555E-2</v>
      </c>
    </row>
    <row r="21" spans="1:15" x14ac:dyDescent="0.25">
      <c r="A21" s="1" t="s">
        <v>117</v>
      </c>
      <c r="B21" s="13" t="s">
        <v>118</v>
      </c>
      <c r="C21" s="10">
        <v>1000000</v>
      </c>
      <c r="D21" s="11">
        <v>1000000000</v>
      </c>
      <c r="E21" s="3">
        <v>0.1389</v>
      </c>
      <c r="F21" s="4" t="s">
        <v>119</v>
      </c>
      <c r="G21" s="4" t="s">
        <v>120</v>
      </c>
      <c r="H21" s="11">
        <v>1000000000</v>
      </c>
      <c r="I21" s="11">
        <v>97.852708680585891</v>
      </c>
      <c r="J21" s="11">
        <v>100.47637534725301</v>
      </c>
      <c r="K21" s="11">
        <v>26236666.66666666</v>
      </c>
      <c r="L21" s="11">
        <v>1004763753.472525</v>
      </c>
      <c r="M21" s="6">
        <f t="shared" si="0"/>
        <v>3.3847793476131517E-2</v>
      </c>
    </row>
    <row r="22" spans="1:15" x14ac:dyDescent="0.25">
      <c r="A22" s="1" t="s">
        <v>121</v>
      </c>
      <c r="B22" s="13" t="s">
        <v>122</v>
      </c>
      <c r="C22" s="10">
        <v>165739</v>
      </c>
      <c r="D22" s="11">
        <v>165739000</v>
      </c>
      <c r="E22" s="3">
        <v>0.125</v>
      </c>
      <c r="F22" s="4" t="s">
        <v>123</v>
      </c>
      <c r="G22" s="4" t="s">
        <v>124</v>
      </c>
      <c r="H22" s="11">
        <v>159596381.18279999</v>
      </c>
      <c r="I22" s="11">
        <v>95.525820470117793</v>
      </c>
      <c r="J22" s="11">
        <v>97.400820470104392</v>
      </c>
      <c r="K22" s="11">
        <v>3107606.24997778</v>
      </c>
      <c r="L22" s="11">
        <v>161431145.83894601</v>
      </c>
      <c r="M22" s="6">
        <f t="shared" si="0"/>
        <v>5.4381819269332613E-3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1033700502.2749777</v>
      </c>
      <c r="L24" s="22">
        <f>SUM(L4:L23)</f>
        <v>29684763769.93541</v>
      </c>
      <c r="M24" s="23"/>
      <c r="N24" s="26">
        <v>29684763769.935429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8346304.46</v>
      </c>
      <c r="C27" s="51">
        <v>8346304.46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1673298</v>
      </c>
      <c r="D32" s="7" t="s">
        <v>51</v>
      </c>
      <c r="E32" s="34" t="s">
        <v>52</v>
      </c>
      <c r="F32" s="34" t="s">
        <v>53</v>
      </c>
      <c r="G32" s="15">
        <v>532.60210000251004</v>
      </c>
      <c r="H32" s="15">
        <v>532.82900600490802</v>
      </c>
      <c r="I32" s="16">
        <f t="shared" ref="I32:I45" si="1">+C32*G32</f>
        <v>891202028.73000002</v>
      </c>
      <c r="J32" s="16">
        <f t="shared" ref="J32:J45" si="2">+C32*H32</f>
        <v>891581710.09000063</v>
      </c>
      <c r="K32" s="18">
        <v>0.155502</v>
      </c>
      <c r="L32" s="17">
        <v>379681.36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1673298</v>
      </c>
      <c r="D33" s="7" t="s">
        <v>51</v>
      </c>
      <c r="E33" s="34" t="s">
        <v>53</v>
      </c>
      <c r="F33" s="34" t="s">
        <v>53</v>
      </c>
      <c r="G33" s="15">
        <v>532.60210000251004</v>
      </c>
      <c r="H33" s="15">
        <v>532.82900600490802</v>
      </c>
      <c r="I33" s="16">
        <f t="shared" si="1"/>
        <v>891202028.73000002</v>
      </c>
      <c r="J33" s="16">
        <f t="shared" si="2"/>
        <v>891581710.09000063</v>
      </c>
      <c r="K33" s="18">
        <v>0.155502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9390</v>
      </c>
      <c r="D34" s="7" t="s">
        <v>51</v>
      </c>
      <c r="E34" s="34" t="s">
        <v>52</v>
      </c>
      <c r="F34" s="34" t="s">
        <v>53</v>
      </c>
      <c r="G34" s="15">
        <v>532.60210010649598</v>
      </c>
      <c r="H34" s="15">
        <v>532.82900638977605</v>
      </c>
      <c r="I34" s="16">
        <f t="shared" si="1"/>
        <v>5001133.7199999969</v>
      </c>
      <c r="J34" s="16">
        <f t="shared" si="2"/>
        <v>5003264.3699999973</v>
      </c>
      <c r="K34" s="18">
        <v>0.155502</v>
      </c>
      <c r="L34" s="17">
        <v>2130.65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9390</v>
      </c>
      <c r="D35" s="7" t="s">
        <v>51</v>
      </c>
      <c r="E35" s="34" t="s">
        <v>53</v>
      </c>
      <c r="F35" s="34" t="s">
        <v>53</v>
      </c>
      <c r="G35" s="15">
        <v>532.60210010649598</v>
      </c>
      <c r="H35" s="15">
        <v>532.82900638977605</v>
      </c>
      <c r="I35" s="16">
        <f t="shared" si="1"/>
        <v>5001133.7199999969</v>
      </c>
      <c r="J35" s="16">
        <f t="shared" si="2"/>
        <v>5003264.3699999973</v>
      </c>
      <c r="K35" s="18">
        <v>0.155502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1585348</v>
      </c>
      <c r="D36" s="7" t="s">
        <v>51</v>
      </c>
      <c r="E36" s="34" t="s">
        <v>52</v>
      </c>
      <c r="F36" s="34" t="s">
        <v>53</v>
      </c>
      <c r="G36" s="15">
        <v>814.64200000252299</v>
      </c>
      <c r="H36" s="15">
        <v>814.98917140590004</v>
      </c>
      <c r="I36" s="16">
        <f t="shared" si="1"/>
        <v>1291491065.4199998</v>
      </c>
      <c r="J36" s="16">
        <f t="shared" si="2"/>
        <v>1292041452.9100008</v>
      </c>
      <c r="K36" s="18">
        <v>0.15554999999999999</v>
      </c>
      <c r="L36" s="17">
        <v>550387.49</v>
      </c>
      <c r="M36" s="17"/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1585348</v>
      </c>
      <c r="D37" s="7" t="s">
        <v>51</v>
      </c>
      <c r="E37" s="34" t="s">
        <v>53</v>
      </c>
      <c r="F37" s="34" t="s">
        <v>53</v>
      </c>
      <c r="G37" s="15">
        <v>814.64200000252299</v>
      </c>
      <c r="H37" s="15">
        <v>814.98917140590004</v>
      </c>
      <c r="I37" s="16">
        <f t="shared" si="1"/>
        <v>1291491065.4199998</v>
      </c>
      <c r="J37" s="16">
        <f t="shared" si="2"/>
        <v>1292041452.9100008</v>
      </c>
      <c r="K37" s="18">
        <v>0.15554999999999999</v>
      </c>
      <c r="L37" s="17"/>
      <c r="M37" s="17"/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15219</v>
      </c>
      <c r="D38" s="7" t="s">
        <v>51</v>
      </c>
      <c r="E38" s="34" t="s">
        <v>52</v>
      </c>
      <c r="F38" s="34" t="s">
        <v>53</v>
      </c>
      <c r="G38" s="15">
        <v>591.62899993429301</v>
      </c>
      <c r="H38" s="15">
        <v>591.88113279453307</v>
      </c>
      <c r="I38" s="16">
        <f t="shared" si="1"/>
        <v>9004001.7500000056</v>
      </c>
      <c r="J38" s="16">
        <f t="shared" si="2"/>
        <v>9007838.959999999</v>
      </c>
      <c r="K38" s="18">
        <v>0.15555099999999999</v>
      </c>
      <c r="L38" s="17">
        <v>3837.21</v>
      </c>
      <c r="M38" s="17"/>
      <c r="N38" s="35"/>
    </row>
    <row r="39" spans="1:15" s="36" customFormat="1" ht="12" customHeight="1" x14ac:dyDescent="0.25">
      <c r="A39" s="12" t="s">
        <v>56</v>
      </c>
      <c r="B39" s="7" t="s">
        <v>57</v>
      </c>
      <c r="C39" s="14">
        <v>15219</v>
      </c>
      <c r="D39" s="7" t="s">
        <v>51</v>
      </c>
      <c r="E39" s="34" t="s">
        <v>53</v>
      </c>
      <c r="F39" s="34" t="s">
        <v>53</v>
      </c>
      <c r="G39" s="15">
        <v>591.62899993429301</v>
      </c>
      <c r="H39" s="15">
        <v>591.88113279453307</v>
      </c>
      <c r="I39" s="16">
        <f t="shared" si="1"/>
        <v>9004001.7500000056</v>
      </c>
      <c r="J39" s="16">
        <f t="shared" si="2"/>
        <v>9007838.959999999</v>
      </c>
      <c r="K39" s="18">
        <v>0.15555099999999999</v>
      </c>
      <c r="L39" s="17"/>
      <c r="M39" s="17"/>
      <c r="N39" s="35"/>
    </row>
    <row r="40" spans="1:15" s="36" customFormat="1" ht="12" customHeight="1" x14ac:dyDescent="0.25">
      <c r="A40" s="12" t="s">
        <v>58</v>
      </c>
      <c r="B40" s="7" t="s">
        <v>59</v>
      </c>
      <c r="C40" s="14">
        <v>206302</v>
      </c>
      <c r="D40" s="7" t="s">
        <v>51</v>
      </c>
      <c r="E40" s="34" t="s">
        <v>53</v>
      </c>
      <c r="F40" s="34" t="s">
        <v>60</v>
      </c>
      <c r="G40" s="15">
        <v>591.64800001938897</v>
      </c>
      <c r="H40" s="15">
        <v>591.90086712683308</v>
      </c>
      <c r="I40" s="16">
        <f t="shared" si="1"/>
        <v>122058165.69999999</v>
      </c>
      <c r="J40" s="16">
        <f t="shared" si="2"/>
        <v>122110332.68999992</v>
      </c>
      <c r="K40" s="18">
        <v>0.155999</v>
      </c>
      <c r="L40" s="17"/>
      <c r="M40" s="17">
        <v>122058165.7</v>
      </c>
      <c r="N40" s="35"/>
    </row>
    <row r="41" spans="1:15" s="36" customFormat="1" ht="12" customHeight="1" x14ac:dyDescent="0.25">
      <c r="A41" s="12" t="s">
        <v>61</v>
      </c>
      <c r="B41" s="7" t="s">
        <v>62</v>
      </c>
      <c r="C41" s="14">
        <v>687924</v>
      </c>
      <c r="D41" s="7" t="s">
        <v>51</v>
      </c>
      <c r="E41" s="34" t="s">
        <v>53</v>
      </c>
      <c r="F41" s="34" t="s">
        <v>60</v>
      </c>
      <c r="G41" s="15">
        <v>564.1</v>
      </c>
      <c r="H41" s="15">
        <v>564.34109324576605</v>
      </c>
      <c r="I41" s="16">
        <f t="shared" si="1"/>
        <v>388057928.40000004</v>
      </c>
      <c r="J41" s="16">
        <f t="shared" si="2"/>
        <v>388223782.23000038</v>
      </c>
      <c r="K41" s="18">
        <v>0.155999</v>
      </c>
      <c r="L41" s="17"/>
      <c r="M41" s="17">
        <v>388057928.39999998</v>
      </c>
      <c r="N41" s="35"/>
    </row>
    <row r="42" spans="1:15" s="36" customFormat="1" ht="12" customHeight="1" x14ac:dyDescent="0.25">
      <c r="A42" s="12" t="s">
        <v>63</v>
      </c>
      <c r="B42" s="7" t="s">
        <v>64</v>
      </c>
      <c r="C42" s="14">
        <v>578528</v>
      </c>
      <c r="D42" s="7" t="s">
        <v>51</v>
      </c>
      <c r="E42" s="34" t="s">
        <v>53</v>
      </c>
      <c r="F42" s="34" t="s">
        <v>60</v>
      </c>
      <c r="G42" s="15">
        <v>619.01070000069103</v>
      </c>
      <c r="H42" s="15">
        <v>619.27526178508208</v>
      </c>
      <c r="I42" s="16">
        <f t="shared" si="1"/>
        <v>358115022.24999976</v>
      </c>
      <c r="J42" s="16">
        <f t="shared" si="2"/>
        <v>358268078.64999998</v>
      </c>
      <c r="K42" s="18">
        <v>0.155999</v>
      </c>
      <c r="L42" s="17"/>
      <c r="M42" s="17">
        <v>358115022.25</v>
      </c>
      <c r="N42" s="35"/>
    </row>
    <row r="43" spans="1:15" s="36" customFormat="1" ht="12" customHeight="1" x14ac:dyDescent="0.25">
      <c r="A43" s="12" t="s">
        <v>65</v>
      </c>
      <c r="B43" s="7" t="s">
        <v>66</v>
      </c>
      <c r="C43" s="14">
        <v>1000125</v>
      </c>
      <c r="D43" s="7" t="s">
        <v>51</v>
      </c>
      <c r="E43" s="34" t="s">
        <v>53</v>
      </c>
      <c r="F43" s="34" t="s">
        <v>60</v>
      </c>
      <c r="G43" s="15">
        <v>889.37100000499902</v>
      </c>
      <c r="H43" s="15">
        <v>889.74989885264301</v>
      </c>
      <c r="I43" s="16">
        <f t="shared" si="1"/>
        <v>889482171.37999964</v>
      </c>
      <c r="J43" s="16">
        <f t="shared" si="2"/>
        <v>889861117.58999956</v>
      </c>
      <c r="K43" s="18">
        <v>0.155501</v>
      </c>
      <c r="L43" s="17"/>
      <c r="M43" s="17">
        <v>889482171.38</v>
      </c>
      <c r="N43" s="35"/>
    </row>
    <row r="44" spans="1:15" s="36" customFormat="1" ht="12" customHeight="1" x14ac:dyDescent="0.25">
      <c r="A44" s="12" t="s">
        <v>67</v>
      </c>
      <c r="B44" s="7" t="s">
        <v>68</v>
      </c>
      <c r="C44" s="14">
        <v>1084320</v>
      </c>
      <c r="D44" s="7" t="s">
        <v>51</v>
      </c>
      <c r="E44" s="34" t="s">
        <v>53</v>
      </c>
      <c r="F44" s="34" t="s">
        <v>60</v>
      </c>
      <c r="G44" s="15">
        <v>88.53640000184447</v>
      </c>
      <c r="H44" s="15">
        <v>88.574118931680673</v>
      </c>
      <c r="I44" s="16">
        <f t="shared" si="1"/>
        <v>96001789.25</v>
      </c>
      <c r="J44" s="16">
        <f t="shared" si="2"/>
        <v>96042688.639999986</v>
      </c>
      <c r="K44" s="18">
        <v>0.1555</v>
      </c>
      <c r="L44" s="17"/>
      <c r="M44" s="17">
        <v>96001789.25</v>
      </c>
      <c r="N44" s="35"/>
    </row>
    <row r="45" spans="1:15" s="36" customFormat="1" ht="12" customHeight="1" x14ac:dyDescent="0.25">
      <c r="A45" s="12" t="s">
        <v>49</v>
      </c>
      <c r="B45" s="7" t="s">
        <v>50</v>
      </c>
      <c r="C45" s="14">
        <v>642785</v>
      </c>
      <c r="D45" s="7" t="s">
        <v>51</v>
      </c>
      <c r="E45" s="34" t="s">
        <v>53</v>
      </c>
      <c r="F45" s="34" t="s">
        <v>60</v>
      </c>
      <c r="G45" s="15">
        <v>530.51820000466705</v>
      </c>
      <c r="H45" s="15">
        <v>530.74392605614605</v>
      </c>
      <c r="I45" s="16">
        <f t="shared" si="1"/>
        <v>341009141.18999994</v>
      </c>
      <c r="J45" s="16">
        <f t="shared" si="2"/>
        <v>341154234.50999981</v>
      </c>
      <c r="K45" s="18">
        <v>0.15530099999999999</v>
      </c>
      <c r="L45" s="17"/>
      <c r="M45" s="17">
        <v>341009141.19</v>
      </c>
      <c r="N45" s="35"/>
    </row>
    <row r="46" spans="1:15" s="36" customFormat="1" ht="11.25" hidden="1" x14ac:dyDescent="0.25">
      <c r="A46" s="7"/>
      <c r="B46" s="7"/>
      <c r="C46" s="7"/>
      <c r="D46" s="7"/>
      <c r="E46" s="37"/>
      <c r="F46" s="37"/>
      <c r="G46" s="7"/>
      <c r="H46" s="7"/>
      <c r="I46" s="8"/>
      <c r="J46" s="8"/>
      <c r="K46" s="7"/>
      <c r="L46" s="9"/>
      <c r="M46" s="9"/>
      <c r="N46" s="35"/>
    </row>
    <row r="47" spans="1:15" x14ac:dyDescent="0.25">
      <c r="A47" s="1" t="s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>
        <f>SUM(M32:M46)</f>
        <v>2194724218.1700001</v>
      </c>
      <c r="N47" s="38">
        <v>2194724218.1700001</v>
      </c>
      <c r="O47" s="29">
        <f>M47-N47</f>
        <v>0</v>
      </c>
    </row>
    <row r="49" spans="1:8" x14ac:dyDescent="0.25">
      <c r="A49" s="39" t="s">
        <v>28</v>
      </c>
      <c r="B49" s="33"/>
      <c r="D49" s="33"/>
      <c r="F49" s="28"/>
      <c r="G49" s="28"/>
    </row>
    <row r="50" spans="1:8" ht="22.5" x14ac:dyDescent="0.25">
      <c r="A50" s="19" t="s">
        <v>6</v>
      </c>
      <c r="B50" s="19" t="s">
        <v>29</v>
      </c>
      <c r="C50" s="19" t="s">
        <v>17</v>
      </c>
      <c r="D50" s="19" t="s">
        <v>30</v>
      </c>
      <c r="E50" s="19" t="s">
        <v>16</v>
      </c>
      <c r="F50" s="19" t="s">
        <v>31</v>
      </c>
      <c r="G50" s="19" t="s">
        <v>32</v>
      </c>
    </row>
    <row r="51" spans="1:8" hidden="1" x14ac:dyDescent="0.25">
      <c r="B51" s="41"/>
      <c r="C51" s="42"/>
      <c r="D51" s="43"/>
      <c r="G51" s="44"/>
      <c r="H51" s="33"/>
    </row>
    <row r="52" spans="1:8" x14ac:dyDescent="0.25">
      <c r="G52" s="45">
        <f>SUM(G51:G51)</f>
        <v>0</v>
      </c>
    </row>
    <row r="54" spans="1:8" x14ac:dyDescent="0.25">
      <c r="A54" s="46" t="s">
        <v>13</v>
      </c>
      <c r="B54" s="47">
        <f>+L24+B27+M47+G52</f>
        <v>31887834292.565407</v>
      </c>
      <c r="C54" s="32">
        <v>31887834292.56543</v>
      </c>
      <c r="D54" s="29">
        <f>B54-C54</f>
        <v>0</v>
      </c>
    </row>
    <row r="57" spans="1:8" x14ac:dyDescent="0.25">
      <c r="A57" s="24" t="s">
        <v>46</v>
      </c>
      <c r="B57" s="33"/>
    </row>
    <row r="58" spans="1:8" x14ac:dyDescent="0.25">
      <c r="A58" s="48" t="s">
        <v>35</v>
      </c>
      <c r="B58" s="49"/>
    </row>
    <row r="59" spans="1:8" x14ac:dyDescent="0.25">
      <c r="A59" s="48" t="s">
        <v>36</v>
      </c>
      <c r="B59" s="40"/>
    </row>
    <row r="60" spans="1:8" x14ac:dyDescent="0.25">
      <c r="A60" s="48" t="s">
        <v>37</v>
      </c>
      <c r="B60" s="40">
        <v>93775.62</v>
      </c>
    </row>
    <row r="61" spans="1:8" x14ac:dyDescent="0.25">
      <c r="A61" s="48" t="s">
        <v>38</v>
      </c>
      <c r="B61" s="40"/>
    </row>
    <row r="62" spans="1:8" x14ac:dyDescent="0.25">
      <c r="A62" s="48" t="s">
        <v>39</v>
      </c>
      <c r="B62" s="49"/>
    </row>
    <row r="63" spans="1:8" x14ac:dyDescent="0.25">
      <c r="A63" s="48" t="s">
        <v>40</v>
      </c>
      <c r="B63" s="50">
        <v>19862.400000000001</v>
      </c>
    </row>
    <row r="64" spans="1:8" x14ac:dyDescent="0.25">
      <c r="A64" s="48" t="s">
        <v>41</v>
      </c>
      <c r="B64" s="50">
        <v>9878.07</v>
      </c>
    </row>
    <row r="65" spans="1:2" x14ac:dyDescent="0.25">
      <c r="A65" s="48" t="s">
        <v>42</v>
      </c>
      <c r="B65" s="40"/>
    </row>
    <row r="66" spans="1:2" x14ac:dyDescent="0.25">
      <c r="A66" s="48" t="s">
        <v>43</v>
      </c>
      <c r="B66" s="40"/>
    </row>
    <row r="67" spans="1:2" x14ac:dyDescent="0.25">
      <c r="A67" s="48" t="s">
        <v>44</v>
      </c>
      <c r="B67" s="50"/>
    </row>
    <row r="68" spans="1:2" x14ac:dyDescent="0.25">
      <c r="A68" s="48" t="s">
        <v>45</v>
      </c>
      <c r="B68" s="49">
        <f>SUM(B58:B67)</f>
        <v>123516.09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2025-08-07T05:50:53Z</dcterms:created>
  <dcterms:modified xsi:type="dcterms:W3CDTF">2025-08-07T06:34:18Z</dcterms:modified>
</cp:coreProperties>
</file>