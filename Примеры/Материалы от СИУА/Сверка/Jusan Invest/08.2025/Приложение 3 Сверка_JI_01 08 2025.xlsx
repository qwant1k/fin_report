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9A6F7CDF-ADE6-4775-9ECF-B90D644A4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51" i="1"/>
  <c r="B65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5" i="1"/>
  <c r="M11" i="1"/>
  <c r="M7" i="1"/>
  <c r="M9" i="1" l="1"/>
  <c r="M13" i="1"/>
  <c r="M17" i="1"/>
  <c r="M21" i="1"/>
  <c r="M4" i="1"/>
  <c r="M8" i="1"/>
  <c r="M12" i="1"/>
  <c r="M16" i="1"/>
  <c r="M20" i="1"/>
  <c r="M5" i="1"/>
  <c r="M6" i="1"/>
  <c r="M10" i="1"/>
  <c r="M14" i="1"/>
  <c r="M18" i="1"/>
</calcChain>
</file>

<file path=xl/sharedStrings.xml><?xml version="1.0" encoding="utf-8"?>
<sst xmlns="http://schemas.openxmlformats.org/spreadsheetml/2006/main" count="185" uniqueCount="123">
  <si>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</si>
  <si>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</si>
  <si>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</si>
  <si>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</si>
  <si>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</si>
  <si>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</si>
  <si>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</si>
  <si>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</si>
  <si>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</si>
  <si>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</si>
  <si>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</si>
  <si>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</si>
  <si>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</si>
  <si>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</si>
  <si>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</si>
  <si>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</si>
  <si>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</si>
  <si>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</si>
  <si>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</si>
  <si>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</si>
  <si>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</si>
  <si>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</si>
  <si>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</si>
  <si>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</si>
  <si>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</si>
  <si>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</si>
  <si>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</si>
  <si>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</si>
  <si>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</si>
  <si>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</si>
  <si>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</si>
  <si>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</si>
  <si>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</si>
  <si>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</si>
  <si>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</si>
  <si>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</si>
  <si>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</si>
  <si>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</si>
  <si>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</si>
  <si>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</si>
  <si>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</si>
  <si>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</si>
  <si>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</si>
  <si>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</si>
  <si>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</si>
  <si>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</si>
  <si>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</si>
  <si>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</si>
  <si>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</si>
  <si>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MUM072_0015</t>
  </si>
  <si>
    <t>KZKD00001251</t>
  </si>
  <si>
    <t>KZT</t>
  </si>
  <si>
    <t>31.07.2025</t>
  </si>
  <si>
    <t>01.08.2025</t>
  </si>
  <si>
    <t>МИНИСТЕРСТВО ФИНАНСОВ РК, ГЦБ, MKM012_0161</t>
  </si>
  <si>
    <t>KZK100000423</t>
  </si>
  <si>
    <t>МИНИСТЕРСТВО ФИНАНСОВ РК, ГЦБ, MUM120_0017</t>
  </si>
  <si>
    <t>KZKD00000899</t>
  </si>
  <si>
    <t>МИНИСТЕРСТВО ФИНАНСОВ РК, ГЦБ, MUM156_0006</t>
  </si>
  <si>
    <t>KZKD00000964</t>
  </si>
  <si>
    <t>04.08.2025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</si>
  <si>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</si>
  <si>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</si>
  <si>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</si>
  <si>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</si>
  <si>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MUM144_0009</t>
  </si>
  <si>
    <t>KZKD00001178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</si>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</sst>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19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97.7286</v>
      </c>
      <c r="J4" s="11">
        <v>98.024988888888871</v>
      </c>
      <c r="K4" s="11">
        <v>8950944.4444444403</v>
      </c>
      <c r="L4" s="11">
        <v>2960354664.4444442</v>
      </c>
      <c r="M4" s="6">
        <f t="shared" ref="M4:M22" si="0">L4/$L$24</f>
        <v>9.9564013940268106E-2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83.083100000000002</v>
      </c>
      <c r="J5" s="11">
        <v>83.171016666666659</v>
      </c>
      <c r="K5" s="11">
        <v>1991312.5</v>
      </c>
      <c r="L5" s="11">
        <v>1883823527.499999</v>
      </c>
      <c r="M5" s="6">
        <f t="shared" si="0"/>
        <v>6.3357622046348164E-2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83.083100000000002</v>
      </c>
      <c r="J6" s="11">
        <v>83.171016666666915</v>
      </c>
      <c r="K6" s="11">
        <v>1364155.4416666699</v>
      </c>
      <c r="L6" s="11">
        <v>1290519753.2676699</v>
      </c>
      <c r="M6" s="6">
        <f t="shared" si="0"/>
        <v>4.3403355769416445E-2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83.083100000000002</v>
      </c>
      <c r="J7" s="11">
        <v>83.171016666666659</v>
      </c>
      <c r="K7" s="11">
        <v>479754.21666666662</v>
      </c>
      <c r="L7" s="11">
        <v>453857584.26866698</v>
      </c>
      <c r="M7" s="6">
        <f t="shared" si="0"/>
        <v>1.5264347677578748E-2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86.624099999999999</v>
      </c>
      <c r="J8" s="11">
        <v>89.772988888888875</v>
      </c>
      <c r="K8" s="11">
        <v>71322333.333333328</v>
      </c>
      <c r="L8" s="11">
        <v>2033358198.333333</v>
      </c>
      <c r="M8" s="6">
        <f t="shared" si="0"/>
        <v>6.8386841088991984E-2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84.963000000000008</v>
      </c>
      <c r="J9" s="11">
        <v>88.660222222222217</v>
      </c>
      <c r="K9" s="11">
        <v>83742083.333333328</v>
      </c>
      <c r="L9" s="11">
        <v>2008154033.333333</v>
      </c>
      <c r="M9" s="6">
        <f t="shared" si="0"/>
        <v>6.7539162982867579E-2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78.2196</v>
      </c>
      <c r="J10" s="11">
        <v>82.053488888888879</v>
      </c>
      <c r="K10" s="11">
        <v>86837583.333333328</v>
      </c>
      <c r="L10" s="11">
        <v>1858511523.333333</v>
      </c>
      <c r="M10" s="6">
        <f t="shared" si="0"/>
        <v>6.2506317043614992E-2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68.946100000000001</v>
      </c>
      <c r="J11" s="11">
        <v>71.410683333333324</v>
      </c>
      <c r="K11" s="11">
        <v>55822812.499999993</v>
      </c>
      <c r="L11" s="11">
        <v>1617451977.499999</v>
      </c>
      <c r="M11" s="6">
        <f t="shared" si="0"/>
        <v>5.4398891176691402E-2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77.144000000000005</v>
      </c>
      <c r="J12" s="11">
        <v>77.291916666666651</v>
      </c>
      <c r="K12" s="11">
        <v>3350312.5</v>
      </c>
      <c r="L12" s="11">
        <v>1750661912.5</v>
      </c>
      <c r="M12" s="6">
        <f t="shared" si="0"/>
        <v>5.8879069171786896E-2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62.951300000000003</v>
      </c>
      <c r="J13" s="11">
        <v>64.722216666666654</v>
      </c>
      <c r="K13" s="11">
        <v>40111262.5</v>
      </c>
      <c r="L13" s="11">
        <v>1465958207.5</v>
      </c>
      <c r="M13" s="6">
        <f t="shared" si="0"/>
        <v>4.9303782806973721E-2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61.593600000000002</v>
      </c>
      <c r="J14" s="11">
        <v>65.673433333333321</v>
      </c>
      <c r="K14" s="11">
        <v>92408225</v>
      </c>
      <c r="L14" s="11">
        <v>1487503265</v>
      </c>
      <c r="M14" s="6">
        <f t="shared" si="0"/>
        <v>5.0028396121397804E-2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84.493499999999997</v>
      </c>
      <c r="J15" s="11">
        <v>86.384500000000003</v>
      </c>
      <c r="K15" s="11">
        <v>71385250</v>
      </c>
      <c r="L15" s="11">
        <v>3261014875</v>
      </c>
      <c r="M15" s="6">
        <f t="shared" si="0"/>
        <v>0.10967595686203119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57.490700000000004</v>
      </c>
      <c r="J16" s="11">
        <v>58.972644444444434</v>
      </c>
      <c r="K16" s="11">
        <v>41551647.5</v>
      </c>
      <c r="L16" s="11">
        <v>1653510388.52</v>
      </c>
      <c r="M16" s="6">
        <f t="shared" si="0"/>
        <v>5.5611624292955714E-2</v>
      </c>
    </row>
    <row r="17" spans="1:15" x14ac:dyDescent="0.25">
      <c r="A17" s="1" t="s">
        <v>49</v>
      </c>
      <c r="B17" s="13" t="s">
        <v>50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104</v>
      </c>
      <c r="H17" s="11">
        <v>979029096.96000004</v>
      </c>
      <c r="I17" s="11">
        <v>85.737800000000007</v>
      </c>
      <c r="J17" s="11">
        <v>90.537800000000004</v>
      </c>
      <c r="K17" s="11">
        <v>49847040</v>
      </c>
      <c r="L17" s="11">
        <v>940216945.44000006</v>
      </c>
      <c r="M17" s="6">
        <f t="shared" si="0"/>
        <v>3.1621810111807043E-2</v>
      </c>
    </row>
    <row r="18" spans="1:15" x14ac:dyDescent="0.25">
      <c r="A18" s="1" t="s">
        <v>61</v>
      </c>
      <c r="B18" s="13" t="s">
        <v>62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98.206800000000001</v>
      </c>
      <c r="J18" s="11">
        <v>101.31943888888901</v>
      </c>
      <c r="K18" s="11">
        <v>15780736.77638888</v>
      </c>
      <c r="L18" s="11">
        <v>513678410.02838898</v>
      </c>
      <c r="M18" s="6">
        <f t="shared" si="0"/>
        <v>1.727626929001063E-2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93.323726045034789</v>
      </c>
      <c r="J19" s="11">
        <v>106.352614933924</v>
      </c>
      <c r="K19" s="11">
        <v>273606666.66666698</v>
      </c>
      <c r="L19" s="11">
        <v>2233404913.6123972</v>
      </c>
      <c r="M19" s="6">
        <f t="shared" si="0"/>
        <v>7.51149045159758E-2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99.6738</v>
      </c>
      <c r="J20" s="11">
        <v>105.10621666666701</v>
      </c>
      <c r="K20" s="11">
        <v>59756583.333333328</v>
      </c>
      <c r="L20" s="11">
        <v>1156168383.333333</v>
      </c>
      <c r="M20" s="6">
        <f t="shared" si="0"/>
        <v>3.8884788507967463E-2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97.946181028769999</v>
      </c>
      <c r="J21" s="11">
        <v>100.37693102877</v>
      </c>
      <c r="K21" s="11">
        <v>24307499.999999989</v>
      </c>
      <c r="L21" s="11">
        <v>1003769310.287699</v>
      </c>
      <c r="M21" s="6">
        <f t="shared" si="0"/>
        <v>3.3759232568524998E-2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95.5969461424732</v>
      </c>
      <c r="J22" s="11">
        <v>97.298335031348671</v>
      </c>
      <c r="K22" s="11">
        <v>2819864.93053333</v>
      </c>
      <c r="L22" s="11">
        <v>161261287.49760699</v>
      </c>
      <c r="M22" s="6">
        <f t="shared" si="0"/>
        <v>5.4236140247913324E-3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985436068.30970025</v>
      </c>
      <c r="L24" s="22">
        <f>SUM(L4:L23)</f>
        <v>29733179160.700203</v>
      </c>
      <c r="M24" s="23"/>
      <c r="N24" s="26">
        <v>29733179160.700218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4200719.21</v>
      </c>
      <c r="C27" s="51">
        <v>4200719.21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1439100</v>
      </c>
      <c r="D32" s="7" t="s">
        <v>51</v>
      </c>
      <c r="E32" s="34" t="s">
        <v>52</v>
      </c>
      <c r="F32" s="34" t="s">
        <v>53</v>
      </c>
      <c r="G32" s="15">
        <v>903.9670000000001</v>
      </c>
      <c r="H32" s="15">
        <v>904.35533432006105</v>
      </c>
      <c r="I32" s="16">
        <f t="shared" ref="I32:I42" si="1">+C32*G32</f>
        <v>1300898909.7</v>
      </c>
      <c r="J32" s="16">
        <f t="shared" ref="J32:J42" si="2">+C32*H32</f>
        <v>1301457761.6199999</v>
      </c>
      <c r="K32" s="18">
        <v>0.15679999999999999</v>
      </c>
      <c r="L32" s="17">
        <v>558851.92000000004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1439100</v>
      </c>
      <c r="D33" s="7" t="s">
        <v>51</v>
      </c>
      <c r="E33" s="34" t="s">
        <v>53</v>
      </c>
      <c r="F33" s="34" t="s">
        <v>53</v>
      </c>
      <c r="G33" s="15">
        <v>903.9670000000001</v>
      </c>
      <c r="H33" s="15">
        <v>904.35533432006105</v>
      </c>
      <c r="I33" s="16">
        <f t="shared" si="1"/>
        <v>1300898909.7</v>
      </c>
      <c r="J33" s="16">
        <f t="shared" si="2"/>
        <v>1301457761.6199999</v>
      </c>
      <c r="K33" s="18">
        <v>0.15679999999999999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10022213</v>
      </c>
      <c r="D34" s="7" t="s">
        <v>51</v>
      </c>
      <c r="E34" s="34" t="s">
        <v>52</v>
      </c>
      <c r="F34" s="34" t="s">
        <v>53</v>
      </c>
      <c r="G34" s="15">
        <v>88.503700000189568</v>
      </c>
      <c r="H34" s="15">
        <v>88.541743982092569</v>
      </c>
      <c r="I34" s="16">
        <f t="shared" si="1"/>
        <v>887002932.68999994</v>
      </c>
      <c r="J34" s="16">
        <f t="shared" si="2"/>
        <v>887384217.57999992</v>
      </c>
      <c r="K34" s="18">
        <v>0.15689799999999998</v>
      </c>
      <c r="L34" s="17">
        <v>381284.89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10022213</v>
      </c>
      <c r="D35" s="7" t="s">
        <v>51</v>
      </c>
      <c r="E35" s="34" t="s">
        <v>53</v>
      </c>
      <c r="F35" s="34" t="s">
        <v>53</v>
      </c>
      <c r="G35" s="15">
        <v>88.503700000189568</v>
      </c>
      <c r="H35" s="15">
        <v>88.541743982092569</v>
      </c>
      <c r="I35" s="16">
        <f t="shared" si="1"/>
        <v>887002932.68999994</v>
      </c>
      <c r="J35" s="16">
        <f t="shared" si="2"/>
        <v>887384217.57999992</v>
      </c>
      <c r="K35" s="18">
        <v>0.15689799999999998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6456</v>
      </c>
      <c r="D36" s="7" t="s">
        <v>51</v>
      </c>
      <c r="E36" s="34" t="s">
        <v>52</v>
      </c>
      <c r="F36" s="34" t="s">
        <v>53</v>
      </c>
      <c r="G36" s="15">
        <v>930.19800030978899</v>
      </c>
      <c r="H36" s="15">
        <v>930.596838599752</v>
      </c>
      <c r="I36" s="16">
        <f t="shared" si="1"/>
        <v>6005358.2899999982</v>
      </c>
      <c r="J36" s="16">
        <f t="shared" si="2"/>
        <v>6007933.1899999985</v>
      </c>
      <c r="K36" s="18">
        <v>0.1565</v>
      </c>
      <c r="L36" s="17">
        <v>2574.9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6456</v>
      </c>
      <c r="D37" s="7" t="s">
        <v>51</v>
      </c>
      <c r="E37" s="34" t="s">
        <v>53</v>
      </c>
      <c r="F37" s="34" t="s">
        <v>53</v>
      </c>
      <c r="G37" s="15">
        <v>930.19800030978899</v>
      </c>
      <c r="H37" s="15">
        <v>930.596838599752</v>
      </c>
      <c r="I37" s="16">
        <f t="shared" si="1"/>
        <v>6005358.2899999982</v>
      </c>
      <c r="J37" s="16">
        <f t="shared" si="2"/>
        <v>6007933.1899999985</v>
      </c>
      <c r="K37" s="18">
        <v>0.1565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215670</v>
      </c>
      <c r="D38" s="7" t="s">
        <v>51</v>
      </c>
      <c r="E38" s="34" t="s">
        <v>53</v>
      </c>
      <c r="F38" s="34" t="s">
        <v>60</v>
      </c>
      <c r="G38" s="15">
        <v>732.875</v>
      </c>
      <c r="H38" s="15">
        <v>733.81046974544404</v>
      </c>
      <c r="I38" s="16">
        <f t="shared" si="1"/>
        <v>158059151.25</v>
      </c>
      <c r="J38" s="16">
        <f t="shared" si="2"/>
        <v>158260904.0099999</v>
      </c>
      <c r="K38" s="18">
        <v>0.15529999999999999</v>
      </c>
      <c r="L38" s="17"/>
      <c r="M38" s="17">
        <v>158059151.25</v>
      </c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499422</v>
      </c>
      <c r="D39" s="7" t="s">
        <v>51</v>
      </c>
      <c r="E39" s="34" t="s">
        <v>53</v>
      </c>
      <c r="F39" s="34" t="s">
        <v>60</v>
      </c>
      <c r="G39" s="15">
        <v>1013.194000004004</v>
      </c>
      <c r="H39" s="15">
        <v>1014.4872796953271</v>
      </c>
      <c r="I39" s="16">
        <f t="shared" si="1"/>
        <v>506011373.86999971</v>
      </c>
      <c r="J39" s="16">
        <f t="shared" si="2"/>
        <v>506657266.19999963</v>
      </c>
      <c r="K39" s="18">
        <v>0.15529999999999999</v>
      </c>
      <c r="L39" s="17"/>
      <c r="M39" s="17">
        <v>506011373.87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219600</v>
      </c>
      <c r="D40" s="7" t="s">
        <v>51</v>
      </c>
      <c r="E40" s="34" t="s">
        <v>53</v>
      </c>
      <c r="F40" s="34" t="s">
        <v>60</v>
      </c>
      <c r="G40" s="15">
        <v>1024.9760000000001</v>
      </c>
      <c r="H40" s="15">
        <v>1026.2843186703089</v>
      </c>
      <c r="I40" s="16">
        <f t="shared" si="1"/>
        <v>225084729.60000002</v>
      </c>
      <c r="J40" s="16">
        <f t="shared" si="2"/>
        <v>225372036.37999985</v>
      </c>
      <c r="K40" s="18">
        <v>0.15529999999999999</v>
      </c>
      <c r="L40" s="17"/>
      <c r="M40" s="17">
        <v>225084729.59999999</v>
      </c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5835</v>
      </c>
      <c r="D41" s="7" t="s">
        <v>51</v>
      </c>
      <c r="E41" s="34" t="s">
        <v>53</v>
      </c>
      <c r="F41" s="34" t="s">
        <v>60</v>
      </c>
      <c r="G41" s="15">
        <v>856.98400000000004</v>
      </c>
      <c r="H41" s="15">
        <v>858.07788688946005</v>
      </c>
      <c r="I41" s="16">
        <f t="shared" si="1"/>
        <v>5000501.6400000006</v>
      </c>
      <c r="J41" s="16">
        <f t="shared" si="2"/>
        <v>5006884.47</v>
      </c>
      <c r="K41" s="18">
        <v>0.15529999999999999</v>
      </c>
      <c r="L41" s="17"/>
      <c r="M41" s="17">
        <v>5000501.6399999997</v>
      </c>
      <c r="N41" s="35"/>
    </row>
    <row r="42" spans="1:15" s="36" customFormat="1" ht="12" customHeight="1" x14ac:dyDescent="0.25">
      <c r="A42" s="12" t="s">
        <v>61</v>
      </c>
      <c r="B42" s="7" t="s">
        <v>62</v>
      </c>
      <c r="C42" s="14">
        <v>1283100</v>
      </c>
      <c r="D42" s="7" t="s">
        <v>51</v>
      </c>
      <c r="E42" s="34" t="s">
        <v>53</v>
      </c>
      <c r="F42" s="34" t="s">
        <v>60</v>
      </c>
      <c r="G42" s="15">
        <v>1013.1940000000001</v>
      </c>
      <c r="H42" s="15">
        <v>1014.4947745460211</v>
      </c>
      <c r="I42" s="16">
        <f t="shared" si="1"/>
        <v>1300029221.4000001</v>
      </c>
      <c r="J42" s="16">
        <f t="shared" si="2"/>
        <v>1301698245.2199996</v>
      </c>
      <c r="K42" s="18">
        <v>0.15620000000000001</v>
      </c>
      <c r="L42" s="17"/>
      <c r="M42" s="17">
        <v>1300029221.4000001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2194184977.7600002</v>
      </c>
      <c r="N44" s="38">
        <v>2194184977.7600002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31931564857.670204</v>
      </c>
      <c r="C51" s="32">
        <v>31931564857.670219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16122.56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9890.65</v>
      </c>
    </row>
    <row r="61" spans="1:7" x14ac:dyDescent="0.25">
      <c r="A61" s="48" t="s">
        <v>41</v>
      </c>
      <c r="B61" s="50">
        <v>4936.92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30950.129999999997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2025-08-04T05:56:56Z</dcterms:created>
  <dcterms:modified xsi:type="dcterms:W3CDTF">2025-08-04T07:43:00Z</dcterms:modified>
</cp:coreProperties>
</file>