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13D2FD51-30F0-48BE-A73B-D287DBA483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ДУ!$28:$28</definedName>
    <definedName name="__mdDATAOther__">ДУ!#REF!</definedName>
    <definedName name="__mdDATAREPO__">ДУ!$33:$33</definedName>
    <definedName name="__mdDATASecurities__">ДУ!$4:$4</definedName>
    <definedName name="_FilterDatabase" localSheetId="0" hidden="1">ДУ!$A$3:$M$25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9" i="1" l="1"/>
  <c r="O52" i="1"/>
  <c r="O25" i="1"/>
  <c r="D28" i="1"/>
  <c r="B73" i="1"/>
  <c r="G57" i="1"/>
  <c r="M52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L25" i="1"/>
  <c r="M5" i="1" s="1"/>
  <c r="K25" i="1"/>
  <c r="M8" i="1"/>
  <c r="M4" i="1"/>
  <c r="B59" i="1" l="1"/>
  <c r="M9" i="1"/>
  <c r="M13" i="1"/>
  <c r="M6" i="1"/>
  <c r="M10" i="1"/>
  <c r="M14" i="1"/>
  <c r="M18" i="1"/>
  <c r="M22" i="1"/>
  <c r="M17" i="1"/>
  <c r="M21" i="1"/>
  <c r="M7" i="1"/>
  <c r="M11" i="1"/>
  <c r="M15" i="1"/>
  <c r="M19" i="1"/>
  <c r="M23" i="1"/>
  <c r="M12" i="1"/>
  <c r="M16" i="1"/>
  <c r="M20" i="1"/>
</calcChain>
</file>

<file path=xl/sharedStrings.xml><?xml version="1.0" encoding="utf-8"?>
<sst xmlns="http://schemas.openxmlformats.org/spreadsheetml/2006/main" count="224" uniqueCount="139">
  <si>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</si>
  <si>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</si>
  <si>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</si>
  <si>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</si>
  <si>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</si>
  <si>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</si>
  <si>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</si>
  <si>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</si>
  <si>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</si>
  <si>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</si>
  <si>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</si>
  <si>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</si>
  <si>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</si>
  <si>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</si>
  <si>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</si>
  <si>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</si>
  <si>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</si>
  <si>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</si>
  <si>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</si>
  <si>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</si>
  <si>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</si>
  <si>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</si>
  <si>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</si>
  <si>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</si>
  <si>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</si>
  <si>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</si>
  <si>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</si>
  <si>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</si>
  <si>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</si>
  <si>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</si>
  <si>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</si>
  <si>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</si>
  <si>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</si>
  <si>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</si>
  <si>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</si>
  <si>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</si>
  <si>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</si>
  <si>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</si>
  <si>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</si>
  <si>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</si>
  <si>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</si>
  <si>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</si>
  <si>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</si>
  <si>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</si>
  <si>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</si>
  <si>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</si>
  <si>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</si>
  <si>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</si>
  <si>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</si>
  <si>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KFUSb48</t>
  </si>
  <si>
    <t>KZ2C00008944</t>
  </si>
  <si>
    <t>KZT</t>
  </si>
  <si>
    <t>29.08.2025</t>
  </si>
  <si>
    <t>02.09.2025</t>
  </si>
  <si>
    <t>МИНИСТЕРСТВО ФИНАНСОВ РК, ГЦБ, MOM048_0054</t>
  </si>
  <si>
    <t>KZK200000729</t>
  </si>
  <si>
    <t>АКЦИОНЕРНОЕ ОБЩЕСТВО КАЗАХСТАНСКИЙ ФОНД УСТОЙЧИВОСТИ, ОБЛИГАЦИИ, KFUSb10</t>
  </si>
  <si>
    <t>KZ2C00007326</t>
  </si>
  <si>
    <t>МИНИСТЕРСТВО ФИНАНСОВ РК, ГЦБ, MUM120_0019</t>
  </si>
  <si>
    <t>KZKD00001129</t>
  </si>
  <si>
    <t>МИНИСТЕРСТВО ФИНАНСОВ РК, ГЦБ, KZ_10_2811</t>
  </si>
  <si>
    <t>XS1901718335</t>
  </si>
  <si>
    <t>АКЦИОНЕРНОЕ ОБЩЕСТВО КАЗАХСТАНСКИЙ ФОНД УСТОЙЧИВОСТИ, ОБЛИГАЦИИ, KFUSb3</t>
  </si>
  <si>
    <t>KZ2C00006955</t>
  </si>
  <si>
    <t>МИНИСТЕРСТВО ФИНАНСОВ РК, ГЦБ, MOM060_0054</t>
  </si>
  <si>
    <t>KZK200000737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</si>
  <si>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</si>
  <si>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</si>
  <si>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MUM216_0001</t>
  </si>
  <si>
    <t>KZKD00000972</t>
  </si>
  <si>
    <t>МИНИСТЕРСТВО ФИНАНСОВ РК, ГЦБ, MOM060_0052</t>
  </si>
  <si>
    <t>KZK200000679</t>
  </si>
  <si>
    <t>МИНИСТЕРСТВО ФИНАНСОВ РК, ОБЛИГАЦИИ, MFKZ.0435</t>
  </si>
  <si>
    <t>XS2914770545</t>
  </si>
  <si>
    <t>МИНИСТЕРСТВО ФИНАНСОВ РК, ГЦБ, KZ_06_4410</t>
  </si>
  <si>
    <t>XS1120709826</t>
  </si>
  <si>
    <t>МИНИСТЕРСТВО ФИНАНСОВ РК, ГЦБ, MUM192_0001</t>
  </si>
  <si>
    <t>KZKD00000477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</si>
  <si>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</si>
  <si>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</si>
  <si>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</si>
  <si>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</si>
  <si>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</si>
  <si>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</si>
  <si>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</si>
  <si>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</si>
  <si>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</si>
  <si>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</si>
  <si>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</si>
  <si>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</si>
  <si>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</si>
  <si>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</si>
  <si>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</si>
  <si>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</si>
  <si>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</si>
  <si>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</si>
  <si>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</si>
  <si>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</si>
  <si>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</si>
  <si>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</si>
  <si>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</si>
  <si>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</si>
  <si>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</si>
  <si>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</si>
  <si>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</si>
  <si>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</si>
  <si>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</si>
  <si>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</si>
  <si>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</si>
  <si>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</si>
  <si>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</si>
  <si>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</si>
  <si>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</si>
  <si>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</si>
  <si>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</si>
  <si>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</si>
  <si>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</si>
  <si>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</si>
  <si>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</si>
  <si>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</si>
  <si>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</si>
  <si>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</si>
  <si>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</si>
  <si>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</si>
  <si>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</si>
  <si>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</si>
  <si>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</si>
  <si>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</si>
  <si>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</si>
  <si>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</si>
  <si>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</si>
  <si>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</si>
  <si>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</si>
  <si>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</si>
  <si>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</si>
  <si>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</si>
  <si>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</si>
  <si>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</si>
  <si>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30.08.2025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</si>
</sst>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A25" zoomScale="90" zoomScaleNormal="90" workbookViewId="0">
      <selection activeCell="D60" sqref="D6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138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78</v>
      </c>
      <c r="B4" s="13" t="s">
        <v>79</v>
      </c>
      <c r="C4" s="10">
        <v>3020000</v>
      </c>
      <c r="D4" s="11">
        <v>3020000000</v>
      </c>
      <c r="E4" s="3">
        <v>0.1067</v>
      </c>
      <c r="F4" s="4" t="s">
        <v>80</v>
      </c>
      <c r="G4" s="4" t="s">
        <v>81</v>
      </c>
      <c r="H4" s="11">
        <v>2930617060.0000029</v>
      </c>
      <c r="I4" s="11">
        <v>97.928700000000006</v>
      </c>
      <c r="J4" s="11">
        <v>99.084616666666662</v>
      </c>
      <c r="K4" s="11">
        <v>34908683.333333328</v>
      </c>
      <c r="L4" s="11">
        <v>2992355423.333333</v>
      </c>
      <c r="M4" s="6">
        <f t="shared" ref="M4:M23" si="0">L4/$L$25</f>
        <v>9.8728365028526222E-2</v>
      </c>
    </row>
    <row r="5" spans="1:13" x14ac:dyDescent="0.25">
      <c r="A5" s="1" t="s">
        <v>82</v>
      </c>
      <c r="B5" s="13" t="s">
        <v>83</v>
      </c>
      <c r="C5" s="10">
        <v>2265000</v>
      </c>
      <c r="D5" s="11">
        <v>2265000000</v>
      </c>
      <c r="E5" s="3">
        <v>0.10550000000000001</v>
      </c>
      <c r="F5" s="4" t="s">
        <v>80</v>
      </c>
      <c r="G5" s="4" t="s">
        <v>84</v>
      </c>
      <c r="H5" s="11">
        <v>2039188560.0000031</v>
      </c>
      <c r="I5" s="11">
        <v>82.436000000000007</v>
      </c>
      <c r="J5" s="11">
        <v>83.373777777777761</v>
      </c>
      <c r="K5" s="11">
        <v>21240666.66666666</v>
      </c>
      <c r="L5" s="11">
        <v>1888416066.666666</v>
      </c>
      <c r="M5" s="6">
        <f t="shared" si="0"/>
        <v>6.2305510001186719E-2</v>
      </c>
    </row>
    <row r="6" spans="1:13" x14ac:dyDescent="0.25">
      <c r="A6" s="1" t="s">
        <v>82</v>
      </c>
      <c r="B6" s="13" t="s">
        <v>83</v>
      </c>
      <c r="C6" s="10">
        <v>1551646</v>
      </c>
      <c r="D6" s="11">
        <v>1551646000</v>
      </c>
      <c r="E6" s="3">
        <v>0.10550000000000001</v>
      </c>
      <c r="F6" s="4" t="s">
        <v>85</v>
      </c>
      <c r="G6" s="4" t="s">
        <v>84</v>
      </c>
      <c r="H6" s="11">
        <v>1395452658.7</v>
      </c>
      <c r="I6" s="11">
        <v>82.436000000000007</v>
      </c>
      <c r="J6" s="11">
        <v>83.373777777778031</v>
      </c>
      <c r="K6" s="11">
        <v>14550991.37777777</v>
      </c>
      <c r="L6" s="11">
        <v>1293665887.9377811</v>
      </c>
      <c r="M6" s="6">
        <f t="shared" si="0"/>
        <v>4.2682602812936711E-2</v>
      </c>
    </row>
    <row r="7" spans="1:13" x14ac:dyDescent="0.25">
      <c r="A7" s="1" t="s">
        <v>82</v>
      </c>
      <c r="B7" s="13" t="s">
        <v>83</v>
      </c>
      <c r="C7" s="10">
        <v>545692</v>
      </c>
      <c r="D7" s="11">
        <v>545692000</v>
      </c>
      <c r="E7" s="3">
        <v>0.10550000000000001</v>
      </c>
      <c r="F7" s="4" t="s">
        <v>86</v>
      </c>
      <c r="G7" s="4" t="s">
        <v>84</v>
      </c>
      <c r="H7" s="11">
        <v>449784993.92000002</v>
      </c>
      <c r="I7" s="11">
        <v>82.436000000000007</v>
      </c>
      <c r="J7" s="11">
        <v>83.373777777777761</v>
      </c>
      <c r="K7" s="11">
        <v>5117378.3111111103</v>
      </c>
      <c r="L7" s="11">
        <v>454964035.43111098</v>
      </c>
      <c r="M7" s="6">
        <f t="shared" si="0"/>
        <v>1.5010869034687676E-2</v>
      </c>
    </row>
    <row r="8" spans="1:13" x14ac:dyDescent="0.25">
      <c r="A8" s="1" t="s">
        <v>87</v>
      </c>
      <c r="B8" s="13" t="s">
        <v>88</v>
      </c>
      <c r="C8" s="10">
        <v>2265000</v>
      </c>
      <c r="D8" s="11">
        <v>2265000000</v>
      </c>
      <c r="E8" s="3">
        <v>0.10400000000000001</v>
      </c>
      <c r="F8" s="4" t="s">
        <v>80</v>
      </c>
      <c r="G8" s="4" t="s">
        <v>89</v>
      </c>
      <c r="H8" s="11">
        <v>2073109200</v>
      </c>
      <c r="I8" s="11">
        <v>86.315899999999999</v>
      </c>
      <c r="J8" s="11">
        <v>90.30256666666665</v>
      </c>
      <c r="K8" s="11">
        <v>90297999.999999985</v>
      </c>
      <c r="L8" s="11">
        <v>2045353134.999999</v>
      </c>
      <c r="M8" s="6">
        <f t="shared" si="0"/>
        <v>6.7483417694939346E-2</v>
      </c>
    </row>
    <row r="9" spans="1:13" x14ac:dyDescent="0.25">
      <c r="A9" s="1" t="s">
        <v>90</v>
      </c>
      <c r="B9" s="13" t="s">
        <v>91</v>
      </c>
      <c r="C9" s="10">
        <v>2265000</v>
      </c>
      <c r="D9" s="11">
        <v>2265000000</v>
      </c>
      <c r="E9" s="3">
        <v>0.11</v>
      </c>
      <c r="F9" s="4" t="s">
        <v>80</v>
      </c>
      <c r="G9" s="4" t="s">
        <v>92</v>
      </c>
      <c r="H9" s="11">
        <v>2080889475</v>
      </c>
      <c r="I9" s="11">
        <v>84.406199999999998</v>
      </c>
      <c r="J9" s="11">
        <v>88.989533333333327</v>
      </c>
      <c r="K9" s="11">
        <v>103812500</v>
      </c>
      <c r="L9" s="11">
        <v>2015612929.999999</v>
      </c>
      <c r="M9" s="6">
        <f t="shared" si="0"/>
        <v>6.6502183382876098E-2</v>
      </c>
    </row>
    <row r="10" spans="1:13" x14ac:dyDescent="0.25">
      <c r="A10" s="1" t="s">
        <v>58</v>
      </c>
      <c r="B10" s="13" t="s">
        <v>59</v>
      </c>
      <c r="C10" s="10">
        <v>2265000</v>
      </c>
      <c r="D10" s="11">
        <v>2265000000</v>
      </c>
      <c r="E10" s="3">
        <v>0.10300000000000001</v>
      </c>
      <c r="F10" s="4" t="s">
        <v>80</v>
      </c>
      <c r="G10" s="4" t="s">
        <v>93</v>
      </c>
      <c r="H10" s="11">
        <v>1963990560.0000031</v>
      </c>
      <c r="I10" s="11">
        <v>77.219000000000008</v>
      </c>
      <c r="J10" s="11">
        <v>81.882611111111103</v>
      </c>
      <c r="K10" s="11">
        <v>105630791.666667</v>
      </c>
      <c r="L10" s="11">
        <v>1854641141.666666</v>
      </c>
      <c r="M10" s="6">
        <f t="shared" si="0"/>
        <v>6.1191156038348779E-2</v>
      </c>
    </row>
    <row r="11" spans="1:13" x14ac:dyDescent="0.25">
      <c r="A11" s="1" t="s">
        <v>94</v>
      </c>
      <c r="B11" s="13" t="s">
        <v>95</v>
      </c>
      <c r="C11" s="10">
        <v>2265000</v>
      </c>
      <c r="D11" s="11">
        <v>2265000000</v>
      </c>
      <c r="E11" s="3">
        <v>8.4500000000000006E-2</v>
      </c>
      <c r="F11" s="4" t="s">
        <v>80</v>
      </c>
      <c r="G11" s="4" t="s">
        <v>96</v>
      </c>
      <c r="H11" s="11">
        <v>1740247065.0000031</v>
      </c>
      <c r="I11" s="11">
        <v>67.825699999999998</v>
      </c>
      <c r="J11" s="11">
        <v>70.970977777777762</v>
      </c>
      <c r="K11" s="11">
        <v>71240541.666666657</v>
      </c>
      <c r="L11" s="11">
        <v>1607492646.666666</v>
      </c>
      <c r="M11" s="6">
        <f t="shared" si="0"/>
        <v>5.3036855035084311E-2</v>
      </c>
    </row>
    <row r="12" spans="1:13" x14ac:dyDescent="0.25">
      <c r="A12" s="1" t="s">
        <v>97</v>
      </c>
      <c r="B12" s="13" t="s">
        <v>98</v>
      </c>
      <c r="C12" s="10">
        <v>2265000</v>
      </c>
      <c r="D12" s="11">
        <v>2265000000</v>
      </c>
      <c r="E12" s="3">
        <v>0.10650000000000001</v>
      </c>
      <c r="F12" s="4" t="s">
        <v>80</v>
      </c>
      <c r="G12" s="4" t="s">
        <v>99</v>
      </c>
      <c r="H12" s="11">
        <v>1967775375</v>
      </c>
      <c r="I12" s="11">
        <v>75.783000000000001</v>
      </c>
      <c r="J12" s="11">
        <v>76.788833333333329</v>
      </c>
      <c r="K12" s="11">
        <v>22782125</v>
      </c>
      <c r="L12" s="11">
        <v>1739267075</v>
      </c>
      <c r="M12" s="6">
        <f t="shared" si="0"/>
        <v>5.7384558439724127E-2</v>
      </c>
    </row>
    <row r="13" spans="1:13" x14ac:dyDescent="0.25">
      <c r="A13" s="1" t="s">
        <v>100</v>
      </c>
      <c r="B13" s="13" t="s">
        <v>101</v>
      </c>
      <c r="C13" s="10">
        <v>2265000</v>
      </c>
      <c r="D13" s="11">
        <v>2265000000</v>
      </c>
      <c r="E13" s="3">
        <v>8.0700000000000008E-2</v>
      </c>
      <c r="F13" s="4" t="s">
        <v>80</v>
      </c>
      <c r="G13" s="4" t="s">
        <v>102</v>
      </c>
      <c r="H13" s="11">
        <v>1622351550</v>
      </c>
      <c r="I13" s="11">
        <v>61.530700000000003</v>
      </c>
      <c r="J13" s="11">
        <v>63.951700000000002</v>
      </c>
      <c r="K13" s="11">
        <v>54835650</v>
      </c>
      <c r="L13" s="11">
        <v>1448506005</v>
      </c>
      <c r="M13" s="6">
        <f t="shared" si="0"/>
        <v>4.7791324684401233E-2</v>
      </c>
    </row>
    <row r="14" spans="1:13" x14ac:dyDescent="0.25">
      <c r="A14" s="1" t="s">
        <v>103</v>
      </c>
      <c r="B14" s="13" t="s">
        <v>104</v>
      </c>
      <c r="C14" s="10">
        <v>2265000</v>
      </c>
      <c r="D14" s="11">
        <v>2265000000</v>
      </c>
      <c r="E14" s="3">
        <v>8.0700000000000008E-2</v>
      </c>
      <c r="F14" s="4" t="s">
        <v>80</v>
      </c>
      <c r="G14" s="4" t="s">
        <v>105</v>
      </c>
      <c r="H14" s="11">
        <v>1597764975</v>
      </c>
      <c r="I14" s="11">
        <v>60.118900000000004</v>
      </c>
      <c r="J14" s="11">
        <v>64.84881666666665</v>
      </c>
      <c r="K14" s="11">
        <v>107132612.5</v>
      </c>
      <c r="L14" s="11">
        <v>1468825697.5</v>
      </c>
      <c r="M14" s="6">
        <f t="shared" si="0"/>
        <v>4.8461743045390145E-2</v>
      </c>
    </row>
    <row r="15" spans="1:13" x14ac:dyDescent="0.25">
      <c r="A15" s="1" t="s">
        <v>106</v>
      </c>
      <c r="B15" s="13" t="s">
        <v>107</v>
      </c>
      <c r="C15" s="10">
        <v>3775000</v>
      </c>
      <c r="D15" s="11">
        <v>3775000000</v>
      </c>
      <c r="E15" s="3">
        <v>5.4900000000000004E-2</v>
      </c>
      <c r="F15" s="4" t="s">
        <v>80</v>
      </c>
      <c r="G15" s="4" t="s">
        <v>108</v>
      </c>
      <c r="H15" s="11">
        <v>3136670150</v>
      </c>
      <c r="I15" s="11">
        <v>84.701999999999998</v>
      </c>
      <c r="J15" s="11">
        <v>87.035249999999991</v>
      </c>
      <c r="K15" s="11">
        <v>88080187.5</v>
      </c>
      <c r="L15" s="11">
        <v>3285580687.5</v>
      </c>
      <c r="M15" s="6">
        <f t="shared" si="0"/>
        <v>0.10840290124521143</v>
      </c>
    </row>
    <row r="16" spans="1:13" x14ac:dyDescent="0.25">
      <c r="A16" s="1" t="s">
        <v>109</v>
      </c>
      <c r="B16" s="13" t="s">
        <v>110</v>
      </c>
      <c r="C16" s="10">
        <v>2803860</v>
      </c>
      <c r="D16" s="11">
        <v>2803860000</v>
      </c>
      <c r="E16" s="3">
        <v>5.5E-2</v>
      </c>
      <c r="F16" s="4" t="s">
        <v>111</v>
      </c>
      <c r="G16" s="4" t="s">
        <v>112</v>
      </c>
      <c r="H16" s="11">
        <v>1773018067.1400001</v>
      </c>
      <c r="I16" s="11">
        <v>56.571800000000003</v>
      </c>
      <c r="J16" s="11">
        <v>58.4968</v>
      </c>
      <c r="K16" s="11">
        <v>53974305</v>
      </c>
      <c r="L16" s="11">
        <v>1640168376.48</v>
      </c>
      <c r="M16" s="6">
        <f t="shared" si="0"/>
        <v>5.4114942669804753E-2</v>
      </c>
    </row>
    <row r="17" spans="1:15" x14ac:dyDescent="0.25">
      <c r="A17" s="1" t="s">
        <v>113</v>
      </c>
      <c r="B17" s="13" t="s">
        <v>114</v>
      </c>
      <c r="C17" s="10">
        <v>1038480</v>
      </c>
      <c r="D17" s="11">
        <v>1038480000</v>
      </c>
      <c r="E17" s="3">
        <v>0.12</v>
      </c>
      <c r="F17" s="4" t="s">
        <v>111</v>
      </c>
      <c r="G17" s="4" t="s">
        <v>115</v>
      </c>
      <c r="H17" s="11">
        <v>979029096.96000004</v>
      </c>
      <c r="I17" s="11">
        <v>84.89370000000001</v>
      </c>
      <c r="J17" s="11">
        <v>90.660366666666661</v>
      </c>
      <c r="K17" s="11">
        <v>59885680</v>
      </c>
      <c r="L17" s="11">
        <v>941489775.75999999</v>
      </c>
      <c r="M17" s="6">
        <f t="shared" si="0"/>
        <v>3.1063070090890144E-2</v>
      </c>
    </row>
    <row r="18" spans="1:15" x14ac:dyDescent="0.25">
      <c r="A18" s="1" t="s">
        <v>64</v>
      </c>
      <c r="B18" s="13" t="s">
        <v>65</v>
      </c>
      <c r="C18" s="10">
        <v>506989</v>
      </c>
      <c r="D18" s="11">
        <v>506989000</v>
      </c>
      <c r="E18" s="3">
        <v>0.1535</v>
      </c>
      <c r="F18" s="4" t="s">
        <v>116</v>
      </c>
      <c r="G18" s="4" t="s">
        <v>117</v>
      </c>
      <c r="H18" s="11">
        <v>492216861.50999999</v>
      </c>
      <c r="I18" s="11">
        <v>97.686900000000009</v>
      </c>
      <c r="J18" s="11">
        <v>102.03606666666701</v>
      </c>
      <c r="K18" s="11">
        <v>22049796.591666661</v>
      </c>
      <c r="L18" s="11">
        <v>517311634.03266698</v>
      </c>
      <c r="M18" s="6">
        <f t="shared" si="0"/>
        <v>1.7067936328695674E-2</v>
      </c>
    </row>
    <row r="19" spans="1:15" x14ac:dyDescent="0.25">
      <c r="A19" s="1" t="s">
        <v>118</v>
      </c>
      <c r="B19" s="13" t="s">
        <v>119</v>
      </c>
      <c r="C19" s="10">
        <v>2100000</v>
      </c>
      <c r="D19" s="11">
        <v>2100000000</v>
      </c>
      <c r="E19" s="3">
        <v>0.14300000000000002</v>
      </c>
      <c r="F19" s="4" t="s">
        <v>120</v>
      </c>
      <c r="G19" s="4" t="s">
        <v>121</v>
      </c>
      <c r="H19" s="11">
        <v>2100000000</v>
      </c>
      <c r="I19" s="11">
        <v>93.3070672857652</v>
      </c>
      <c r="J19" s="11">
        <v>107.48790061909901</v>
      </c>
      <c r="K19" s="11">
        <v>297797500</v>
      </c>
      <c r="L19" s="11">
        <v>2257245913.0010691</v>
      </c>
      <c r="M19" s="6">
        <f t="shared" si="0"/>
        <v>7.4474508181808882E-2</v>
      </c>
    </row>
    <row r="20" spans="1:15" x14ac:dyDescent="0.25">
      <c r="A20" s="1" t="s">
        <v>122</v>
      </c>
      <c r="B20" s="13" t="s">
        <v>123</v>
      </c>
      <c r="C20" s="10">
        <v>1100000</v>
      </c>
      <c r="D20" s="11">
        <v>1100000000</v>
      </c>
      <c r="E20" s="3">
        <v>0.13870000000000002</v>
      </c>
      <c r="F20" s="4" t="s">
        <v>124</v>
      </c>
      <c r="G20" s="4" t="s">
        <v>125</v>
      </c>
      <c r="H20" s="11">
        <v>1100000000</v>
      </c>
      <c r="I20" s="11">
        <v>99.898700000000005</v>
      </c>
      <c r="J20" s="11">
        <v>106.44842222222201</v>
      </c>
      <c r="K20" s="11">
        <v>72046944.444444433</v>
      </c>
      <c r="L20" s="11">
        <v>1170932644.4444439</v>
      </c>
      <c r="M20" s="6">
        <f t="shared" si="0"/>
        <v>3.8633200001272322E-2</v>
      </c>
    </row>
    <row r="21" spans="1:15" x14ac:dyDescent="0.25">
      <c r="A21" s="1" t="s">
        <v>126</v>
      </c>
      <c r="B21" s="13" t="s">
        <v>127</v>
      </c>
      <c r="C21" s="10">
        <v>1000000</v>
      </c>
      <c r="D21" s="11">
        <v>1000000000</v>
      </c>
      <c r="E21" s="3">
        <v>0.1389</v>
      </c>
      <c r="F21" s="4" t="s">
        <v>128</v>
      </c>
      <c r="G21" s="4" t="s">
        <v>129</v>
      </c>
      <c r="H21" s="11">
        <v>1000000000</v>
      </c>
      <c r="I21" s="11">
        <v>98.003244842125198</v>
      </c>
      <c r="J21" s="11">
        <v>101.55291150879201</v>
      </c>
      <c r="K21" s="11">
        <v>35496666.666666657</v>
      </c>
      <c r="L21" s="11">
        <v>1015529115.087918</v>
      </c>
      <c r="M21" s="6">
        <f t="shared" si="0"/>
        <v>3.3505889170013736E-2</v>
      </c>
    </row>
    <row r="22" spans="1:15" x14ac:dyDescent="0.25">
      <c r="A22" s="1" t="s">
        <v>130</v>
      </c>
      <c r="B22" s="13" t="s">
        <v>131</v>
      </c>
      <c r="C22" s="10">
        <v>165739</v>
      </c>
      <c r="D22" s="11">
        <v>165739000</v>
      </c>
      <c r="E22" s="3">
        <v>0.125</v>
      </c>
      <c r="F22" s="4" t="s">
        <v>132</v>
      </c>
      <c r="G22" s="4" t="s">
        <v>133</v>
      </c>
      <c r="H22" s="11">
        <v>159596381.18279999</v>
      </c>
      <c r="I22" s="11">
        <v>95.523982461749796</v>
      </c>
      <c r="J22" s="11">
        <v>98.232315795069709</v>
      </c>
      <c r="K22" s="11">
        <v>4488764.5833111098</v>
      </c>
      <c r="L22" s="11">
        <v>162809257.87559101</v>
      </c>
      <c r="M22" s="6">
        <f t="shared" si="0"/>
        <v>5.3716519489049536E-3</v>
      </c>
    </row>
    <row r="23" spans="1:15" x14ac:dyDescent="0.25">
      <c r="A23" s="1" t="s">
        <v>134</v>
      </c>
      <c r="B23" s="13" t="s">
        <v>135</v>
      </c>
      <c r="C23" s="10">
        <v>494987</v>
      </c>
      <c r="D23" s="11">
        <v>494987000</v>
      </c>
      <c r="E23" s="3">
        <v>0.1701</v>
      </c>
      <c r="F23" s="4" t="s">
        <v>136</v>
      </c>
      <c r="G23" s="4" t="s">
        <v>137</v>
      </c>
      <c r="H23" s="11">
        <v>495088472.34249997</v>
      </c>
      <c r="I23" s="11">
        <v>101.7051</v>
      </c>
      <c r="J23" s="11">
        <v>102.79185</v>
      </c>
      <c r="K23" s="11">
        <v>5379271.2225000001</v>
      </c>
      <c r="L23" s="11">
        <v>508806294.55949998</v>
      </c>
      <c r="M23" s="6">
        <f t="shared" si="0"/>
        <v>1.6787315165296919E-2</v>
      </c>
    </row>
    <row r="24" spans="1:15" ht="9.75" hidden="1" customHeight="1" thickBot="1" x14ac:dyDescent="0.3">
      <c r="A24" s="1"/>
      <c r="B24" s="1"/>
      <c r="C24" s="1"/>
      <c r="D24" s="2"/>
      <c r="E24" s="3"/>
      <c r="F24" s="4"/>
      <c r="G24" s="4"/>
      <c r="H24" s="2"/>
      <c r="I24" s="5"/>
      <c r="J24" s="5"/>
      <c r="K24" s="2"/>
      <c r="L24" s="2"/>
      <c r="M24" s="6"/>
    </row>
    <row r="25" spans="1:15" x14ac:dyDescent="0.25">
      <c r="A25" s="1"/>
      <c r="B25" s="21"/>
      <c r="C25" s="1"/>
      <c r="D25" s="22"/>
      <c r="E25" s="13"/>
      <c r="F25" s="22"/>
      <c r="G25" s="22"/>
      <c r="H25" s="22"/>
      <c r="I25" s="22"/>
      <c r="J25" s="22"/>
      <c r="K25" s="22">
        <f>SUM(K4:K24)</f>
        <v>1270749056.5308115</v>
      </c>
      <c r="L25" s="22">
        <f>SUM(L4:L24)</f>
        <v>30308973742.943405</v>
      </c>
      <c r="M25" s="23"/>
      <c r="N25" s="26">
        <v>30308973742.943428</v>
      </c>
      <c r="O25" s="29">
        <f>L25-N25</f>
        <v>0</v>
      </c>
    </row>
    <row r="27" spans="1:15" x14ac:dyDescent="0.25">
      <c r="A27" s="30" t="s">
        <v>26</v>
      </c>
    </row>
    <row r="28" spans="1:15" x14ac:dyDescent="0.25">
      <c r="A28" s="19" t="s">
        <v>51</v>
      </c>
      <c r="B28" s="31">
        <v>6864932.1600000001</v>
      </c>
      <c r="C28" s="51">
        <v>6864932.1600000001</v>
      </c>
      <c r="D28" s="29">
        <f>B28-C28</f>
        <v>0</v>
      </c>
    </row>
    <row r="31" spans="1:15" x14ac:dyDescent="0.25">
      <c r="A31" s="27" t="s">
        <v>9</v>
      </c>
      <c r="E31" s="28"/>
      <c r="F31" s="28"/>
      <c r="G31" s="33"/>
      <c r="H31" s="33"/>
      <c r="I31" s="33"/>
      <c r="J31" s="33"/>
      <c r="K31" s="28"/>
      <c r="L31" s="28"/>
      <c r="M31" s="28"/>
    </row>
    <row r="32" spans="1:15" ht="22.5" x14ac:dyDescent="0.25">
      <c r="A32" s="19" t="s">
        <v>14</v>
      </c>
      <c r="B32" s="19" t="s">
        <v>15</v>
      </c>
      <c r="C32" s="19" t="s">
        <v>16</v>
      </c>
      <c r="D32" s="19" t="s">
        <v>17</v>
      </c>
      <c r="E32" s="19" t="s">
        <v>10</v>
      </c>
      <c r="F32" s="19" t="s">
        <v>11</v>
      </c>
      <c r="G32" s="19" t="s">
        <v>18</v>
      </c>
      <c r="H32" s="19" t="s">
        <v>19</v>
      </c>
      <c r="I32" s="19" t="s">
        <v>20</v>
      </c>
      <c r="J32" s="19" t="s">
        <v>21</v>
      </c>
      <c r="K32" s="19" t="s">
        <v>22</v>
      </c>
      <c r="L32" s="19" t="s">
        <v>24</v>
      </c>
      <c r="M32" s="19" t="s">
        <v>23</v>
      </c>
    </row>
    <row r="33" spans="1:14" s="36" customFormat="1" ht="12" customHeight="1" x14ac:dyDescent="0.25">
      <c r="A33" s="12" t="s">
        <v>49</v>
      </c>
      <c r="B33" s="7" t="s">
        <v>50</v>
      </c>
      <c r="C33" s="14">
        <v>35316</v>
      </c>
      <c r="D33" s="7" t="s">
        <v>51</v>
      </c>
      <c r="E33" s="34" t="s">
        <v>52</v>
      </c>
      <c r="F33" s="34" t="s">
        <v>53</v>
      </c>
      <c r="G33" s="15">
        <v>1020.218999886736</v>
      </c>
      <c r="H33" s="15">
        <v>1022.0078658398451</v>
      </c>
      <c r="I33" s="16">
        <f t="shared" ref="I33:I50" si="1">+C33*G33</f>
        <v>36030054.199999966</v>
      </c>
      <c r="J33" s="16">
        <f t="shared" ref="J33:J50" si="2">+C33*H33</f>
        <v>36093229.789999969</v>
      </c>
      <c r="K33" s="18">
        <v>0.159999</v>
      </c>
      <c r="L33" s="17">
        <v>15793.897500000001</v>
      </c>
      <c r="M33" s="17">
        <v>36045848.097499996</v>
      </c>
      <c r="N33" s="35"/>
    </row>
    <row r="34" spans="1:14" s="36" customFormat="1" ht="12" customHeight="1" x14ac:dyDescent="0.25">
      <c r="A34" s="12" t="s">
        <v>54</v>
      </c>
      <c r="B34" s="7" t="s">
        <v>55</v>
      </c>
      <c r="C34" s="14">
        <v>29884</v>
      </c>
      <c r="D34" s="7" t="s">
        <v>51</v>
      </c>
      <c r="E34" s="34" t="s">
        <v>52</v>
      </c>
      <c r="F34" s="34" t="s">
        <v>53</v>
      </c>
      <c r="G34" s="15">
        <v>1037.717000066925</v>
      </c>
      <c r="H34" s="15">
        <v>1039.536547316289</v>
      </c>
      <c r="I34" s="16">
        <f t="shared" si="1"/>
        <v>31011134.829999987</v>
      </c>
      <c r="J34" s="16">
        <f t="shared" si="2"/>
        <v>31065510.179999981</v>
      </c>
      <c r="K34" s="18">
        <v>0.159999</v>
      </c>
      <c r="L34" s="17">
        <v>13593.8375</v>
      </c>
      <c r="M34" s="17">
        <v>31024728.6675</v>
      </c>
      <c r="N34" s="35"/>
    </row>
    <row r="35" spans="1:14" s="36" customFormat="1" ht="12" customHeight="1" x14ac:dyDescent="0.25">
      <c r="A35" s="12" t="s">
        <v>56</v>
      </c>
      <c r="B35" s="7" t="s">
        <v>57</v>
      </c>
      <c r="C35" s="14">
        <v>102238</v>
      </c>
      <c r="D35" s="7" t="s">
        <v>51</v>
      </c>
      <c r="E35" s="34" t="s">
        <v>52</v>
      </c>
      <c r="F35" s="34" t="s">
        <v>53</v>
      </c>
      <c r="G35" s="15">
        <v>949.38899998043803</v>
      </c>
      <c r="H35" s="15">
        <v>951.05367162894402</v>
      </c>
      <c r="I35" s="16">
        <f t="shared" si="1"/>
        <v>97063632.580000028</v>
      </c>
      <c r="J35" s="16">
        <f t="shared" si="2"/>
        <v>97233825.279999971</v>
      </c>
      <c r="K35" s="18">
        <v>0.159999</v>
      </c>
      <c r="L35" s="17">
        <v>42548.175000000003</v>
      </c>
      <c r="M35" s="17">
        <v>97106180.754999995</v>
      </c>
      <c r="N35" s="35"/>
    </row>
    <row r="36" spans="1:14" s="36" customFormat="1" ht="12" customHeight="1" x14ac:dyDescent="0.25">
      <c r="A36" s="12" t="s">
        <v>56</v>
      </c>
      <c r="B36" s="7" t="s">
        <v>57</v>
      </c>
      <c r="C36" s="14">
        <v>38998</v>
      </c>
      <c r="D36" s="7" t="s">
        <v>51</v>
      </c>
      <c r="E36" s="34" t="s">
        <v>52</v>
      </c>
      <c r="F36" s="34" t="s">
        <v>53</v>
      </c>
      <c r="G36" s="15">
        <v>949.38899994871508</v>
      </c>
      <c r="H36" s="15">
        <v>951.05367172675506</v>
      </c>
      <c r="I36" s="16">
        <f t="shared" si="1"/>
        <v>37024272.219999991</v>
      </c>
      <c r="J36" s="16">
        <f t="shared" si="2"/>
        <v>37089191.089999996</v>
      </c>
      <c r="K36" s="18">
        <v>0.159999</v>
      </c>
      <c r="L36" s="17">
        <v>16229.717500000001</v>
      </c>
      <c r="M36" s="17">
        <v>37040501.9375</v>
      </c>
      <c r="N36" s="35"/>
    </row>
    <row r="37" spans="1:14" s="36" customFormat="1" ht="12" customHeight="1" x14ac:dyDescent="0.25">
      <c r="A37" s="12" t="s">
        <v>54</v>
      </c>
      <c r="B37" s="7" t="s">
        <v>55</v>
      </c>
      <c r="C37" s="14">
        <v>15424</v>
      </c>
      <c r="D37" s="7" t="s">
        <v>51</v>
      </c>
      <c r="E37" s="34" t="s">
        <v>52</v>
      </c>
      <c r="F37" s="34" t="s">
        <v>53</v>
      </c>
      <c r="G37" s="15">
        <v>1037.7170001296681</v>
      </c>
      <c r="H37" s="15">
        <v>1039.536547588174</v>
      </c>
      <c r="I37" s="16">
        <f t="shared" si="1"/>
        <v>16005747.010000002</v>
      </c>
      <c r="J37" s="16">
        <f t="shared" si="2"/>
        <v>16033811.709999995</v>
      </c>
      <c r="K37" s="18">
        <v>0.159999</v>
      </c>
      <c r="L37" s="17">
        <v>7016.1750000000002</v>
      </c>
      <c r="M37" s="17">
        <v>16012763.185000001</v>
      </c>
      <c r="N37" s="35"/>
    </row>
    <row r="38" spans="1:14" s="36" customFormat="1" ht="12" customHeight="1" x14ac:dyDescent="0.25">
      <c r="A38" s="12" t="s">
        <v>58</v>
      </c>
      <c r="B38" s="7" t="s">
        <v>59</v>
      </c>
      <c r="C38" s="14">
        <v>158860</v>
      </c>
      <c r="D38" s="7" t="s">
        <v>51</v>
      </c>
      <c r="E38" s="34" t="s">
        <v>52</v>
      </c>
      <c r="F38" s="34" t="s">
        <v>53</v>
      </c>
      <c r="G38" s="15">
        <v>818.54</v>
      </c>
      <c r="H38" s="15">
        <v>819.97523926727899</v>
      </c>
      <c r="I38" s="16">
        <f t="shared" si="1"/>
        <v>130033264.39999999</v>
      </c>
      <c r="J38" s="16">
        <f t="shared" si="2"/>
        <v>130261266.50999995</v>
      </c>
      <c r="K38" s="18">
        <v>0.159999</v>
      </c>
      <c r="L38" s="17">
        <v>57000.527500000004</v>
      </c>
      <c r="M38" s="17">
        <v>130090264.92749999</v>
      </c>
      <c r="N38" s="35"/>
    </row>
    <row r="39" spans="1:14" s="36" customFormat="1" ht="12" customHeight="1" x14ac:dyDescent="0.25">
      <c r="A39" s="12" t="s">
        <v>60</v>
      </c>
      <c r="B39" s="7" t="s">
        <v>61</v>
      </c>
      <c r="C39" s="14">
        <v>318200</v>
      </c>
      <c r="D39" s="7" t="s">
        <v>51</v>
      </c>
      <c r="E39" s="34" t="s">
        <v>52</v>
      </c>
      <c r="F39" s="34" t="s">
        <v>53</v>
      </c>
      <c r="G39" s="15">
        <v>628.83069999999998</v>
      </c>
      <c r="H39" s="15">
        <v>629.93330037712099</v>
      </c>
      <c r="I39" s="16">
        <f t="shared" si="1"/>
        <v>200093928.73999998</v>
      </c>
      <c r="J39" s="16">
        <f t="shared" si="2"/>
        <v>200444776.17999989</v>
      </c>
      <c r="K39" s="18">
        <v>0.159999</v>
      </c>
      <c r="L39" s="17">
        <v>87711.86</v>
      </c>
      <c r="M39" s="17">
        <v>200181640.59999999</v>
      </c>
      <c r="N39" s="35"/>
    </row>
    <row r="40" spans="1:14" s="36" customFormat="1" ht="12" customHeight="1" x14ac:dyDescent="0.25">
      <c r="A40" s="12" t="s">
        <v>60</v>
      </c>
      <c r="B40" s="7" t="s">
        <v>61</v>
      </c>
      <c r="C40" s="14">
        <v>198875</v>
      </c>
      <c r="D40" s="7" t="s">
        <v>51</v>
      </c>
      <c r="E40" s="34" t="s">
        <v>52</v>
      </c>
      <c r="F40" s="34" t="s">
        <v>53</v>
      </c>
      <c r="G40" s="15">
        <v>628.83069998742906</v>
      </c>
      <c r="H40" s="15">
        <v>629.93330036455097</v>
      </c>
      <c r="I40" s="16">
        <f t="shared" si="1"/>
        <v>125058705.45999995</v>
      </c>
      <c r="J40" s="16">
        <f t="shared" si="2"/>
        <v>125277985.11000007</v>
      </c>
      <c r="K40" s="18">
        <v>0.159999</v>
      </c>
      <c r="L40" s="17">
        <v>54819.912499999999</v>
      </c>
      <c r="M40" s="17">
        <v>125113525.3725</v>
      </c>
      <c r="N40" s="35"/>
    </row>
    <row r="41" spans="1:14" s="36" customFormat="1" ht="12" customHeight="1" x14ac:dyDescent="0.25">
      <c r="A41" s="12" t="s">
        <v>60</v>
      </c>
      <c r="B41" s="7" t="s">
        <v>61</v>
      </c>
      <c r="C41" s="14">
        <v>30229</v>
      </c>
      <c r="D41" s="7" t="s">
        <v>51</v>
      </c>
      <c r="E41" s="34" t="s">
        <v>52</v>
      </c>
      <c r="F41" s="34" t="s">
        <v>53</v>
      </c>
      <c r="G41" s="15">
        <v>628.83069999007603</v>
      </c>
      <c r="H41" s="15">
        <v>629.93330047305608</v>
      </c>
      <c r="I41" s="16">
        <f t="shared" si="1"/>
        <v>19008923.230000008</v>
      </c>
      <c r="J41" s="16">
        <f t="shared" si="2"/>
        <v>19042253.740000013</v>
      </c>
      <c r="K41" s="18">
        <v>0.159999</v>
      </c>
      <c r="L41" s="17">
        <v>8332.6275000000005</v>
      </c>
      <c r="M41" s="17">
        <v>19017255.857500002</v>
      </c>
      <c r="N41" s="35"/>
    </row>
    <row r="42" spans="1:14" s="36" customFormat="1" ht="12" customHeight="1" x14ac:dyDescent="0.25">
      <c r="A42" s="12" t="s">
        <v>62</v>
      </c>
      <c r="B42" s="7" t="s">
        <v>63</v>
      </c>
      <c r="C42" s="14">
        <v>4640</v>
      </c>
      <c r="D42" s="7" t="s">
        <v>51</v>
      </c>
      <c r="E42" s="34" t="s">
        <v>52</v>
      </c>
      <c r="F42" s="34" t="s">
        <v>53</v>
      </c>
      <c r="G42" s="15">
        <v>1078.3030000000001</v>
      </c>
      <c r="H42" s="15">
        <v>1080.217344827586</v>
      </c>
      <c r="I42" s="16">
        <f t="shared" si="1"/>
        <v>5003325.9200000009</v>
      </c>
      <c r="J42" s="16">
        <f t="shared" si="2"/>
        <v>5012208.4799999986</v>
      </c>
      <c r="K42" s="18">
        <v>0.161999</v>
      </c>
      <c r="L42" s="17">
        <v>2220.64</v>
      </c>
      <c r="M42" s="17">
        <v>5005546.5599999996</v>
      </c>
      <c r="N42" s="35"/>
    </row>
    <row r="43" spans="1:14" s="36" customFormat="1" ht="12" customHeight="1" x14ac:dyDescent="0.25">
      <c r="A43" s="12" t="s">
        <v>64</v>
      </c>
      <c r="B43" s="7" t="s">
        <v>65</v>
      </c>
      <c r="C43" s="14">
        <v>89271</v>
      </c>
      <c r="D43" s="7" t="s">
        <v>51</v>
      </c>
      <c r="E43" s="34" t="s">
        <v>52</v>
      </c>
      <c r="F43" s="34" t="s">
        <v>53</v>
      </c>
      <c r="G43" s="15">
        <v>1019.933999955192</v>
      </c>
      <c r="H43" s="15">
        <v>1021.7223661659441</v>
      </c>
      <c r="I43" s="16">
        <f t="shared" si="1"/>
        <v>91050528.10999994</v>
      </c>
      <c r="J43" s="16">
        <f t="shared" si="2"/>
        <v>91210177.349999994</v>
      </c>
      <c r="K43" s="18">
        <v>0.159999</v>
      </c>
      <c r="L43" s="17">
        <v>39912.31</v>
      </c>
      <c r="M43" s="17">
        <v>91090440.420000002</v>
      </c>
      <c r="N43" s="35"/>
    </row>
    <row r="44" spans="1:14" s="36" customFormat="1" ht="12" customHeight="1" x14ac:dyDescent="0.25">
      <c r="A44" s="12" t="s">
        <v>66</v>
      </c>
      <c r="B44" s="7" t="s">
        <v>67</v>
      </c>
      <c r="C44" s="14">
        <v>500388</v>
      </c>
      <c r="D44" s="7" t="s">
        <v>51</v>
      </c>
      <c r="E44" s="34" t="s">
        <v>52</v>
      </c>
      <c r="F44" s="34" t="s">
        <v>53</v>
      </c>
      <c r="G44" s="15">
        <v>1035.477000007993</v>
      </c>
      <c r="H44" s="15">
        <v>1037.2926195672151</v>
      </c>
      <c r="I44" s="16">
        <f t="shared" si="1"/>
        <v>518140265.07999957</v>
      </c>
      <c r="J44" s="16">
        <f t="shared" si="2"/>
        <v>519048779.31999964</v>
      </c>
      <c r="K44" s="18">
        <v>0.159999</v>
      </c>
      <c r="L44" s="17">
        <v>227128.56</v>
      </c>
      <c r="M44" s="17">
        <v>518367393.63999999</v>
      </c>
      <c r="N44" s="35"/>
    </row>
    <row r="45" spans="1:14" s="36" customFormat="1" ht="12" customHeight="1" x14ac:dyDescent="0.25">
      <c r="A45" s="12" t="s">
        <v>68</v>
      </c>
      <c r="B45" s="7" t="s">
        <v>69</v>
      </c>
      <c r="C45" s="14">
        <v>36366</v>
      </c>
      <c r="D45" s="7" t="s">
        <v>51</v>
      </c>
      <c r="E45" s="34" t="s">
        <v>52</v>
      </c>
      <c r="F45" s="34" t="s">
        <v>53</v>
      </c>
      <c r="G45" s="15">
        <v>605.03199994500403</v>
      </c>
      <c r="H45" s="15">
        <v>606.08624071935299</v>
      </c>
      <c r="I45" s="16">
        <f t="shared" si="1"/>
        <v>22002593.710000016</v>
      </c>
      <c r="J45" s="16">
        <f t="shared" si="2"/>
        <v>22040932.229999989</v>
      </c>
      <c r="K45" s="18">
        <v>0.158999</v>
      </c>
      <c r="L45" s="17">
        <v>9584.630000000001</v>
      </c>
      <c r="M45" s="17">
        <v>22012178.34</v>
      </c>
      <c r="N45" s="35"/>
    </row>
    <row r="46" spans="1:14" s="36" customFormat="1" ht="12" customHeight="1" x14ac:dyDescent="0.25">
      <c r="A46" s="12" t="s">
        <v>70</v>
      </c>
      <c r="B46" s="7" t="s">
        <v>71</v>
      </c>
      <c r="C46" s="14">
        <v>20920</v>
      </c>
      <c r="D46" s="7" t="s">
        <v>51</v>
      </c>
      <c r="E46" s="34" t="s">
        <v>52</v>
      </c>
      <c r="F46" s="34" t="s">
        <v>53</v>
      </c>
      <c r="G46" s="15">
        <v>956.7940000000001</v>
      </c>
      <c r="H46" s="15">
        <v>958.46117017208405</v>
      </c>
      <c r="I46" s="16">
        <f t="shared" si="1"/>
        <v>20016130.48</v>
      </c>
      <c r="J46" s="16">
        <f t="shared" si="2"/>
        <v>20051007.68</v>
      </c>
      <c r="K46" s="18">
        <v>0.158999</v>
      </c>
      <c r="L46" s="17">
        <v>8719.2999999999993</v>
      </c>
      <c r="M46" s="17">
        <v>20024849.780000001</v>
      </c>
      <c r="N46" s="35"/>
    </row>
    <row r="47" spans="1:14" s="36" customFormat="1" ht="12" customHeight="1" x14ac:dyDescent="0.25">
      <c r="A47" s="12" t="s">
        <v>72</v>
      </c>
      <c r="B47" s="7" t="s">
        <v>73</v>
      </c>
      <c r="C47" s="14">
        <v>61545</v>
      </c>
      <c r="D47" s="7" t="s">
        <v>51</v>
      </c>
      <c r="E47" s="34" t="s">
        <v>52</v>
      </c>
      <c r="F47" s="34" t="s">
        <v>53</v>
      </c>
      <c r="G47" s="15">
        <v>536.39460004874502</v>
      </c>
      <c r="H47" s="15">
        <v>537.32924331789707</v>
      </c>
      <c r="I47" s="16">
        <f t="shared" si="1"/>
        <v>33012405.660000011</v>
      </c>
      <c r="J47" s="16">
        <f t="shared" si="2"/>
        <v>33069928.279999975</v>
      </c>
      <c r="K47" s="18">
        <v>0.158999</v>
      </c>
      <c r="L47" s="17">
        <v>14380.655000000001</v>
      </c>
      <c r="M47" s="17">
        <v>33026786.315000001</v>
      </c>
      <c r="N47" s="35"/>
    </row>
    <row r="48" spans="1:14" s="36" customFormat="1" ht="12" customHeight="1" x14ac:dyDescent="0.25">
      <c r="A48" s="12" t="s">
        <v>74</v>
      </c>
      <c r="B48" s="7" t="s">
        <v>75</v>
      </c>
      <c r="C48" s="14">
        <v>94000</v>
      </c>
      <c r="D48" s="7" t="s">
        <v>51</v>
      </c>
      <c r="E48" s="34" t="s">
        <v>52</v>
      </c>
      <c r="F48" s="34" t="s">
        <v>53</v>
      </c>
      <c r="G48" s="15">
        <v>500.12560000000002</v>
      </c>
      <c r="H48" s="15">
        <v>500.99704627659605</v>
      </c>
      <c r="I48" s="16">
        <f t="shared" si="1"/>
        <v>47011806.399999999</v>
      </c>
      <c r="J48" s="16">
        <f t="shared" si="2"/>
        <v>47093722.350000031</v>
      </c>
      <c r="K48" s="18">
        <v>0.158999</v>
      </c>
      <c r="L48" s="17">
        <v>20478.987499999999</v>
      </c>
      <c r="M48" s="17">
        <v>47032285.387500003</v>
      </c>
      <c r="N48" s="35"/>
    </row>
    <row r="49" spans="1:15" s="36" customFormat="1" ht="12" customHeight="1" x14ac:dyDescent="0.25">
      <c r="A49" s="12" t="s">
        <v>72</v>
      </c>
      <c r="B49" s="7" t="s">
        <v>73</v>
      </c>
      <c r="C49" s="14">
        <v>143605</v>
      </c>
      <c r="D49" s="7" t="s">
        <v>51</v>
      </c>
      <c r="E49" s="34" t="s">
        <v>52</v>
      </c>
      <c r="F49" s="34" t="s">
        <v>53</v>
      </c>
      <c r="G49" s="15">
        <v>536.39459997910899</v>
      </c>
      <c r="H49" s="15">
        <v>537.32924334110908</v>
      </c>
      <c r="I49" s="16">
        <f t="shared" si="1"/>
        <v>77028946.529999942</v>
      </c>
      <c r="J49" s="16">
        <f t="shared" si="2"/>
        <v>77163165.989999965</v>
      </c>
      <c r="K49" s="18">
        <v>0.158999</v>
      </c>
      <c r="L49" s="17">
        <v>33554.864999999998</v>
      </c>
      <c r="M49" s="17">
        <v>77062501.394999996</v>
      </c>
      <c r="N49" s="35"/>
    </row>
    <row r="50" spans="1:15" s="36" customFormat="1" ht="12" customHeight="1" x14ac:dyDescent="0.25">
      <c r="A50" s="12" t="s">
        <v>76</v>
      </c>
      <c r="B50" s="7" t="s">
        <v>77</v>
      </c>
      <c r="C50" s="14">
        <v>252192</v>
      </c>
      <c r="D50" s="7" t="s">
        <v>51</v>
      </c>
      <c r="E50" s="34" t="s">
        <v>52</v>
      </c>
      <c r="F50" s="34" t="s">
        <v>53</v>
      </c>
      <c r="G50" s="15">
        <v>844.71900000793005</v>
      </c>
      <c r="H50" s="15">
        <v>846.19088468309906</v>
      </c>
      <c r="I50" s="16">
        <f t="shared" si="1"/>
        <v>213031374.04999989</v>
      </c>
      <c r="J50" s="16">
        <f t="shared" si="2"/>
        <v>213402571.59000012</v>
      </c>
      <c r="K50" s="18">
        <v>0.158999</v>
      </c>
      <c r="L50" s="17">
        <v>92799.384999999995</v>
      </c>
      <c r="M50" s="17">
        <v>213124173.435</v>
      </c>
      <c r="N50" s="35"/>
    </row>
    <row r="51" spans="1:15" s="36" customFormat="1" ht="11.25" hidden="1" x14ac:dyDescent="0.25">
      <c r="A51" s="7"/>
      <c r="B51" s="7"/>
      <c r="C51" s="7"/>
      <c r="D51" s="7"/>
      <c r="E51" s="37"/>
      <c r="F51" s="37"/>
      <c r="G51" s="7"/>
      <c r="H51" s="7"/>
      <c r="I51" s="8"/>
      <c r="J51" s="8"/>
      <c r="K51" s="7"/>
      <c r="L51" s="9"/>
      <c r="M51" s="9"/>
      <c r="N51" s="35"/>
    </row>
    <row r="52" spans="1:15" x14ac:dyDescent="0.25">
      <c r="A52" s="1" t="s">
        <v>5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2">
        <f>SUM(M33:M51)</f>
        <v>1718378864.6724999</v>
      </c>
      <c r="N52" s="38">
        <v>1718378864.6724999</v>
      </c>
      <c r="O52" s="29">
        <f>M52-N52</f>
        <v>0</v>
      </c>
    </row>
    <row r="54" spans="1:15" x14ac:dyDescent="0.25">
      <c r="A54" s="39" t="s">
        <v>28</v>
      </c>
      <c r="B54" s="33"/>
      <c r="D54" s="33"/>
      <c r="F54" s="28"/>
      <c r="G54" s="28"/>
    </row>
    <row r="55" spans="1:15" ht="22.5" x14ac:dyDescent="0.25">
      <c r="A55" s="19" t="s">
        <v>6</v>
      </c>
      <c r="B55" s="19" t="s">
        <v>29</v>
      </c>
      <c r="C55" s="19" t="s">
        <v>17</v>
      </c>
      <c r="D55" s="19" t="s">
        <v>30</v>
      </c>
      <c r="E55" s="19" t="s">
        <v>16</v>
      </c>
      <c r="F55" s="19" t="s">
        <v>31</v>
      </c>
      <c r="G55" s="19" t="s">
        <v>32</v>
      </c>
    </row>
    <row r="56" spans="1:15" hidden="1" x14ac:dyDescent="0.25">
      <c r="B56" s="41"/>
      <c r="C56" s="42"/>
      <c r="D56" s="43"/>
      <c r="G56" s="44"/>
      <c r="H56" s="33"/>
    </row>
    <row r="57" spans="1:15" x14ac:dyDescent="0.25">
      <c r="G57" s="45">
        <f>SUM(G56:G56)</f>
        <v>0</v>
      </c>
    </row>
    <row r="59" spans="1:15" x14ac:dyDescent="0.25">
      <c r="A59" s="46" t="s">
        <v>13</v>
      </c>
      <c r="B59" s="47">
        <f>+L25+B28+M52+G57</f>
        <v>32034217539.775906</v>
      </c>
      <c r="C59" s="32">
        <v>32034217539.775932</v>
      </c>
      <c r="D59" s="29">
        <f>B59-C59</f>
        <v>0</v>
      </c>
    </row>
    <row r="62" spans="1:15" x14ac:dyDescent="0.25">
      <c r="A62" s="24" t="s">
        <v>46</v>
      </c>
      <c r="B62" s="33"/>
    </row>
    <row r="63" spans="1:15" x14ac:dyDescent="0.25">
      <c r="A63" s="48" t="s">
        <v>35</v>
      </c>
      <c r="B63" s="49"/>
    </row>
    <row r="64" spans="1:15" x14ac:dyDescent="0.25">
      <c r="A64" s="48" t="s">
        <v>36</v>
      </c>
      <c r="B64" s="40"/>
    </row>
    <row r="65" spans="1:2" x14ac:dyDescent="0.25">
      <c r="A65" s="48" t="s">
        <v>37</v>
      </c>
      <c r="B65" s="40">
        <v>475020.45999999996</v>
      </c>
    </row>
    <row r="66" spans="1:2" x14ac:dyDescent="0.25">
      <c r="A66" s="48" t="s">
        <v>38</v>
      </c>
      <c r="B66" s="40"/>
    </row>
    <row r="67" spans="1:2" x14ac:dyDescent="0.25">
      <c r="A67" s="48" t="s">
        <v>39</v>
      </c>
      <c r="B67" s="49"/>
    </row>
    <row r="68" spans="1:2" x14ac:dyDescent="0.25">
      <c r="A68" s="48" t="s">
        <v>40</v>
      </c>
      <c r="B68" s="50">
        <v>102810.24000000001</v>
      </c>
    </row>
    <row r="69" spans="1:2" x14ac:dyDescent="0.25">
      <c r="A69" s="48" t="s">
        <v>41</v>
      </c>
      <c r="B69" s="50">
        <v>101111.37999999999</v>
      </c>
    </row>
    <row r="70" spans="1:2" x14ac:dyDescent="0.25">
      <c r="A70" s="48" t="s">
        <v>42</v>
      </c>
      <c r="B70" s="40"/>
    </row>
    <row r="71" spans="1:2" x14ac:dyDescent="0.25">
      <c r="A71" s="48" t="s">
        <v>43</v>
      </c>
      <c r="B71" s="40"/>
    </row>
    <row r="72" spans="1:2" x14ac:dyDescent="0.25">
      <c r="A72" s="48" t="s">
        <v>44</v>
      </c>
      <c r="B72" s="50"/>
    </row>
    <row r="73" spans="1:2" x14ac:dyDescent="0.25">
      <c r="A73" s="48" t="s">
        <v>45</v>
      </c>
      <c r="B73" s="49">
        <f>SUM(B63:B72)</f>
        <v>678942.08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2025-09-02T07:50:15Z</dcterms:created>
  <dcterms:modified xsi:type="dcterms:W3CDTF">2025-09-02T10:15:28Z</dcterms:modified>
</cp:coreProperties>
</file>