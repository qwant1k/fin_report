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1.2025\"/>
    </mc:Choice>
  </mc:AlternateContent>
  <xr:revisionPtr revIDLastSave="0" documentId="13_ncr:1_{F868F42B-2BC1-4E8D-ABB0-5013C5963F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Расчет ДУ" sheetId="3" r:id="rId2"/>
    <sheet name="Лист1" sheetId="2" r:id="rId3"/>
  </sheets>
  <externalReferences>
    <externalReference r:id="rId4"/>
  </externalReferences>
  <definedNames>
    <definedName name="__mdDATAHead__">ДУ!$1:$1</definedName>
    <definedName name="__mdDATAMoney__">ДУ!$27:$27</definedName>
    <definedName name="__mdDATAOther__" localSheetId="1">[1]ДУ!#REF!</definedName>
    <definedName name="__mdDATAOther__">ДУ!$42:$42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0" i="1" l="1"/>
  <c r="B60" i="1" s="1"/>
  <c r="B2" i="3"/>
  <c r="C2" i="3"/>
  <c r="F2" i="3" l="1"/>
  <c r="G2" i="3"/>
  <c r="H2" i="3" s="1"/>
  <c r="D46" i="1" l="1"/>
  <c r="I42" i="1"/>
  <c r="O38" i="1"/>
  <c r="O24" i="1"/>
  <c r="D27" i="1"/>
  <c r="G44" i="1"/>
  <c r="A42" i="1"/>
  <c r="M38" i="1"/>
  <c r="J36" i="1"/>
  <c r="I36" i="1"/>
  <c r="J35" i="1"/>
  <c r="I35" i="1"/>
  <c r="J34" i="1"/>
  <c r="I34" i="1"/>
  <c r="J33" i="1"/>
  <c r="I33" i="1"/>
  <c r="J32" i="1"/>
  <c r="I32" i="1"/>
  <c r="L24" i="1"/>
  <c r="M21" i="1" s="1"/>
  <c r="K24" i="1"/>
  <c r="M22" i="1"/>
  <c r="M17" i="1"/>
  <c r="M16" i="1"/>
  <c r="M11" i="1"/>
  <c r="M10" i="1"/>
  <c r="M5" i="1"/>
  <c r="M4" i="1"/>
  <c r="M6" i="1" l="1"/>
  <c r="M12" i="1"/>
  <c r="M18" i="1"/>
  <c r="M7" i="1"/>
  <c r="M19" i="1"/>
  <c r="M8" i="1"/>
  <c r="M14" i="1"/>
  <c r="M20" i="1"/>
  <c r="B46" i="1"/>
  <c r="M13" i="1"/>
  <c r="M9" i="1"/>
  <c r="M15" i="1"/>
</calcChain>
</file>

<file path=xl/sharedStrings.xml><?xml version="1.0" encoding="utf-8"?>
<sst xmlns="http://schemas.openxmlformats.org/spreadsheetml/2006/main" count="166" uniqueCount="134">
  <si>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</si>
  <si>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</si>
  <si>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</si>
  <si>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</si>
  <si>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</si>
  <si>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</si>
  <si>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</si>
  <si>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</si>
  <si>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</si>
  <si>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</si>
  <si>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</si>
  <si>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</si>
  <si>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</si>
  <si>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</si>
  <si>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</si>
  <si>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</si>
  <si>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</si>
  <si>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</si>
  <si>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</si>
  <si>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</si>
  <si>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</si>
  <si>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</si>
  <si>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</si>
  <si>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</si>
  <si>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</si>
  <si>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</si>
  <si>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</si>
  <si>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</si>
  <si>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</si>
  <si>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</si>
  <si>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</si>
  <si>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</si>
  <si>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</si>
  <si>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</si>
  <si>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</si>
  <si>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</si>
  <si>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</si>
  <si>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</si>
  <si>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</si>
  <si>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</si>
  <si>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</si>
  <si>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</si>
  <si>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</si>
  <si>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</si>
  <si>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</si>
  <si>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</si>
  <si>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</si>
  <si>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</si>
  <si>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</si>
  <si>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KZ2C00012698 _BTRKb17</t>
  </si>
  <si>
    <t>KZT</t>
  </si>
  <si>
    <t>28.11.2025</t>
  </si>
  <si>
    <t>МИНИСТЕРСТВО ФИНАНСОВ РК, ГЦБ, MUM084_0019</t>
  </si>
  <si>
    <t>KZKD00001244</t>
  </si>
  <si>
    <t>01.12.2025</t>
  </si>
  <si>
    <t>ЕВРАЗИЙСКИЙ БАНК РАЗВИТИЯ, ОБЛИГАЦИИ, EABRb40</t>
  </si>
  <si>
    <t>KZ2D00009628</t>
  </si>
  <si>
    <t>МИНИСТЕРСТВО ФИНАНСОВ РК, ГЦБ, MUM096_0011</t>
  </si>
  <si>
    <t>KZKD00001095</t>
  </si>
  <si>
    <t>25.11.2025</t>
  </si>
  <si>
    <t>02.12.2025</t>
  </si>
  <si>
    <t>МИНИСТЕРСТВО ФИНАНСОВ РК, ГЦБ, MUM156_0005</t>
  </si>
  <si>
    <t>KZKD00000758</t>
  </si>
  <si>
    <t>МИНИСТЕРСТВО ФИНАНСОВ РК, ГЦБ, MUM120_0018</t>
  </si>
  <si>
    <t>KZKD00000907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</si>
  <si>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</si>
  <si>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</si>
  <si>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</si>
  <si>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</si>
  <si>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</si>
  <si>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</si>
  <si>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</si>
  <si>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</si>
  <si>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</si>
  <si>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</si>
  <si>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</si>
  <si>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</si>
  <si>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</si>
  <si>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</si>
  <si>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</si>
  <si>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</si>
  <si>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</si>
  <si>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</si>
  <si>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</si>
  <si>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</si>
  <si>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</si>
  <si>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</si>
  <si>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</si>
  <si>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</si>
  <si>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</si>
  <si>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</si>
  <si>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</si>
  <si>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</si>
  <si>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</si>
  <si>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</si>
  <si>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</si>
  <si>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</si>
  <si>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</si>
  <si>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</si>
  <si>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</si>
  <si>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</si>
  <si>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</si>
  <si>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</si>
  <si>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</si>
  <si>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</si>
  <si>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</si>
  <si>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</si>
  <si>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</si>
  <si>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</si>
  <si>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</si>
  <si>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</si>
  <si>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</si>
  <si>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</si>
  <si>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</si>
  <si>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</si>
  <si>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</si>
  <si>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</si>
  <si>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АО КФУ,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</si>
  <si>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</si>
  <si>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</si>
  <si>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</si>
  <si>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</si>
  <si>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</si>
  <si>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</si>
  <si>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</si>
  <si>
    <t>30.11.2025</t>
  </si>
  <si>
    <t xml:space="preserve">Средняя грязная </t>
  </si>
  <si>
    <t xml:space="preserve">Сумма комиссий кроме ДУ </t>
  </si>
  <si>
    <t xml:space="preserve">Месячная доля комиссии ДУ </t>
  </si>
  <si>
    <t>К оплате</t>
  </si>
  <si>
    <t>Оплаченная комиссия ДУ за октябрь</t>
  </si>
  <si>
    <t>Корректировка комиссии ДУ за октябрь</t>
  </si>
  <si>
    <t>Комиссия ДУ за ноябрь</t>
  </si>
  <si>
    <t>Фактическая комиссия за октябрь  (без корректировки)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</si>
</sst>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  <numFmt numFmtId="167" formatCode="_-* #,##0.00\ _₸_-;\-* #,##0.00\ _₸_-;_-* &quot;-&quot;??\ _₸_-;_-@_-"/>
  </numFmts>
  <fonts count="13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63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1" xfId="3" applyBorder="1" applyAlignment="1">
      <alignment horizontal="left"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7" fillId="0" borderId="1" xfId="3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  <xf numFmtId="4" fontId="0" fillId="0" borderId="1" xfId="2" applyNumberFormat="1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4" fontId="11" fillId="0" borderId="0" xfId="0" applyNumberFormat="1" applyFont="1" applyAlignment="1">
      <alignment vertical="center"/>
    </xf>
    <xf numFmtId="164" fontId="0" fillId="0" borderId="0" xfId="0" applyNumberFormat="1"/>
    <xf numFmtId="43" fontId="0" fillId="0" borderId="0" xfId="0" applyNumberFormat="1"/>
    <xf numFmtId="167" fontId="0" fillId="0" borderId="0" xfId="0" applyNumberFormat="1"/>
    <xf numFmtId="43" fontId="0" fillId="0" borderId="0" xfId="2" applyFont="1"/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47625</xdr:rowOff>
    </xdr:from>
    <xdr:to>
      <xdr:col>3</xdr:col>
      <xdr:colOff>2039294</xdr:colOff>
      <xdr:row>44</xdr:row>
      <xdr:rowOff>134426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A14DE29-5086-428D-AF5C-AB3A2F88D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9625"/>
          <a:ext cx="6763694" cy="77068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ECTOR-INVEST/&#1057;&#1074;&#1077;&#1088;&#1082;&#1072;/Jusan%20Invest%20BCK/&#1057;&#1074;&#1077;&#1088;&#1082;&#1072;/2025/04.2025/&#1055;&#1088;&#1080;&#1083;&#1086;&#1078;&#1077;&#1085;&#1080;&#1077;%203%20&#1057;&#1074;&#1077;&#1088;&#1082;&#1072;_JI_30%2004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У"/>
      <sheetName val="Расчет ДУ"/>
      <sheetName val="Лист1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0"/>
  <sheetViews>
    <sheetView tabSelected="1" topLeftCell="A15" zoomScale="90" zoomScaleNormal="90" workbookViewId="0">
      <selection activeCell="E50" sqref="E50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125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65</v>
      </c>
      <c r="B4" s="13" t="s">
        <v>66</v>
      </c>
      <c r="C4" s="10">
        <v>3020000</v>
      </c>
      <c r="D4" s="11">
        <v>3020000000</v>
      </c>
      <c r="E4" s="3">
        <v>0.1067</v>
      </c>
      <c r="F4" s="4" t="s">
        <v>67</v>
      </c>
      <c r="G4" s="4" t="s">
        <v>68</v>
      </c>
      <c r="H4" s="11">
        <v>2930617060.0000029</v>
      </c>
      <c r="I4" s="11">
        <v>99.111000000000004</v>
      </c>
      <c r="J4" s="11">
        <v>102.934416666667</v>
      </c>
      <c r="K4" s="11">
        <v>115467183.333333</v>
      </c>
      <c r="L4" s="11">
        <v>3108619383.333333</v>
      </c>
      <c r="M4" s="6">
        <f t="shared" ref="M4:M22" si="0">L4/$L$24</f>
        <v>0.10314712129870741</v>
      </c>
    </row>
    <row r="5" spans="1:13" x14ac:dyDescent="0.25">
      <c r="A5" s="1" t="s">
        <v>69</v>
      </c>
      <c r="B5" s="13" t="s">
        <v>70</v>
      </c>
      <c r="C5" s="10">
        <v>2265000</v>
      </c>
      <c r="D5" s="11">
        <v>2265000000</v>
      </c>
      <c r="E5" s="3">
        <v>0.10550000000000001</v>
      </c>
      <c r="F5" s="4" t="s">
        <v>67</v>
      </c>
      <c r="G5" s="4" t="s">
        <v>71</v>
      </c>
      <c r="H5" s="11">
        <v>2039188560.0000031</v>
      </c>
      <c r="I5" s="11">
        <v>84.198700000000002</v>
      </c>
      <c r="J5" s="11">
        <v>87.773977777777759</v>
      </c>
      <c r="K5" s="11">
        <v>80980041.666666657</v>
      </c>
      <c r="L5" s="11">
        <v>1988080596.666666</v>
      </c>
      <c r="M5" s="6">
        <f t="shared" si="0"/>
        <v>6.596651605385502E-2</v>
      </c>
    </row>
    <row r="6" spans="1:13" x14ac:dyDescent="0.25">
      <c r="A6" s="1" t="s">
        <v>69</v>
      </c>
      <c r="B6" s="13" t="s">
        <v>70</v>
      </c>
      <c r="C6" s="10">
        <v>1551646</v>
      </c>
      <c r="D6" s="11">
        <v>1551646000</v>
      </c>
      <c r="E6" s="3">
        <v>0.10550000000000001</v>
      </c>
      <c r="F6" s="4" t="s">
        <v>72</v>
      </c>
      <c r="G6" s="4" t="s">
        <v>71</v>
      </c>
      <c r="H6" s="11">
        <v>1395452658.7</v>
      </c>
      <c r="I6" s="11">
        <v>84.198700000000002</v>
      </c>
      <c r="J6" s="11">
        <v>87.773977777778029</v>
      </c>
      <c r="K6" s="11">
        <v>55475654.62777777</v>
      </c>
      <c r="L6" s="11">
        <v>1361941415.2297809</v>
      </c>
      <c r="M6" s="6">
        <f t="shared" si="0"/>
        <v>4.5190587535938277E-2</v>
      </c>
    </row>
    <row r="7" spans="1:13" x14ac:dyDescent="0.25">
      <c r="A7" s="1" t="s">
        <v>69</v>
      </c>
      <c r="B7" s="13" t="s">
        <v>70</v>
      </c>
      <c r="C7" s="10">
        <v>545692</v>
      </c>
      <c r="D7" s="11">
        <v>545692000</v>
      </c>
      <c r="E7" s="3">
        <v>0.10550000000000001</v>
      </c>
      <c r="F7" s="4" t="s">
        <v>73</v>
      </c>
      <c r="G7" s="4" t="s">
        <v>71</v>
      </c>
      <c r="H7" s="11">
        <v>449784993.92000002</v>
      </c>
      <c r="I7" s="11">
        <v>84.198700000000002</v>
      </c>
      <c r="J7" s="11">
        <v>87.773977777777759</v>
      </c>
      <c r="K7" s="11">
        <v>19510004.811111111</v>
      </c>
      <c r="L7" s="11">
        <v>478975574.81511098</v>
      </c>
      <c r="M7" s="6">
        <f t="shared" si="0"/>
        <v>1.589289186686987E-2</v>
      </c>
    </row>
    <row r="8" spans="1:13" x14ac:dyDescent="0.25">
      <c r="A8" s="1" t="s">
        <v>74</v>
      </c>
      <c r="B8" s="13" t="s">
        <v>75</v>
      </c>
      <c r="C8" s="10">
        <v>2265000</v>
      </c>
      <c r="D8" s="11">
        <v>2265000000</v>
      </c>
      <c r="E8" s="3">
        <v>0.10400000000000001</v>
      </c>
      <c r="F8" s="4" t="s">
        <v>67</v>
      </c>
      <c r="G8" s="4" t="s">
        <v>76</v>
      </c>
      <c r="H8" s="11">
        <v>2073109200</v>
      </c>
      <c r="I8" s="11">
        <v>88.38730000000001</v>
      </c>
      <c r="J8" s="11">
        <v>94.973966666666655</v>
      </c>
      <c r="K8" s="11">
        <v>149188000</v>
      </c>
      <c r="L8" s="11">
        <v>2151160344.999999</v>
      </c>
      <c r="M8" s="6">
        <f t="shared" si="0"/>
        <v>7.1377666313319668E-2</v>
      </c>
    </row>
    <row r="9" spans="1:13" x14ac:dyDescent="0.25">
      <c r="A9" s="1" t="s">
        <v>77</v>
      </c>
      <c r="B9" s="13" t="s">
        <v>78</v>
      </c>
      <c r="C9" s="10">
        <v>2265000</v>
      </c>
      <c r="D9" s="11">
        <v>2265000000</v>
      </c>
      <c r="E9" s="3">
        <v>0.11</v>
      </c>
      <c r="F9" s="4" t="s">
        <v>67</v>
      </c>
      <c r="G9" s="4" t="s">
        <v>79</v>
      </c>
      <c r="H9" s="11">
        <v>2080889475</v>
      </c>
      <c r="I9" s="11">
        <v>86.309100000000001</v>
      </c>
      <c r="J9" s="11">
        <v>93.642433333333329</v>
      </c>
      <c r="K9" s="11">
        <v>166100000</v>
      </c>
      <c r="L9" s="11">
        <v>2121001114.999999</v>
      </c>
      <c r="M9" s="6">
        <f t="shared" si="0"/>
        <v>7.0376952693709569E-2</v>
      </c>
    </row>
    <row r="10" spans="1:13" x14ac:dyDescent="0.25">
      <c r="A10" s="1" t="s">
        <v>80</v>
      </c>
      <c r="B10" s="13" t="s">
        <v>81</v>
      </c>
      <c r="C10" s="10">
        <v>2265000</v>
      </c>
      <c r="D10" s="11">
        <v>2265000000</v>
      </c>
      <c r="E10" s="3">
        <v>0.10300000000000001</v>
      </c>
      <c r="F10" s="4" t="s">
        <v>67</v>
      </c>
      <c r="G10" s="4" t="s">
        <v>82</v>
      </c>
      <c r="H10" s="11">
        <v>1963990560.0000031</v>
      </c>
      <c r="I10" s="11">
        <v>78.766199999999998</v>
      </c>
      <c r="J10" s="11">
        <v>86.00481111111111</v>
      </c>
      <c r="K10" s="11">
        <v>163954541.66666701</v>
      </c>
      <c r="L10" s="11">
        <v>1948008971.666666</v>
      </c>
      <c r="M10" s="6">
        <f t="shared" si="0"/>
        <v>6.4636899187064709E-2</v>
      </c>
    </row>
    <row r="11" spans="1:13" x14ac:dyDescent="0.25">
      <c r="A11" s="1" t="s">
        <v>83</v>
      </c>
      <c r="B11" s="13" t="s">
        <v>84</v>
      </c>
      <c r="C11" s="10">
        <v>2265000</v>
      </c>
      <c r="D11" s="11">
        <v>2265000000</v>
      </c>
      <c r="E11" s="3">
        <v>8.4500000000000006E-2</v>
      </c>
      <c r="F11" s="4" t="s">
        <v>67</v>
      </c>
      <c r="G11" s="4" t="s">
        <v>85</v>
      </c>
      <c r="H11" s="11">
        <v>1740247065.0000031</v>
      </c>
      <c r="I11" s="11">
        <v>69.194100000000006</v>
      </c>
      <c r="J11" s="11">
        <v>74.451877777777767</v>
      </c>
      <c r="K11" s="11">
        <v>119088666.666667</v>
      </c>
      <c r="L11" s="11">
        <v>1686335031.666666</v>
      </c>
      <c r="M11" s="6">
        <f t="shared" si="0"/>
        <v>5.595429437072702E-2</v>
      </c>
    </row>
    <row r="12" spans="1:13" x14ac:dyDescent="0.25">
      <c r="A12" s="1" t="s">
        <v>86</v>
      </c>
      <c r="B12" s="13" t="s">
        <v>87</v>
      </c>
      <c r="C12" s="10">
        <v>2265000</v>
      </c>
      <c r="D12" s="11">
        <v>2265000000</v>
      </c>
      <c r="E12" s="3">
        <v>0.10650000000000001</v>
      </c>
      <c r="F12" s="4" t="s">
        <v>67</v>
      </c>
      <c r="G12" s="4" t="s">
        <v>88</v>
      </c>
      <c r="H12" s="11">
        <v>1967775375</v>
      </c>
      <c r="I12" s="11">
        <v>76.89800000000001</v>
      </c>
      <c r="J12" s="11">
        <v>80.566333333333333</v>
      </c>
      <c r="K12" s="11">
        <v>83087750</v>
      </c>
      <c r="L12" s="11">
        <v>1824827450</v>
      </c>
      <c r="M12" s="6">
        <f t="shared" si="0"/>
        <v>6.0549612263090545E-2</v>
      </c>
    </row>
    <row r="13" spans="1:13" x14ac:dyDescent="0.25">
      <c r="A13" s="1" t="s">
        <v>89</v>
      </c>
      <c r="B13" s="13" t="s">
        <v>90</v>
      </c>
      <c r="C13" s="10">
        <v>2265000</v>
      </c>
      <c r="D13" s="11">
        <v>2265000000</v>
      </c>
      <c r="E13" s="3">
        <v>8.0700000000000008E-2</v>
      </c>
      <c r="F13" s="4" t="s">
        <v>67</v>
      </c>
      <c r="G13" s="4" t="s">
        <v>91</v>
      </c>
      <c r="H13" s="11">
        <v>1622351550</v>
      </c>
      <c r="I13" s="11">
        <v>62.494200000000006</v>
      </c>
      <c r="J13" s="11">
        <v>66.932699999999997</v>
      </c>
      <c r="K13" s="11">
        <v>100532025</v>
      </c>
      <c r="L13" s="11">
        <v>1516025655</v>
      </c>
      <c r="M13" s="6">
        <f t="shared" si="0"/>
        <v>5.030325776343833E-2</v>
      </c>
    </row>
    <row r="14" spans="1:13" x14ac:dyDescent="0.25">
      <c r="A14" s="1" t="s">
        <v>92</v>
      </c>
      <c r="B14" s="13" t="s">
        <v>93</v>
      </c>
      <c r="C14" s="10">
        <v>2265000</v>
      </c>
      <c r="D14" s="11">
        <v>2265000000</v>
      </c>
      <c r="E14" s="3">
        <v>8.0700000000000008E-2</v>
      </c>
      <c r="F14" s="4" t="s">
        <v>67</v>
      </c>
      <c r="G14" s="4" t="s">
        <v>94</v>
      </c>
      <c r="H14" s="11">
        <v>1597764975</v>
      </c>
      <c r="I14" s="11">
        <v>61.061</v>
      </c>
      <c r="J14" s="11">
        <v>67.808416666666659</v>
      </c>
      <c r="K14" s="11">
        <v>152828987.5</v>
      </c>
      <c r="L14" s="11">
        <v>1535860637.5</v>
      </c>
      <c r="M14" s="6">
        <f t="shared" si="0"/>
        <v>5.0961402455211899E-2</v>
      </c>
    </row>
    <row r="15" spans="1:13" x14ac:dyDescent="0.25">
      <c r="A15" s="1" t="s">
        <v>95</v>
      </c>
      <c r="B15" s="13" t="s">
        <v>96</v>
      </c>
      <c r="C15" s="10">
        <v>3775000</v>
      </c>
      <c r="D15" s="11">
        <v>3775000000</v>
      </c>
      <c r="E15" s="3">
        <v>5.4900000000000004E-2</v>
      </c>
      <c r="F15" s="4" t="s">
        <v>67</v>
      </c>
      <c r="G15" s="4" t="s">
        <v>97</v>
      </c>
      <c r="H15" s="11">
        <v>3136670150</v>
      </c>
      <c r="I15" s="11">
        <v>87.458399999999997</v>
      </c>
      <c r="J15" s="11">
        <v>91.164149999999992</v>
      </c>
      <c r="K15" s="11">
        <v>139892062.5</v>
      </c>
      <c r="L15" s="11">
        <v>3441446662.5</v>
      </c>
      <c r="M15" s="6">
        <f t="shared" si="0"/>
        <v>0.1141906655549718</v>
      </c>
    </row>
    <row r="16" spans="1:13" x14ac:dyDescent="0.25">
      <c r="A16" s="1" t="s">
        <v>98</v>
      </c>
      <c r="B16" s="13" t="s">
        <v>99</v>
      </c>
      <c r="C16" s="10">
        <v>2803860</v>
      </c>
      <c r="D16" s="11">
        <v>2803860000</v>
      </c>
      <c r="E16" s="3">
        <v>5.5E-2</v>
      </c>
      <c r="F16" s="4" t="s">
        <v>100</v>
      </c>
      <c r="G16" s="4" t="s">
        <v>101</v>
      </c>
      <c r="H16" s="11">
        <v>1773018067.1400001</v>
      </c>
      <c r="I16" s="11">
        <v>58.0595</v>
      </c>
      <c r="J16" s="11">
        <v>61.359500000000004</v>
      </c>
      <c r="K16" s="11">
        <v>92527380</v>
      </c>
      <c r="L16" s="11">
        <v>1720434476.7</v>
      </c>
      <c r="M16" s="6">
        <f t="shared" si="0"/>
        <v>5.7085748292660818E-2</v>
      </c>
    </row>
    <row r="17" spans="1:15" x14ac:dyDescent="0.25">
      <c r="A17" s="1" t="s">
        <v>102</v>
      </c>
      <c r="B17" s="13" t="s">
        <v>103</v>
      </c>
      <c r="C17" s="10">
        <v>1038480</v>
      </c>
      <c r="D17" s="11">
        <v>1038480000</v>
      </c>
      <c r="E17" s="3">
        <v>0.12</v>
      </c>
      <c r="F17" s="4" t="s">
        <v>100</v>
      </c>
      <c r="G17" s="4" t="s">
        <v>104</v>
      </c>
      <c r="H17" s="11">
        <v>979029096.96000004</v>
      </c>
      <c r="I17" s="11">
        <v>86.552800000000005</v>
      </c>
      <c r="J17" s="11">
        <v>95.319466666666656</v>
      </c>
      <c r="K17" s="11">
        <v>91040080</v>
      </c>
      <c r="L17" s="11">
        <v>989873597.44000006</v>
      </c>
      <c r="M17" s="6">
        <f t="shared" si="0"/>
        <v>3.2845002695713825E-2</v>
      </c>
    </row>
    <row r="18" spans="1:15" x14ac:dyDescent="0.25">
      <c r="A18" s="1" t="s">
        <v>105</v>
      </c>
      <c r="B18" s="13" t="s">
        <v>106</v>
      </c>
      <c r="C18" s="10">
        <v>506989</v>
      </c>
      <c r="D18" s="11">
        <v>506989000</v>
      </c>
      <c r="E18" s="3">
        <v>0.1535</v>
      </c>
      <c r="F18" s="4" t="s">
        <v>107</v>
      </c>
      <c r="G18" s="4" t="s">
        <v>108</v>
      </c>
      <c r="H18" s="11">
        <v>492216861.50999999</v>
      </c>
      <c r="I18" s="11">
        <v>98.909100000000009</v>
      </c>
      <c r="J18" s="11">
        <v>99.420766666666651</v>
      </c>
      <c r="K18" s="11">
        <v>2594093.7166666701</v>
      </c>
      <c r="L18" s="11">
        <v>504052350.71566701</v>
      </c>
      <c r="M18" s="6">
        <f t="shared" si="0"/>
        <v>1.6724964541788852E-2</v>
      </c>
    </row>
    <row r="19" spans="1:15" x14ac:dyDescent="0.25">
      <c r="A19" s="1" t="s">
        <v>109</v>
      </c>
      <c r="B19" s="13" t="s">
        <v>110</v>
      </c>
      <c r="C19" s="10">
        <v>2100000</v>
      </c>
      <c r="D19" s="11">
        <v>2100000000</v>
      </c>
      <c r="E19" s="3">
        <v>0.14300000000000002</v>
      </c>
      <c r="F19" s="4" t="s">
        <v>111</v>
      </c>
      <c r="G19" s="4" t="s">
        <v>112</v>
      </c>
      <c r="H19" s="11">
        <v>2100000000</v>
      </c>
      <c r="I19" s="11">
        <v>95.106278098146291</v>
      </c>
      <c r="J19" s="11">
        <v>98.562111431479622</v>
      </c>
      <c r="K19" s="11">
        <v>72572500</v>
      </c>
      <c r="L19" s="11">
        <v>2069804340.0610721</v>
      </c>
      <c r="M19" s="6">
        <f t="shared" si="0"/>
        <v>6.8678192149707051E-2</v>
      </c>
    </row>
    <row r="20" spans="1:15" x14ac:dyDescent="0.25">
      <c r="A20" s="1" t="s">
        <v>113</v>
      </c>
      <c r="B20" s="13" t="s">
        <v>114</v>
      </c>
      <c r="C20" s="10">
        <v>1000000</v>
      </c>
      <c r="D20" s="11">
        <v>1000000000</v>
      </c>
      <c r="E20" s="3">
        <v>0.1389</v>
      </c>
      <c r="F20" s="4" t="s">
        <v>115</v>
      </c>
      <c r="G20" s="4" t="s">
        <v>116</v>
      </c>
      <c r="H20" s="11">
        <v>1000000000</v>
      </c>
      <c r="I20" s="11">
        <v>98.488909668943492</v>
      </c>
      <c r="J20" s="11">
        <v>98.566076335610163</v>
      </c>
      <c r="K20" s="11">
        <v>771666.66666666663</v>
      </c>
      <c r="L20" s="11">
        <v>985660763.35610199</v>
      </c>
      <c r="M20" s="6">
        <f t="shared" si="0"/>
        <v>3.2705216618784325E-2</v>
      </c>
    </row>
    <row r="21" spans="1:15" x14ac:dyDescent="0.25">
      <c r="A21" s="1" t="s">
        <v>117</v>
      </c>
      <c r="B21" s="13" t="s">
        <v>118</v>
      </c>
      <c r="C21" s="10">
        <v>165739</v>
      </c>
      <c r="D21" s="11">
        <v>165739000</v>
      </c>
      <c r="E21" s="3">
        <v>0.125</v>
      </c>
      <c r="F21" s="4" t="s">
        <v>119</v>
      </c>
      <c r="G21" s="4" t="s">
        <v>120</v>
      </c>
      <c r="H21" s="11">
        <v>159596381.18279999</v>
      </c>
      <c r="I21" s="11">
        <v>97.028449335982003</v>
      </c>
      <c r="J21" s="11">
        <v>102.861782669302</v>
      </c>
      <c r="K21" s="11">
        <v>9668108.3333111107</v>
      </c>
      <c r="L21" s="11">
        <v>170482089.97827399</v>
      </c>
      <c r="M21" s="6">
        <f t="shared" si="0"/>
        <v>5.6567674088779211E-3</v>
      </c>
    </row>
    <row r="22" spans="1:15" x14ac:dyDescent="0.25">
      <c r="A22" s="1" t="s">
        <v>121</v>
      </c>
      <c r="B22" s="13" t="s">
        <v>122</v>
      </c>
      <c r="C22" s="10">
        <v>494987</v>
      </c>
      <c r="D22" s="11">
        <v>494987000</v>
      </c>
      <c r="E22" s="3">
        <v>0.1701</v>
      </c>
      <c r="F22" s="4" t="s">
        <v>123</v>
      </c>
      <c r="G22" s="4" t="s">
        <v>124</v>
      </c>
      <c r="H22" s="11">
        <v>495088472.34249997</v>
      </c>
      <c r="I22" s="11">
        <v>102.77120000000001</v>
      </c>
      <c r="J22" s="11">
        <v>108.11045</v>
      </c>
      <c r="K22" s="11">
        <v>26428593.397500001</v>
      </c>
      <c r="L22" s="11">
        <v>535132673.1415</v>
      </c>
      <c r="M22" s="6">
        <f t="shared" si="0"/>
        <v>1.775624093556297E-2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1641707339.8863671</v>
      </c>
      <c r="L24" s="22">
        <f>SUM(L4:L23)</f>
        <v>30137723129.77084</v>
      </c>
      <c r="M24" s="23"/>
      <c r="N24" s="26">
        <v>30137723129.770855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50</v>
      </c>
      <c r="B27" s="31">
        <v>6303041.8399999999</v>
      </c>
      <c r="C27" s="58">
        <v>6303041.8399999999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52</v>
      </c>
      <c r="B32" s="7" t="s">
        <v>53</v>
      </c>
      <c r="C32" s="14">
        <v>1858320</v>
      </c>
      <c r="D32" s="7" t="s">
        <v>50</v>
      </c>
      <c r="E32" s="34" t="s">
        <v>51</v>
      </c>
      <c r="F32" s="34" t="s">
        <v>54</v>
      </c>
      <c r="G32" s="15">
        <v>937.18600000000004</v>
      </c>
      <c r="H32" s="15">
        <v>938.54170245705802</v>
      </c>
      <c r="I32" s="16">
        <f>+C32*G32</f>
        <v>1741591487.52</v>
      </c>
      <c r="J32" s="16">
        <f>+C32*H32</f>
        <v>1744110816.51</v>
      </c>
      <c r="K32" s="18">
        <v>0.17599899999999999</v>
      </c>
      <c r="L32" s="17">
        <v>839776.33</v>
      </c>
      <c r="M32" s="17">
        <v>1743271040.1800001</v>
      </c>
      <c r="N32" s="35"/>
    </row>
    <row r="33" spans="1:15" s="36" customFormat="1" ht="12" customHeight="1" x14ac:dyDescent="0.25">
      <c r="A33" s="12" t="s">
        <v>55</v>
      </c>
      <c r="B33" s="7" t="s">
        <v>56</v>
      </c>
      <c r="C33" s="14">
        <v>19170</v>
      </c>
      <c r="D33" s="7" t="s">
        <v>50</v>
      </c>
      <c r="E33" s="34" t="s">
        <v>51</v>
      </c>
      <c r="F33" s="34" t="s">
        <v>54</v>
      </c>
      <c r="G33" s="15">
        <v>521.84619979134106</v>
      </c>
      <c r="H33" s="15">
        <v>522.60108555033901</v>
      </c>
      <c r="I33" s="16">
        <f>+C33*G33</f>
        <v>10003791.650000008</v>
      </c>
      <c r="J33" s="16">
        <f>+C33*H33</f>
        <v>10018262.809999999</v>
      </c>
      <c r="K33" s="18">
        <v>0.17599899999999999</v>
      </c>
      <c r="L33" s="17">
        <v>4823.72</v>
      </c>
      <c r="M33" s="17">
        <v>10013439.09</v>
      </c>
      <c r="N33" s="35"/>
    </row>
    <row r="34" spans="1:15" s="36" customFormat="1" ht="12" customHeight="1" x14ac:dyDescent="0.25">
      <c r="A34" s="12" t="s">
        <v>57</v>
      </c>
      <c r="B34" s="7" t="s">
        <v>58</v>
      </c>
      <c r="C34" s="14">
        <v>9240</v>
      </c>
      <c r="D34" s="7" t="s">
        <v>50</v>
      </c>
      <c r="E34" s="34" t="s">
        <v>59</v>
      </c>
      <c r="F34" s="34" t="s">
        <v>60</v>
      </c>
      <c r="G34" s="15">
        <v>866.47700000000009</v>
      </c>
      <c r="H34" s="15">
        <v>869.38503896103907</v>
      </c>
      <c r="I34" s="16">
        <f>+C34*G34</f>
        <v>8006247.4800000004</v>
      </c>
      <c r="J34" s="16">
        <f>+C34*H34</f>
        <v>8033117.7600000007</v>
      </c>
      <c r="K34" s="18">
        <v>0.17499999999999999</v>
      </c>
      <c r="L34" s="17">
        <v>3838.6114285714284</v>
      </c>
      <c r="M34" s="17">
        <v>8025440.5371428598</v>
      </c>
      <c r="N34" s="35"/>
    </row>
    <row r="35" spans="1:15" s="36" customFormat="1" ht="12" customHeight="1" x14ac:dyDescent="0.25">
      <c r="A35" s="12" t="s">
        <v>61</v>
      </c>
      <c r="B35" s="7" t="s">
        <v>62</v>
      </c>
      <c r="C35" s="14">
        <v>1656000</v>
      </c>
      <c r="D35" s="7" t="s">
        <v>50</v>
      </c>
      <c r="E35" s="34" t="s">
        <v>59</v>
      </c>
      <c r="F35" s="34" t="s">
        <v>60</v>
      </c>
      <c r="G35" s="15">
        <v>906.46800000000007</v>
      </c>
      <c r="H35" s="15">
        <v>909.51025561594201</v>
      </c>
      <c r="I35" s="16">
        <f>+C35*G35</f>
        <v>1501111008.0000002</v>
      </c>
      <c r="J35" s="16">
        <f>+C35*H35</f>
        <v>1506148983.3</v>
      </c>
      <c r="K35" s="18">
        <v>0.17499999999999999</v>
      </c>
      <c r="L35" s="17">
        <v>719710.75714285707</v>
      </c>
      <c r="M35" s="17">
        <v>1504709561.7857139</v>
      </c>
      <c r="N35" s="35"/>
    </row>
    <row r="36" spans="1:15" s="36" customFormat="1" ht="12" customHeight="1" x14ac:dyDescent="0.25">
      <c r="A36" s="12" t="s">
        <v>63</v>
      </c>
      <c r="B36" s="7" t="s">
        <v>64</v>
      </c>
      <c r="C36" s="14">
        <v>97110</v>
      </c>
      <c r="D36" s="7" t="s">
        <v>50</v>
      </c>
      <c r="E36" s="34" t="s">
        <v>59</v>
      </c>
      <c r="F36" s="34" t="s">
        <v>60</v>
      </c>
      <c r="G36" s="15">
        <v>927.21900000000005</v>
      </c>
      <c r="H36" s="15">
        <v>930.33089939244201</v>
      </c>
      <c r="I36" s="16">
        <f>+C36*G36</f>
        <v>90042237.090000004</v>
      </c>
      <c r="J36" s="16">
        <f>+C36*H36</f>
        <v>90344433.640000045</v>
      </c>
      <c r="K36" s="18">
        <v>0.17499999999999999</v>
      </c>
      <c r="L36" s="17">
        <v>43170.935714285704</v>
      </c>
      <c r="M36" s="17">
        <v>90258091.768571422</v>
      </c>
      <c r="N36" s="35"/>
    </row>
    <row r="37" spans="1:15" s="36" customFormat="1" ht="11.25" hidden="1" x14ac:dyDescent="0.25">
      <c r="A37" s="7"/>
      <c r="B37" s="7"/>
      <c r="C37" s="7"/>
      <c r="D37" s="7"/>
      <c r="E37" s="37"/>
      <c r="F37" s="37"/>
      <c r="G37" s="7"/>
      <c r="H37" s="7"/>
      <c r="I37" s="8"/>
      <c r="J37" s="8"/>
      <c r="K37" s="7"/>
      <c r="L37" s="9"/>
      <c r="M37" s="9"/>
      <c r="N37" s="35"/>
    </row>
    <row r="38" spans="1:15" x14ac:dyDescent="0.25">
      <c r="A38" s="1" t="s">
        <v>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2">
        <f>SUM(M32:M37)</f>
        <v>3356277573.3614278</v>
      </c>
      <c r="N38" s="38">
        <v>3356277573.3614283</v>
      </c>
      <c r="O38" s="29">
        <f>M38-N38</f>
        <v>0</v>
      </c>
    </row>
    <row r="40" spans="1:15" x14ac:dyDescent="0.25">
      <c r="A40" s="39" t="s">
        <v>28</v>
      </c>
      <c r="B40" s="33"/>
      <c r="D40" s="33"/>
      <c r="F40" s="28"/>
      <c r="G40" s="28"/>
    </row>
    <row r="41" spans="1:15" ht="22.5" x14ac:dyDescent="0.25">
      <c r="A41" s="19" t="s">
        <v>6</v>
      </c>
      <c r="B41" s="19" t="s">
        <v>29</v>
      </c>
      <c r="C41" s="19" t="s">
        <v>17</v>
      </c>
      <c r="D41" s="19" t="s">
        <v>30</v>
      </c>
      <c r="E41" s="19" t="s">
        <v>16</v>
      </c>
      <c r="F41" s="19" t="s">
        <v>31</v>
      </c>
      <c r="G41" s="19" t="s">
        <v>32</v>
      </c>
    </row>
    <row r="42" spans="1:15" x14ac:dyDescent="0.25">
      <c r="A42" s="57">
        <f ca="1">IF(OFFSET(A42,-1,0)="№ п/п",1,OFFSET(A42,-1,0)+1)</f>
        <v>1</v>
      </c>
      <c r="B42" s="40" t="s">
        <v>49</v>
      </c>
      <c r="C42" s="52" t="s">
        <v>50</v>
      </c>
      <c r="D42" s="53" t="s">
        <v>51</v>
      </c>
      <c r="E42" s="54">
        <v>1000000</v>
      </c>
      <c r="F42" s="55">
        <v>69450000</v>
      </c>
      <c r="G42" s="56">
        <v>69450000</v>
      </c>
      <c r="H42" s="58">
        <v>69450000</v>
      </c>
      <c r="I42" s="29">
        <f>G42-H42</f>
        <v>0</v>
      </c>
    </row>
    <row r="43" spans="1:15" hidden="1" x14ac:dyDescent="0.25">
      <c r="B43" s="42"/>
      <c r="C43" s="43"/>
      <c r="D43" s="44"/>
      <c r="G43" s="45"/>
      <c r="H43" s="33"/>
    </row>
    <row r="44" spans="1:15" x14ac:dyDescent="0.25">
      <c r="G44" s="46">
        <f>SUM(G42:G43)</f>
        <v>69450000</v>
      </c>
    </row>
    <row r="46" spans="1:15" x14ac:dyDescent="0.25">
      <c r="A46" s="47" t="s">
        <v>13</v>
      </c>
      <c r="B46" s="48">
        <f>+L24+B27+M38+G44</f>
        <v>33569753744.972267</v>
      </c>
      <c r="C46" s="32">
        <v>33569753744.972282</v>
      </c>
      <c r="D46" s="29">
        <f>B46-C46</f>
        <v>0</v>
      </c>
    </row>
    <row r="49" spans="1:2" x14ac:dyDescent="0.25">
      <c r="A49" s="24" t="s">
        <v>46</v>
      </c>
      <c r="B49" s="33"/>
    </row>
    <row r="50" spans="1:2" x14ac:dyDescent="0.25">
      <c r="A50" s="49" t="s">
        <v>35</v>
      </c>
      <c r="B50" s="50">
        <f>'Расчет ДУ'!H2</f>
        <v>3307210.86</v>
      </c>
    </row>
    <row r="51" spans="1:2" x14ac:dyDescent="0.25">
      <c r="A51" s="49" t="s">
        <v>36</v>
      </c>
      <c r="B51" s="41"/>
    </row>
    <row r="52" spans="1:2" x14ac:dyDescent="0.25">
      <c r="A52" s="49" t="s">
        <v>37</v>
      </c>
      <c r="B52" s="41">
        <v>473792.61999999994</v>
      </c>
    </row>
    <row r="53" spans="1:2" x14ac:dyDescent="0.25">
      <c r="A53" s="49" t="s">
        <v>38</v>
      </c>
      <c r="B53" s="41"/>
    </row>
    <row r="54" spans="1:2" x14ac:dyDescent="0.25">
      <c r="A54" s="49" t="s">
        <v>39</v>
      </c>
      <c r="B54" s="41">
        <v>388306.05115975923</v>
      </c>
    </row>
    <row r="55" spans="1:2" x14ac:dyDescent="0.25">
      <c r="A55" s="49" t="s">
        <v>40</v>
      </c>
      <c r="B55" s="41">
        <v>137196.26999999999</v>
      </c>
    </row>
    <row r="56" spans="1:2" x14ac:dyDescent="0.25">
      <c r="A56" s="49" t="s">
        <v>41</v>
      </c>
      <c r="B56" s="41">
        <v>68383.88</v>
      </c>
    </row>
    <row r="57" spans="1:2" x14ac:dyDescent="0.25">
      <c r="A57" s="49" t="s">
        <v>42</v>
      </c>
      <c r="B57" s="41"/>
    </row>
    <row r="58" spans="1:2" x14ac:dyDescent="0.25">
      <c r="A58" s="49" t="s">
        <v>43</v>
      </c>
      <c r="B58" s="41"/>
    </row>
    <row r="59" spans="1:2" x14ac:dyDescent="0.25">
      <c r="A59" s="49" t="s">
        <v>44</v>
      </c>
      <c r="B59" s="51"/>
    </row>
    <row r="60" spans="1:2" x14ac:dyDescent="0.25">
      <c r="A60" s="49" t="s">
        <v>45</v>
      </c>
      <c r="B60" s="50">
        <f>SUM(B50:B59)</f>
        <v>4374889.6811597589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45000-1D62-4C49-A0F3-A4A50AE90F31}">
  <dimension ref="A1:H12"/>
  <sheetViews>
    <sheetView workbookViewId="0">
      <selection activeCell="B3" sqref="B3"/>
    </sheetView>
  </sheetViews>
  <sheetFormatPr defaultRowHeight="15" x14ac:dyDescent="0.25"/>
  <cols>
    <col min="1" max="1" width="16.5703125" bestFit="1" customWidth="1"/>
    <col min="2" max="2" width="26.42578125" bestFit="1" customWidth="1"/>
    <col min="3" max="3" width="27.85546875" bestFit="1" customWidth="1"/>
    <col min="4" max="4" width="35.42578125" bestFit="1" customWidth="1"/>
    <col min="5" max="5" width="50.42578125" bestFit="1" customWidth="1"/>
    <col min="6" max="6" width="36.140625" bestFit="1" customWidth="1"/>
    <col min="7" max="7" width="24.140625" bestFit="1" customWidth="1"/>
    <col min="8" max="8" width="14.5703125" bestFit="1" customWidth="1"/>
  </cols>
  <sheetData>
    <row r="1" spans="1:8" x14ac:dyDescent="0.25">
      <c r="A1" t="s">
        <v>126</v>
      </c>
      <c r="B1" t="s">
        <v>127</v>
      </c>
      <c r="C1" t="s">
        <v>128</v>
      </c>
      <c r="D1" t="s">
        <v>130</v>
      </c>
      <c r="E1" t="s">
        <v>133</v>
      </c>
      <c r="F1" t="s">
        <v>131</v>
      </c>
      <c r="G1" t="s">
        <v>132</v>
      </c>
      <c r="H1" t="s">
        <v>129</v>
      </c>
    </row>
    <row r="2" spans="1:8" x14ac:dyDescent="0.25">
      <c r="A2" s="59">
        <v>33076512789.939804</v>
      </c>
      <c r="B2" s="60">
        <f>ДУ!B52+ДУ!B54+ДУ!B55+ДУ!B56</f>
        <v>1067678.8211597591</v>
      </c>
      <c r="C2" s="61">
        <f>A2*0.12%/12</f>
        <v>3307651.2789939805</v>
      </c>
      <c r="D2" s="61">
        <v>3264616.22</v>
      </c>
      <c r="E2" s="61">
        <v>3264613.33</v>
      </c>
      <c r="F2" s="60">
        <f>ROUND((E2-D2),2)</f>
        <v>-2.89</v>
      </c>
      <c r="G2" s="61">
        <f>ROUND(((A2-B2-C2)*0.12%/12),2)</f>
        <v>3307213.75</v>
      </c>
      <c r="H2" s="62">
        <f>F2+G2</f>
        <v>3307210.86</v>
      </c>
    </row>
    <row r="3" spans="1:8" x14ac:dyDescent="0.25">
      <c r="A3" s="59"/>
    </row>
    <row r="12" spans="1:8" x14ac:dyDescent="0.25">
      <c r="E12" s="59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5</vt:i4>
      </vt:variant>
    </vt:vector>
  </HeadingPairs>
  <TitlesOfParts>
    <vt:vector size="8" baseType="lpstr">
      <vt:lpstr>ДУ</vt:lpstr>
      <vt:lpstr>Расчет ДУ</vt:lpstr>
      <vt:lpstr>Лист1</vt:lpstr>
      <vt:lpstr>__mdDATAHead__</vt:lpstr>
      <vt:lpstr>__mdDATAMoney__</vt:lpstr>
      <vt:lpstr>__mdDATAOther__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2025-12-01T06:46:06Z</dcterms:created>
  <dcterms:modified xsi:type="dcterms:W3CDTF">2025-12-02T05:42:05Z</dcterms:modified>
</cp:coreProperties>
</file>