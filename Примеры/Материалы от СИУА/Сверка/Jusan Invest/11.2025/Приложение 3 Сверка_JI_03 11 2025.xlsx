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6BAE839B-282F-468F-8563-7B9B22839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65" i="1"/>
  <c r="G49" i="1"/>
  <c r="M44" i="1"/>
  <c r="B51" i="1" s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2" i="1"/>
  <c r="M21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<sst xmlns="http://schemas.openxmlformats.org/spreadsheetml/2006/main" count="185" uniqueCount="127">
  <si>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</si>
  <si>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</si>
  <si>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</si>
  <si>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</si>
  <si>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</si>
  <si>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</si>
  <si>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</si>
  <si>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</si>
  <si>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</si>
  <si>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</si>
  <si>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</si>
  <si>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</si>
  <si>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</si>
  <si>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</si>
  <si>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</si>
  <si>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</si>
  <si>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</si>
  <si>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</si>
  <si>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</si>
  <si>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</si>
  <si>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</si>
  <si>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</si>
  <si>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</si>
  <si>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</si>
  <si>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</si>
  <si>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</si>
  <si>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</si>
  <si>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</si>
  <si>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</si>
  <si>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</si>
  <si>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</si>
  <si>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</si>
  <si>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</si>
  <si>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</si>
  <si>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</si>
  <si>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</si>
  <si>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</si>
  <si>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</si>
  <si>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</si>
  <si>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</si>
  <si>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</si>
  <si>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</si>
  <si>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</si>
  <si>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</si>
  <si>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</si>
  <si>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</si>
  <si>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</si>
  <si>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</si>
  <si>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</si>
  <si>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KFUSb9</t>
  </si>
  <si>
    <t>KZ2C00007318</t>
  </si>
  <si>
    <t>KZT</t>
  </si>
  <si>
    <t>29.10.2025</t>
  </si>
  <si>
    <t>05.11.2025</t>
  </si>
  <si>
    <t>МИНИСТЕРСТВО ФИНАНСОВ РК, ГЦБ, MUM240_0001</t>
  </si>
  <si>
    <t>KZKD00000550</t>
  </si>
  <si>
    <t>АКЦИОНЕРНОЕ ОБЩЕСТВО КАЗАХСТАНСКИЙ ФОНД УСТОЙЧИВОСТИ, ОБЛИГАЦИИ, KFUSb83</t>
  </si>
  <si>
    <t>KZ2C00012094</t>
  </si>
  <si>
    <t>03.11.2025</t>
  </si>
  <si>
    <t>04.11.2025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</si>
  <si>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</si>
  <si>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</si>
  <si>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MUM096_0014</t>
  </si>
  <si>
    <t>KZKD00001228</t>
  </si>
  <si>
    <t>АКЦИОНЕРНОЕ ОБЩЕСТВО КАЗАХСТАНСКИЙ ФОНД УСТОЙЧИВОСТИ, ОБЛИГАЦИИ, KFUSb86</t>
  </si>
  <si>
    <t>KZ2C00012136</t>
  </si>
  <si>
    <t>REPUBLIC OF KAZAKHSTAN, ЕВРО ОБЛИГАЦИИ, KZ_22_4507</t>
  </si>
  <si>
    <t>XS1263139856</t>
  </si>
  <si>
    <t>МИНИСТЕРСТВО ФИНАНСОВ РК, ГЦБ, MUM084_0019</t>
  </si>
  <si>
    <t>KZKD00001244</t>
  </si>
  <si>
    <t>31.10.2025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</si>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</sst>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13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71</v>
      </c>
      <c r="B4" s="13" t="s">
        <v>72</v>
      </c>
      <c r="C4" s="10">
        <v>3020000</v>
      </c>
      <c r="D4" s="11">
        <v>3020000000</v>
      </c>
      <c r="E4" s="3">
        <v>0.1067</v>
      </c>
      <c r="F4" s="4" t="s">
        <v>73</v>
      </c>
      <c r="G4" s="4" t="s">
        <v>74</v>
      </c>
      <c r="H4" s="11">
        <v>2930617060.0000029</v>
      </c>
      <c r="I4" s="11">
        <v>98.730900000000005</v>
      </c>
      <c r="J4" s="11">
        <v>101.754066666667</v>
      </c>
      <c r="K4" s="11">
        <v>91299633.333333328</v>
      </c>
      <c r="L4" s="11">
        <v>3072972813.333333</v>
      </c>
      <c r="M4" s="6">
        <f t="shared" ref="M4:M22" si="0">L4/$L$24</f>
        <v>0.10391237891010612</v>
      </c>
    </row>
    <row r="5" spans="1:13" x14ac:dyDescent="0.25">
      <c r="A5" s="1" t="s">
        <v>75</v>
      </c>
      <c r="B5" s="13" t="s">
        <v>76</v>
      </c>
      <c r="C5" s="10">
        <v>2265000</v>
      </c>
      <c r="D5" s="11">
        <v>2265000000</v>
      </c>
      <c r="E5" s="3">
        <v>0.10550000000000001</v>
      </c>
      <c r="F5" s="4" t="s">
        <v>73</v>
      </c>
      <c r="G5" s="4" t="s">
        <v>77</v>
      </c>
      <c r="H5" s="11">
        <v>2039188560.0000031</v>
      </c>
      <c r="I5" s="11">
        <v>82.813600000000008</v>
      </c>
      <c r="J5" s="11">
        <v>85.59762777777776</v>
      </c>
      <c r="K5" s="11">
        <v>63058229.166666657</v>
      </c>
      <c r="L5" s="11">
        <v>1938786269.166666</v>
      </c>
      <c r="M5" s="6">
        <f t="shared" si="0"/>
        <v>6.5559933544880433E-2</v>
      </c>
    </row>
    <row r="6" spans="1:13" x14ac:dyDescent="0.25">
      <c r="A6" s="1" t="s">
        <v>75</v>
      </c>
      <c r="B6" s="13" t="s">
        <v>76</v>
      </c>
      <c r="C6" s="10">
        <v>1551646</v>
      </c>
      <c r="D6" s="11">
        <v>1551646000</v>
      </c>
      <c r="E6" s="3">
        <v>0.10550000000000001</v>
      </c>
      <c r="F6" s="4" t="s">
        <v>78</v>
      </c>
      <c r="G6" s="4" t="s">
        <v>77</v>
      </c>
      <c r="H6" s="11">
        <v>1395452658.7</v>
      </c>
      <c r="I6" s="11">
        <v>82.813600000000008</v>
      </c>
      <c r="J6" s="11">
        <v>85.59762777777803</v>
      </c>
      <c r="K6" s="11">
        <v>43198255.652777769</v>
      </c>
      <c r="L6" s="11">
        <v>1328172167.508781</v>
      </c>
      <c r="M6" s="6">
        <f t="shared" si="0"/>
        <v>4.4912056796988883E-2</v>
      </c>
    </row>
    <row r="7" spans="1:13" x14ac:dyDescent="0.25">
      <c r="A7" s="1" t="s">
        <v>75</v>
      </c>
      <c r="B7" s="13" t="s">
        <v>76</v>
      </c>
      <c r="C7" s="10">
        <v>545692</v>
      </c>
      <c r="D7" s="11">
        <v>545692000</v>
      </c>
      <c r="E7" s="3">
        <v>0.10550000000000001</v>
      </c>
      <c r="F7" s="4" t="s">
        <v>79</v>
      </c>
      <c r="G7" s="4" t="s">
        <v>77</v>
      </c>
      <c r="H7" s="11">
        <v>449784993.92000002</v>
      </c>
      <c r="I7" s="11">
        <v>82.813600000000008</v>
      </c>
      <c r="J7" s="11">
        <v>85.59762777777776</v>
      </c>
      <c r="K7" s="11">
        <v>15192216.86111111</v>
      </c>
      <c r="L7" s="11">
        <v>467099406.97311097</v>
      </c>
      <c r="M7" s="6">
        <f t="shared" si="0"/>
        <v>1.5794936536853377E-2</v>
      </c>
    </row>
    <row r="8" spans="1:13" x14ac:dyDescent="0.25">
      <c r="A8" s="1" t="s">
        <v>80</v>
      </c>
      <c r="B8" s="13" t="s">
        <v>81</v>
      </c>
      <c r="C8" s="10">
        <v>2265000</v>
      </c>
      <c r="D8" s="11">
        <v>2265000000</v>
      </c>
      <c r="E8" s="3">
        <v>0.10400000000000001</v>
      </c>
      <c r="F8" s="4" t="s">
        <v>73</v>
      </c>
      <c r="G8" s="4" t="s">
        <v>82</v>
      </c>
      <c r="H8" s="11">
        <v>2073109200</v>
      </c>
      <c r="I8" s="11">
        <v>87.1614</v>
      </c>
      <c r="J8" s="11">
        <v>92.968066666666658</v>
      </c>
      <c r="K8" s="11">
        <v>131521000</v>
      </c>
      <c r="L8" s="11">
        <v>2105726709.999999</v>
      </c>
      <c r="M8" s="6">
        <f t="shared" si="0"/>
        <v>7.1205013861903005E-2</v>
      </c>
    </row>
    <row r="9" spans="1:13" x14ac:dyDescent="0.25">
      <c r="A9" s="1" t="s">
        <v>83</v>
      </c>
      <c r="B9" s="13" t="s">
        <v>84</v>
      </c>
      <c r="C9" s="10">
        <v>2265000</v>
      </c>
      <c r="D9" s="11">
        <v>2265000000</v>
      </c>
      <c r="E9" s="3">
        <v>0.11</v>
      </c>
      <c r="F9" s="4" t="s">
        <v>73</v>
      </c>
      <c r="G9" s="4" t="s">
        <v>85</v>
      </c>
      <c r="H9" s="11">
        <v>2080889475</v>
      </c>
      <c r="I9" s="11">
        <v>84.926400000000001</v>
      </c>
      <c r="J9" s="11">
        <v>91.434733333333327</v>
      </c>
      <c r="K9" s="11">
        <v>147413750</v>
      </c>
      <c r="L9" s="11">
        <v>2070996709.999999</v>
      </c>
      <c r="M9" s="6">
        <f t="shared" si="0"/>
        <v>7.0030621135781429E-2</v>
      </c>
    </row>
    <row r="10" spans="1:13" x14ac:dyDescent="0.25">
      <c r="A10" s="1" t="s">
        <v>86</v>
      </c>
      <c r="B10" s="13" t="s">
        <v>87</v>
      </c>
      <c r="C10" s="10">
        <v>2265000</v>
      </c>
      <c r="D10" s="11">
        <v>2265000000</v>
      </c>
      <c r="E10" s="3">
        <v>0.10300000000000001</v>
      </c>
      <c r="F10" s="4" t="s">
        <v>73</v>
      </c>
      <c r="G10" s="4" t="s">
        <v>88</v>
      </c>
      <c r="H10" s="11">
        <v>1963990560.0000031</v>
      </c>
      <c r="I10" s="11">
        <v>77.28070000000001</v>
      </c>
      <c r="J10" s="11">
        <v>83.7468111111111</v>
      </c>
      <c r="K10" s="11">
        <v>146457416.66666701</v>
      </c>
      <c r="L10" s="11">
        <v>1896865271.666666</v>
      </c>
      <c r="M10" s="6">
        <f t="shared" si="0"/>
        <v>6.4142377698760064E-2</v>
      </c>
    </row>
    <row r="11" spans="1:13" x14ac:dyDescent="0.25">
      <c r="A11" s="1" t="s">
        <v>89</v>
      </c>
      <c r="B11" s="13" t="s">
        <v>90</v>
      </c>
      <c r="C11" s="10">
        <v>2265000</v>
      </c>
      <c r="D11" s="11">
        <v>2265000000</v>
      </c>
      <c r="E11" s="3">
        <v>8.4500000000000006E-2</v>
      </c>
      <c r="F11" s="4" t="s">
        <v>73</v>
      </c>
      <c r="G11" s="4" t="s">
        <v>91</v>
      </c>
      <c r="H11" s="11">
        <v>1740247065.0000031</v>
      </c>
      <c r="I11" s="11">
        <v>67.765600000000006</v>
      </c>
      <c r="J11" s="11">
        <v>72.389627777777761</v>
      </c>
      <c r="K11" s="11">
        <v>104734229.166667</v>
      </c>
      <c r="L11" s="11">
        <v>1639625069.166666</v>
      </c>
      <c r="M11" s="6">
        <f t="shared" si="0"/>
        <v>5.5443816723175901E-2</v>
      </c>
    </row>
    <row r="12" spans="1:13" x14ac:dyDescent="0.25">
      <c r="A12" s="1" t="s">
        <v>92</v>
      </c>
      <c r="B12" s="13" t="s">
        <v>93</v>
      </c>
      <c r="C12" s="10">
        <v>2265000</v>
      </c>
      <c r="D12" s="11">
        <v>2265000000</v>
      </c>
      <c r="E12" s="3">
        <v>0.10650000000000001</v>
      </c>
      <c r="F12" s="4" t="s">
        <v>73</v>
      </c>
      <c r="G12" s="4" t="s">
        <v>94</v>
      </c>
      <c r="H12" s="11">
        <v>1967775375</v>
      </c>
      <c r="I12" s="11">
        <v>75.444000000000003</v>
      </c>
      <c r="J12" s="11">
        <v>78.313583333333327</v>
      </c>
      <c r="K12" s="11">
        <v>64996062.5</v>
      </c>
      <c r="L12" s="11">
        <v>1773802662.5</v>
      </c>
      <c r="M12" s="6">
        <f t="shared" si="0"/>
        <v>5.9981023449901055E-2</v>
      </c>
    </row>
    <row r="13" spans="1:13" x14ac:dyDescent="0.25">
      <c r="A13" s="1" t="s">
        <v>95</v>
      </c>
      <c r="B13" s="13" t="s">
        <v>96</v>
      </c>
      <c r="C13" s="10">
        <v>2265000</v>
      </c>
      <c r="D13" s="11">
        <v>2265000000</v>
      </c>
      <c r="E13" s="3">
        <v>8.0700000000000008E-2</v>
      </c>
      <c r="F13" s="4" t="s">
        <v>73</v>
      </c>
      <c r="G13" s="4" t="s">
        <v>97</v>
      </c>
      <c r="H13" s="11">
        <v>1622351550</v>
      </c>
      <c r="I13" s="11">
        <v>61.151400000000002</v>
      </c>
      <c r="J13" s="11">
        <v>64.984650000000002</v>
      </c>
      <c r="K13" s="11">
        <v>86823112.5</v>
      </c>
      <c r="L13" s="11">
        <v>1471902322.5</v>
      </c>
      <c r="M13" s="6">
        <f t="shared" si="0"/>
        <v>4.9772282784492847E-2</v>
      </c>
    </row>
    <row r="14" spans="1:13" x14ac:dyDescent="0.25">
      <c r="A14" s="1" t="s">
        <v>98</v>
      </c>
      <c r="B14" s="13" t="s">
        <v>99</v>
      </c>
      <c r="C14" s="10">
        <v>2265000</v>
      </c>
      <c r="D14" s="11">
        <v>2265000000</v>
      </c>
      <c r="E14" s="3">
        <v>8.0700000000000008E-2</v>
      </c>
      <c r="F14" s="4" t="s">
        <v>73</v>
      </c>
      <c r="G14" s="4" t="s">
        <v>100</v>
      </c>
      <c r="H14" s="11">
        <v>1597764975</v>
      </c>
      <c r="I14" s="11">
        <v>59.717400000000005</v>
      </c>
      <c r="J14" s="11">
        <v>65.859566666666652</v>
      </c>
      <c r="K14" s="11">
        <v>139120075</v>
      </c>
      <c r="L14" s="11">
        <v>1491719185</v>
      </c>
      <c r="M14" s="6">
        <f t="shared" si="0"/>
        <v>5.0442388720990147E-2</v>
      </c>
    </row>
    <row r="15" spans="1:13" x14ac:dyDescent="0.25">
      <c r="A15" s="1" t="s">
        <v>101</v>
      </c>
      <c r="B15" s="13" t="s">
        <v>102</v>
      </c>
      <c r="C15" s="10">
        <v>3775000</v>
      </c>
      <c r="D15" s="11">
        <v>3775000000</v>
      </c>
      <c r="E15" s="3">
        <v>5.4900000000000004E-2</v>
      </c>
      <c r="F15" s="4" t="s">
        <v>73</v>
      </c>
      <c r="G15" s="4" t="s">
        <v>103</v>
      </c>
      <c r="H15" s="11">
        <v>3136670150</v>
      </c>
      <c r="I15" s="11">
        <v>86.358100000000007</v>
      </c>
      <c r="J15" s="11">
        <v>89.652100000000004</v>
      </c>
      <c r="K15" s="11">
        <v>124348500</v>
      </c>
      <c r="L15" s="11">
        <v>3384366775</v>
      </c>
      <c r="M15" s="6">
        <f t="shared" si="0"/>
        <v>0.11444214578426422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104</v>
      </c>
      <c r="G16" s="4" t="s">
        <v>105</v>
      </c>
      <c r="H16" s="11">
        <v>1773018067.1400001</v>
      </c>
      <c r="I16" s="11">
        <v>56.709600000000002</v>
      </c>
      <c r="J16" s="11">
        <v>59.597100000000005</v>
      </c>
      <c r="K16" s="11">
        <v>80961457.5</v>
      </c>
      <c r="L16" s="11">
        <v>1671019248.0599999</v>
      </c>
      <c r="M16" s="6">
        <f t="shared" si="0"/>
        <v>5.650540887217937E-2</v>
      </c>
    </row>
    <row r="17" spans="1:15" x14ac:dyDescent="0.25">
      <c r="A17" s="1" t="s">
        <v>106</v>
      </c>
      <c r="B17" s="13" t="s">
        <v>107</v>
      </c>
      <c r="C17" s="10">
        <v>1038480</v>
      </c>
      <c r="D17" s="11">
        <v>1038480000</v>
      </c>
      <c r="E17" s="3">
        <v>0.12</v>
      </c>
      <c r="F17" s="4" t="s">
        <v>104</v>
      </c>
      <c r="G17" s="4" t="s">
        <v>108</v>
      </c>
      <c r="H17" s="11">
        <v>979029096.96000004</v>
      </c>
      <c r="I17" s="11">
        <v>85.08720000000001</v>
      </c>
      <c r="J17" s="11">
        <v>92.953866666666656</v>
      </c>
      <c r="K17" s="11">
        <v>81693760</v>
      </c>
      <c r="L17" s="11">
        <v>965307314.55999994</v>
      </c>
      <c r="M17" s="6">
        <f t="shared" si="0"/>
        <v>3.2641805029979973E-2</v>
      </c>
    </row>
    <row r="18" spans="1:15" x14ac:dyDescent="0.25">
      <c r="A18" s="1" t="s">
        <v>109</v>
      </c>
      <c r="B18" s="13" t="s">
        <v>110</v>
      </c>
      <c r="C18" s="10">
        <v>506989</v>
      </c>
      <c r="D18" s="11">
        <v>506989000</v>
      </c>
      <c r="E18" s="3">
        <v>0.1535</v>
      </c>
      <c r="F18" s="4" t="s">
        <v>111</v>
      </c>
      <c r="G18" s="4" t="s">
        <v>112</v>
      </c>
      <c r="H18" s="11">
        <v>492216861.50999999</v>
      </c>
      <c r="I18" s="11">
        <v>98.035200000000003</v>
      </c>
      <c r="J18" s="11">
        <v>105.07061666666701</v>
      </c>
      <c r="K18" s="11">
        <v>35668788.604166657</v>
      </c>
      <c r="L18" s="11">
        <v>532696468.73216701</v>
      </c>
      <c r="M18" s="6">
        <f t="shared" si="0"/>
        <v>1.8013096979835882E-2</v>
      </c>
    </row>
    <row r="19" spans="1:15" x14ac:dyDescent="0.25">
      <c r="A19" s="1" t="s">
        <v>113</v>
      </c>
      <c r="B19" s="13" t="s">
        <v>114</v>
      </c>
      <c r="C19" s="10">
        <v>2100000</v>
      </c>
      <c r="D19" s="11">
        <v>2100000000</v>
      </c>
      <c r="E19" s="3">
        <v>0.14300000000000002</v>
      </c>
      <c r="F19" s="4" t="s">
        <v>115</v>
      </c>
      <c r="G19" s="4" t="s">
        <v>116</v>
      </c>
      <c r="H19" s="11">
        <v>2100000000</v>
      </c>
      <c r="I19" s="11">
        <v>94.277627693317299</v>
      </c>
      <c r="J19" s="11">
        <v>96.660961026650625</v>
      </c>
      <c r="K19" s="11">
        <v>50050000</v>
      </c>
      <c r="L19" s="11">
        <v>2029880181.5596631</v>
      </c>
      <c r="M19" s="6">
        <f t="shared" si="0"/>
        <v>6.864026835940075E-2</v>
      </c>
    </row>
    <row r="20" spans="1:15" x14ac:dyDescent="0.25">
      <c r="A20" s="1" t="s">
        <v>117</v>
      </c>
      <c r="B20" s="13" t="s">
        <v>118</v>
      </c>
      <c r="C20" s="10">
        <v>1000000</v>
      </c>
      <c r="D20" s="11">
        <v>1000000000</v>
      </c>
      <c r="E20" s="3">
        <v>0.1389</v>
      </c>
      <c r="F20" s="4" t="s">
        <v>119</v>
      </c>
      <c r="G20" s="4" t="s">
        <v>120</v>
      </c>
      <c r="H20" s="11">
        <v>1000000000</v>
      </c>
      <c r="I20" s="11">
        <v>98.162906137096599</v>
      </c>
      <c r="J20" s="11">
        <v>104.143322803763</v>
      </c>
      <c r="K20" s="11">
        <v>59804166.666666657</v>
      </c>
      <c r="L20" s="11">
        <v>1041433228.037632</v>
      </c>
      <c r="M20" s="6">
        <f t="shared" si="0"/>
        <v>3.5215997919628428E-2</v>
      </c>
    </row>
    <row r="21" spans="1:15" x14ac:dyDescent="0.25">
      <c r="A21" s="1" t="s">
        <v>56</v>
      </c>
      <c r="B21" s="13" t="s">
        <v>57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96.401912811799193</v>
      </c>
      <c r="J21" s="11">
        <v>101.29774614511901</v>
      </c>
      <c r="K21" s="11">
        <v>8114305.2083111098</v>
      </c>
      <c r="L21" s="11">
        <v>167889871.483459</v>
      </c>
      <c r="M21" s="6">
        <f t="shared" si="0"/>
        <v>5.6771852536613432E-3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101.48860000000001</v>
      </c>
      <c r="J22" s="11">
        <v>105.55210000000001</v>
      </c>
      <c r="K22" s="11">
        <v>20113796.745000001</v>
      </c>
      <c r="L22" s="11">
        <v>522469173.227</v>
      </c>
      <c r="M22" s="6">
        <f t="shared" si="0"/>
        <v>1.7667261637216707E-2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1494568755.5713673</v>
      </c>
      <c r="L24" s="22">
        <f>SUM(L4:L23)</f>
        <v>29572730848.475143</v>
      </c>
      <c r="M24" s="23"/>
      <c r="N24" s="26">
        <v>29572730848.475166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3040801.91</v>
      </c>
      <c r="C27" s="51">
        <v>3040801.91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1511139</v>
      </c>
      <c r="D32" s="7" t="s">
        <v>51</v>
      </c>
      <c r="E32" s="34" t="s">
        <v>52</v>
      </c>
      <c r="F32" s="34" t="s">
        <v>53</v>
      </c>
      <c r="G32" s="15">
        <v>1051.7669999980139</v>
      </c>
      <c r="H32" s="15">
        <v>1055.236390318825</v>
      </c>
      <c r="I32" s="16">
        <f t="shared" ref="I32:I42" si="1">+C32*G32</f>
        <v>1589366132.6099987</v>
      </c>
      <c r="J32" s="16">
        <f t="shared" ref="J32:J42" si="2">+C32*H32</f>
        <v>1594608863.6299989</v>
      </c>
      <c r="K32" s="18">
        <v>0.17200000000000001</v>
      </c>
      <c r="L32" s="17">
        <v>748961.57428571419</v>
      </c>
      <c r="M32" s="17">
        <v>1593110940.4814279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18502</v>
      </c>
      <c r="D33" s="7" t="s">
        <v>51</v>
      </c>
      <c r="E33" s="34" t="s">
        <v>52</v>
      </c>
      <c r="F33" s="34" t="s">
        <v>53</v>
      </c>
      <c r="G33" s="15">
        <v>594.62800021619307</v>
      </c>
      <c r="H33" s="15">
        <v>596.58945789644406</v>
      </c>
      <c r="I33" s="16">
        <f t="shared" si="1"/>
        <v>11001807.260000004</v>
      </c>
      <c r="J33" s="16">
        <f t="shared" si="2"/>
        <v>11038098.150000008</v>
      </c>
      <c r="K33" s="18">
        <v>0.17200000000000001</v>
      </c>
      <c r="L33" s="17">
        <v>5184.4128571428573</v>
      </c>
      <c r="M33" s="17">
        <v>11027729.32428571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661960</v>
      </c>
      <c r="D34" s="7" t="s">
        <v>51</v>
      </c>
      <c r="E34" s="34" t="s">
        <v>58</v>
      </c>
      <c r="F34" s="34" t="s">
        <v>59</v>
      </c>
      <c r="G34" s="15">
        <v>1012.9770000000001</v>
      </c>
      <c r="H34" s="15">
        <v>1013.451853087799</v>
      </c>
      <c r="I34" s="16">
        <f t="shared" si="1"/>
        <v>670550254.92000008</v>
      </c>
      <c r="J34" s="16">
        <f t="shared" si="2"/>
        <v>670864588.66999948</v>
      </c>
      <c r="K34" s="18">
        <v>0.171101</v>
      </c>
      <c r="L34" s="17"/>
      <c r="M34" s="17">
        <v>670550254.91999996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149408</v>
      </c>
      <c r="D35" s="7" t="s">
        <v>51</v>
      </c>
      <c r="E35" s="34" t="s">
        <v>58</v>
      </c>
      <c r="F35" s="34" t="s">
        <v>59</v>
      </c>
      <c r="G35" s="15">
        <v>1078.3920000267719</v>
      </c>
      <c r="H35" s="15">
        <v>1078.8975176697361</v>
      </c>
      <c r="I35" s="16">
        <f t="shared" si="1"/>
        <v>161120391.93999994</v>
      </c>
      <c r="J35" s="16">
        <f t="shared" si="2"/>
        <v>161195920.31999993</v>
      </c>
      <c r="K35" s="18">
        <v>0.171101</v>
      </c>
      <c r="L35" s="17"/>
      <c r="M35" s="17">
        <v>161120391.94</v>
      </c>
      <c r="N35" s="35"/>
    </row>
    <row r="36" spans="1:15" s="36" customFormat="1" ht="12" customHeight="1" x14ac:dyDescent="0.25">
      <c r="A36" s="12" t="s">
        <v>62</v>
      </c>
      <c r="B36" s="7" t="s">
        <v>63</v>
      </c>
      <c r="C36" s="14">
        <v>529336</v>
      </c>
      <c r="D36" s="7" t="s">
        <v>51</v>
      </c>
      <c r="E36" s="34" t="s">
        <v>58</v>
      </c>
      <c r="F36" s="34" t="s">
        <v>59</v>
      </c>
      <c r="G36" s="15">
        <v>960.43499999999995</v>
      </c>
      <c r="H36" s="15">
        <v>960.88522297746601</v>
      </c>
      <c r="I36" s="16">
        <f t="shared" si="1"/>
        <v>508392821.15999997</v>
      </c>
      <c r="J36" s="16">
        <f t="shared" si="2"/>
        <v>508631140.38999993</v>
      </c>
      <c r="K36" s="18">
        <v>0.171101</v>
      </c>
      <c r="L36" s="17"/>
      <c r="M36" s="17">
        <v>508392821.16000003</v>
      </c>
      <c r="N36" s="35"/>
    </row>
    <row r="37" spans="1:15" s="36" customFormat="1" ht="12" customHeight="1" x14ac:dyDescent="0.25">
      <c r="A37" s="12" t="s">
        <v>64</v>
      </c>
      <c r="B37" s="7" t="s">
        <v>65</v>
      </c>
      <c r="C37" s="14">
        <v>323352</v>
      </c>
      <c r="D37" s="7" t="s">
        <v>51</v>
      </c>
      <c r="E37" s="34" t="s">
        <v>58</v>
      </c>
      <c r="F37" s="34" t="s">
        <v>59</v>
      </c>
      <c r="G37" s="15">
        <v>1003</v>
      </c>
      <c r="H37" s="15">
        <v>1003.470178907197</v>
      </c>
      <c r="I37" s="16">
        <f t="shared" si="1"/>
        <v>324322056</v>
      </c>
      <c r="J37" s="16">
        <f t="shared" si="2"/>
        <v>324474089.28999996</v>
      </c>
      <c r="K37" s="18">
        <v>0.171102</v>
      </c>
      <c r="L37" s="17"/>
      <c r="M37" s="17">
        <v>324322056</v>
      </c>
      <c r="N37" s="35"/>
    </row>
    <row r="38" spans="1:15" s="36" customFormat="1" ht="12" customHeight="1" x14ac:dyDescent="0.25">
      <c r="A38" s="12" t="s">
        <v>66</v>
      </c>
      <c r="B38" s="7" t="s">
        <v>67</v>
      </c>
      <c r="C38" s="14">
        <v>16500</v>
      </c>
      <c r="D38" s="7" t="s">
        <v>51</v>
      </c>
      <c r="E38" s="34" t="s">
        <v>58</v>
      </c>
      <c r="F38" s="34" t="s">
        <v>59</v>
      </c>
      <c r="G38" s="15">
        <v>606.12540000000001</v>
      </c>
      <c r="H38" s="15">
        <v>606.409535151515</v>
      </c>
      <c r="I38" s="16">
        <f t="shared" si="1"/>
        <v>10001069.1</v>
      </c>
      <c r="J38" s="16">
        <f t="shared" si="2"/>
        <v>10005757.329999998</v>
      </c>
      <c r="K38" s="18">
        <v>0.171102</v>
      </c>
      <c r="L38" s="17"/>
      <c r="M38" s="17">
        <v>10001069.1</v>
      </c>
      <c r="N38" s="35"/>
    </row>
    <row r="39" spans="1:15" s="36" customFormat="1" ht="12" customHeight="1" x14ac:dyDescent="0.25">
      <c r="A39" s="12" t="s">
        <v>68</v>
      </c>
      <c r="B39" s="7" t="s">
        <v>69</v>
      </c>
      <c r="C39" s="14">
        <v>10960</v>
      </c>
      <c r="D39" s="7" t="s">
        <v>51</v>
      </c>
      <c r="E39" s="34" t="s">
        <v>70</v>
      </c>
      <c r="F39" s="34" t="s">
        <v>58</v>
      </c>
      <c r="G39" s="15">
        <v>912.90600000000006</v>
      </c>
      <c r="H39" s="15">
        <v>914.21158029197102</v>
      </c>
      <c r="I39" s="16">
        <f t="shared" si="1"/>
        <v>10005449.76</v>
      </c>
      <c r="J39" s="16">
        <f t="shared" si="2"/>
        <v>10019758.920000002</v>
      </c>
      <c r="K39" s="18">
        <v>0.17400000000000002</v>
      </c>
      <c r="L39" s="17">
        <v>4769.72</v>
      </c>
      <c r="M39" s="17"/>
      <c r="N39" s="35"/>
    </row>
    <row r="40" spans="1:15" s="36" customFormat="1" ht="12" customHeight="1" x14ac:dyDescent="0.25">
      <c r="A40" s="12" t="s">
        <v>68</v>
      </c>
      <c r="B40" s="7" t="s">
        <v>69</v>
      </c>
      <c r="C40" s="14">
        <v>10960</v>
      </c>
      <c r="D40" s="7" t="s">
        <v>51</v>
      </c>
      <c r="E40" s="34" t="s">
        <v>58</v>
      </c>
      <c r="F40" s="34" t="s">
        <v>58</v>
      </c>
      <c r="G40" s="15">
        <v>912.90600000000006</v>
      </c>
      <c r="H40" s="15">
        <v>914.21158029197102</v>
      </c>
      <c r="I40" s="16">
        <f t="shared" si="1"/>
        <v>10005449.76</v>
      </c>
      <c r="J40" s="16">
        <f t="shared" si="2"/>
        <v>10019758.920000002</v>
      </c>
      <c r="K40" s="18">
        <v>0.17400000000000002</v>
      </c>
      <c r="L40" s="17"/>
      <c r="M40" s="17"/>
      <c r="N40" s="35"/>
    </row>
    <row r="41" spans="1:15" s="36" customFormat="1" ht="12" customHeight="1" x14ac:dyDescent="0.25">
      <c r="A41" s="12" t="s">
        <v>54</v>
      </c>
      <c r="B41" s="7" t="s">
        <v>55</v>
      </c>
      <c r="C41" s="14">
        <v>2792160</v>
      </c>
      <c r="D41" s="7" t="s">
        <v>51</v>
      </c>
      <c r="E41" s="34" t="s">
        <v>70</v>
      </c>
      <c r="F41" s="34" t="s">
        <v>58</v>
      </c>
      <c r="G41" s="15">
        <v>595.36599999999999</v>
      </c>
      <c r="H41" s="15">
        <v>596.21745493811204</v>
      </c>
      <c r="I41" s="16">
        <f t="shared" si="1"/>
        <v>1662357130.5599999</v>
      </c>
      <c r="J41" s="16">
        <f t="shared" si="2"/>
        <v>1664734528.9799988</v>
      </c>
      <c r="K41" s="18">
        <v>0.17400000000000002</v>
      </c>
      <c r="L41" s="17">
        <v>792466.14</v>
      </c>
      <c r="M41" s="17"/>
      <c r="N41" s="35"/>
    </row>
    <row r="42" spans="1:15" s="36" customFormat="1" ht="12" customHeight="1" x14ac:dyDescent="0.25">
      <c r="A42" s="12" t="s">
        <v>54</v>
      </c>
      <c r="B42" s="7" t="s">
        <v>55</v>
      </c>
      <c r="C42" s="14">
        <v>2792160</v>
      </c>
      <c r="D42" s="7" t="s">
        <v>51</v>
      </c>
      <c r="E42" s="34" t="s">
        <v>58</v>
      </c>
      <c r="F42" s="34" t="s">
        <v>58</v>
      </c>
      <c r="G42" s="15">
        <v>595.36599999999999</v>
      </c>
      <c r="H42" s="15">
        <v>596.21745493811204</v>
      </c>
      <c r="I42" s="16">
        <f t="shared" si="1"/>
        <v>1662357130.5599999</v>
      </c>
      <c r="J42" s="16">
        <f t="shared" si="2"/>
        <v>1664734528.9799988</v>
      </c>
      <c r="K42" s="18">
        <v>0.17400000000000002</v>
      </c>
      <c r="L42" s="17"/>
      <c r="M42" s="17"/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3278525262.9257135</v>
      </c>
      <c r="N44" s="38">
        <v>3278525262.9257145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32854296913.310856</v>
      </c>
      <c r="C51" s="32">
        <v>32854296913.310879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42487.94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2535.9</v>
      </c>
    </row>
    <row r="61" spans="1:7" x14ac:dyDescent="0.25">
      <c r="A61" s="48" t="s">
        <v>41</v>
      </c>
      <c r="B61" s="50">
        <v>1255.78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46279.62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2025-11-04T05:55:21Z</dcterms:created>
  <dcterms:modified xsi:type="dcterms:W3CDTF">2025-11-04T11:12:04Z</dcterms:modified>
</cp:coreProperties>
</file>