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617A7C4E-12B7-420F-A984-E03553424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6" i="1" l="1"/>
  <c r="M18" i="1"/>
  <c r="M7" i="1"/>
  <c r="B48" i="1"/>
  <c r="M9" i="1"/>
  <c r="M15" i="1"/>
  <c r="M21" i="1"/>
  <c r="M12" i="1"/>
  <c r="M4" i="1"/>
  <c r="M10" i="1"/>
  <c r="M16" i="1"/>
  <c r="M22" i="1"/>
  <c r="M5" i="1"/>
  <c r="M11" i="1"/>
  <c r="M17" i="1"/>
  <c r="M13" i="1"/>
  <c r="M19" i="1"/>
  <c r="M8" i="1"/>
  <c r="M14" i="1"/>
</calcChain>
</file>

<file path=xl/sharedStrings.xml><?xml version="1.0" encoding="utf-8"?>
<sst xmlns="http://schemas.openxmlformats.org/spreadsheetml/2006/main" count="170" uniqueCount="125">
  <si>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</si>
  <si>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</si>
  <si>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</si>
  <si>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</si>
  <si>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</si>
  <si>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</si>
  <si>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</si>
  <si>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</si>
  <si>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</si>
  <si>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</si>
  <si>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</si>
  <si>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</si>
  <si>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</si>
  <si>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</si>
  <si>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</si>
  <si>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</si>
  <si>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</si>
  <si>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</si>
  <si>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</si>
  <si>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</si>
  <si>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</si>
  <si>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</si>
  <si>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</si>
  <si>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</si>
  <si>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</si>
  <si>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</si>
  <si>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</si>
  <si>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</si>
  <si>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</si>
  <si>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</si>
  <si>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</si>
  <si>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</si>
  <si>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</si>
  <si>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</si>
  <si>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</si>
  <si>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</si>
  <si>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</si>
  <si>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</si>
  <si>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</si>
  <si>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</si>
  <si>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</si>
  <si>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</si>
  <si>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</si>
  <si>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</si>
  <si>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</si>
  <si>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</si>
  <si>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</si>
  <si>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</si>
  <si>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</si>
  <si>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MUM180_0013</t>
  </si>
  <si>
    <t>KZKD00000931</t>
  </si>
  <si>
    <t>KZT</t>
  </si>
  <si>
    <t>05.11.2025</t>
  </si>
  <si>
    <t>12.11.2025</t>
  </si>
  <si>
    <t>МИНИСТЕРСТВО ФИНАНСОВ РК, ОБЛИГАЦИИ, MFKZ.0435</t>
  </si>
  <si>
    <t>XS2914770545</t>
  </si>
  <si>
    <t>МИНИСТЕРСТВО ФИНАНСОВ РК, ГЦБ, MUM096_0013</t>
  </si>
  <si>
    <t>KZKD00001202</t>
  </si>
  <si>
    <t>07.11.2025</t>
  </si>
  <si>
    <t>10.11.2025</t>
  </si>
  <si>
    <t>МИНИСТЕРСТВО ФИНАНСОВ РК, ГЦБ, MUM180_0004</t>
  </si>
  <si>
    <t>KZKD00000444</t>
  </si>
  <si>
    <t>ЕВРАЗИЙСКИЙ БАНК РАЗВИТИЯ, ОБЛИГАЦИИ, EABRb40</t>
  </si>
  <si>
    <t>KZ2D00009628</t>
  </si>
  <si>
    <t>11.11.2025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</si>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</sst>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3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59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98.868300000000005</v>
      </c>
      <c r="J4" s="11">
        <v>102.09893888888901</v>
      </c>
      <c r="K4" s="11">
        <v>97565294.444444433</v>
      </c>
      <c r="L4" s="11">
        <v>3083387954.4444442</v>
      </c>
      <c r="M4" s="6">
        <f t="shared" ref="M4:M22" si="0">L4/$L$24</f>
        <v>0.10406721233041499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82.61160000000001</v>
      </c>
      <c r="J5" s="11">
        <v>85.600766666666658</v>
      </c>
      <c r="K5" s="11">
        <v>67704624.999999985</v>
      </c>
      <c r="L5" s="11">
        <v>1938857364.999999</v>
      </c>
      <c r="M5" s="6">
        <f t="shared" si="0"/>
        <v>6.5438240034312659E-2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82.61160000000001</v>
      </c>
      <c r="J6" s="11">
        <v>85.600766666666914</v>
      </c>
      <c r="K6" s="11">
        <v>46381285.016666658</v>
      </c>
      <c r="L6" s="11">
        <v>1328220871.9526701</v>
      </c>
      <c r="M6" s="6">
        <f t="shared" si="0"/>
        <v>4.4828690241183841E-2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82.61160000000001</v>
      </c>
      <c r="J7" s="11">
        <v>85.600766666666658</v>
      </c>
      <c r="K7" s="11">
        <v>16311643.36666666</v>
      </c>
      <c r="L7" s="11">
        <v>467116535.63866699</v>
      </c>
      <c r="M7" s="6">
        <f t="shared" si="0"/>
        <v>1.5765617695719287E-2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86.964300000000009</v>
      </c>
      <c r="J8" s="11">
        <v>92.97318888888887</v>
      </c>
      <c r="K8" s="11">
        <v>136101333.33333299</v>
      </c>
      <c r="L8" s="11">
        <v>2105842728.333333</v>
      </c>
      <c r="M8" s="6">
        <f t="shared" si="0"/>
        <v>7.1074151414530981E-2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84.716400000000007</v>
      </c>
      <c r="J9" s="11">
        <v>91.438622222222222</v>
      </c>
      <c r="K9" s="11">
        <v>152258333.33333299</v>
      </c>
      <c r="L9" s="11">
        <v>2071084793.333333</v>
      </c>
      <c r="M9" s="6">
        <f t="shared" si="0"/>
        <v>6.9901038768554039E-2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77.200100000000006</v>
      </c>
      <c r="J10" s="11">
        <v>83.866488888888881</v>
      </c>
      <c r="K10" s="11">
        <v>150993708.33333299</v>
      </c>
      <c r="L10" s="11">
        <v>1899575973.333333</v>
      </c>
      <c r="M10" s="6">
        <f t="shared" si="0"/>
        <v>6.4112456517088759E-2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67.778900000000007</v>
      </c>
      <c r="J11" s="11">
        <v>72.56723333333332</v>
      </c>
      <c r="K11" s="11">
        <v>108455750</v>
      </c>
      <c r="L11" s="11">
        <v>1643647834.999999</v>
      </c>
      <c r="M11" s="6">
        <f t="shared" si="0"/>
        <v>5.5474643725846387E-2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75.4328</v>
      </c>
      <c r="J12" s="11">
        <v>78.509466666666654</v>
      </c>
      <c r="K12" s="11">
        <v>69686500</v>
      </c>
      <c r="L12" s="11">
        <v>1778239420</v>
      </c>
      <c r="M12" s="6">
        <f t="shared" si="0"/>
        <v>6.0017234947263368E-2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61.265600000000006</v>
      </c>
      <c r="J13" s="11">
        <v>65.255766666666659</v>
      </c>
      <c r="K13" s="11">
        <v>90377275</v>
      </c>
      <c r="L13" s="11">
        <v>1478043115</v>
      </c>
      <c r="M13" s="6">
        <f t="shared" si="0"/>
        <v>4.9885330342716173E-2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59.863200000000006</v>
      </c>
      <c r="J14" s="11">
        <v>66.16228333333332</v>
      </c>
      <c r="K14" s="11">
        <v>142674237.5</v>
      </c>
      <c r="L14" s="11">
        <v>1498575717.5</v>
      </c>
      <c r="M14" s="6">
        <f t="shared" si="0"/>
        <v>5.0578324781182321E-2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86.369900000000001</v>
      </c>
      <c r="J15" s="11">
        <v>89.770649999999989</v>
      </c>
      <c r="K15" s="11">
        <v>128378312.5</v>
      </c>
      <c r="L15" s="11">
        <v>3388842037.5</v>
      </c>
      <c r="M15" s="6">
        <f t="shared" si="0"/>
        <v>0.11437657183631673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56.764700000000005</v>
      </c>
      <c r="J16" s="11">
        <v>59.759144444444438</v>
      </c>
      <c r="K16" s="11">
        <v>83960030</v>
      </c>
      <c r="L16" s="11">
        <v>1675562747.4200001</v>
      </c>
      <c r="M16" s="6">
        <f t="shared" si="0"/>
        <v>5.6551801714522926E-2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84.911500000000004</v>
      </c>
      <c r="J17" s="11">
        <v>93.011499999999998</v>
      </c>
      <c r="K17" s="11">
        <v>84116880</v>
      </c>
      <c r="L17" s="11">
        <v>965905825.20000005</v>
      </c>
      <c r="M17" s="6">
        <f t="shared" si="0"/>
        <v>3.2600220305519213E-2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97.798300000000012</v>
      </c>
      <c r="J18" s="11">
        <v>105.132188888889</v>
      </c>
      <c r="K18" s="11">
        <v>37182009.938888878</v>
      </c>
      <c r="L18" s="11">
        <v>533008633.125889</v>
      </c>
      <c r="M18" s="6">
        <f t="shared" si="0"/>
        <v>1.7989537293710531E-2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94.311760363119291</v>
      </c>
      <c r="J19" s="11">
        <v>96.97314925200817</v>
      </c>
      <c r="K19" s="11">
        <v>55889166.666666657</v>
      </c>
      <c r="L19" s="11">
        <v>2036436134.292171</v>
      </c>
      <c r="M19" s="6">
        <f t="shared" si="0"/>
        <v>6.873161428786119E-2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98.28942998295939</v>
      </c>
      <c r="J20" s="11">
        <v>104.53992998295901</v>
      </c>
      <c r="K20" s="11">
        <v>62504999.999999993</v>
      </c>
      <c r="L20" s="11">
        <v>1045399299.8295929</v>
      </c>
      <c r="M20" s="6">
        <f t="shared" si="0"/>
        <v>3.5283199037156258E-2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96.489284188271498</v>
      </c>
      <c r="J21" s="11">
        <v>101.62817307714701</v>
      </c>
      <c r="K21" s="11">
        <v>8517143.0555333309</v>
      </c>
      <c r="L21" s="11">
        <v>168437517.776333</v>
      </c>
      <c r="M21" s="6">
        <f t="shared" si="0"/>
        <v>5.6849229437934898E-3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101.19</v>
      </c>
      <c r="J22" s="11">
        <v>105.58425</v>
      </c>
      <c r="K22" s="11">
        <v>21750966.247499999</v>
      </c>
      <c r="L22" s="11">
        <v>522628311.54750001</v>
      </c>
      <c r="M22" s="6">
        <f t="shared" si="0"/>
        <v>1.7639191782306718E-2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1560809493.7363658</v>
      </c>
      <c r="L24" s="22">
        <f>SUM(L4:L23)</f>
        <v>29628812816.227268</v>
      </c>
      <c r="M24" s="23"/>
      <c r="N24" s="26">
        <v>29628812816.227287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4715554.6500000004</v>
      </c>
      <c r="C27" s="51">
        <v>4715554.6500000004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2242079</v>
      </c>
      <c r="D32" s="7" t="s">
        <v>51</v>
      </c>
      <c r="E32" s="34" t="s">
        <v>52</v>
      </c>
      <c r="F32" s="34" t="s">
        <v>53</v>
      </c>
      <c r="G32" s="15">
        <v>708.84</v>
      </c>
      <c r="H32" s="15">
        <v>711.191781583075</v>
      </c>
      <c r="I32" s="16">
        <f t="shared" ref="I32:I39" si="1">+C32*G32</f>
        <v>1589275278.3600001</v>
      </c>
      <c r="J32" s="16">
        <f t="shared" ref="J32:J39" si="2">+C32*H32</f>
        <v>1594548158.4599993</v>
      </c>
      <c r="K32" s="18">
        <v>0.17299899999999999</v>
      </c>
      <c r="L32" s="17">
        <v>753268.58571428573</v>
      </c>
      <c r="M32" s="17">
        <v>1593041621.2885709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19330</v>
      </c>
      <c r="D33" s="7" t="s">
        <v>51</v>
      </c>
      <c r="E33" s="34" t="s">
        <v>52</v>
      </c>
      <c r="F33" s="34" t="s">
        <v>53</v>
      </c>
      <c r="G33" s="15">
        <v>517.364399896534</v>
      </c>
      <c r="H33" s="15">
        <v>519.07792912571108</v>
      </c>
      <c r="I33" s="16">
        <f t="shared" si="1"/>
        <v>10000653.850000001</v>
      </c>
      <c r="J33" s="16">
        <f t="shared" si="2"/>
        <v>10033776.369999995</v>
      </c>
      <c r="K33" s="18">
        <v>0.17269899999999999</v>
      </c>
      <c r="L33" s="17">
        <v>4731.7885714285712</v>
      </c>
      <c r="M33" s="17">
        <v>10024312.79285714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1855920</v>
      </c>
      <c r="D34" s="7" t="s">
        <v>51</v>
      </c>
      <c r="E34" s="34" t="s">
        <v>58</v>
      </c>
      <c r="F34" s="34" t="s">
        <v>59</v>
      </c>
      <c r="G34" s="15">
        <v>901.61300000000006</v>
      </c>
      <c r="H34" s="15">
        <v>902.87278802965602</v>
      </c>
      <c r="I34" s="16">
        <f t="shared" si="1"/>
        <v>1673321598.96</v>
      </c>
      <c r="J34" s="16">
        <f t="shared" si="2"/>
        <v>1675659664.7599993</v>
      </c>
      <c r="K34" s="18">
        <v>0.17</v>
      </c>
      <c r="L34" s="17">
        <v>779355.2666666666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1855920</v>
      </c>
      <c r="D35" s="7" t="s">
        <v>51</v>
      </c>
      <c r="E35" s="34" t="s">
        <v>59</v>
      </c>
      <c r="F35" s="34" t="s">
        <v>59</v>
      </c>
      <c r="G35" s="15">
        <v>901.61300000000006</v>
      </c>
      <c r="H35" s="15">
        <v>902.87278802965602</v>
      </c>
      <c r="I35" s="16">
        <f t="shared" si="1"/>
        <v>1673321598.96</v>
      </c>
      <c r="J35" s="16">
        <f t="shared" si="2"/>
        <v>1675659664.7599993</v>
      </c>
      <c r="K35" s="18">
        <v>0.17</v>
      </c>
      <c r="L35" s="17"/>
      <c r="M35" s="17"/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9675</v>
      </c>
      <c r="D36" s="7" t="s">
        <v>51</v>
      </c>
      <c r="E36" s="34" t="s">
        <v>58</v>
      </c>
      <c r="F36" s="34" t="s">
        <v>59</v>
      </c>
      <c r="G36" s="15">
        <v>930.30100051679608</v>
      </c>
      <c r="H36" s="15">
        <v>931.60163824289407</v>
      </c>
      <c r="I36" s="16">
        <f t="shared" si="1"/>
        <v>9000662.1800000016</v>
      </c>
      <c r="J36" s="16">
        <f t="shared" si="2"/>
        <v>9013245.8499999996</v>
      </c>
      <c r="K36" s="18">
        <v>0.1701</v>
      </c>
      <c r="L36" s="17">
        <v>4194.5566666666664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9675</v>
      </c>
      <c r="D37" s="7" t="s">
        <v>51</v>
      </c>
      <c r="E37" s="34" t="s">
        <v>59</v>
      </c>
      <c r="F37" s="34" t="s">
        <v>59</v>
      </c>
      <c r="G37" s="15">
        <v>930.30100051679608</v>
      </c>
      <c r="H37" s="15">
        <v>931.60163824289407</v>
      </c>
      <c r="I37" s="16">
        <f t="shared" si="1"/>
        <v>9000662.1800000016</v>
      </c>
      <c r="J37" s="16">
        <f t="shared" si="2"/>
        <v>9013245.8499999996</v>
      </c>
      <c r="K37" s="18">
        <v>0.1701</v>
      </c>
      <c r="L37" s="17"/>
      <c r="M37" s="17"/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3160297</v>
      </c>
      <c r="D38" s="7" t="s">
        <v>51</v>
      </c>
      <c r="E38" s="34" t="s">
        <v>59</v>
      </c>
      <c r="F38" s="34" t="s">
        <v>64</v>
      </c>
      <c r="G38" s="15">
        <v>529.56070000066404</v>
      </c>
      <c r="H38" s="15">
        <v>529.80792360021906</v>
      </c>
      <c r="I38" s="16">
        <f t="shared" si="1"/>
        <v>1673569091.5299985</v>
      </c>
      <c r="J38" s="16">
        <f t="shared" si="2"/>
        <v>1674350391.5300014</v>
      </c>
      <c r="K38" s="18">
        <v>0.17039899999999999</v>
      </c>
      <c r="L38" s="17"/>
      <c r="M38" s="17">
        <v>1673569091.53</v>
      </c>
      <c r="N38" s="35"/>
    </row>
    <row r="39" spans="1:15" s="36" customFormat="1" ht="12" customHeight="1" x14ac:dyDescent="0.25">
      <c r="A39" s="12" t="s">
        <v>54</v>
      </c>
      <c r="B39" s="7" t="s">
        <v>55</v>
      </c>
      <c r="C39" s="14">
        <v>21197</v>
      </c>
      <c r="D39" s="7" t="s">
        <v>51</v>
      </c>
      <c r="E39" s="34" t="s">
        <v>59</v>
      </c>
      <c r="F39" s="34" t="s">
        <v>64</v>
      </c>
      <c r="G39" s="15">
        <v>518.96319998112904</v>
      </c>
      <c r="H39" s="15">
        <v>519.20547624663902</v>
      </c>
      <c r="I39" s="16">
        <f t="shared" si="1"/>
        <v>11000462.949999992</v>
      </c>
      <c r="J39" s="16">
        <f t="shared" si="2"/>
        <v>11005598.480000008</v>
      </c>
      <c r="K39" s="18">
        <v>0.17039899999999999</v>
      </c>
      <c r="L39" s="17"/>
      <c r="M39" s="17">
        <v>11000462.949999999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3287635488.5614281</v>
      </c>
      <c r="N41" s="38">
        <v>3287635488.5614281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32921163859.438698</v>
      </c>
      <c r="C48" s="32">
        <v>32921163859.438717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151884.15999999997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37078.58</v>
      </c>
    </row>
    <row r="58" spans="1:2" x14ac:dyDescent="0.25">
      <c r="A58" s="48" t="s">
        <v>41</v>
      </c>
      <c r="B58" s="50">
        <v>18479.98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207442.72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2025-11-11T06:12:21Z</dcterms:created>
  <dcterms:modified xsi:type="dcterms:W3CDTF">2025-11-11T13:38:06Z</dcterms:modified>
</cp:coreProperties>
</file>