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D423AB8D-CBAF-49F1-8C0B-2C1F86ED7E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4" i="1"/>
  <c r="D27" i="1"/>
  <c r="B66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9" i="1" l="1"/>
  <c r="B52" i="1"/>
</calcChain>
</file>

<file path=xl/sharedStrings.xml><?xml version="1.0" encoding="utf-8"?>
<sst xmlns="http://schemas.openxmlformats.org/spreadsheetml/2006/main" count="190" uniqueCount="123">
  <si>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</si>
  <si>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</si>
  <si>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</si>
  <si>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</si>
  <si>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</si>
  <si>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</si>
  <si>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</si>
  <si>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</si>
  <si>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</si>
  <si>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</si>
  <si>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</si>
  <si>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</si>
  <si>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</si>
  <si>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</si>
  <si>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</si>
  <si>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</si>
  <si>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</si>
  <si>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</si>
  <si>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</si>
  <si>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</si>
  <si>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</si>
  <si>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</si>
  <si>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</si>
  <si>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</si>
  <si>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</si>
  <si>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</si>
  <si>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</si>
  <si>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</si>
  <si>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</si>
  <si>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</si>
  <si>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</si>
  <si>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</si>
  <si>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</si>
  <si>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</si>
  <si>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</si>
  <si>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</si>
  <si>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</si>
  <si>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</si>
  <si>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</si>
  <si>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</si>
  <si>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</si>
  <si>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</si>
  <si>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</si>
  <si>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</si>
  <si>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</si>
  <si>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</si>
  <si>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</si>
  <si>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</si>
  <si>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</si>
  <si>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ЕВРАЗИЙСКИЙ БАНК РАЗВИТИЯ, ОБЛИГАЦИИ, EABRb53</t>
  </si>
  <si>
    <t>KZ2D00013620</t>
  </si>
  <si>
    <t>KZT</t>
  </si>
  <si>
    <t>13.11.2025</t>
  </si>
  <si>
    <t>14.11.2025</t>
  </si>
  <si>
    <t>МИНИСТЕРСТВО ФИНАНСОВ РК, ГЦБ, MOM060_0054</t>
  </si>
  <si>
    <t>KZK200000737</t>
  </si>
  <si>
    <t>МИНИСТЕРСТВО ФИНАНСОВ РК, ГЦБ, MUM096_0013</t>
  </si>
  <si>
    <t>KZKD00001202</t>
  </si>
  <si>
    <t>12.11.2025</t>
  </si>
  <si>
    <t>МИНИСТЕРСТВО ФИНАНСОВ РК, ГЦБ, MUM180_0004</t>
  </si>
  <si>
    <t>KZKD00000444</t>
  </si>
  <si>
    <t>МИНИСТЕРСТВО ФИНАНСОВ РК, ГЦБ, MUM180_0015</t>
  </si>
  <si>
    <t>KZKD00001186</t>
  </si>
  <si>
    <t>МИНИСТЕРСТВО ФИНАНСОВ РК, ГЦБ, KZ_25_3707</t>
  </si>
  <si>
    <t>XS3093658014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</si>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</sst>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66"/>
  <sheetViews>
    <sheetView tabSelected="1" topLeftCell="A13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98.800700000000006</v>
      </c>
      <c r="J4" s="11">
        <v>102.120255555556</v>
      </c>
      <c r="K4" s="11">
        <v>100250577.777778</v>
      </c>
      <c r="L4" s="11">
        <v>3084031717.7777772</v>
      </c>
      <c r="M4" s="6">
        <f t="shared" ref="M4:M22" si="0">L4/$L$24</f>
        <v>0.10381152228278184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82.954999999999998</v>
      </c>
      <c r="J5" s="11">
        <v>86.032083333333333</v>
      </c>
      <c r="K5" s="11">
        <v>69695937.499999985</v>
      </c>
      <c r="L5" s="11">
        <v>1948626687.499999</v>
      </c>
      <c r="M5" s="6">
        <f t="shared" si="0"/>
        <v>6.5592679097344384E-2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82.954999999999998</v>
      </c>
      <c r="J6" s="11">
        <v>86.032083333333588</v>
      </c>
      <c r="K6" s="11">
        <v>47745440.458333328</v>
      </c>
      <c r="L6" s="11">
        <v>1334913379.758337</v>
      </c>
      <c r="M6" s="6">
        <f t="shared" si="0"/>
        <v>4.4934489249747619E-2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82.954999999999998</v>
      </c>
      <c r="J7" s="11">
        <v>86.032083333333333</v>
      </c>
      <c r="K7" s="11">
        <v>16791397.583333328</v>
      </c>
      <c r="L7" s="11">
        <v>469470196.18333298</v>
      </c>
      <c r="M7" s="6">
        <f t="shared" si="0"/>
        <v>1.5802825713902006E-2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87.290300000000002</v>
      </c>
      <c r="J8" s="11">
        <v>93.385855555555551</v>
      </c>
      <c r="K8" s="11">
        <v>138064333.33333299</v>
      </c>
      <c r="L8" s="11">
        <v>2115189628.333333</v>
      </c>
      <c r="M8" s="6">
        <f t="shared" si="0"/>
        <v>7.1199350502223646E-2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85.07350000000001</v>
      </c>
      <c r="J9" s="11">
        <v>91.887388888888879</v>
      </c>
      <c r="K9" s="11">
        <v>154334583.33333299</v>
      </c>
      <c r="L9" s="11">
        <v>2081249358.333333</v>
      </c>
      <c r="M9" s="6">
        <f t="shared" si="0"/>
        <v>7.0056887837174453E-2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77.417700000000011</v>
      </c>
      <c r="J10" s="11">
        <v>84.169922222222212</v>
      </c>
      <c r="K10" s="11">
        <v>152937833.33333299</v>
      </c>
      <c r="L10" s="11">
        <v>1906448738.333333</v>
      </c>
      <c r="M10" s="6">
        <f t="shared" si="0"/>
        <v>6.4172928099156729E-2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67.892499999999998</v>
      </c>
      <c r="J11" s="11">
        <v>72.751249999999985</v>
      </c>
      <c r="K11" s="11">
        <v>110050687.5</v>
      </c>
      <c r="L11" s="11">
        <v>1647815812.499999</v>
      </c>
      <c r="M11" s="6">
        <f t="shared" si="0"/>
        <v>5.5467091000128928E-2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75.535300000000007</v>
      </c>
      <c r="J12" s="11">
        <v>78.700716666666651</v>
      </c>
      <c r="K12" s="11">
        <v>71696687.5</v>
      </c>
      <c r="L12" s="11">
        <v>1782571232.5</v>
      </c>
      <c r="M12" s="6">
        <f t="shared" si="0"/>
        <v>6.0003090161686104E-2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61.236800000000002</v>
      </c>
      <c r="J13" s="11">
        <v>65.294216666666657</v>
      </c>
      <c r="K13" s="11">
        <v>91900487.5</v>
      </c>
      <c r="L13" s="11">
        <v>1478914007.5</v>
      </c>
      <c r="M13" s="6">
        <f t="shared" si="0"/>
        <v>4.9781691141143787E-2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59.8063</v>
      </c>
      <c r="J14" s="11">
        <v>66.172633333333323</v>
      </c>
      <c r="K14" s="11">
        <v>144197450</v>
      </c>
      <c r="L14" s="11">
        <v>1498810145</v>
      </c>
      <c r="M14" s="6">
        <f t="shared" si="0"/>
        <v>5.0451414578006108E-2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86.488700000000009</v>
      </c>
      <c r="J15" s="11">
        <v>89.935200000000009</v>
      </c>
      <c r="K15" s="11">
        <v>130105375</v>
      </c>
      <c r="L15" s="11">
        <v>3395053800</v>
      </c>
      <c r="M15" s="6">
        <f t="shared" si="0"/>
        <v>0.11428082959662315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56.862000000000002</v>
      </c>
      <c r="J16" s="11">
        <v>59.902277777777769</v>
      </c>
      <c r="K16" s="11">
        <v>85245132.5</v>
      </c>
      <c r="L16" s="11">
        <v>1679576005.7</v>
      </c>
      <c r="M16" s="6">
        <f t="shared" si="0"/>
        <v>5.653617014904997E-2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85.222200000000001</v>
      </c>
      <c r="J17" s="11">
        <v>93.422200000000004</v>
      </c>
      <c r="K17" s="11">
        <v>85155360</v>
      </c>
      <c r="L17" s="11">
        <v>970170862.55999994</v>
      </c>
      <c r="M17" s="6">
        <f t="shared" si="0"/>
        <v>3.2656899582512729E-2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98.036000000000001</v>
      </c>
      <c r="J18" s="11">
        <v>105.497805555556</v>
      </c>
      <c r="K18" s="11">
        <v>37830533.368055552</v>
      </c>
      <c r="L18" s="11">
        <v>534862269.40805602</v>
      </c>
      <c r="M18" s="6">
        <f t="shared" si="0"/>
        <v>1.8003986819851041E-2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94.419673746441902</v>
      </c>
      <c r="J19" s="11">
        <v>97.200229301997439</v>
      </c>
      <c r="K19" s="11">
        <v>58391666.666666657</v>
      </c>
      <c r="L19" s="11">
        <v>2041204815.3419459</v>
      </c>
      <c r="M19" s="6">
        <f t="shared" si="0"/>
        <v>6.870894937626601E-2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98.199258589867696</v>
      </c>
      <c r="J20" s="11">
        <v>104.565508589868</v>
      </c>
      <c r="K20" s="11">
        <v>63662499.999999993</v>
      </c>
      <c r="L20" s="11">
        <v>1045655085.898676</v>
      </c>
      <c r="M20" s="6">
        <f t="shared" si="0"/>
        <v>3.5197772326444117E-2</v>
      </c>
    </row>
    <row r="21" spans="1:15" x14ac:dyDescent="0.25">
      <c r="A21" s="1" t="s">
        <v>115</v>
      </c>
      <c r="B21" s="13" t="s">
        <v>116</v>
      </c>
      <c r="C21" s="10">
        <v>165739</v>
      </c>
      <c r="D21" s="11">
        <v>165739000</v>
      </c>
      <c r="E21" s="3">
        <v>0.125</v>
      </c>
      <c r="F21" s="4" t="s">
        <v>117</v>
      </c>
      <c r="G21" s="4" t="s">
        <v>118</v>
      </c>
      <c r="H21" s="11">
        <v>159596381.18279999</v>
      </c>
      <c r="I21" s="11">
        <v>96.371432299237398</v>
      </c>
      <c r="J21" s="11">
        <v>101.61448785478001</v>
      </c>
      <c r="K21" s="11">
        <v>8689787.8472000007</v>
      </c>
      <c r="L21" s="11">
        <v>168414836.02563301</v>
      </c>
      <c r="M21" s="6">
        <f t="shared" si="0"/>
        <v>5.6690080072924311E-3</v>
      </c>
    </row>
    <row r="22" spans="1:15" x14ac:dyDescent="0.25">
      <c r="A22" s="1" t="s">
        <v>119</v>
      </c>
      <c r="B22" s="13" t="s">
        <v>120</v>
      </c>
      <c r="C22" s="10">
        <v>494987</v>
      </c>
      <c r="D22" s="11">
        <v>494987000</v>
      </c>
      <c r="E22" s="3">
        <v>0.1701</v>
      </c>
      <c r="F22" s="4" t="s">
        <v>121</v>
      </c>
      <c r="G22" s="4" t="s">
        <v>122</v>
      </c>
      <c r="H22" s="11">
        <v>495088472.34249997</v>
      </c>
      <c r="I22" s="11">
        <v>101.52980000000001</v>
      </c>
      <c r="J22" s="11">
        <v>106.06580000000001</v>
      </c>
      <c r="K22" s="11">
        <v>22452610.32</v>
      </c>
      <c r="L22" s="11">
        <v>525011921.44599998</v>
      </c>
      <c r="M22" s="6">
        <f t="shared" si="0"/>
        <v>1.7672414478664824E-2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1589198381.5213659</v>
      </c>
      <c r="L24" s="22">
        <f>SUM(L4:L23)</f>
        <v>29707990500.099758</v>
      </c>
      <c r="M24" s="23"/>
      <c r="N24" s="26">
        <v>29707990500.099777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7561986.0300000003</v>
      </c>
      <c r="C27" s="51">
        <v>7561986.0300000003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84906</v>
      </c>
      <c r="D32" s="7" t="s">
        <v>51</v>
      </c>
      <c r="E32" s="34" t="s">
        <v>52</v>
      </c>
      <c r="F32" s="34" t="s">
        <v>53</v>
      </c>
      <c r="G32" s="15">
        <v>1048.541999976444</v>
      </c>
      <c r="H32" s="15">
        <v>1049.030364874096</v>
      </c>
      <c r="I32" s="16">
        <f t="shared" ref="I32:I43" si="1">+C32*G32</f>
        <v>89027507.049999952</v>
      </c>
      <c r="J32" s="16">
        <f t="shared" ref="J32:J43" si="2">+C32*H32</f>
        <v>89068972.159999996</v>
      </c>
      <c r="K32" s="18">
        <v>0.17000099999999999</v>
      </c>
      <c r="L32" s="17"/>
      <c r="M32" s="17">
        <v>89027507.049999997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3033600</v>
      </c>
      <c r="D33" s="7" t="s">
        <v>51</v>
      </c>
      <c r="E33" s="34" t="s">
        <v>52</v>
      </c>
      <c r="F33" s="34" t="s">
        <v>53</v>
      </c>
      <c r="G33" s="15">
        <v>1054.9780000000001</v>
      </c>
      <c r="H33" s="15">
        <v>1055.469475230748</v>
      </c>
      <c r="I33" s="16">
        <f t="shared" si="1"/>
        <v>3200381260.8000002</v>
      </c>
      <c r="J33" s="16">
        <f t="shared" si="2"/>
        <v>3201872200.0599971</v>
      </c>
      <c r="K33" s="18">
        <v>0.17004</v>
      </c>
      <c r="L33" s="17"/>
      <c r="M33" s="17">
        <v>3200381260.8000002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734132</v>
      </c>
      <c r="D34" s="7" t="s">
        <v>51</v>
      </c>
      <c r="E34" s="34" t="s">
        <v>58</v>
      </c>
      <c r="F34" s="34" t="s">
        <v>52</v>
      </c>
      <c r="G34" s="15">
        <v>910.42300000544901</v>
      </c>
      <c r="H34" s="15">
        <v>910.84740428151906</v>
      </c>
      <c r="I34" s="16">
        <f t="shared" si="1"/>
        <v>668370657.84000027</v>
      </c>
      <c r="J34" s="16">
        <f t="shared" si="2"/>
        <v>668682226.60000014</v>
      </c>
      <c r="K34" s="18">
        <v>0.17014899999999999</v>
      </c>
      <c r="L34" s="17">
        <v>311568.76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734132</v>
      </c>
      <c r="D35" s="7" t="s">
        <v>51</v>
      </c>
      <c r="E35" s="34" t="s">
        <v>52</v>
      </c>
      <c r="F35" s="34" t="s">
        <v>52</v>
      </c>
      <c r="G35" s="15">
        <v>910.42300000544901</v>
      </c>
      <c r="H35" s="15">
        <v>910.84740428151906</v>
      </c>
      <c r="I35" s="16">
        <f t="shared" si="1"/>
        <v>668370657.84000027</v>
      </c>
      <c r="J35" s="16">
        <f t="shared" si="2"/>
        <v>668682226.60000014</v>
      </c>
      <c r="K35" s="18">
        <v>0.17014899999999999</v>
      </c>
      <c r="L35" s="17"/>
      <c r="M35" s="17"/>
      <c r="N35" s="35"/>
    </row>
    <row r="36" spans="1:15" s="36" customFormat="1" ht="12" customHeight="1" x14ac:dyDescent="0.25">
      <c r="A36" s="12" t="s">
        <v>59</v>
      </c>
      <c r="B36" s="7" t="s">
        <v>60</v>
      </c>
      <c r="C36" s="14">
        <v>1754916</v>
      </c>
      <c r="D36" s="7" t="s">
        <v>51</v>
      </c>
      <c r="E36" s="34" t="s">
        <v>58</v>
      </c>
      <c r="F36" s="34" t="s">
        <v>52</v>
      </c>
      <c r="G36" s="15">
        <v>931.41300000114006</v>
      </c>
      <c r="H36" s="15">
        <v>931.84680879312702</v>
      </c>
      <c r="I36" s="16">
        <f t="shared" si="1"/>
        <v>1634551576.3100007</v>
      </c>
      <c r="J36" s="16">
        <f t="shared" si="2"/>
        <v>1635312874.2999992</v>
      </c>
      <c r="K36" s="18">
        <v>0.17</v>
      </c>
      <c r="L36" s="17">
        <v>761297.99</v>
      </c>
      <c r="M36" s="17"/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1754916</v>
      </c>
      <c r="D37" s="7" t="s">
        <v>51</v>
      </c>
      <c r="E37" s="34" t="s">
        <v>52</v>
      </c>
      <c r="F37" s="34" t="s">
        <v>52</v>
      </c>
      <c r="G37" s="15">
        <v>931.41300000114006</v>
      </c>
      <c r="H37" s="15">
        <v>931.84680879312702</v>
      </c>
      <c r="I37" s="16">
        <f t="shared" si="1"/>
        <v>1634551576.3100007</v>
      </c>
      <c r="J37" s="16">
        <f t="shared" si="2"/>
        <v>1635312874.2999992</v>
      </c>
      <c r="K37" s="18">
        <v>0.17</v>
      </c>
      <c r="L37" s="17"/>
      <c r="M37" s="17"/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10740</v>
      </c>
      <c r="D38" s="7" t="s">
        <v>51</v>
      </c>
      <c r="E38" s="34" t="s">
        <v>58</v>
      </c>
      <c r="F38" s="34" t="s">
        <v>52</v>
      </c>
      <c r="G38" s="15">
        <v>931.41300000000001</v>
      </c>
      <c r="H38" s="15">
        <v>931.84680912476699</v>
      </c>
      <c r="I38" s="16">
        <f t="shared" si="1"/>
        <v>10003375.620000001</v>
      </c>
      <c r="J38" s="16">
        <f t="shared" si="2"/>
        <v>10008034.729999997</v>
      </c>
      <c r="K38" s="18">
        <v>0.17</v>
      </c>
      <c r="L38" s="17">
        <v>4659.1099999999997</v>
      </c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10740</v>
      </c>
      <c r="D39" s="7" t="s">
        <v>51</v>
      </c>
      <c r="E39" s="34" t="s">
        <v>52</v>
      </c>
      <c r="F39" s="34" t="s">
        <v>52</v>
      </c>
      <c r="G39" s="15">
        <v>931.41300000000001</v>
      </c>
      <c r="H39" s="15">
        <v>931.84680912476699</v>
      </c>
      <c r="I39" s="16">
        <f t="shared" si="1"/>
        <v>10003375.620000001</v>
      </c>
      <c r="J39" s="16">
        <f t="shared" si="2"/>
        <v>10008034.729999997</v>
      </c>
      <c r="K39" s="18">
        <v>0.17</v>
      </c>
      <c r="L39" s="17"/>
      <c r="M39" s="17"/>
      <c r="N39" s="35"/>
    </row>
    <row r="40" spans="1:15" s="36" customFormat="1" ht="12" customHeight="1" x14ac:dyDescent="0.25">
      <c r="A40" s="12" t="s">
        <v>61</v>
      </c>
      <c r="B40" s="7" t="s">
        <v>62</v>
      </c>
      <c r="C40" s="14">
        <v>12429</v>
      </c>
      <c r="D40" s="7" t="s">
        <v>51</v>
      </c>
      <c r="E40" s="34" t="s">
        <v>58</v>
      </c>
      <c r="F40" s="34" t="s">
        <v>52</v>
      </c>
      <c r="G40" s="15">
        <v>724.28</v>
      </c>
      <c r="H40" s="15">
        <v>724.61743744468606</v>
      </c>
      <c r="I40" s="16">
        <f t="shared" si="1"/>
        <v>9002076.1199999992</v>
      </c>
      <c r="J40" s="16">
        <f t="shared" si="2"/>
        <v>9006270.1300000027</v>
      </c>
      <c r="K40" s="18">
        <v>0.17005099999999998</v>
      </c>
      <c r="L40" s="17">
        <v>4194.01</v>
      </c>
      <c r="M40" s="17"/>
      <c r="N40" s="35"/>
    </row>
    <row r="41" spans="1:15" s="36" customFormat="1" ht="12" customHeight="1" x14ac:dyDescent="0.25">
      <c r="A41" s="12" t="s">
        <v>61</v>
      </c>
      <c r="B41" s="7" t="s">
        <v>62</v>
      </c>
      <c r="C41" s="14">
        <v>12429</v>
      </c>
      <c r="D41" s="7" t="s">
        <v>51</v>
      </c>
      <c r="E41" s="34" t="s">
        <v>52</v>
      </c>
      <c r="F41" s="34" t="s">
        <v>52</v>
      </c>
      <c r="G41" s="15">
        <v>724.28</v>
      </c>
      <c r="H41" s="15">
        <v>724.61743744468606</v>
      </c>
      <c r="I41" s="16">
        <f t="shared" si="1"/>
        <v>9002076.1199999992</v>
      </c>
      <c r="J41" s="16">
        <f t="shared" si="2"/>
        <v>9006270.1300000027</v>
      </c>
      <c r="K41" s="18">
        <v>0.17005099999999998</v>
      </c>
      <c r="L41" s="17"/>
      <c r="M41" s="17"/>
      <c r="N41" s="35"/>
    </row>
    <row r="42" spans="1:15" s="36" customFormat="1" ht="12" customHeight="1" x14ac:dyDescent="0.25">
      <c r="A42" s="12" t="s">
        <v>63</v>
      </c>
      <c r="B42" s="7" t="s">
        <v>64</v>
      </c>
      <c r="C42" s="14">
        <v>1746402</v>
      </c>
      <c r="D42" s="7" t="s">
        <v>51</v>
      </c>
      <c r="E42" s="34" t="s">
        <v>58</v>
      </c>
      <c r="F42" s="34" t="s">
        <v>52</v>
      </c>
      <c r="G42" s="15">
        <v>553.88709999759499</v>
      </c>
      <c r="H42" s="15">
        <v>554.14530091582606</v>
      </c>
      <c r="I42" s="16">
        <f t="shared" si="1"/>
        <v>967309539.20999992</v>
      </c>
      <c r="J42" s="16">
        <f t="shared" si="2"/>
        <v>967760461.81000042</v>
      </c>
      <c r="K42" s="18">
        <v>0.17014899999999999</v>
      </c>
      <c r="L42" s="17">
        <v>450922.6</v>
      </c>
      <c r="M42" s="17"/>
      <c r="N42" s="35"/>
    </row>
    <row r="43" spans="1:15" s="36" customFormat="1" ht="12" customHeight="1" x14ac:dyDescent="0.25">
      <c r="A43" s="12" t="s">
        <v>63</v>
      </c>
      <c r="B43" s="7" t="s">
        <v>64</v>
      </c>
      <c r="C43" s="14">
        <v>1746402</v>
      </c>
      <c r="D43" s="7" t="s">
        <v>51</v>
      </c>
      <c r="E43" s="34" t="s">
        <v>52</v>
      </c>
      <c r="F43" s="34" t="s">
        <v>52</v>
      </c>
      <c r="G43" s="15">
        <v>553.88709999759499</v>
      </c>
      <c r="H43" s="15">
        <v>554.14530091582606</v>
      </c>
      <c r="I43" s="16">
        <f t="shared" si="1"/>
        <v>967309539.20999992</v>
      </c>
      <c r="J43" s="16">
        <f t="shared" si="2"/>
        <v>967760461.81000042</v>
      </c>
      <c r="K43" s="18">
        <v>0.17014899999999999</v>
      </c>
      <c r="L43" s="17"/>
      <c r="M43" s="17"/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3289408767.8500004</v>
      </c>
      <c r="N45" s="38">
        <v>3289408767.8500004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33004961253.979759</v>
      </c>
      <c r="C52" s="32">
        <v>33004961253.979778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203540.55999999997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49549.45</v>
      </c>
    </row>
    <row r="62" spans="1:8" x14ac:dyDescent="0.25">
      <c r="A62" s="48" t="s">
        <v>41</v>
      </c>
      <c r="B62" s="50">
        <v>24677.430000000004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277767.43999999994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2025-11-14T05:45:42Z</dcterms:created>
  <dcterms:modified xsi:type="dcterms:W3CDTF">2025-11-14T10:40:19Z</dcterms:modified>
</cp:coreProperties>
</file>