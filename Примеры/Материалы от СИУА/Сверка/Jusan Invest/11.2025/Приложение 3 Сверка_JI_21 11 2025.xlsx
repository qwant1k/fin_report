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EEADCE10-8C4B-4780-87C9-928D11B84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8" i="1"/>
  <c r="M17" i="1"/>
  <c r="M16" i="1"/>
  <c r="M14" i="1"/>
  <c r="M12" i="1"/>
  <c r="M11" i="1"/>
  <c r="M10" i="1"/>
  <c r="M8" i="1"/>
  <c r="M6" i="1"/>
  <c r="M5" i="1"/>
  <c r="M4" i="1"/>
  <c r="M7" i="1" l="1"/>
  <c r="M13" i="1"/>
  <c r="M19" i="1"/>
  <c r="M9" i="1"/>
  <c r="M15" i="1"/>
  <c r="M21" i="1"/>
  <c r="B52" i="1"/>
</calcChain>
</file>

<file path=xl/sharedStrings.xml><?xml version="1.0" encoding="utf-8"?>
<sst xmlns="http://schemas.openxmlformats.org/spreadsheetml/2006/main" count="190" uniqueCount="122">
  <si>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</si>
  <si>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</si>
  <si>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</si>
  <si>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</si>
  <si>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</si>
  <si>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</si>
  <si>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</si>
  <si>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</si>
  <si>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</si>
  <si>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</si>
  <si>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</si>
  <si>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</si>
  <si>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</si>
  <si>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</si>
  <si>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</si>
  <si>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</si>
  <si>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</si>
  <si>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</si>
  <si>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</si>
  <si>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</si>
  <si>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</si>
  <si>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</si>
  <si>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</si>
  <si>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</si>
  <si>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</si>
  <si>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</si>
  <si>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</si>
  <si>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</si>
  <si>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</si>
  <si>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</si>
  <si>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</si>
  <si>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</si>
  <si>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</si>
  <si>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</si>
  <si>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</si>
  <si>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</si>
  <si>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</si>
  <si>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</si>
  <si>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</si>
  <si>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</si>
  <si>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</si>
  <si>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</si>
  <si>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</si>
  <si>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</si>
  <si>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</si>
  <si>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</si>
  <si>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</si>
  <si>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</si>
  <si>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</si>
  <si>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</si>
  <si>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</si>
  <si>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</si>
  <si>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14.11.2025</t>
  </si>
  <si>
    <t>21.11.2025</t>
  </si>
  <si>
    <t>МИНИСТЕРСТВО ФИНАНСОВ РК, ГЦБ, MUM084_0019</t>
  </si>
  <si>
    <t>KZKD00001244</t>
  </si>
  <si>
    <t>24.11.2025</t>
  </si>
  <si>
    <t>МИНИСТЕРСТВО ФИНАНСОВ РК, ГЦБ, MUM240_0001</t>
  </si>
  <si>
    <t>KZKD00000550</t>
  </si>
  <si>
    <t>МИНИСТЕРСТВО ФИНАНСОВ РК, ГЦБ, MOM048_0053</t>
  </si>
  <si>
    <t>KZK200000711</t>
  </si>
  <si>
    <t>20.11.2025</t>
  </si>
  <si>
    <t>МИНИСТЕРСТВО ФИНАНСОВ РК, ГЦБ, MOM048_0054</t>
  </si>
  <si>
    <t>KZK200000729</t>
  </si>
  <si>
    <t>МИНИСТЕРСТВО ФИНАНСОВ РК, ГЦБ, MUM084_0018</t>
  </si>
  <si>
    <t>KZKD00001137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</si>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</sst>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B30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66</v>
      </c>
      <c r="B4" s="13" t="s">
        <v>67</v>
      </c>
      <c r="C4" s="10">
        <v>3020000</v>
      </c>
      <c r="D4" s="11">
        <v>3020000000</v>
      </c>
      <c r="E4" s="3">
        <v>0.1067</v>
      </c>
      <c r="F4" s="4" t="s">
        <v>68</v>
      </c>
      <c r="G4" s="4" t="s">
        <v>69</v>
      </c>
      <c r="H4" s="11">
        <v>2930617060.0000029</v>
      </c>
      <c r="I4" s="11">
        <v>99.000700000000009</v>
      </c>
      <c r="J4" s="11">
        <v>102.55736666666701</v>
      </c>
      <c r="K4" s="11">
        <v>107411333.333333</v>
      </c>
      <c r="L4" s="11">
        <v>3097232473.333333</v>
      </c>
      <c r="M4" s="6">
        <f t="shared" ref="M4:M22" si="0">L4/$L$24</f>
        <v>0.10394768182745329</v>
      </c>
    </row>
    <row r="5" spans="1:13" x14ac:dyDescent="0.25">
      <c r="A5" s="1" t="s">
        <v>70</v>
      </c>
      <c r="B5" s="13" t="s">
        <v>71</v>
      </c>
      <c r="C5" s="10">
        <v>2265000</v>
      </c>
      <c r="D5" s="11">
        <v>2265000000</v>
      </c>
      <c r="E5" s="3">
        <v>0.10550000000000001</v>
      </c>
      <c r="F5" s="4" t="s">
        <v>68</v>
      </c>
      <c r="G5" s="4" t="s">
        <v>72</v>
      </c>
      <c r="H5" s="11">
        <v>2039188560.0000031</v>
      </c>
      <c r="I5" s="11">
        <v>83.008600000000001</v>
      </c>
      <c r="J5" s="11">
        <v>86.32012777777777</v>
      </c>
      <c r="K5" s="11">
        <v>75006104.166666657</v>
      </c>
      <c r="L5" s="11">
        <v>1955150894.166666</v>
      </c>
      <c r="M5" s="6">
        <f t="shared" si="0"/>
        <v>6.5617742556073486E-2</v>
      </c>
    </row>
    <row r="6" spans="1:13" x14ac:dyDescent="0.25">
      <c r="A6" s="1" t="s">
        <v>70</v>
      </c>
      <c r="B6" s="13" t="s">
        <v>71</v>
      </c>
      <c r="C6" s="10">
        <v>1551646</v>
      </c>
      <c r="D6" s="11">
        <v>1551646000</v>
      </c>
      <c r="E6" s="3">
        <v>0.10550000000000001</v>
      </c>
      <c r="F6" s="4" t="s">
        <v>73</v>
      </c>
      <c r="G6" s="4" t="s">
        <v>72</v>
      </c>
      <c r="H6" s="11">
        <v>1395452658.7</v>
      </c>
      <c r="I6" s="11">
        <v>83.008600000000001</v>
      </c>
      <c r="J6" s="11">
        <v>86.320127777778026</v>
      </c>
      <c r="K6" s="11">
        <v>51383188.302777767</v>
      </c>
      <c r="L6" s="11">
        <v>1339382809.8587811</v>
      </c>
      <c r="M6" s="6">
        <f t="shared" si="0"/>
        <v>4.4951659057907947E-2</v>
      </c>
    </row>
    <row r="7" spans="1:13" x14ac:dyDescent="0.25">
      <c r="A7" s="1" t="s">
        <v>70</v>
      </c>
      <c r="B7" s="13" t="s">
        <v>71</v>
      </c>
      <c r="C7" s="10">
        <v>545692</v>
      </c>
      <c r="D7" s="11">
        <v>545692000</v>
      </c>
      <c r="E7" s="3">
        <v>0.10550000000000001</v>
      </c>
      <c r="F7" s="4" t="s">
        <v>74</v>
      </c>
      <c r="G7" s="4" t="s">
        <v>72</v>
      </c>
      <c r="H7" s="11">
        <v>449784993.92000002</v>
      </c>
      <c r="I7" s="11">
        <v>83.008600000000001</v>
      </c>
      <c r="J7" s="11">
        <v>86.32012777777777</v>
      </c>
      <c r="K7" s="11">
        <v>18070742.161111109</v>
      </c>
      <c r="L7" s="11">
        <v>471042031.67311102</v>
      </c>
      <c r="M7" s="6">
        <f t="shared" si="0"/>
        <v>1.5808864093116496E-2</v>
      </c>
    </row>
    <row r="8" spans="1:13" x14ac:dyDescent="0.25">
      <c r="A8" s="1" t="s">
        <v>64</v>
      </c>
      <c r="B8" s="13" t="s">
        <v>65</v>
      </c>
      <c r="C8" s="10">
        <v>2265000</v>
      </c>
      <c r="D8" s="11">
        <v>2265000000</v>
      </c>
      <c r="E8" s="3">
        <v>0.10400000000000001</v>
      </c>
      <c r="F8" s="4" t="s">
        <v>68</v>
      </c>
      <c r="G8" s="4" t="s">
        <v>75</v>
      </c>
      <c r="H8" s="11">
        <v>2073109200</v>
      </c>
      <c r="I8" s="11">
        <v>87.247399999999999</v>
      </c>
      <c r="J8" s="11">
        <v>93.574066666666653</v>
      </c>
      <c r="K8" s="11">
        <v>143299000</v>
      </c>
      <c r="L8" s="11">
        <v>2119452609.999999</v>
      </c>
      <c r="M8" s="6">
        <f t="shared" si="0"/>
        <v>7.1131950039106648E-2</v>
      </c>
    </row>
    <row r="9" spans="1:13" x14ac:dyDescent="0.25">
      <c r="A9" s="1" t="s">
        <v>76</v>
      </c>
      <c r="B9" s="13" t="s">
        <v>77</v>
      </c>
      <c r="C9" s="10">
        <v>2265000</v>
      </c>
      <c r="D9" s="11">
        <v>2265000000</v>
      </c>
      <c r="E9" s="3">
        <v>0.11</v>
      </c>
      <c r="F9" s="4" t="s">
        <v>68</v>
      </c>
      <c r="G9" s="4" t="s">
        <v>78</v>
      </c>
      <c r="H9" s="11">
        <v>2080889475</v>
      </c>
      <c r="I9" s="11">
        <v>85.108500000000006</v>
      </c>
      <c r="J9" s="11">
        <v>92.166833333333329</v>
      </c>
      <c r="K9" s="11">
        <v>159871250</v>
      </c>
      <c r="L9" s="11">
        <v>2087578774.999999</v>
      </c>
      <c r="M9" s="6">
        <f t="shared" si="0"/>
        <v>7.0062217208998814E-2</v>
      </c>
    </row>
    <row r="10" spans="1:13" x14ac:dyDescent="0.25">
      <c r="A10" s="1" t="s">
        <v>79</v>
      </c>
      <c r="B10" s="13" t="s">
        <v>80</v>
      </c>
      <c r="C10" s="10">
        <v>2265000</v>
      </c>
      <c r="D10" s="11">
        <v>2265000000</v>
      </c>
      <c r="E10" s="3">
        <v>0.10300000000000001</v>
      </c>
      <c r="F10" s="4" t="s">
        <v>68</v>
      </c>
      <c r="G10" s="4" t="s">
        <v>81</v>
      </c>
      <c r="H10" s="11">
        <v>1963990560.0000031</v>
      </c>
      <c r="I10" s="11">
        <v>77.616</v>
      </c>
      <c r="J10" s="11">
        <v>84.597111111111104</v>
      </c>
      <c r="K10" s="11">
        <v>158122166.66666701</v>
      </c>
      <c r="L10" s="11">
        <v>1916124566.666666</v>
      </c>
      <c r="M10" s="6">
        <f t="shared" si="0"/>
        <v>6.4307961547127118E-2</v>
      </c>
    </row>
    <row r="11" spans="1:13" x14ac:dyDescent="0.25">
      <c r="A11" s="1" t="s">
        <v>82</v>
      </c>
      <c r="B11" s="13" t="s">
        <v>83</v>
      </c>
      <c r="C11" s="10">
        <v>2265000</v>
      </c>
      <c r="D11" s="11">
        <v>2265000000</v>
      </c>
      <c r="E11" s="3">
        <v>8.4500000000000006E-2</v>
      </c>
      <c r="F11" s="4" t="s">
        <v>68</v>
      </c>
      <c r="G11" s="4" t="s">
        <v>84</v>
      </c>
      <c r="H11" s="11">
        <v>1740247065.0000031</v>
      </c>
      <c r="I11" s="11">
        <v>68.158299999999997</v>
      </c>
      <c r="J11" s="11">
        <v>73.204827777777766</v>
      </c>
      <c r="K11" s="11">
        <v>114303854.166667</v>
      </c>
      <c r="L11" s="11">
        <v>1658089349.166666</v>
      </c>
      <c r="M11" s="6">
        <f t="shared" si="0"/>
        <v>5.5647919745324334E-2</v>
      </c>
    </row>
    <row r="12" spans="1:13" x14ac:dyDescent="0.25">
      <c r="A12" s="1" t="s">
        <v>85</v>
      </c>
      <c r="B12" s="13" t="s">
        <v>86</v>
      </c>
      <c r="C12" s="10">
        <v>2265000</v>
      </c>
      <c r="D12" s="11">
        <v>2265000000</v>
      </c>
      <c r="E12" s="3">
        <v>0.10650000000000001</v>
      </c>
      <c r="F12" s="4" t="s">
        <v>68</v>
      </c>
      <c r="G12" s="4" t="s">
        <v>87</v>
      </c>
      <c r="H12" s="11">
        <v>1967775375</v>
      </c>
      <c r="I12" s="11">
        <v>75.78840000000001</v>
      </c>
      <c r="J12" s="11">
        <v>79.190483333333333</v>
      </c>
      <c r="K12" s="11">
        <v>77057187.5</v>
      </c>
      <c r="L12" s="11">
        <v>1793664447.5</v>
      </c>
      <c r="M12" s="6">
        <f t="shared" si="0"/>
        <v>6.0198019651164496E-2</v>
      </c>
    </row>
    <row r="13" spans="1:13" x14ac:dyDescent="0.25">
      <c r="A13" s="1" t="s">
        <v>88</v>
      </c>
      <c r="B13" s="13" t="s">
        <v>89</v>
      </c>
      <c r="C13" s="10">
        <v>2265000</v>
      </c>
      <c r="D13" s="11">
        <v>2265000000</v>
      </c>
      <c r="E13" s="3">
        <v>8.0700000000000008E-2</v>
      </c>
      <c r="F13" s="4" t="s">
        <v>68</v>
      </c>
      <c r="G13" s="4" t="s">
        <v>90</v>
      </c>
      <c r="H13" s="11">
        <v>1622351550</v>
      </c>
      <c r="I13" s="11">
        <v>61.568000000000005</v>
      </c>
      <c r="J13" s="11">
        <v>65.804749999999999</v>
      </c>
      <c r="K13" s="11">
        <v>95962387.5</v>
      </c>
      <c r="L13" s="11">
        <v>1490477587.5</v>
      </c>
      <c r="M13" s="6">
        <f t="shared" si="0"/>
        <v>5.0022622250779296E-2</v>
      </c>
    </row>
    <row r="14" spans="1:13" x14ac:dyDescent="0.25">
      <c r="A14" s="1" t="s">
        <v>91</v>
      </c>
      <c r="B14" s="13" t="s">
        <v>92</v>
      </c>
      <c r="C14" s="10">
        <v>2265000</v>
      </c>
      <c r="D14" s="11">
        <v>2265000000</v>
      </c>
      <c r="E14" s="3">
        <v>8.0700000000000008E-2</v>
      </c>
      <c r="F14" s="4" t="s">
        <v>68</v>
      </c>
      <c r="G14" s="4" t="s">
        <v>93</v>
      </c>
      <c r="H14" s="11">
        <v>1597764975</v>
      </c>
      <c r="I14" s="11">
        <v>60.158100000000005</v>
      </c>
      <c r="J14" s="11">
        <v>66.703766666666652</v>
      </c>
      <c r="K14" s="11">
        <v>148259350</v>
      </c>
      <c r="L14" s="11">
        <v>1510840315</v>
      </c>
      <c r="M14" s="6">
        <f t="shared" si="0"/>
        <v>5.0706025365506141E-2</v>
      </c>
    </row>
    <row r="15" spans="1:13" x14ac:dyDescent="0.25">
      <c r="A15" s="1" t="s">
        <v>94</v>
      </c>
      <c r="B15" s="13" t="s">
        <v>95</v>
      </c>
      <c r="C15" s="10">
        <v>3775000</v>
      </c>
      <c r="D15" s="11">
        <v>3775000000</v>
      </c>
      <c r="E15" s="3">
        <v>5.4900000000000004E-2</v>
      </c>
      <c r="F15" s="4" t="s">
        <v>68</v>
      </c>
      <c r="G15" s="4" t="s">
        <v>96</v>
      </c>
      <c r="H15" s="11">
        <v>3136670150</v>
      </c>
      <c r="I15" s="11">
        <v>86.539200000000008</v>
      </c>
      <c r="J15" s="11">
        <v>90.107700000000008</v>
      </c>
      <c r="K15" s="11">
        <v>134710875</v>
      </c>
      <c r="L15" s="11">
        <v>3401565675</v>
      </c>
      <c r="M15" s="6">
        <f t="shared" si="0"/>
        <v>0.11416155214191846</v>
      </c>
    </row>
    <row r="16" spans="1:13" x14ac:dyDescent="0.25">
      <c r="A16" s="1" t="s">
        <v>57</v>
      </c>
      <c r="B16" s="13" t="s">
        <v>58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57.143000000000001</v>
      </c>
      <c r="J16" s="11">
        <v>60.305500000000002</v>
      </c>
      <c r="K16" s="11">
        <v>88672072.5</v>
      </c>
      <c r="L16" s="11">
        <v>1690881792.3</v>
      </c>
      <c r="M16" s="6">
        <f t="shared" si="0"/>
        <v>5.6748482416843826E-2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85.32950000000001</v>
      </c>
      <c r="J17" s="11">
        <v>93.79616666666665</v>
      </c>
      <c r="K17" s="11">
        <v>87924640</v>
      </c>
      <c r="L17" s="11">
        <v>974054431.60000002</v>
      </c>
      <c r="M17" s="6">
        <f t="shared" si="0"/>
        <v>3.2690700814462494E-2</v>
      </c>
    </row>
    <row r="18" spans="1:15" x14ac:dyDescent="0.25">
      <c r="A18" s="1" t="s">
        <v>102</v>
      </c>
      <c r="B18" s="13" t="s">
        <v>103</v>
      </c>
      <c r="C18" s="10">
        <v>506989</v>
      </c>
      <c r="D18" s="11">
        <v>506989000</v>
      </c>
      <c r="E18" s="3">
        <v>0.1535</v>
      </c>
      <c r="F18" s="4" t="s">
        <v>104</v>
      </c>
      <c r="G18" s="4" t="s">
        <v>105</v>
      </c>
      <c r="H18" s="11">
        <v>492216861.50999999</v>
      </c>
      <c r="I18" s="11">
        <v>97.878900000000002</v>
      </c>
      <c r="J18" s="11">
        <v>98.006816666666651</v>
      </c>
      <c r="K18" s="11">
        <v>648523.42916666658</v>
      </c>
      <c r="L18" s="11">
        <v>496883779.75016701</v>
      </c>
      <c r="M18" s="6">
        <f t="shared" si="0"/>
        <v>1.6676151205112986E-2</v>
      </c>
    </row>
    <row r="19" spans="1:15" x14ac:dyDescent="0.25">
      <c r="A19" s="1" t="s">
        <v>106</v>
      </c>
      <c r="B19" s="13" t="s">
        <v>107</v>
      </c>
      <c r="C19" s="10">
        <v>2100000</v>
      </c>
      <c r="D19" s="11">
        <v>2100000000</v>
      </c>
      <c r="E19" s="3">
        <v>0.14300000000000002</v>
      </c>
      <c r="F19" s="4" t="s">
        <v>108</v>
      </c>
      <c r="G19" s="4" t="s">
        <v>109</v>
      </c>
      <c r="H19" s="11">
        <v>2100000000</v>
      </c>
      <c r="I19" s="11">
        <v>94.37792983703379</v>
      </c>
      <c r="J19" s="11">
        <v>97.476263170367119</v>
      </c>
      <c r="K19" s="11">
        <v>65065000</v>
      </c>
      <c r="L19" s="11">
        <v>2047001526.577709</v>
      </c>
      <c r="M19" s="6">
        <f t="shared" si="0"/>
        <v>6.8700385010496037E-2</v>
      </c>
    </row>
    <row r="20" spans="1:15" x14ac:dyDescent="0.25">
      <c r="A20" s="1" t="s">
        <v>110</v>
      </c>
      <c r="B20" s="13" t="s">
        <v>111</v>
      </c>
      <c r="C20" s="10">
        <v>1000000</v>
      </c>
      <c r="D20" s="11">
        <v>1000000000</v>
      </c>
      <c r="E20" s="3">
        <v>0.1389</v>
      </c>
      <c r="F20" s="4" t="s">
        <v>112</v>
      </c>
      <c r="G20" s="4" t="s">
        <v>113</v>
      </c>
      <c r="H20" s="11">
        <v>1000000000</v>
      </c>
      <c r="I20" s="11">
        <v>98.39281688739419</v>
      </c>
      <c r="J20" s="11">
        <v>105.06773355406101</v>
      </c>
      <c r="K20" s="11">
        <v>66749166.666666657</v>
      </c>
      <c r="L20" s="11">
        <v>1050677335.540608</v>
      </c>
      <c r="M20" s="6">
        <f t="shared" si="0"/>
        <v>3.5262278281794776E-2</v>
      </c>
    </row>
    <row r="21" spans="1:15" x14ac:dyDescent="0.25">
      <c r="A21" s="1" t="s">
        <v>114</v>
      </c>
      <c r="B21" s="13" t="s">
        <v>115</v>
      </c>
      <c r="C21" s="10">
        <v>165739</v>
      </c>
      <c r="D21" s="11">
        <v>165739000</v>
      </c>
      <c r="E21" s="3">
        <v>0.125</v>
      </c>
      <c r="F21" s="4" t="s">
        <v>116</v>
      </c>
      <c r="G21" s="4" t="s">
        <v>117</v>
      </c>
      <c r="H21" s="11">
        <v>159596381.18279999</v>
      </c>
      <c r="I21" s="11">
        <v>96.591074191319095</v>
      </c>
      <c r="J21" s="11">
        <v>102.11190752463901</v>
      </c>
      <c r="K21" s="11">
        <v>9150173.9583111107</v>
      </c>
      <c r="L21" s="11">
        <v>169239254.41226101</v>
      </c>
      <c r="M21" s="6">
        <f t="shared" si="0"/>
        <v>5.6799185472274439E-3</v>
      </c>
    </row>
    <row r="22" spans="1:15" x14ac:dyDescent="0.25">
      <c r="A22" s="1" t="s">
        <v>118</v>
      </c>
      <c r="B22" s="13" t="s">
        <v>119</v>
      </c>
      <c r="C22" s="10">
        <v>494987</v>
      </c>
      <c r="D22" s="11">
        <v>494987000</v>
      </c>
      <c r="E22" s="3">
        <v>0.1701</v>
      </c>
      <c r="F22" s="4" t="s">
        <v>120</v>
      </c>
      <c r="G22" s="4" t="s">
        <v>121</v>
      </c>
      <c r="H22" s="11">
        <v>495088472.34249997</v>
      </c>
      <c r="I22" s="11">
        <v>101.4991</v>
      </c>
      <c r="J22" s="11">
        <v>106.4131</v>
      </c>
      <c r="K22" s="11">
        <v>24323661.18</v>
      </c>
      <c r="L22" s="11">
        <v>526731011.29699999</v>
      </c>
      <c r="M22" s="6">
        <f t="shared" si="0"/>
        <v>1.7677868239585851E-2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1625990676.5313671</v>
      </c>
      <c r="L24" s="22">
        <f>SUM(L4:L23)</f>
        <v>29796070666.342968</v>
      </c>
      <c r="M24" s="23"/>
      <c r="N24" s="26">
        <v>29796070666.342987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3279583.83</v>
      </c>
      <c r="C27" s="51">
        <v>3279583.83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1862400</v>
      </c>
      <c r="D32" s="7" t="s">
        <v>51</v>
      </c>
      <c r="E32" s="34" t="s">
        <v>52</v>
      </c>
      <c r="F32" s="34" t="s">
        <v>53</v>
      </c>
      <c r="G32" s="15">
        <v>859.80499999999995</v>
      </c>
      <c r="H32" s="15">
        <v>862.63293397766301</v>
      </c>
      <c r="I32" s="16">
        <f t="shared" ref="I32:I43" si="1">+C32*G32</f>
        <v>1601300832</v>
      </c>
      <c r="J32" s="16">
        <f t="shared" ref="J32:J43" si="2">+C32*H32</f>
        <v>1606567576.2399995</v>
      </c>
      <c r="K32" s="18">
        <v>0.17150000000000001</v>
      </c>
      <c r="L32" s="17">
        <v>752392.03428571427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1862400</v>
      </c>
      <c r="D33" s="7" t="s">
        <v>51</v>
      </c>
      <c r="E33" s="34" t="s">
        <v>53</v>
      </c>
      <c r="F33" s="34" t="s">
        <v>53</v>
      </c>
      <c r="G33" s="15">
        <v>859.80499999999995</v>
      </c>
      <c r="H33" s="15">
        <v>862.63293397766301</v>
      </c>
      <c r="I33" s="16">
        <f t="shared" si="1"/>
        <v>1601300832</v>
      </c>
      <c r="J33" s="16">
        <f t="shared" si="2"/>
        <v>1606567576.2399995</v>
      </c>
      <c r="K33" s="18">
        <v>0.17150000000000001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10476</v>
      </c>
      <c r="D34" s="7" t="s">
        <v>51</v>
      </c>
      <c r="E34" s="34" t="s">
        <v>52</v>
      </c>
      <c r="F34" s="34" t="s">
        <v>53</v>
      </c>
      <c r="G34" s="15">
        <v>859.80499999999995</v>
      </c>
      <c r="H34" s="15">
        <v>862.63293432607907</v>
      </c>
      <c r="I34" s="16">
        <f t="shared" si="1"/>
        <v>9007317.1799999997</v>
      </c>
      <c r="J34" s="16">
        <f t="shared" si="2"/>
        <v>9036942.6200000048</v>
      </c>
      <c r="K34" s="18">
        <v>0.17150000000000001</v>
      </c>
      <c r="L34" s="17">
        <v>4232.2057142857138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10476</v>
      </c>
      <c r="D35" s="7" t="s">
        <v>51</v>
      </c>
      <c r="E35" s="34" t="s">
        <v>53</v>
      </c>
      <c r="F35" s="34" t="s">
        <v>53</v>
      </c>
      <c r="G35" s="15">
        <v>859.80499999999995</v>
      </c>
      <c r="H35" s="15">
        <v>862.63293432607907</v>
      </c>
      <c r="I35" s="16">
        <f t="shared" si="1"/>
        <v>9007317.1799999997</v>
      </c>
      <c r="J35" s="16">
        <f t="shared" si="2"/>
        <v>9036942.6200000048</v>
      </c>
      <c r="K35" s="18">
        <v>0.17150000000000001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3468800</v>
      </c>
      <c r="D36" s="7" t="s">
        <v>51</v>
      </c>
      <c r="E36" s="34" t="s">
        <v>53</v>
      </c>
      <c r="F36" s="34" t="s">
        <v>56</v>
      </c>
      <c r="G36" s="15">
        <v>922.77300000000002</v>
      </c>
      <c r="H36" s="15">
        <v>924.06993849169703</v>
      </c>
      <c r="I36" s="16">
        <f t="shared" si="1"/>
        <v>3200914982.4000001</v>
      </c>
      <c r="J36" s="16">
        <f t="shared" si="2"/>
        <v>3205413802.6399984</v>
      </c>
      <c r="K36" s="18">
        <v>0.17100000000000001</v>
      </c>
      <c r="L36" s="17"/>
      <c r="M36" s="17">
        <v>3200914982.4000001</v>
      </c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238896</v>
      </c>
      <c r="D37" s="7" t="s">
        <v>51</v>
      </c>
      <c r="E37" s="34" t="s">
        <v>53</v>
      </c>
      <c r="F37" s="34" t="s">
        <v>56</v>
      </c>
      <c r="G37" s="15">
        <v>603.05500000000006</v>
      </c>
      <c r="H37" s="15">
        <v>603.90307707119405</v>
      </c>
      <c r="I37" s="16">
        <f t="shared" si="1"/>
        <v>144067427.28</v>
      </c>
      <c r="J37" s="16">
        <f t="shared" si="2"/>
        <v>144270029.49999997</v>
      </c>
      <c r="K37" s="18">
        <v>0.1711</v>
      </c>
      <c r="L37" s="17"/>
      <c r="M37" s="17">
        <v>144067427.28</v>
      </c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9620</v>
      </c>
      <c r="D38" s="7" t="s">
        <v>51</v>
      </c>
      <c r="E38" s="34" t="s">
        <v>61</v>
      </c>
      <c r="F38" s="34" t="s">
        <v>53</v>
      </c>
      <c r="G38" s="15">
        <v>1040.0710000000001</v>
      </c>
      <c r="H38" s="15">
        <v>1040.555422037422</v>
      </c>
      <c r="I38" s="16">
        <f t="shared" si="1"/>
        <v>10005483.020000001</v>
      </c>
      <c r="J38" s="16">
        <f t="shared" si="2"/>
        <v>10010143.16</v>
      </c>
      <c r="K38" s="18">
        <v>0.17000199999999999</v>
      </c>
      <c r="L38" s="17">
        <v>4660.1400000000003</v>
      </c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9620</v>
      </c>
      <c r="D39" s="7" t="s">
        <v>51</v>
      </c>
      <c r="E39" s="34" t="s">
        <v>53</v>
      </c>
      <c r="F39" s="34" t="s">
        <v>53</v>
      </c>
      <c r="G39" s="15">
        <v>1040.0710000000001</v>
      </c>
      <c r="H39" s="15">
        <v>1040.555422037422</v>
      </c>
      <c r="I39" s="16">
        <f t="shared" si="1"/>
        <v>10005483.020000001</v>
      </c>
      <c r="J39" s="16">
        <f t="shared" si="2"/>
        <v>10010143.16</v>
      </c>
      <c r="K39" s="18">
        <v>0.17000199999999999</v>
      </c>
      <c r="L39" s="17"/>
      <c r="M39" s="17"/>
      <c r="N39" s="35"/>
    </row>
    <row r="40" spans="1:15" s="36" customFormat="1" ht="12" customHeight="1" x14ac:dyDescent="0.25">
      <c r="A40" s="12" t="s">
        <v>62</v>
      </c>
      <c r="B40" s="7" t="s">
        <v>63</v>
      </c>
      <c r="C40" s="14">
        <v>122631</v>
      </c>
      <c r="D40" s="7" t="s">
        <v>51</v>
      </c>
      <c r="E40" s="34" t="s">
        <v>61</v>
      </c>
      <c r="F40" s="34" t="s">
        <v>53</v>
      </c>
      <c r="G40" s="15">
        <v>1003.603999967381</v>
      </c>
      <c r="H40" s="15">
        <v>1004.071434710635</v>
      </c>
      <c r="I40" s="16">
        <f t="shared" si="1"/>
        <v>123072962.1199999</v>
      </c>
      <c r="J40" s="16">
        <f t="shared" si="2"/>
        <v>123130284.10999988</v>
      </c>
      <c r="K40" s="18">
        <v>0.17000099999999999</v>
      </c>
      <c r="L40" s="17">
        <v>57321.99</v>
      </c>
      <c r="M40" s="17"/>
      <c r="N40" s="35"/>
    </row>
    <row r="41" spans="1:15" s="36" customFormat="1" ht="12" customHeight="1" x14ac:dyDescent="0.25">
      <c r="A41" s="12" t="s">
        <v>62</v>
      </c>
      <c r="B41" s="7" t="s">
        <v>63</v>
      </c>
      <c r="C41" s="14">
        <v>122631</v>
      </c>
      <c r="D41" s="7" t="s">
        <v>51</v>
      </c>
      <c r="E41" s="34" t="s">
        <v>53</v>
      </c>
      <c r="F41" s="34" t="s">
        <v>53</v>
      </c>
      <c r="G41" s="15">
        <v>1003.603999967381</v>
      </c>
      <c r="H41" s="15">
        <v>1004.071434710635</v>
      </c>
      <c r="I41" s="16">
        <f t="shared" si="1"/>
        <v>123072962.1199999</v>
      </c>
      <c r="J41" s="16">
        <f t="shared" si="2"/>
        <v>123130284.10999988</v>
      </c>
      <c r="K41" s="18">
        <v>0.17000099999999999</v>
      </c>
      <c r="L41" s="17"/>
      <c r="M41" s="17"/>
      <c r="N41" s="35"/>
    </row>
    <row r="42" spans="1:15" s="36" customFormat="1" ht="12" customHeight="1" x14ac:dyDescent="0.25">
      <c r="A42" s="12" t="s">
        <v>64</v>
      </c>
      <c r="B42" s="7" t="s">
        <v>65</v>
      </c>
      <c r="C42" s="14">
        <v>1709316</v>
      </c>
      <c r="D42" s="7" t="s">
        <v>51</v>
      </c>
      <c r="E42" s="34" t="s">
        <v>61</v>
      </c>
      <c r="F42" s="34" t="s">
        <v>53</v>
      </c>
      <c r="G42" s="15">
        <v>934.00699999883</v>
      </c>
      <c r="H42" s="15">
        <v>934.44201951540902</v>
      </c>
      <c r="I42" s="16">
        <f t="shared" si="1"/>
        <v>1596513109.21</v>
      </c>
      <c r="J42" s="16">
        <f t="shared" si="2"/>
        <v>1597256695.0300009</v>
      </c>
      <c r="K42" s="18">
        <v>0.17000099999999999</v>
      </c>
      <c r="L42" s="17">
        <v>743585.82</v>
      </c>
      <c r="M42" s="17"/>
      <c r="N42" s="35"/>
    </row>
    <row r="43" spans="1:15" s="36" customFormat="1" ht="12" customHeight="1" x14ac:dyDescent="0.25">
      <c r="A43" s="12" t="s">
        <v>64</v>
      </c>
      <c r="B43" s="7" t="s">
        <v>65</v>
      </c>
      <c r="C43" s="14">
        <v>1709316</v>
      </c>
      <c r="D43" s="7" t="s">
        <v>51</v>
      </c>
      <c r="E43" s="34" t="s">
        <v>53</v>
      </c>
      <c r="F43" s="34" t="s">
        <v>53</v>
      </c>
      <c r="G43" s="15">
        <v>934.00699999883</v>
      </c>
      <c r="H43" s="15">
        <v>934.44201951540902</v>
      </c>
      <c r="I43" s="16">
        <f t="shared" si="1"/>
        <v>1596513109.21</v>
      </c>
      <c r="J43" s="16">
        <f t="shared" si="2"/>
        <v>1597256695.0300009</v>
      </c>
      <c r="K43" s="18">
        <v>0.17000099999999999</v>
      </c>
      <c r="L43" s="17"/>
      <c r="M43" s="17"/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3344982409.6800003</v>
      </c>
      <c r="N45" s="38">
        <v>3344982409.6800003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33144332659.85297</v>
      </c>
      <c r="C52" s="32">
        <v>33144332659.852989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334267.01999999996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99511.489999999991</v>
      </c>
    </row>
    <row r="62" spans="1:8" x14ac:dyDescent="0.25">
      <c r="A62" s="48" t="s">
        <v>41</v>
      </c>
      <c r="B62" s="50">
        <v>49596.15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483374.66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2025-11-24T05:21:25Z</dcterms:created>
  <dcterms:modified xsi:type="dcterms:W3CDTF">2025-11-24T07:44:00Z</dcterms:modified>
</cp:coreProperties>
</file>