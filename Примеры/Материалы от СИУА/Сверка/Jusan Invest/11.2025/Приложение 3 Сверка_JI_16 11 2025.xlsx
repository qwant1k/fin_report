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80097530-AF16-48C1-95F9-6FC6BB7F14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4" i="1" l="1"/>
  <c r="O37" i="1"/>
  <c r="O24" i="1"/>
  <c r="D27" i="1"/>
  <c r="B58" i="1"/>
  <c r="G42" i="1"/>
  <c r="M37" i="1"/>
  <c r="J35" i="1"/>
  <c r="I35" i="1"/>
  <c r="J34" i="1"/>
  <c r="I34" i="1"/>
  <c r="J33" i="1"/>
  <c r="I33" i="1"/>
  <c r="J32" i="1"/>
  <c r="I32" i="1"/>
  <c r="L24" i="1"/>
  <c r="B44" i="1" s="1"/>
  <c r="K24" i="1"/>
  <c r="M22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1" i="1" l="1"/>
</calcChain>
</file>

<file path=xl/sharedStrings.xml><?xml version="1.0" encoding="utf-8"?>
<sst xmlns="http://schemas.openxmlformats.org/spreadsheetml/2006/main" count="150" uniqueCount="118">
  <si>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</si>
  <si>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</si>
  <si>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</si>
  <si>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</si>
  <si>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</si>
  <si>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</si>
  <si>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</si>
  <si>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</si>
  <si>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</si>
  <si>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</si>
  <si>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</si>
  <si>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</si>
  <si>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</si>
  <si>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</si>
  <si>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</si>
  <si>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</si>
  <si>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</si>
  <si>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</si>
  <si>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</si>
  <si>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</si>
  <si>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</si>
  <si>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</si>
  <si>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</si>
  <si>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</si>
  <si>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</si>
  <si>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</si>
  <si>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</si>
  <si>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</si>
  <si>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</si>
  <si>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</si>
  <si>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</si>
  <si>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</si>
  <si>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</si>
  <si>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</si>
  <si>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</si>
  <si>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</si>
  <si>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</si>
  <si>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</si>
  <si>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</si>
  <si>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</si>
  <si>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</si>
  <si>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</si>
  <si>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</si>
  <si>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</si>
  <si>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</si>
  <si>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</si>
  <si>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</si>
  <si>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</si>
  <si>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</si>
  <si>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MOM060_0054</t>
  </si>
  <si>
    <t>KZK200000737</t>
  </si>
  <si>
    <t>KZT</t>
  </si>
  <si>
    <t>14.11.2025</t>
  </si>
  <si>
    <t>17.11.2025</t>
  </si>
  <si>
    <t>МИНИСТЕРСТВО ФИНАНСОВ РК, ГЦБ, MUM096_0011</t>
  </si>
  <si>
    <t>KZKD00001095</t>
  </si>
  <si>
    <t>21.11.2025</t>
  </si>
  <si>
    <t>МИНИСТЕРСТВО ФИНАНСОВ РК, ГЦБ, MUM216_0002</t>
  </si>
  <si>
    <t>KZKD00001079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</si>
  <si>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</si>
  <si>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</si>
  <si>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</si>
  <si>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</si>
  <si>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</si>
  <si>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</si>
  <si>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</si>
  <si>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</si>
  <si>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</si>
  <si>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</si>
  <si>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</si>
  <si>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</si>
  <si>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</si>
  <si>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</si>
  <si>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</si>
  <si>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</si>
  <si>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</si>
  <si>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</si>
  <si>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</si>
  <si>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</si>
  <si>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</si>
  <si>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</si>
  <si>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</si>
  <si>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</si>
  <si>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</si>
  <si>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</si>
  <si>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</si>
  <si>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</si>
  <si>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</si>
  <si>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</si>
  <si>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</si>
  <si>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</si>
  <si>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</si>
  <si>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</si>
  <si>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</si>
  <si>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</si>
  <si>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</si>
  <si>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</si>
  <si>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</si>
  <si>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</si>
  <si>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</si>
  <si>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</si>
  <si>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</si>
  <si>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</si>
  <si>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</si>
  <si>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</si>
  <si>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</si>
  <si>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</si>
  <si>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</si>
  <si>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</si>
  <si>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</si>
  <si>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</si>
  <si>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</si>
  <si>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</si>
  <si>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</si>
  <si>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</si>
  <si>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</si>
  <si>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</si>
  <si>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16.11.2025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</si>
</sst>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"/>
  <sheetViews>
    <sheetView tabSelected="1" topLeftCell="A10" zoomScale="90" zoomScaleNormal="90" workbookViewId="0">
      <selection activeCell="D45" sqref="D45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117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59</v>
      </c>
      <c r="B4" s="13" t="s">
        <v>60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98.822100000000006</v>
      </c>
      <c r="J4" s="11">
        <v>102.23057222222201</v>
      </c>
      <c r="K4" s="11">
        <v>102935861.111111</v>
      </c>
      <c r="L4" s="11">
        <v>3087363281.1111112</v>
      </c>
      <c r="M4" s="6">
        <f t="shared" ref="M4:M22" si="0">L4/$L$24</f>
        <v>0.10382799690716496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82.95</v>
      </c>
      <c r="J5" s="11">
        <v>86.114999999999981</v>
      </c>
      <c r="K5" s="11">
        <v>71687249.999999985</v>
      </c>
      <c r="L5" s="11">
        <v>1950504749.999999</v>
      </c>
      <c r="M5" s="6">
        <f t="shared" si="0"/>
        <v>6.5595455639909872E-2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66</v>
      </c>
      <c r="G6" s="4" t="s">
        <v>65</v>
      </c>
      <c r="H6" s="11">
        <v>1395452658.7</v>
      </c>
      <c r="I6" s="11">
        <v>82.95</v>
      </c>
      <c r="J6" s="11">
        <v>86.115000000000251</v>
      </c>
      <c r="K6" s="11">
        <v>49109595.899999999</v>
      </c>
      <c r="L6" s="11">
        <v>1336199952.9000039</v>
      </c>
      <c r="M6" s="6">
        <f t="shared" si="0"/>
        <v>4.4936391329732421E-2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67</v>
      </c>
      <c r="G7" s="4" t="s">
        <v>65</v>
      </c>
      <c r="H7" s="11">
        <v>449784993.92000002</v>
      </c>
      <c r="I7" s="11">
        <v>82.95</v>
      </c>
      <c r="J7" s="11">
        <v>86.114999999999995</v>
      </c>
      <c r="K7" s="11">
        <v>17271151.79999999</v>
      </c>
      <c r="L7" s="11">
        <v>469922665.80000001</v>
      </c>
      <c r="M7" s="6">
        <f t="shared" si="0"/>
        <v>1.5803494648588837E-2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87.28670000000001</v>
      </c>
      <c r="J8" s="11">
        <v>93.468922222222218</v>
      </c>
      <c r="K8" s="11">
        <v>140027333.33333299</v>
      </c>
      <c r="L8" s="11">
        <v>2117071088.333333</v>
      </c>
      <c r="M8" s="6">
        <f t="shared" si="0"/>
        <v>7.119707996676497E-2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85.069699999999997</v>
      </c>
      <c r="J9" s="11">
        <v>91.975255555555549</v>
      </c>
      <c r="K9" s="11">
        <v>156410833.33333299</v>
      </c>
      <c r="L9" s="11">
        <v>2083239538.333333</v>
      </c>
      <c r="M9" s="6">
        <f t="shared" si="0"/>
        <v>7.0059325271599832E-2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77.416200000000003</v>
      </c>
      <c r="J10" s="11">
        <v>84.254255555555545</v>
      </c>
      <c r="K10" s="11">
        <v>154881958.33333299</v>
      </c>
      <c r="L10" s="11">
        <v>1908358888.333333</v>
      </c>
      <c r="M10" s="6">
        <f t="shared" si="0"/>
        <v>6.4178090724822334E-2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67.8934</v>
      </c>
      <c r="J11" s="11">
        <v>72.82256666666666</v>
      </c>
      <c r="K11" s="11">
        <v>111645625</v>
      </c>
      <c r="L11" s="11">
        <v>1649431134.999999</v>
      </c>
      <c r="M11" s="6">
        <f t="shared" si="0"/>
        <v>5.5470352916073988E-2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75.531199999999998</v>
      </c>
      <c r="J12" s="11">
        <v>78.785366666666661</v>
      </c>
      <c r="K12" s="11">
        <v>73706875</v>
      </c>
      <c r="L12" s="11">
        <v>1784488555</v>
      </c>
      <c r="M12" s="6">
        <f t="shared" si="0"/>
        <v>6.0012332627966895E-2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61.237499999999997</v>
      </c>
      <c r="J13" s="11">
        <v>65.362166666666653</v>
      </c>
      <c r="K13" s="11">
        <v>93423700</v>
      </c>
      <c r="L13" s="11">
        <v>1480453075</v>
      </c>
      <c r="M13" s="6">
        <f t="shared" si="0"/>
        <v>4.9787622413188536E-2</v>
      </c>
    </row>
    <row r="14" spans="1:13" x14ac:dyDescent="0.25">
      <c r="A14" s="1" t="s">
        <v>86</v>
      </c>
      <c r="B14" s="13" t="s">
        <v>87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88</v>
      </c>
      <c r="H14" s="11">
        <v>1597764975</v>
      </c>
      <c r="I14" s="11">
        <v>59.808</v>
      </c>
      <c r="J14" s="11">
        <v>66.241583333333324</v>
      </c>
      <c r="K14" s="11">
        <v>145720662.5</v>
      </c>
      <c r="L14" s="11">
        <v>1500371862.5</v>
      </c>
      <c r="M14" s="6">
        <f t="shared" si="0"/>
        <v>5.0457491041735601E-2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91</v>
      </c>
      <c r="H15" s="11">
        <v>3136670150</v>
      </c>
      <c r="I15" s="11">
        <v>86.496200000000002</v>
      </c>
      <c r="J15" s="11">
        <v>89.98845</v>
      </c>
      <c r="K15" s="11">
        <v>131832437.5</v>
      </c>
      <c r="L15" s="11">
        <v>3397063987.5</v>
      </c>
      <c r="M15" s="6">
        <f t="shared" si="0"/>
        <v>0.11424322862991833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56.866800000000005</v>
      </c>
      <c r="J16" s="11">
        <v>59.952911111111106</v>
      </c>
      <c r="K16" s="11">
        <v>86530235</v>
      </c>
      <c r="L16" s="11">
        <v>1680995693.48</v>
      </c>
      <c r="M16" s="6">
        <f t="shared" si="0"/>
        <v>5.6531868708623714E-2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85.217700000000008</v>
      </c>
      <c r="J17" s="11">
        <v>93.517700000000005</v>
      </c>
      <c r="K17" s="11">
        <v>86193840</v>
      </c>
      <c r="L17" s="11">
        <v>971162610.96000004</v>
      </c>
      <c r="M17" s="6">
        <f t="shared" si="0"/>
        <v>3.2660189095343531E-2</v>
      </c>
    </row>
    <row r="18" spans="1:15" x14ac:dyDescent="0.25">
      <c r="A18" s="1" t="s">
        <v>49</v>
      </c>
      <c r="B18" s="13" t="s">
        <v>50</v>
      </c>
      <c r="C18" s="10">
        <v>506989</v>
      </c>
      <c r="D18" s="11">
        <v>506989000</v>
      </c>
      <c r="E18" s="3">
        <v>0.1535</v>
      </c>
      <c r="F18" s="4" t="s">
        <v>99</v>
      </c>
      <c r="G18" s="4" t="s">
        <v>100</v>
      </c>
      <c r="H18" s="11">
        <v>492216861.50999999</v>
      </c>
      <c r="I18" s="11">
        <v>98.02170000000001</v>
      </c>
      <c r="J18" s="11">
        <v>105.611422222222</v>
      </c>
      <c r="K18" s="11">
        <v>38479056.797222219</v>
      </c>
      <c r="L18" s="11">
        <v>535438293.41022199</v>
      </c>
      <c r="M18" s="6">
        <f t="shared" si="0"/>
        <v>1.8006784563482491E-2</v>
      </c>
    </row>
    <row r="19" spans="1:15" x14ac:dyDescent="0.25">
      <c r="A19" s="1" t="s">
        <v>101</v>
      </c>
      <c r="B19" s="13" t="s">
        <v>102</v>
      </c>
      <c r="C19" s="10">
        <v>2100000</v>
      </c>
      <c r="D19" s="11">
        <v>2100000000</v>
      </c>
      <c r="E19" s="3">
        <v>0.14300000000000002</v>
      </c>
      <c r="F19" s="4" t="s">
        <v>103</v>
      </c>
      <c r="G19" s="4" t="s">
        <v>104</v>
      </c>
      <c r="H19" s="11">
        <v>2100000000</v>
      </c>
      <c r="I19" s="11">
        <v>94.341900907798291</v>
      </c>
      <c r="J19" s="11">
        <v>97.241623130020514</v>
      </c>
      <c r="K19" s="11">
        <v>60894166.666666657</v>
      </c>
      <c r="L19" s="11">
        <v>2042074085.7304299</v>
      </c>
      <c r="M19" s="6">
        <f t="shared" si="0"/>
        <v>6.8674931503724862E-2</v>
      </c>
    </row>
    <row r="20" spans="1:15" x14ac:dyDescent="0.25">
      <c r="A20" s="1" t="s">
        <v>105</v>
      </c>
      <c r="B20" s="13" t="s">
        <v>106</v>
      </c>
      <c r="C20" s="10">
        <v>1000000</v>
      </c>
      <c r="D20" s="11">
        <v>1000000000</v>
      </c>
      <c r="E20" s="3">
        <v>0.1389</v>
      </c>
      <c r="F20" s="4" t="s">
        <v>107</v>
      </c>
      <c r="G20" s="4" t="s">
        <v>108</v>
      </c>
      <c r="H20" s="11">
        <v>1000000000</v>
      </c>
      <c r="I20" s="11">
        <v>98.217268286822005</v>
      </c>
      <c r="J20" s="11">
        <v>104.699268286822</v>
      </c>
      <c r="K20" s="11">
        <v>64819999.999999993</v>
      </c>
      <c r="L20" s="11">
        <v>1046992682.868219</v>
      </c>
      <c r="M20" s="6">
        <f t="shared" si="0"/>
        <v>3.5210353670962612E-2</v>
      </c>
    </row>
    <row r="21" spans="1:15" x14ac:dyDescent="0.25">
      <c r="A21" s="1" t="s">
        <v>109</v>
      </c>
      <c r="B21" s="13" t="s">
        <v>110</v>
      </c>
      <c r="C21" s="10">
        <v>165739</v>
      </c>
      <c r="D21" s="11">
        <v>165739000</v>
      </c>
      <c r="E21" s="3">
        <v>0.125</v>
      </c>
      <c r="F21" s="4" t="s">
        <v>111</v>
      </c>
      <c r="G21" s="4" t="s">
        <v>112</v>
      </c>
      <c r="H21" s="11">
        <v>159596381.18279999</v>
      </c>
      <c r="I21" s="11">
        <v>96.377765922567889</v>
      </c>
      <c r="J21" s="11">
        <v>101.724988144777</v>
      </c>
      <c r="K21" s="11">
        <v>8862432.6388666704</v>
      </c>
      <c r="L21" s="11">
        <v>168597978.101271</v>
      </c>
      <c r="M21" s="6">
        <f t="shared" si="0"/>
        <v>5.6699483523536265E-3</v>
      </c>
    </row>
    <row r="22" spans="1:15" x14ac:dyDescent="0.25">
      <c r="A22" s="1" t="s">
        <v>113</v>
      </c>
      <c r="B22" s="13" t="s">
        <v>114</v>
      </c>
      <c r="C22" s="10">
        <v>494987</v>
      </c>
      <c r="D22" s="11">
        <v>494987000</v>
      </c>
      <c r="E22" s="3">
        <v>0.1701</v>
      </c>
      <c r="F22" s="4" t="s">
        <v>115</v>
      </c>
      <c r="G22" s="4" t="s">
        <v>116</v>
      </c>
      <c r="H22" s="11">
        <v>495088472.34249997</v>
      </c>
      <c r="I22" s="11">
        <v>101.5137</v>
      </c>
      <c r="J22" s="11">
        <v>106.19145</v>
      </c>
      <c r="K22" s="11">
        <v>23154254.392499998</v>
      </c>
      <c r="L22" s="11">
        <v>525633872.61150002</v>
      </c>
      <c r="M22" s="6">
        <f t="shared" si="0"/>
        <v>1.7677061988042683E-2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1617587269.3063655</v>
      </c>
      <c r="L24" s="22">
        <f>SUM(L4:L23)</f>
        <v>29735363996.972752</v>
      </c>
      <c r="M24" s="23"/>
      <c r="N24" s="26">
        <v>29735363996.972778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8544863.8399999999</v>
      </c>
      <c r="C27" s="51">
        <v>8544863.8399999999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1582212</v>
      </c>
      <c r="D32" s="7" t="s">
        <v>51</v>
      </c>
      <c r="E32" s="34" t="s">
        <v>52</v>
      </c>
      <c r="F32" s="34" t="s">
        <v>53</v>
      </c>
      <c r="G32" s="15">
        <v>1055.2609999987351</v>
      </c>
      <c r="H32" s="15">
        <v>1056.7355610057311</v>
      </c>
      <c r="I32" s="16">
        <f>+C32*G32</f>
        <v>1669646617.3299987</v>
      </c>
      <c r="J32" s="16">
        <f>+C32*H32</f>
        <v>1671979685.4499998</v>
      </c>
      <c r="K32" s="18">
        <v>0.17000999999999999</v>
      </c>
      <c r="L32" s="17">
        <v>777689.37333333329</v>
      </c>
      <c r="M32" s="17">
        <v>1671201996.0766661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1862400</v>
      </c>
      <c r="D33" s="7" t="s">
        <v>51</v>
      </c>
      <c r="E33" s="34" t="s">
        <v>52</v>
      </c>
      <c r="F33" s="34" t="s">
        <v>56</v>
      </c>
      <c r="G33" s="15">
        <v>859.80499999999995</v>
      </c>
      <c r="H33" s="15">
        <v>862.63293397766301</v>
      </c>
      <c r="I33" s="16">
        <f>+C33*G33</f>
        <v>1601300832</v>
      </c>
      <c r="J33" s="16">
        <f>+C33*H33</f>
        <v>1606567576.2399995</v>
      </c>
      <c r="K33" s="18">
        <v>0.17150000000000001</v>
      </c>
      <c r="L33" s="17">
        <v>752392.03428571427</v>
      </c>
      <c r="M33" s="17">
        <v>1602805616.0685711</v>
      </c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10476</v>
      </c>
      <c r="D34" s="7" t="s">
        <v>51</v>
      </c>
      <c r="E34" s="34" t="s">
        <v>52</v>
      </c>
      <c r="F34" s="34" t="s">
        <v>56</v>
      </c>
      <c r="G34" s="15">
        <v>859.80499999999995</v>
      </c>
      <c r="H34" s="15">
        <v>862.63293432607907</v>
      </c>
      <c r="I34" s="16">
        <f>+C34*G34</f>
        <v>9007317.1799999997</v>
      </c>
      <c r="J34" s="16">
        <f>+C34*H34</f>
        <v>9036942.6200000048</v>
      </c>
      <c r="K34" s="18">
        <v>0.17150000000000001</v>
      </c>
      <c r="L34" s="17">
        <v>4232.2057142857138</v>
      </c>
      <c r="M34" s="17">
        <v>9015781.5914285704</v>
      </c>
      <c r="N34" s="35"/>
    </row>
    <row r="35" spans="1:15" s="36" customFormat="1" ht="12" customHeight="1" x14ac:dyDescent="0.25">
      <c r="A35" s="12" t="s">
        <v>57</v>
      </c>
      <c r="B35" s="7" t="s">
        <v>58</v>
      </c>
      <c r="C35" s="14">
        <v>15140</v>
      </c>
      <c r="D35" s="7" t="s">
        <v>51</v>
      </c>
      <c r="E35" s="34" t="s">
        <v>52</v>
      </c>
      <c r="F35" s="34" t="s">
        <v>53</v>
      </c>
      <c r="G35" s="15">
        <v>660.73500000000001</v>
      </c>
      <c r="H35" s="15">
        <v>661.65821862615599</v>
      </c>
      <c r="I35" s="16">
        <f>+C35*G35</f>
        <v>10003527.9</v>
      </c>
      <c r="J35" s="16">
        <f>+C35*H35</f>
        <v>10017505.430000002</v>
      </c>
      <c r="K35" s="18">
        <v>0.17</v>
      </c>
      <c r="L35" s="17">
        <v>4659.1766666666663</v>
      </c>
      <c r="M35" s="17">
        <v>10012846.25333333</v>
      </c>
      <c r="N35" s="35"/>
    </row>
    <row r="36" spans="1:15" s="36" customFormat="1" ht="11.25" hidden="1" x14ac:dyDescent="0.25">
      <c r="A36" s="7"/>
      <c r="B36" s="7"/>
      <c r="C36" s="7"/>
      <c r="D36" s="7"/>
      <c r="E36" s="37"/>
      <c r="F36" s="37"/>
      <c r="G36" s="7"/>
      <c r="H36" s="7"/>
      <c r="I36" s="8"/>
      <c r="J36" s="8"/>
      <c r="K36" s="7"/>
      <c r="L36" s="9"/>
      <c r="M36" s="9"/>
      <c r="N36" s="35"/>
    </row>
    <row r="37" spans="1:15" x14ac:dyDescent="0.25">
      <c r="A37" s="1" t="s">
        <v>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>
        <f>SUM(M32:M36)</f>
        <v>3293036239.9899988</v>
      </c>
      <c r="N37" s="38">
        <v>3293036239.9900002</v>
      </c>
      <c r="O37" s="29">
        <f>M37-N37</f>
        <v>0</v>
      </c>
    </row>
    <row r="39" spans="1:15" x14ac:dyDescent="0.25">
      <c r="A39" s="39" t="s">
        <v>28</v>
      </c>
      <c r="B39" s="33"/>
      <c r="D39" s="33"/>
      <c r="F39" s="28"/>
      <c r="G39" s="28"/>
    </row>
    <row r="40" spans="1:15" ht="22.5" x14ac:dyDescent="0.25">
      <c r="A40" s="19" t="s">
        <v>6</v>
      </c>
      <c r="B40" s="19" t="s">
        <v>29</v>
      </c>
      <c r="C40" s="19" t="s">
        <v>17</v>
      </c>
      <c r="D40" s="19" t="s">
        <v>30</v>
      </c>
      <c r="E40" s="19" t="s">
        <v>16</v>
      </c>
      <c r="F40" s="19" t="s">
        <v>31</v>
      </c>
      <c r="G40" s="19" t="s">
        <v>32</v>
      </c>
    </row>
    <row r="41" spans="1:15" hidden="1" x14ac:dyDescent="0.25">
      <c r="B41" s="41"/>
      <c r="C41" s="42"/>
      <c r="D41" s="43"/>
      <c r="G41" s="44"/>
      <c r="H41" s="33"/>
    </row>
    <row r="42" spans="1:15" x14ac:dyDescent="0.25">
      <c r="G42" s="45">
        <f>SUM(G41:G41)</f>
        <v>0</v>
      </c>
    </row>
    <row r="44" spans="1:15" x14ac:dyDescent="0.25">
      <c r="A44" s="46" t="s">
        <v>13</v>
      </c>
      <c r="B44" s="47">
        <f>+L24+B27+M37+G42</f>
        <v>33036945100.80275</v>
      </c>
      <c r="C44" s="32">
        <v>33036945100.80278</v>
      </c>
      <c r="D44" s="29">
        <f>B44-C44</f>
        <v>-3.0517578125E-5</v>
      </c>
    </row>
    <row r="47" spans="1:15" x14ac:dyDescent="0.25">
      <c r="A47" s="24" t="s">
        <v>46</v>
      </c>
      <c r="B47" s="33"/>
    </row>
    <row r="48" spans="1:15" x14ac:dyDescent="0.25">
      <c r="A48" s="48" t="s">
        <v>35</v>
      </c>
      <c r="B48" s="49"/>
    </row>
    <row r="49" spans="1:2" x14ac:dyDescent="0.25">
      <c r="A49" s="48" t="s">
        <v>36</v>
      </c>
      <c r="B49" s="40"/>
    </row>
    <row r="50" spans="1:2" x14ac:dyDescent="0.25">
      <c r="A50" s="48" t="s">
        <v>37</v>
      </c>
      <c r="B50" s="40">
        <v>246257.47999999995</v>
      </c>
    </row>
    <row r="51" spans="1:2" x14ac:dyDescent="0.25">
      <c r="A51" s="48" t="s">
        <v>38</v>
      </c>
      <c r="B51" s="40"/>
    </row>
    <row r="52" spans="1:2" x14ac:dyDescent="0.25">
      <c r="A52" s="48" t="s">
        <v>39</v>
      </c>
      <c r="B52" s="49"/>
    </row>
    <row r="53" spans="1:2" x14ac:dyDescent="0.25">
      <c r="A53" s="48" t="s">
        <v>40</v>
      </c>
      <c r="B53" s="50">
        <v>74016.12</v>
      </c>
    </row>
    <row r="54" spans="1:2" x14ac:dyDescent="0.25">
      <c r="A54" s="48" t="s">
        <v>41</v>
      </c>
      <c r="B54" s="50">
        <v>36910.76</v>
      </c>
    </row>
    <row r="55" spans="1:2" x14ac:dyDescent="0.25">
      <c r="A55" s="48" t="s">
        <v>42</v>
      </c>
      <c r="B55" s="40"/>
    </row>
    <row r="56" spans="1:2" x14ac:dyDescent="0.25">
      <c r="A56" s="48" t="s">
        <v>43</v>
      </c>
      <c r="B56" s="40"/>
    </row>
    <row r="57" spans="1:2" x14ac:dyDescent="0.25">
      <c r="A57" s="48" t="s">
        <v>44</v>
      </c>
      <c r="B57" s="50"/>
    </row>
    <row r="58" spans="1:2" x14ac:dyDescent="0.25">
      <c r="A58" s="48" t="s">
        <v>45</v>
      </c>
      <c r="B58" s="49">
        <f>SUM(B48:B57)</f>
        <v>357184.36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2025-11-17T06:12:33Z</dcterms:created>
  <dcterms:modified xsi:type="dcterms:W3CDTF">2025-11-17T14:08:37Z</dcterms:modified>
</cp:coreProperties>
</file>