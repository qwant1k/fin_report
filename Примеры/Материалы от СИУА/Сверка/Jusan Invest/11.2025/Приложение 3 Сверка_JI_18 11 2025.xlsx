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90A829F8-D618-4D05-9276-1FC81DFC8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1" i="1" l="1"/>
  <c r="O54" i="1"/>
  <c r="O24" i="1"/>
  <c r="D27" i="1"/>
  <c r="B75" i="1"/>
  <c r="G59" i="1"/>
  <c r="M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8" i="1"/>
  <c r="M17" i="1"/>
  <c r="M14" i="1"/>
  <c r="M12" i="1"/>
  <c r="M11" i="1"/>
  <c r="M8" i="1"/>
  <c r="M6" i="1"/>
  <c r="M5" i="1"/>
  <c r="M7" i="1" l="1"/>
  <c r="M13" i="1"/>
  <c r="M19" i="1"/>
  <c r="B61" i="1"/>
  <c r="M9" i="1"/>
  <c r="M15" i="1"/>
  <c r="M21" i="1"/>
  <c r="M4" i="1"/>
  <c r="M10" i="1"/>
  <c r="M16" i="1"/>
</calcChain>
</file>

<file path=xl/sharedStrings.xml><?xml version="1.0" encoding="utf-8"?>
<sst xmlns="http://schemas.openxmlformats.org/spreadsheetml/2006/main" count="235" uniqueCount="127">
  <si>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</si>
  <si>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</si>
  <si>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</si>
  <si>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</si>
  <si>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</si>
  <si>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</si>
  <si>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</si>
  <si>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</si>
  <si>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</si>
  <si>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</si>
  <si>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</si>
  <si>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</si>
  <si>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</si>
  <si>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</si>
  <si>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</si>
  <si>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</si>
  <si>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</si>
  <si>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</si>
  <si>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</si>
  <si>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</si>
  <si>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</si>
  <si>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</si>
  <si>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</si>
  <si>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</si>
  <si>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</si>
  <si>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</si>
  <si>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</si>
  <si>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</si>
  <si>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</si>
  <si>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</si>
  <si>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</si>
  <si>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</si>
  <si>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</si>
  <si>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</si>
  <si>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</si>
  <si>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</si>
  <si>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</si>
  <si>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</si>
  <si>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</si>
  <si>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</si>
  <si>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</si>
  <si>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</si>
  <si>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</si>
  <si>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</si>
  <si>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</si>
  <si>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</si>
  <si>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</si>
  <si>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</si>
  <si>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</si>
  <si>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MUM096_0011</t>
  </si>
  <si>
    <t>KZKD00001095</t>
  </si>
  <si>
    <t>KZT</t>
  </si>
  <si>
    <t>14.11.2025</t>
  </si>
  <si>
    <t>21.11.2025</t>
  </si>
  <si>
    <t>АКЦИОНЕРНОЕ ОБЩЕСТВО КАЗАХСТАНСКИЙ ФОНД УСТОЙЧИВОСТИ, ОБЛИГАЦИИ, KFUSb72</t>
  </si>
  <si>
    <t>KZ2C00011989</t>
  </si>
  <si>
    <t>17.11.2025</t>
  </si>
  <si>
    <t>18.11.2025</t>
  </si>
  <si>
    <t>АКЦИОНЕРНОЕ ОБЩЕСТВО КАЗАХСТАНСКИЙ ФОНД УСТОЙЧИВОСТИ, ОБЛИГАЦИИ, KFUSb54</t>
  </si>
  <si>
    <t>KZ2C00009462</t>
  </si>
  <si>
    <t>МИНИСТЕРСТВО ФИНАНСОВ РК, ГЦБ, MUM096_0013</t>
  </si>
  <si>
    <t>KZKD00001202</t>
  </si>
  <si>
    <t>19.11.2025</t>
  </si>
  <si>
    <t>Европейский банк реконструкции и развития, ОБЛИГАЦИИ, EBRDe21</t>
  </si>
  <si>
    <t>XS2733527670</t>
  </si>
  <si>
    <t>МИНИСТЕРСТВО ФИНАНСОВ РК, ГЦБ, MUM180_0004</t>
  </si>
  <si>
    <t>KZKD00000444</t>
  </si>
  <si>
    <t>МИНИСТЕРСТВО ФИНАНСОВ РК, ГЦБ, MUM240_0004</t>
  </si>
  <si>
    <t>KZKD00000832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</si>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</sst>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topLeftCell="A22" zoomScale="90" zoomScaleNormal="90" workbookViewId="0">
      <selection activeCell="D62" sqref="D6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57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69</v>
      </c>
      <c r="B4" s="13" t="s">
        <v>70</v>
      </c>
      <c r="C4" s="10">
        <v>3020000</v>
      </c>
      <c r="D4" s="11">
        <v>3020000000</v>
      </c>
      <c r="E4" s="3">
        <v>0.1067</v>
      </c>
      <c r="F4" s="4" t="s">
        <v>71</v>
      </c>
      <c r="G4" s="4" t="s">
        <v>72</v>
      </c>
      <c r="H4" s="11">
        <v>2930617060.0000029</v>
      </c>
      <c r="I4" s="11">
        <v>98.891500000000008</v>
      </c>
      <c r="J4" s="11">
        <v>102.35925</v>
      </c>
      <c r="K4" s="11">
        <v>104726050</v>
      </c>
      <c r="L4" s="11">
        <v>3091249349.999999</v>
      </c>
      <c r="M4" s="6">
        <f t="shared" ref="M4:M22" si="0">L4/$L$24</f>
        <v>0.10377723753955442</v>
      </c>
    </row>
    <row r="5" spans="1:13" x14ac:dyDescent="0.25">
      <c r="A5" s="1" t="s">
        <v>73</v>
      </c>
      <c r="B5" s="13" t="s">
        <v>74</v>
      </c>
      <c r="C5" s="10">
        <v>2265000</v>
      </c>
      <c r="D5" s="11">
        <v>2265000000</v>
      </c>
      <c r="E5" s="3">
        <v>0.10550000000000001</v>
      </c>
      <c r="F5" s="4" t="s">
        <v>71</v>
      </c>
      <c r="G5" s="4" t="s">
        <v>75</v>
      </c>
      <c r="H5" s="11">
        <v>2039188560.0000031</v>
      </c>
      <c r="I5" s="11">
        <v>83.193100000000001</v>
      </c>
      <c r="J5" s="11">
        <v>86.416711111111113</v>
      </c>
      <c r="K5" s="11">
        <v>73014791.666666657</v>
      </c>
      <c r="L5" s="11">
        <v>1957338506.666666</v>
      </c>
      <c r="M5" s="6">
        <f t="shared" si="0"/>
        <v>6.5710384428115901E-2</v>
      </c>
    </row>
    <row r="6" spans="1:13" x14ac:dyDescent="0.25">
      <c r="A6" s="1" t="s">
        <v>73</v>
      </c>
      <c r="B6" s="13" t="s">
        <v>74</v>
      </c>
      <c r="C6" s="10">
        <v>1551646</v>
      </c>
      <c r="D6" s="11">
        <v>1551646000</v>
      </c>
      <c r="E6" s="3">
        <v>0.10550000000000001</v>
      </c>
      <c r="F6" s="4" t="s">
        <v>76</v>
      </c>
      <c r="G6" s="4" t="s">
        <v>75</v>
      </c>
      <c r="H6" s="11">
        <v>1395452658.7</v>
      </c>
      <c r="I6" s="11">
        <v>83.193100000000001</v>
      </c>
      <c r="J6" s="11">
        <v>86.416711111111354</v>
      </c>
      <c r="K6" s="11">
        <v>50019032.861111112</v>
      </c>
      <c r="L6" s="11">
        <v>1340881441.2871151</v>
      </c>
      <c r="M6" s="6">
        <f t="shared" si="0"/>
        <v>4.5015123689337154E-2</v>
      </c>
    </row>
    <row r="7" spans="1:13" x14ac:dyDescent="0.25">
      <c r="A7" s="1" t="s">
        <v>73</v>
      </c>
      <c r="B7" s="13" t="s">
        <v>74</v>
      </c>
      <c r="C7" s="10">
        <v>545692</v>
      </c>
      <c r="D7" s="11">
        <v>545692000</v>
      </c>
      <c r="E7" s="3">
        <v>0.10550000000000001</v>
      </c>
      <c r="F7" s="4" t="s">
        <v>77</v>
      </c>
      <c r="G7" s="4" t="s">
        <v>75</v>
      </c>
      <c r="H7" s="11">
        <v>449784993.92000002</v>
      </c>
      <c r="I7" s="11">
        <v>83.193100000000001</v>
      </c>
      <c r="J7" s="11">
        <v>86.416711111111113</v>
      </c>
      <c r="K7" s="11">
        <v>17590987.94444444</v>
      </c>
      <c r="L7" s="11">
        <v>471569079.19644397</v>
      </c>
      <c r="M7" s="6">
        <f t="shared" si="0"/>
        <v>1.5831183708321147E-2</v>
      </c>
    </row>
    <row r="8" spans="1:13" x14ac:dyDescent="0.25">
      <c r="A8" s="1" t="s">
        <v>78</v>
      </c>
      <c r="B8" s="13" t="s">
        <v>79</v>
      </c>
      <c r="C8" s="10">
        <v>2265000</v>
      </c>
      <c r="D8" s="11">
        <v>2265000000</v>
      </c>
      <c r="E8" s="3">
        <v>0.10400000000000001</v>
      </c>
      <c r="F8" s="4" t="s">
        <v>71</v>
      </c>
      <c r="G8" s="4" t="s">
        <v>80</v>
      </c>
      <c r="H8" s="11">
        <v>2073109200</v>
      </c>
      <c r="I8" s="11">
        <v>87.553100000000001</v>
      </c>
      <c r="J8" s="11">
        <v>93.793099999999981</v>
      </c>
      <c r="K8" s="11">
        <v>141336000</v>
      </c>
      <c r="L8" s="11">
        <v>2124413714.999999</v>
      </c>
      <c r="M8" s="6">
        <f t="shared" si="0"/>
        <v>7.1319315193335092E-2</v>
      </c>
    </row>
    <row r="9" spans="1:13" x14ac:dyDescent="0.25">
      <c r="A9" s="1" t="s">
        <v>81</v>
      </c>
      <c r="B9" s="13" t="s">
        <v>82</v>
      </c>
      <c r="C9" s="10">
        <v>2265000</v>
      </c>
      <c r="D9" s="11">
        <v>2265000000</v>
      </c>
      <c r="E9" s="3">
        <v>0.11</v>
      </c>
      <c r="F9" s="4" t="s">
        <v>71</v>
      </c>
      <c r="G9" s="4" t="s">
        <v>83</v>
      </c>
      <c r="H9" s="11">
        <v>2080889475</v>
      </c>
      <c r="I9" s="11">
        <v>85.320300000000003</v>
      </c>
      <c r="J9" s="11">
        <v>92.286966666666657</v>
      </c>
      <c r="K9" s="11">
        <v>157795000</v>
      </c>
      <c r="L9" s="11">
        <v>2090299794.999999</v>
      </c>
      <c r="M9" s="6">
        <f t="shared" si="0"/>
        <v>7.017406679101991E-2</v>
      </c>
    </row>
    <row r="10" spans="1:13" x14ac:dyDescent="0.25">
      <c r="A10" s="1" t="s">
        <v>84</v>
      </c>
      <c r="B10" s="13" t="s">
        <v>85</v>
      </c>
      <c r="C10" s="10">
        <v>2265000</v>
      </c>
      <c r="D10" s="11">
        <v>2265000000</v>
      </c>
      <c r="E10" s="3">
        <v>0.10300000000000001</v>
      </c>
      <c r="F10" s="4" t="s">
        <v>71</v>
      </c>
      <c r="G10" s="4" t="s">
        <v>86</v>
      </c>
      <c r="H10" s="11">
        <v>1963990560.0000031</v>
      </c>
      <c r="I10" s="11">
        <v>77.640900000000002</v>
      </c>
      <c r="J10" s="11">
        <v>84.536177777777766</v>
      </c>
      <c r="K10" s="11">
        <v>156178041.66666701</v>
      </c>
      <c r="L10" s="11">
        <v>1914744426.666666</v>
      </c>
      <c r="M10" s="6">
        <f t="shared" si="0"/>
        <v>6.4280446090097712E-2</v>
      </c>
    </row>
    <row r="11" spans="1:13" x14ac:dyDescent="0.25">
      <c r="A11" s="1" t="s">
        <v>87</v>
      </c>
      <c r="B11" s="13" t="s">
        <v>88</v>
      </c>
      <c r="C11" s="10">
        <v>2265000</v>
      </c>
      <c r="D11" s="11">
        <v>2265000000</v>
      </c>
      <c r="E11" s="3">
        <v>8.4500000000000006E-2</v>
      </c>
      <c r="F11" s="4" t="s">
        <v>71</v>
      </c>
      <c r="G11" s="4" t="s">
        <v>89</v>
      </c>
      <c r="H11" s="11">
        <v>1740247065.0000031</v>
      </c>
      <c r="I11" s="11">
        <v>68.096299999999999</v>
      </c>
      <c r="J11" s="11">
        <v>73.072411111111109</v>
      </c>
      <c r="K11" s="11">
        <v>112708916.666667</v>
      </c>
      <c r="L11" s="11">
        <v>1655090111.666666</v>
      </c>
      <c r="M11" s="6">
        <f t="shared" si="0"/>
        <v>5.5563515013047821E-2</v>
      </c>
    </row>
    <row r="12" spans="1:13" x14ac:dyDescent="0.25">
      <c r="A12" s="1" t="s">
        <v>90</v>
      </c>
      <c r="B12" s="13" t="s">
        <v>91</v>
      </c>
      <c r="C12" s="10">
        <v>2265000</v>
      </c>
      <c r="D12" s="11">
        <v>2265000000</v>
      </c>
      <c r="E12" s="3">
        <v>0.10650000000000001</v>
      </c>
      <c r="F12" s="4" t="s">
        <v>71</v>
      </c>
      <c r="G12" s="4" t="s">
        <v>92</v>
      </c>
      <c r="H12" s="11">
        <v>1967775375</v>
      </c>
      <c r="I12" s="11">
        <v>75.74130000000001</v>
      </c>
      <c r="J12" s="11">
        <v>79.054633333333328</v>
      </c>
      <c r="K12" s="11">
        <v>75047000</v>
      </c>
      <c r="L12" s="11">
        <v>1790587445</v>
      </c>
      <c r="M12" s="6">
        <f t="shared" si="0"/>
        <v>6.0112335685605207E-2</v>
      </c>
    </row>
    <row r="13" spans="1:13" x14ac:dyDescent="0.25">
      <c r="A13" s="1" t="s">
        <v>93</v>
      </c>
      <c r="B13" s="13" t="s">
        <v>94</v>
      </c>
      <c r="C13" s="10">
        <v>2265000</v>
      </c>
      <c r="D13" s="11">
        <v>2265000000</v>
      </c>
      <c r="E13" s="3">
        <v>8.0700000000000008E-2</v>
      </c>
      <c r="F13" s="4" t="s">
        <v>71</v>
      </c>
      <c r="G13" s="4" t="s">
        <v>95</v>
      </c>
      <c r="H13" s="11">
        <v>1622351550</v>
      </c>
      <c r="I13" s="11">
        <v>61.415500000000002</v>
      </c>
      <c r="J13" s="11">
        <v>65.585000000000008</v>
      </c>
      <c r="K13" s="11">
        <v>94439175</v>
      </c>
      <c r="L13" s="11">
        <v>1485500250</v>
      </c>
      <c r="M13" s="6">
        <f t="shared" si="0"/>
        <v>4.9870164084083846E-2</v>
      </c>
    </row>
    <row r="14" spans="1:13" x14ac:dyDescent="0.25">
      <c r="A14" s="1" t="s">
        <v>67</v>
      </c>
      <c r="B14" s="13" t="s">
        <v>68</v>
      </c>
      <c r="C14" s="10">
        <v>2265000</v>
      </c>
      <c r="D14" s="11">
        <v>2265000000</v>
      </c>
      <c r="E14" s="3">
        <v>8.0700000000000008E-2</v>
      </c>
      <c r="F14" s="4" t="s">
        <v>71</v>
      </c>
      <c r="G14" s="4" t="s">
        <v>96</v>
      </c>
      <c r="H14" s="11">
        <v>1597764975</v>
      </c>
      <c r="I14" s="11">
        <v>59.981000000000002</v>
      </c>
      <c r="J14" s="11">
        <v>66.459416666666655</v>
      </c>
      <c r="K14" s="11">
        <v>146736137.5</v>
      </c>
      <c r="L14" s="11">
        <v>1505305787.5</v>
      </c>
      <c r="M14" s="6">
        <f t="shared" si="0"/>
        <v>5.0535061585715683E-2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71</v>
      </c>
      <c r="G15" s="4" t="s">
        <v>99</v>
      </c>
      <c r="H15" s="11">
        <v>3136670150</v>
      </c>
      <c r="I15" s="11">
        <v>86.805199999999999</v>
      </c>
      <c r="J15" s="11">
        <v>90.327950000000001</v>
      </c>
      <c r="K15" s="11">
        <v>132983812.5</v>
      </c>
      <c r="L15" s="11">
        <v>3409880112.5</v>
      </c>
      <c r="M15" s="6">
        <f t="shared" si="0"/>
        <v>0.11447408421333438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57.052800000000005</v>
      </c>
      <c r="J16" s="11">
        <v>60.169466666666658</v>
      </c>
      <c r="K16" s="11">
        <v>87386970</v>
      </c>
      <c r="L16" s="11">
        <v>1687067608.0799999</v>
      </c>
      <c r="M16" s="6">
        <f t="shared" si="0"/>
        <v>5.6637040913249566E-2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85.458600000000004</v>
      </c>
      <c r="J17" s="11">
        <v>93.82526666666665</v>
      </c>
      <c r="K17" s="11">
        <v>86886160</v>
      </c>
      <c r="L17" s="11">
        <v>974356629.27999997</v>
      </c>
      <c r="M17" s="6">
        <f t="shared" si="0"/>
        <v>3.2710411848539546E-2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98.271100000000004</v>
      </c>
      <c r="J18" s="11">
        <v>98.271100000000004</v>
      </c>
      <c r="K18" s="11"/>
      <c r="L18" s="11">
        <v>498223667.17900002</v>
      </c>
      <c r="M18" s="6">
        <f t="shared" si="0"/>
        <v>1.6726012690196929E-2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94.445048719071593</v>
      </c>
      <c r="J19" s="11">
        <v>97.42421538573825</v>
      </c>
      <c r="K19" s="11">
        <v>62562500</v>
      </c>
      <c r="L19" s="11">
        <v>2045908523.100503</v>
      </c>
      <c r="M19" s="6">
        <f t="shared" si="0"/>
        <v>6.86837943972394E-2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98.296850113337896</v>
      </c>
      <c r="J20" s="11">
        <v>104.85601678000501</v>
      </c>
      <c r="K20" s="11">
        <v>65591666.666666657</v>
      </c>
      <c r="L20" s="11">
        <v>1048560167.800045</v>
      </c>
      <c r="M20" s="6">
        <f t="shared" si="0"/>
        <v>3.520152057882369E-2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96.607056515035893</v>
      </c>
      <c r="J21" s="11">
        <v>102.02372318168901</v>
      </c>
      <c r="K21" s="11">
        <v>8977529.1666444391</v>
      </c>
      <c r="L21" s="11">
        <v>169093098.5641</v>
      </c>
      <c r="M21" s="6">
        <f t="shared" si="0"/>
        <v>5.6766739493162854E-3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101.7527</v>
      </c>
      <c r="J22" s="11">
        <v>106.52495</v>
      </c>
      <c r="K22" s="11">
        <v>23622017.107500002</v>
      </c>
      <c r="L22" s="11">
        <v>527284654.25650001</v>
      </c>
      <c r="M22" s="6">
        <f t="shared" si="0"/>
        <v>1.7701627601066423E-2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1597601788.7463675</v>
      </c>
      <c r="L24" s="22">
        <f>SUM(L4:L23)</f>
        <v>29787354368.743698</v>
      </c>
      <c r="M24" s="23"/>
      <c r="N24" s="26">
        <v>29787354368.743721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576895.80000000005</v>
      </c>
      <c r="C27" s="51">
        <v>576895.80000000005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1862400</v>
      </c>
      <c r="D32" s="7" t="s">
        <v>51</v>
      </c>
      <c r="E32" s="34" t="s">
        <v>52</v>
      </c>
      <c r="F32" s="34" t="s">
        <v>53</v>
      </c>
      <c r="G32" s="15">
        <v>859.80499999999995</v>
      </c>
      <c r="H32" s="15">
        <v>862.63293397766301</v>
      </c>
      <c r="I32" s="16">
        <f t="shared" ref="I32:I52" si="1">+C32*G32</f>
        <v>1601300832</v>
      </c>
      <c r="J32" s="16">
        <f t="shared" ref="J32:J52" si="2">+C32*H32</f>
        <v>1606567576.2399995</v>
      </c>
      <c r="K32" s="18">
        <v>0.17150000000000001</v>
      </c>
      <c r="L32" s="17">
        <v>752392.03428571427</v>
      </c>
      <c r="M32" s="17">
        <v>1604310400.1371419</v>
      </c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10476</v>
      </c>
      <c r="D33" s="7" t="s">
        <v>51</v>
      </c>
      <c r="E33" s="34" t="s">
        <v>52</v>
      </c>
      <c r="F33" s="34" t="s">
        <v>53</v>
      </c>
      <c r="G33" s="15">
        <v>859.80499999999995</v>
      </c>
      <c r="H33" s="15">
        <v>862.63293432607907</v>
      </c>
      <c r="I33" s="16">
        <f t="shared" si="1"/>
        <v>9007317.1799999997</v>
      </c>
      <c r="J33" s="16">
        <f t="shared" si="2"/>
        <v>9036942.6200000048</v>
      </c>
      <c r="K33" s="18">
        <v>0.17150000000000001</v>
      </c>
      <c r="L33" s="17">
        <v>4232.2057142857138</v>
      </c>
      <c r="M33" s="17">
        <v>9024246.0028571393</v>
      </c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207442</v>
      </c>
      <c r="D34" s="7" t="s">
        <v>51</v>
      </c>
      <c r="E34" s="34" t="s">
        <v>56</v>
      </c>
      <c r="F34" s="34" t="s">
        <v>57</v>
      </c>
      <c r="G34" s="15">
        <v>993.54900000964108</v>
      </c>
      <c r="H34" s="15">
        <v>994.01177881046306</v>
      </c>
      <c r="I34" s="16">
        <f t="shared" si="1"/>
        <v>206103791.65999997</v>
      </c>
      <c r="J34" s="16">
        <f t="shared" si="2"/>
        <v>206199791.42000008</v>
      </c>
      <c r="K34" s="18">
        <v>0.170011</v>
      </c>
      <c r="L34" s="17">
        <v>95999.76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207442</v>
      </c>
      <c r="D35" s="7" t="s">
        <v>51</v>
      </c>
      <c r="E35" s="34" t="s">
        <v>57</v>
      </c>
      <c r="F35" s="34" t="s">
        <v>57</v>
      </c>
      <c r="G35" s="15">
        <v>993.54900000964108</v>
      </c>
      <c r="H35" s="15">
        <v>994.01177881046306</v>
      </c>
      <c r="I35" s="16">
        <f t="shared" si="1"/>
        <v>206103791.65999997</v>
      </c>
      <c r="J35" s="16">
        <f t="shared" si="2"/>
        <v>206199791.42000008</v>
      </c>
      <c r="K35" s="18">
        <v>0.170011</v>
      </c>
      <c r="L35" s="17"/>
      <c r="M35" s="17"/>
      <c r="N35" s="35"/>
    </row>
    <row r="36" spans="1:14" s="36" customFormat="1" ht="12" customHeight="1" x14ac:dyDescent="0.25">
      <c r="A36" s="12" t="s">
        <v>49</v>
      </c>
      <c r="B36" s="7" t="s">
        <v>50</v>
      </c>
      <c r="C36" s="14">
        <v>164265</v>
      </c>
      <c r="D36" s="7" t="s">
        <v>51</v>
      </c>
      <c r="E36" s="34" t="s">
        <v>56</v>
      </c>
      <c r="F36" s="34" t="s">
        <v>57</v>
      </c>
      <c r="G36" s="15">
        <v>859.03800000000001</v>
      </c>
      <c r="H36" s="15">
        <v>859.43812339816805</v>
      </c>
      <c r="I36" s="16">
        <f t="shared" si="1"/>
        <v>141109877.06999999</v>
      </c>
      <c r="J36" s="16">
        <f t="shared" si="2"/>
        <v>141175603.34000006</v>
      </c>
      <c r="K36" s="18">
        <v>0.17000999999999999</v>
      </c>
      <c r="L36" s="17">
        <v>65726.27</v>
      </c>
      <c r="M36" s="17"/>
      <c r="N36" s="35"/>
    </row>
    <row r="37" spans="1:14" s="36" customFormat="1" ht="12" customHeight="1" x14ac:dyDescent="0.25">
      <c r="A37" s="12" t="s">
        <v>49</v>
      </c>
      <c r="B37" s="7" t="s">
        <v>50</v>
      </c>
      <c r="C37" s="14">
        <v>164265</v>
      </c>
      <c r="D37" s="7" t="s">
        <v>51</v>
      </c>
      <c r="E37" s="34" t="s">
        <v>57</v>
      </c>
      <c r="F37" s="34" t="s">
        <v>57</v>
      </c>
      <c r="G37" s="15">
        <v>859.03800000000001</v>
      </c>
      <c r="H37" s="15">
        <v>859.43812339816805</v>
      </c>
      <c r="I37" s="16">
        <f t="shared" si="1"/>
        <v>141109877.06999999</v>
      </c>
      <c r="J37" s="16">
        <f t="shared" si="2"/>
        <v>141175603.34000006</v>
      </c>
      <c r="K37" s="18">
        <v>0.17000999999999999</v>
      </c>
      <c r="L37" s="17"/>
      <c r="M37" s="17"/>
      <c r="N37" s="35"/>
    </row>
    <row r="38" spans="1:14" s="36" customFormat="1" ht="12" customHeight="1" x14ac:dyDescent="0.25">
      <c r="A38" s="12" t="s">
        <v>54</v>
      </c>
      <c r="B38" s="7" t="s">
        <v>55</v>
      </c>
      <c r="C38" s="14">
        <v>170183</v>
      </c>
      <c r="D38" s="7" t="s">
        <v>51</v>
      </c>
      <c r="E38" s="34" t="s">
        <v>56</v>
      </c>
      <c r="F38" s="34" t="s">
        <v>57</v>
      </c>
      <c r="G38" s="15">
        <v>993.54900001762803</v>
      </c>
      <c r="H38" s="15">
        <v>994.01177879106604</v>
      </c>
      <c r="I38" s="16">
        <f t="shared" si="1"/>
        <v>169085149.47</v>
      </c>
      <c r="J38" s="16">
        <f t="shared" si="2"/>
        <v>169163906.54999998</v>
      </c>
      <c r="K38" s="18">
        <v>0.170011</v>
      </c>
      <c r="L38" s="17">
        <v>78757.08</v>
      </c>
      <c r="M38" s="17"/>
      <c r="N38" s="35"/>
    </row>
    <row r="39" spans="1:14" s="36" customFormat="1" ht="12" customHeight="1" x14ac:dyDescent="0.25">
      <c r="A39" s="12" t="s">
        <v>54</v>
      </c>
      <c r="B39" s="7" t="s">
        <v>55</v>
      </c>
      <c r="C39" s="14">
        <v>170183</v>
      </c>
      <c r="D39" s="7" t="s">
        <v>51</v>
      </c>
      <c r="E39" s="34" t="s">
        <v>57</v>
      </c>
      <c r="F39" s="34" t="s">
        <v>57</v>
      </c>
      <c r="G39" s="15">
        <v>993.54900001762803</v>
      </c>
      <c r="H39" s="15">
        <v>994.01177879106604</v>
      </c>
      <c r="I39" s="16">
        <f t="shared" si="1"/>
        <v>169085149.47</v>
      </c>
      <c r="J39" s="16">
        <f t="shared" si="2"/>
        <v>169163906.54999998</v>
      </c>
      <c r="K39" s="18">
        <v>0.170011</v>
      </c>
      <c r="L39" s="17"/>
      <c r="M39" s="17"/>
      <c r="N39" s="35"/>
    </row>
    <row r="40" spans="1:14" s="36" customFormat="1" ht="12" customHeight="1" x14ac:dyDescent="0.25">
      <c r="A40" s="12" t="s">
        <v>54</v>
      </c>
      <c r="B40" s="7" t="s">
        <v>55</v>
      </c>
      <c r="C40" s="14">
        <v>270883</v>
      </c>
      <c r="D40" s="7" t="s">
        <v>51</v>
      </c>
      <c r="E40" s="34" t="s">
        <v>56</v>
      </c>
      <c r="F40" s="34" t="s">
        <v>57</v>
      </c>
      <c r="G40" s="15">
        <v>993.54900001107501</v>
      </c>
      <c r="H40" s="15">
        <v>994.0117788122551</v>
      </c>
      <c r="I40" s="16">
        <f t="shared" si="1"/>
        <v>269135533.77000004</v>
      </c>
      <c r="J40" s="16">
        <f t="shared" si="2"/>
        <v>269260892.68000013</v>
      </c>
      <c r="K40" s="18">
        <v>0.170011</v>
      </c>
      <c r="L40" s="17">
        <v>125358.91</v>
      </c>
      <c r="M40" s="17"/>
      <c r="N40" s="35"/>
    </row>
    <row r="41" spans="1:14" s="36" customFormat="1" ht="12" customHeight="1" x14ac:dyDescent="0.25">
      <c r="A41" s="12" t="s">
        <v>54</v>
      </c>
      <c r="B41" s="7" t="s">
        <v>55</v>
      </c>
      <c r="C41" s="14">
        <v>270883</v>
      </c>
      <c r="D41" s="7" t="s">
        <v>51</v>
      </c>
      <c r="E41" s="34" t="s">
        <v>57</v>
      </c>
      <c r="F41" s="34" t="s">
        <v>57</v>
      </c>
      <c r="G41" s="15">
        <v>993.54900001107501</v>
      </c>
      <c r="H41" s="15">
        <v>994.0117788122551</v>
      </c>
      <c r="I41" s="16">
        <f t="shared" si="1"/>
        <v>269135533.77000004</v>
      </c>
      <c r="J41" s="16">
        <f t="shared" si="2"/>
        <v>269260892.68000013</v>
      </c>
      <c r="K41" s="18">
        <v>0.170011</v>
      </c>
      <c r="L41" s="17"/>
      <c r="M41" s="17"/>
      <c r="N41" s="35"/>
    </row>
    <row r="42" spans="1:14" s="36" customFormat="1" ht="12" customHeight="1" x14ac:dyDescent="0.25">
      <c r="A42" s="12" t="s">
        <v>58</v>
      </c>
      <c r="B42" s="7" t="s">
        <v>59</v>
      </c>
      <c r="C42" s="14">
        <v>583269</v>
      </c>
      <c r="D42" s="7" t="s">
        <v>51</v>
      </c>
      <c r="E42" s="34" t="s">
        <v>56</v>
      </c>
      <c r="F42" s="34" t="s">
        <v>57</v>
      </c>
      <c r="G42" s="15">
        <v>1024.5789999982851</v>
      </c>
      <c r="H42" s="15">
        <v>1025.0562152111631</v>
      </c>
      <c r="I42" s="16">
        <f t="shared" si="1"/>
        <v>597605168.74999976</v>
      </c>
      <c r="J42" s="16">
        <f t="shared" si="2"/>
        <v>597883513.58999991</v>
      </c>
      <c r="K42" s="18">
        <v>0.17000499999999999</v>
      </c>
      <c r="L42" s="17">
        <v>278344.84000000003</v>
      </c>
      <c r="M42" s="17"/>
      <c r="N42" s="35"/>
    </row>
    <row r="43" spans="1:14" s="36" customFormat="1" ht="12" customHeight="1" x14ac:dyDescent="0.25">
      <c r="A43" s="12" t="s">
        <v>58</v>
      </c>
      <c r="B43" s="7" t="s">
        <v>59</v>
      </c>
      <c r="C43" s="14">
        <v>583269</v>
      </c>
      <c r="D43" s="7" t="s">
        <v>51</v>
      </c>
      <c r="E43" s="34" t="s">
        <v>57</v>
      </c>
      <c r="F43" s="34" t="s">
        <v>57</v>
      </c>
      <c r="G43" s="15">
        <v>1024.5789999982851</v>
      </c>
      <c r="H43" s="15">
        <v>1025.0562152111631</v>
      </c>
      <c r="I43" s="16">
        <f t="shared" si="1"/>
        <v>597605168.74999976</v>
      </c>
      <c r="J43" s="16">
        <f t="shared" si="2"/>
        <v>597883513.58999991</v>
      </c>
      <c r="K43" s="18">
        <v>0.17000499999999999</v>
      </c>
      <c r="L43" s="17"/>
      <c r="M43" s="17"/>
      <c r="N43" s="35"/>
    </row>
    <row r="44" spans="1:14" s="36" customFormat="1" ht="12" customHeight="1" x14ac:dyDescent="0.25">
      <c r="A44" s="12" t="s">
        <v>58</v>
      </c>
      <c r="B44" s="7" t="s">
        <v>59</v>
      </c>
      <c r="C44" s="14">
        <v>8793</v>
      </c>
      <c r="D44" s="7" t="s">
        <v>51</v>
      </c>
      <c r="E44" s="34" t="s">
        <v>56</v>
      </c>
      <c r="F44" s="34" t="s">
        <v>57</v>
      </c>
      <c r="G44" s="15">
        <v>1024.5790003411801</v>
      </c>
      <c r="H44" s="15">
        <v>1025.0562151711581</v>
      </c>
      <c r="I44" s="16">
        <f t="shared" si="1"/>
        <v>9009123.1499999966</v>
      </c>
      <c r="J44" s="16">
        <f t="shared" si="2"/>
        <v>9013319.2999999933</v>
      </c>
      <c r="K44" s="18">
        <v>0.17000499999999999</v>
      </c>
      <c r="L44" s="17">
        <v>4196.1499999999996</v>
      </c>
      <c r="M44" s="17"/>
      <c r="N44" s="35"/>
    </row>
    <row r="45" spans="1:14" s="36" customFormat="1" ht="12" customHeight="1" x14ac:dyDescent="0.25">
      <c r="A45" s="12" t="s">
        <v>58</v>
      </c>
      <c r="B45" s="7" t="s">
        <v>59</v>
      </c>
      <c r="C45" s="14">
        <v>8793</v>
      </c>
      <c r="D45" s="7" t="s">
        <v>51</v>
      </c>
      <c r="E45" s="34" t="s">
        <v>57</v>
      </c>
      <c r="F45" s="34" t="s">
        <v>57</v>
      </c>
      <c r="G45" s="15">
        <v>1024.5790003411801</v>
      </c>
      <c r="H45" s="15">
        <v>1025.0562151711581</v>
      </c>
      <c r="I45" s="16">
        <f t="shared" si="1"/>
        <v>9009123.1499999966</v>
      </c>
      <c r="J45" s="16">
        <f t="shared" si="2"/>
        <v>9013319.2999999933</v>
      </c>
      <c r="K45" s="18">
        <v>0.17000499999999999</v>
      </c>
      <c r="L45" s="17"/>
      <c r="M45" s="17"/>
      <c r="N45" s="35"/>
    </row>
    <row r="46" spans="1:14" s="36" customFormat="1" ht="12" customHeight="1" x14ac:dyDescent="0.25">
      <c r="A46" s="12" t="s">
        <v>54</v>
      </c>
      <c r="B46" s="7" t="s">
        <v>55</v>
      </c>
      <c r="C46" s="14">
        <v>291023</v>
      </c>
      <c r="D46" s="7" t="s">
        <v>51</v>
      </c>
      <c r="E46" s="34" t="s">
        <v>56</v>
      </c>
      <c r="F46" s="34" t="s">
        <v>57</v>
      </c>
      <c r="G46" s="15">
        <v>993.54900001030808</v>
      </c>
      <c r="H46" s="15">
        <v>994.01177879411603</v>
      </c>
      <c r="I46" s="16">
        <f t="shared" si="1"/>
        <v>289145610.62999988</v>
      </c>
      <c r="J46" s="16">
        <f t="shared" si="2"/>
        <v>289280289.90000004</v>
      </c>
      <c r="K46" s="18">
        <v>0.170011</v>
      </c>
      <c r="L46" s="17">
        <v>134679.26999999999</v>
      </c>
      <c r="M46" s="17"/>
      <c r="N46" s="35"/>
    </row>
    <row r="47" spans="1:14" s="36" customFormat="1" ht="12" customHeight="1" x14ac:dyDescent="0.25">
      <c r="A47" s="12" t="s">
        <v>54</v>
      </c>
      <c r="B47" s="7" t="s">
        <v>55</v>
      </c>
      <c r="C47" s="14">
        <v>291023</v>
      </c>
      <c r="D47" s="7" t="s">
        <v>51</v>
      </c>
      <c r="E47" s="34" t="s">
        <v>57</v>
      </c>
      <c r="F47" s="34" t="s">
        <v>57</v>
      </c>
      <c r="G47" s="15">
        <v>993.54900001030808</v>
      </c>
      <c r="H47" s="15">
        <v>994.01177879411603</v>
      </c>
      <c r="I47" s="16">
        <f t="shared" si="1"/>
        <v>289145610.62999988</v>
      </c>
      <c r="J47" s="16">
        <f t="shared" si="2"/>
        <v>289280289.90000004</v>
      </c>
      <c r="K47" s="18">
        <v>0.170011</v>
      </c>
      <c r="L47" s="17"/>
      <c r="M47" s="17"/>
      <c r="N47" s="35"/>
    </row>
    <row r="48" spans="1:14" s="36" customFormat="1" ht="12" customHeight="1" x14ac:dyDescent="0.25">
      <c r="A48" s="12" t="s">
        <v>60</v>
      </c>
      <c r="B48" s="7" t="s">
        <v>61</v>
      </c>
      <c r="C48" s="14">
        <v>10940</v>
      </c>
      <c r="D48" s="7" t="s">
        <v>51</v>
      </c>
      <c r="E48" s="34" t="s">
        <v>57</v>
      </c>
      <c r="F48" s="34" t="s">
        <v>62</v>
      </c>
      <c r="G48" s="15">
        <v>914.68</v>
      </c>
      <c r="H48" s="15">
        <v>915.10626325411306</v>
      </c>
      <c r="I48" s="16">
        <f t="shared" si="1"/>
        <v>10006599.199999999</v>
      </c>
      <c r="J48" s="16">
        <f t="shared" si="2"/>
        <v>10011262.519999998</v>
      </c>
      <c r="K48" s="18">
        <v>0.170099</v>
      </c>
      <c r="L48" s="17"/>
      <c r="M48" s="17">
        <v>10006599.199999999</v>
      </c>
      <c r="N48" s="35"/>
    </row>
    <row r="49" spans="1:15" s="36" customFormat="1" ht="12" customHeight="1" x14ac:dyDescent="0.25">
      <c r="A49" s="12" t="s">
        <v>63</v>
      </c>
      <c r="B49" s="7" t="s">
        <v>64</v>
      </c>
      <c r="C49" s="14">
        <v>8045775</v>
      </c>
      <c r="D49" s="7" t="s">
        <v>51</v>
      </c>
      <c r="E49" s="34" t="s">
        <v>56</v>
      </c>
      <c r="F49" s="34" t="s">
        <v>57</v>
      </c>
      <c r="G49" s="15">
        <v>1.11860000062144</v>
      </c>
      <c r="H49" s="15">
        <v>1.1191210045023599</v>
      </c>
      <c r="I49" s="16">
        <f t="shared" si="1"/>
        <v>9000003.9199999664</v>
      </c>
      <c r="J49" s="16">
        <f t="shared" si="2"/>
        <v>9004195.7999999747</v>
      </c>
      <c r="K49" s="18">
        <v>0.17000399999999999</v>
      </c>
      <c r="L49" s="17">
        <v>4191.88</v>
      </c>
      <c r="M49" s="17"/>
      <c r="N49" s="35"/>
    </row>
    <row r="50" spans="1:15" s="36" customFormat="1" ht="12" customHeight="1" x14ac:dyDescent="0.25">
      <c r="A50" s="12" t="s">
        <v>63</v>
      </c>
      <c r="B50" s="7" t="s">
        <v>64</v>
      </c>
      <c r="C50" s="14">
        <v>8045775</v>
      </c>
      <c r="D50" s="7" t="s">
        <v>51</v>
      </c>
      <c r="E50" s="34" t="s">
        <v>57</v>
      </c>
      <c r="F50" s="34" t="s">
        <v>57</v>
      </c>
      <c r="G50" s="15">
        <v>1.11860000062144</v>
      </c>
      <c r="H50" s="15">
        <v>1.1191210045023599</v>
      </c>
      <c r="I50" s="16">
        <f t="shared" si="1"/>
        <v>9000003.9199999664</v>
      </c>
      <c r="J50" s="16">
        <f t="shared" si="2"/>
        <v>9004195.7999999747</v>
      </c>
      <c r="K50" s="18">
        <v>0.17000399999999999</v>
      </c>
      <c r="L50" s="17"/>
      <c r="M50" s="17"/>
      <c r="N50" s="35"/>
    </row>
    <row r="51" spans="1:15" s="36" customFormat="1" ht="12" customHeight="1" x14ac:dyDescent="0.25">
      <c r="A51" s="12" t="s">
        <v>65</v>
      </c>
      <c r="B51" s="7" t="s">
        <v>66</v>
      </c>
      <c r="C51" s="14">
        <v>1795920</v>
      </c>
      <c r="D51" s="7" t="s">
        <v>51</v>
      </c>
      <c r="E51" s="34" t="s">
        <v>57</v>
      </c>
      <c r="F51" s="34" t="s">
        <v>62</v>
      </c>
      <c r="G51" s="15">
        <v>935.81500000000005</v>
      </c>
      <c r="H51" s="15">
        <v>936.25088467749106</v>
      </c>
      <c r="I51" s="16">
        <f t="shared" si="1"/>
        <v>1680648874.8000002</v>
      </c>
      <c r="J51" s="16">
        <f t="shared" si="2"/>
        <v>1681431688.8099997</v>
      </c>
      <c r="K51" s="18">
        <v>0.17000999999999999</v>
      </c>
      <c r="L51" s="17"/>
      <c r="M51" s="17">
        <v>1680648874.8</v>
      </c>
      <c r="N51" s="35"/>
    </row>
    <row r="52" spans="1:15" s="36" customFormat="1" ht="12" customHeight="1" x14ac:dyDescent="0.25">
      <c r="A52" s="12" t="s">
        <v>67</v>
      </c>
      <c r="B52" s="7" t="s">
        <v>68</v>
      </c>
      <c r="C52" s="14">
        <v>58695</v>
      </c>
      <c r="D52" s="7" t="s">
        <v>51</v>
      </c>
      <c r="E52" s="34" t="s">
        <v>57</v>
      </c>
      <c r="F52" s="34" t="s">
        <v>62</v>
      </c>
      <c r="G52" s="15">
        <v>664.59400000000005</v>
      </c>
      <c r="H52" s="15">
        <v>664.90353692818803</v>
      </c>
      <c r="I52" s="16">
        <f t="shared" si="1"/>
        <v>39008344.830000006</v>
      </c>
      <c r="J52" s="16">
        <f t="shared" si="2"/>
        <v>39026513.099999994</v>
      </c>
      <c r="K52" s="18">
        <v>0.17</v>
      </c>
      <c r="L52" s="17"/>
      <c r="M52" s="17">
        <v>39008344.829999998</v>
      </c>
      <c r="N52" s="35"/>
    </row>
    <row r="53" spans="1:15" s="36" customFormat="1" ht="11.25" hidden="1" x14ac:dyDescent="0.25">
      <c r="A53" s="7"/>
      <c r="B53" s="7"/>
      <c r="C53" s="7"/>
      <c r="D53" s="7"/>
      <c r="E53" s="37"/>
      <c r="F53" s="37"/>
      <c r="G53" s="7"/>
      <c r="H53" s="7"/>
      <c r="I53" s="8"/>
      <c r="J53" s="8"/>
      <c r="K53" s="7"/>
      <c r="L53" s="9"/>
      <c r="M53" s="9"/>
      <c r="N53" s="35"/>
    </row>
    <row r="54" spans="1:15" x14ac:dyDescent="0.25">
      <c r="A54" s="1" t="s">
        <v>5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2">
        <f>SUM(M32:M53)</f>
        <v>3342998464.9699993</v>
      </c>
      <c r="N54" s="38">
        <v>3342998464.9699998</v>
      </c>
      <c r="O54" s="29">
        <f>M54-N54</f>
        <v>0</v>
      </c>
    </row>
    <row r="56" spans="1:15" x14ac:dyDescent="0.25">
      <c r="A56" s="39" t="s">
        <v>28</v>
      </c>
      <c r="B56" s="33"/>
      <c r="D56" s="33"/>
      <c r="F56" s="28"/>
      <c r="G56" s="28"/>
    </row>
    <row r="57" spans="1:15" ht="22.5" x14ac:dyDescent="0.25">
      <c r="A57" s="19" t="s">
        <v>6</v>
      </c>
      <c r="B57" s="19" t="s">
        <v>29</v>
      </c>
      <c r="C57" s="19" t="s">
        <v>17</v>
      </c>
      <c r="D57" s="19" t="s">
        <v>30</v>
      </c>
      <c r="E57" s="19" t="s">
        <v>16</v>
      </c>
      <c r="F57" s="19" t="s">
        <v>31</v>
      </c>
      <c r="G57" s="19" t="s">
        <v>32</v>
      </c>
    </row>
    <row r="58" spans="1:15" hidden="1" x14ac:dyDescent="0.25">
      <c r="B58" s="41"/>
      <c r="C58" s="42"/>
      <c r="D58" s="43"/>
      <c r="G58" s="44"/>
      <c r="H58" s="33"/>
    </row>
    <row r="59" spans="1:15" x14ac:dyDescent="0.25">
      <c r="G59" s="45">
        <f>SUM(G58:G58)</f>
        <v>0</v>
      </c>
    </row>
    <row r="61" spans="1:15" x14ac:dyDescent="0.25">
      <c r="A61" s="46" t="s">
        <v>13</v>
      </c>
      <c r="B61" s="47">
        <f>+L24+B27+M54+G59</f>
        <v>33130929729.513695</v>
      </c>
      <c r="C61" s="32">
        <v>33130929729.513725</v>
      </c>
      <c r="D61" s="29">
        <f>B61-C61</f>
        <v>-3.0517578125E-5</v>
      </c>
    </row>
    <row r="64" spans="1:15" x14ac:dyDescent="0.25">
      <c r="A64" s="24" t="s">
        <v>46</v>
      </c>
      <c r="B64" s="33"/>
    </row>
    <row r="65" spans="1:2" x14ac:dyDescent="0.25">
      <c r="A65" s="48" t="s">
        <v>35</v>
      </c>
      <c r="B65" s="49"/>
    </row>
    <row r="66" spans="1:2" x14ac:dyDescent="0.25">
      <c r="A66" s="48" t="s">
        <v>36</v>
      </c>
      <c r="B66" s="40"/>
    </row>
    <row r="67" spans="1:2" x14ac:dyDescent="0.25">
      <c r="A67" s="48" t="s">
        <v>37</v>
      </c>
      <c r="B67" s="40">
        <v>283456.89999999997</v>
      </c>
    </row>
    <row r="68" spans="1:2" x14ac:dyDescent="0.25">
      <c r="A68" s="48" t="s">
        <v>38</v>
      </c>
      <c r="B68" s="40"/>
    </row>
    <row r="69" spans="1:2" x14ac:dyDescent="0.25">
      <c r="A69" s="48" t="s">
        <v>39</v>
      </c>
      <c r="B69" s="49"/>
    </row>
    <row r="70" spans="1:2" x14ac:dyDescent="0.25">
      <c r="A70" s="48" t="s">
        <v>40</v>
      </c>
      <c r="B70" s="50">
        <v>79221.84</v>
      </c>
    </row>
    <row r="71" spans="1:2" x14ac:dyDescent="0.25">
      <c r="A71" s="48" t="s">
        <v>41</v>
      </c>
      <c r="B71" s="50">
        <v>39475.65</v>
      </c>
    </row>
    <row r="72" spans="1:2" x14ac:dyDescent="0.25">
      <c r="A72" s="48" t="s">
        <v>42</v>
      </c>
      <c r="B72" s="40"/>
    </row>
    <row r="73" spans="1:2" x14ac:dyDescent="0.25">
      <c r="A73" s="48" t="s">
        <v>43</v>
      </c>
      <c r="B73" s="40"/>
    </row>
    <row r="74" spans="1:2" x14ac:dyDescent="0.25">
      <c r="A74" s="48" t="s">
        <v>44</v>
      </c>
      <c r="B74" s="50"/>
    </row>
    <row r="75" spans="1:2" x14ac:dyDescent="0.25">
      <c r="A75" s="48" t="s">
        <v>45</v>
      </c>
      <c r="B75" s="49">
        <f>SUM(B65:B74)</f>
        <v>402154.39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2025-11-19T05:17:45Z</cp:lastPrinted>
  <dcterms:created xsi:type="dcterms:W3CDTF">2025-11-19T05:16:23Z</dcterms:created>
  <dcterms:modified xsi:type="dcterms:W3CDTF">2025-11-19T12:14:12Z</dcterms:modified>
</cp:coreProperties>
</file>