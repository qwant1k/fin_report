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12AE3235-FD54-4337-9704-7B5990FBB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O47" i="1"/>
  <c r="O24" i="1"/>
  <c r="D27" i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22" i="1"/>
  <c r="M21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9" i="1" l="1"/>
  <c r="B54" i="1"/>
</calcChain>
</file>

<file path=xl/sharedStrings.xml><?xml version="1.0" encoding="utf-8"?>
<sst xmlns="http://schemas.openxmlformats.org/spreadsheetml/2006/main" count="200" uniqueCount="128">
  <si>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</si>
  <si>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</si>
  <si>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</si>
  <si>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</si>
  <si>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</si>
  <si>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</si>
  <si>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</si>
  <si>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</si>
  <si>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</si>
  <si>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</si>
  <si>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</si>
  <si>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</si>
  <si>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</si>
  <si>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</si>
  <si>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</si>
  <si>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</si>
  <si>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</si>
  <si>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</si>
  <si>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</si>
  <si>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</si>
  <si>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</si>
  <si>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</si>
  <si>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</si>
  <si>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</si>
  <si>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</si>
  <si>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</si>
  <si>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</si>
  <si>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</si>
  <si>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</si>
  <si>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</si>
  <si>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</si>
  <si>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</si>
  <si>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</si>
  <si>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</si>
  <si>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</si>
  <si>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</si>
  <si>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</si>
  <si>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</si>
  <si>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</si>
  <si>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</si>
  <si>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</si>
  <si>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</si>
  <si>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</si>
  <si>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</si>
  <si>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</si>
  <si>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</si>
  <si>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</si>
  <si>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</si>
  <si>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</si>
  <si>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KFUSb9</t>
  </si>
  <si>
    <t>KZ2C00007318</t>
  </si>
  <si>
    <t>KZT</t>
  </si>
  <si>
    <t>29.10.2025</t>
  </si>
  <si>
    <t>05.11.2025</t>
  </si>
  <si>
    <t>МИНИСТЕРСТВО ФИНАНСОВ РК, ГЦБ, MUM240_0001</t>
  </si>
  <si>
    <t>KZKD00000550</t>
  </si>
  <si>
    <t>АКЦИОНЕРНОЕ ОБЩЕСТВО КАЗАХСТАНСКИЙ ФОНД УСТОЙЧИВОСТИ, ОБЛИГАЦИИ, KFUSb83</t>
  </si>
  <si>
    <t>KZ2C00012094</t>
  </si>
  <si>
    <t>03.11.2025</t>
  </si>
  <si>
    <t>04.11.2025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</si>
  <si>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</si>
  <si>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</si>
  <si>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MUM096_0014</t>
  </si>
  <si>
    <t>KZKD00001228</t>
  </si>
  <si>
    <t>АКЦИОНЕРНОЕ ОБЩЕСТВО КАЗАХСТАНСКИЙ ФОНД УСТОЙЧИВОСТИ, ОБЛИГАЦИИ, KFUSb86</t>
  </si>
  <si>
    <t>KZ2C00012136</t>
  </si>
  <si>
    <t>REPUBLIC OF KAZAKHSTAN, ЕВРО ОБЛИГАЦИИ, KZ_22_4507</t>
  </si>
  <si>
    <t>XS1263139856</t>
  </si>
  <si>
    <t>МИНИСТЕРСТВО ФИНАНСОВ РК, ОБЛИГАЦИИ, MFKZ.0435</t>
  </si>
  <si>
    <t>XS2914770545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</si>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</sst>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13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59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72</v>
      </c>
      <c r="B4" s="13" t="s">
        <v>73</v>
      </c>
      <c r="C4" s="10">
        <v>3020000</v>
      </c>
      <c r="D4" s="11">
        <v>3020000000</v>
      </c>
      <c r="E4" s="3">
        <v>0.1067</v>
      </c>
      <c r="F4" s="4" t="s">
        <v>74</v>
      </c>
      <c r="G4" s="4" t="s">
        <v>75</v>
      </c>
      <c r="H4" s="11">
        <v>2930617060.0000029</v>
      </c>
      <c r="I4" s="11">
        <v>98.783300000000011</v>
      </c>
      <c r="J4" s="11">
        <v>101.836105555556</v>
      </c>
      <c r="K4" s="11">
        <v>92194727.777777776</v>
      </c>
      <c r="L4" s="11">
        <v>3075450387.7777772</v>
      </c>
      <c r="M4" s="6">
        <f t="shared" ref="M4:M22" si="0">L4/$L$24</f>
        <v>0.1039692373449673</v>
      </c>
    </row>
    <row r="5" spans="1:13" x14ac:dyDescent="0.25">
      <c r="A5" s="1" t="s">
        <v>76</v>
      </c>
      <c r="B5" s="13" t="s">
        <v>77</v>
      </c>
      <c r="C5" s="10">
        <v>2265000</v>
      </c>
      <c r="D5" s="11">
        <v>2265000000</v>
      </c>
      <c r="E5" s="3">
        <v>0.10550000000000001</v>
      </c>
      <c r="F5" s="4" t="s">
        <v>74</v>
      </c>
      <c r="G5" s="4" t="s">
        <v>78</v>
      </c>
      <c r="H5" s="11">
        <v>2039188560.0000031</v>
      </c>
      <c r="I5" s="11">
        <v>82.754800000000003</v>
      </c>
      <c r="J5" s="11">
        <v>85.568133333333321</v>
      </c>
      <c r="K5" s="11">
        <v>63721999.999999993</v>
      </c>
      <c r="L5" s="11">
        <v>1938118219.999999</v>
      </c>
      <c r="M5" s="6">
        <f t="shared" si="0"/>
        <v>6.5520378419560946E-2</v>
      </c>
    </row>
    <row r="6" spans="1:13" x14ac:dyDescent="0.25">
      <c r="A6" s="1" t="s">
        <v>76</v>
      </c>
      <c r="B6" s="13" t="s">
        <v>77</v>
      </c>
      <c r="C6" s="10">
        <v>1551646</v>
      </c>
      <c r="D6" s="11">
        <v>1551646000</v>
      </c>
      <c r="E6" s="3">
        <v>0.10550000000000001</v>
      </c>
      <c r="F6" s="4" t="s">
        <v>79</v>
      </c>
      <c r="G6" s="4" t="s">
        <v>78</v>
      </c>
      <c r="H6" s="11">
        <v>1395452658.7</v>
      </c>
      <c r="I6" s="11">
        <v>82.754800000000003</v>
      </c>
      <c r="J6" s="11">
        <v>85.568133333333591</v>
      </c>
      <c r="K6" s="11">
        <v>43652974.133333333</v>
      </c>
      <c r="L6" s="11">
        <v>1327714518.1413369</v>
      </c>
      <c r="M6" s="6">
        <f t="shared" si="0"/>
        <v>4.4884959423045649E-2</v>
      </c>
    </row>
    <row r="7" spans="1:13" x14ac:dyDescent="0.25">
      <c r="A7" s="1" t="s">
        <v>76</v>
      </c>
      <c r="B7" s="13" t="s">
        <v>77</v>
      </c>
      <c r="C7" s="10">
        <v>545692</v>
      </c>
      <c r="D7" s="11">
        <v>545692000</v>
      </c>
      <c r="E7" s="3">
        <v>0.10550000000000001</v>
      </c>
      <c r="F7" s="4" t="s">
        <v>80</v>
      </c>
      <c r="G7" s="4" t="s">
        <v>78</v>
      </c>
      <c r="H7" s="11">
        <v>449784993.92000002</v>
      </c>
      <c r="I7" s="11">
        <v>82.754800000000003</v>
      </c>
      <c r="J7" s="11">
        <v>85.568133333333321</v>
      </c>
      <c r="K7" s="11">
        <v>15352134.93333333</v>
      </c>
      <c r="L7" s="11">
        <v>466938458.149333</v>
      </c>
      <c r="M7" s="6">
        <f t="shared" si="0"/>
        <v>1.5785406772859622E-2</v>
      </c>
    </row>
    <row r="8" spans="1:13" x14ac:dyDescent="0.25">
      <c r="A8" s="1" t="s">
        <v>81</v>
      </c>
      <c r="B8" s="13" t="s">
        <v>82</v>
      </c>
      <c r="C8" s="10">
        <v>2265000</v>
      </c>
      <c r="D8" s="11">
        <v>2265000000</v>
      </c>
      <c r="E8" s="3">
        <v>0.10400000000000001</v>
      </c>
      <c r="F8" s="4" t="s">
        <v>74</v>
      </c>
      <c r="G8" s="4" t="s">
        <v>83</v>
      </c>
      <c r="H8" s="11">
        <v>2073109200</v>
      </c>
      <c r="I8" s="11">
        <v>87.11460000000001</v>
      </c>
      <c r="J8" s="11">
        <v>92.95015555555554</v>
      </c>
      <c r="K8" s="11">
        <v>132175333.333333</v>
      </c>
      <c r="L8" s="11">
        <v>2105321023.333333</v>
      </c>
      <c r="M8" s="6">
        <f t="shared" si="0"/>
        <v>7.1172866918023894E-2</v>
      </c>
    </row>
    <row r="9" spans="1:13" x14ac:dyDescent="0.25">
      <c r="A9" s="1" t="s">
        <v>84</v>
      </c>
      <c r="B9" s="13" t="s">
        <v>85</v>
      </c>
      <c r="C9" s="10">
        <v>2265000</v>
      </c>
      <c r="D9" s="11">
        <v>2265000000</v>
      </c>
      <c r="E9" s="3">
        <v>0.11</v>
      </c>
      <c r="F9" s="4" t="s">
        <v>74</v>
      </c>
      <c r="G9" s="4" t="s">
        <v>86</v>
      </c>
      <c r="H9" s="11">
        <v>2080889475</v>
      </c>
      <c r="I9" s="11">
        <v>84.867800000000003</v>
      </c>
      <c r="J9" s="11">
        <v>91.40668888888888</v>
      </c>
      <c r="K9" s="11">
        <v>148105833.33333299</v>
      </c>
      <c r="L9" s="11">
        <v>2070361503.333333</v>
      </c>
      <c r="M9" s="6">
        <f t="shared" si="0"/>
        <v>6.9991019001767157E-2</v>
      </c>
    </row>
    <row r="10" spans="1:13" x14ac:dyDescent="0.25">
      <c r="A10" s="1" t="s">
        <v>87</v>
      </c>
      <c r="B10" s="13" t="s">
        <v>88</v>
      </c>
      <c r="C10" s="10">
        <v>2265000</v>
      </c>
      <c r="D10" s="11">
        <v>2265000000</v>
      </c>
      <c r="E10" s="3">
        <v>0.10300000000000001</v>
      </c>
      <c r="F10" s="4" t="s">
        <v>74</v>
      </c>
      <c r="G10" s="4" t="s">
        <v>89</v>
      </c>
      <c r="H10" s="11">
        <v>1963990560.0000031</v>
      </c>
      <c r="I10" s="11">
        <v>77.247100000000003</v>
      </c>
      <c r="J10" s="11">
        <v>83.741822222222211</v>
      </c>
      <c r="K10" s="11">
        <v>147105458.33333299</v>
      </c>
      <c r="L10" s="11">
        <v>1896752273.333333</v>
      </c>
      <c r="M10" s="6">
        <f t="shared" si="0"/>
        <v>6.4121953673683826E-2</v>
      </c>
    </row>
    <row r="11" spans="1:13" x14ac:dyDescent="0.25">
      <c r="A11" s="1" t="s">
        <v>90</v>
      </c>
      <c r="B11" s="13" t="s">
        <v>91</v>
      </c>
      <c r="C11" s="10">
        <v>2265000</v>
      </c>
      <c r="D11" s="11">
        <v>2265000000</v>
      </c>
      <c r="E11" s="3">
        <v>8.4500000000000006E-2</v>
      </c>
      <c r="F11" s="4" t="s">
        <v>74</v>
      </c>
      <c r="G11" s="4" t="s">
        <v>92</v>
      </c>
      <c r="H11" s="11">
        <v>1740247065.0000031</v>
      </c>
      <c r="I11" s="11">
        <v>67.752400000000009</v>
      </c>
      <c r="J11" s="11">
        <v>72.399899999999988</v>
      </c>
      <c r="K11" s="11">
        <v>105265875</v>
      </c>
      <c r="L11" s="11">
        <v>1639857734.999999</v>
      </c>
      <c r="M11" s="6">
        <f t="shared" si="0"/>
        <v>5.5437330005310044E-2</v>
      </c>
    </row>
    <row r="12" spans="1:13" x14ac:dyDescent="0.25">
      <c r="A12" s="1" t="s">
        <v>93</v>
      </c>
      <c r="B12" s="13" t="s">
        <v>94</v>
      </c>
      <c r="C12" s="10">
        <v>2265000</v>
      </c>
      <c r="D12" s="11">
        <v>2265000000</v>
      </c>
      <c r="E12" s="3">
        <v>0.10650000000000001</v>
      </c>
      <c r="F12" s="4" t="s">
        <v>74</v>
      </c>
      <c r="G12" s="4" t="s">
        <v>95</v>
      </c>
      <c r="H12" s="11">
        <v>1967775375</v>
      </c>
      <c r="I12" s="11">
        <v>75.426500000000004</v>
      </c>
      <c r="J12" s="11">
        <v>78.325666666666663</v>
      </c>
      <c r="K12" s="11">
        <v>65666125</v>
      </c>
      <c r="L12" s="11">
        <v>1774076350</v>
      </c>
      <c r="M12" s="6">
        <f t="shared" si="0"/>
        <v>5.9974749010508512E-2</v>
      </c>
    </row>
    <row r="13" spans="1:13" x14ac:dyDescent="0.25">
      <c r="A13" s="1" t="s">
        <v>96</v>
      </c>
      <c r="B13" s="13" t="s">
        <v>97</v>
      </c>
      <c r="C13" s="10">
        <v>2265000</v>
      </c>
      <c r="D13" s="11">
        <v>2265000000</v>
      </c>
      <c r="E13" s="3">
        <v>8.0700000000000008E-2</v>
      </c>
      <c r="F13" s="4" t="s">
        <v>74</v>
      </c>
      <c r="G13" s="4" t="s">
        <v>98</v>
      </c>
      <c r="H13" s="11">
        <v>1622351550</v>
      </c>
      <c r="I13" s="11">
        <v>61.162100000000002</v>
      </c>
      <c r="J13" s="11">
        <v>65.01776666666666</v>
      </c>
      <c r="K13" s="11">
        <v>87330850</v>
      </c>
      <c r="L13" s="11">
        <v>1472652415</v>
      </c>
      <c r="M13" s="6">
        <f t="shared" si="0"/>
        <v>4.978475642795431E-2</v>
      </c>
    </row>
    <row r="14" spans="1:13" x14ac:dyDescent="0.25">
      <c r="A14" s="1" t="s">
        <v>99</v>
      </c>
      <c r="B14" s="13" t="s">
        <v>100</v>
      </c>
      <c r="C14" s="10">
        <v>2265000</v>
      </c>
      <c r="D14" s="11">
        <v>2265000000</v>
      </c>
      <c r="E14" s="3">
        <v>8.0700000000000008E-2</v>
      </c>
      <c r="F14" s="4" t="s">
        <v>74</v>
      </c>
      <c r="G14" s="4" t="s">
        <v>101</v>
      </c>
      <c r="H14" s="11">
        <v>1597764975</v>
      </c>
      <c r="I14" s="11">
        <v>59.734900000000003</v>
      </c>
      <c r="J14" s="11">
        <v>65.899483333333322</v>
      </c>
      <c r="K14" s="11">
        <v>139627812.5</v>
      </c>
      <c r="L14" s="11">
        <v>1492623297.5</v>
      </c>
      <c r="M14" s="6">
        <f t="shared" si="0"/>
        <v>5.0459895728163041E-2</v>
      </c>
    </row>
    <row r="15" spans="1:13" x14ac:dyDescent="0.25">
      <c r="A15" s="1" t="s">
        <v>102</v>
      </c>
      <c r="B15" s="13" t="s">
        <v>103</v>
      </c>
      <c r="C15" s="10">
        <v>3775000</v>
      </c>
      <c r="D15" s="11">
        <v>3775000000</v>
      </c>
      <c r="E15" s="3">
        <v>5.4900000000000004E-2</v>
      </c>
      <c r="F15" s="4" t="s">
        <v>74</v>
      </c>
      <c r="G15" s="4" t="s">
        <v>104</v>
      </c>
      <c r="H15" s="11">
        <v>3136670150</v>
      </c>
      <c r="I15" s="11">
        <v>86.374400000000009</v>
      </c>
      <c r="J15" s="11">
        <v>89.68365</v>
      </c>
      <c r="K15" s="11">
        <v>124924187.5</v>
      </c>
      <c r="L15" s="11">
        <v>3385557787.5</v>
      </c>
      <c r="M15" s="6">
        <f t="shared" si="0"/>
        <v>0.11445278472140448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105</v>
      </c>
      <c r="G16" s="4" t="s">
        <v>106</v>
      </c>
      <c r="H16" s="11">
        <v>1773018067.1400001</v>
      </c>
      <c r="I16" s="11">
        <v>56.703900000000004</v>
      </c>
      <c r="J16" s="11">
        <v>59.606677777777769</v>
      </c>
      <c r="K16" s="11">
        <v>81389825</v>
      </c>
      <c r="L16" s="11">
        <v>1671287795.54</v>
      </c>
      <c r="M16" s="6">
        <f t="shared" si="0"/>
        <v>5.6499860370630366E-2</v>
      </c>
    </row>
    <row r="17" spans="1:15" x14ac:dyDescent="0.25">
      <c r="A17" s="1" t="s">
        <v>107</v>
      </c>
      <c r="B17" s="13" t="s">
        <v>108</v>
      </c>
      <c r="C17" s="10">
        <v>1038480</v>
      </c>
      <c r="D17" s="11">
        <v>1038480000</v>
      </c>
      <c r="E17" s="3">
        <v>0.12</v>
      </c>
      <c r="F17" s="4" t="s">
        <v>105</v>
      </c>
      <c r="G17" s="4" t="s">
        <v>109</v>
      </c>
      <c r="H17" s="11">
        <v>979029096.96000004</v>
      </c>
      <c r="I17" s="11">
        <v>85.034400000000005</v>
      </c>
      <c r="J17" s="11">
        <v>92.934400000000011</v>
      </c>
      <c r="K17" s="11">
        <v>82039920</v>
      </c>
      <c r="L17" s="11">
        <v>965105157.12</v>
      </c>
      <c r="M17" s="6">
        <f t="shared" si="0"/>
        <v>3.2626521156780754E-2</v>
      </c>
    </row>
    <row r="18" spans="1:15" x14ac:dyDescent="0.25">
      <c r="A18" s="1" t="s">
        <v>110</v>
      </c>
      <c r="B18" s="13" t="s">
        <v>111</v>
      </c>
      <c r="C18" s="10">
        <v>506989</v>
      </c>
      <c r="D18" s="11">
        <v>506989000</v>
      </c>
      <c r="E18" s="3">
        <v>0.1535</v>
      </c>
      <c r="F18" s="4" t="s">
        <v>112</v>
      </c>
      <c r="G18" s="4" t="s">
        <v>113</v>
      </c>
      <c r="H18" s="11">
        <v>492216861.50999999</v>
      </c>
      <c r="I18" s="11">
        <v>97.994100000000003</v>
      </c>
      <c r="J18" s="11">
        <v>105.07215555555601</v>
      </c>
      <c r="K18" s="11">
        <v>35884963.080555551</v>
      </c>
      <c r="L18" s="11">
        <v>532704270.72955602</v>
      </c>
      <c r="M18" s="6">
        <f t="shared" si="0"/>
        <v>1.8008697840896815E-2</v>
      </c>
    </row>
    <row r="19" spans="1:15" x14ac:dyDescent="0.25">
      <c r="A19" s="1" t="s">
        <v>114</v>
      </c>
      <c r="B19" s="13" t="s">
        <v>115</v>
      </c>
      <c r="C19" s="10">
        <v>2100000</v>
      </c>
      <c r="D19" s="11">
        <v>2100000000</v>
      </c>
      <c r="E19" s="3">
        <v>0.14300000000000002</v>
      </c>
      <c r="F19" s="4" t="s">
        <v>116</v>
      </c>
      <c r="G19" s="4" t="s">
        <v>117</v>
      </c>
      <c r="H19" s="11">
        <v>2100000000</v>
      </c>
      <c r="I19" s="11">
        <v>94.37531749507329</v>
      </c>
      <c r="J19" s="11">
        <v>96.79837305062884</v>
      </c>
      <c r="K19" s="11">
        <v>50884166.666666657</v>
      </c>
      <c r="L19" s="11">
        <v>2032765834.063205</v>
      </c>
      <c r="M19" s="6">
        <f t="shared" si="0"/>
        <v>6.8720052941959181E-2</v>
      </c>
    </row>
    <row r="20" spans="1:15" x14ac:dyDescent="0.25">
      <c r="A20" s="1" t="s">
        <v>118</v>
      </c>
      <c r="B20" s="13" t="s">
        <v>119</v>
      </c>
      <c r="C20" s="10">
        <v>1000000</v>
      </c>
      <c r="D20" s="11">
        <v>1000000000</v>
      </c>
      <c r="E20" s="3">
        <v>0.1389</v>
      </c>
      <c r="F20" s="4" t="s">
        <v>120</v>
      </c>
      <c r="G20" s="4" t="s">
        <v>121</v>
      </c>
      <c r="H20" s="11">
        <v>1000000000</v>
      </c>
      <c r="I20" s="11">
        <v>98.251433852477092</v>
      </c>
      <c r="J20" s="11">
        <v>104.270433852477</v>
      </c>
      <c r="K20" s="11">
        <v>60189999.999999993</v>
      </c>
      <c r="L20" s="11">
        <v>1042704338.52477</v>
      </c>
      <c r="M20" s="6">
        <f t="shared" si="0"/>
        <v>3.5249853251914091E-2</v>
      </c>
    </row>
    <row r="21" spans="1:15" x14ac:dyDescent="0.25">
      <c r="A21" s="1" t="s">
        <v>56</v>
      </c>
      <c r="B21" s="13" t="s">
        <v>57</v>
      </c>
      <c r="C21" s="10">
        <v>165739</v>
      </c>
      <c r="D21" s="11">
        <v>165739000</v>
      </c>
      <c r="E21" s="3">
        <v>0.125</v>
      </c>
      <c r="F21" s="4" t="s">
        <v>122</v>
      </c>
      <c r="G21" s="4" t="s">
        <v>123</v>
      </c>
      <c r="H21" s="11">
        <v>159596381.18279999</v>
      </c>
      <c r="I21" s="11">
        <v>96.46353022195369</v>
      </c>
      <c r="J21" s="11">
        <v>101.394085777496</v>
      </c>
      <c r="K21" s="11">
        <v>8171853.4721999997</v>
      </c>
      <c r="L21" s="11">
        <v>168049543.82676399</v>
      </c>
      <c r="M21" s="6">
        <f t="shared" si="0"/>
        <v>5.6811135621872306E-3</v>
      </c>
    </row>
    <row r="22" spans="1:15" x14ac:dyDescent="0.25">
      <c r="A22" s="1" t="s">
        <v>124</v>
      </c>
      <c r="B22" s="13" t="s">
        <v>125</v>
      </c>
      <c r="C22" s="10">
        <v>494987</v>
      </c>
      <c r="D22" s="11">
        <v>494987000</v>
      </c>
      <c r="E22" s="3">
        <v>0.1701</v>
      </c>
      <c r="F22" s="4" t="s">
        <v>126</v>
      </c>
      <c r="G22" s="4" t="s">
        <v>127</v>
      </c>
      <c r="H22" s="11">
        <v>495088472.34249997</v>
      </c>
      <c r="I22" s="11">
        <v>101.41670000000001</v>
      </c>
      <c r="J22" s="11">
        <v>105.52745</v>
      </c>
      <c r="K22" s="11">
        <v>20347678.102499999</v>
      </c>
      <c r="L22" s="11">
        <v>522347158.93150002</v>
      </c>
      <c r="M22" s="6">
        <f t="shared" si="0"/>
        <v>1.7658563428382838E-2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1504031718.1663654</v>
      </c>
      <c r="L24" s="22">
        <f>SUM(L4:L23)</f>
        <v>29580388067.804237</v>
      </c>
      <c r="M24" s="23"/>
      <c r="N24" s="26">
        <v>29580388067.804268</v>
      </c>
      <c r="O24" s="29">
        <f>L24-N24</f>
        <v>-3.0517578125E-5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3182208.27</v>
      </c>
      <c r="C27" s="51">
        <v>3182208.27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1511139</v>
      </c>
      <c r="D32" s="7" t="s">
        <v>51</v>
      </c>
      <c r="E32" s="34" t="s">
        <v>52</v>
      </c>
      <c r="F32" s="34" t="s">
        <v>53</v>
      </c>
      <c r="G32" s="15">
        <v>1051.7669999980139</v>
      </c>
      <c r="H32" s="15">
        <v>1055.236390318825</v>
      </c>
      <c r="I32" s="16">
        <f t="shared" ref="I32:I45" si="1">+C32*G32</f>
        <v>1589366132.6099987</v>
      </c>
      <c r="J32" s="16">
        <f t="shared" ref="J32:J45" si="2">+C32*H32</f>
        <v>1594608863.6299989</v>
      </c>
      <c r="K32" s="18">
        <v>0.17200000000000001</v>
      </c>
      <c r="L32" s="17">
        <v>748961.57428571419</v>
      </c>
      <c r="M32" s="17">
        <v>1593859902.0557139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18502</v>
      </c>
      <c r="D33" s="7" t="s">
        <v>51</v>
      </c>
      <c r="E33" s="34" t="s">
        <v>52</v>
      </c>
      <c r="F33" s="34" t="s">
        <v>53</v>
      </c>
      <c r="G33" s="15">
        <v>594.62800021619307</v>
      </c>
      <c r="H33" s="15">
        <v>596.58945789644406</v>
      </c>
      <c r="I33" s="16">
        <f t="shared" si="1"/>
        <v>11001807.260000004</v>
      </c>
      <c r="J33" s="16">
        <f t="shared" si="2"/>
        <v>11038098.150000008</v>
      </c>
      <c r="K33" s="18">
        <v>0.17200000000000001</v>
      </c>
      <c r="L33" s="17">
        <v>5184.4128571428573</v>
      </c>
      <c r="M33" s="17">
        <v>11032913.73714285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661960</v>
      </c>
      <c r="D34" s="7" t="s">
        <v>51</v>
      </c>
      <c r="E34" s="34" t="s">
        <v>58</v>
      </c>
      <c r="F34" s="34" t="s">
        <v>59</v>
      </c>
      <c r="G34" s="15">
        <v>1012.9770000000001</v>
      </c>
      <c r="H34" s="15">
        <v>1013.451853087799</v>
      </c>
      <c r="I34" s="16">
        <f t="shared" si="1"/>
        <v>670550254.92000008</v>
      </c>
      <c r="J34" s="16">
        <f t="shared" si="2"/>
        <v>670864588.66999948</v>
      </c>
      <c r="K34" s="18">
        <v>0.171101</v>
      </c>
      <c r="L34" s="17">
        <v>314333.75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661960</v>
      </c>
      <c r="D35" s="7" t="s">
        <v>51</v>
      </c>
      <c r="E35" s="34" t="s">
        <v>59</v>
      </c>
      <c r="F35" s="34" t="s">
        <v>59</v>
      </c>
      <c r="G35" s="15">
        <v>1012.9770000000001</v>
      </c>
      <c r="H35" s="15">
        <v>1013.451853087799</v>
      </c>
      <c r="I35" s="16">
        <f t="shared" si="1"/>
        <v>670550254.92000008</v>
      </c>
      <c r="J35" s="16">
        <f t="shared" si="2"/>
        <v>670864588.66999948</v>
      </c>
      <c r="K35" s="18">
        <v>0.171101</v>
      </c>
      <c r="L35" s="17"/>
      <c r="M35" s="17"/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149408</v>
      </c>
      <c r="D36" s="7" t="s">
        <v>51</v>
      </c>
      <c r="E36" s="34" t="s">
        <v>58</v>
      </c>
      <c r="F36" s="34" t="s">
        <v>59</v>
      </c>
      <c r="G36" s="15">
        <v>1078.3920000267719</v>
      </c>
      <c r="H36" s="15">
        <v>1078.8975176697361</v>
      </c>
      <c r="I36" s="16">
        <f t="shared" si="1"/>
        <v>161120391.93999994</v>
      </c>
      <c r="J36" s="16">
        <f t="shared" si="2"/>
        <v>161195920.31999993</v>
      </c>
      <c r="K36" s="18">
        <v>0.171101</v>
      </c>
      <c r="L36" s="17">
        <v>75528.38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149408</v>
      </c>
      <c r="D37" s="7" t="s">
        <v>51</v>
      </c>
      <c r="E37" s="34" t="s">
        <v>59</v>
      </c>
      <c r="F37" s="34" t="s">
        <v>59</v>
      </c>
      <c r="G37" s="15">
        <v>1078.3920000267719</v>
      </c>
      <c r="H37" s="15">
        <v>1078.8975176697361</v>
      </c>
      <c r="I37" s="16">
        <f t="shared" si="1"/>
        <v>161120391.93999994</v>
      </c>
      <c r="J37" s="16">
        <f t="shared" si="2"/>
        <v>161195920.31999993</v>
      </c>
      <c r="K37" s="18">
        <v>0.171101</v>
      </c>
      <c r="L37" s="17"/>
      <c r="M37" s="17"/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529336</v>
      </c>
      <c r="D38" s="7" t="s">
        <v>51</v>
      </c>
      <c r="E38" s="34" t="s">
        <v>58</v>
      </c>
      <c r="F38" s="34" t="s">
        <v>59</v>
      </c>
      <c r="G38" s="15">
        <v>960.43499999999995</v>
      </c>
      <c r="H38" s="15">
        <v>960.88522297746601</v>
      </c>
      <c r="I38" s="16">
        <f t="shared" si="1"/>
        <v>508392821.15999997</v>
      </c>
      <c r="J38" s="16">
        <f t="shared" si="2"/>
        <v>508631140.38999993</v>
      </c>
      <c r="K38" s="18">
        <v>0.171101</v>
      </c>
      <c r="L38" s="17">
        <v>238319.23</v>
      </c>
      <c r="M38" s="17"/>
      <c r="N38" s="35"/>
    </row>
    <row r="39" spans="1:15" s="36" customFormat="1" ht="12" customHeight="1" x14ac:dyDescent="0.25">
      <c r="A39" s="12" t="s">
        <v>62</v>
      </c>
      <c r="B39" s="7" t="s">
        <v>63</v>
      </c>
      <c r="C39" s="14">
        <v>529336</v>
      </c>
      <c r="D39" s="7" t="s">
        <v>51</v>
      </c>
      <c r="E39" s="34" t="s">
        <v>59</v>
      </c>
      <c r="F39" s="34" t="s">
        <v>59</v>
      </c>
      <c r="G39" s="15">
        <v>960.43499999999995</v>
      </c>
      <c r="H39" s="15">
        <v>960.88522297746601</v>
      </c>
      <c r="I39" s="16">
        <f t="shared" si="1"/>
        <v>508392821.15999997</v>
      </c>
      <c r="J39" s="16">
        <f t="shared" si="2"/>
        <v>508631140.38999993</v>
      </c>
      <c r="K39" s="18">
        <v>0.171101</v>
      </c>
      <c r="L39" s="17"/>
      <c r="M39" s="17"/>
      <c r="N39" s="35"/>
    </row>
    <row r="40" spans="1:15" s="36" customFormat="1" ht="12" customHeight="1" x14ac:dyDescent="0.25">
      <c r="A40" s="12" t="s">
        <v>64</v>
      </c>
      <c r="B40" s="7" t="s">
        <v>65</v>
      </c>
      <c r="C40" s="14">
        <v>323352</v>
      </c>
      <c r="D40" s="7" t="s">
        <v>51</v>
      </c>
      <c r="E40" s="34" t="s">
        <v>58</v>
      </c>
      <c r="F40" s="34" t="s">
        <v>59</v>
      </c>
      <c r="G40" s="15">
        <v>1003</v>
      </c>
      <c r="H40" s="15">
        <v>1003.470178907197</v>
      </c>
      <c r="I40" s="16">
        <f t="shared" si="1"/>
        <v>324322056</v>
      </c>
      <c r="J40" s="16">
        <f t="shared" si="2"/>
        <v>324474089.28999996</v>
      </c>
      <c r="K40" s="18">
        <v>0.171102</v>
      </c>
      <c r="L40" s="17">
        <v>152033.29</v>
      </c>
      <c r="M40" s="17"/>
      <c r="N40" s="35"/>
    </row>
    <row r="41" spans="1:15" s="36" customFormat="1" ht="12" customHeight="1" x14ac:dyDescent="0.25">
      <c r="A41" s="12" t="s">
        <v>64</v>
      </c>
      <c r="B41" s="7" t="s">
        <v>65</v>
      </c>
      <c r="C41" s="14">
        <v>323352</v>
      </c>
      <c r="D41" s="7" t="s">
        <v>51</v>
      </c>
      <c r="E41" s="34" t="s">
        <v>59</v>
      </c>
      <c r="F41" s="34" t="s">
        <v>59</v>
      </c>
      <c r="G41" s="15">
        <v>1003</v>
      </c>
      <c r="H41" s="15">
        <v>1003.470178907197</v>
      </c>
      <c r="I41" s="16">
        <f t="shared" si="1"/>
        <v>324322056</v>
      </c>
      <c r="J41" s="16">
        <f t="shared" si="2"/>
        <v>324474089.28999996</v>
      </c>
      <c r="K41" s="18">
        <v>0.171102</v>
      </c>
      <c r="L41" s="17"/>
      <c r="M41" s="17"/>
      <c r="N41" s="35"/>
    </row>
    <row r="42" spans="1:15" s="36" customFormat="1" ht="12" customHeight="1" x14ac:dyDescent="0.25">
      <c r="A42" s="12" t="s">
        <v>66</v>
      </c>
      <c r="B42" s="7" t="s">
        <v>67</v>
      </c>
      <c r="C42" s="14">
        <v>16500</v>
      </c>
      <c r="D42" s="7" t="s">
        <v>51</v>
      </c>
      <c r="E42" s="34" t="s">
        <v>58</v>
      </c>
      <c r="F42" s="34" t="s">
        <v>59</v>
      </c>
      <c r="G42" s="15">
        <v>606.12540000000001</v>
      </c>
      <c r="H42" s="15">
        <v>606.409535151515</v>
      </c>
      <c r="I42" s="16">
        <f t="shared" si="1"/>
        <v>10001069.1</v>
      </c>
      <c r="J42" s="16">
        <f t="shared" si="2"/>
        <v>10005757.329999998</v>
      </c>
      <c r="K42" s="18">
        <v>0.171102</v>
      </c>
      <c r="L42" s="17">
        <v>4688.2300000000005</v>
      </c>
      <c r="M42" s="17"/>
      <c r="N42" s="35"/>
    </row>
    <row r="43" spans="1:15" s="36" customFormat="1" ht="12" customHeight="1" x14ac:dyDescent="0.25">
      <c r="A43" s="12" t="s">
        <v>66</v>
      </c>
      <c r="B43" s="7" t="s">
        <v>67</v>
      </c>
      <c r="C43" s="14">
        <v>16500</v>
      </c>
      <c r="D43" s="7" t="s">
        <v>51</v>
      </c>
      <c r="E43" s="34" t="s">
        <v>59</v>
      </c>
      <c r="F43" s="34" t="s">
        <v>59</v>
      </c>
      <c r="G43" s="15">
        <v>606.12540000000001</v>
      </c>
      <c r="H43" s="15">
        <v>606.409535151515</v>
      </c>
      <c r="I43" s="16">
        <f t="shared" si="1"/>
        <v>10001069.1</v>
      </c>
      <c r="J43" s="16">
        <f t="shared" si="2"/>
        <v>10005757.329999998</v>
      </c>
      <c r="K43" s="18">
        <v>0.171102</v>
      </c>
      <c r="L43" s="17"/>
      <c r="M43" s="17"/>
      <c r="N43" s="35"/>
    </row>
    <row r="44" spans="1:15" s="36" customFormat="1" ht="12" customHeight="1" x14ac:dyDescent="0.25">
      <c r="A44" s="12" t="s">
        <v>68</v>
      </c>
      <c r="B44" s="7" t="s">
        <v>69</v>
      </c>
      <c r="C44" s="14">
        <v>21164</v>
      </c>
      <c r="D44" s="7" t="s">
        <v>51</v>
      </c>
      <c r="E44" s="34" t="s">
        <v>59</v>
      </c>
      <c r="F44" s="34" t="s">
        <v>53</v>
      </c>
      <c r="G44" s="15">
        <v>519.81640001890003</v>
      </c>
      <c r="H44" s="15">
        <v>520.059217066717</v>
      </c>
      <c r="I44" s="16">
        <f t="shared" si="1"/>
        <v>11001394.290000001</v>
      </c>
      <c r="J44" s="16">
        <f t="shared" si="2"/>
        <v>11006533.269999998</v>
      </c>
      <c r="K44" s="18">
        <v>0.17049899999999998</v>
      </c>
      <c r="L44" s="17"/>
      <c r="M44" s="17">
        <v>11001394.289999999</v>
      </c>
      <c r="N44" s="35"/>
    </row>
    <row r="45" spans="1:15" s="36" customFormat="1" ht="12" customHeight="1" x14ac:dyDescent="0.25">
      <c r="A45" s="12" t="s">
        <v>70</v>
      </c>
      <c r="B45" s="7" t="s">
        <v>71</v>
      </c>
      <c r="C45" s="14">
        <v>17332224</v>
      </c>
      <c r="D45" s="7" t="s">
        <v>51</v>
      </c>
      <c r="E45" s="34" t="s">
        <v>59</v>
      </c>
      <c r="F45" s="34" t="s">
        <v>53</v>
      </c>
      <c r="G45" s="15">
        <v>96.007800000161538</v>
      </c>
      <c r="H45" s="15">
        <v>96.052647479054031</v>
      </c>
      <c r="I45" s="16">
        <f t="shared" si="1"/>
        <v>1664028695.3499999</v>
      </c>
      <c r="J45" s="16">
        <f t="shared" si="2"/>
        <v>1664806001.8999999</v>
      </c>
      <c r="K45" s="18">
        <v>0.17050000000000001</v>
      </c>
      <c r="L45" s="17"/>
      <c r="M45" s="17">
        <v>1664028695.3499999</v>
      </c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3279922905.4328566</v>
      </c>
      <c r="N47" s="38">
        <v>3279922905.432857</v>
      </c>
      <c r="O47" s="29">
        <f>M47-N47</f>
        <v>0</v>
      </c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32863493181.507095</v>
      </c>
      <c r="C54" s="32">
        <v>32863493181.507126</v>
      </c>
      <c r="D54" s="29">
        <f>B54-C54</f>
        <v>-3.0517578125E-5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60993.490000000005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50">
        <v>5071.26</v>
      </c>
    </row>
    <row r="64" spans="1:8" x14ac:dyDescent="0.25">
      <c r="A64" s="48" t="s">
        <v>41</v>
      </c>
      <c r="B64" s="50">
        <v>2512.0500000000002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68576.800000000003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2025-11-05T06:02:19Z</dcterms:created>
  <dcterms:modified xsi:type="dcterms:W3CDTF">2025-11-05T12:21:03Z</dcterms:modified>
</cp:coreProperties>
</file>