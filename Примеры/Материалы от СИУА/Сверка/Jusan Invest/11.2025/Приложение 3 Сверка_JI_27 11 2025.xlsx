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35B3A6D0-EE52-4EF1-BA6B-A695A2A9A6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4" i="1"/>
  <c r="D27" i="1"/>
  <c r="B65" i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18" i="1"/>
  <c r="M12" i="1"/>
  <c r="M6" i="1"/>
  <c r="M7" i="1" l="1"/>
  <c r="M13" i="1"/>
  <c r="M14" i="1"/>
  <c r="M20" i="1"/>
  <c r="M9" i="1"/>
  <c r="M15" i="1"/>
  <c r="M21" i="1"/>
  <c r="M19" i="1"/>
  <c r="B51" i="1"/>
  <c r="M8" i="1"/>
  <c r="M4" i="1"/>
  <c r="M10" i="1"/>
  <c r="M16" i="1"/>
  <c r="M22" i="1"/>
  <c r="M5" i="1"/>
  <c r="M11" i="1"/>
</calcChain>
</file>

<file path=xl/sharedStrings.xml><?xml version="1.0" encoding="utf-8"?>
<sst xmlns="http://schemas.openxmlformats.org/spreadsheetml/2006/main" count="185" uniqueCount="131">
  <si>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</si>
  <si>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</si>
  <si>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</si>
  <si>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</si>
  <si>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</si>
  <si>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</si>
  <si>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</si>
  <si>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</si>
  <si>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</si>
  <si>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</si>
  <si>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</si>
  <si>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</si>
  <si>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</si>
  <si>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</si>
  <si>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</si>
  <si>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</si>
  <si>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</si>
  <si>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</si>
  <si>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</si>
  <si>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</si>
  <si>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</si>
  <si>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</si>
  <si>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</si>
  <si>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</si>
  <si>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</si>
  <si>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</si>
  <si>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</si>
  <si>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</si>
  <si>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</si>
  <si>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</si>
  <si>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</si>
  <si>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</si>
  <si>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</si>
  <si>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</si>
  <si>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</si>
  <si>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</si>
  <si>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</si>
  <si>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</si>
  <si>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</si>
  <si>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</si>
  <si>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</si>
  <si>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</si>
  <si>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</si>
  <si>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</si>
  <si>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</si>
  <si>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</si>
  <si>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</si>
  <si>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</si>
  <si>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</si>
  <si>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</si>
  <si>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</si>
  <si>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</si>
  <si>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27.11.2025</t>
  </si>
  <si>
    <t>28.11.2025</t>
  </si>
  <si>
    <t>АО КФУ, ОБЛИГАЦИИ, KFUSb90</t>
  </si>
  <si>
    <t>KZ2C00012383</t>
  </si>
  <si>
    <t>МИНИСТЕРСТВО ФИНАНСОВ РК, ГЦБ, MUM096_0011</t>
  </si>
  <si>
    <t>KZKD00001095</t>
  </si>
  <si>
    <t>25.11.2025</t>
  </si>
  <si>
    <t>02.12.2025</t>
  </si>
  <si>
    <t>МИНИСТЕРСТВО ФИНАНСОВ РК, ГЦБ, KZ_06_4410</t>
  </si>
  <si>
    <t>XS1120709826</t>
  </si>
  <si>
    <t>26.11.2025</t>
  </si>
  <si>
    <t>МИНИСТЕРСТВО ФИНАНСОВ РК, ГЦБ, MKM012_0160</t>
  </si>
  <si>
    <t>KZK100000373</t>
  </si>
  <si>
    <t>МИНИСТЕРСТВО ФИНАНСОВ РК, ГЦБ, MUM096_0014</t>
  </si>
  <si>
    <t>KZKD00001228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</si>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</sst>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25" zoomScale="90" zoomScaleNormal="90" workbookViewId="0">
      <selection activeCell="D52" sqref="D5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71</v>
      </c>
      <c r="B4" s="13" t="s">
        <v>72</v>
      </c>
      <c r="C4" s="10">
        <v>3020000</v>
      </c>
      <c r="D4" s="11">
        <v>3020000000</v>
      </c>
      <c r="E4" s="3">
        <v>0.1067</v>
      </c>
      <c r="F4" s="4" t="s">
        <v>73</v>
      </c>
      <c r="G4" s="4" t="s">
        <v>74</v>
      </c>
      <c r="H4" s="11">
        <v>2930617060.0000029</v>
      </c>
      <c r="I4" s="11">
        <v>99.083100000000002</v>
      </c>
      <c r="J4" s="11">
        <v>102.8176</v>
      </c>
      <c r="K4" s="11">
        <v>112781900</v>
      </c>
      <c r="L4" s="11">
        <v>3105091519.999999</v>
      </c>
      <c r="M4" s="6">
        <f t="shared" ref="M4:M22" si="0">L4/$L$24</f>
        <v>0.10283161591012741</v>
      </c>
    </row>
    <row r="5" spans="1:13" x14ac:dyDescent="0.25">
      <c r="A5" s="1" t="s">
        <v>75</v>
      </c>
      <c r="B5" s="13" t="s">
        <v>76</v>
      </c>
      <c r="C5" s="10">
        <v>2265000</v>
      </c>
      <c r="D5" s="11">
        <v>2265000000</v>
      </c>
      <c r="E5" s="3">
        <v>0.10550000000000001</v>
      </c>
      <c r="F5" s="4" t="s">
        <v>73</v>
      </c>
      <c r="G5" s="4" t="s">
        <v>77</v>
      </c>
      <c r="H5" s="11">
        <v>2039188560.0000031</v>
      </c>
      <c r="I5" s="11">
        <v>84.301900000000003</v>
      </c>
      <c r="J5" s="11">
        <v>87.789261111111102</v>
      </c>
      <c r="K5" s="11">
        <v>78988729.166666657</v>
      </c>
      <c r="L5" s="11">
        <v>1988426764.166666</v>
      </c>
      <c r="M5" s="6">
        <f t="shared" si="0"/>
        <v>6.5850921288852754E-2</v>
      </c>
    </row>
    <row r="6" spans="1:13" x14ac:dyDescent="0.25">
      <c r="A6" s="1" t="s">
        <v>75</v>
      </c>
      <c r="B6" s="13" t="s">
        <v>76</v>
      </c>
      <c r="C6" s="10">
        <v>1551646</v>
      </c>
      <c r="D6" s="11">
        <v>1551646000</v>
      </c>
      <c r="E6" s="3">
        <v>0.10550000000000001</v>
      </c>
      <c r="F6" s="4" t="s">
        <v>78</v>
      </c>
      <c r="G6" s="4" t="s">
        <v>77</v>
      </c>
      <c r="H6" s="11">
        <v>1395452658.7</v>
      </c>
      <c r="I6" s="11">
        <v>84.301900000000003</v>
      </c>
      <c r="J6" s="11">
        <v>87.789261111111358</v>
      </c>
      <c r="K6" s="11">
        <v>54111499.186111107</v>
      </c>
      <c r="L6" s="11">
        <v>1362178558.460115</v>
      </c>
      <c r="M6" s="6">
        <f t="shared" si="0"/>
        <v>4.5111398946650567E-2</v>
      </c>
    </row>
    <row r="7" spans="1:13" x14ac:dyDescent="0.25">
      <c r="A7" s="1" t="s">
        <v>75</v>
      </c>
      <c r="B7" s="13" t="s">
        <v>76</v>
      </c>
      <c r="C7" s="10">
        <v>545692</v>
      </c>
      <c r="D7" s="11">
        <v>545692000</v>
      </c>
      <c r="E7" s="3">
        <v>0.10550000000000001</v>
      </c>
      <c r="F7" s="4" t="s">
        <v>79</v>
      </c>
      <c r="G7" s="4" t="s">
        <v>77</v>
      </c>
      <c r="H7" s="11">
        <v>449784993.92000002</v>
      </c>
      <c r="I7" s="11">
        <v>84.301900000000003</v>
      </c>
      <c r="J7" s="11">
        <v>87.789261111111102</v>
      </c>
      <c r="K7" s="11">
        <v>19030250.594444439</v>
      </c>
      <c r="L7" s="11">
        <v>479058974.74244398</v>
      </c>
      <c r="M7" s="6">
        <f t="shared" si="0"/>
        <v>1.5865042357596736E-2</v>
      </c>
    </row>
    <row r="8" spans="1:13" x14ac:dyDescent="0.25">
      <c r="A8" s="1" t="s">
        <v>80</v>
      </c>
      <c r="B8" s="13" t="s">
        <v>81</v>
      </c>
      <c r="C8" s="10">
        <v>2265000</v>
      </c>
      <c r="D8" s="11">
        <v>2265000000</v>
      </c>
      <c r="E8" s="3">
        <v>0.10400000000000001</v>
      </c>
      <c r="F8" s="4" t="s">
        <v>73</v>
      </c>
      <c r="G8" s="4" t="s">
        <v>82</v>
      </c>
      <c r="H8" s="11">
        <v>2073109200</v>
      </c>
      <c r="I8" s="11">
        <v>88.481300000000005</v>
      </c>
      <c r="J8" s="11">
        <v>94.98129999999999</v>
      </c>
      <c r="K8" s="11">
        <v>147225000</v>
      </c>
      <c r="L8" s="11">
        <v>2151326444.999999</v>
      </c>
      <c r="M8" s="6">
        <f t="shared" si="0"/>
        <v>7.1245685759864424E-2</v>
      </c>
    </row>
    <row r="9" spans="1:13" x14ac:dyDescent="0.25">
      <c r="A9" s="1" t="s">
        <v>83</v>
      </c>
      <c r="B9" s="13" t="s">
        <v>84</v>
      </c>
      <c r="C9" s="10">
        <v>2265000</v>
      </c>
      <c r="D9" s="11">
        <v>2265000000</v>
      </c>
      <c r="E9" s="3">
        <v>0.11</v>
      </c>
      <c r="F9" s="4" t="s">
        <v>73</v>
      </c>
      <c r="G9" s="4" t="s">
        <v>85</v>
      </c>
      <c r="H9" s="11">
        <v>2080889475</v>
      </c>
      <c r="I9" s="11">
        <v>86.414299999999997</v>
      </c>
      <c r="J9" s="11">
        <v>93.655966666666657</v>
      </c>
      <c r="K9" s="11">
        <v>164023750</v>
      </c>
      <c r="L9" s="11">
        <v>2121307644.999999</v>
      </c>
      <c r="M9" s="6">
        <f t="shared" si="0"/>
        <v>7.0251550259573942E-2</v>
      </c>
    </row>
    <row r="10" spans="1:13" x14ac:dyDescent="0.25">
      <c r="A10" s="1" t="s">
        <v>86</v>
      </c>
      <c r="B10" s="13" t="s">
        <v>87</v>
      </c>
      <c r="C10" s="10">
        <v>2265000</v>
      </c>
      <c r="D10" s="11">
        <v>2265000000</v>
      </c>
      <c r="E10" s="3">
        <v>0.10300000000000001</v>
      </c>
      <c r="F10" s="4" t="s">
        <v>73</v>
      </c>
      <c r="G10" s="4" t="s">
        <v>88</v>
      </c>
      <c r="H10" s="11">
        <v>1963990560.0000031</v>
      </c>
      <c r="I10" s="11">
        <v>78.8369</v>
      </c>
      <c r="J10" s="11">
        <v>85.989677777777771</v>
      </c>
      <c r="K10" s="11">
        <v>162010416.66666701</v>
      </c>
      <c r="L10" s="11">
        <v>1947666201.666666</v>
      </c>
      <c r="M10" s="6">
        <f t="shared" si="0"/>
        <v>6.4501049801882621E-2</v>
      </c>
    </row>
    <row r="11" spans="1:13" x14ac:dyDescent="0.25">
      <c r="A11" s="1" t="s">
        <v>89</v>
      </c>
      <c r="B11" s="13" t="s">
        <v>90</v>
      </c>
      <c r="C11" s="10">
        <v>2265000</v>
      </c>
      <c r="D11" s="11">
        <v>2265000000</v>
      </c>
      <c r="E11" s="3">
        <v>8.4500000000000006E-2</v>
      </c>
      <c r="F11" s="4" t="s">
        <v>73</v>
      </c>
      <c r="G11" s="4" t="s">
        <v>91</v>
      </c>
      <c r="H11" s="11">
        <v>1740247065.0000031</v>
      </c>
      <c r="I11" s="11">
        <v>69.234999999999999</v>
      </c>
      <c r="J11" s="11">
        <v>74.422361111111101</v>
      </c>
      <c r="K11" s="11">
        <v>117493729.166667</v>
      </c>
      <c r="L11" s="11">
        <v>1685666479.166666</v>
      </c>
      <c r="M11" s="6">
        <f t="shared" si="0"/>
        <v>5.582437967504527E-2</v>
      </c>
    </row>
    <row r="12" spans="1:13" x14ac:dyDescent="0.25">
      <c r="A12" s="1" t="s">
        <v>92</v>
      </c>
      <c r="B12" s="13" t="s">
        <v>93</v>
      </c>
      <c r="C12" s="10">
        <v>2265000</v>
      </c>
      <c r="D12" s="11">
        <v>2265000000</v>
      </c>
      <c r="E12" s="3">
        <v>0.10650000000000001</v>
      </c>
      <c r="F12" s="4" t="s">
        <v>73</v>
      </c>
      <c r="G12" s="4" t="s">
        <v>94</v>
      </c>
      <c r="H12" s="11">
        <v>1967775375</v>
      </c>
      <c r="I12" s="11">
        <v>76.945400000000006</v>
      </c>
      <c r="J12" s="11">
        <v>80.524983333333324</v>
      </c>
      <c r="K12" s="11">
        <v>81077562.5</v>
      </c>
      <c r="L12" s="11">
        <v>1823890872.5</v>
      </c>
      <c r="M12" s="6">
        <f t="shared" si="0"/>
        <v>6.0401970265567956E-2</v>
      </c>
    </row>
    <row r="13" spans="1:13" x14ac:dyDescent="0.25">
      <c r="A13" s="1" t="s">
        <v>95</v>
      </c>
      <c r="B13" s="13" t="s">
        <v>96</v>
      </c>
      <c r="C13" s="10">
        <v>2265000</v>
      </c>
      <c r="D13" s="11">
        <v>2265000000</v>
      </c>
      <c r="E13" s="3">
        <v>8.0700000000000008E-2</v>
      </c>
      <c r="F13" s="4" t="s">
        <v>73</v>
      </c>
      <c r="G13" s="4" t="s">
        <v>97</v>
      </c>
      <c r="H13" s="11">
        <v>1622351550</v>
      </c>
      <c r="I13" s="11">
        <v>62.500800000000005</v>
      </c>
      <c r="J13" s="11">
        <v>66.872050000000002</v>
      </c>
      <c r="K13" s="11">
        <v>99008812.5</v>
      </c>
      <c r="L13" s="11">
        <v>1514651932.5</v>
      </c>
      <c r="M13" s="6">
        <f t="shared" si="0"/>
        <v>5.0160874408098688E-2</v>
      </c>
    </row>
    <row r="14" spans="1:13" x14ac:dyDescent="0.25">
      <c r="A14" s="1" t="s">
        <v>98</v>
      </c>
      <c r="B14" s="13" t="s">
        <v>99</v>
      </c>
      <c r="C14" s="10">
        <v>2265000</v>
      </c>
      <c r="D14" s="11">
        <v>2265000000</v>
      </c>
      <c r="E14" s="3">
        <v>8.0700000000000008E-2</v>
      </c>
      <c r="F14" s="4" t="s">
        <v>73</v>
      </c>
      <c r="G14" s="4" t="s">
        <v>100</v>
      </c>
      <c r="H14" s="11">
        <v>1597764975</v>
      </c>
      <c r="I14" s="11">
        <v>61.058200000000006</v>
      </c>
      <c r="J14" s="11">
        <v>67.73836666666665</v>
      </c>
      <c r="K14" s="11">
        <v>151305775</v>
      </c>
      <c r="L14" s="11">
        <v>1534274005</v>
      </c>
      <c r="M14" s="6">
        <f t="shared" si="0"/>
        <v>5.0810700479144953E-2</v>
      </c>
    </row>
    <row r="15" spans="1:13" x14ac:dyDescent="0.25">
      <c r="A15" s="1" t="s">
        <v>101</v>
      </c>
      <c r="B15" s="13" t="s">
        <v>102</v>
      </c>
      <c r="C15" s="10">
        <v>3775000</v>
      </c>
      <c r="D15" s="11">
        <v>3775000000</v>
      </c>
      <c r="E15" s="3">
        <v>5.4900000000000004E-2</v>
      </c>
      <c r="F15" s="4" t="s">
        <v>73</v>
      </c>
      <c r="G15" s="4" t="s">
        <v>103</v>
      </c>
      <c r="H15" s="11">
        <v>3136670150</v>
      </c>
      <c r="I15" s="11">
        <v>87.484999999999999</v>
      </c>
      <c r="J15" s="11">
        <v>91.14500000000001</v>
      </c>
      <c r="K15" s="11">
        <v>138165000</v>
      </c>
      <c r="L15" s="11">
        <v>3440723750</v>
      </c>
      <c r="M15" s="6">
        <f t="shared" si="0"/>
        <v>0.1139467809028873</v>
      </c>
    </row>
    <row r="16" spans="1:13" x14ac:dyDescent="0.25">
      <c r="A16" s="1" t="s">
        <v>104</v>
      </c>
      <c r="B16" s="13" t="s">
        <v>105</v>
      </c>
      <c r="C16" s="10">
        <v>2803860</v>
      </c>
      <c r="D16" s="11">
        <v>2803860000</v>
      </c>
      <c r="E16" s="3">
        <v>5.5E-2</v>
      </c>
      <c r="F16" s="4" t="s">
        <v>106</v>
      </c>
      <c r="G16" s="4" t="s">
        <v>107</v>
      </c>
      <c r="H16" s="11">
        <v>1773018067.1400001</v>
      </c>
      <c r="I16" s="11">
        <v>58.0869</v>
      </c>
      <c r="J16" s="11">
        <v>61.341066666666656</v>
      </c>
      <c r="K16" s="11">
        <v>91242277.5</v>
      </c>
      <c r="L16" s="11">
        <v>1719917631.8399999</v>
      </c>
      <c r="M16" s="6">
        <f t="shared" si="0"/>
        <v>5.6958678407787101E-2</v>
      </c>
    </row>
    <row r="17" spans="1:15" x14ac:dyDescent="0.25">
      <c r="A17" s="1" t="s">
        <v>108</v>
      </c>
      <c r="B17" s="13" t="s">
        <v>109</v>
      </c>
      <c r="C17" s="10">
        <v>1038480</v>
      </c>
      <c r="D17" s="11">
        <v>1038480000</v>
      </c>
      <c r="E17" s="3">
        <v>0.12</v>
      </c>
      <c r="F17" s="4" t="s">
        <v>106</v>
      </c>
      <c r="G17" s="4" t="s">
        <v>110</v>
      </c>
      <c r="H17" s="11">
        <v>979029096.96000004</v>
      </c>
      <c r="I17" s="11">
        <v>86.650700000000001</v>
      </c>
      <c r="J17" s="11">
        <v>95.317366666666658</v>
      </c>
      <c r="K17" s="11">
        <v>90001600</v>
      </c>
      <c r="L17" s="11">
        <v>989851789.36000001</v>
      </c>
      <c r="M17" s="6">
        <f t="shared" si="0"/>
        <v>3.2781017356750854E-2</v>
      </c>
    </row>
    <row r="18" spans="1:15" x14ac:dyDescent="0.25">
      <c r="A18" s="1" t="s">
        <v>111</v>
      </c>
      <c r="B18" s="13" t="s">
        <v>112</v>
      </c>
      <c r="C18" s="10">
        <v>506989</v>
      </c>
      <c r="D18" s="11">
        <v>506989000</v>
      </c>
      <c r="E18" s="3">
        <v>0.1535</v>
      </c>
      <c r="F18" s="4" t="s">
        <v>113</v>
      </c>
      <c r="G18" s="4" t="s">
        <v>114</v>
      </c>
      <c r="H18" s="11">
        <v>492216861.50999999</v>
      </c>
      <c r="I18" s="11">
        <v>99.003</v>
      </c>
      <c r="J18" s="11">
        <v>99.386749999999992</v>
      </c>
      <c r="K18" s="11">
        <v>1945570.2875000001</v>
      </c>
      <c r="L18" s="11">
        <v>503879889.95749998</v>
      </c>
      <c r="M18" s="6">
        <f t="shared" si="0"/>
        <v>1.6687039005197152E-2</v>
      </c>
    </row>
    <row r="19" spans="1:15" x14ac:dyDescent="0.25">
      <c r="A19" s="1" t="s">
        <v>115</v>
      </c>
      <c r="B19" s="13" t="s">
        <v>116</v>
      </c>
      <c r="C19" s="10">
        <v>2100000</v>
      </c>
      <c r="D19" s="11">
        <v>2100000000</v>
      </c>
      <c r="E19" s="3">
        <v>0.14300000000000002</v>
      </c>
      <c r="F19" s="4" t="s">
        <v>117</v>
      </c>
      <c r="G19" s="4" t="s">
        <v>118</v>
      </c>
      <c r="H19" s="11">
        <v>2100000000</v>
      </c>
      <c r="I19" s="11">
        <v>95.187076845269701</v>
      </c>
      <c r="J19" s="11">
        <v>98.52374351193636</v>
      </c>
      <c r="K19" s="11">
        <v>70070000</v>
      </c>
      <c r="L19" s="11">
        <v>2068998613.750663</v>
      </c>
      <c r="M19" s="6">
        <f t="shared" si="0"/>
        <v>6.851922701711359E-2</v>
      </c>
    </row>
    <row r="20" spans="1:15" x14ac:dyDescent="0.25">
      <c r="A20" s="1" t="s">
        <v>119</v>
      </c>
      <c r="B20" s="13" t="s">
        <v>120</v>
      </c>
      <c r="C20" s="10">
        <v>1000000</v>
      </c>
      <c r="D20" s="11">
        <v>1000000000</v>
      </c>
      <c r="E20" s="3">
        <v>0.1389</v>
      </c>
      <c r="F20" s="4" t="s">
        <v>121</v>
      </c>
      <c r="G20" s="4" t="s">
        <v>122</v>
      </c>
      <c r="H20" s="11">
        <v>1000000000</v>
      </c>
      <c r="I20" s="11">
        <v>98.458903524020897</v>
      </c>
      <c r="J20" s="11">
        <v>105.36532019068801</v>
      </c>
      <c r="K20" s="11">
        <v>69064166.666666657</v>
      </c>
      <c r="L20" s="11">
        <v>1053653201.906875</v>
      </c>
      <c r="M20" s="6">
        <f t="shared" si="0"/>
        <v>3.4893934901140601E-2</v>
      </c>
    </row>
    <row r="21" spans="1:15" x14ac:dyDescent="0.25">
      <c r="A21" s="1" t="s">
        <v>123</v>
      </c>
      <c r="B21" s="13" t="s">
        <v>124</v>
      </c>
      <c r="C21" s="10">
        <v>165739</v>
      </c>
      <c r="D21" s="11">
        <v>165739000</v>
      </c>
      <c r="E21" s="3">
        <v>0.125</v>
      </c>
      <c r="F21" s="4" t="s">
        <v>125</v>
      </c>
      <c r="G21" s="4" t="s">
        <v>126</v>
      </c>
      <c r="H21" s="11">
        <v>159596381.18279999</v>
      </c>
      <c r="I21" s="11">
        <v>97.005372949037493</v>
      </c>
      <c r="J21" s="11">
        <v>102.73453961569101</v>
      </c>
      <c r="K21" s="11">
        <v>9495463.5416444391</v>
      </c>
      <c r="L21" s="11">
        <v>170271198.61364999</v>
      </c>
      <c r="M21" s="6">
        <f t="shared" si="0"/>
        <v>5.6388877376457747E-3</v>
      </c>
    </row>
    <row r="22" spans="1:15" x14ac:dyDescent="0.25">
      <c r="A22" s="1" t="s">
        <v>127</v>
      </c>
      <c r="B22" s="13" t="s">
        <v>128</v>
      </c>
      <c r="C22" s="10">
        <v>494987</v>
      </c>
      <c r="D22" s="11">
        <v>494987000</v>
      </c>
      <c r="E22" s="3">
        <v>0.1701</v>
      </c>
      <c r="F22" s="4" t="s">
        <v>129</v>
      </c>
      <c r="G22" s="4" t="s">
        <v>130</v>
      </c>
      <c r="H22" s="11">
        <v>495088472.34249997</v>
      </c>
      <c r="I22" s="11">
        <v>102.89590000000001</v>
      </c>
      <c r="J22" s="11">
        <v>108.0934</v>
      </c>
      <c r="K22" s="11">
        <v>25726949.324999999</v>
      </c>
      <c r="L22" s="11">
        <v>535048277.85799998</v>
      </c>
      <c r="M22" s="6">
        <f t="shared" si="0"/>
        <v>1.7719245519072169E-2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1682768452.1013672</v>
      </c>
      <c r="L24" s="22">
        <f>SUM(L4:L23)</f>
        <v>30195883751.489246</v>
      </c>
      <c r="M24" s="23"/>
      <c r="N24" s="26">
        <v>30195883751.489265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5981074.3600000003</v>
      </c>
      <c r="C27" s="51">
        <v>5981074.3600000003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3382560</v>
      </c>
      <c r="D32" s="7" t="s">
        <v>51</v>
      </c>
      <c r="E32" s="34" t="s">
        <v>52</v>
      </c>
      <c r="F32" s="34" t="s">
        <v>53</v>
      </c>
      <c r="G32" s="15">
        <v>514.42410000118298</v>
      </c>
      <c r="H32" s="15">
        <v>514.67144497362904</v>
      </c>
      <c r="I32" s="16">
        <f t="shared" ref="I32:I42" si="1">+C32*G32</f>
        <v>1740070383.7000015</v>
      </c>
      <c r="J32" s="16">
        <f t="shared" ref="J32:J42" si="2">+C32*H32</f>
        <v>1740907042.9099987</v>
      </c>
      <c r="K32" s="18">
        <v>0.17549899999999999</v>
      </c>
      <c r="L32" s="17"/>
      <c r="M32" s="17">
        <v>1740070383.7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10571</v>
      </c>
      <c r="D33" s="7" t="s">
        <v>51</v>
      </c>
      <c r="E33" s="34" t="s">
        <v>52</v>
      </c>
      <c r="F33" s="34" t="s">
        <v>53</v>
      </c>
      <c r="G33" s="15">
        <v>1041.046000378393</v>
      </c>
      <c r="H33" s="15">
        <v>1041.547984107463</v>
      </c>
      <c r="I33" s="16">
        <f t="shared" si="1"/>
        <v>11004897.269999992</v>
      </c>
      <c r="J33" s="16">
        <f t="shared" si="2"/>
        <v>11010203.739999991</v>
      </c>
      <c r="K33" s="18">
        <v>0.17600000000000002</v>
      </c>
      <c r="L33" s="17"/>
      <c r="M33" s="17">
        <v>11004897.27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9240</v>
      </c>
      <c r="D34" s="7" t="s">
        <v>51</v>
      </c>
      <c r="E34" s="34" t="s">
        <v>58</v>
      </c>
      <c r="F34" s="34" t="s">
        <v>59</v>
      </c>
      <c r="G34" s="15">
        <v>866.47700000000009</v>
      </c>
      <c r="H34" s="15">
        <v>869.38503896103907</v>
      </c>
      <c r="I34" s="16">
        <f t="shared" si="1"/>
        <v>8006247.4800000004</v>
      </c>
      <c r="J34" s="16">
        <f t="shared" si="2"/>
        <v>8033117.7600000007</v>
      </c>
      <c r="K34" s="18">
        <v>0.17499999999999999</v>
      </c>
      <c r="L34" s="17">
        <v>3838.6114285714284</v>
      </c>
      <c r="M34" s="17">
        <v>8013924.7028571405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157388</v>
      </c>
      <c r="D35" s="7" t="s">
        <v>51</v>
      </c>
      <c r="E35" s="34" t="s">
        <v>62</v>
      </c>
      <c r="F35" s="34" t="s">
        <v>52</v>
      </c>
      <c r="G35" s="15">
        <v>489.24870002795603</v>
      </c>
      <c r="H35" s="15">
        <v>489.48729121661103</v>
      </c>
      <c r="I35" s="16">
        <f t="shared" si="1"/>
        <v>77001874.399999946</v>
      </c>
      <c r="J35" s="16">
        <f t="shared" si="2"/>
        <v>77039425.789999977</v>
      </c>
      <c r="K35" s="18">
        <v>0.17799899999999999</v>
      </c>
      <c r="L35" s="17">
        <v>37551.39</v>
      </c>
      <c r="M35" s="17"/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157388</v>
      </c>
      <c r="D36" s="7" t="s">
        <v>51</v>
      </c>
      <c r="E36" s="34" t="s">
        <v>52</v>
      </c>
      <c r="F36" s="34" t="s">
        <v>52</v>
      </c>
      <c r="G36" s="15">
        <v>489.24870002795603</v>
      </c>
      <c r="H36" s="15">
        <v>489.48729121661103</v>
      </c>
      <c r="I36" s="16">
        <f t="shared" si="1"/>
        <v>77001874.399999946</v>
      </c>
      <c r="J36" s="16">
        <f t="shared" si="2"/>
        <v>77039425.789999977</v>
      </c>
      <c r="K36" s="18">
        <v>0.17799899999999999</v>
      </c>
      <c r="L36" s="17"/>
      <c r="M36" s="17"/>
      <c r="N36" s="35"/>
    </row>
    <row r="37" spans="1:15" s="36" customFormat="1" ht="12" customHeight="1" x14ac:dyDescent="0.25">
      <c r="A37" s="12" t="s">
        <v>63</v>
      </c>
      <c r="B37" s="7" t="s">
        <v>64</v>
      </c>
      <c r="C37" s="14">
        <v>17188768</v>
      </c>
      <c r="D37" s="7" t="s">
        <v>51</v>
      </c>
      <c r="E37" s="34" t="s">
        <v>62</v>
      </c>
      <c r="F37" s="34" t="s">
        <v>52</v>
      </c>
      <c r="G37" s="15">
        <v>96.755299999976714</v>
      </c>
      <c r="H37" s="15">
        <v>96.802484511397211</v>
      </c>
      <c r="I37" s="16">
        <f t="shared" si="1"/>
        <v>1663104404.4699998</v>
      </c>
      <c r="J37" s="16">
        <f t="shared" si="2"/>
        <v>1663915448.0899999</v>
      </c>
      <c r="K37" s="18">
        <v>0.17799899999999999</v>
      </c>
      <c r="L37" s="17">
        <v>811043.62</v>
      </c>
      <c r="M37" s="17"/>
      <c r="N37" s="35"/>
    </row>
    <row r="38" spans="1:15" s="36" customFormat="1" ht="12" customHeight="1" x14ac:dyDescent="0.25">
      <c r="A38" s="12" t="s">
        <v>63</v>
      </c>
      <c r="B38" s="7" t="s">
        <v>64</v>
      </c>
      <c r="C38" s="14">
        <v>17188768</v>
      </c>
      <c r="D38" s="7" t="s">
        <v>51</v>
      </c>
      <c r="E38" s="34" t="s">
        <v>52</v>
      </c>
      <c r="F38" s="34" t="s">
        <v>52</v>
      </c>
      <c r="G38" s="15">
        <v>96.755299999976714</v>
      </c>
      <c r="H38" s="15">
        <v>96.802484511397211</v>
      </c>
      <c r="I38" s="16">
        <f t="shared" si="1"/>
        <v>1663104404.4699998</v>
      </c>
      <c r="J38" s="16">
        <f t="shared" si="2"/>
        <v>1663915448.0899999</v>
      </c>
      <c r="K38" s="18">
        <v>0.17799899999999999</v>
      </c>
      <c r="L38" s="17"/>
      <c r="M38" s="17"/>
      <c r="N38" s="35"/>
    </row>
    <row r="39" spans="1:15" s="36" customFormat="1" ht="12" customHeight="1" x14ac:dyDescent="0.25">
      <c r="A39" s="12" t="s">
        <v>65</v>
      </c>
      <c r="B39" s="7" t="s">
        <v>66</v>
      </c>
      <c r="C39" s="14">
        <v>11187</v>
      </c>
      <c r="D39" s="7" t="s">
        <v>51</v>
      </c>
      <c r="E39" s="34" t="s">
        <v>62</v>
      </c>
      <c r="F39" s="34" t="s">
        <v>52</v>
      </c>
      <c r="G39" s="15">
        <v>983.77500044694705</v>
      </c>
      <c r="H39" s="15">
        <v>984.25475909537909</v>
      </c>
      <c r="I39" s="16">
        <f t="shared" si="1"/>
        <v>11005490.929999996</v>
      </c>
      <c r="J39" s="16">
        <f t="shared" si="2"/>
        <v>11010857.990000006</v>
      </c>
      <c r="K39" s="18">
        <v>0.17800000000000002</v>
      </c>
      <c r="L39" s="17">
        <v>5367.06</v>
      </c>
      <c r="M39" s="17"/>
      <c r="N39" s="35"/>
    </row>
    <row r="40" spans="1:15" s="36" customFormat="1" ht="12" customHeight="1" x14ac:dyDescent="0.25">
      <c r="A40" s="12" t="s">
        <v>65</v>
      </c>
      <c r="B40" s="7" t="s">
        <v>66</v>
      </c>
      <c r="C40" s="14">
        <v>11187</v>
      </c>
      <c r="D40" s="7" t="s">
        <v>51</v>
      </c>
      <c r="E40" s="34" t="s">
        <v>52</v>
      </c>
      <c r="F40" s="34" t="s">
        <v>52</v>
      </c>
      <c r="G40" s="15">
        <v>983.77500044694705</v>
      </c>
      <c r="H40" s="15">
        <v>984.25475909537909</v>
      </c>
      <c r="I40" s="16">
        <f t="shared" si="1"/>
        <v>11005490.929999996</v>
      </c>
      <c r="J40" s="16">
        <f t="shared" si="2"/>
        <v>11010857.990000006</v>
      </c>
      <c r="K40" s="18">
        <v>0.17800000000000002</v>
      </c>
      <c r="L40" s="17"/>
      <c r="M40" s="17"/>
      <c r="N40" s="35"/>
    </row>
    <row r="41" spans="1:15" s="36" customFormat="1" ht="12" customHeight="1" x14ac:dyDescent="0.25">
      <c r="A41" s="12" t="s">
        <v>67</v>
      </c>
      <c r="B41" s="7" t="s">
        <v>68</v>
      </c>
      <c r="C41" s="14">
        <v>1656000</v>
      </c>
      <c r="D41" s="7" t="s">
        <v>51</v>
      </c>
      <c r="E41" s="34" t="s">
        <v>58</v>
      </c>
      <c r="F41" s="34" t="s">
        <v>59</v>
      </c>
      <c r="G41" s="15">
        <v>906.46800000000007</v>
      </c>
      <c r="H41" s="15">
        <v>909.51025561594201</v>
      </c>
      <c r="I41" s="16">
        <f t="shared" si="1"/>
        <v>1501111008.0000002</v>
      </c>
      <c r="J41" s="16">
        <f t="shared" si="2"/>
        <v>1506148983.3</v>
      </c>
      <c r="K41" s="18">
        <v>0.17499999999999999</v>
      </c>
      <c r="L41" s="17">
        <v>719710.75714285707</v>
      </c>
      <c r="M41" s="17">
        <v>1502550429.5142851</v>
      </c>
      <c r="N41" s="35"/>
    </row>
    <row r="42" spans="1:15" s="36" customFormat="1" ht="12" customHeight="1" x14ac:dyDescent="0.25">
      <c r="A42" s="12" t="s">
        <v>69</v>
      </c>
      <c r="B42" s="7" t="s">
        <v>70</v>
      </c>
      <c r="C42" s="14">
        <v>97110</v>
      </c>
      <c r="D42" s="7" t="s">
        <v>51</v>
      </c>
      <c r="E42" s="34" t="s">
        <v>58</v>
      </c>
      <c r="F42" s="34" t="s">
        <v>59</v>
      </c>
      <c r="G42" s="15">
        <v>927.21900000000005</v>
      </c>
      <c r="H42" s="15">
        <v>930.33089939244201</v>
      </c>
      <c r="I42" s="16">
        <f t="shared" si="1"/>
        <v>90042237.090000004</v>
      </c>
      <c r="J42" s="16">
        <f t="shared" si="2"/>
        <v>90344433.640000045</v>
      </c>
      <c r="K42" s="18">
        <v>0.17499999999999999</v>
      </c>
      <c r="L42" s="17">
        <v>43170.935714285704</v>
      </c>
      <c r="M42" s="17">
        <v>90128578.961428568</v>
      </c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3351768214.148571</v>
      </c>
      <c r="N44" s="38">
        <v>3351768214.1485715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33553633039.997818</v>
      </c>
      <c r="C51" s="32">
        <v>33553633039.997837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430418.89999999997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0"/>
    </row>
    <row r="60" spans="1:7" x14ac:dyDescent="0.25">
      <c r="A60" s="48" t="s">
        <v>40</v>
      </c>
      <c r="B60" s="40">
        <v>129314.08999999998</v>
      </c>
    </row>
    <row r="61" spans="1:7" x14ac:dyDescent="0.25">
      <c r="A61" s="48" t="s">
        <v>41</v>
      </c>
      <c r="B61" s="40">
        <v>64442.790000000008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624175.78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2025-11-28T05:20:53Z</dcterms:created>
  <dcterms:modified xsi:type="dcterms:W3CDTF">2025-11-28T07:05:40Z</dcterms:modified>
</cp:coreProperties>
</file>