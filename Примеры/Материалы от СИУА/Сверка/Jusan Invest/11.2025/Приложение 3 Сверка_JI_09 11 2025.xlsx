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07.11.2025\"/>
    </mc:Choice>
  </mc:AlternateContent>
  <xr:revisionPtr revIDLastSave="0" documentId="8_{B750A5CB-E4EE-4478-916F-2898399BD0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<sst xmlns="http://schemas.openxmlformats.org/spreadsheetml/2006/main" count="150" uniqueCount="123">
  <si>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</si>
  <si>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</si>
  <si>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</si>
  <si>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</si>
  <si>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</si>
  <si>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</si>
  <si>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</si>
  <si>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</si>
  <si>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</si>
  <si>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</si>
  <si>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</si>
  <si>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</si>
  <si>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</si>
  <si>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</si>
  <si>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</si>
  <si>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</si>
  <si>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</si>
  <si>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</si>
  <si>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</si>
  <si>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</si>
  <si>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</si>
  <si>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</si>
  <si>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</si>
  <si>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</si>
  <si>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</si>
  <si>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</si>
  <si>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</si>
  <si>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</si>
  <si>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</si>
  <si>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</si>
  <si>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</si>
  <si>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</si>
  <si>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</si>
  <si>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</si>
  <si>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</si>
  <si>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</si>
  <si>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</si>
  <si>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</si>
  <si>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</si>
  <si>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</si>
  <si>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</si>
  <si>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</si>
  <si>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</si>
  <si>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</si>
  <si>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</si>
  <si>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</si>
  <si>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</si>
  <si>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</si>
  <si>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</si>
  <si>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MUM180_0013</t>
  </si>
  <si>
    <t>KZKD00000931</t>
  </si>
  <si>
    <t>KZT</t>
  </si>
  <si>
    <t>05.11.2025</t>
  </si>
  <si>
    <t>12.11.2025</t>
  </si>
  <si>
    <t>МИНИСТЕРСТВО ФИНАНСОВ РК, ОБЛИГАЦИИ, MFKZ.0435</t>
  </si>
  <si>
    <t>XS2914770545</t>
  </si>
  <si>
    <t>МИНИСТЕРСТВО ФИНАНСОВ РК, ГЦБ, MUM096_0013</t>
  </si>
  <si>
    <t>KZKD00001202</t>
  </si>
  <si>
    <t>07.11.2025</t>
  </si>
  <si>
    <t>10.11.2025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</si>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</sst>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zoomScale="90" zoomScaleNormal="90" workbookViewId="0">
      <selection activeCell="E53" sqref="E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62</v>
      </c>
      <c r="B4" s="13" t="s">
        <v>63</v>
      </c>
      <c r="C4" s="10">
        <v>3020000</v>
      </c>
      <c r="D4" s="11">
        <v>3020000000</v>
      </c>
      <c r="E4" s="3">
        <v>0.1067</v>
      </c>
      <c r="F4" s="4" t="s">
        <v>64</v>
      </c>
      <c r="G4" s="4" t="s">
        <v>65</v>
      </c>
      <c r="H4" s="11">
        <v>2930617060.0000029</v>
      </c>
      <c r="I4" s="11">
        <v>98.806000000000012</v>
      </c>
      <c r="J4" s="11">
        <v>102.00700000000001</v>
      </c>
      <c r="K4" s="11">
        <v>96670199.999999985</v>
      </c>
      <c r="L4" s="11">
        <v>3080611399.999999</v>
      </c>
      <c r="M4" s="6">
        <f t="shared" ref="M4:M22" si="0">L4/$L$24</f>
        <v>0.10437185440316094</v>
      </c>
    </row>
    <row r="5" spans="1:13" x14ac:dyDescent="0.25">
      <c r="A5" s="1" t="s">
        <v>66</v>
      </c>
      <c r="B5" s="13" t="s">
        <v>67</v>
      </c>
      <c r="C5" s="10">
        <v>2265000</v>
      </c>
      <c r="D5" s="11">
        <v>2265000000</v>
      </c>
      <c r="E5" s="3">
        <v>0.10550000000000001</v>
      </c>
      <c r="F5" s="4" t="s">
        <v>64</v>
      </c>
      <c r="G5" s="4" t="s">
        <v>68</v>
      </c>
      <c r="H5" s="11">
        <v>2039188560.0000031</v>
      </c>
      <c r="I5" s="11">
        <v>82.203600000000009</v>
      </c>
      <c r="J5" s="11">
        <v>85.163461111111104</v>
      </c>
      <c r="K5" s="11">
        <v>67040854.166666657</v>
      </c>
      <c r="L5" s="11">
        <v>1928952394.166666</v>
      </c>
      <c r="M5" s="6">
        <f t="shared" si="0"/>
        <v>6.5353370579162309E-2</v>
      </c>
    </row>
    <row r="6" spans="1:13" x14ac:dyDescent="0.25">
      <c r="A6" s="1" t="s">
        <v>66</v>
      </c>
      <c r="B6" s="13" t="s">
        <v>67</v>
      </c>
      <c r="C6" s="10">
        <v>1551646</v>
      </c>
      <c r="D6" s="11">
        <v>1551646000</v>
      </c>
      <c r="E6" s="3">
        <v>0.10550000000000001</v>
      </c>
      <c r="F6" s="4" t="s">
        <v>69</v>
      </c>
      <c r="G6" s="4" t="s">
        <v>68</v>
      </c>
      <c r="H6" s="11">
        <v>1395452658.7</v>
      </c>
      <c r="I6" s="11">
        <v>82.203600000000009</v>
      </c>
      <c r="J6" s="11">
        <v>85.16346111111136</v>
      </c>
      <c r="K6" s="11">
        <v>45926566.536111109</v>
      </c>
      <c r="L6" s="11">
        <v>1321435437.792115</v>
      </c>
      <c r="M6" s="6">
        <f t="shared" si="0"/>
        <v>4.4770550130540931E-2</v>
      </c>
    </row>
    <row r="7" spans="1:13" x14ac:dyDescent="0.25">
      <c r="A7" s="1" t="s">
        <v>66</v>
      </c>
      <c r="B7" s="13" t="s">
        <v>67</v>
      </c>
      <c r="C7" s="10">
        <v>545692</v>
      </c>
      <c r="D7" s="11">
        <v>545692000</v>
      </c>
      <c r="E7" s="3">
        <v>0.10550000000000001</v>
      </c>
      <c r="F7" s="4" t="s">
        <v>70</v>
      </c>
      <c r="G7" s="4" t="s">
        <v>68</v>
      </c>
      <c r="H7" s="11">
        <v>449784993.92000002</v>
      </c>
      <c r="I7" s="11">
        <v>82.203600000000009</v>
      </c>
      <c r="J7" s="11">
        <v>85.163461111111104</v>
      </c>
      <c r="K7" s="11">
        <v>16151725.29444444</v>
      </c>
      <c r="L7" s="11">
        <v>464730194.20644403</v>
      </c>
      <c r="M7" s="6">
        <f t="shared" si="0"/>
        <v>1.5745170639330782E-2</v>
      </c>
    </row>
    <row r="8" spans="1:13" x14ac:dyDescent="0.25">
      <c r="A8" s="1" t="s">
        <v>71</v>
      </c>
      <c r="B8" s="13" t="s">
        <v>72</v>
      </c>
      <c r="C8" s="10">
        <v>2265000</v>
      </c>
      <c r="D8" s="11">
        <v>2265000000</v>
      </c>
      <c r="E8" s="3">
        <v>0.10400000000000001</v>
      </c>
      <c r="F8" s="4" t="s">
        <v>64</v>
      </c>
      <c r="G8" s="4" t="s">
        <v>73</v>
      </c>
      <c r="H8" s="11">
        <v>2073109200</v>
      </c>
      <c r="I8" s="11">
        <v>86.582100000000011</v>
      </c>
      <c r="J8" s="11">
        <v>92.562099999999987</v>
      </c>
      <c r="K8" s="11">
        <v>135447000</v>
      </c>
      <c r="L8" s="11">
        <v>2096531564.999999</v>
      </c>
      <c r="M8" s="6">
        <f t="shared" si="0"/>
        <v>7.1030993150843727E-2</v>
      </c>
    </row>
    <row r="9" spans="1:13" x14ac:dyDescent="0.25">
      <c r="A9" s="1" t="s">
        <v>74</v>
      </c>
      <c r="B9" s="13" t="s">
        <v>75</v>
      </c>
      <c r="C9" s="10">
        <v>2265000</v>
      </c>
      <c r="D9" s="11">
        <v>2265000000</v>
      </c>
      <c r="E9" s="3">
        <v>0.11</v>
      </c>
      <c r="F9" s="4" t="s">
        <v>64</v>
      </c>
      <c r="G9" s="4" t="s">
        <v>76</v>
      </c>
      <c r="H9" s="11">
        <v>2080889475</v>
      </c>
      <c r="I9" s="11">
        <v>84.303600000000003</v>
      </c>
      <c r="J9" s="11">
        <v>90.995266666666652</v>
      </c>
      <c r="K9" s="11">
        <v>151566250</v>
      </c>
      <c r="L9" s="11">
        <v>2061042789.999999</v>
      </c>
      <c r="M9" s="6">
        <f t="shared" si="0"/>
        <v>6.9828624927040311E-2</v>
      </c>
    </row>
    <row r="10" spans="1:13" x14ac:dyDescent="0.25">
      <c r="A10" s="1" t="s">
        <v>77</v>
      </c>
      <c r="B10" s="13" t="s">
        <v>78</v>
      </c>
      <c r="C10" s="10">
        <v>2265000</v>
      </c>
      <c r="D10" s="11">
        <v>2265000000</v>
      </c>
      <c r="E10" s="3">
        <v>0.10300000000000001</v>
      </c>
      <c r="F10" s="4" t="s">
        <v>64</v>
      </c>
      <c r="G10" s="4" t="s">
        <v>79</v>
      </c>
      <c r="H10" s="11">
        <v>1963990560.0000031</v>
      </c>
      <c r="I10" s="11">
        <v>76.811700000000002</v>
      </c>
      <c r="J10" s="11">
        <v>83.449477777777773</v>
      </c>
      <c r="K10" s="11">
        <v>150345666.66666701</v>
      </c>
      <c r="L10" s="11">
        <v>1890130671.666666</v>
      </c>
      <c r="M10" s="6">
        <f t="shared" si="0"/>
        <v>6.4038081293259552E-2</v>
      </c>
    </row>
    <row r="11" spans="1:13" x14ac:dyDescent="0.25">
      <c r="A11" s="1" t="s">
        <v>80</v>
      </c>
      <c r="B11" s="13" t="s">
        <v>81</v>
      </c>
      <c r="C11" s="10">
        <v>2265000</v>
      </c>
      <c r="D11" s="11">
        <v>2265000000</v>
      </c>
      <c r="E11" s="3">
        <v>8.4500000000000006E-2</v>
      </c>
      <c r="F11" s="4" t="s">
        <v>64</v>
      </c>
      <c r="G11" s="4" t="s">
        <v>82</v>
      </c>
      <c r="H11" s="11">
        <v>1740247065.0000031</v>
      </c>
      <c r="I11" s="11">
        <v>67.436599999999999</v>
      </c>
      <c r="J11" s="11">
        <v>72.201461111111101</v>
      </c>
      <c r="K11" s="11">
        <v>107924104.166667</v>
      </c>
      <c r="L11" s="11">
        <v>1635363094.166666</v>
      </c>
      <c r="M11" s="6">
        <f t="shared" si="0"/>
        <v>5.540649455516073E-2</v>
      </c>
    </row>
    <row r="12" spans="1:13" x14ac:dyDescent="0.25">
      <c r="A12" s="1" t="s">
        <v>83</v>
      </c>
      <c r="B12" s="13" t="s">
        <v>84</v>
      </c>
      <c r="C12" s="10">
        <v>2265000</v>
      </c>
      <c r="D12" s="11">
        <v>2265000000</v>
      </c>
      <c r="E12" s="3">
        <v>0.10650000000000001</v>
      </c>
      <c r="F12" s="4" t="s">
        <v>64</v>
      </c>
      <c r="G12" s="4" t="s">
        <v>85</v>
      </c>
      <c r="H12" s="11">
        <v>1967775375</v>
      </c>
      <c r="I12" s="11">
        <v>75.071700000000007</v>
      </c>
      <c r="J12" s="11">
        <v>78.118783333333326</v>
      </c>
      <c r="K12" s="11">
        <v>69016437.5</v>
      </c>
      <c r="L12" s="11">
        <v>1769390442.5</v>
      </c>
      <c r="M12" s="6">
        <f t="shared" si="0"/>
        <v>5.9947373319125724E-2</v>
      </c>
    </row>
    <row r="13" spans="1:13" x14ac:dyDescent="0.25">
      <c r="A13" s="1" t="s">
        <v>86</v>
      </c>
      <c r="B13" s="13" t="s">
        <v>87</v>
      </c>
      <c r="C13" s="10">
        <v>2265000</v>
      </c>
      <c r="D13" s="11">
        <v>2265000000</v>
      </c>
      <c r="E13" s="3">
        <v>8.0700000000000008E-2</v>
      </c>
      <c r="F13" s="4" t="s">
        <v>64</v>
      </c>
      <c r="G13" s="4" t="s">
        <v>88</v>
      </c>
      <c r="H13" s="11">
        <v>1622351550</v>
      </c>
      <c r="I13" s="11">
        <v>60.9739</v>
      </c>
      <c r="J13" s="11">
        <v>64.941649999999996</v>
      </c>
      <c r="K13" s="11">
        <v>89869537.5</v>
      </c>
      <c r="L13" s="11">
        <v>1470928372.5</v>
      </c>
      <c r="M13" s="6">
        <f t="shared" si="0"/>
        <v>4.9835406676755303E-2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8.0700000000000008E-2</v>
      </c>
      <c r="F14" s="4" t="s">
        <v>64</v>
      </c>
      <c r="G14" s="4" t="s">
        <v>91</v>
      </c>
      <c r="H14" s="11">
        <v>1597764975</v>
      </c>
      <c r="I14" s="11">
        <v>59.581500000000005</v>
      </c>
      <c r="J14" s="11">
        <v>65.858166666666662</v>
      </c>
      <c r="K14" s="11">
        <v>142166500</v>
      </c>
      <c r="L14" s="11">
        <v>1491687475</v>
      </c>
      <c r="M14" s="6">
        <f t="shared" si="0"/>
        <v>5.0538730057195398E-2</v>
      </c>
    </row>
    <row r="15" spans="1:13" x14ac:dyDescent="0.25">
      <c r="A15" s="1" t="s">
        <v>92</v>
      </c>
      <c r="B15" s="13" t="s">
        <v>93</v>
      </c>
      <c r="C15" s="10">
        <v>3775000</v>
      </c>
      <c r="D15" s="11">
        <v>3775000000</v>
      </c>
      <c r="E15" s="3">
        <v>5.4900000000000004E-2</v>
      </c>
      <c r="F15" s="4" t="s">
        <v>64</v>
      </c>
      <c r="G15" s="4" t="s">
        <v>94</v>
      </c>
      <c r="H15" s="11">
        <v>3136670150</v>
      </c>
      <c r="I15" s="11">
        <v>86.075200000000009</v>
      </c>
      <c r="J15" s="11">
        <v>89.460700000000003</v>
      </c>
      <c r="K15" s="11">
        <v>127802625</v>
      </c>
      <c r="L15" s="11">
        <v>3377141425</v>
      </c>
      <c r="M15" s="6">
        <f t="shared" si="0"/>
        <v>0.11441836289672352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56.460100000000004</v>
      </c>
      <c r="J16" s="11">
        <v>59.439266666666654</v>
      </c>
      <c r="K16" s="11">
        <v>83531662.5</v>
      </c>
      <c r="L16" s="11">
        <v>1666593822.3599999</v>
      </c>
      <c r="M16" s="6">
        <f t="shared" si="0"/>
        <v>5.6464599130083531E-2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84.493000000000009</v>
      </c>
      <c r="J17" s="11">
        <v>92.559666666666658</v>
      </c>
      <c r="K17" s="11">
        <v>83770720</v>
      </c>
      <c r="L17" s="11">
        <v>961213626.39999998</v>
      </c>
      <c r="M17" s="6">
        <f t="shared" si="0"/>
        <v>3.2566148610939746E-2</v>
      </c>
    </row>
    <row r="18" spans="1:15" x14ac:dyDescent="0.25">
      <c r="A18" s="1" t="s">
        <v>102</v>
      </c>
      <c r="B18" s="13" t="s">
        <v>103</v>
      </c>
      <c r="C18" s="10">
        <v>506989</v>
      </c>
      <c r="D18" s="11">
        <v>506989000</v>
      </c>
      <c r="E18" s="3">
        <v>0.1535</v>
      </c>
      <c r="F18" s="4" t="s">
        <v>104</v>
      </c>
      <c r="G18" s="4" t="s">
        <v>105</v>
      </c>
      <c r="H18" s="11">
        <v>492216861.50999999</v>
      </c>
      <c r="I18" s="11">
        <v>97.462299999999999</v>
      </c>
      <c r="J18" s="11">
        <v>104.75355</v>
      </c>
      <c r="K18" s="11">
        <v>36965835.462499999</v>
      </c>
      <c r="L18" s="11">
        <v>531088975.60949999</v>
      </c>
      <c r="M18" s="6">
        <f t="shared" si="0"/>
        <v>1.7993422097132613E-2</v>
      </c>
    </row>
    <row r="19" spans="1:15" x14ac:dyDescent="0.25">
      <c r="A19" s="1" t="s">
        <v>106</v>
      </c>
      <c r="B19" s="13" t="s">
        <v>107</v>
      </c>
      <c r="C19" s="10">
        <v>2100000</v>
      </c>
      <c r="D19" s="11">
        <v>2100000000</v>
      </c>
      <c r="E19" s="3">
        <v>0.14300000000000002</v>
      </c>
      <c r="F19" s="4" t="s">
        <v>108</v>
      </c>
      <c r="G19" s="4" t="s">
        <v>109</v>
      </c>
      <c r="H19" s="11">
        <v>2100000000</v>
      </c>
      <c r="I19" s="11">
        <v>94.306870009843593</v>
      </c>
      <c r="J19" s="11">
        <v>96.928536676510262</v>
      </c>
      <c r="K19" s="11">
        <v>55055000</v>
      </c>
      <c r="L19" s="11">
        <v>2035499270.2067151</v>
      </c>
      <c r="M19" s="6">
        <f t="shared" si="0"/>
        <v>6.8963204339163212E-2</v>
      </c>
    </row>
    <row r="20" spans="1:15" x14ac:dyDescent="0.25">
      <c r="A20" s="1" t="s">
        <v>110</v>
      </c>
      <c r="B20" s="13" t="s">
        <v>111</v>
      </c>
      <c r="C20" s="10">
        <v>1000000</v>
      </c>
      <c r="D20" s="11">
        <v>1000000000</v>
      </c>
      <c r="E20" s="3">
        <v>0.1389</v>
      </c>
      <c r="F20" s="4" t="s">
        <v>112</v>
      </c>
      <c r="G20" s="4" t="s">
        <v>113</v>
      </c>
      <c r="H20" s="11">
        <v>1000000000</v>
      </c>
      <c r="I20" s="11">
        <v>98.271487897258694</v>
      </c>
      <c r="J20" s="11">
        <v>104.48340456392501</v>
      </c>
      <c r="K20" s="11">
        <v>62119166.666666657</v>
      </c>
      <c r="L20" s="11">
        <v>1044834045.639253</v>
      </c>
      <c r="M20" s="6">
        <f t="shared" si="0"/>
        <v>3.5399228506044531E-2</v>
      </c>
    </row>
    <row r="21" spans="1:15" x14ac:dyDescent="0.25">
      <c r="A21" s="1" t="s">
        <v>114</v>
      </c>
      <c r="B21" s="13" t="s">
        <v>115</v>
      </c>
      <c r="C21" s="10">
        <v>165739</v>
      </c>
      <c r="D21" s="11">
        <v>165739000</v>
      </c>
      <c r="E21" s="3">
        <v>0.125</v>
      </c>
      <c r="F21" s="4" t="s">
        <v>116</v>
      </c>
      <c r="G21" s="4" t="s">
        <v>117</v>
      </c>
      <c r="H21" s="11">
        <v>159596381.18279999</v>
      </c>
      <c r="I21" s="11">
        <v>96.429196837865092</v>
      </c>
      <c r="J21" s="11">
        <v>101.53336350451801</v>
      </c>
      <c r="K21" s="11">
        <v>8459594.7916444391</v>
      </c>
      <c r="L21" s="11">
        <v>168280381.338754</v>
      </c>
      <c r="M21" s="6">
        <f t="shared" si="0"/>
        <v>5.7013797520832511E-3</v>
      </c>
    </row>
    <row r="22" spans="1:15" x14ac:dyDescent="0.25">
      <c r="A22" s="1" t="s">
        <v>118</v>
      </c>
      <c r="B22" s="13" t="s">
        <v>119</v>
      </c>
      <c r="C22" s="10">
        <v>494987</v>
      </c>
      <c r="D22" s="11">
        <v>494987000</v>
      </c>
      <c r="E22" s="3">
        <v>0.1701</v>
      </c>
      <c r="F22" s="4" t="s">
        <v>120</v>
      </c>
      <c r="G22" s="4" t="s">
        <v>121</v>
      </c>
      <c r="H22" s="11">
        <v>495088472.34249997</v>
      </c>
      <c r="I22" s="11">
        <v>100.7616</v>
      </c>
      <c r="J22" s="11">
        <v>105.10860000000001</v>
      </c>
      <c r="K22" s="11">
        <v>21517084.890000001</v>
      </c>
      <c r="L22" s="11">
        <v>520273905.88200003</v>
      </c>
      <c r="M22" s="6">
        <f t="shared" si="0"/>
        <v>1.7627004936253882E-2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1551346531.1413674</v>
      </c>
      <c r="L24" s="22">
        <f>SUM(L4:L23)</f>
        <v>29515729289.434776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4612198.5199999996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2242079</v>
      </c>
      <c r="D32" s="7" t="s">
        <v>51</v>
      </c>
      <c r="E32" s="34" t="s">
        <v>52</v>
      </c>
      <c r="F32" s="34" t="s">
        <v>53</v>
      </c>
      <c r="G32" s="15">
        <v>708.84</v>
      </c>
      <c r="H32" s="15">
        <v>711.191781583075</v>
      </c>
      <c r="I32" s="16">
        <f>+C32*G32</f>
        <v>1589275278.3600001</v>
      </c>
      <c r="J32" s="16">
        <f>+C32*H32</f>
        <v>1594548158.4599993</v>
      </c>
      <c r="K32" s="18">
        <v>0.17299899999999999</v>
      </c>
      <c r="L32" s="17">
        <v>753268.58571428573</v>
      </c>
      <c r="M32" s="17">
        <v>1592288352.702857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19330</v>
      </c>
      <c r="D33" s="7" t="s">
        <v>51</v>
      </c>
      <c r="E33" s="34" t="s">
        <v>52</v>
      </c>
      <c r="F33" s="34" t="s">
        <v>53</v>
      </c>
      <c r="G33" s="15">
        <v>517.364399896534</v>
      </c>
      <c r="H33" s="15">
        <v>519.07792912571108</v>
      </c>
      <c r="I33" s="16">
        <f>+C33*G33</f>
        <v>10000653.850000001</v>
      </c>
      <c r="J33" s="16">
        <f>+C33*H33</f>
        <v>10033776.369999995</v>
      </c>
      <c r="K33" s="18">
        <v>0.17269899999999999</v>
      </c>
      <c r="L33" s="17">
        <v>4731.7885714285712</v>
      </c>
      <c r="M33" s="17">
        <v>10019581.00428571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1855920</v>
      </c>
      <c r="D34" s="7" t="s">
        <v>51</v>
      </c>
      <c r="E34" s="34" t="s">
        <v>58</v>
      </c>
      <c r="F34" s="34" t="s">
        <v>59</v>
      </c>
      <c r="G34" s="15">
        <v>901.61300000000006</v>
      </c>
      <c r="H34" s="15">
        <v>902.87278802965602</v>
      </c>
      <c r="I34" s="16">
        <f>+C34*G34</f>
        <v>1673321598.96</v>
      </c>
      <c r="J34" s="16">
        <f>+C34*H34</f>
        <v>1675659664.7599993</v>
      </c>
      <c r="K34" s="18">
        <v>0.17</v>
      </c>
      <c r="L34" s="17">
        <v>779355.2666666666</v>
      </c>
      <c r="M34" s="17">
        <v>1674880309.4933331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9675</v>
      </c>
      <c r="D35" s="7" t="s">
        <v>51</v>
      </c>
      <c r="E35" s="34" t="s">
        <v>58</v>
      </c>
      <c r="F35" s="34" t="s">
        <v>59</v>
      </c>
      <c r="G35" s="15">
        <v>930.30100051679608</v>
      </c>
      <c r="H35" s="15">
        <v>931.60163824289407</v>
      </c>
      <c r="I35" s="16">
        <f>+C35*G35</f>
        <v>9000662.1800000016</v>
      </c>
      <c r="J35" s="16">
        <f>+C35*H35</f>
        <v>9013245.8499999996</v>
      </c>
      <c r="K35" s="18">
        <v>0.1701</v>
      </c>
      <c r="L35" s="17">
        <v>4194.5566666666664</v>
      </c>
      <c r="M35" s="17">
        <v>9009051.2933333293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3286197294.4938092</v>
      </c>
      <c r="N37" s="38"/>
      <c r="O37" s="29"/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32806538782.448586</v>
      </c>
      <c r="C44" s="32"/>
      <c r="D44" s="29"/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136354.90999999997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34528.910000000003</v>
      </c>
    </row>
    <row r="54" spans="1:2" x14ac:dyDescent="0.25">
      <c r="A54" s="48" t="s">
        <v>41</v>
      </c>
      <c r="B54" s="50">
        <v>17216.55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188100.36999999997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2025-11-10T06:12:03Z</dcterms:created>
  <dcterms:modified xsi:type="dcterms:W3CDTF">2025-11-10T06:12:41Z</dcterms:modified>
</cp:coreProperties>
</file>