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44047FA5-3E1B-47F1-B251-E7842619DA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ДУ!$47:$47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7" i="1" l="1"/>
  <c r="D51" i="1"/>
  <c r="O43" i="1"/>
  <c r="B65" i="1" l="1"/>
  <c r="G49" i="1"/>
  <c r="A47" i="1"/>
  <c r="M43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19" i="1" s="1"/>
  <c r="K24" i="1"/>
  <c r="M22" i="1"/>
  <c r="M21" i="1"/>
  <c r="M20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B51" i="1" l="1"/>
  <c r="O24" i="1" l="1"/>
</calcChain>
</file>

<file path=xl/sharedStrings.xml><?xml version="1.0" encoding="utf-8"?>
<sst xmlns="http://schemas.openxmlformats.org/spreadsheetml/2006/main" count="182" uniqueCount="124">
  <si>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</si>
  <si>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</si>
  <si>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</si>
  <si>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</si>
  <si>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</si>
  <si>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</si>
  <si>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</si>
  <si>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</si>
  <si>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</si>
  <si>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</si>
  <si>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</si>
  <si>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</si>
  <si>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</si>
  <si>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</si>
  <si>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</si>
  <si>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</si>
  <si>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</si>
  <si>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</si>
  <si>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</si>
  <si>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</si>
  <si>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</si>
  <si>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</si>
  <si>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</si>
  <si>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</si>
  <si>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</si>
  <si>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</si>
  <si>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</si>
  <si>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</si>
  <si>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</si>
  <si>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</si>
  <si>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</si>
  <si>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</si>
  <si>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</si>
  <si>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</si>
  <si>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</si>
  <si>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</si>
  <si>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</si>
  <si>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</si>
  <si>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</si>
  <si>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</si>
  <si>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</si>
  <si>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</si>
  <si>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</si>
  <si>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</si>
  <si>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</si>
  <si>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</si>
  <si>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</si>
  <si>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</si>
  <si>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</si>
  <si>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АО "КФГД", KZT, KZ708562202139181333, АО "БАНК ЦЕНТРКРЕДИТ"</t>
  </si>
  <si>
    <t>KZT</t>
  </si>
  <si>
    <t>МИНИСТЕРСТВО ФИНАНСОВ РК, ГЦБ, MUM096_0011</t>
  </si>
  <si>
    <t>KZKD00001095</t>
  </si>
  <si>
    <t>14.11.2025</t>
  </si>
  <si>
    <t>21.11.2025</t>
  </si>
  <si>
    <t>МИНИСТЕРСТВО ФИНАНСОВ РК, ГЦБ, MUM096_0013</t>
  </si>
  <si>
    <t>KZKD00001202</t>
  </si>
  <si>
    <t>18.11.2025</t>
  </si>
  <si>
    <t>19.11.2025</t>
  </si>
  <si>
    <t>МИНИСТЕРСТВО ФИНАНСОВ РК, ГЦБ, MUM240_0001</t>
  </si>
  <si>
    <t>KZKD00000550</t>
  </si>
  <si>
    <t>20.11.2025</t>
  </si>
  <si>
    <t>МИНИСТЕРСТВО ФИНАНСОВ РК, ГЦБ, MUM180_0012</t>
  </si>
  <si>
    <t>KZKD00000840</t>
  </si>
  <si>
    <t>МИНИСТЕРСТВО ФИНАНСОВ РК, ГЦБ, MUM180_0004</t>
  </si>
  <si>
    <t>KZKD00000444</t>
  </si>
  <si>
    <t>МИНИСТЕРСТВО ФИНАНСОВ РК, ГЦБ, MUM240_0004</t>
  </si>
  <si>
    <t>KZKD00000832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</si>
  <si>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</si>
  <si>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</si>
  <si>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</si>
  <si>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</si>
  <si>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</si>
  <si>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</si>
  <si>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</si>
  <si>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</si>
  <si>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</si>
  <si>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</si>
  <si>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</si>
  <si>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</si>
  <si>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</si>
  <si>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</si>
  <si>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</si>
  <si>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</si>
  <si>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</si>
  <si>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</si>
  <si>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</si>
  <si>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</si>
  <si>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</si>
  <si>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</si>
  <si>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</si>
  <si>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</si>
  <si>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</si>
  <si>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</si>
  <si>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</si>
  <si>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29.01.2035</t>
  </si>
  <si>
    <t>МИНИСТЕРСТВО ФИНАНСОВ РК, ГЦБ, MUM180_0006</t>
  </si>
  <si>
    <t>KZKD00000535</t>
  </si>
  <si>
    <t>27.03.2027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</si>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</sst>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topLeftCell="A19" zoomScale="90" zoomScaleNormal="90" workbookViewId="0">
      <selection activeCell="M31" sqref="M3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58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68</v>
      </c>
      <c r="B4" s="13" t="s">
        <v>69</v>
      </c>
      <c r="C4" s="10">
        <v>3020000</v>
      </c>
      <c r="D4" s="11">
        <v>3020000000</v>
      </c>
      <c r="E4" s="3">
        <v>0.1067</v>
      </c>
      <c r="F4" s="4" t="s">
        <v>70</v>
      </c>
      <c r="G4" s="4" t="s">
        <v>71</v>
      </c>
      <c r="H4" s="11">
        <v>2930617060.0000029</v>
      </c>
      <c r="I4" s="11">
        <v>98.998100000000008</v>
      </c>
      <c r="J4" s="11">
        <v>102.495488888889</v>
      </c>
      <c r="K4" s="11">
        <v>105621144.444444</v>
      </c>
      <c r="L4" s="11">
        <v>3095363764.4444442</v>
      </c>
      <c r="M4" s="6">
        <f t="shared" ref="M4:M22" si="0">L4/$L$24</f>
        <v>0.1041913182257227</v>
      </c>
    </row>
    <row r="5" spans="1:13" x14ac:dyDescent="0.25">
      <c r="A5" s="1" t="s">
        <v>72</v>
      </c>
      <c r="B5" s="13" t="s">
        <v>73</v>
      </c>
      <c r="C5" s="10">
        <v>2265000</v>
      </c>
      <c r="D5" s="11">
        <v>2265000000</v>
      </c>
      <c r="E5" s="3">
        <v>0.10550000000000001</v>
      </c>
      <c r="F5" s="4" t="s">
        <v>70</v>
      </c>
      <c r="G5" s="4" t="s">
        <v>74</v>
      </c>
      <c r="H5" s="11">
        <v>2039188560.0000031</v>
      </c>
      <c r="I5" s="11">
        <v>82.608800000000002</v>
      </c>
      <c r="J5" s="11">
        <v>85.861716666666652</v>
      </c>
      <c r="K5" s="11">
        <v>73678562.499999985</v>
      </c>
      <c r="L5" s="11">
        <v>1944767882.499999</v>
      </c>
      <c r="M5" s="6">
        <f t="shared" si="0"/>
        <v>6.5461750133619573E-2</v>
      </c>
    </row>
    <row r="6" spans="1:13" x14ac:dyDescent="0.25">
      <c r="A6" s="1" t="s">
        <v>72</v>
      </c>
      <c r="B6" s="13" t="s">
        <v>73</v>
      </c>
      <c r="C6" s="10">
        <v>1551646</v>
      </c>
      <c r="D6" s="11">
        <v>1551646000</v>
      </c>
      <c r="E6" s="3">
        <v>0.10550000000000001</v>
      </c>
      <c r="F6" s="4" t="s">
        <v>75</v>
      </c>
      <c r="G6" s="4" t="s">
        <v>74</v>
      </c>
      <c r="H6" s="11">
        <v>1395452658.7</v>
      </c>
      <c r="I6" s="11">
        <v>82.608800000000002</v>
      </c>
      <c r="J6" s="11">
        <v>85.861716666666922</v>
      </c>
      <c r="K6" s="11">
        <v>50473751.341666661</v>
      </c>
      <c r="L6" s="11">
        <v>1332269892.1896701</v>
      </c>
      <c r="M6" s="6">
        <f t="shared" si="0"/>
        <v>4.4844795915156992E-2</v>
      </c>
    </row>
    <row r="7" spans="1:13" x14ac:dyDescent="0.25">
      <c r="A7" s="1" t="s">
        <v>72</v>
      </c>
      <c r="B7" s="13" t="s">
        <v>73</v>
      </c>
      <c r="C7" s="10">
        <v>545692</v>
      </c>
      <c r="D7" s="11">
        <v>545692000</v>
      </c>
      <c r="E7" s="3">
        <v>0.10550000000000001</v>
      </c>
      <c r="F7" s="4" t="s">
        <v>76</v>
      </c>
      <c r="G7" s="4" t="s">
        <v>74</v>
      </c>
      <c r="H7" s="11">
        <v>449784993.92000002</v>
      </c>
      <c r="I7" s="11">
        <v>82.608800000000002</v>
      </c>
      <c r="J7" s="11">
        <v>85.861716666666652</v>
      </c>
      <c r="K7" s="11">
        <v>17750906.016666658</v>
      </c>
      <c r="L7" s="11">
        <v>468540518.91266698</v>
      </c>
      <c r="M7" s="6">
        <f t="shared" si="0"/>
        <v>1.5771281833958133E-2</v>
      </c>
    </row>
    <row r="8" spans="1:13" x14ac:dyDescent="0.25">
      <c r="A8" s="1" t="s">
        <v>77</v>
      </c>
      <c r="B8" s="13" t="s">
        <v>78</v>
      </c>
      <c r="C8" s="10">
        <v>2265000</v>
      </c>
      <c r="D8" s="11">
        <v>2265000000</v>
      </c>
      <c r="E8" s="3">
        <v>0.10400000000000001</v>
      </c>
      <c r="F8" s="4" t="s">
        <v>70</v>
      </c>
      <c r="G8" s="4" t="s">
        <v>79</v>
      </c>
      <c r="H8" s="11">
        <v>2073109200</v>
      </c>
      <c r="I8" s="11">
        <v>86.94980000000001</v>
      </c>
      <c r="J8" s="11">
        <v>93.218688888888877</v>
      </c>
      <c r="K8" s="11">
        <v>141990333.33333299</v>
      </c>
      <c r="L8" s="11">
        <v>2111403303.333333</v>
      </c>
      <c r="M8" s="6">
        <f t="shared" si="0"/>
        <v>7.1070772362009996E-2</v>
      </c>
    </row>
    <row r="9" spans="1:13" x14ac:dyDescent="0.25">
      <c r="A9" s="1" t="s">
        <v>80</v>
      </c>
      <c r="B9" s="13" t="s">
        <v>81</v>
      </c>
      <c r="C9" s="10">
        <v>2265000</v>
      </c>
      <c r="D9" s="11">
        <v>2265000000</v>
      </c>
      <c r="E9" s="3">
        <v>0.11</v>
      </c>
      <c r="F9" s="4" t="s">
        <v>70</v>
      </c>
      <c r="G9" s="4" t="s">
        <v>82</v>
      </c>
      <c r="H9" s="11">
        <v>2080889475</v>
      </c>
      <c r="I9" s="11">
        <v>84.709000000000003</v>
      </c>
      <c r="J9" s="11">
        <v>91.706222222222209</v>
      </c>
      <c r="K9" s="11">
        <v>158487083.33333299</v>
      </c>
      <c r="L9" s="11">
        <v>2077145933.333333</v>
      </c>
      <c r="M9" s="6">
        <f t="shared" si="0"/>
        <v>6.9917654082263331E-2</v>
      </c>
    </row>
    <row r="10" spans="1:13" x14ac:dyDescent="0.25">
      <c r="A10" s="1" t="s">
        <v>83</v>
      </c>
      <c r="B10" s="13" t="s">
        <v>84</v>
      </c>
      <c r="C10" s="10">
        <v>2265000</v>
      </c>
      <c r="D10" s="11">
        <v>2265000000</v>
      </c>
      <c r="E10" s="3">
        <v>0.10300000000000001</v>
      </c>
      <c r="F10" s="4" t="s">
        <v>70</v>
      </c>
      <c r="G10" s="4" t="s">
        <v>85</v>
      </c>
      <c r="H10" s="11">
        <v>1963990560.0000031</v>
      </c>
      <c r="I10" s="11">
        <v>77.283900000000003</v>
      </c>
      <c r="J10" s="11">
        <v>84.207788888888871</v>
      </c>
      <c r="K10" s="11">
        <v>156826083.33333299</v>
      </c>
      <c r="L10" s="11">
        <v>1907306418.333333</v>
      </c>
      <c r="M10" s="6">
        <f t="shared" si="0"/>
        <v>6.4200780622047107E-2</v>
      </c>
    </row>
    <row r="11" spans="1:13" x14ac:dyDescent="0.25">
      <c r="A11" s="1" t="s">
        <v>86</v>
      </c>
      <c r="B11" s="13" t="s">
        <v>87</v>
      </c>
      <c r="C11" s="10">
        <v>2265000</v>
      </c>
      <c r="D11" s="11">
        <v>2265000000</v>
      </c>
      <c r="E11" s="3">
        <v>8.4500000000000006E-2</v>
      </c>
      <c r="F11" s="4" t="s">
        <v>70</v>
      </c>
      <c r="G11" s="4" t="s">
        <v>88</v>
      </c>
      <c r="H11" s="11">
        <v>1740247065.0000031</v>
      </c>
      <c r="I11" s="11">
        <v>67.918900000000008</v>
      </c>
      <c r="J11" s="11">
        <v>72.918483333333327</v>
      </c>
      <c r="K11" s="11">
        <v>113240562.5</v>
      </c>
      <c r="L11" s="11">
        <v>1651603647.499999</v>
      </c>
      <c r="M11" s="6">
        <f t="shared" si="0"/>
        <v>5.5593711859039656E-2</v>
      </c>
    </row>
    <row r="12" spans="1:13" x14ac:dyDescent="0.25">
      <c r="A12" s="1" t="s">
        <v>89</v>
      </c>
      <c r="B12" s="13" t="s">
        <v>90</v>
      </c>
      <c r="C12" s="10">
        <v>2265000</v>
      </c>
      <c r="D12" s="11">
        <v>2265000000</v>
      </c>
      <c r="E12" s="3">
        <v>0.10650000000000001</v>
      </c>
      <c r="F12" s="4" t="s">
        <v>70</v>
      </c>
      <c r="G12" s="4" t="s">
        <v>91</v>
      </c>
      <c r="H12" s="11">
        <v>1967775375</v>
      </c>
      <c r="I12" s="11">
        <v>75.549400000000006</v>
      </c>
      <c r="J12" s="11">
        <v>78.892316666666659</v>
      </c>
      <c r="K12" s="11">
        <v>75717062.5</v>
      </c>
      <c r="L12" s="11">
        <v>1786910972.5</v>
      </c>
      <c r="M12" s="6">
        <f t="shared" si="0"/>
        <v>6.0148216476327072E-2</v>
      </c>
    </row>
    <row r="13" spans="1:13" x14ac:dyDescent="0.25">
      <c r="A13" s="1" t="s">
        <v>92</v>
      </c>
      <c r="B13" s="13" t="s">
        <v>93</v>
      </c>
      <c r="C13" s="10">
        <v>2265000</v>
      </c>
      <c r="D13" s="11">
        <v>2265000000</v>
      </c>
      <c r="E13" s="3">
        <v>8.0700000000000008E-2</v>
      </c>
      <c r="F13" s="4" t="s">
        <v>70</v>
      </c>
      <c r="G13" s="4" t="s">
        <v>94</v>
      </c>
      <c r="H13" s="11">
        <v>1622351550</v>
      </c>
      <c r="I13" s="11">
        <v>61.456400000000002</v>
      </c>
      <c r="J13" s="11">
        <v>65.648316666666659</v>
      </c>
      <c r="K13" s="11">
        <v>94946912.5</v>
      </c>
      <c r="L13" s="11">
        <v>1486934372.5</v>
      </c>
      <c r="M13" s="6">
        <f t="shared" si="0"/>
        <v>5.0050870972096824E-2</v>
      </c>
    </row>
    <row r="14" spans="1:13" x14ac:dyDescent="0.25">
      <c r="A14" s="1" t="s">
        <v>66</v>
      </c>
      <c r="B14" s="13" t="s">
        <v>67</v>
      </c>
      <c r="C14" s="10">
        <v>2265000</v>
      </c>
      <c r="D14" s="11">
        <v>2265000000</v>
      </c>
      <c r="E14" s="3">
        <v>8.0700000000000008E-2</v>
      </c>
      <c r="F14" s="4" t="s">
        <v>70</v>
      </c>
      <c r="G14" s="4" t="s">
        <v>95</v>
      </c>
      <c r="H14" s="11">
        <v>1597764975</v>
      </c>
      <c r="I14" s="11">
        <v>60.0747</v>
      </c>
      <c r="J14" s="11">
        <v>66.575533333333325</v>
      </c>
      <c r="K14" s="11">
        <v>147243875</v>
      </c>
      <c r="L14" s="11">
        <v>1507935830</v>
      </c>
      <c r="M14" s="6">
        <f t="shared" si="0"/>
        <v>5.0757789353296917E-2</v>
      </c>
    </row>
    <row r="15" spans="1:13" x14ac:dyDescent="0.25">
      <c r="A15" s="1" t="s">
        <v>96</v>
      </c>
      <c r="B15" s="13" t="s">
        <v>97</v>
      </c>
      <c r="C15" s="10">
        <v>3775000</v>
      </c>
      <c r="D15" s="11">
        <v>3775000000</v>
      </c>
      <c r="E15" s="3">
        <v>5.4900000000000004E-2</v>
      </c>
      <c r="F15" s="4" t="s">
        <v>70</v>
      </c>
      <c r="G15" s="4" t="s">
        <v>98</v>
      </c>
      <c r="H15" s="11">
        <v>3136670150</v>
      </c>
      <c r="I15" s="11">
        <v>86.493800000000007</v>
      </c>
      <c r="J15" s="11">
        <v>90.031800000000004</v>
      </c>
      <c r="K15" s="11">
        <v>133559500</v>
      </c>
      <c r="L15" s="11">
        <v>3398700450</v>
      </c>
      <c r="M15" s="6">
        <f t="shared" si="0"/>
        <v>0.11440176570116743</v>
      </c>
    </row>
    <row r="16" spans="1:13" x14ac:dyDescent="0.25">
      <c r="A16" s="1" t="s">
        <v>59</v>
      </c>
      <c r="B16" s="13" t="s">
        <v>60</v>
      </c>
      <c r="C16" s="10">
        <v>2803860</v>
      </c>
      <c r="D16" s="11">
        <v>2803860000</v>
      </c>
      <c r="E16" s="3">
        <v>5.5E-2</v>
      </c>
      <c r="F16" s="4" t="s">
        <v>99</v>
      </c>
      <c r="G16" s="4" t="s">
        <v>100</v>
      </c>
      <c r="H16" s="11">
        <v>1773018067.1400001</v>
      </c>
      <c r="I16" s="11">
        <v>56.933500000000002</v>
      </c>
      <c r="J16" s="11">
        <v>60.065444444444438</v>
      </c>
      <c r="K16" s="11">
        <v>87815337.5</v>
      </c>
      <c r="L16" s="11">
        <v>1684150970.5999999</v>
      </c>
      <c r="M16" s="6">
        <f t="shared" si="0"/>
        <v>5.6689269201107416E-2</v>
      </c>
    </row>
    <row r="17" spans="1:15" x14ac:dyDescent="0.25">
      <c r="A17" s="1" t="s">
        <v>101</v>
      </c>
      <c r="B17" s="13" t="s">
        <v>102</v>
      </c>
      <c r="C17" s="10">
        <v>1038480</v>
      </c>
      <c r="D17" s="11">
        <v>1038480000</v>
      </c>
      <c r="E17" s="3">
        <v>0.12</v>
      </c>
      <c r="F17" s="4" t="s">
        <v>99</v>
      </c>
      <c r="G17" s="4" t="s">
        <v>103</v>
      </c>
      <c r="H17" s="11">
        <v>979029096.96000004</v>
      </c>
      <c r="I17" s="11">
        <v>84.929700000000011</v>
      </c>
      <c r="J17" s="11">
        <v>93.329700000000003</v>
      </c>
      <c r="K17" s="11">
        <v>87232320</v>
      </c>
      <c r="L17" s="11">
        <v>969210268.55999994</v>
      </c>
      <c r="M17" s="6">
        <f t="shared" si="0"/>
        <v>3.2624047835391516E-2</v>
      </c>
    </row>
    <row r="18" spans="1:15" x14ac:dyDescent="0.25">
      <c r="A18" s="1" t="s">
        <v>104</v>
      </c>
      <c r="B18" s="13" t="s">
        <v>105</v>
      </c>
      <c r="C18" s="10">
        <v>506989</v>
      </c>
      <c r="D18" s="11">
        <v>506989000</v>
      </c>
      <c r="E18" s="3">
        <v>0.1535</v>
      </c>
      <c r="F18" s="4" t="s">
        <v>106</v>
      </c>
      <c r="G18" s="4" t="s">
        <v>107</v>
      </c>
      <c r="H18" s="11">
        <v>492216861.50999999</v>
      </c>
      <c r="I18" s="11">
        <v>97.6999</v>
      </c>
      <c r="J18" s="11">
        <v>97.742538888888873</v>
      </c>
      <c r="K18" s="11">
        <v>216174.47638888881</v>
      </c>
      <c r="L18" s="11">
        <v>495543920.48738903</v>
      </c>
      <c r="M18" s="6">
        <f t="shared" si="0"/>
        <v>1.6680228316748605E-2</v>
      </c>
    </row>
    <row r="19" spans="1:15" x14ac:dyDescent="0.25">
      <c r="A19" s="1" t="s">
        <v>108</v>
      </c>
      <c r="B19" s="13" t="s">
        <v>109</v>
      </c>
      <c r="C19" s="10">
        <v>2100000</v>
      </c>
      <c r="D19" s="11">
        <v>2100000000</v>
      </c>
      <c r="E19" s="3">
        <v>0.14300000000000002</v>
      </c>
      <c r="F19" s="4" t="s">
        <v>110</v>
      </c>
      <c r="G19" s="4" t="s">
        <v>111</v>
      </c>
      <c r="H19" s="11">
        <v>2100000000</v>
      </c>
      <c r="I19" s="11">
        <v>94.450143693891008</v>
      </c>
      <c r="J19" s="11">
        <v>97.469032582779874</v>
      </c>
      <c r="K19" s="11">
        <v>63396666.666666657</v>
      </c>
      <c r="L19" s="11">
        <v>2046849684.2383771</v>
      </c>
      <c r="M19" s="6">
        <f t="shared" si="0"/>
        <v>6.8897868890371722E-2</v>
      </c>
    </row>
    <row r="20" spans="1:15" x14ac:dyDescent="0.25">
      <c r="A20" s="1" t="s">
        <v>112</v>
      </c>
      <c r="B20" s="13" t="s">
        <v>113</v>
      </c>
      <c r="C20" s="10">
        <v>1000000</v>
      </c>
      <c r="D20" s="11">
        <v>1000000000</v>
      </c>
      <c r="E20" s="3">
        <v>0.1389</v>
      </c>
      <c r="F20" s="4" t="s">
        <v>114</v>
      </c>
      <c r="G20" s="4" t="s">
        <v>115</v>
      </c>
      <c r="H20" s="11">
        <v>1000000000</v>
      </c>
      <c r="I20" s="11">
        <v>98.430590108279702</v>
      </c>
      <c r="J20" s="11">
        <v>105.02834010828001</v>
      </c>
      <c r="K20" s="11">
        <v>65977499.999999993</v>
      </c>
      <c r="L20" s="11">
        <v>1050283401.082796</v>
      </c>
      <c r="M20" s="6">
        <f t="shared" si="0"/>
        <v>3.5353005461396074E-2</v>
      </c>
    </row>
    <row r="21" spans="1:15" x14ac:dyDescent="0.25">
      <c r="A21" s="1" t="s">
        <v>116</v>
      </c>
      <c r="B21" s="13" t="s">
        <v>117</v>
      </c>
      <c r="C21" s="10">
        <v>165739</v>
      </c>
      <c r="D21" s="11">
        <v>165739000</v>
      </c>
      <c r="E21" s="3">
        <v>0.125</v>
      </c>
      <c r="F21" s="4" t="s">
        <v>118</v>
      </c>
      <c r="G21" s="4" t="s">
        <v>119</v>
      </c>
      <c r="H21" s="11">
        <v>159596381.18279999</v>
      </c>
      <c r="I21" s="11">
        <v>96.699867816621193</v>
      </c>
      <c r="J21" s="11">
        <v>102.151256705497</v>
      </c>
      <c r="K21" s="11">
        <v>9035077.4305333309</v>
      </c>
      <c r="L21" s="11">
        <v>169304471.35112301</v>
      </c>
      <c r="M21" s="6">
        <f t="shared" si="0"/>
        <v>5.6988636535094429E-3</v>
      </c>
    </row>
    <row r="22" spans="1:15" x14ac:dyDescent="0.25">
      <c r="A22" s="1" t="s">
        <v>120</v>
      </c>
      <c r="B22" s="13" t="s">
        <v>121</v>
      </c>
      <c r="C22" s="10">
        <v>494987</v>
      </c>
      <c r="D22" s="11">
        <v>494987000</v>
      </c>
      <c r="E22" s="3">
        <v>0.1701</v>
      </c>
      <c r="F22" s="4" t="s">
        <v>122</v>
      </c>
      <c r="G22" s="4" t="s">
        <v>123</v>
      </c>
      <c r="H22" s="11">
        <v>495088472.34249997</v>
      </c>
      <c r="I22" s="11">
        <v>101.0895</v>
      </c>
      <c r="J22" s="11">
        <v>105.90900000000001</v>
      </c>
      <c r="K22" s="11">
        <v>23855898.465</v>
      </c>
      <c r="L22" s="11">
        <v>524235781.82999998</v>
      </c>
      <c r="M22" s="6">
        <f t="shared" si="0"/>
        <v>1.7646009104769437E-2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1607064751.3413653</v>
      </c>
      <c r="L24" s="22">
        <f>SUM(L4:L23)</f>
        <v>29708461483.696465</v>
      </c>
      <c r="M24" s="23"/>
      <c r="N24" s="26">
        <v>29708461483.696487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576895.80000000005</v>
      </c>
      <c r="C27" s="58">
        <v>576895.80000000005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51</v>
      </c>
      <c r="B32" s="7" t="s">
        <v>52</v>
      </c>
      <c r="C32" s="14">
        <v>1862400</v>
      </c>
      <c r="D32" s="7" t="s">
        <v>50</v>
      </c>
      <c r="E32" s="34" t="s">
        <v>53</v>
      </c>
      <c r="F32" s="34" t="s">
        <v>54</v>
      </c>
      <c r="G32" s="15">
        <v>859.80499999999995</v>
      </c>
      <c r="H32" s="15">
        <v>862.63293397766301</v>
      </c>
      <c r="I32" s="16">
        <f t="shared" ref="I32:I41" si="1">+C32*G32</f>
        <v>1601300832</v>
      </c>
      <c r="J32" s="16">
        <f t="shared" ref="J32:J41" si="2">+C32*H32</f>
        <v>1606567576.2399995</v>
      </c>
      <c r="K32" s="18">
        <v>0.17150000000000001</v>
      </c>
      <c r="L32" s="17">
        <v>752392.03428571427</v>
      </c>
      <c r="M32" s="17">
        <v>1605062792.171428</v>
      </c>
      <c r="N32" s="35"/>
    </row>
    <row r="33" spans="1:15" s="36" customFormat="1" ht="12" customHeight="1" x14ac:dyDescent="0.25">
      <c r="A33" s="12" t="s">
        <v>51</v>
      </c>
      <c r="B33" s="7" t="s">
        <v>52</v>
      </c>
      <c r="C33" s="14">
        <v>10476</v>
      </c>
      <c r="D33" s="7" t="s">
        <v>50</v>
      </c>
      <c r="E33" s="34" t="s">
        <v>53</v>
      </c>
      <c r="F33" s="34" t="s">
        <v>54</v>
      </c>
      <c r="G33" s="15">
        <v>859.80499999999995</v>
      </c>
      <c r="H33" s="15">
        <v>862.63293432607907</v>
      </c>
      <c r="I33" s="16">
        <f t="shared" si="1"/>
        <v>9007317.1799999997</v>
      </c>
      <c r="J33" s="16">
        <f t="shared" si="2"/>
        <v>9036942.6200000048</v>
      </c>
      <c r="K33" s="18">
        <v>0.17150000000000001</v>
      </c>
      <c r="L33" s="17">
        <v>4232.2057142857138</v>
      </c>
      <c r="M33" s="17">
        <v>9028478.2085714303</v>
      </c>
      <c r="N33" s="35"/>
    </row>
    <row r="34" spans="1:15" s="36" customFormat="1" ht="12" customHeight="1" x14ac:dyDescent="0.25">
      <c r="A34" s="12" t="s">
        <v>55</v>
      </c>
      <c r="B34" s="7" t="s">
        <v>56</v>
      </c>
      <c r="C34" s="14">
        <v>10940</v>
      </c>
      <c r="D34" s="7" t="s">
        <v>50</v>
      </c>
      <c r="E34" s="34" t="s">
        <v>57</v>
      </c>
      <c r="F34" s="34" t="s">
        <v>58</v>
      </c>
      <c r="G34" s="15">
        <v>914.68</v>
      </c>
      <c r="H34" s="15">
        <v>915.10626325411306</v>
      </c>
      <c r="I34" s="16">
        <f t="shared" si="1"/>
        <v>10006599.199999999</v>
      </c>
      <c r="J34" s="16">
        <f t="shared" si="2"/>
        <v>10011262.519999998</v>
      </c>
      <c r="K34" s="18">
        <v>0.170099</v>
      </c>
      <c r="L34" s="17">
        <v>4663.32</v>
      </c>
      <c r="M34" s="17"/>
      <c r="N34" s="35"/>
    </row>
    <row r="35" spans="1:15" s="36" customFormat="1" ht="12" customHeight="1" x14ac:dyDescent="0.25">
      <c r="A35" s="12" t="s">
        <v>55</v>
      </c>
      <c r="B35" s="7" t="s">
        <v>56</v>
      </c>
      <c r="C35" s="14">
        <v>10940</v>
      </c>
      <c r="D35" s="7" t="s">
        <v>50</v>
      </c>
      <c r="E35" s="34" t="s">
        <v>58</v>
      </c>
      <c r="F35" s="34" t="s">
        <v>58</v>
      </c>
      <c r="G35" s="15">
        <v>914.68</v>
      </c>
      <c r="H35" s="15">
        <v>915.10626325411306</v>
      </c>
      <c r="I35" s="16">
        <f t="shared" si="1"/>
        <v>10006599.199999999</v>
      </c>
      <c r="J35" s="16">
        <f t="shared" si="2"/>
        <v>10011262.519999998</v>
      </c>
      <c r="K35" s="18">
        <v>0.170099</v>
      </c>
      <c r="L35" s="17"/>
      <c r="M35" s="17"/>
      <c r="N35" s="35"/>
    </row>
    <row r="36" spans="1:15" s="36" customFormat="1" ht="12" customHeight="1" x14ac:dyDescent="0.25">
      <c r="A36" s="12" t="s">
        <v>59</v>
      </c>
      <c r="B36" s="7" t="s">
        <v>60</v>
      </c>
      <c r="C36" s="14">
        <v>16650</v>
      </c>
      <c r="D36" s="7" t="s">
        <v>50</v>
      </c>
      <c r="E36" s="34" t="s">
        <v>58</v>
      </c>
      <c r="F36" s="34" t="s">
        <v>61</v>
      </c>
      <c r="G36" s="15">
        <v>600.654</v>
      </c>
      <c r="H36" s="15">
        <v>600.93540240240202</v>
      </c>
      <c r="I36" s="16">
        <f t="shared" si="1"/>
        <v>10000889.1</v>
      </c>
      <c r="J36" s="16">
        <f t="shared" si="2"/>
        <v>10005574.449999994</v>
      </c>
      <c r="K36" s="18">
        <v>0.17100000000000001</v>
      </c>
      <c r="L36" s="17"/>
      <c r="M36" s="17">
        <v>10000889.1</v>
      </c>
      <c r="N36" s="35"/>
    </row>
    <row r="37" spans="1:15" s="36" customFormat="1" ht="12" customHeight="1" x14ac:dyDescent="0.25">
      <c r="A37" s="12" t="s">
        <v>62</v>
      </c>
      <c r="B37" s="7" t="s">
        <v>63</v>
      </c>
      <c r="C37" s="14">
        <v>2176254</v>
      </c>
      <c r="D37" s="7" t="s">
        <v>50</v>
      </c>
      <c r="E37" s="34" t="s">
        <v>58</v>
      </c>
      <c r="F37" s="34" t="s">
        <v>61</v>
      </c>
      <c r="G37" s="15">
        <v>790.10799999908102</v>
      </c>
      <c r="H37" s="15">
        <v>790.47599983733505</v>
      </c>
      <c r="I37" s="16">
        <f t="shared" si="1"/>
        <v>1719475695.4300001</v>
      </c>
      <c r="J37" s="16">
        <f t="shared" si="2"/>
        <v>1720276556.5499997</v>
      </c>
      <c r="K37" s="18">
        <v>0.17000199999999999</v>
      </c>
      <c r="L37" s="17"/>
      <c r="M37" s="17">
        <v>1719475695.4300001</v>
      </c>
      <c r="N37" s="35"/>
    </row>
    <row r="38" spans="1:15" s="36" customFormat="1" ht="12" customHeight="1" x14ac:dyDescent="0.25">
      <c r="A38" s="12" t="s">
        <v>64</v>
      </c>
      <c r="B38" s="7" t="s">
        <v>65</v>
      </c>
      <c r="C38" s="14">
        <v>1795920</v>
      </c>
      <c r="D38" s="7" t="s">
        <v>50</v>
      </c>
      <c r="E38" s="34" t="s">
        <v>57</v>
      </c>
      <c r="F38" s="34" t="s">
        <v>58</v>
      </c>
      <c r="G38" s="15">
        <v>935.81500000000005</v>
      </c>
      <c r="H38" s="15">
        <v>936.25088467749106</v>
      </c>
      <c r="I38" s="16">
        <f t="shared" si="1"/>
        <v>1680648874.8000002</v>
      </c>
      <c r="J38" s="16">
        <f t="shared" si="2"/>
        <v>1681431688.8099997</v>
      </c>
      <c r="K38" s="18">
        <v>0.17000999999999999</v>
      </c>
      <c r="L38" s="17">
        <v>782814.01</v>
      </c>
      <c r="M38" s="17"/>
      <c r="N38" s="35"/>
    </row>
    <row r="39" spans="1:15" s="36" customFormat="1" ht="12" customHeight="1" x14ac:dyDescent="0.25">
      <c r="A39" s="12" t="s">
        <v>64</v>
      </c>
      <c r="B39" s="7" t="s">
        <v>65</v>
      </c>
      <c r="C39" s="14">
        <v>1795920</v>
      </c>
      <c r="D39" s="7" t="s">
        <v>50</v>
      </c>
      <c r="E39" s="34" t="s">
        <v>58</v>
      </c>
      <c r="F39" s="34" t="s">
        <v>58</v>
      </c>
      <c r="G39" s="15">
        <v>935.81500000000005</v>
      </c>
      <c r="H39" s="15">
        <v>936.25088467749106</v>
      </c>
      <c r="I39" s="16">
        <f t="shared" si="1"/>
        <v>1680648874.8000002</v>
      </c>
      <c r="J39" s="16">
        <f t="shared" si="2"/>
        <v>1681431688.8099997</v>
      </c>
      <c r="K39" s="18">
        <v>0.17000999999999999</v>
      </c>
      <c r="L39" s="17"/>
      <c r="M39" s="17"/>
      <c r="N39" s="35"/>
    </row>
    <row r="40" spans="1:15" s="36" customFormat="1" ht="12" customHeight="1" x14ac:dyDescent="0.25">
      <c r="A40" s="12" t="s">
        <v>66</v>
      </c>
      <c r="B40" s="7" t="s">
        <v>67</v>
      </c>
      <c r="C40" s="14">
        <v>58695</v>
      </c>
      <c r="D40" s="7" t="s">
        <v>50</v>
      </c>
      <c r="E40" s="34" t="s">
        <v>57</v>
      </c>
      <c r="F40" s="34" t="s">
        <v>58</v>
      </c>
      <c r="G40" s="15">
        <v>664.59400000000005</v>
      </c>
      <c r="H40" s="15">
        <v>664.90353692818803</v>
      </c>
      <c r="I40" s="16">
        <f t="shared" si="1"/>
        <v>39008344.830000006</v>
      </c>
      <c r="J40" s="16">
        <f t="shared" si="2"/>
        <v>39026513.099999994</v>
      </c>
      <c r="K40" s="18">
        <v>0.17</v>
      </c>
      <c r="L40" s="17">
        <v>18168.27</v>
      </c>
      <c r="M40" s="17"/>
      <c r="N40" s="35"/>
    </row>
    <row r="41" spans="1:15" s="36" customFormat="1" ht="12" customHeight="1" x14ac:dyDescent="0.25">
      <c r="A41" s="12" t="s">
        <v>66</v>
      </c>
      <c r="B41" s="7" t="s">
        <v>67</v>
      </c>
      <c r="C41" s="14">
        <v>58695</v>
      </c>
      <c r="D41" s="7" t="s">
        <v>50</v>
      </c>
      <c r="E41" s="34" t="s">
        <v>58</v>
      </c>
      <c r="F41" s="34" t="s">
        <v>58</v>
      </c>
      <c r="G41" s="15">
        <v>664.59400000000005</v>
      </c>
      <c r="H41" s="15">
        <v>664.90353692818803</v>
      </c>
      <c r="I41" s="16">
        <f t="shared" si="1"/>
        <v>39008344.830000006</v>
      </c>
      <c r="J41" s="16">
        <f t="shared" si="2"/>
        <v>39026513.099999994</v>
      </c>
      <c r="K41" s="18">
        <v>0.17</v>
      </c>
      <c r="L41" s="17"/>
      <c r="M41" s="17"/>
      <c r="N41" s="35"/>
    </row>
    <row r="42" spans="1:15" s="36" customFormat="1" ht="11.25" hidden="1" x14ac:dyDescent="0.25">
      <c r="A42" s="7"/>
      <c r="B42" s="7"/>
      <c r="C42" s="7"/>
      <c r="D42" s="7"/>
      <c r="E42" s="37"/>
      <c r="F42" s="37"/>
      <c r="G42" s="7"/>
      <c r="H42" s="7"/>
      <c r="I42" s="8"/>
      <c r="J42" s="8"/>
      <c r="K42" s="7"/>
      <c r="L42" s="9"/>
      <c r="M42" s="9"/>
      <c r="N42" s="35"/>
    </row>
    <row r="43" spans="1:15" x14ac:dyDescent="0.25">
      <c r="A43" s="1" t="s">
        <v>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2">
        <f>SUM(M32:M42)</f>
        <v>3343567854.9099994</v>
      </c>
      <c r="N43" s="38">
        <v>3343567854.9100003</v>
      </c>
      <c r="O43" s="29">
        <f>M43-N43</f>
        <v>0</v>
      </c>
    </row>
    <row r="45" spans="1:15" x14ac:dyDescent="0.25">
      <c r="A45" s="39" t="s">
        <v>28</v>
      </c>
      <c r="B45" s="33"/>
      <c r="D45" s="33"/>
      <c r="F45" s="28"/>
      <c r="G45" s="28"/>
    </row>
    <row r="46" spans="1:15" ht="22.5" x14ac:dyDescent="0.25">
      <c r="A46" s="19" t="s">
        <v>6</v>
      </c>
      <c r="B46" s="19" t="s">
        <v>29</v>
      </c>
      <c r="C46" s="19" t="s">
        <v>17</v>
      </c>
      <c r="D46" s="19" t="s">
        <v>30</v>
      </c>
      <c r="E46" s="19" t="s">
        <v>16</v>
      </c>
      <c r="F46" s="19" t="s">
        <v>31</v>
      </c>
      <c r="G46" s="19" t="s">
        <v>32</v>
      </c>
    </row>
    <row r="47" spans="1:15" ht="33.75" x14ac:dyDescent="0.25">
      <c r="A47" s="57">
        <f ca="1">IF(OFFSET(A47,-1,0)="№ п/п",1,OFFSET(A47,-1,0)+1)</f>
        <v>1</v>
      </c>
      <c r="B47" s="40" t="s">
        <v>49</v>
      </c>
      <c r="C47" s="52" t="s">
        <v>50</v>
      </c>
      <c r="D47" s="53"/>
      <c r="E47" s="54">
        <v>1</v>
      </c>
      <c r="F47" s="55">
        <v>992879.9</v>
      </c>
      <c r="G47" s="56">
        <v>992879.9</v>
      </c>
      <c r="H47" s="33"/>
    </row>
    <row r="48" spans="1:15" hidden="1" x14ac:dyDescent="0.25">
      <c r="B48" s="42"/>
      <c r="C48" s="43"/>
      <c r="D48" s="44"/>
      <c r="G48" s="45"/>
      <c r="H48" s="33"/>
    </row>
    <row r="49" spans="1:7" x14ac:dyDescent="0.25">
      <c r="G49" s="46">
        <f>SUM(G47:G48)</f>
        <v>992879.9</v>
      </c>
    </row>
    <row r="51" spans="1:7" x14ac:dyDescent="0.25">
      <c r="A51" s="47" t="s">
        <v>13</v>
      </c>
      <c r="B51" s="48">
        <f>+L24+B27+M43+G49</f>
        <v>33053599114.306465</v>
      </c>
      <c r="C51" s="32">
        <v>33053599114.306488</v>
      </c>
      <c r="D51" s="29">
        <f>B51-C51</f>
        <v>0</v>
      </c>
    </row>
    <row r="54" spans="1:7" x14ac:dyDescent="0.25">
      <c r="A54" s="24" t="s">
        <v>46</v>
      </c>
      <c r="B54" s="33"/>
    </row>
    <row r="55" spans="1:7" x14ac:dyDescent="0.25">
      <c r="A55" s="49" t="s">
        <v>35</v>
      </c>
      <c r="B55" s="50"/>
    </row>
    <row r="56" spans="1:7" x14ac:dyDescent="0.25">
      <c r="A56" s="49" t="s">
        <v>36</v>
      </c>
      <c r="B56" s="41"/>
    </row>
    <row r="57" spans="1:7" x14ac:dyDescent="0.25">
      <c r="A57" s="49" t="s">
        <v>37</v>
      </c>
      <c r="B57" s="41">
        <v>300040.56999999995</v>
      </c>
    </row>
    <row r="58" spans="1:7" x14ac:dyDescent="0.25">
      <c r="A58" s="49" t="s">
        <v>38</v>
      </c>
      <c r="B58" s="41"/>
    </row>
    <row r="59" spans="1:7" x14ac:dyDescent="0.25">
      <c r="A59" s="49" t="s">
        <v>39</v>
      </c>
      <c r="B59" s="50"/>
    </row>
    <row r="60" spans="1:7" x14ac:dyDescent="0.25">
      <c r="A60" s="49" t="s">
        <v>40</v>
      </c>
      <c r="B60" s="51">
        <v>81840.37</v>
      </c>
    </row>
    <row r="61" spans="1:7" x14ac:dyDescent="0.25">
      <c r="A61" s="49" t="s">
        <v>41</v>
      </c>
      <c r="B61" s="51">
        <v>40772.76</v>
      </c>
    </row>
    <row r="62" spans="1:7" x14ac:dyDescent="0.25">
      <c r="A62" s="49" t="s">
        <v>42</v>
      </c>
      <c r="B62" s="41"/>
    </row>
    <row r="63" spans="1:7" x14ac:dyDescent="0.25">
      <c r="A63" s="49" t="s">
        <v>43</v>
      </c>
      <c r="B63" s="41"/>
    </row>
    <row r="64" spans="1:7" x14ac:dyDescent="0.25">
      <c r="A64" s="49" t="s">
        <v>44</v>
      </c>
      <c r="B64" s="51"/>
    </row>
    <row r="65" spans="1:2" x14ac:dyDescent="0.25">
      <c r="A65" s="49" t="s">
        <v>45</v>
      </c>
      <c r="B65" s="50">
        <f>SUM(B55:B64)</f>
        <v>422653.69999999995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2025-11-20T06:00:41Z</dcterms:created>
  <dcterms:modified xsi:type="dcterms:W3CDTF">2025-11-20T12:45:39Z</dcterms:modified>
</cp:coreProperties>
</file>