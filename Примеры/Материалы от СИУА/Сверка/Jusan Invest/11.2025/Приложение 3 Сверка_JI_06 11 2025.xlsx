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11.2025\"/>
    </mc:Choice>
  </mc:AlternateContent>
  <xr:revisionPtr revIDLastSave="0" documentId="13_ncr:1_{C8C1B440-CF85-488F-8F5B-9E40503FE89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ДУ!#REF!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8" i="1" l="1"/>
  <c r="O41" i="1"/>
  <c r="O24" i="1"/>
  <c r="D27" i="1"/>
  <c r="B62" i="1"/>
  <c r="G46" i="1"/>
  <c r="M41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L24" i="1"/>
  <c r="M20" i="1" s="1"/>
  <c r="K24" i="1"/>
  <c r="M6" i="1" l="1"/>
  <c r="M18" i="1"/>
  <c r="M7" i="1"/>
  <c r="M9" i="1"/>
  <c r="M21" i="1"/>
  <c r="M10" i="1"/>
  <c r="M16" i="1"/>
  <c r="M22" i="1"/>
  <c r="M12" i="1"/>
  <c r="M15" i="1"/>
  <c r="M4" i="1"/>
  <c r="M5" i="1"/>
  <c r="M11" i="1"/>
  <c r="M17" i="1"/>
  <c r="M13" i="1"/>
  <c r="M19" i="1"/>
  <c r="B48" i="1"/>
  <c r="M8" i="1"/>
  <c r="M14" i="1"/>
</calcChain>
</file>

<file path=xl/sharedStrings.xml><?xml version="1.0" encoding="utf-8"?>
<sst xmlns="http://schemas.openxmlformats.org/spreadsheetml/2006/main" count="170" uniqueCount="122">
  <si>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</si>
  <si>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</si>
  <si>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</si>
  <si>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</si>
  <si>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</si>
  <si>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</si>
  <si>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</si>
  <si>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</si>
  <si>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</si>
  <si>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</si>
  <si>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</si>
  <si>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</si>
  <si>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</si>
  <si>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</si>
  <si>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</si>
  <si>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</si>
  <si>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</si>
  <si>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</si>
  <si>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</si>
  <si>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</si>
  <si>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</si>
  <si>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</si>
  <si>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</si>
  <si>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</si>
  <si>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</si>
  <si>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</si>
  <si>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</si>
  <si>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</si>
  <si>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</si>
  <si>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</si>
  <si>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</si>
  <si>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</si>
  <si>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</si>
  <si>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</si>
  <si>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</si>
  <si>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</si>
  <si>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</si>
  <si>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</si>
  <si>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</si>
  <si>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</si>
  <si>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</si>
  <si>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</si>
  <si>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</si>
  <si>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</si>
  <si>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</si>
  <si>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</si>
  <si>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</si>
  <si>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</si>
  <si>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</si>
  <si>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МИНИСТЕРСТВО ФИНАНСОВ РК, ГЦБ, MTM096_0001</t>
  </si>
  <si>
    <t>KZKT00000057</t>
  </si>
  <si>
    <t>KZT</t>
  </si>
  <si>
    <t>06.11.2025</t>
  </si>
  <si>
    <t>07.11.2025</t>
  </si>
  <si>
    <t>МИНИСТЕРСТВО ФИНАНСОВ РК, ОБЛИГАЦИИ, MFKZ.0435</t>
  </si>
  <si>
    <t>XS2914770545</t>
  </si>
  <si>
    <t>МИНИСТЕРСТВО ФИНАНСОВ РК, ГЦБ, MUM180_0013</t>
  </si>
  <si>
    <t>KZKD00000931</t>
  </si>
  <si>
    <t>05.11.2025</t>
  </si>
  <si>
    <t>12.11.2025</t>
  </si>
  <si>
    <t>МИНИСТЕРСТВО ФИНАНСОВ РК, ГЦБ, MUM120_0019</t>
  </si>
  <si>
    <t>KZKD00001129</t>
  </si>
  <si>
    <t>МИНИСТЕРСТВО ФИНАНСОВ РК, ГЦБ, MUM180_0009</t>
  </si>
  <si>
    <t>KZKD00000717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</si>
  <si>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</si>
  <si>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</si>
  <si>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</si>
  <si>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</si>
  <si>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</si>
  <si>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</si>
  <si>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</si>
  <si>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</si>
  <si>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</si>
  <si>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</si>
  <si>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</si>
  <si>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</si>
  <si>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</si>
  <si>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</si>
  <si>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</si>
  <si>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</si>
  <si>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</si>
  <si>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</si>
  <si>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</si>
  <si>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</si>
  <si>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</si>
  <si>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</si>
  <si>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</si>
  <si>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</si>
  <si>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</si>
  <si>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</si>
  <si>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</si>
  <si>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</si>
  <si>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</si>
  <si>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</si>
  <si>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</si>
  <si>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</si>
  <si>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</si>
  <si>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</si>
  <si>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</si>
  <si>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</si>
  <si>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</si>
  <si>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</si>
  <si>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МИНИСТЕРСТВО ФИНАНСОВ РК, ГЦБ, MOM060_0054</t>
  </si>
  <si>
    <t>KZK200000737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</si>
  <si>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</si>
  <si>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</si>
  <si>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</si>
  <si>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</si>
  <si>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</si>
  <si>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</si>
  <si>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</si>
  <si>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</si>
  <si>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</si>
  <si>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</si>
  <si>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АКЦИОНЕРНОЕ ОБЩЕСТВО КАЗАХСТАНСКИЙ ФОНД УСТОЙЧИВОСТИ, ОБЛИГАЦИИ, KFUSb83</t>
  </si>
  <si>
    <t>KZ2C00012094</t>
  </si>
  <si>
    <t>19.06.2025</t>
  </si>
  <si>
    <t>12.06.2026</t>
  </si>
  <si>
    <t>МИНИСТЕРСТВО ФИНАНСОВ РК, ГЦБ, MOM048_0056</t>
  </si>
  <si>
    <t>KZK200000760</t>
  </si>
  <si>
    <t>28.08.2025</t>
  </si>
  <si>
    <t>07.08.2029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</si>
</sst>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4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11" fillId="0" borderId="0" xfId="0" applyNumberFormat="1" applyFon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2"/>
  <sheetViews>
    <sheetView tabSelected="1" topLeftCell="A15" zoomScale="90" zoomScaleNormal="90" workbookViewId="0">
      <selection activeCell="D49" sqref="D49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52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64</v>
      </c>
      <c r="B4" s="13" t="s">
        <v>65</v>
      </c>
      <c r="C4" s="10">
        <v>3020000</v>
      </c>
      <c r="D4" s="11">
        <v>3020000000</v>
      </c>
      <c r="E4" s="3">
        <v>0.1067</v>
      </c>
      <c r="F4" s="4" t="s">
        <v>66</v>
      </c>
      <c r="G4" s="4" t="s">
        <v>67</v>
      </c>
      <c r="H4" s="11">
        <v>2930617060.0000029</v>
      </c>
      <c r="I4" s="11">
        <v>98.791899999999998</v>
      </c>
      <c r="J4" s="11">
        <v>101.903983333333</v>
      </c>
      <c r="K4" s="11">
        <v>93984916.666666657</v>
      </c>
      <c r="L4" s="11">
        <v>3077500296.666666</v>
      </c>
      <c r="M4" s="6">
        <f t="shared" ref="M4:M22" si="0">L4/$L$24</f>
        <v>0.1043762099305786</v>
      </c>
    </row>
    <row r="5" spans="1:13" x14ac:dyDescent="0.25">
      <c r="A5" s="1" t="s">
        <v>68</v>
      </c>
      <c r="B5" s="13" t="s">
        <v>69</v>
      </c>
      <c r="C5" s="10">
        <v>2265000</v>
      </c>
      <c r="D5" s="11">
        <v>2265000000</v>
      </c>
      <c r="E5" s="3">
        <v>0.10550000000000001</v>
      </c>
      <c r="F5" s="4" t="s">
        <v>66</v>
      </c>
      <c r="G5" s="4" t="s">
        <v>70</v>
      </c>
      <c r="H5" s="11">
        <v>2039188560.0000031</v>
      </c>
      <c r="I5" s="11">
        <v>82.189900000000009</v>
      </c>
      <c r="J5" s="11">
        <v>85.061844444444432</v>
      </c>
      <c r="K5" s="11">
        <v>65049541.666666657</v>
      </c>
      <c r="L5" s="11">
        <v>1926650776.666666</v>
      </c>
      <c r="M5" s="6">
        <f t="shared" si="0"/>
        <v>6.5344106106532615E-2</v>
      </c>
    </row>
    <row r="6" spans="1:13" x14ac:dyDescent="0.25">
      <c r="A6" s="1" t="s">
        <v>68</v>
      </c>
      <c r="B6" s="13" t="s">
        <v>69</v>
      </c>
      <c r="C6" s="10">
        <v>1551646</v>
      </c>
      <c r="D6" s="11">
        <v>1551646000</v>
      </c>
      <c r="E6" s="3">
        <v>0.10550000000000001</v>
      </c>
      <c r="F6" s="4" t="s">
        <v>71</v>
      </c>
      <c r="G6" s="4" t="s">
        <v>70</v>
      </c>
      <c r="H6" s="11">
        <v>1395452658.7</v>
      </c>
      <c r="I6" s="11">
        <v>82.189900000000009</v>
      </c>
      <c r="J6" s="11">
        <v>85.061844444444702</v>
      </c>
      <c r="K6" s="11">
        <v>44562411.094444439</v>
      </c>
      <c r="L6" s="11">
        <v>1319858706.848448</v>
      </c>
      <c r="M6" s="6">
        <f t="shared" si="0"/>
        <v>4.4764203471866319E-2</v>
      </c>
    </row>
    <row r="7" spans="1:13" x14ac:dyDescent="0.25">
      <c r="A7" s="1" t="s">
        <v>68</v>
      </c>
      <c r="B7" s="13" t="s">
        <v>69</v>
      </c>
      <c r="C7" s="10">
        <v>545692</v>
      </c>
      <c r="D7" s="11">
        <v>545692000</v>
      </c>
      <c r="E7" s="3">
        <v>0.10550000000000001</v>
      </c>
      <c r="F7" s="4" t="s">
        <v>72</v>
      </c>
      <c r="G7" s="4" t="s">
        <v>70</v>
      </c>
      <c r="H7" s="11">
        <v>449784993.92000002</v>
      </c>
      <c r="I7" s="11">
        <v>82.189900000000009</v>
      </c>
      <c r="J7" s="11">
        <v>85.061844444444432</v>
      </c>
      <c r="K7" s="11">
        <v>15671971.077777769</v>
      </c>
      <c r="L7" s="11">
        <v>464175680.18577802</v>
      </c>
      <c r="M7" s="6">
        <f t="shared" si="0"/>
        <v>1.5742938609044604E-2</v>
      </c>
    </row>
    <row r="8" spans="1:13" x14ac:dyDescent="0.25">
      <c r="A8" s="1" t="s">
        <v>73</v>
      </c>
      <c r="B8" s="13" t="s">
        <v>74</v>
      </c>
      <c r="C8" s="10">
        <v>2265000</v>
      </c>
      <c r="D8" s="11">
        <v>2265000000</v>
      </c>
      <c r="E8" s="3">
        <v>0.10400000000000001</v>
      </c>
      <c r="F8" s="4" t="s">
        <v>66</v>
      </c>
      <c r="G8" s="4" t="s">
        <v>75</v>
      </c>
      <c r="H8" s="11">
        <v>2073109200</v>
      </c>
      <c r="I8" s="11">
        <v>86.56410000000001</v>
      </c>
      <c r="J8" s="11">
        <v>92.457433333333327</v>
      </c>
      <c r="K8" s="11">
        <v>133484000</v>
      </c>
      <c r="L8" s="11">
        <v>2094160864.999999</v>
      </c>
      <c r="M8" s="6">
        <f t="shared" si="0"/>
        <v>7.102536247044175E-2</v>
      </c>
    </row>
    <row r="9" spans="1:13" x14ac:dyDescent="0.25">
      <c r="A9" s="1" t="s">
        <v>76</v>
      </c>
      <c r="B9" s="13" t="s">
        <v>77</v>
      </c>
      <c r="C9" s="10">
        <v>2265000</v>
      </c>
      <c r="D9" s="11">
        <v>2265000000</v>
      </c>
      <c r="E9" s="3">
        <v>0.11</v>
      </c>
      <c r="F9" s="4" t="s">
        <v>66</v>
      </c>
      <c r="G9" s="4" t="s">
        <v>78</v>
      </c>
      <c r="H9" s="11">
        <v>2080889475</v>
      </c>
      <c r="I9" s="11">
        <v>84.288200000000003</v>
      </c>
      <c r="J9" s="11">
        <v>90.888199999999983</v>
      </c>
      <c r="K9" s="11">
        <v>149490000</v>
      </c>
      <c r="L9" s="11">
        <v>2058617729.999999</v>
      </c>
      <c r="M9" s="6">
        <f t="shared" si="0"/>
        <v>6.9819884854608799E-2</v>
      </c>
    </row>
    <row r="10" spans="1:13" x14ac:dyDescent="0.25">
      <c r="A10" s="1" t="s">
        <v>60</v>
      </c>
      <c r="B10" s="13" t="s">
        <v>61</v>
      </c>
      <c r="C10" s="10">
        <v>2265000</v>
      </c>
      <c r="D10" s="11">
        <v>2265000000</v>
      </c>
      <c r="E10" s="3">
        <v>0.10300000000000001</v>
      </c>
      <c r="F10" s="4" t="s">
        <v>66</v>
      </c>
      <c r="G10" s="4" t="s">
        <v>79</v>
      </c>
      <c r="H10" s="11">
        <v>1963990560.0000031</v>
      </c>
      <c r="I10" s="11">
        <v>76.80080000000001</v>
      </c>
      <c r="J10" s="11">
        <v>83.35274444444444</v>
      </c>
      <c r="K10" s="11">
        <v>148401541.66666701</v>
      </c>
      <c r="L10" s="11">
        <v>1887939661.666666</v>
      </c>
      <c r="M10" s="6">
        <f t="shared" si="0"/>
        <v>6.4031183579680809E-2</v>
      </c>
    </row>
    <row r="11" spans="1:13" x14ac:dyDescent="0.25">
      <c r="A11" s="1" t="s">
        <v>80</v>
      </c>
      <c r="B11" s="13" t="s">
        <v>81</v>
      </c>
      <c r="C11" s="10">
        <v>2265000</v>
      </c>
      <c r="D11" s="11">
        <v>2265000000</v>
      </c>
      <c r="E11" s="3">
        <v>8.4500000000000006E-2</v>
      </c>
      <c r="F11" s="4" t="s">
        <v>66</v>
      </c>
      <c r="G11" s="4" t="s">
        <v>82</v>
      </c>
      <c r="H11" s="11">
        <v>1740247065.0000031</v>
      </c>
      <c r="I11" s="11">
        <v>67.427400000000006</v>
      </c>
      <c r="J11" s="11">
        <v>72.121844444444434</v>
      </c>
      <c r="K11" s="11">
        <v>106329166.666667</v>
      </c>
      <c r="L11" s="11">
        <v>1633559776.666666</v>
      </c>
      <c r="M11" s="6">
        <f t="shared" si="0"/>
        <v>5.5403659381670217E-2</v>
      </c>
    </row>
    <row r="12" spans="1:13" x14ac:dyDescent="0.25">
      <c r="A12" s="1" t="s">
        <v>83</v>
      </c>
      <c r="B12" s="13" t="s">
        <v>84</v>
      </c>
      <c r="C12" s="10">
        <v>2265000</v>
      </c>
      <c r="D12" s="11">
        <v>2265000000</v>
      </c>
      <c r="E12" s="3">
        <v>0.10650000000000001</v>
      </c>
      <c r="F12" s="4" t="s">
        <v>66</v>
      </c>
      <c r="G12" s="4" t="s">
        <v>85</v>
      </c>
      <c r="H12" s="11">
        <v>1967775375</v>
      </c>
      <c r="I12" s="11">
        <v>75.066000000000003</v>
      </c>
      <c r="J12" s="11">
        <v>78.024333333333331</v>
      </c>
      <c r="K12" s="11">
        <v>67006250</v>
      </c>
      <c r="L12" s="11">
        <v>1767251150</v>
      </c>
      <c r="M12" s="6">
        <f t="shared" si="0"/>
        <v>5.9937923395896847E-2</v>
      </c>
    </row>
    <row r="13" spans="1:13" x14ac:dyDescent="0.25">
      <c r="A13" s="1" t="s">
        <v>86</v>
      </c>
      <c r="B13" s="13" t="s">
        <v>87</v>
      </c>
      <c r="C13" s="10">
        <v>2265000</v>
      </c>
      <c r="D13" s="11">
        <v>2265000000</v>
      </c>
      <c r="E13" s="3">
        <v>8.0700000000000008E-2</v>
      </c>
      <c r="F13" s="4" t="s">
        <v>66</v>
      </c>
      <c r="G13" s="4" t="s">
        <v>88</v>
      </c>
      <c r="H13" s="11">
        <v>1622351550</v>
      </c>
      <c r="I13" s="11">
        <v>60.969200000000001</v>
      </c>
      <c r="J13" s="11">
        <v>64.869700000000009</v>
      </c>
      <c r="K13" s="11">
        <v>88346325</v>
      </c>
      <c r="L13" s="11">
        <v>1469298705</v>
      </c>
      <c r="M13" s="6">
        <f t="shared" si="0"/>
        <v>4.9832596360726907E-2</v>
      </c>
    </row>
    <row r="14" spans="1:13" x14ac:dyDescent="0.25">
      <c r="A14" s="1" t="s">
        <v>89</v>
      </c>
      <c r="B14" s="13" t="s">
        <v>90</v>
      </c>
      <c r="C14" s="10">
        <v>2265000</v>
      </c>
      <c r="D14" s="11">
        <v>2265000000</v>
      </c>
      <c r="E14" s="3">
        <v>8.0700000000000008E-2</v>
      </c>
      <c r="F14" s="4" t="s">
        <v>66</v>
      </c>
      <c r="G14" s="4" t="s">
        <v>91</v>
      </c>
      <c r="H14" s="11">
        <v>1597764975</v>
      </c>
      <c r="I14" s="11">
        <v>59.577100000000002</v>
      </c>
      <c r="J14" s="11">
        <v>65.786516666666657</v>
      </c>
      <c r="K14" s="11">
        <v>140643287.5</v>
      </c>
      <c r="L14" s="11">
        <v>1490064602.5</v>
      </c>
      <c r="M14" s="6">
        <f t="shared" si="0"/>
        <v>5.0536890582633082E-2</v>
      </c>
    </row>
    <row r="15" spans="1:13" x14ac:dyDescent="0.25">
      <c r="A15" s="1" t="s">
        <v>92</v>
      </c>
      <c r="B15" s="13" t="s">
        <v>93</v>
      </c>
      <c r="C15" s="10">
        <v>3775000</v>
      </c>
      <c r="D15" s="11">
        <v>3775000000</v>
      </c>
      <c r="E15" s="3">
        <v>5.4900000000000004E-2</v>
      </c>
      <c r="F15" s="4" t="s">
        <v>66</v>
      </c>
      <c r="G15" s="4" t="s">
        <v>94</v>
      </c>
      <c r="H15" s="11">
        <v>3136670150</v>
      </c>
      <c r="I15" s="11">
        <v>86.047300000000007</v>
      </c>
      <c r="J15" s="11">
        <v>89.387050000000002</v>
      </c>
      <c r="K15" s="11">
        <v>126075562.5</v>
      </c>
      <c r="L15" s="11">
        <v>3374361137.5</v>
      </c>
      <c r="M15" s="6">
        <f t="shared" si="0"/>
        <v>0.11444451422174282</v>
      </c>
    </row>
    <row r="16" spans="1:13" x14ac:dyDescent="0.25">
      <c r="A16" s="1" t="s">
        <v>95</v>
      </c>
      <c r="B16" s="13" t="s">
        <v>96</v>
      </c>
      <c r="C16" s="10">
        <v>2803860</v>
      </c>
      <c r="D16" s="11">
        <v>2803860000</v>
      </c>
      <c r="E16" s="3">
        <v>5.5E-2</v>
      </c>
      <c r="F16" s="4" t="s">
        <v>97</v>
      </c>
      <c r="G16" s="4" t="s">
        <v>98</v>
      </c>
      <c r="H16" s="11">
        <v>1773018067.1400001</v>
      </c>
      <c r="I16" s="11">
        <v>56.448800000000006</v>
      </c>
      <c r="J16" s="11">
        <v>59.382133333333329</v>
      </c>
      <c r="K16" s="11">
        <v>82246560</v>
      </c>
      <c r="L16" s="11">
        <v>1664991883.6800001</v>
      </c>
      <c r="M16" s="6">
        <f t="shared" si="0"/>
        <v>5.6469707759874331E-2</v>
      </c>
    </row>
    <row r="17" spans="1:15" x14ac:dyDescent="0.25">
      <c r="A17" s="1" t="s">
        <v>99</v>
      </c>
      <c r="B17" s="13" t="s">
        <v>100</v>
      </c>
      <c r="C17" s="10">
        <v>1038480</v>
      </c>
      <c r="D17" s="11">
        <v>1038480000</v>
      </c>
      <c r="E17" s="3">
        <v>0.12</v>
      </c>
      <c r="F17" s="4" t="s">
        <v>97</v>
      </c>
      <c r="G17" s="4" t="s">
        <v>101</v>
      </c>
      <c r="H17" s="11">
        <v>979029096.96000004</v>
      </c>
      <c r="I17" s="11">
        <v>84.480699999999999</v>
      </c>
      <c r="J17" s="11">
        <v>92.447366666666653</v>
      </c>
      <c r="K17" s="11">
        <v>82732240</v>
      </c>
      <c r="L17" s="11">
        <v>960047413.36000001</v>
      </c>
      <c r="M17" s="6">
        <f t="shared" si="0"/>
        <v>3.2560877563101651E-2</v>
      </c>
    </row>
    <row r="18" spans="1:15" x14ac:dyDescent="0.25">
      <c r="A18" s="1" t="s">
        <v>102</v>
      </c>
      <c r="B18" s="13" t="s">
        <v>103</v>
      </c>
      <c r="C18" s="10">
        <v>506989</v>
      </c>
      <c r="D18" s="11">
        <v>506989000</v>
      </c>
      <c r="E18" s="3">
        <v>0.1535</v>
      </c>
      <c r="F18" s="4" t="s">
        <v>104</v>
      </c>
      <c r="G18" s="4" t="s">
        <v>105</v>
      </c>
      <c r="H18" s="11">
        <v>492216861.50999999</v>
      </c>
      <c r="I18" s="11">
        <v>97.453100000000006</v>
      </c>
      <c r="J18" s="11">
        <v>104.61643333333301</v>
      </c>
      <c r="K18" s="11">
        <v>36317312.033333331</v>
      </c>
      <c r="L18" s="11">
        <v>530393809.19233298</v>
      </c>
      <c r="M18" s="6">
        <f t="shared" si="0"/>
        <v>1.7988786429720519E-2</v>
      </c>
    </row>
    <row r="19" spans="1:15" x14ac:dyDescent="0.25">
      <c r="A19" s="1" t="s">
        <v>106</v>
      </c>
      <c r="B19" s="13" t="s">
        <v>107</v>
      </c>
      <c r="C19" s="10">
        <v>2100000</v>
      </c>
      <c r="D19" s="11">
        <v>2100000000</v>
      </c>
      <c r="E19" s="3">
        <v>0.14300000000000002</v>
      </c>
      <c r="F19" s="4" t="s">
        <v>108</v>
      </c>
      <c r="G19" s="4" t="s">
        <v>109</v>
      </c>
      <c r="H19" s="11">
        <v>2100000000</v>
      </c>
      <c r="I19" s="11">
        <v>94.385007937376798</v>
      </c>
      <c r="J19" s="11">
        <v>96.887507937376796</v>
      </c>
      <c r="K19" s="11">
        <v>52552500</v>
      </c>
      <c r="L19" s="11">
        <v>2034637666.684912</v>
      </c>
      <c r="M19" s="6">
        <f t="shared" si="0"/>
        <v>6.9006579287933439E-2</v>
      </c>
    </row>
    <row r="20" spans="1:15" x14ac:dyDescent="0.25">
      <c r="A20" s="1" t="s">
        <v>110</v>
      </c>
      <c r="B20" s="13" t="s">
        <v>111</v>
      </c>
      <c r="C20" s="10">
        <v>1000000</v>
      </c>
      <c r="D20" s="11">
        <v>1000000000</v>
      </c>
      <c r="E20" s="3">
        <v>0.1389</v>
      </c>
      <c r="F20" s="4" t="s">
        <v>112</v>
      </c>
      <c r="G20" s="4" t="s">
        <v>113</v>
      </c>
      <c r="H20" s="11">
        <v>1000000000</v>
      </c>
      <c r="I20" s="11">
        <v>98.25899287247239</v>
      </c>
      <c r="J20" s="11">
        <v>104.35515953913901</v>
      </c>
      <c r="K20" s="11">
        <v>60961666.666666657</v>
      </c>
      <c r="L20" s="11">
        <v>1043551595.39139</v>
      </c>
      <c r="M20" s="6">
        <f t="shared" si="0"/>
        <v>3.5392997528526191E-2</v>
      </c>
    </row>
    <row r="21" spans="1:15" x14ac:dyDescent="0.25">
      <c r="A21" s="1" t="s">
        <v>114</v>
      </c>
      <c r="B21" s="13" t="s">
        <v>115</v>
      </c>
      <c r="C21" s="10">
        <v>165739</v>
      </c>
      <c r="D21" s="11">
        <v>165739000</v>
      </c>
      <c r="E21" s="3">
        <v>0.125</v>
      </c>
      <c r="F21" s="4" t="s">
        <v>116</v>
      </c>
      <c r="G21" s="4" t="s">
        <v>117</v>
      </c>
      <c r="H21" s="11">
        <v>159596381.18279999</v>
      </c>
      <c r="I21" s="11">
        <v>96.414577732685089</v>
      </c>
      <c r="J21" s="11">
        <v>101.414577732672</v>
      </c>
      <c r="K21" s="11">
        <v>8286949.9999777796</v>
      </c>
      <c r="L21" s="11">
        <v>168083506.98835301</v>
      </c>
      <c r="M21" s="6">
        <f t="shared" si="0"/>
        <v>5.7007043769537764E-3</v>
      </c>
    </row>
    <row r="22" spans="1:15" x14ac:dyDescent="0.25">
      <c r="A22" s="1" t="s">
        <v>118</v>
      </c>
      <c r="B22" s="13" t="s">
        <v>119</v>
      </c>
      <c r="C22" s="10">
        <v>494987</v>
      </c>
      <c r="D22" s="11">
        <v>494987000</v>
      </c>
      <c r="E22" s="3">
        <v>0.1701</v>
      </c>
      <c r="F22" s="4" t="s">
        <v>120</v>
      </c>
      <c r="G22" s="4" t="s">
        <v>121</v>
      </c>
      <c r="H22" s="11">
        <v>495088472.34249997</v>
      </c>
      <c r="I22" s="11">
        <v>100.75630000000001</v>
      </c>
      <c r="J22" s="11">
        <v>104.96155</v>
      </c>
      <c r="K22" s="11">
        <v>20815440.817499999</v>
      </c>
      <c r="L22" s="11">
        <v>519546027.49849999</v>
      </c>
      <c r="M22" s="6">
        <f t="shared" si="0"/>
        <v>1.7620874088466489E-2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1522957643.3563676</v>
      </c>
      <c r="L24" s="22">
        <f>SUM(L4:L23)</f>
        <v>29484690991.496384</v>
      </c>
      <c r="M24" s="23"/>
      <c r="N24" s="26">
        <v>29484690991.496403</v>
      </c>
      <c r="O24" s="29">
        <f>L24-N24</f>
        <v>0</v>
      </c>
    </row>
    <row r="26" spans="1:15" x14ac:dyDescent="0.25">
      <c r="A26" s="30" t="s">
        <v>26</v>
      </c>
    </row>
    <row r="27" spans="1:15" x14ac:dyDescent="0.25">
      <c r="A27" s="19" t="s">
        <v>51</v>
      </c>
      <c r="B27" s="31">
        <v>4012505.97</v>
      </c>
      <c r="C27" s="51">
        <v>4012505.97</v>
      </c>
      <c r="D27" s="29">
        <f>B27-C27</f>
        <v>0</v>
      </c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49</v>
      </c>
      <c r="B32" s="7" t="s">
        <v>50</v>
      </c>
      <c r="C32" s="14">
        <v>1583384</v>
      </c>
      <c r="D32" s="7" t="s">
        <v>51</v>
      </c>
      <c r="E32" s="34" t="s">
        <v>52</v>
      </c>
      <c r="F32" s="34" t="s">
        <v>53</v>
      </c>
      <c r="G32" s="15">
        <v>1056.0509999974731</v>
      </c>
      <c r="H32" s="15">
        <v>1056.543721567225</v>
      </c>
      <c r="I32" s="16">
        <f t="shared" ref="I32:I39" si="1">+C32*G32</f>
        <v>1672134256.579999</v>
      </c>
      <c r="J32" s="16">
        <f t="shared" ref="J32:J39" si="2">+C32*H32</f>
        <v>1672914424.029999</v>
      </c>
      <c r="K32" s="18">
        <v>0.170298</v>
      </c>
      <c r="L32" s="17"/>
      <c r="M32" s="17">
        <v>1672134256.5799999</v>
      </c>
      <c r="N32" s="35"/>
    </row>
    <row r="33" spans="1:15" s="36" customFormat="1" ht="12" customHeight="1" x14ac:dyDescent="0.25">
      <c r="A33" s="12" t="s">
        <v>54</v>
      </c>
      <c r="B33" s="7" t="s">
        <v>55</v>
      </c>
      <c r="C33" s="14">
        <v>19260</v>
      </c>
      <c r="D33" s="7" t="s">
        <v>51</v>
      </c>
      <c r="E33" s="34" t="s">
        <v>52</v>
      </c>
      <c r="F33" s="34" t="s">
        <v>53</v>
      </c>
      <c r="G33" s="15">
        <v>519.35950000000003</v>
      </c>
      <c r="H33" s="15">
        <v>519.60174766355101</v>
      </c>
      <c r="I33" s="16">
        <f t="shared" si="1"/>
        <v>10002863.970000001</v>
      </c>
      <c r="J33" s="16">
        <f t="shared" si="2"/>
        <v>10007529.659999993</v>
      </c>
      <c r="K33" s="18">
        <v>0.17024899999999998</v>
      </c>
      <c r="L33" s="17"/>
      <c r="M33" s="17">
        <v>10002863.970000001</v>
      </c>
      <c r="N33" s="35"/>
    </row>
    <row r="34" spans="1:15" s="36" customFormat="1" ht="12" customHeight="1" x14ac:dyDescent="0.25">
      <c r="A34" s="12" t="s">
        <v>56</v>
      </c>
      <c r="B34" s="7" t="s">
        <v>57</v>
      </c>
      <c r="C34" s="14">
        <v>2242079</v>
      </c>
      <c r="D34" s="7" t="s">
        <v>51</v>
      </c>
      <c r="E34" s="34" t="s">
        <v>58</v>
      </c>
      <c r="F34" s="34" t="s">
        <v>59</v>
      </c>
      <c r="G34" s="15">
        <v>708.84</v>
      </c>
      <c r="H34" s="15">
        <v>711.191781583075</v>
      </c>
      <c r="I34" s="16">
        <f t="shared" si="1"/>
        <v>1589275278.3600001</v>
      </c>
      <c r="J34" s="16">
        <f t="shared" si="2"/>
        <v>1594548158.4599993</v>
      </c>
      <c r="K34" s="18">
        <v>0.17299899999999999</v>
      </c>
      <c r="L34" s="17">
        <v>753268.58571428573</v>
      </c>
      <c r="M34" s="17">
        <v>1590028546.945714</v>
      </c>
      <c r="N34" s="35"/>
    </row>
    <row r="35" spans="1:15" s="36" customFormat="1" ht="12" customHeight="1" x14ac:dyDescent="0.25">
      <c r="A35" s="12" t="s">
        <v>54</v>
      </c>
      <c r="B35" s="7" t="s">
        <v>55</v>
      </c>
      <c r="C35" s="14">
        <v>19330</v>
      </c>
      <c r="D35" s="7" t="s">
        <v>51</v>
      </c>
      <c r="E35" s="34" t="s">
        <v>58</v>
      </c>
      <c r="F35" s="34" t="s">
        <v>59</v>
      </c>
      <c r="G35" s="15">
        <v>517.364399896534</v>
      </c>
      <c r="H35" s="15">
        <v>519.07792912571108</v>
      </c>
      <c r="I35" s="16">
        <f t="shared" si="1"/>
        <v>10000653.850000001</v>
      </c>
      <c r="J35" s="16">
        <f t="shared" si="2"/>
        <v>10033776.369999995</v>
      </c>
      <c r="K35" s="18">
        <v>0.17269899999999999</v>
      </c>
      <c r="L35" s="17">
        <v>4731.7885714285712</v>
      </c>
      <c r="M35" s="17">
        <v>10005385.638571421</v>
      </c>
      <c r="N35" s="35"/>
    </row>
    <row r="36" spans="1:15" s="36" customFormat="1" ht="12" customHeight="1" x14ac:dyDescent="0.25">
      <c r="A36" s="12" t="s">
        <v>60</v>
      </c>
      <c r="B36" s="7" t="s">
        <v>61</v>
      </c>
      <c r="C36" s="14">
        <v>2006871</v>
      </c>
      <c r="D36" s="7" t="s">
        <v>51</v>
      </c>
      <c r="E36" s="34" t="s">
        <v>58</v>
      </c>
      <c r="F36" s="34" t="s">
        <v>52</v>
      </c>
      <c r="G36" s="15">
        <v>833.12600000199302</v>
      </c>
      <c r="H36" s="15">
        <v>833.51426182350508</v>
      </c>
      <c r="I36" s="16">
        <f t="shared" si="1"/>
        <v>1671976408.7499998</v>
      </c>
      <c r="J36" s="16">
        <f t="shared" si="2"/>
        <v>1672755600.1399994</v>
      </c>
      <c r="K36" s="18">
        <v>0.170101</v>
      </c>
      <c r="L36" s="17">
        <v>779191.39</v>
      </c>
      <c r="M36" s="17"/>
      <c r="N36" s="35"/>
    </row>
    <row r="37" spans="1:15" s="36" customFormat="1" ht="12" customHeight="1" x14ac:dyDescent="0.25">
      <c r="A37" s="12" t="s">
        <v>60</v>
      </c>
      <c r="B37" s="7" t="s">
        <v>61</v>
      </c>
      <c r="C37" s="14">
        <v>2006871</v>
      </c>
      <c r="D37" s="7" t="s">
        <v>51</v>
      </c>
      <c r="E37" s="34" t="s">
        <v>52</v>
      </c>
      <c r="F37" s="34" t="s">
        <v>52</v>
      </c>
      <c r="G37" s="15">
        <v>833.12600000199302</v>
      </c>
      <c r="H37" s="15">
        <v>833.51426182350508</v>
      </c>
      <c r="I37" s="16">
        <f t="shared" si="1"/>
        <v>1671976408.7499998</v>
      </c>
      <c r="J37" s="16">
        <f t="shared" si="2"/>
        <v>1672755600.1399994</v>
      </c>
      <c r="K37" s="18">
        <v>0.170101</v>
      </c>
      <c r="L37" s="17"/>
      <c r="M37" s="17"/>
      <c r="N37" s="35"/>
    </row>
    <row r="38" spans="1:15" s="36" customFormat="1" ht="12" customHeight="1" x14ac:dyDescent="0.25">
      <c r="A38" s="12" t="s">
        <v>62</v>
      </c>
      <c r="B38" s="7" t="s">
        <v>63</v>
      </c>
      <c r="C38" s="14">
        <v>11990</v>
      </c>
      <c r="D38" s="7" t="s">
        <v>51</v>
      </c>
      <c r="E38" s="34" t="s">
        <v>58</v>
      </c>
      <c r="F38" s="34" t="s">
        <v>52</v>
      </c>
      <c r="G38" s="15">
        <v>834.35900000000004</v>
      </c>
      <c r="H38" s="15">
        <v>834.74783402835703</v>
      </c>
      <c r="I38" s="16">
        <f t="shared" si="1"/>
        <v>10003964.41</v>
      </c>
      <c r="J38" s="16">
        <f t="shared" si="2"/>
        <v>10008626.530000001</v>
      </c>
      <c r="K38" s="18">
        <v>0.1701</v>
      </c>
      <c r="L38" s="17">
        <v>4662.12</v>
      </c>
      <c r="M38" s="17"/>
      <c r="N38" s="35"/>
    </row>
    <row r="39" spans="1:15" s="36" customFormat="1" ht="12" customHeight="1" x14ac:dyDescent="0.25">
      <c r="A39" s="12" t="s">
        <v>62</v>
      </c>
      <c r="B39" s="7" t="s">
        <v>63</v>
      </c>
      <c r="C39" s="14">
        <v>11990</v>
      </c>
      <c r="D39" s="7" t="s">
        <v>51</v>
      </c>
      <c r="E39" s="34" t="s">
        <v>52</v>
      </c>
      <c r="F39" s="34" t="s">
        <v>52</v>
      </c>
      <c r="G39" s="15">
        <v>834.35900000000004</v>
      </c>
      <c r="H39" s="15">
        <v>834.74783402835703</v>
      </c>
      <c r="I39" s="16">
        <f t="shared" si="1"/>
        <v>10003964.41</v>
      </c>
      <c r="J39" s="16">
        <f t="shared" si="2"/>
        <v>10008626.530000001</v>
      </c>
      <c r="K39" s="18">
        <v>0.1701</v>
      </c>
      <c r="L39" s="17"/>
      <c r="M39" s="17"/>
      <c r="N39" s="35"/>
    </row>
    <row r="40" spans="1:15" s="36" customFormat="1" ht="11.25" hidden="1" x14ac:dyDescent="0.25">
      <c r="A40" s="7"/>
      <c r="B40" s="7"/>
      <c r="C40" s="7"/>
      <c r="D40" s="7"/>
      <c r="E40" s="37"/>
      <c r="F40" s="37"/>
      <c r="G40" s="7"/>
      <c r="H40" s="7"/>
      <c r="I40" s="8"/>
      <c r="J40" s="8"/>
      <c r="K40" s="7"/>
      <c r="L40" s="9"/>
      <c r="M40" s="9"/>
      <c r="N40" s="35"/>
    </row>
    <row r="41" spans="1:15" x14ac:dyDescent="0.25">
      <c r="A41" s="1" t="s">
        <v>5</v>
      </c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2">
        <f>SUM(M32:M40)</f>
        <v>3282171053.1342854</v>
      </c>
      <c r="N41" s="38">
        <v>3282171053.1342854</v>
      </c>
      <c r="O41" s="29">
        <f>M41-N41</f>
        <v>0</v>
      </c>
    </row>
    <row r="43" spans="1:15" x14ac:dyDescent="0.25">
      <c r="A43" s="39" t="s">
        <v>28</v>
      </c>
      <c r="B43" s="33"/>
      <c r="D43" s="33"/>
      <c r="F43" s="28"/>
      <c r="G43" s="28"/>
    </row>
    <row r="44" spans="1:15" ht="22.5" x14ac:dyDescent="0.25">
      <c r="A44" s="19" t="s">
        <v>6</v>
      </c>
      <c r="B44" s="19" t="s">
        <v>29</v>
      </c>
      <c r="C44" s="19" t="s">
        <v>17</v>
      </c>
      <c r="D44" s="19" t="s">
        <v>30</v>
      </c>
      <c r="E44" s="19" t="s">
        <v>16</v>
      </c>
      <c r="F44" s="19" t="s">
        <v>31</v>
      </c>
      <c r="G44" s="19" t="s">
        <v>32</v>
      </c>
    </row>
    <row r="45" spans="1:15" hidden="1" x14ac:dyDescent="0.25">
      <c r="B45" s="41"/>
      <c r="C45" s="42"/>
      <c r="D45" s="43"/>
      <c r="G45" s="44"/>
      <c r="H45" s="33"/>
    </row>
    <row r="46" spans="1:15" x14ac:dyDescent="0.25">
      <c r="G46" s="45">
        <f>SUM(G45:G45)</f>
        <v>0</v>
      </c>
    </row>
    <row r="48" spans="1:15" x14ac:dyDescent="0.25">
      <c r="A48" s="46" t="s">
        <v>13</v>
      </c>
      <c r="B48" s="47">
        <f>+L24+B27+M41+G46</f>
        <v>32770874550.60067</v>
      </c>
      <c r="C48" s="32">
        <v>32770874550.600689</v>
      </c>
      <c r="D48" s="29">
        <f>B48-C48</f>
        <v>0</v>
      </c>
    </row>
    <row r="51" spans="1:2" x14ac:dyDescent="0.25">
      <c r="A51" s="24" t="s">
        <v>46</v>
      </c>
      <c r="B51" s="33"/>
    </row>
    <row r="52" spans="1:2" x14ac:dyDescent="0.25">
      <c r="A52" s="48" t="s">
        <v>35</v>
      </c>
      <c r="B52" s="49"/>
    </row>
    <row r="53" spans="1:2" x14ac:dyDescent="0.25">
      <c r="A53" s="48" t="s">
        <v>36</v>
      </c>
      <c r="B53" s="40"/>
    </row>
    <row r="54" spans="1:2" x14ac:dyDescent="0.25">
      <c r="A54" s="48" t="s">
        <v>37</v>
      </c>
      <c r="B54" s="40">
        <v>93922.06</v>
      </c>
    </row>
    <row r="55" spans="1:2" x14ac:dyDescent="0.25">
      <c r="A55" s="48" t="s">
        <v>38</v>
      </c>
      <c r="B55" s="40"/>
    </row>
    <row r="56" spans="1:2" x14ac:dyDescent="0.25">
      <c r="A56" s="48" t="s">
        <v>39</v>
      </c>
      <c r="B56" s="49"/>
    </row>
    <row r="57" spans="1:2" x14ac:dyDescent="0.25">
      <c r="A57" s="48" t="s">
        <v>40</v>
      </c>
      <c r="B57" s="50">
        <v>26958.460000000003</v>
      </c>
    </row>
    <row r="58" spans="1:2" x14ac:dyDescent="0.25">
      <c r="A58" s="48" t="s">
        <v>41</v>
      </c>
      <c r="B58" s="50">
        <v>13431.33</v>
      </c>
    </row>
    <row r="59" spans="1:2" x14ac:dyDescent="0.25">
      <c r="A59" s="48" t="s">
        <v>42</v>
      </c>
      <c r="B59" s="40"/>
    </row>
    <row r="60" spans="1:2" x14ac:dyDescent="0.25">
      <c r="A60" s="48" t="s">
        <v>43</v>
      </c>
      <c r="B60" s="40"/>
    </row>
    <row r="61" spans="1:2" x14ac:dyDescent="0.25">
      <c r="A61" s="48" t="s">
        <v>44</v>
      </c>
      <c r="B61" s="50"/>
    </row>
    <row r="62" spans="1:2" x14ac:dyDescent="0.25">
      <c r="A62" s="48" t="s">
        <v>45</v>
      </c>
      <c r="B62" s="49">
        <f>SUM(B52:B61)</f>
        <v>134311.85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ДУ</vt:lpstr>
      <vt:lpstr>Лист1</vt:lpstr>
      <vt:lpstr>__mdDATAHead__</vt:lpstr>
      <vt:lpstr>__mdDATAMoney__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2025-11-07T05:23:17Z</cp:lastPrinted>
  <dcterms:created xsi:type="dcterms:W3CDTF">2025-11-07T05:22:47Z</dcterms:created>
  <dcterms:modified xsi:type="dcterms:W3CDTF">2025-11-07T06:25:02Z</dcterms:modified>
</cp:coreProperties>
</file>