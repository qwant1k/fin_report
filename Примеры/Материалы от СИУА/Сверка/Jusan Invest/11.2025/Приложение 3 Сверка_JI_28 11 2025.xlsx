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C0412F58-79C2-4659-B58F-57667E759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ДУ!$46:$46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I46" i="1"/>
  <c r="O42" i="1"/>
  <c r="O24" i="1"/>
  <c r="D27" i="1"/>
  <c r="B64" i="1"/>
  <c r="G48" i="1"/>
  <c r="A46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6" i="1" l="1"/>
  <c r="M12" i="1"/>
  <c r="M18" i="1"/>
  <c r="M7" i="1"/>
  <c r="M13" i="1"/>
  <c r="M19" i="1"/>
  <c r="M14" i="1"/>
  <c r="M4" i="1"/>
  <c r="M10" i="1"/>
  <c r="M16" i="1"/>
  <c r="M22" i="1"/>
  <c r="B50" i="1"/>
  <c r="M8" i="1"/>
  <c r="M20" i="1"/>
  <c r="M9" i="1"/>
  <c r="M15" i="1"/>
  <c r="M21" i="1"/>
  <c r="M5" i="1"/>
  <c r="M11" i="1"/>
</calcChain>
</file>

<file path=xl/sharedStrings.xml><?xml version="1.0" encoding="utf-8"?>
<sst xmlns="http://schemas.openxmlformats.org/spreadsheetml/2006/main" count="178" uniqueCount="130">
  <si>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</si>
  <si>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</si>
  <si>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</si>
  <si>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</si>
  <si>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</si>
  <si>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</si>
  <si>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</si>
  <si>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</si>
  <si>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</si>
  <si>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</si>
  <si>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</si>
  <si>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</si>
  <si>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</si>
  <si>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</si>
  <si>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</si>
  <si>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</si>
  <si>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</si>
  <si>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</si>
  <si>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</si>
  <si>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</si>
  <si>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</si>
  <si>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</si>
  <si>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</si>
  <si>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</si>
  <si>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</si>
  <si>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</si>
  <si>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</si>
  <si>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</si>
  <si>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</si>
  <si>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</si>
  <si>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</si>
  <si>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</si>
  <si>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</si>
  <si>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</si>
  <si>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</si>
  <si>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</si>
  <si>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</si>
  <si>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</si>
  <si>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</si>
  <si>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</si>
  <si>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</si>
  <si>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</si>
  <si>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</si>
  <si>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</si>
  <si>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</si>
  <si>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</si>
  <si>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</si>
  <si>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</si>
  <si>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</si>
  <si>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</si>
  <si>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</si>
  <si>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</si>
  <si>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ОБЛИГАЦИИ, MFKZ.0435</t>
  </si>
  <si>
    <t>XS2914770545</t>
  </si>
  <si>
    <t>27.11.2025</t>
  </si>
  <si>
    <t>АО КФУ, ОБЛИГАЦИИ, KFUSb90</t>
  </si>
  <si>
    <t>KZ2C00012383</t>
  </si>
  <si>
    <t>МИНИСТЕРСТВО ФИНАНСОВ РК, ГЦБ, MUM084_0019</t>
  </si>
  <si>
    <t>KZKD00001244</t>
  </si>
  <si>
    <t>01.12.2025</t>
  </si>
  <si>
    <t>ЕВРАЗИЙСКИЙ БАНК РАЗВИТИЯ, ОБЛИГАЦИИ, EABRb40</t>
  </si>
  <si>
    <t>KZ2D00009628</t>
  </si>
  <si>
    <t>МИНИСТЕРСТВО ФИНАНСОВ РК, ГЦБ, MUM096_0011</t>
  </si>
  <si>
    <t>KZKD00001095</t>
  </si>
  <si>
    <t>25.11.2025</t>
  </si>
  <si>
    <t>02.12.2025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</si>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</sst>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0"/>
      <color rgb="FF00B050"/>
      <name val="Arial"/>
      <family val="2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3" fontId="13" fillId="0" borderId="1" xfId="2" applyFont="1" applyFill="1" applyBorder="1" applyAlignment="1"/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9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70</v>
      </c>
      <c r="B4" s="13" t="s">
        <v>71</v>
      </c>
      <c r="C4" s="10">
        <v>3020000</v>
      </c>
      <c r="D4" s="11">
        <v>3020000000</v>
      </c>
      <c r="E4" s="3">
        <v>0.1067</v>
      </c>
      <c r="F4" s="4" t="s">
        <v>72</v>
      </c>
      <c r="G4" s="4" t="s">
        <v>73</v>
      </c>
      <c r="H4" s="11">
        <v>2930617060.0000029</v>
      </c>
      <c r="I4" s="11">
        <v>99.111000000000004</v>
      </c>
      <c r="J4" s="11">
        <v>102.87513888888901</v>
      </c>
      <c r="K4" s="11">
        <v>113676994.444444</v>
      </c>
      <c r="L4" s="11">
        <v>3106829194.4444442</v>
      </c>
      <c r="M4" s="6">
        <f t="shared" ref="M4:M22" si="0">L4/$L$24</f>
        <v>0.10315249886446062</v>
      </c>
    </row>
    <row r="5" spans="1:13" x14ac:dyDescent="0.25">
      <c r="A5" s="1" t="s">
        <v>74</v>
      </c>
      <c r="B5" s="13" t="s">
        <v>75</v>
      </c>
      <c r="C5" s="10">
        <v>2265000</v>
      </c>
      <c r="D5" s="11">
        <v>2265000000</v>
      </c>
      <c r="E5" s="3">
        <v>0.10550000000000001</v>
      </c>
      <c r="F5" s="4" t="s">
        <v>72</v>
      </c>
      <c r="G5" s="4" t="s">
        <v>76</v>
      </c>
      <c r="H5" s="11">
        <v>2039188560.0000031</v>
      </c>
      <c r="I5" s="11">
        <v>84.198700000000002</v>
      </c>
      <c r="J5" s="11">
        <v>87.715366666666654</v>
      </c>
      <c r="K5" s="11">
        <v>79652499.999999985</v>
      </c>
      <c r="L5" s="11">
        <v>1986753054.999999</v>
      </c>
      <c r="M5" s="6">
        <f t="shared" si="0"/>
        <v>6.5963890971643097E-2</v>
      </c>
    </row>
    <row r="6" spans="1:13" x14ac:dyDescent="0.25">
      <c r="A6" s="1" t="s">
        <v>74</v>
      </c>
      <c r="B6" s="13" t="s">
        <v>75</v>
      </c>
      <c r="C6" s="10">
        <v>1551646</v>
      </c>
      <c r="D6" s="11">
        <v>1551646000</v>
      </c>
      <c r="E6" s="3">
        <v>0.10550000000000001</v>
      </c>
      <c r="F6" s="4" t="s">
        <v>77</v>
      </c>
      <c r="G6" s="4" t="s">
        <v>76</v>
      </c>
      <c r="H6" s="11">
        <v>1395452658.7</v>
      </c>
      <c r="I6" s="11">
        <v>84.198700000000002</v>
      </c>
      <c r="J6" s="11">
        <v>87.71536666666691</v>
      </c>
      <c r="K6" s="11">
        <v>54566217.666666657</v>
      </c>
      <c r="L6" s="11">
        <v>1361031978.2686701</v>
      </c>
      <c r="M6" s="6">
        <f t="shared" si="0"/>
        <v>4.5188789214386946E-2</v>
      </c>
    </row>
    <row r="7" spans="1:13" x14ac:dyDescent="0.25">
      <c r="A7" s="1" t="s">
        <v>74</v>
      </c>
      <c r="B7" s="13" t="s">
        <v>75</v>
      </c>
      <c r="C7" s="10">
        <v>545692</v>
      </c>
      <c r="D7" s="11">
        <v>545692000</v>
      </c>
      <c r="E7" s="3">
        <v>0.10550000000000001</v>
      </c>
      <c r="F7" s="4" t="s">
        <v>78</v>
      </c>
      <c r="G7" s="4" t="s">
        <v>76</v>
      </c>
      <c r="H7" s="11">
        <v>449784993.92000002</v>
      </c>
      <c r="I7" s="11">
        <v>84.198700000000002</v>
      </c>
      <c r="J7" s="11">
        <v>87.715366666666654</v>
      </c>
      <c r="K7" s="11">
        <v>19190168.66666666</v>
      </c>
      <c r="L7" s="11">
        <v>478655738.67066699</v>
      </c>
      <c r="M7" s="6">
        <f t="shared" si="0"/>
        <v>1.5892259422559781E-2</v>
      </c>
    </row>
    <row r="8" spans="1:13" x14ac:dyDescent="0.25">
      <c r="A8" s="1" t="s">
        <v>79</v>
      </c>
      <c r="B8" s="13" t="s">
        <v>80</v>
      </c>
      <c r="C8" s="10">
        <v>2265000</v>
      </c>
      <c r="D8" s="11">
        <v>2265000000</v>
      </c>
      <c r="E8" s="3">
        <v>0.10400000000000001</v>
      </c>
      <c r="F8" s="4" t="s">
        <v>72</v>
      </c>
      <c r="G8" s="4" t="s">
        <v>81</v>
      </c>
      <c r="H8" s="11">
        <v>2073109200</v>
      </c>
      <c r="I8" s="11">
        <v>88.38730000000001</v>
      </c>
      <c r="J8" s="11">
        <v>94.916188888888883</v>
      </c>
      <c r="K8" s="11">
        <v>147879333.33333299</v>
      </c>
      <c r="L8" s="11">
        <v>2149851678.333333</v>
      </c>
      <c r="M8" s="6">
        <f t="shared" si="0"/>
        <v>7.1379068152374867E-2</v>
      </c>
    </row>
    <row r="9" spans="1:13" x14ac:dyDescent="0.25">
      <c r="A9" s="1" t="s">
        <v>82</v>
      </c>
      <c r="B9" s="13" t="s">
        <v>83</v>
      </c>
      <c r="C9" s="10">
        <v>2265000</v>
      </c>
      <c r="D9" s="11">
        <v>2265000000</v>
      </c>
      <c r="E9" s="3">
        <v>0.11</v>
      </c>
      <c r="F9" s="4" t="s">
        <v>72</v>
      </c>
      <c r="G9" s="4" t="s">
        <v>84</v>
      </c>
      <c r="H9" s="11">
        <v>2080889475</v>
      </c>
      <c r="I9" s="11">
        <v>86.309100000000001</v>
      </c>
      <c r="J9" s="11">
        <v>93.581322222222212</v>
      </c>
      <c r="K9" s="11">
        <v>164715833.33333299</v>
      </c>
      <c r="L9" s="11">
        <v>2119616948.333333</v>
      </c>
      <c r="M9" s="6">
        <f t="shared" si="0"/>
        <v>7.0375218968271272E-2</v>
      </c>
    </row>
    <row r="10" spans="1:13" x14ac:dyDescent="0.25">
      <c r="A10" s="1" t="s">
        <v>85</v>
      </c>
      <c r="B10" s="13" t="s">
        <v>86</v>
      </c>
      <c r="C10" s="10">
        <v>2265000</v>
      </c>
      <c r="D10" s="11">
        <v>2265000000</v>
      </c>
      <c r="E10" s="3">
        <v>0.10300000000000001</v>
      </c>
      <c r="F10" s="4" t="s">
        <v>72</v>
      </c>
      <c r="G10" s="4" t="s">
        <v>87</v>
      </c>
      <c r="H10" s="11">
        <v>1963990560.0000031</v>
      </c>
      <c r="I10" s="11">
        <v>78.766199999999998</v>
      </c>
      <c r="J10" s="11">
        <v>85.947588888888873</v>
      </c>
      <c r="K10" s="11">
        <v>162658458.33333299</v>
      </c>
      <c r="L10" s="11">
        <v>1946712888.333333</v>
      </c>
      <c r="M10" s="6">
        <f t="shared" si="0"/>
        <v>6.4634483080793587E-2</v>
      </c>
    </row>
    <row r="11" spans="1:13" x14ac:dyDescent="0.25">
      <c r="A11" s="1" t="s">
        <v>88</v>
      </c>
      <c r="B11" s="13" t="s">
        <v>89</v>
      </c>
      <c r="C11" s="10">
        <v>2265000</v>
      </c>
      <c r="D11" s="11">
        <v>2265000000</v>
      </c>
      <c r="E11" s="3">
        <v>8.4500000000000006E-2</v>
      </c>
      <c r="F11" s="4" t="s">
        <v>72</v>
      </c>
      <c r="G11" s="4" t="s">
        <v>90</v>
      </c>
      <c r="H11" s="11">
        <v>1740247065.0000031</v>
      </c>
      <c r="I11" s="11">
        <v>69.194100000000006</v>
      </c>
      <c r="J11" s="11">
        <v>74.404933333333332</v>
      </c>
      <c r="K11" s="11">
        <v>118025375</v>
      </c>
      <c r="L11" s="11">
        <v>1685271739.999999</v>
      </c>
      <c r="M11" s="6">
        <f t="shared" si="0"/>
        <v>5.5954151440804629E-2</v>
      </c>
    </row>
    <row r="12" spans="1:13" x14ac:dyDescent="0.25">
      <c r="A12" s="1" t="s">
        <v>91</v>
      </c>
      <c r="B12" s="13" t="s">
        <v>92</v>
      </c>
      <c r="C12" s="10">
        <v>2265000</v>
      </c>
      <c r="D12" s="11">
        <v>2265000000</v>
      </c>
      <c r="E12" s="3">
        <v>0.10650000000000001</v>
      </c>
      <c r="F12" s="4" t="s">
        <v>72</v>
      </c>
      <c r="G12" s="4" t="s">
        <v>93</v>
      </c>
      <c r="H12" s="11">
        <v>1967775375</v>
      </c>
      <c r="I12" s="11">
        <v>76.89800000000001</v>
      </c>
      <c r="J12" s="11">
        <v>80.507166666666663</v>
      </c>
      <c r="K12" s="11">
        <v>81747625</v>
      </c>
      <c r="L12" s="11">
        <v>1823487325</v>
      </c>
      <c r="M12" s="6">
        <f t="shared" si="0"/>
        <v>6.0543165539248753E-2</v>
      </c>
    </row>
    <row r="13" spans="1:13" x14ac:dyDescent="0.25">
      <c r="A13" s="1" t="s">
        <v>94</v>
      </c>
      <c r="B13" s="13" t="s">
        <v>95</v>
      </c>
      <c r="C13" s="10">
        <v>2265000</v>
      </c>
      <c r="D13" s="11">
        <v>2265000000</v>
      </c>
      <c r="E13" s="3">
        <v>8.0700000000000008E-2</v>
      </c>
      <c r="F13" s="4" t="s">
        <v>72</v>
      </c>
      <c r="G13" s="4" t="s">
        <v>96</v>
      </c>
      <c r="H13" s="11">
        <v>1622351550</v>
      </c>
      <c r="I13" s="11">
        <v>62.494200000000006</v>
      </c>
      <c r="J13" s="11">
        <v>66.887866666666653</v>
      </c>
      <c r="K13" s="11">
        <v>99516550</v>
      </c>
      <c r="L13" s="11">
        <v>1515010180</v>
      </c>
      <c r="M13" s="6">
        <f t="shared" si="0"/>
        <v>5.0301151460642617E-2</v>
      </c>
    </row>
    <row r="14" spans="1:13" x14ac:dyDescent="0.25">
      <c r="A14" s="1" t="s">
        <v>97</v>
      </c>
      <c r="B14" s="13" t="s">
        <v>98</v>
      </c>
      <c r="C14" s="10">
        <v>2265000</v>
      </c>
      <c r="D14" s="11">
        <v>2265000000</v>
      </c>
      <c r="E14" s="3">
        <v>8.0700000000000008E-2</v>
      </c>
      <c r="F14" s="4" t="s">
        <v>72</v>
      </c>
      <c r="G14" s="4" t="s">
        <v>99</v>
      </c>
      <c r="H14" s="11">
        <v>1597764975</v>
      </c>
      <c r="I14" s="11">
        <v>61.061</v>
      </c>
      <c r="J14" s="11">
        <v>67.76358333333333</v>
      </c>
      <c r="K14" s="11">
        <v>151813512.5</v>
      </c>
      <c r="L14" s="11">
        <v>1534845162.5</v>
      </c>
      <c r="M14" s="6">
        <f t="shared" si="0"/>
        <v>5.0959709714654938E-2</v>
      </c>
    </row>
    <row r="15" spans="1:13" x14ac:dyDescent="0.25">
      <c r="A15" s="1" t="s">
        <v>100</v>
      </c>
      <c r="B15" s="13" t="s">
        <v>101</v>
      </c>
      <c r="C15" s="10">
        <v>3775000</v>
      </c>
      <c r="D15" s="11">
        <v>3775000000</v>
      </c>
      <c r="E15" s="3">
        <v>5.4900000000000004E-2</v>
      </c>
      <c r="F15" s="4" t="s">
        <v>72</v>
      </c>
      <c r="G15" s="4" t="s">
        <v>102</v>
      </c>
      <c r="H15" s="11">
        <v>3136670150</v>
      </c>
      <c r="I15" s="11">
        <v>87.458399999999997</v>
      </c>
      <c r="J15" s="11">
        <v>91.133650000000003</v>
      </c>
      <c r="K15" s="11">
        <v>138740687.5</v>
      </c>
      <c r="L15" s="11">
        <v>3440295287.5</v>
      </c>
      <c r="M15" s="6">
        <f t="shared" si="0"/>
        <v>0.1142241924248143</v>
      </c>
    </row>
    <row r="16" spans="1:13" x14ac:dyDescent="0.25">
      <c r="A16" s="1" t="s">
        <v>103</v>
      </c>
      <c r="B16" s="13" t="s">
        <v>104</v>
      </c>
      <c r="C16" s="10">
        <v>2803860</v>
      </c>
      <c r="D16" s="11">
        <v>2803860000</v>
      </c>
      <c r="E16" s="3">
        <v>5.5E-2</v>
      </c>
      <c r="F16" s="4" t="s">
        <v>105</v>
      </c>
      <c r="G16" s="4" t="s">
        <v>106</v>
      </c>
      <c r="H16" s="11">
        <v>1773018067.1400001</v>
      </c>
      <c r="I16" s="11">
        <v>58.0595</v>
      </c>
      <c r="J16" s="11">
        <v>61.328944444444438</v>
      </c>
      <c r="K16" s="11">
        <v>91670645</v>
      </c>
      <c r="L16" s="11">
        <v>1719577741.7</v>
      </c>
      <c r="M16" s="6">
        <f t="shared" si="0"/>
        <v>5.7093174405997385E-2</v>
      </c>
    </row>
    <row r="17" spans="1:15" x14ac:dyDescent="0.25">
      <c r="A17" s="1" t="s">
        <v>107</v>
      </c>
      <c r="B17" s="13" t="s">
        <v>108</v>
      </c>
      <c r="C17" s="10">
        <v>1038480</v>
      </c>
      <c r="D17" s="11">
        <v>1038480000</v>
      </c>
      <c r="E17" s="3">
        <v>0.12</v>
      </c>
      <c r="F17" s="4" t="s">
        <v>105</v>
      </c>
      <c r="G17" s="4" t="s">
        <v>109</v>
      </c>
      <c r="H17" s="11">
        <v>979029096.96000004</v>
      </c>
      <c r="I17" s="11">
        <v>86.552800000000005</v>
      </c>
      <c r="J17" s="11">
        <v>95.252800000000008</v>
      </c>
      <c r="K17" s="11">
        <v>90347760</v>
      </c>
      <c r="L17" s="11">
        <v>989181277.44000006</v>
      </c>
      <c r="M17" s="6">
        <f t="shared" si="0"/>
        <v>3.2842655392943558E-2</v>
      </c>
    </row>
    <row r="18" spans="1:15" x14ac:dyDescent="0.25">
      <c r="A18" s="1" t="s">
        <v>110</v>
      </c>
      <c r="B18" s="13" t="s">
        <v>111</v>
      </c>
      <c r="C18" s="10">
        <v>506989</v>
      </c>
      <c r="D18" s="11">
        <v>506989000</v>
      </c>
      <c r="E18" s="3">
        <v>0.1535</v>
      </c>
      <c r="F18" s="4" t="s">
        <v>112</v>
      </c>
      <c r="G18" s="4" t="s">
        <v>113</v>
      </c>
      <c r="H18" s="11">
        <v>492216861.50999999</v>
      </c>
      <c r="I18" s="11">
        <v>98.909100000000009</v>
      </c>
      <c r="J18" s="11">
        <v>99.335488888888875</v>
      </c>
      <c r="K18" s="11">
        <v>2161744.7638888899</v>
      </c>
      <c r="L18" s="11">
        <v>503620001.76288903</v>
      </c>
      <c r="M18" s="6">
        <f t="shared" si="0"/>
        <v>1.6721119317682859E-2</v>
      </c>
    </row>
    <row r="19" spans="1:15" x14ac:dyDescent="0.25">
      <c r="A19" s="1" t="s">
        <v>114</v>
      </c>
      <c r="B19" s="13" t="s">
        <v>115</v>
      </c>
      <c r="C19" s="10">
        <v>2100000</v>
      </c>
      <c r="D19" s="11">
        <v>2100000000</v>
      </c>
      <c r="E19" s="3">
        <v>0.14300000000000002</v>
      </c>
      <c r="F19" s="4" t="s">
        <v>116</v>
      </c>
      <c r="G19" s="4" t="s">
        <v>117</v>
      </c>
      <c r="H19" s="11">
        <v>2100000000</v>
      </c>
      <c r="I19" s="11">
        <v>95.106278098146291</v>
      </c>
      <c r="J19" s="11">
        <v>98.482666987035174</v>
      </c>
      <c r="K19" s="11">
        <v>70904166.666666657</v>
      </c>
      <c r="L19" s="11">
        <v>2068136006.7277379</v>
      </c>
      <c r="M19" s="6">
        <f t="shared" si="0"/>
        <v>6.8665956103094006E-2</v>
      </c>
    </row>
    <row r="20" spans="1:15" x14ac:dyDescent="0.25">
      <c r="A20" s="1" t="s">
        <v>118</v>
      </c>
      <c r="B20" s="13" t="s">
        <v>119</v>
      </c>
      <c r="C20" s="10">
        <v>1000000</v>
      </c>
      <c r="D20" s="11">
        <v>1000000000</v>
      </c>
      <c r="E20" s="3">
        <v>0.1389</v>
      </c>
      <c r="F20" s="4" t="s">
        <v>120</v>
      </c>
      <c r="G20" s="4" t="s">
        <v>121</v>
      </c>
      <c r="H20" s="11">
        <v>1000000000</v>
      </c>
      <c r="I20" s="11">
        <v>98.488909668943492</v>
      </c>
      <c r="J20" s="11">
        <v>98.488909668943492</v>
      </c>
      <c r="K20" s="11"/>
      <c r="L20" s="11">
        <v>984889096.68943501</v>
      </c>
      <c r="M20" s="6">
        <f t="shared" si="0"/>
        <v>3.2700147021131408E-2</v>
      </c>
    </row>
    <row r="21" spans="1:15" x14ac:dyDescent="0.25">
      <c r="A21" s="1" t="s">
        <v>122</v>
      </c>
      <c r="B21" s="13" t="s">
        <v>123</v>
      </c>
      <c r="C21" s="10">
        <v>165739</v>
      </c>
      <c r="D21" s="11">
        <v>165739000</v>
      </c>
      <c r="E21" s="3">
        <v>0.125</v>
      </c>
      <c r="F21" s="4" t="s">
        <v>124</v>
      </c>
      <c r="G21" s="4" t="s">
        <v>125</v>
      </c>
      <c r="H21" s="11">
        <v>159596381.18279999</v>
      </c>
      <c r="I21" s="11">
        <v>97.028449335982003</v>
      </c>
      <c r="J21" s="11">
        <v>102.79233822485701</v>
      </c>
      <c r="K21" s="11">
        <v>9553011.8055333309</v>
      </c>
      <c r="L21" s="11">
        <v>170366993.450497</v>
      </c>
      <c r="M21" s="6">
        <f t="shared" si="0"/>
        <v>5.6565005665161656E-3</v>
      </c>
    </row>
    <row r="22" spans="1:15" x14ac:dyDescent="0.25">
      <c r="A22" s="1" t="s">
        <v>126</v>
      </c>
      <c r="B22" s="13" t="s">
        <v>127</v>
      </c>
      <c r="C22" s="10">
        <v>494987</v>
      </c>
      <c r="D22" s="11">
        <v>494987000</v>
      </c>
      <c r="E22" s="3">
        <v>0.1701</v>
      </c>
      <c r="F22" s="4" t="s">
        <v>128</v>
      </c>
      <c r="G22" s="4" t="s">
        <v>129</v>
      </c>
      <c r="H22" s="11">
        <v>495088472.34249997</v>
      </c>
      <c r="I22" s="11">
        <v>102.77120000000001</v>
      </c>
      <c r="J22" s="11">
        <v>108.01595</v>
      </c>
      <c r="K22" s="11">
        <v>25960830.682500001</v>
      </c>
      <c r="L22" s="11">
        <v>534664910.42650002</v>
      </c>
      <c r="M22" s="6">
        <f t="shared" si="0"/>
        <v>1.7751867937979331E-2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1622781414.6963651</v>
      </c>
      <c r="L24" s="22">
        <f>SUM(L4:L23)</f>
        <v>30118797204.580833</v>
      </c>
      <c r="M24" s="23"/>
      <c r="N24" s="26">
        <v>30118797204.580856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6303041.8399999999</v>
      </c>
      <c r="C27" s="59">
        <v>6303041.8399999999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3382560</v>
      </c>
      <c r="D32" s="7" t="s">
        <v>50</v>
      </c>
      <c r="E32" s="34" t="s">
        <v>54</v>
      </c>
      <c r="F32" s="34" t="s">
        <v>51</v>
      </c>
      <c r="G32" s="15">
        <v>514.42410000118298</v>
      </c>
      <c r="H32" s="15">
        <v>514.67144497362904</v>
      </c>
      <c r="I32" s="16">
        <f t="shared" ref="I32:I40" si="1">+C32*G32</f>
        <v>1740070383.7000015</v>
      </c>
      <c r="J32" s="16">
        <f t="shared" ref="J32:J40" si="2">+C32*H32</f>
        <v>1740907042.9099987</v>
      </c>
      <c r="K32" s="18">
        <v>0.17549899999999999</v>
      </c>
      <c r="L32" s="17">
        <v>836659.21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3382560</v>
      </c>
      <c r="D33" s="7" t="s">
        <v>50</v>
      </c>
      <c r="E33" s="34" t="s">
        <v>51</v>
      </c>
      <c r="F33" s="34" t="s">
        <v>51</v>
      </c>
      <c r="G33" s="15">
        <v>514.42410000118298</v>
      </c>
      <c r="H33" s="15">
        <v>514.67144497362904</v>
      </c>
      <c r="I33" s="16">
        <f t="shared" si="1"/>
        <v>1740070383.7000015</v>
      </c>
      <c r="J33" s="16">
        <f t="shared" si="2"/>
        <v>1740907042.9099987</v>
      </c>
      <c r="K33" s="18">
        <v>0.17549899999999999</v>
      </c>
      <c r="L33" s="17"/>
      <c r="M33" s="17"/>
      <c r="N33" s="35"/>
    </row>
    <row r="34" spans="1:15" s="36" customFormat="1" ht="12" customHeight="1" x14ac:dyDescent="0.25">
      <c r="A34" s="12" t="s">
        <v>55</v>
      </c>
      <c r="B34" s="7" t="s">
        <v>56</v>
      </c>
      <c r="C34" s="14">
        <v>10571</v>
      </c>
      <c r="D34" s="7" t="s">
        <v>50</v>
      </c>
      <c r="E34" s="34" t="s">
        <v>54</v>
      </c>
      <c r="F34" s="34" t="s">
        <v>51</v>
      </c>
      <c r="G34" s="15">
        <v>1041.046000378393</v>
      </c>
      <c r="H34" s="15">
        <v>1041.547984107463</v>
      </c>
      <c r="I34" s="16">
        <f t="shared" si="1"/>
        <v>11004897.269999992</v>
      </c>
      <c r="J34" s="16">
        <f t="shared" si="2"/>
        <v>11010203.739999991</v>
      </c>
      <c r="K34" s="18">
        <v>0.17600000000000002</v>
      </c>
      <c r="L34" s="17">
        <v>5306.47</v>
      </c>
      <c r="M34" s="17"/>
      <c r="N34" s="35"/>
    </row>
    <row r="35" spans="1:15" s="36" customFormat="1" ht="12" customHeight="1" x14ac:dyDescent="0.25">
      <c r="A35" s="12" t="s">
        <v>55</v>
      </c>
      <c r="B35" s="7" t="s">
        <v>56</v>
      </c>
      <c r="C35" s="14">
        <v>10571</v>
      </c>
      <c r="D35" s="7" t="s">
        <v>50</v>
      </c>
      <c r="E35" s="34" t="s">
        <v>51</v>
      </c>
      <c r="F35" s="34" t="s">
        <v>51</v>
      </c>
      <c r="G35" s="15">
        <v>1041.046000378393</v>
      </c>
      <c r="H35" s="15">
        <v>1041.547984107463</v>
      </c>
      <c r="I35" s="16">
        <f t="shared" si="1"/>
        <v>11004897.269999992</v>
      </c>
      <c r="J35" s="16">
        <f t="shared" si="2"/>
        <v>11010203.739999991</v>
      </c>
      <c r="K35" s="18">
        <v>0.17600000000000002</v>
      </c>
      <c r="L35" s="17"/>
      <c r="M35" s="17"/>
      <c r="N35" s="35"/>
    </row>
    <row r="36" spans="1:15" s="36" customFormat="1" ht="12" customHeight="1" x14ac:dyDescent="0.25">
      <c r="A36" s="12" t="s">
        <v>57</v>
      </c>
      <c r="B36" s="7" t="s">
        <v>58</v>
      </c>
      <c r="C36" s="14">
        <v>1858320</v>
      </c>
      <c r="D36" s="7" t="s">
        <v>50</v>
      </c>
      <c r="E36" s="34" t="s">
        <v>51</v>
      </c>
      <c r="F36" s="34" t="s">
        <v>59</v>
      </c>
      <c r="G36" s="15">
        <v>937.18600000000004</v>
      </c>
      <c r="H36" s="15">
        <v>938.54170245705802</v>
      </c>
      <c r="I36" s="16">
        <f t="shared" si="1"/>
        <v>1741591487.52</v>
      </c>
      <c r="J36" s="16">
        <f t="shared" si="2"/>
        <v>1744110816.51</v>
      </c>
      <c r="K36" s="18">
        <v>0.17599899999999999</v>
      </c>
      <c r="L36" s="17"/>
      <c r="M36" s="17">
        <v>1741591487.52</v>
      </c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19170</v>
      </c>
      <c r="D37" s="7" t="s">
        <v>50</v>
      </c>
      <c r="E37" s="34" t="s">
        <v>51</v>
      </c>
      <c r="F37" s="34" t="s">
        <v>59</v>
      </c>
      <c r="G37" s="15">
        <v>521.84619979134106</v>
      </c>
      <c r="H37" s="15">
        <v>522.60108555033901</v>
      </c>
      <c r="I37" s="16">
        <f t="shared" si="1"/>
        <v>10003791.650000008</v>
      </c>
      <c r="J37" s="16">
        <f t="shared" si="2"/>
        <v>10018262.809999999</v>
      </c>
      <c r="K37" s="18">
        <v>0.17599899999999999</v>
      </c>
      <c r="L37" s="17"/>
      <c r="M37" s="17">
        <v>10003791.65</v>
      </c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9240</v>
      </c>
      <c r="D38" s="7" t="s">
        <v>50</v>
      </c>
      <c r="E38" s="34" t="s">
        <v>64</v>
      </c>
      <c r="F38" s="34" t="s">
        <v>65</v>
      </c>
      <c r="G38" s="15">
        <v>866.47700000000009</v>
      </c>
      <c r="H38" s="15">
        <v>869.38503896103907</v>
      </c>
      <c r="I38" s="16">
        <f t="shared" si="1"/>
        <v>8006247.4800000004</v>
      </c>
      <c r="J38" s="16">
        <f t="shared" si="2"/>
        <v>8033117.7600000007</v>
      </c>
      <c r="K38" s="18">
        <v>0.17499999999999999</v>
      </c>
      <c r="L38" s="17">
        <v>3838.6114285714284</v>
      </c>
      <c r="M38" s="17">
        <v>8017763.3142857105</v>
      </c>
      <c r="N38" s="35"/>
    </row>
    <row r="39" spans="1:15" s="36" customFormat="1" ht="12" customHeight="1" x14ac:dyDescent="0.25">
      <c r="A39" s="12" t="s">
        <v>66</v>
      </c>
      <c r="B39" s="7" t="s">
        <v>67</v>
      </c>
      <c r="C39" s="14">
        <v>1656000</v>
      </c>
      <c r="D39" s="7" t="s">
        <v>50</v>
      </c>
      <c r="E39" s="34" t="s">
        <v>64</v>
      </c>
      <c r="F39" s="34" t="s">
        <v>65</v>
      </c>
      <c r="G39" s="15">
        <v>906.46800000000007</v>
      </c>
      <c r="H39" s="15">
        <v>909.51025561594201</v>
      </c>
      <c r="I39" s="16">
        <f t="shared" si="1"/>
        <v>1501111008.0000002</v>
      </c>
      <c r="J39" s="16">
        <f t="shared" si="2"/>
        <v>1506148983.3</v>
      </c>
      <c r="K39" s="18">
        <v>0.17499999999999999</v>
      </c>
      <c r="L39" s="17">
        <v>719710.75714285707</v>
      </c>
      <c r="M39" s="17">
        <v>1503270140.2714281</v>
      </c>
      <c r="N39" s="35"/>
    </row>
    <row r="40" spans="1:15" s="36" customFormat="1" ht="12" customHeight="1" x14ac:dyDescent="0.25">
      <c r="A40" s="12" t="s">
        <v>68</v>
      </c>
      <c r="B40" s="7" t="s">
        <v>69</v>
      </c>
      <c r="C40" s="14">
        <v>97110</v>
      </c>
      <c r="D40" s="7" t="s">
        <v>50</v>
      </c>
      <c r="E40" s="34" t="s">
        <v>64</v>
      </c>
      <c r="F40" s="34" t="s">
        <v>65</v>
      </c>
      <c r="G40" s="15">
        <v>927.21900000000005</v>
      </c>
      <c r="H40" s="15">
        <v>930.33089939244201</v>
      </c>
      <c r="I40" s="16">
        <f t="shared" si="1"/>
        <v>90042237.090000004</v>
      </c>
      <c r="J40" s="16">
        <f t="shared" si="2"/>
        <v>90344433.640000045</v>
      </c>
      <c r="K40" s="18">
        <v>0.17499999999999999</v>
      </c>
      <c r="L40" s="17">
        <v>43170.935714285704</v>
      </c>
      <c r="M40" s="17">
        <v>90171749.897142857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3353054932.6528568</v>
      </c>
      <c r="N42" s="38">
        <v>3353054932.6528573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x14ac:dyDescent="0.25">
      <c r="A46" s="57">
        <f ca="1">IF(OFFSET(A46,-1,0)="№ п/п",1,OFFSET(A46,-1,0)+1)</f>
        <v>1</v>
      </c>
      <c r="B46" s="40" t="s">
        <v>49</v>
      </c>
      <c r="C46" s="52" t="s">
        <v>50</v>
      </c>
      <c r="D46" s="53" t="s">
        <v>51</v>
      </c>
      <c r="E46" s="54">
        <v>1000000</v>
      </c>
      <c r="F46" s="55">
        <v>69450000</v>
      </c>
      <c r="G46" s="56">
        <v>69450000</v>
      </c>
      <c r="H46" s="59">
        <v>69450000</v>
      </c>
      <c r="I46" s="29">
        <f>G46-H46</f>
        <v>0</v>
      </c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SUM(G46:G47)</f>
        <v>69450000</v>
      </c>
    </row>
    <row r="50" spans="1:4" x14ac:dyDescent="0.25">
      <c r="A50" s="47" t="s">
        <v>13</v>
      </c>
      <c r="B50" s="48">
        <f>+L24+B27+M42+G48</f>
        <v>33547605179.073692</v>
      </c>
      <c r="C50" s="32">
        <v>33547605179.073715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">
      <c r="A56" s="49" t="s">
        <v>37</v>
      </c>
      <c r="B56" s="58">
        <v>446205.58999999997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137196.26999999999</v>
      </c>
    </row>
    <row r="60" spans="1:4" x14ac:dyDescent="0.25">
      <c r="A60" s="49" t="s">
        <v>41</v>
      </c>
      <c r="B60" s="51">
        <v>68383.88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651785.74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2025-12-01T06:34:32Z</dcterms:created>
  <dcterms:modified xsi:type="dcterms:W3CDTF">2025-12-01T10:32:55Z</dcterms:modified>
</cp:coreProperties>
</file>