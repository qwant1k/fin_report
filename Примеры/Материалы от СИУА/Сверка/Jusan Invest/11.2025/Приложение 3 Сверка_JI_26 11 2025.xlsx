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1.2025\"/>
    </mc:Choice>
  </mc:AlternateContent>
  <xr:revisionPtr revIDLastSave="0" documentId="13_ncr:1_{27F7BC3B-46CF-40F5-A69C-819AE165EB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6" i="1" l="1"/>
  <c r="O49" i="1"/>
  <c r="O24" i="1"/>
  <c r="D27" i="1"/>
  <c r="B70" i="1"/>
  <c r="G54" i="1"/>
  <c r="B56" i="1" s="1"/>
  <c r="M49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1" i="1" s="1"/>
  <c r="K24" i="1"/>
  <c r="M22" i="1"/>
  <c r="M17" i="1"/>
  <c r="M16" i="1"/>
  <c r="M11" i="1"/>
  <c r="M10" i="1"/>
  <c r="M6" i="1"/>
  <c r="M5" i="1"/>
  <c r="M4" i="1"/>
  <c r="M7" i="1" l="1"/>
  <c r="M13" i="1"/>
  <c r="M19" i="1"/>
  <c r="M12" i="1"/>
  <c r="M18" i="1"/>
  <c r="M8" i="1"/>
  <c r="M14" i="1"/>
  <c r="M20" i="1"/>
  <c r="M9" i="1"/>
  <c r="M15" i="1"/>
</calcChain>
</file>

<file path=xl/sharedStrings.xml><?xml version="1.0" encoding="utf-8"?>
<sst xmlns="http://schemas.openxmlformats.org/spreadsheetml/2006/main" count="210" uniqueCount="136">
  <si>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</si>
  <si>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</si>
  <si>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</si>
  <si>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</si>
  <si>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</si>
  <si>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</si>
  <si>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</si>
  <si>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</si>
  <si>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</si>
  <si>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</si>
  <si>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</si>
  <si>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</si>
  <si>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</si>
  <si>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</si>
  <si>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</si>
  <si>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</si>
  <si>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</si>
  <si>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</si>
  <si>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</si>
  <si>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</si>
  <si>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</si>
  <si>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</si>
  <si>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</si>
  <si>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</si>
  <si>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</si>
  <si>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</si>
  <si>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</si>
  <si>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</si>
  <si>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</si>
  <si>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</si>
  <si>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</si>
  <si>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</si>
  <si>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</si>
  <si>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</si>
  <si>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</si>
  <si>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</si>
  <si>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</si>
  <si>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</si>
  <si>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</si>
  <si>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</si>
  <si>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</si>
  <si>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</si>
  <si>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</si>
  <si>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</si>
  <si>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</si>
  <si>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</si>
  <si>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</si>
  <si>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</si>
  <si>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</si>
  <si>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MUM072_0014</t>
  </si>
  <si>
    <t>KZKD00001210</t>
  </si>
  <si>
    <t>KZT</t>
  </si>
  <si>
    <t>25.11.2025</t>
  </si>
  <si>
    <t>26.11.2025</t>
  </si>
  <si>
    <t>АО КФУ, ОБЛИГАЦИИ, KFUSb11</t>
  </si>
  <si>
    <t>KZ2C00007334</t>
  </si>
  <si>
    <t>МИНИСТЕРСТВО ФИНАНСОВ РК, ГЦБ, MUM096_0011</t>
  </si>
  <si>
    <t>KZKD00001095</t>
  </si>
  <si>
    <t>02.12.2025</t>
  </si>
  <si>
    <t>МИНИСТЕРСТВО ФИНАНСОВ РК, ГЦБ, MUM180_0012</t>
  </si>
  <si>
    <t>KZKD00000840</t>
  </si>
  <si>
    <t>МИНИСТЕРСТВО ФИНАНСОВ РК, ГЦБ, MUM180_0015</t>
  </si>
  <si>
    <t>KZKD00001186</t>
  </si>
  <si>
    <t>МИНИСТЕРСТВО ФИНАНСОВ РК, ГЦБ, MUM144_0009</t>
  </si>
  <si>
    <t>KZKD00001178</t>
  </si>
  <si>
    <t>МИНИСТЕРСТВО ФИНАНСОВ РК, ГЦБ, KZ_06_4410</t>
  </si>
  <si>
    <t>XS1120709826</t>
  </si>
  <si>
    <t>27.11.2025</t>
  </si>
  <si>
    <t>МИНИСТЕРСТВО ФИНАНСОВ РК, ГЦБ, MKM012_0160</t>
  </si>
  <si>
    <t>KZK100000373</t>
  </si>
  <si>
    <t>МИНИСТЕРСТВО ФИНАНСОВ РК, ГЦБ, MUM096_0014</t>
  </si>
  <si>
    <t>KZKD00001228</t>
  </si>
  <si>
    <t>МИНИСТЕРСТВО ФИНАНСОВ РК, ГЦБ, MUM156_0005</t>
  </si>
  <si>
    <t>KZKD00000758</t>
  </si>
  <si>
    <t>МИНИСТЕРСТВО ФИНАНСОВ РК, ГЦБ, MUM120_0018</t>
  </si>
  <si>
    <t>KZKD00000907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</si>
  <si>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</si>
  <si>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</si>
  <si>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</si>
  <si>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</si>
  <si>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</si>
  <si>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</si>
  <si>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</si>
  <si>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</si>
  <si>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</si>
  <si>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</si>
  <si>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</si>
  <si>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</si>
  <si>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</si>
  <si>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</si>
  <si>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</si>
  <si>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</si>
  <si>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</si>
  <si>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</si>
  <si>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</si>
  <si>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</si>
  <si>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</si>
  <si>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</si>
  <si>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</si>
  <si>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</si>
  <si>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</si>
  <si>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</si>
  <si>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</si>
  <si>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</si>
  <si>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</si>
  <si>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</si>
  <si>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</si>
  <si>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</si>
  <si>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</si>
  <si>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</si>
  <si>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</si>
  <si>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</si>
  <si>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</si>
  <si>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</si>
  <si>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</si>
  <si>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</si>
  <si>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</si>
  <si>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</si>
  <si>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</si>
  <si>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</si>
  <si>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</si>
  <si>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</si>
  <si>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</si>
  <si>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</si>
  <si>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</si>
  <si>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</si>
  <si>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</si>
  <si>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</si>
  <si>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АО КФУ,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</si>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</sst>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0"/>
  <sheetViews>
    <sheetView tabSelected="1" topLeftCell="A16" zoomScale="90" zoomScaleNormal="90" workbookViewId="0">
      <selection activeCell="D57" sqref="D57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76</v>
      </c>
      <c r="B4" s="13" t="s">
        <v>77</v>
      </c>
      <c r="C4" s="10">
        <v>3020000</v>
      </c>
      <c r="D4" s="11">
        <v>3020000000</v>
      </c>
      <c r="E4" s="3">
        <v>0.1067</v>
      </c>
      <c r="F4" s="4" t="s">
        <v>78</v>
      </c>
      <c r="G4" s="4" t="s">
        <v>79</v>
      </c>
      <c r="H4" s="11">
        <v>2930617060.0000029</v>
      </c>
      <c r="I4" s="11">
        <v>98.9529</v>
      </c>
      <c r="J4" s="11">
        <v>102.657761111111</v>
      </c>
      <c r="K4" s="11">
        <v>111886805.555556</v>
      </c>
      <c r="L4" s="11">
        <v>3100264385.5555549</v>
      </c>
      <c r="M4" s="6">
        <f t="shared" ref="M4:M22" si="0">L4/$L$24</f>
        <v>0.10286239833636336</v>
      </c>
    </row>
    <row r="5" spans="1:13" x14ac:dyDescent="0.25">
      <c r="A5" s="1" t="s">
        <v>80</v>
      </c>
      <c r="B5" s="13" t="s">
        <v>81</v>
      </c>
      <c r="C5" s="10">
        <v>2265000</v>
      </c>
      <c r="D5" s="11">
        <v>2265000000</v>
      </c>
      <c r="E5" s="3">
        <v>0.10550000000000001</v>
      </c>
      <c r="F5" s="4" t="s">
        <v>78</v>
      </c>
      <c r="G5" s="4" t="s">
        <v>82</v>
      </c>
      <c r="H5" s="11">
        <v>2039188560.0000031</v>
      </c>
      <c r="I5" s="11">
        <v>84.035300000000007</v>
      </c>
      <c r="J5" s="11">
        <v>87.493355555555553</v>
      </c>
      <c r="K5" s="11">
        <v>78324958.333333328</v>
      </c>
      <c r="L5" s="11">
        <v>1981724503.333333</v>
      </c>
      <c r="M5" s="6">
        <f t="shared" si="0"/>
        <v>6.5750823124808094E-2</v>
      </c>
    </row>
    <row r="6" spans="1:13" x14ac:dyDescent="0.25">
      <c r="A6" s="1" t="s">
        <v>80</v>
      </c>
      <c r="B6" s="13" t="s">
        <v>81</v>
      </c>
      <c r="C6" s="10">
        <v>1551646</v>
      </c>
      <c r="D6" s="11">
        <v>1551646000</v>
      </c>
      <c r="E6" s="3">
        <v>0.10550000000000001</v>
      </c>
      <c r="F6" s="4" t="s">
        <v>83</v>
      </c>
      <c r="G6" s="4" t="s">
        <v>82</v>
      </c>
      <c r="H6" s="11">
        <v>1395452658.7</v>
      </c>
      <c r="I6" s="11">
        <v>84.035300000000007</v>
      </c>
      <c r="J6" s="11">
        <v>87.493355555555809</v>
      </c>
      <c r="K6" s="11">
        <v>53656780.705555551</v>
      </c>
      <c r="L6" s="11">
        <v>1357587151.7435589</v>
      </c>
      <c r="M6" s="6">
        <f t="shared" si="0"/>
        <v>4.5042826356872519E-2</v>
      </c>
    </row>
    <row r="7" spans="1:13" x14ac:dyDescent="0.25">
      <c r="A7" s="1" t="s">
        <v>80</v>
      </c>
      <c r="B7" s="13" t="s">
        <v>81</v>
      </c>
      <c r="C7" s="10">
        <v>545692</v>
      </c>
      <c r="D7" s="11">
        <v>545692000</v>
      </c>
      <c r="E7" s="3">
        <v>0.10550000000000001</v>
      </c>
      <c r="F7" s="4" t="s">
        <v>84</v>
      </c>
      <c r="G7" s="4" t="s">
        <v>82</v>
      </c>
      <c r="H7" s="11">
        <v>449784993.92000002</v>
      </c>
      <c r="I7" s="11">
        <v>84.035300000000007</v>
      </c>
      <c r="J7" s="11">
        <v>87.493355555555553</v>
      </c>
      <c r="K7" s="11">
        <v>18870332.522222221</v>
      </c>
      <c r="L7" s="11">
        <v>477444241.79822201</v>
      </c>
      <c r="M7" s="6">
        <f t="shared" si="0"/>
        <v>1.5840926345528819E-2</v>
      </c>
    </row>
    <row r="8" spans="1:13" x14ac:dyDescent="0.25">
      <c r="A8" s="1" t="s">
        <v>85</v>
      </c>
      <c r="B8" s="13" t="s">
        <v>86</v>
      </c>
      <c r="C8" s="10">
        <v>2265000</v>
      </c>
      <c r="D8" s="11">
        <v>2265000000</v>
      </c>
      <c r="E8" s="3">
        <v>0.10400000000000001</v>
      </c>
      <c r="F8" s="4" t="s">
        <v>78</v>
      </c>
      <c r="G8" s="4" t="s">
        <v>87</v>
      </c>
      <c r="H8" s="11">
        <v>2073109200</v>
      </c>
      <c r="I8" s="11">
        <v>88.182900000000004</v>
      </c>
      <c r="J8" s="11">
        <v>94.654011111111103</v>
      </c>
      <c r="K8" s="11">
        <v>146570666.66666701</v>
      </c>
      <c r="L8" s="11">
        <v>2143913351.666666</v>
      </c>
      <c r="M8" s="6">
        <f t="shared" si="0"/>
        <v>7.1132020290026562E-2</v>
      </c>
    </row>
    <row r="9" spans="1:13" x14ac:dyDescent="0.25">
      <c r="A9" s="1" t="s">
        <v>88</v>
      </c>
      <c r="B9" s="13" t="s">
        <v>89</v>
      </c>
      <c r="C9" s="10">
        <v>2265000</v>
      </c>
      <c r="D9" s="11">
        <v>2265000000</v>
      </c>
      <c r="E9" s="3">
        <v>0.11</v>
      </c>
      <c r="F9" s="4" t="s">
        <v>78</v>
      </c>
      <c r="G9" s="4" t="s">
        <v>90</v>
      </c>
      <c r="H9" s="11">
        <v>2080889475</v>
      </c>
      <c r="I9" s="11">
        <v>86.119700000000009</v>
      </c>
      <c r="J9" s="11">
        <v>93.330811111111103</v>
      </c>
      <c r="K9" s="11">
        <v>163331666.66666701</v>
      </c>
      <c r="L9" s="11">
        <v>2113942871.666666</v>
      </c>
      <c r="M9" s="6">
        <f t="shared" si="0"/>
        <v>7.0137642047172419E-2</v>
      </c>
    </row>
    <row r="10" spans="1:13" x14ac:dyDescent="0.25">
      <c r="A10" s="1" t="s">
        <v>91</v>
      </c>
      <c r="B10" s="13" t="s">
        <v>92</v>
      </c>
      <c r="C10" s="10">
        <v>2265000</v>
      </c>
      <c r="D10" s="11">
        <v>2265000000</v>
      </c>
      <c r="E10" s="3">
        <v>0.10300000000000001</v>
      </c>
      <c r="F10" s="4" t="s">
        <v>78</v>
      </c>
      <c r="G10" s="4" t="s">
        <v>93</v>
      </c>
      <c r="H10" s="11">
        <v>1963990560.0000031</v>
      </c>
      <c r="I10" s="11">
        <v>78.684899999999999</v>
      </c>
      <c r="J10" s="11">
        <v>85.809066666666652</v>
      </c>
      <c r="K10" s="11">
        <v>161362375</v>
      </c>
      <c r="L10" s="11">
        <v>1943575360</v>
      </c>
      <c r="M10" s="6">
        <f t="shared" si="0"/>
        <v>6.4485088371337665E-2</v>
      </c>
    </row>
    <row r="11" spans="1:13" x14ac:dyDescent="0.25">
      <c r="A11" s="1" t="s">
        <v>94</v>
      </c>
      <c r="B11" s="13" t="s">
        <v>95</v>
      </c>
      <c r="C11" s="10">
        <v>2265000</v>
      </c>
      <c r="D11" s="11">
        <v>2265000000</v>
      </c>
      <c r="E11" s="3">
        <v>8.4500000000000006E-2</v>
      </c>
      <c r="F11" s="4" t="s">
        <v>78</v>
      </c>
      <c r="G11" s="4" t="s">
        <v>96</v>
      </c>
      <c r="H11" s="11">
        <v>1740247065.0000031</v>
      </c>
      <c r="I11" s="11">
        <v>69.182500000000005</v>
      </c>
      <c r="J11" s="11">
        <v>74.346388888888882</v>
      </c>
      <c r="K11" s="11">
        <v>116962083.333333</v>
      </c>
      <c r="L11" s="11">
        <v>1683945708.333333</v>
      </c>
      <c r="M11" s="6">
        <f t="shared" si="0"/>
        <v>5.5870942824882176E-2</v>
      </c>
    </row>
    <row r="12" spans="1:13" x14ac:dyDescent="0.25">
      <c r="A12" s="1" t="s">
        <v>97</v>
      </c>
      <c r="B12" s="13" t="s">
        <v>98</v>
      </c>
      <c r="C12" s="10">
        <v>2265000</v>
      </c>
      <c r="D12" s="11">
        <v>2265000000</v>
      </c>
      <c r="E12" s="3">
        <v>0.10650000000000001</v>
      </c>
      <c r="F12" s="4" t="s">
        <v>78</v>
      </c>
      <c r="G12" s="4" t="s">
        <v>99</v>
      </c>
      <c r="H12" s="11">
        <v>1967775375</v>
      </c>
      <c r="I12" s="11">
        <v>76.90270000000001</v>
      </c>
      <c r="J12" s="11">
        <v>80.452700000000007</v>
      </c>
      <c r="K12" s="11">
        <v>80407500</v>
      </c>
      <c r="L12" s="11">
        <v>1822253655</v>
      </c>
      <c r="M12" s="6">
        <f t="shared" si="0"/>
        <v>6.0459805364927073E-2</v>
      </c>
    </row>
    <row r="13" spans="1:13" x14ac:dyDescent="0.25">
      <c r="A13" s="1" t="s">
        <v>100</v>
      </c>
      <c r="B13" s="13" t="s">
        <v>101</v>
      </c>
      <c r="C13" s="10">
        <v>2265000</v>
      </c>
      <c r="D13" s="11">
        <v>2265000000</v>
      </c>
      <c r="E13" s="3">
        <v>8.0700000000000008E-2</v>
      </c>
      <c r="F13" s="4" t="s">
        <v>78</v>
      </c>
      <c r="G13" s="4" t="s">
        <v>102</v>
      </c>
      <c r="H13" s="11">
        <v>1622351550</v>
      </c>
      <c r="I13" s="11">
        <v>62.574300000000001</v>
      </c>
      <c r="J13" s="11">
        <v>66.923133333333325</v>
      </c>
      <c r="K13" s="11">
        <v>98501075</v>
      </c>
      <c r="L13" s="11">
        <v>1515808970</v>
      </c>
      <c r="M13" s="6">
        <f t="shared" si="0"/>
        <v>5.0292403060983613E-2</v>
      </c>
    </row>
    <row r="14" spans="1:13" x14ac:dyDescent="0.25">
      <c r="A14" s="1" t="s">
        <v>103</v>
      </c>
      <c r="B14" s="13" t="s">
        <v>104</v>
      </c>
      <c r="C14" s="10">
        <v>2265000</v>
      </c>
      <c r="D14" s="11">
        <v>2265000000</v>
      </c>
      <c r="E14" s="3">
        <v>8.0700000000000008E-2</v>
      </c>
      <c r="F14" s="4" t="s">
        <v>78</v>
      </c>
      <c r="G14" s="4" t="s">
        <v>105</v>
      </c>
      <c r="H14" s="11">
        <v>1597764975</v>
      </c>
      <c r="I14" s="11">
        <v>61.161500000000004</v>
      </c>
      <c r="J14" s="11">
        <v>67.819249999999997</v>
      </c>
      <c r="K14" s="11">
        <v>150798037.5</v>
      </c>
      <c r="L14" s="11">
        <v>1536106012.5</v>
      </c>
      <c r="M14" s="6">
        <f t="shared" si="0"/>
        <v>5.0965830295258335E-2</v>
      </c>
    </row>
    <row r="15" spans="1:13" x14ac:dyDescent="0.25">
      <c r="A15" s="1" t="s">
        <v>106</v>
      </c>
      <c r="B15" s="13" t="s">
        <v>107</v>
      </c>
      <c r="C15" s="10">
        <v>3775000</v>
      </c>
      <c r="D15" s="11">
        <v>3775000000</v>
      </c>
      <c r="E15" s="3">
        <v>5.4900000000000004E-2</v>
      </c>
      <c r="F15" s="4" t="s">
        <v>78</v>
      </c>
      <c r="G15" s="4" t="s">
        <v>108</v>
      </c>
      <c r="H15" s="11">
        <v>3136670150</v>
      </c>
      <c r="I15" s="11">
        <v>87.275700000000001</v>
      </c>
      <c r="J15" s="11">
        <v>90.920450000000002</v>
      </c>
      <c r="K15" s="11">
        <v>137589312.5</v>
      </c>
      <c r="L15" s="11">
        <v>3432246987.5</v>
      </c>
      <c r="M15" s="6">
        <f t="shared" si="0"/>
        <v>0.11387711269461401</v>
      </c>
    </row>
    <row r="16" spans="1:13" x14ac:dyDescent="0.25">
      <c r="A16" s="1" t="s">
        <v>109</v>
      </c>
      <c r="B16" s="13" t="s">
        <v>110</v>
      </c>
      <c r="C16" s="10">
        <v>2803860</v>
      </c>
      <c r="D16" s="11">
        <v>2803860000</v>
      </c>
      <c r="E16" s="3">
        <v>5.5E-2</v>
      </c>
      <c r="F16" s="4" t="s">
        <v>111</v>
      </c>
      <c r="G16" s="4" t="s">
        <v>112</v>
      </c>
      <c r="H16" s="11">
        <v>1773018067.1400001</v>
      </c>
      <c r="I16" s="11">
        <v>58.060100000000006</v>
      </c>
      <c r="J16" s="11">
        <v>61.298988888888879</v>
      </c>
      <c r="K16" s="11">
        <v>90813910</v>
      </c>
      <c r="L16" s="11">
        <v>1718737829.8599999</v>
      </c>
      <c r="M16" s="6">
        <f t="shared" si="0"/>
        <v>5.7025296331027382E-2</v>
      </c>
    </row>
    <row r="17" spans="1:15" x14ac:dyDescent="0.25">
      <c r="A17" s="1" t="s">
        <v>113</v>
      </c>
      <c r="B17" s="13" t="s">
        <v>114</v>
      </c>
      <c r="C17" s="10">
        <v>1038480</v>
      </c>
      <c r="D17" s="11">
        <v>1038480000</v>
      </c>
      <c r="E17" s="3">
        <v>0.12</v>
      </c>
      <c r="F17" s="4" t="s">
        <v>111</v>
      </c>
      <c r="G17" s="4" t="s">
        <v>115</v>
      </c>
      <c r="H17" s="11">
        <v>979029096.96000004</v>
      </c>
      <c r="I17" s="11">
        <v>86.40440000000001</v>
      </c>
      <c r="J17" s="11">
        <v>95.037733333333321</v>
      </c>
      <c r="K17" s="11">
        <v>89655440</v>
      </c>
      <c r="L17" s="11">
        <v>986947853.12</v>
      </c>
      <c r="M17" s="6">
        <f t="shared" si="0"/>
        <v>3.2745537341214902E-2</v>
      </c>
    </row>
    <row r="18" spans="1:15" x14ac:dyDescent="0.25">
      <c r="A18" s="1" t="s">
        <v>116</v>
      </c>
      <c r="B18" s="13" t="s">
        <v>117</v>
      </c>
      <c r="C18" s="10">
        <v>506989</v>
      </c>
      <c r="D18" s="11">
        <v>506989000</v>
      </c>
      <c r="E18" s="3">
        <v>0.1535</v>
      </c>
      <c r="F18" s="4" t="s">
        <v>118</v>
      </c>
      <c r="G18" s="4" t="s">
        <v>119</v>
      </c>
      <c r="H18" s="11">
        <v>492216861.50999999</v>
      </c>
      <c r="I18" s="11">
        <v>98.734500000000011</v>
      </c>
      <c r="J18" s="11">
        <v>99.075611111111101</v>
      </c>
      <c r="K18" s="11">
        <v>1729395.81111111</v>
      </c>
      <c r="L18" s="11">
        <v>502302450.01611102</v>
      </c>
      <c r="M18" s="6">
        <f t="shared" si="0"/>
        <v>1.666568662324899E-2</v>
      </c>
    </row>
    <row r="19" spans="1:15" x14ac:dyDescent="0.25">
      <c r="A19" s="1" t="s">
        <v>120</v>
      </c>
      <c r="B19" s="13" t="s">
        <v>121</v>
      </c>
      <c r="C19" s="10">
        <v>2100000</v>
      </c>
      <c r="D19" s="11">
        <v>2100000000</v>
      </c>
      <c r="E19" s="3">
        <v>0.14300000000000002</v>
      </c>
      <c r="F19" s="4" t="s">
        <v>122</v>
      </c>
      <c r="G19" s="4" t="s">
        <v>123</v>
      </c>
      <c r="H19" s="11">
        <v>2100000000</v>
      </c>
      <c r="I19" s="11">
        <v>95.182648854516501</v>
      </c>
      <c r="J19" s="11">
        <v>98.479593298960935</v>
      </c>
      <c r="K19" s="11">
        <v>69235833.333333328</v>
      </c>
      <c r="L19" s="11">
        <v>2068071459.2781789</v>
      </c>
      <c r="M19" s="6">
        <f t="shared" si="0"/>
        <v>6.8615693301336475E-2</v>
      </c>
    </row>
    <row r="20" spans="1:15" x14ac:dyDescent="0.25">
      <c r="A20" s="1" t="s">
        <v>124</v>
      </c>
      <c r="B20" s="13" t="s">
        <v>125</v>
      </c>
      <c r="C20" s="10">
        <v>1000000</v>
      </c>
      <c r="D20" s="11">
        <v>1000000000</v>
      </c>
      <c r="E20" s="3">
        <v>0.1389</v>
      </c>
      <c r="F20" s="4" t="s">
        <v>126</v>
      </c>
      <c r="G20" s="4" t="s">
        <v>127</v>
      </c>
      <c r="H20" s="11">
        <v>1000000000</v>
      </c>
      <c r="I20" s="11">
        <v>98.328082438068293</v>
      </c>
      <c r="J20" s="11">
        <v>105.195915771402</v>
      </c>
      <c r="K20" s="11">
        <v>68678333.333333328</v>
      </c>
      <c r="L20" s="11">
        <v>1051959157.714016</v>
      </c>
      <c r="M20" s="6">
        <f t="shared" si="0"/>
        <v>3.4902520707108704E-2</v>
      </c>
    </row>
    <row r="21" spans="1:15" x14ac:dyDescent="0.25">
      <c r="A21" s="1" t="s">
        <v>128</v>
      </c>
      <c r="B21" s="13" t="s">
        <v>129</v>
      </c>
      <c r="C21" s="10">
        <v>165739</v>
      </c>
      <c r="D21" s="11">
        <v>165739000</v>
      </c>
      <c r="E21" s="3">
        <v>0.125</v>
      </c>
      <c r="F21" s="4" t="s">
        <v>130</v>
      </c>
      <c r="G21" s="4" t="s">
        <v>131</v>
      </c>
      <c r="H21" s="11">
        <v>159596381.18279999</v>
      </c>
      <c r="I21" s="11">
        <v>96.736079997658791</v>
      </c>
      <c r="J21" s="11">
        <v>102.43052444209</v>
      </c>
      <c r="K21" s="11">
        <v>9437915.2777555604</v>
      </c>
      <c r="L21" s="11">
        <v>169767326.90507501</v>
      </c>
      <c r="M21" s="6">
        <f t="shared" si="0"/>
        <v>5.6326403922097121E-3</v>
      </c>
    </row>
    <row r="22" spans="1:15" x14ac:dyDescent="0.25">
      <c r="A22" s="1" t="s">
        <v>132</v>
      </c>
      <c r="B22" s="13" t="s">
        <v>133</v>
      </c>
      <c r="C22" s="10">
        <v>494987</v>
      </c>
      <c r="D22" s="11">
        <v>494987000</v>
      </c>
      <c r="E22" s="3">
        <v>0.1701</v>
      </c>
      <c r="F22" s="4" t="s">
        <v>134</v>
      </c>
      <c r="G22" s="4" t="s">
        <v>135</v>
      </c>
      <c r="H22" s="11">
        <v>495088472.34249997</v>
      </c>
      <c r="I22" s="11">
        <v>102.59400000000001</v>
      </c>
      <c r="J22" s="11">
        <v>107.74424999999999</v>
      </c>
      <c r="K22" s="11">
        <v>25493067.967500001</v>
      </c>
      <c r="L22" s="11">
        <v>533320030.7475</v>
      </c>
      <c r="M22" s="6">
        <f t="shared" si="0"/>
        <v>1.769480619107924E-2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1673305489.5063674</v>
      </c>
      <c r="L24" s="22">
        <f>SUM(L4:L23)</f>
        <v>30139919306.738213</v>
      </c>
      <c r="M24" s="23"/>
      <c r="N24" s="26">
        <v>30139919306.738235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5090623.46</v>
      </c>
      <c r="C27" s="51">
        <v>5090623.46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262735</v>
      </c>
      <c r="D32" s="7" t="s">
        <v>51</v>
      </c>
      <c r="E32" s="34" t="s">
        <v>52</v>
      </c>
      <c r="F32" s="34" t="s">
        <v>53</v>
      </c>
      <c r="G32" s="15">
        <v>1069.748</v>
      </c>
      <c r="H32" s="15">
        <v>1070.2579620530191</v>
      </c>
      <c r="I32" s="16">
        <f t="shared" ref="I32:I47" si="1">+C32*G32</f>
        <v>281060240.78000003</v>
      </c>
      <c r="J32" s="16">
        <f t="shared" ref="J32:J47" si="2">+C32*H32</f>
        <v>281194225.65999997</v>
      </c>
      <c r="K32" s="18">
        <v>0.17400000000000002</v>
      </c>
      <c r="L32" s="17">
        <v>133984.88</v>
      </c>
      <c r="M32" s="17"/>
      <c r="N32" s="35"/>
    </row>
    <row r="33" spans="1:14" s="36" customFormat="1" ht="12" customHeight="1" x14ac:dyDescent="0.25">
      <c r="A33" s="12" t="s">
        <v>49</v>
      </c>
      <c r="B33" s="7" t="s">
        <v>50</v>
      </c>
      <c r="C33" s="14">
        <v>262735</v>
      </c>
      <c r="D33" s="7" t="s">
        <v>51</v>
      </c>
      <c r="E33" s="34" t="s">
        <v>53</v>
      </c>
      <c r="F33" s="34" t="s">
        <v>53</v>
      </c>
      <c r="G33" s="15">
        <v>1069.748</v>
      </c>
      <c r="H33" s="15">
        <v>1070.2579620530191</v>
      </c>
      <c r="I33" s="16">
        <f t="shared" si="1"/>
        <v>281060240.78000003</v>
      </c>
      <c r="J33" s="16">
        <f t="shared" si="2"/>
        <v>281194225.65999997</v>
      </c>
      <c r="K33" s="18">
        <v>0.17400000000000002</v>
      </c>
      <c r="L33" s="17"/>
      <c r="M33" s="17"/>
      <c r="N33" s="35"/>
    </row>
    <row r="34" spans="1:14" s="36" customFormat="1" ht="12" customHeight="1" x14ac:dyDescent="0.25">
      <c r="A34" s="12" t="s">
        <v>54</v>
      </c>
      <c r="B34" s="7" t="s">
        <v>55</v>
      </c>
      <c r="C34" s="14">
        <v>1224</v>
      </c>
      <c r="D34" s="7" t="s">
        <v>51</v>
      </c>
      <c r="E34" s="34" t="s">
        <v>52</v>
      </c>
      <c r="F34" s="34" t="s">
        <v>53</v>
      </c>
      <c r="G34" s="15">
        <v>817.24400326797399</v>
      </c>
      <c r="H34" s="15">
        <v>817.63359477124209</v>
      </c>
      <c r="I34" s="16">
        <f t="shared" si="1"/>
        <v>1000306.6600000001</v>
      </c>
      <c r="J34" s="16">
        <f t="shared" si="2"/>
        <v>1000783.5200000004</v>
      </c>
      <c r="K34" s="18">
        <v>0.17400000000000002</v>
      </c>
      <c r="L34" s="17">
        <v>476.86</v>
      </c>
      <c r="M34" s="17"/>
      <c r="N34" s="35"/>
    </row>
    <row r="35" spans="1:14" s="36" customFormat="1" ht="12" customHeight="1" x14ac:dyDescent="0.25">
      <c r="A35" s="12" t="s">
        <v>54</v>
      </c>
      <c r="B35" s="7" t="s">
        <v>55</v>
      </c>
      <c r="C35" s="14">
        <v>1224</v>
      </c>
      <c r="D35" s="7" t="s">
        <v>51</v>
      </c>
      <c r="E35" s="34" t="s">
        <v>53</v>
      </c>
      <c r="F35" s="34" t="s">
        <v>53</v>
      </c>
      <c r="G35" s="15">
        <v>817.24400326797399</v>
      </c>
      <c r="H35" s="15">
        <v>817.63359477124209</v>
      </c>
      <c r="I35" s="16">
        <f t="shared" si="1"/>
        <v>1000306.6600000001</v>
      </c>
      <c r="J35" s="16">
        <f t="shared" si="2"/>
        <v>1000783.5200000004</v>
      </c>
      <c r="K35" s="18">
        <v>0.17400000000000002</v>
      </c>
      <c r="L35" s="17"/>
      <c r="M35" s="17"/>
      <c r="N35" s="35"/>
    </row>
    <row r="36" spans="1:14" s="36" customFormat="1" ht="12" customHeight="1" x14ac:dyDescent="0.25">
      <c r="A36" s="12" t="s">
        <v>56</v>
      </c>
      <c r="B36" s="7" t="s">
        <v>57</v>
      </c>
      <c r="C36" s="14">
        <v>9240</v>
      </c>
      <c r="D36" s="7" t="s">
        <v>51</v>
      </c>
      <c r="E36" s="34" t="s">
        <v>52</v>
      </c>
      <c r="F36" s="34" t="s">
        <v>58</v>
      </c>
      <c r="G36" s="15">
        <v>866.47700000000009</v>
      </c>
      <c r="H36" s="15">
        <v>869.38503896103907</v>
      </c>
      <c r="I36" s="16">
        <f t="shared" si="1"/>
        <v>8006247.4800000004</v>
      </c>
      <c r="J36" s="16">
        <f t="shared" si="2"/>
        <v>8033117.7600000007</v>
      </c>
      <c r="K36" s="18">
        <v>0.17499999999999999</v>
      </c>
      <c r="L36" s="17">
        <v>3838.6114285714284</v>
      </c>
      <c r="M36" s="17">
        <v>8010086.0914285704</v>
      </c>
      <c r="N36" s="35"/>
    </row>
    <row r="37" spans="1:14" s="36" customFormat="1" ht="12" customHeight="1" x14ac:dyDescent="0.25">
      <c r="A37" s="12" t="s">
        <v>59</v>
      </c>
      <c r="B37" s="7" t="s">
        <v>60</v>
      </c>
      <c r="C37" s="14">
        <v>35084</v>
      </c>
      <c r="D37" s="7" t="s">
        <v>51</v>
      </c>
      <c r="E37" s="34" t="s">
        <v>52</v>
      </c>
      <c r="F37" s="34" t="s">
        <v>53</v>
      </c>
      <c r="G37" s="15">
        <v>798.36299994299407</v>
      </c>
      <c r="H37" s="15">
        <v>798.74336848706002</v>
      </c>
      <c r="I37" s="16">
        <f t="shared" si="1"/>
        <v>28009767.490000002</v>
      </c>
      <c r="J37" s="16">
        <f t="shared" si="2"/>
        <v>28023112.340000015</v>
      </c>
      <c r="K37" s="18">
        <v>0.173899</v>
      </c>
      <c r="L37" s="17">
        <v>13344.85</v>
      </c>
      <c r="M37" s="17"/>
      <c r="N37" s="35"/>
    </row>
    <row r="38" spans="1:14" s="36" customFormat="1" ht="12" customHeight="1" x14ac:dyDescent="0.25">
      <c r="A38" s="12" t="s">
        <v>59</v>
      </c>
      <c r="B38" s="7" t="s">
        <v>60</v>
      </c>
      <c r="C38" s="14">
        <v>35084</v>
      </c>
      <c r="D38" s="7" t="s">
        <v>51</v>
      </c>
      <c r="E38" s="34" t="s">
        <v>53</v>
      </c>
      <c r="F38" s="34" t="s">
        <v>53</v>
      </c>
      <c r="G38" s="15">
        <v>798.36299994299407</v>
      </c>
      <c r="H38" s="15">
        <v>798.74336848706002</v>
      </c>
      <c r="I38" s="16">
        <f t="shared" si="1"/>
        <v>28009767.490000002</v>
      </c>
      <c r="J38" s="16">
        <f t="shared" si="2"/>
        <v>28023112.340000015</v>
      </c>
      <c r="K38" s="18">
        <v>0.173899</v>
      </c>
      <c r="L38" s="17"/>
      <c r="M38" s="17"/>
      <c r="N38" s="35"/>
    </row>
    <row r="39" spans="1:14" s="36" customFormat="1" ht="12" customHeight="1" x14ac:dyDescent="0.25">
      <c r="A39" s="12" t="s">
        <v>61</v>
      </c>
      <c r="B39" s="7" t="s">
        <v>62</v>
      </c>
      <c r="C39" s="14">
        <v>1951884</v>
      </c>
      <c r="D39" s="7" t="s">
        <v>51</v>
      </c>
      <c r="E39" s="34" t="s">
        <v>52</v>
      </c>
      <c r="F39" s="34" t="s">
        <v>53</v>
      </c>
      <c r="G39" s="15">
        <v>733.46200000102499</v>
      </c>
      <c r="H39" s="15">
        <v>733.81144742208005</v>
      </c>
      <c r="I39" s="16">
        <f t="shared" si="1"/>
        <v>1431632742.4100006</v>
      </c>
      <c r="J39" s="16">
        <f t="shared" si="2"/>
        <v>1432314823.2399993</v>
      </c>
      <c r="K39" s="18">
        <v>0.173899</v>
      </c>
      <c r="L39" s="17">
        <v>682080.83</v>
      </c>
      <c r="M39" s="17"/>
      <c r="N39" s="35"/>
    </row>
    <row r="40" spans="1:14" s="36" customFormat="1" ht="12" customHeight="1" x14ac:dyDescent="0.25">
      <c r="A40" s="12" t="s">
        <v>61</v>
      </c>
      <c r="B40" s="7" t="s">
        <v>62</v>
      </c>
      <c r="C40" s="14">
        <v>1951884</v>
      </c>
      <c r="D40" s="7" t="s">
        <v>51</v>
      </c>
      <c r="E40" s="34" t="s">
        <v>53</v>
      </c>
      <c r="F40" s="34" t="s">
        <v>53</v>
      </c>
      <c r="G40" s="15">
        <v>733.46200000102499</v>
      </c>
      <c r="H40" s="15">
        <v>733.81144742208005</v>
      </c>
      <c r="I40" s="16">
        <f t="shared" si="1"/>
        <v>1431632742.4100006</v>
      </c>
      <c r="J40" s="16">
        <f t="shared" si="2"/>
        <v>1432314823.2399993</v>
      </c>
      <c r="K40" s="18">
        <v>0.173899</v>
      </c>
      <c r="L40" s="17"/>
      <c r="M40" s="17"/>
      <c r="N40" s="35"/>
    </row>
    <row r="41" spans="1:14" s="36" customFormat="1" ht="12" customHeight="1" x14ac:dyDescent="0.25">
      <c r="A41" s="12" t="s">
        <v>63</v>
      </c>
      <c r="B41" s="7" t="s">
        <v>64</v>
      </c>
      <c r="C41" s="14">
        <v>11700</v>
      </c>
      <c r="D41" s="7" t="s">
        <v>51</v>
      </c>
      <c r="E41" s="34" t="s">
        <v>52</v>
      </c>
      <c r="F41" s="34" t="s">
        <v>53</v>
      </c>
      <c r="G41" s="15">
        <v>769.69200000000001</v>
      </c>
      <c r="H41" s="15">
        <v>770.05870854700902</v>
      </c>
      <c r="I41" s="16">
        <f t="shared" si="1"/>
        <v>9005396.4000000004</v>
      </c>
      <c r="J41" s="16">
        <f t="shared" si="2"/>
        <v>9009686.8900000062</v>
      </c>
      <c r="K41" s="18">
        <v>0.173899</v>
      </c>
      <c r="L41" s="17">
        <v>4290.49</v>
      </c>
      <c r="M41" s="17"/>
      <c r="N41" s="35"/>
    </row>
    <row r="42" spans="1:14" s="36" customFormat="1" ht="12" customHeight="1" x14ac:dyDescent="0.25">
      <c r="A42" s="12" t="s">
        <v>63</v>
      </c>
      <c r="B42" s="7" t="s">
        <v>64</v>
      </c>
      <c r="C42" s="14">
        <v>11700</v>
      </c>
      <c r="D42" s="7" t="s">
        <v>51</v>
      </c>
      <c r="E42" s="34" t="s">
        <v>53</v>
      </c>
      <c r="F42" s="34" t="s">
        <v>53</v>
      </c>
      <c r="G42" s="15">
        <v>769.69200000000001</v>
      </c>
      <c r="H42" s="15">
        <v>770.05870854700902</v>
      </c>
      <c r="I42" s="16">
        <f t="shared" si="1"/>
        <v>9005396.4000000004</v>
      </c>
      <c r="J42" s="16">
        <f t="shared" si="2"/>
        <v>9009686.8900000062</v>
      </c>
      <c r="K42" s="18">
        <v>0.173899</v>
      </c>
      <c r="L42" s="17"/>
      <c r="M42" s="17"/>
      <c r="N42" s="35"/>
    </row>
    <row r="43" spans="1:14" s="36" customFormat="1" ht="12" customHeight="1" x14ac:dyDescent="0.25">
      <c r="A43" s="12" t="s">
        <v>65</v>
      </c>
      <c r="B43" s="7" t="s">
        <v>66</v>
      </c>
      <c r="C43" s="14">
        <v>157388</v>
      </c>
      <c r="D43" s="7" t="s">
        <v>51</v>
      </c>
      <c r="E43" s="34" t="s">
        <v>53</v>
      </c>
      <c r="F43" s="34" t="s">
        <v>67</v>
      </c>
      <c r="G43" s="15">
        <v>489.24870002795603</v>
      </c>
      <c r="H43" s="15">
        <v>489.48729121661103</v>
      </c>
      <c r="I43" s="16">
        <f t="shared" si="1"/>
        <v>77001874.399999946</v>
      </c>
      <c r="J43" s="16">
        <f t="shared" si="2"/>
        <v>77039425.789999977</v>
      </c>
      <c r="K43" s="18">
        <v>0.17799899999999999</v>
      </c>
      <c r="L43" s="17"/>
      <c r="M43" s="17">
        <v>77001874.400000006</v>
      </c>
      <c r="N43" s="35"/>
    </row>
    <row r="44" spans="1:14" s="36" customFormat="1" ht="12" customHeight="1" x14ac:dyDescent="0.25">
      <c r="A44" s="12" t="s">
        <v>68</v>
      </c>
      <c r="B44" s="7" t="s">
        <v>69</v>
      </c>
      <c r="C44" s="14">
        <v>17188768</v>
      </c>
      <c r="D44" s="7" t="s">
        <v>51</v>
      </c>
      <c r="E44" s="34" t="s">
        <v>53</v>
      </c>
      <c r="F44" s="34" t="s">
        <v>67</v>
      </c>
      <c r="G44" s="15">
        <v>96.755299999976714</v>
      </c>
      <c r="H44" s="15">
        <v>96.802484511397211</v>
      </c>
      <c r="I44" s="16">
        <f t="shared" si="1"/>
        <v>1663104404.4699998</v>
      </c>
      <c r="J44" s="16">
        <f t="shared" si="2"/>
        <v>1663915448.0899999</v>
      </c>
      <c r="K44" s="18">
        <v>0.17799899999999999</v>
      </c>
      <c r="L44" s="17"/>
      <c r="M44" s="17">
        <v>1663104404.47</v>
      </c>
      <c r="N44" s="35"/>
    </row>
    <row r="45" spans="1:14" s="36" customFormat="1" ht="12" customHeight="1" x14ac:dyDescent="0.25">
      <c r="A45" s="12" t="s">
        <v>70</v>
      </c>
      <c r="B45" s="7" t="s">
        <v>71</v>
      </c>
      <c r="C45" s="14">
        <v>11187</v>
      </c>
      <c r="D45" s="7" t="s">
        <v>51</v>
      </c>
      <c r="E45" s="34" t="s">
        <v>53</v>
      </c>
      <c r="F45" s="34" t="s">
        <v>67</v>
      </c>
      <c r="G45" s="15">
        <v>983.77500044694705</v>
      </c>
      <c r="H45" s="15">
        <v>984.25475909537909</v>
      </c>
      <c r="I45" s="16">
        <f t="shared" si="1"/>
        <v>11005490.929999996</v>
      </c>
      <c r="J45" s="16">
        <f t="shared" si="2"/>
        <v>11010857.990000006</v>
      </c>
      <c r="K45" s="18">
        <v>0.17800000000000002</v>
      </c>
      <c r="L45" s="17"/>
      <c r="M45" s="17">
        <v>11005490.93</v>
      </c>
      <c r="N45" s="35"/>
    </row>
    <row r="46" spans="1:14" s="36" customFormat="1" ht="12" customHeight="1" x14ac:dyDescent="0.25">
      <c r="A46" s="12" t="s">
        <v>72</v>
      </c>
      <c r="B46" s="7" t="s">
        <v>73</v>
      </c>
      <c r="C46" s="14">
        <v>1656000</v>
      </c>
      <c r="D46" s="7" t="s">
        <v>51</v>
      </c>
      <c r="E46" s="34" t="s">
        <v>52</v>
      </c>
      <c r="F46" s="34" t="s">
        <v>58</v>
      </c>
      <c r="G46" s="15">
        <v>906.46800000000007</v>
      </c>
      <c r="H46" s="15">
        <v>909.51025561594201</v>
      </c>
      <c r="I46" s="16">
        <f t="shared" si="1"/>
        <v>1501111008.0000002</v>
      </c>
      <c r="J46" s="16">
        <f t="shared" si="2"/>
        <v>1506148983.3</v>
      </c>
      <c r="K46" s="18">
        <v>0.17499999999999999</v>
      </c>
      <c r="L46" s="17">
        <v>719710.75714285707</v>
      </c>
      <c r="M46" s="17">
        <v>1501830718.7571421</v>
      </c>
      <c r="N46" s="35"/>
    </row>
    <row r="47" spans="1:14" s="36" customFormat="1" ht="12" customHeight="1" x14ac:dyDescent="0.25">
      <c r="A47" s="12" t="s">
        <v>74</v>
      </c>
      <c r="B47" s="7" t="s">
        <v>75</v>
      </c>
      <c r="C47" s="14">
        <v>97110</v>
      </c>
      <c r="D47" s="7" t="s">
        <v>51</v>
      </c>
      <c r="E47" s="34" t="s">
        <v>52</v>
      </c>
      <c r="F47" s="34" t="s">
        <v>58</v>
      </c>
      <c r="G47" s="15">
        <v>927.21900000000005</v>
      </c>
      <c r="H47" s="15">
        <v>930.33089939244201</v>
      </c>
      <c r="I47" s="16">
        <f t="shared" si="1"/>
        <v>90042237.090000004</v>
      </c>
      <c r="J47" s="16">
        <f t="shared" si="2"/>
        <v>90344433.640000045</v>
      </c>
      <c r="K47" s="18">
        <v>0.17499999999999999</v>
      </c>
      <c r="L47" s="17">
        <v>43170.935714285704</v>
      </c>
      <c r="M47" s="17">
        <v>90085408.025714278</v>
      </c>
      <c r="N47" s="35"/>
    </row>
    <row r="48" spans="1:14" s="36" customFormat="1" ht="11.25" hidden="1" x14ac:dyDescent="0.25">
      <c r="A48" s="7"/>
      <c r="B48" s="7"/>
      <c r="C48" s="7"/>
      <c r="D48" s="7"/>
      <c r="E48" s="37"/>
      <c r="F48" s="37"/>
      <c r="G48" s="7"/>
      <c r="H48" s="7"/>
      <c r="I48" s="8"/>
      <c r="J48" s="8"/>
      <c r="K48" s="7"/>
      <c r="L48" s="9"/>
      <c r="M48" s="9"/>
      <c r="N48" s="35"/>
    </row>
    <row r="49" spans="1:15" x14ac:dyDescent="0.25">
      <c r="A49" s="1" t="s">
        <v>5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2">
        <f>SUM(M32:M48)</f>
        <v>3351037982.6742854</v>
      </c>
      <c r="N49" s="38">
        <v>3351037982.6742854</v>
      </c>
      <c r="O49" s="29">
        <f>M49-N49</f>
        <v>0</v>
      </c>
    </row>
    <row r="51" spans="1:15" x14ac:dyDescent="0.25">
      <c r="A51" s="39" t="s">
        <v>28</v>
      </c>
      <c r="B51" s="33"/>
      <c r="D51" s="33"/>
      <c r="F51" s="28"/>
      <c r="G51" s="28"/>
    </row>
    <row r="52" spans="1:15" ht="22.5" x14ac:dyDescent="0.25">
      <c r="A52" s="19" t="s">
        <v>6</v>
      </c>
      <c r="B52" s="19" t="s">
        <v>29</v>
      </c>
      <c r="C52" s="19" t="s">
        <v>17</v>
      </c>
      <c r="D52" s="19" t="s">
        <v>30</v>
      </c>
      <c r="E52" s="19" t="s">
        <v>16</v>
      </c>
      <c r="F52" s="19" t="s">
        <v>31</v>
      </c>
      <c r="G52" s="19" t="s">
        <v>32</v>
      </c>
    </row>
    <row r="53" spans="1:15" hidden="1" x14ac:dyDescent="0.25">
      <c r="B53" s="41"/>
      <c r="C53" s="42"/>
      <c r="D53" s="43"/>
      <c r="G53" s="44"/>
      <c r="H53" s="33"/>
    </row>
    <row r="54" spans="1:15" x14ac:dyDescent="0.25">
      <c r="G54" s="45">
        <f>SUM(G53:G53)</f>
        <v>0</v>
      </c>
    </row>
    <row r="56" spans="1:15" x14ac:dyDescent="0.25">
      <c r="A56" s="46" t="s">
        <v>13</v>
      </c>
      <c r="B56" s="47">
        <f>+L24+B27+M49+G54</f>
        <v>33496047912.872498</v>
      </c>
      <c r="C56" s="32">
        <v>33496047912.87252</v>
      </c>
      <c r="D56" s="29">
        <f>B56-C56</f>
        <v>0</v>
      </c>
    </row>
    <row r="59" spans="1:15" x14ac:dyDescent="0.25">
      <c r="A59" s="24" t="s">
        <v>46</v>
      </c>
      <c r="B59" s="33"/>
    </row>
    <row r="60" spans="1:15" x14ac:dyDescent="0.25">
      <c r="A60" s="48" t="s">
        <v>35</v>
      </c>
      <c r="B60" s="49"/>
    </row>
    <row r="61" spans="1:15" x14ac:dyDescent="0.25">
      <c r="A61" s="48" t="s">
        <v>36</v>
      </c>
      <c r="B61" s="40"/>
    </row>
    <row r="62" spans="1:15" x14ac:dyDescent="0.25">
      <c r="A62" s="48" t="s">
        <v>37</v>
      </c>
      <c r="B62" s="40">
        <v>413629.74</v>
      </c>
    </row>
    <row r="63" spans="1:15" x14ac:dyDescent="0.25">
      <c r="A63" s="48" t="s">
        <v>38</v>
      </c>
      <c r="B63" s="40"/>
    </row>
    <row r="64" spans="1:15" x14ac:dyDescent="0.25">
      <c r="A64" s="48" t="s">
        <v>39</v>
      </c>
      <c r="B64" s="49"/>
    </row>
    <row r="65" spans="1:2" x14ac:dyDescent="0.25">
      <c r="A65" s="48" t="s">
        <v>40</v>
      </c>
      <c r="B65" s="50">
        <v>126664.65999999999</v>
      </c>
    </row>
    <row r="66" spans="1:2" x14ac:dyDescent="0.25">
      <c r="A66" s="48" t="s">
        <v>41</v>
      </c>
      <c r="B66" s="50">
        <v>63129.490000000005</v>
      </c>
    </row>
    <row r="67" spans="1:2" x14ac:dyDescent="0.25">
      <c r="A67" s="48" t="s">
        <v>42</v>
      </c>
      <c r="B67" s="40"/>
    </row>
    <row r="68" spans="1:2" x14ac:dyDescent="0.25">
      <c r="A68" s="48" t="s">
        <v>43</v>
      </c>
      <c r="B68" s="40"/>
    </row>
    <row r="69" spans="1:2" x14ac:dyDescent="0.25">
      <c r="A69" s="48" t="s">
        <v>44</v>
      </c>
      <c r="B69" s="50"/>
    </row>
    <row r="70" spans="1:2" x14ac:dyDescent="0.25">
      <c r="A70" s="48" t="s">
        <v>45</v>
      </c>
      <c r="B70" s="49">
        <f>SUM(B60:B69)</f>
        <v>603423.89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2025-11-27T05:39:52Z</dcterms:created>
  <dcterms:modified xsi:type="dcterms:W3CDTF">2025-11-27T10:09:41Z</dcterms:modified>
</cp:coreProperties>
</file>