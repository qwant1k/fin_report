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62BAC38E-1952-4826-A9F7-091497E5C5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4" i="1"/>
  <c r="D27" i="1"/>
  <c r="B62" i="1"/>
  <c r="G46" i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21" i="1"/>
  <c r="M15" i="1"/>
  <c r="M12" i="1"/>
  <c r="M11" i="1"/>
  <c r="M9" i="1"/>
  <c r="M6" i="1"/>
  <c r="M5" i="1"/>
  <c r="M4" i="1"/>
  <c r="M10" i="1" l="1"/>
  <c r="M16" i="1"/>
  <c r="M22" i="1"/>
  <c r="M17" i="1"/>
  <c r="M18" i="1"/>
  <c r="M7" i="1"/>
  <c r="M13" i="1"/>
  <c r="M19" i="1"/>
  <c r="B48" i="1"/>
  <c r="M8" i="1"/>
  <c r="M14" i="1"/>
</calcChain>
</file>

<file path=xl/sharedStrings.xml><?xml version="1.0" encoding="utf-8"?>
<sst xmlns="http://schemas.openxmlformats.org/spreadsheetml/2006/main" count="170" uniqueCount="120">
  <si>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</si>
  <si>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</si>
  <si>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</si>
  <si>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</si>
  <si>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</si>
  <si>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</si>
  <si>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</si>
  <si>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</si>
  <si>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</si>
  <si>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</si>
  <si>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</si>
  <si>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</si>
  <si>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</si>
  <si>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</si>
  <si>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</si>
  <si>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</si>
  <si>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</si>
  <si>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</si>
  <si>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</si>
  <si>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</si>
  <si>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</si>
  <si>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</si>
  <si>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</si>
  <si>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</si>
  <si>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</si>
  <si>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</si>
  <si>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</si>
  <si>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</si>
  <si>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</si>
  <si>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</si>
  <si>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</si>
  <si>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</si>
  <si>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</si>
  <si>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</si>
  <si>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</si>
  <si>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</si>
  <si>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</si>
  <si>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</si>
  <si>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</si>
  <si>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</si>
  <si>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</si>
  <si>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</si>
  <si>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</si>
  <si>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</si>
  <si>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</si>
  <si>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</si>
  <si>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</si>
  <si>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</si>
  <si>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</si>
  <si>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ЕВРАЗИЙСКИЙ БАНК РАЗВИТИЯ, ОБЛИГАЦИИ, EABRb53</t>
  </si>
  <si>
    <t>KZ2D00013620</t>
  </si>
  <si>
    <t>KZT</t>
  </si>
  <si>
    <t>13.11.2025</t>
  </si>
  <si>
    <t>14.11.2025</t>
  </si>
  <si>
    <t>МИНИСТЕРСТВО ФИНАНСОВ РК, ГЦБ, MOM060_0054</t>
  </si>
  <si>
    <t>KZK200000737</t>
  </si>
  <si>
    <t>17.11.2025</t>
  </si>
  <si>
    <t>МИНИСТЕРСТВО ФИНАНСОВ РК, ГЦБ, MUM096_0011</t>
  </si>
  <si>
    <t>KZKD00001095</t>
  </si>
  <si>
    <t>21.11.2025</t>
  </si>
  <si>
    <t>МИНИСТЕРСТВО ФИНАНСОВ РК, ГЦБ, MUM216_0002</t>
  </si>
  <si>
    <t>KZKD00001079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</si>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</sst>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7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62</v>
      </c>
      <c r="B4" s="13" t="s">
        <v>63</v>
      </c>
      <c r="C4" s="10">
        <v>3020000</v>
      </c>
      <c r="D4" s="11">
        <v>3020000000</v>
      </c>
      <c r="E4" s="3">
        <v>0.1067</v>
      </c>
      <c r="F4" s="4" t="s">
        <v>64</v>
      </c>
      <c r="G4" s="4" t="s">
        <v>65</v>
      </c>
      <c r="H4" s="11">
        <v>2930617060.0000029</v>
      </c>
      <c r="I4" s="11">
        <v>98.822100000000006</v>
      </c>
      <c r="J4" s="11">
        <v>102.171294444444</v>
      </c>
      <c r="K4" s="11">
        <v>101145672.222222</v>
      </c>
      <c r="L4" s="11">
        <v>3085573092.2222219</v>
      </c>
      <c r="M4" s="6">
        <f t="shared" ref="M4:M22" si="0">L4/$L$24</f>
        <v>0.1038338809237076</v>
      </c>
    </row>
    <row r="5" spans="1:13" x14ac:dyDescent="0.25">
      <c r="A5" s="1" t="s">
        <v>66</v>
      </c>
      <c r="B5" s="13" t="s">
        <v>67</v>
      </c>
      <c r="C5" s="10">
        <v>2265000</v>
      </c>
      <c r="D5" s="11">
        <v>2265000000</v>
      </c>
      <c r="E5" s="3">
        <v>0.10550000000000001</v>
      </c>
      <c r="F5" s="4" t="s">
        <v>64</v>
      </c>
      <c r="G5" s="4" t="s">
        <v>68</v>
      </c>
      <c r="H5" s="11">
        <v>2039188560.0000031</v>
      </c>
      <c r="I5" s="11">
        <v>82.95</v>
      </c>
      <c r="J5" s="11">
        <v>86.056388888888875</v>
      </c>
      <c r="K5" s="11">
        <v>70359708.333333328</v>
      </c>
      <c r="L5" s="11">
        <v>1949177208.333333</v>
      </c>
      <c r="M5" s="6">
        <f t="shared" si="0"/>
        <v>6.5592558691755662E-2</v>
      </c>
    </row>
    <row r="6" spans="1:13" x14ac:dyDescent="0.25">
      <c r="A6" s="1" t="s">
        <v>66</v>
      </c>
      <c r="B6" s="13" t="s">
        <v>67</v>
      </c>
      <c r="C6" s="10">
        <v>1551646</v>
      </c>
      <c r="D6" s="11">
        <v>1551646000</v>
      </c>
      <c r="E6" s="3">
        <v>0.10550000000000001</v>
      </c>
      <c r="F6" s="4" t="s">
        <v>69</v>
      </c>
      <c r="G6" s="4" t="s">
        <v>68</v>
      </c>
      <c r="H6" s="11">
        <v>1395452658.7</v>
      </c>
      <c r="I6" s="11">
        <v>82.95</v>
      </c>
      <c r="J6" s="11">
        <v>86.056388888889131</v>
      </c>
      <c r="K6" s="11">
        <v>48200158.938888878</v>
      </c>
      <c r="L6" s="11">
        <v>1335290515.9388919</v>
      </c>
      <c r="M6" s="6">
        <f t="shared" si="0"/>
        <v>4.4934406765487045E-2</v>
      </c>
    </row>
    <row r="7" spans="1:13" x14ac:dyDescent="0.25">
      <c r="A7" s="1" t="s">
        <v>66</v>
      </c>
      <c r="B7" s="13" t="s">
        <v>67</v>
      </c>
      <c r="C7" s="10">
        <v>545692</v>
      </c>
      <c r="D7" s="11">
        <v>545692000</v>
      </c>
      <c r="E7" s="3">
        <v>0.10550000000000001</v>
      </c>
      <c r="F7" s="4" t="s">
        <v>70</v>
      </c>
      <c r="G7" s="4" t="s">
        <v>68</v>
      </c>
      <c r="H7" s="11">
        <v>449784993.92000002</v>
      </c>
      <c r="I7" s="11">
        <v>82.95</v>
      </c>
      <c r="J7" s="11">
        <v>86.05638888888889</v>
      </c>
      <c r="K7" s="11">
        <v>16951315.65555555</v>
      </c>
      <c r="L7" s="11">
        <v>469602829.65555602</v>
      </c>
      <c r="M7" s="6">
        <f t="shared" si="0"/>
        <v>1.5802796705351688E-2</v>
      </c>
    </row>
    <row r="8" spans="1:13" x14ac:dyDescent="0.25">
      <c r="A8" s="1" t="s">
        <v>71</v>
      </c>
      <c r="B8" s="13" t="s">
        <v>72</v>
      </c>
      <c r="C8" s="10">
        <v>2265000</v>
      </c>
      <c r="D8" s="11">
        <v>2265000000</v>
      </c>
      <c r="E8" s="3">
        <v>0.10400000000000001</v>
      </c>
      <c r="F8" s="4" t="s">
        <v>64</v>
      </c>
      <c r="G8" s="4" t="s">
        <v>73</v>
      </c>
      <c r="H8" s="11">
        <v>2073109200</v>
      </c>
      <c r="I8" s="11">
        <v>87.28670000000001</v>
      </c>
      <c r="J8" s="11">
        <v>93.411144444444432</v>
      </c>
      <c r="K8" s="11">
        <v>138718666.66666701</v>
      </c>
      <c r="L8" s="11">
        <v>2115762421.666666</v>
      </c>
      <c r="M8" s="6">
        <f t="shared" si="0"/>
        <v>7.1198385774090739E-2</v>
      </c>
    </row>
    <row r="9" spans="1:13" x14ac:dyDescent="0.25">
      <c r="A9" s="1" t="s">
        <v>74</v>
      </c>
      <c r="B9" s="13" t="s">
        <v>75</v>
      </c>
      <c r="C9" s="10">
        <v>2265000</v>
      </c>
      <c r="D9" s="11">
        <v>2265000000</v>
      </c>
      <c r="E9" s="3">
        <v>0.11</v>
      </c>
      <c r="F9" s="4" t="s">
        <v>64</v>
      </c>
      <c r="G9" s="4" t="s">
        <v>76</v>
      </c>
      <c r="H9" s="11">
        <v>2080889475</v>
      </c>
      <c r="I9" s="11">
        <v>85.069699999999997</v>
      </c>
      <c r="J9" s="11">
        <v>91.914144444444432</v>
      </c>
      <c r="K9" s="11">
        <v>155026666.66666701</v>
      </c>
      <c r="L9" s="11">
        <v>2081855371.666666</v>
      </c>
      <c r="M9" s="6">
        <f t="shared" si="0"/>
        <v>7.0057365779766581E-2</v>
      </c>
    </row>
    <row r="10" spans="1:13" x14ac:dyDescent="0.25">
      <c r="A10" s="1" t="s">
        <v>77</v>
      </c>
      <c r="B10" s="13" t="s">
        <v>78</v>
      </c>
      <c r="C10" s="10">
        <v>2265000</v>
      </c>
      <c r="D10" s="11">
        <v>2265000000</v>
      </c>
      <c r="E10" s="3">
        <v>0.10300000000000001</v>
      </c>
      <c r="F10" s="4" t="s">
        <v>64</v>
      </c>
      <c r="G10" s="4" t="s">
        <v>79</v>
      </c>
      <c r="H10" s="11">
        <v>1963990560.0000031</v>
      </c>
      <c r="I10" s="11">
        <v>77.416200000000003</v>
      </c>
      <c r="J10" s="11">
        <v>84.197033333333323</v>
      </c>
      <c r="K10" s="11">
        <v>153585875</v>
      </c>
      <c r="L10" s="11">
        <v>1907062805</v>
      </c>
      <c r="M10" s="6">
        <f t="shared" si="0"/>
        <v>6.4175349696801359E-2</v>
      </c>
    </row>
    <row r="11" spans="1:13" x14ac:dyDescent="0.25">
      <c r="A11" s="1" t="s">
        <v>80</v>
      </c>
      <c r="B11" s="13" t="s">
        <v>81</v>
      </c>
      <c r="C11" s="10">
        <v>2265000</v>
      </c>
      <c r="D11" s="11">
        <v>2265000000</v>
      </c>
      <c r="E11" s="3">
        <v>8.4500000000000006E-2</v>
      </c>
      <c r="F11" s="4" t="s">
        <v>64</v>
      </c>
      <c r="G11" s="4" t="s">
        <v>82</v>
      </c>
      <c r="H11" s="11">
        <v>1740247065.0000031</v>
      </c>
      <c r="I11" s="11">
        <v>67.8934</v>
      </c>
      <c r="J11" s="11">
        <v>72.775622222222211</v>
      </c>
      <c r="K11" s="11">
        <v>110582333.333333</v>
      </c>
      <c r="L11" s="11">
        <v>1648367843.333333</v>
      </c>
      <c r="M11" s="6">
        <f t="shared" si="0"/>
        <v>5.5469899836297701E-2</v>
      </c>
    </row>
    <row r="12" spans="1:13" x14ac:dyDescent="0.25">
      <c r="A12" s="1" t="s">
        <v>83</v>
      </c>
      <c r="B12" s="13" t="s">
        <v>84</v>
      </c>
      <c r="C12" s="10">
        <v>2265000</v>
      </c>
      <c r="D12" s="11">
        <v>2265000000</v>
      </c>
      <c r="E12" s="3">
        <v>0.10650000000000001</v>
      </c>
      <c r="F12" s="4" t="s">
        <v>64</v>
      </c>
      <c r="G12" s="4" t="s">
        <v>85</v>
      </c>
      <c r="H12" s="11">
        <v>1967775375</v>
      </c>
      <c r="I12" s="11">
        <v>75.531199999999998</v>
      </c>
      <c r="J12" s="11">
        <v>78.726200000000006</v>
      </c>
      <c r="K12" s="11">
        <v>72366750</v>
      </c>
      <c r="L12" s="11">
        <v>1783148430</v>
      </c>
      <c r="M12" s="6">
        <f t="shared" si="0"/>
        <v>6.000545643097073E-2</v>
      </c>
    </row>
    <row r="13" spans="1:13" x14ac:dyDescent="0.25">
      <c r="A13" s="1" t="s">
        <v>86</v>
      </c>
      <c r="B13" s="13" t="s">
        <v>87</v>
      </c>
      <c r="C13" s="10">
        <v>2265000</v>
      </c>
      <c r="D13" s="11">
        <v>2265000000</v>
      </c>
      <c r="E13" s="3">
        <v>8.0700000000000008E-2</v>
      </c>
      <c r="F13" s="4" t="s">
        <v>64</v>
      </c>
      <c r="G13" s="4" t="s">
        <v>88</v>
      </c>
      <c r="H13" s="11">
        <v>1622351550</v>
      </c>
      <c r="I13" s="11">
        <v>61.237499999999997</v>
      </c>
      <c r="J13" s="11">
        <v>65.317333333333323</v>
      </c>
      <c r="K13" s="11">
        <v>92408225</v>
      </c>
      <c r="L13" s="11">
        <v>1479437600</v>
      </c>
      <c r="M13" s="6">
        <f t="shared" si="0"/>
        <v>4.978515919122891E-2</v>
      </c>
    </row>
    <row r="14" spans="1:13" x14ac:dyDescent="0.25">
      <c r="A14" s="1" t="s">
        <v>89</v>
      </c>
      <c r="B14" s="13" t="s">
        <v>90</v>
      </c>
      <c r="C14" s="10">
        <v>2265000</v>
      </c>
      <c r="D14" s="11">
        <v>2265000000</v>
      </c>
      <c r="E14" s="3">
        <v>8.0700000000000008E-2</v>
      </c>
      <c r="F14" s="4" t="s">
        <v>64</v>
      </c>
      <c r="G14" s="4" t="s">
        <v>91</v>
      </c>
      <c r="H14" s="11">
        <v>1597764975</v>
      </c>
      <c r="I14" s="11">
        <v>59.808</v>
      </c>
      <c r="J14" s="11">
        <v>66.196749999999994</v>
      </c>
      <c r="K14" s="11">
        <v>144705187.5</v>
      </c>
      <c r="L14" s="11">
        <v>1499356387.5</v>
      </c>
      <c r="M14" s="6">
        <f t="shared" si="0"/>
        <v>5.0455454448415669E-2</v>
      </c>
    </row>
    <row r="15" spans="1:13" x14ac:dyDescent="0.25">
      <c r="A15" s="1" t="s">
        <v>92</v>
      </c>
      <c r="B15" s="13" t="s">
        <v>93</v>
      </c>
      <c r="C15" s="10">
        <v>3775000</v>
      </c>
      <c r="D15" s="11">
        <v>3775000000</v>
      </c>
      <c r="E15" s="3">
        <v>5.4900000000000004E-2</v>
      </c>
      <c r="F15" s="4" t="s">
        <v>64</v>
      </c>
      <c r="G15" s="4" t="s">
        <v>94</v>
      </c>
      <c r="H15" s="11">
        <v>3136670150</v>
      </c>
      <c r="I15" s="11">
        <v>86.496200000000002</v>
      </c>
      <c r="J15" s="11">
        <v>89.957949999999997</v>
      </c>
      <c r="K15" s="11">
        <v>130681062.5</v>
      </c>
      <c r="L15" s="11">
        <v>3395912612.5</v>
      </c>
      <c r="M15" s="6">
        <f t="shared" si="0"/>
        <v>0.1142772429285389</v>
      </c>
    </row>
    <row r="16" spans="1:13" x14ac:dyDescent="0.25">
      <c r="A16" s="1" t="s">
        <v>95</v>
      </c>
      <c r="B16" s="13" t="s">
        <v>96</v>
      </c>
      <c r="C16" s="10">
        <v>2803860</v>
      </c>
      <c r="D16" s="11">
        <v>2803860000</v>
      </c>
      <c r="E16" s="3">
        <v>5.5E-2</v>
      </c>
      <c r="F16" s="4" t="s">
        <v>97</v>
      </c>
      <c r="G16" s="4" t="s">
        <v>98</v>
      </c>
      <c r="H16" s="11">
        <v>1773018067.1400001</v>
      </c>
      <c r="I16" s="11">
        <v>56.866800000000005</v>
      </c>
      <c r="J16" s="11">
        <v>59.922355555555548</v>
      </c>
      <c r="K16" s="11">
        <v>85673500</v>
      </c>
      <c r="L16" s="11">
        <v>1680138958.48</v>
      </c>
      <c r="M16" s="6">
        <f t="shared" si="0"/>
        <v>5.6539042614107103E-2</v>
      </c>
    </row>
    <row r="17" spans="1:15" x14ac:dyDescent="0.25">
      <c r="A17" s="1" t="s">
        <v>99</v>
      </c>
      <c r="B17" s="13" t="s">
        <v>100</v>
      </c>
      <c r="C17" s="10">
        <v>1038480</v>
      </c>
      <c r="D17" s="11">
        <v>1038480000</v>
      </c>
      <c r="E17" s="3">
        <v>0.12</v>
      </c>
      <c r="F17" s="4" t="s">
        <v>97</v>
      </c>
      <c r="G17" s="4" t="s">
        <v>101</v>
      </c>
      <c r="H17" s="11">
        <v>979029096.96000004</v>
      </c>
      <c r="I17" s="11">
        <v>85.217700000000008</v>
      </c>
      <c r="J17" s="11">
        <v>93.451033333333328</v>
      </c>
      <c r="K17" s="11">
        <v>85501520</v>
      </c>
      <c r="L17" s="11">
        <v>970470290.96000004</v>
      </c>
      <c r="M17" s="6">
        <f t="shared" si="0"/>
        <v>3.2657692305374582E-2</v>
      </c>
    </row>
    <row r="18" spans="1:15" x14ac:dyDescent="0.25">
      <c r="A18" s="1" t="s">
        <v>54</v>
      </c>
      <c r="B18" s="13" t="s">
        <v>55</v>
      </c>
      <c r="C18" s="10">
        <v>506989</v>
      </c>
      <c r="D18" s="11">
        <v>506989000</v>
      </c>
      <c r="E18" s="3">
        <v>0.1535</v>
      </c>
      <c r="F18" s="4" t="s">
        <v>102</v>
      </c>
      <c r="G18" s="4" t="s">
        <v>103</v>
      </c>
      <c r="H18" s="11">
        <v>492216861.50999999</v>
      </c>
      <c r="I18" s="11">
        <v>98.02170000000001</v>
      </c>
      <c r="J18" s="11">
        <v>105.526144444444</v>
      </c>
      <c r="K18" s="11">
        <v>38046707.844444439</v>
      </c>
      <c r="L18" s="11">
        <v>535005944.45744401</v>
      </c>
      <c r="M18" s="6">
        <f t="shared" si="0"/>
        <v>1.8003703645944662E-2</v>
      </c>
    </row>
    <row r="19" spans="1:15" x14ac:dyDescent="0.25">
      <c r="A19" s="1" t="s">
        <v>104</v>
      </c>
      <c r="B19" s="13" t="s">
        <v>105</v>
      </c>
      <c r="C19" s="10">
        <v>2100000</v>
      </c>
      <c r="D19" s="11">
        <v>2100000000</v>
      </c>
      <c r="E19" s="3">
        <v>0.14300000000000002</v>
      </c>
      <c r="F19" s="4" t="s">
        <v>106</v>
      </c>
      <c r="G19" s="4" t="s">
        <v>107</v>
      </c>
      <c r="H19" s="11">
        <v>2100000000</v>
      </c>
      <c r="I19" s="11">
        <v>94.341900907798291</v>
      </c>
      <c r="J19" s="11">
        <v>97.162178685576066</v>
      </c>
      <c r="K19" s="11">
        <v>59225833.333333328</v>
      </c>
      <c r="L19" s="11">
        <v>2040405752.3970971</v>
      </c>
      <c r="M19" s="6">
        <f t="shared" si="0"/>
        <v>6.8662527704979701E-2</v>
      </c>
    </row>
    <row r="20" spans="1:15" x14ac:dyDescent="0.25">
      <c r="A20" s="1" t="s">
        <v>108</v>
      </c>
      <c r="B20" s="13" t="s">
        <v>109</v>
      </c>
      <c r="C20" s="10">
        <v>1000000</v>
      </c>
      <c r="D20" s="11">
        <v>1000000000</v>
      </c>
      <c r="E20" s="3">
        <v>0.1389</v>
      </c>
      <c r="F20" s="4" t="s">
        <v>110</v>
      </c>
      <c r="G20" s="4" t="s">
        <v>111</v>
      </c>
      <c r="H20" s="11">
        <v>1000000000</v>
      </c>
      <c r="I20" s="11">
        <v>98.217268286822005</v>
      </c>
      <c r="J20" s="11">
        <v>104.62210162015501</v>
      </c>
      <c r="K20" s="11">
        <v>64048333.333333328</v>
      </c>
      <c r="L20" s="11">
        <v>1046221016.201553</v>
      </c>
      <c r="M20" s="6">
        <f t="shared" si="0"/>
        <v>3.5206810913014239E-2</v>
      </c>
    </row>
    <row r="21" spans="1:15" x14ac:dyDescent="0.25">
      <c r="A21" s="1" t="s">
        <v>112</v>
      </c>
      <c r="B21" s="13" t="s">
        <v>113</v>
      </c>
      <c r="C21" s="10">
        <v>165739</v>
      </c>
      <c r="D21" s="11">
        <v>165739000</v>
      </c>
      <c r="E21" s="3">
        <v>0.125</v>
      </c>
      <c r="F21" s="4" t="s">
        <v>114</v>
      </c>
      <c r="G21" s="4" t="s">
        <v>115</v>
      </c>
      <c r="H21" s="11">
        <v>159596381.18279999</v>
      </c>
      <c r="I21" s="11">
        <v>96.377765922567889</v>
      </c>
      <c r="J21" s="11">
        <v>101.655543700332</v>
      </c>
      <c r="K21" s="11">
        <v>8747336.1110888906</v>
      </c>
      <c r="L21" s="11">
        <v>168482881.57349399</v>
      </c>
      <c r="M21" s="6">
        <f t="shared" si="0"/>
        <v>5.6696862916917655E-3</v>
      </c>
    </row>
    <row r="22" spans="1:15" x14ac:dyDescent="0.25">
      <c r="A22" s="1" t="s">
        <v>116</v>
      </c>
      <c r="B22" s="13" t="s">
        <v>117</v>
      </c>
      <c r="C22" s="10">
        <v>494987</v>
      </c>
      <c r="D22" s="11">
        <v>494987000</v>
      </c>
      <c r="E22" s="3">
        <v>0.1701</v>
      </c>
      <c r="F22" s="4" t="s">
        <v>118</v>
      </c>
      <c r="G22" s="4" t="s">
        <v>119</v>
      </c>
      <c r="H22" s="11">
        <v>495088472.34249997</v>
      </c>
      <c r="I22" s="11">
        <v>101.5137</v>
      </c>
      <c r="J22" s="11">
        <v>106.09695000000001</v>
      </c>
      <c r="K22" s="11">
        <v>22686491.677499998</v>
      </c>
      <c r="L22" s="11">
        <v>525166109.89649999</v>
      </c>
      <c r="M22" s="6">
        <f t="shared" si="0"/>
        <v>1.7672579352475338E-2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1598661344.1163669</v>
      </c>
      <c r="L24" s="22">
        <f>SUM(L4:L23)</f>
        <v>29716438071.782757</v>
      </c>
      <c r="M24" s="23"/>
      <c r="N24" s="26">
        <v>29716438071.782776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8544863.8399999999</v>
      </c>
      <c r="C27" s="51">
        <v>8544863.8399999999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84906</v>
      </c>
      <c r="D32" s="7" t="s">
        <v>51</v>
      </c>
      <c r="E32" s="34" t="s">
        <v>52</v>
      </c>
      <c r="F32" s="34" t="s">
        <v>53</v>
      </c>
      <c r="G32" s="15">
        <v>1048.541999976444</v>
      </c>
      <c r="H32" s="15">
        <v>1049.030364874096</v>
      </c>
      <c r="I32" s="16">
        <f t="shared" ref="I32:I39" si="1">+C32*G32</f>
        <v>89027507.049999952</v>
      </c>
      <c r="J32" s="16">
        <f t="shared" ref="J32:J39" si="2">+C32*H32</f>
        <v>89068972.159999996</v>
      </c>
      <c r="K32" s="18">
        <v>0.17000099999999999</v>
      </c>
      <c r="L32" s="17">
        <v>41465.11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84906</v>
      </c>
      <c r="D33" s="7" t="s">
        <v>51</v>
      </c>
      <c r="E33" s="34" t="s">
        <v>53</v>
      </c>
      <c r="F33" s="34" t="s">
        <v>53</v>
      </c>
      <c r="G33" s="15">
        <v>1048.541999976444</v>
      </c>
      <c r="H33" s="15">
        <v>1049.030364874096</v>
      </c>
      <c r="I33" s="16">
        <f t="shared" si="1"/>
        <v>89027507.049999952</v>
      </c>
      <c r="J33" s="16">
        <f t="shared" si="2"/>
        <v>89068972.159999996</v>
      </c>
      <c r="K33" s="18">
        <v>0.17000099999999999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3033600</v>
      </c>
      <c r="D34" s="7" t="s">
        <v>51</v>
      </c>
      <c r="E34" s="34" t="s">
        <v>52</v>
      </c>
      <c r="F34" s="34" t="s">
        <v>53</v>
      </c>
      <c r="G34" s="15">
        <v>1054.9780000000001</v>
      </c>
      <c r="H34" s="15">
        <v>1055.469475230748</v>
      </c>
      <c r="I34" s="16">
        <f t="shared" si="1"/>
        <v>3200381260.8000002</v>
      </c>
      <c r="J34" s="16">
        <f t="shared" si="2"/>
        <v>3201872200.0599971</v>
      </c>
      <c r="K34" s="18">
        <v>0.17004</v>
      </c>
      <c r="L34" s="17">
        <v>1490939.26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3033600</v>
      </c>
      <c r="D35" s="7" t="s">
        <v>51</v>
      </c>
      <c r="E35" s="34" t="s">
        <v>53</v>
      </c>
      <c r="F35" s="34" t="s">
        <v>53</v>
      </c>
      <c r="G35" s="15">
        <v>1054.9780000000001</v>
      </c>
      <c r="H35" s="15">
        <v>1055.469475230748</v>
      </c>
      <c r="I35" s="16">
        <f t="shared" si="1"/>
        <v>3200381260.8000002</v>
      </c>
      <c r="J35" s="16">
        <f t="shared" si="2"/>
        <v>3201872200.0599971</v>
      </c>
      <c r="K35" s="18">
        <v>0.17004</v>
      </c>
      <c r="L35" s="17"/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1582212</v>
      </c>
      <c r="D36" s="7" t="s">
        <v>51</v>
      </c>
      <c r="E36" s="34" t="s">
        <v>53</v>
      </c>
      <c r="F36" s="34" t="s">
        <v>56</v>
      </c>
      <c r="G36" s="15">
        <v>1055.2609999987351</v>
      </c>
      <c r="H36" s="15">
        <v>1056.7355610057311</v>
      </c>
      <c r="I36" s="16">
        <f t="shared" si="1"/>
        <v>1669646617.3299987</v>
      </c>
      <c r="J36" s="16">
        <f t="shared" si="2"/>
        <v>1671979685.4499998</v>
      </c>
      <c r="K36" s="18">
        <v>0.17000999999999999</v>
      </c>
      <c r="L36" s="17"/>
      <c r="M36" s="17">
        <v>1669646617.3299999</v>
      </c>
      <c r="N36" s="35"/>
    </row>
    <row r="37" spans="1:15" s="36" customFormat="1" ht="12" customHeight="1" x14ac:dyDescent="0.25">
      <c r="A37" s="12" t="s">
        <v>57</v>
      </c>
      <c r="B37" s="7" t="s">
        <v>58</v>
      </c>
      <c r="C37" s="14">
        <v>1862400</v>
      </c>
      <c r="D37" s="7" t="s">
        <v>51</v>
      </c>
      <c r="E37" s="34" t="s">
        <v>53</v>
      </c>
      <c r="F37" s="34" t="s">
        <v>59</v>
      </c>
      <c r="G37" s="15">
        <v>859.80499999999995</v>
      </c>
      <c r="H37" s="15">
        <v>862.63293397766301</v>
      </c>
      <c r="I37" s="16">
        <f t="shared" si="1"/>
        <v>1601300832</v>
      </c>
      <c r="J37" s="16">
        <f t="shared" si="2"/>
        <v>1606567576.2399995</v>
      </c>
      <c r="K37" s="18">
        <v>0.17150000000000001</v>
      </c>
      <c r="L37" s="17"/>
      <c r="M37" s="17">
        <v>1601300832</v>
      </c>
      <c r="N37" s="35"/>
    </row>
    <row r="38" spans="1:15" s="36" customFormat="1" ht="12" customHeight="1" x14ac:dyDescent="0.25">
      <c r="A38" s="12" t="s">
        <v>57</v>
      </c>
      <c r="B38" s="7" t="s">
        <v>58</v>
      </c>
      <c r="C38" s="14">
        <v>10476</v>
      </c>
      <c r="D38" s="7" t="s">
        <v>51</v>
      </c>
      <c r="E38" s="34" t="s">
        <v>53</v>
      </c>
      <c r="F38" s="34" t="s">
        <v>59</v>
      </c>
      <c r="G38" s="15">
        <v>859.80499999999995</v>
      </c>
      <c r="H38" s="15">
        <v>862.63293432607907</v>
      </c>
      <c r="I38" s="16">
        <f t="shared" si="1"/>
        <v>9007317.1799999997</v>
      </c>
      <c r="J38" s="16">
        <f t="shared" si="2"/>
        <v>9036942.6200000048</v>
      </c>
      <c r="K38" s="18">
        <v>0.17150000000000001</v>
      </c>
      <c r="L38" s="17"/>
      <c r="M38" s="17">
        <v>9007317.1799999997</v>
      </c>
      <c r="N38" s="35"/>
    </row>
    <row r="39" spans="1:15" s="36" customFormat="1" ht="12" customHeight="1" x14ac:dyDescent="0.25">
      <c r="A39" s="12" t="s">
        <v>60</v>
      </c>
      <c r="B39" s="7" t="s">
        <v>61</v>
      </c>
      <c r="C39" s="14">
        <v>15140</v>
      </c>
      <c r="D39" s="7" t="s">
        <v>51</v>
      </c>
      <c r="E39" s="34" t="s">
        <v>53</v>
      </c>
      <c r="F39" s="34" t="s">
        <v>56</v>
      </c>
      <c r="G39" s="15">
        <v>660.73500000000001</v>
      </c>
      <c r="H39" s="15">
        <v>661.65821862615599</v>
      </c>
      <c r="I39" s="16">
        <f t="shared" si="1"/>
        <v>10003527.9</v>
      </c>
      <c r="J39" s="16">
        <f t="shared" si="2"/>
        <v>10017505.430000002</v>
      </c>
      <c r="K39" s="18">
        <v>0.17</v>
      </c>
      <c r="L39" s="17"/>
      <c r="M39" s="17">
        <v>10003527.9</v>
      </c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3289958294.4099998</v>
      </c>
      <c r="N41" s="38">
        <v>3289958294.4100003</v>
      </c>
      <c r="O41" s="29">
        <f>M41-N41</f>
        <v>0</v>
      </c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hidden="1" x14ac:dyDescent="0.25">
      <c r="B45" s="41"/>
      <c r="C45" s="42"/>
      <c r="D45" s="43"/>
      <c r="G45" s="44"/>
      <c r="H45" s="33"/>
    </row>
    <row r="46" spans="1:15" x14ac:dyDescent="0.25">
      <c r="G46" s="45">
        <f>SUM(G45:G45)</f>
        <v>0</v>
      </c>
    </row>
    <row r="48" spans="1:15" x14ac:dyDescent="0.25">
      <c r="A48" s="46" t="s">
        <v>13</v>
      </c>
      <c r="B48" s="47">
        <f>+L24+B27+M41+G46</f>
        <v>33014941230.032757</v>
      </c>
      <c r="C48" s="32">
        <v>33014941230.032776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8" t="s">
        <v>35</v>
      </c>
      <c r="B52" s="49"/>
    </row>
    <row r="53" spans="1:2" x14ac:dyDescent="0.25">
      <c r="A53" s="48" t="s">
        <v>36</v>
      </c>
      <c r="B53" s="40"/>
    </row>
    <row r="54" spans="1:2" x14ac:dyDescent="0.25">
      <c r="A54" s="48" t="s">
        <v>37</v>
      </c>
      <c r="B54" s="40">
        <v>219108.33999999997</v>
      </c>
    </row>
    <row r="55" spans="1:2" x14ac:dyDescent="0.25">
      <c r="A55" s="48" t="s">
        <v>38</v>
      </c>
      <c r="B55" s="40"/>
    </row>
    <row r="56" spans="1:2" x14ac:dyDescent="0.25">
      <c r="A56" s="48" t="s">
        <v>39</v>
      </c>
      <c r="B56" s="49"/>
    </row>
    <row r="57" spans="1:2" x14ac:dyDescent="0.25">
      <c r="A57" s="48" t="s">
        <v>40</v>
      </c>
      <c r="B57" s="50">
        <v>74016.12</v>
      </c>
    </row>
    <row r="58" spans="1:2" x14ac:dyDescent="0.25">
      <c r="A58" s="48" t="s">
        <v>41</v>
      </c>
      <c r="B58" s="50">
        <v>36910.76</v>
      </c>
    </row>
    <row r="59" spans="1:2" x14ac:dyDescent="0.25">
      <c r="A59" s="48" t="s">
        <v>42</v>
      </c>
      <c r="B59" s="40"/>
    </row>
    <row r="60" spans="1:2" x14ac:dyDescent="0.25">
      <c r="A60" s="48" t="s">
        <v>43</v>
      </c>
      <c r="B60" s="40"/>
    </row>
    <row r="61" spans="1:2" x14ac:dyDescent="0.25">
      <c r="A61" s="48" t="s">
        <v>44</v>
      </c>
      <c r="B61" s="50"/>
    </row>
    <row r="62" spans="1:2" x14ac:dyDescent="0.25">
      <c r="A62" s="48" t="s">
        <v>45</v>
      </c>
      <c r="B62" s="49">
        <f>SUM(B52:B61)</f>
        <v>330035.21999999997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2025-11-17T05:59:55Z</dcterms:created>
  <dcterms:modified xsi:type="dcterms:W3CDTF">2025-11-17T13:30:38Z</dcterms:modified>
</cp:coreProperties>
</file>