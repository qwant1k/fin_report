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D331055C-090C-4F9A-BB97-770BDC662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9" i="1" l="1"/>
  <c r="M21" i="1"/>
  <c r="M4" i="1"/>
  <c r="M10" i="1"/>
  <c r="M16" i="1"/>
  <c r="M22" i="1"/>
  <c r="M12" i="1"/>
  <c r="M18" i="1"/>
  <c r="M7" i="1"/>
  <c r="M19" i="1"/>
  <c r="M15" i="1"/>
  <c r="M5" i="1"/>
  <c r="M11" i="1"/>
  <c r="M17" i="1"/>
  <c r="M6" i="1"/>
  <c r="M13" i="1"/>
  <c r="B48" i="1"/>
  <c r="M8" i="1"/>
  <c r="M14" i="1"/>
</calcChain>
</file>

<file path=xl/sharedStrings.xml><?xml version="1.0" encoding="utf-8"?>
<sst xmlns="http://schemas.openxmlformats.org/spreadsheetml/2006/main" count="170" uniqueCount="125">
  <si>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</si>
  <si>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</si>
  <si>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</si>
  <si>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</si>
  <si>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</si>
  <si>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</si>
  <si>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</si>
  <si>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</si>
  <si>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</si>
  <si>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</si>
  <si>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</si>
  <si>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</si>
  <si>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</si>
  <si>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</si>
  <si>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</si>
  <si>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</si>
  <si>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</si>
  <si>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</si>
  <si>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</si>
  <si>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</si>
  <si>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</si>
  <si>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</si>
  <si>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</si>
  <si>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</si>
  <si>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</si>
  <si>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</si>
  <si>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</si>
  <si>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</si>
  <si>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</si>
  <si>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</si>
  <si>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</si>
  <si>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</si>
  <si>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</si>
  <si>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</si>
  <si>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</si>
  <si>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</si>
  <si>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</si>
  <si>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</si>
  <si>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</si>
  <si>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</si>
  <si>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</si>
  <si>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</si>
  <si>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</si>
  <si>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</si>
  <si>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</si>
  <si>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</si>
  <si>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</si>
  <si>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</si>
  <si>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</si>
  <si>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MTM096_0001</t>
  </si>
  <si>
    <t>KZKT00000057</t>
  </si>
  <si>
    <t>KZT</t>
  </si>
  <si>
    <t>06.11.2025</t>
  </si>
  <si>
    <t>07.11.2025</t>
  </si>
  <si>
    <t>МИНИСТЕРСТВО ФИНАНСОВ РК, ОБЛИГАЦИИ, MFKZ.0435</t>
  </si>
  <si>
    <t>XS2914770545</t>
  </si>
  <si>
    <t>МИНИСТЕРСТВО ФИНАНСОВ РК, ГЦБ, MUM180_0013</t>
  </si>
  <si>
    <t>KZKD00000931</t>
  </si>
  <si>
    <t>05.11.2025</t>
  </si>
  <si>
    <t>12.11.2025</t>
  </si>
  <si>
    <t>МИНИСТЕРСТВО ФИНАНСОВ РК, ГЦБ, MUM096_0013</t>
  </si>
  <si>
    <t>KZKD00001202</t>
  </si>
  <si>
    <t>10.11.2025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</si>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</sst>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8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98.806000000000012</v>
      </c>
      <c r="J4" s="11">
        <v>101.947722222222</v>
      </c>
      <c r="K4" s="11">
        <v>94880011.111111104</v>
      </c>
      <c r="L4" s="11">
        <v>3078821211.1111112</v>
      </c>
      <c r="M4" s="6">
        <f t="shared" ref="M4:M22" si="0">L4/$L$24</f>
        <v>0.10437813118567194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82.203600000000009</v>
      </c>
      <c r="J5" s="11">
        <v>85.104849999999985</v>
      </c>
      <c r="K5" s="11">
        <v>65713312.499999993</v>
      </c>
      <c r="L5" s="11">
        <v>1927624852.499999</v>
      </c>
      <c r="M5" s="6">
        <f t="shared" si="0"/>
        <v>6.5350296732038876E-2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82.203600000000009</v>
      </c>
      <c r="J6" s="11">
        <v>85.104850000000241</v>
      </c>
      <c r="K6" s="11">
        <v>45017129.575000003</v>
      </c>
      <c r="L6" s="11">
        <v>1320526000.8310039</v>
      </c>
      <c r="M6" s="6">
        <f t="shared" si="0"/>
        <v>4.4768444381051452E-2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82.203600000000009</v>
      </c>
      <c r="J7" s="11">
        <v>85.104849999999999</v>
      </c>
      <c r="K7" s="11">
        <v>15831889.149999989</v>
      </c>
      <c r="L7" s="11">
        <v>464410358.06199998</v>
      </c>
      <c r="M7" s="6">
        <f t="shared" si="0"/>
        <v>1.5744430076953541E-2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86.582100000000011</v>
      </c>
      <c r="J8" s="11">
        <v>92.504322222222214</v>
      </c>
      <c r="K8" s="11">
        <v>134138333.333333</v>
      </c>
      <c r="L8" s="11">
        <v>2095222898.333333</v>
      </c>
      <c r="M8" s="6">
        <f t="shared" si="0"/>
        <v>7.103220211560636E-2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84.303600000000003</v>
      </c>
      <c r="J9" s="11">
        <v>90.934155555555549</v>
      </c>
      <c r="K9" s="11">
        <v>150182083.33333299</v>
      </c>
      <c r="L9" s="11">
        <v>2059658623.333333</v>
      </c>
      <c r="M9" s="6">
        <f t="shared" si="0"/>
        <v>6.9826502821319109E-2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76.811700000000002</v>
      </c>
      <c r="J10" s="11">
        <v>83.39225555555555</v>
      </c>
      <c r="K10" s="11">
        <v>149049583.33333299</v>
      </c>
      <c r="L10" s="11">
        <v>1888834588.333333</v>
      </c>
      <c r="M10" s="6">
        <f t="shared" si="0"/>
        <v>6.4035230021668263E-2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67.436599999999999</v>
      </c>
      <c r="J11" s="11">
        <v>72.154516666666652</v>
      </c>
      <c r="K11" s="11">
        <v>106860812.5</v>
      </c>
      <c r="L11" s="11">
        <v>1634299802.499999</v>
      </c>
      <c r="M11" s="6">
        <f t="shared" si="0"/>
        <v>5.540599712852453E-2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75.071700000000007</v>
      </c>
      <c r="J12" s="11">
        <v>78.059616666666656</v>
      </c>
      <c r="K12" s="11">
        <v>67676312.5</v>
      </c>
      <c r="L12" s="11">
        <v>1768050317.5</v>
      </c>
      <c r="M12" s="6">
        <f t="shared" si="0"/>
        <v>5.9940404242012961E-2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60.9739</v>
      </c>
      <c r="J13" s="11">
        <v>64.896816666666652</v>
      </c>
      <c r="K13" s="11">
        <v>88854062.5</v>
      </c>
      <c r="L13" s="11">
        <v>1469912897.5</v>
      </c>
      <c r="M13" s="6">
        <f t="shared" si="0"/>
        <v>4.983295577315975E-2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59.581500000000005</v>
      </c>
      <c r="J14" s="11">
        <v>65.813333333333333</v>
      </c>
      <c r="K14" s="11">
        <v>141151025</v>
      </c>
      <c r="L14" s="11">
        <v>1490672000</v>
      </c>
      <c r="M14" s="6">
        <f t="shared" si="0"/>
        <v>5.053673042438734E-2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86.075200000000009</v>
      </c>
      <c r="J15" s="11">
        <v>89.430199999999999</v>
      </c>
      <c r="K15" s="11">
        <v>126651250</v>
      </c>
      <c r="L15" s="11">
        <v>3375990050</v>
      </c>
      <c r="M15" s="6">
        <f t="shared" si="0"/>
        <v>0.11445274283830643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56.460100000000004</v>
      </c>
      <c r="J16" s="11">
        <v>59.40871111111111</v>
      </c>
      <c r="K16" s="11">
        <v>82674927.5</v>
      </c>
      <c r="L16" s="11">
        <v>1665737087.3599999</v>
      </c>
      <c r="M16" s="6">
        <f t="shared" si="0"/>
        <v>5.6471783290902661E-2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84.493000000000009</v>
      </c>
      <c r="J17" s="11">
        <v>92.493000000000009</v>
      </c>
      <c r="K17" s="11">
        <v>83078400</v>
      </c>
      <c r="L17" s="11">
        <v>960521306.39999998</v>
      </c>
      <c r="M17" s="6">
        <f t="shared" si="0"/>
        <v>3.2563572890895613E-2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97.462299999999999</v>
      </c>
      <c r="J18" s="11">
        <v>104.668272222222</v>
      </c>
      <c r="K18" s="11">
        <v>36533486.509722218</v>
      </c>
      <c r="L18" s="11">
        <v>530656626.65672201</v>
      </c>
      <c r="M18" s="6">
        <f t="shared" si="0"/>
        <v>1.7990309665215094E-2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94.306870009843593</v>
      </c>
      <c r="J19" s="11">
        <v>96.849092232065814</v>
      </c>
      <c r="K19" s="11">
        <v>53386666.666666657</v>
      </c>
      <c r="L19" s="11">
        <v>2033830936.8733821</v>
      </c>
      <c r="M19" s="6">
        <f t="shared" si="0"/>
        <v>6.8950893144534314E-2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98.271487897258694</v>
      </c>
      <c r="J20" s="11">
        <v>104.406237897259</v>
      </c>
      <c r="K20" s="11">
        <v>61347499.999999993</v>
      </c>
      <c r="L20" s="11">
        <v>1044062378.972586</v>
      </c>
      <c r="M20" s="6">
        <f t="shared" si="0"/>
        <v>3.5395780555603183E-2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96.429196837865092</v>
      </c>
      <c r="J21" s="11">
        <v>101.46391906007401</v>
      </c>
      <c r="K21" s="11">
        <v>8344498.2638666704</v>
      </c>
      <c r="L21" s="11">
        <v>168165284.810976</v>
      </c>
      <c r="M21" s="6">
        <f t="shared" si="0"/>
        <v>5.7011359073173796E-3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100.7616</v>
      </c>
      <c r="J22" s="11">
        <v>105.0141</v>
      </c>
      <c r="K22" s="11">
        <v>21049322.175000001</v>
      </c>
      <c r="L22" s="11">
        <v>519806143.167</v>
      </c>
      <c r="M22" s="6">
        <f t="shared" si="0"/>
        <v>1.7622456804831089E-2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1532420605.9513657</v>
      </c>
      <c r="L24" s="22">
        <f>SUM(L4:L23)</f>
        <v>29496803364.244781</v>
      </c>
      <c r="M24" s="23"/>
      <c r="N24" s="26">
        <v>29496803364.244804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4612198.5199999996</v>
      </c>
      <c r="C27" s="51">
        <v>4612198.5199999996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1583384</v>
      </c>
      <c r="D32" s="7" t="s">
        <v>51</v>
      </c>
      <c r="E32" s="34" t="s">
        <v>52</v>
      </c>
      <c r="F32" s="34" t="s">
        <v>53</v>
      </c>
      <c r="G32" s="15">
        <v>1056.0509999974731</v>
      </c>
      <c r="H32" s="15">
        <v>1056.543721567225</v>
      </c>
      <c r="I32" s="16">
        <f t="shared" ref="I32:I39" si="1">+C32*G32</f>
        <v>1672134256.579999</v>
      </c>
      <c r="J32" s="16">
        <f t="shared" ref="J32:J39" si="2">+C32*H32</f>
        <v>1672914424.029999</v>
      </c>
      <c r="K32" s="18">
        <v>0.170298</v>
      </c>
      <c r="L32" s="17">
        <v>780167.45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1583384</v>
      </c>
      <c r="D33" s="7" t="s">
        <v>51</v>
      </c>
      <c r="E33" s="34" t="s">
        <v>53</v>
      </c>
      <c r="F33" s="34" t="s">
        <v>53</v>
      </c>
      <c r="G33" s="15">
        <v>1056.0509999974731</v>
      </c>
      <c r="H33" s="15">
        <v>1056.543721567225</v>
      </c>
      <c r="I33" s="16">
        <f t="shared" si="1"/>
        <v>1672134256.579999</v>
      </c>
      <c r="J33" s="16">
        <f t="shared" si="2"/>
        <v>1672914424.029999</v>
      </c>
      <c r="K33" s="18">
        <v>0.170298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19260</v>
      </c>
      <c r="D34" s="7" t="s">
        <v>51</v>
      </c>
      <c r="E34" s="34" t="s">
        <v>52</v>
      </c>
      <c r="F34" s="34" t="s">
        <v>53</v>
      </c>
      <c r="G34" s="15">
        <v>519.35950000000003</v>
      </c>
      <c r="H34" s="15">
        <v>519.60174766355101</v>
      </c>
      <c r="I34" s="16">
        <f t="shared" si="1"/>
        <v>10002863.970000001</v>
      </c>
      <c r="J34" s="16">
        <f t="shared" si="2"/>
        <v>10007529.659999993</v>
      </c>
      <c r="K34" s="18">
        <v>0.17024899999999998</v>
      </c>
      <c r="L34" s="17">
        <v>4665.6900000000005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19260</v>
      </c>
      <c r="D35" s="7" t="s">
        <v>51</v>
      </c>
      <c r="E35" s="34" t="s">
        <v>53</v>
      </c>
      <c r="F35" s="34" t="s">
        <v>53</v>
      </c>
      <c r="G35" s="15">
        <v>519.35950000000003</v>
      </c>
      <c r="H35" s="15">
        <v>519.60174766355101</v>
      </c>
      <c r="I35" s="16">
        <f t="shared" si="1"/>
        <v>10002863.970000001</v>
      </c>
      <c r="J35" s="16">
        <f t="shared" si="2"/>
        <v>10007529.659999993</v>
      </c>
      <c r="K35" s="18">
        <v>0.17024899999999998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2242079</v>
      </c>
      <c r="D36" s="7" t="s">
        <v>51</v>
      </c>
      <c r="E36" s="34" t="s">
        <v>58</v>
      </c>
      <c r="F36" s="34" t="s">
        <v>59</v>
      </c>
      <c r="G36" s="15">
        <v>708.84</v>
      </c>
      <c r="H36" s="15">
        <v>711.191781583075</v>
      </c>
      <c r="I36" s="16">
        <f t="shared" si="1"/>
        <v>1589275278.3600001</v>
      </c>
      <c r="J36" s="16">
        <f t="shared" si="2"/>
        <v>1594548158.4599993</v>
      </c>
      <c r="K36" s="18">
        <v>0.17299899999999999</v>
      </c>
      <c r="L36" s="17">
        <v>753268.58571428573</v>
      </c>
      <c r="M36" s="17">
        <v>1590781815.5314281</v>
      </c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19330</v>
      </c>
      <c r="D37" s="7" t="s">
        <v>51</v>
      </c>
      <c r="E37" s="34" t="s">
        <v>58</v>
      </c>
      <c r="F37" s="34" t="s">
        <v>59</v>
      </c>
      <c r="G37" s="15">
        <v>517.364399896534</v>
      </c>
      <c r="H37" s="15">
        <v>519.07792912571108</v>
      </c>
      <c r="I37" s="16">
        <f t="shared" si="1"/>
        <v>10000653.850000001</v>
      </c>
      <c r="J37" s="16">
        <f t="shared" si="2"/>
        <v>10033776.369999995</v>
      </c>
      <c r="K37" s="18">
        <v>0.17269899999999999</v>
      </c>
      <c r="L37" s="17">
        <v>4731.7885714285712</v>
      </c>
      <c r="M37" s="17">
        <v>10010117.427142849</v>
      </c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1855920</v>
      </c>
      <c r="D38" s="7" t="s">
        <v>51</v>
      </c>
      <c r="E38" s="34" t="s">
        <v>53</v>
      </c>
      <c r="F38" s="34" t="s">
        <v>62</v>
      </c>
      <c r="G38" s="15">
        <v>901.61300000000006</v>
      </c>
      <c r="H38" s="15">
        <v>902.87278802965602</v>
      </c>
      <c r="I38" s="16">
        <f t="shared" si="1"/>
        <v>1673321598.96</v>
      </c>
      <c r="J38" s="16">
        <f t="shared" si="2"/>
        <v>1675659664.7599993</v>
      </c>
      <c r="K38" s="18">
        <v>0.17</v>
      </c>
      <c r="L38" s="17"/>
      <c r="M38" s="17">
        <v>1673321598.96</v>
      </c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9675</v>
      </c>
      <c r="D39" s="7" t="s">
        <v>51</v>
      </c>
      <c r="E39" s="34" t="s">
        <v>53</v>
      </c>
      <c r="F39" s="34" t="s">
        <v>62</v>
      </c>
      <c r="G39" s="15">
        <v>930.30100051679608</v>
      </c>
      <c r="H39" s="15">
        <v>931.60163824289407</v>
      </c>
      <c r="I39" s="16">
        <f t="shared" si="1"/>
        <v>9000662.1800000016</v>
      </c>
      <c r="J39" s="16">
        <f t="shared" si="2"/>
        <v>9013245.8499999996</v>
      </c>
      <c r="K39" s="18">
        <v>0.1701</v>
      </c>
      <c r="L39" s="17"/>
      <c r="M39" s="17">
        <v>9000662.1799999997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3283114194.0985708</v>
      </c>
      <c r="N41" s="38">
        <v>3283114194.0985713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32784529756.863354</v>
      </c>
      <c r="C48" s="32">
        <v>32784529756.863377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109395.15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34528.910000000003</v>
      </c>
    </row>
    <row r="58" spans="1:2" x14ac:dyDescent="0.25">
      <c r="A58" s="48" t="s">
        <v>41</v>
      </c>
      <c r="B58" s="50">
        <v>17216.55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161140.60999999999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2025-11-10T05:57:34Z</dcterms:created>
  <dcterms:modified xsi:type="dcterms:W3CDTF">2025-11-10T11:55:26Z</dcterms:modified>
</cp:coreProperties>
</file>