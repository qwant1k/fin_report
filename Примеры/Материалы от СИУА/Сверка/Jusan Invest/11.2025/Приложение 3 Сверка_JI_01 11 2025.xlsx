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2F104389-C815-4C9B-82B4-C43D5EF1A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6" i="1"/>
  <c r="M19" i="1" l="1"/>
  <c r="M8" i="1"/>
  <c r="M21" i="1"/>
  <c r="M7" i="1"/>
  <c r="M13" i="1"/>
  <c r="M14" i="1"/>
  <c r="M20" i="1"/>
  <c r="M9" i="1"/>
  <c r="M4" i="1"/>
  <c r="M10" i="1"/>
  <c r="M16" i="1"/>
  <c r="M22" i="1"/>
  <c r="M12" i="1"/>
  <c r="M18" i="1"/>
  <c r="M15" i="1"/>
  <c r="M5" i="1"/>
  <c r="M11" i="1"/>
  <c r="M17" i="1"/>
</calcChain>
</file>

<file path=xl/sharedStrings.xml><?xml version="1.0" encoding="utf-8"?>
<sst xmlns="http://schemas.openxmlformats.org/spreadsheetml/2006/main" count="150" uniqueCount="119">
  <si>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</si>
  <si>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</si>
  <si>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</si>
  <si>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</si>
  <si>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</si>
  <si>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</si>
  <si>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</si>
  <si>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</si>
  <si>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</si>
  <si>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</si>
  <si>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</si>
  <si>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</si>
  <si>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</si>
  <si>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</si>
  <si>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</si>
  <si>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</si>
  <si>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</si>
  <si>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</si>
  <si>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</si>
  <si>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</si>
  <si>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</si>
  <si>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</si>
  <si>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</si>
  <si>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</si>
  <si>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</si>
  <si>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</si>
  <si>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</si>
  <si>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</si>
  <si>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</si>
  <si>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</si>
  <si>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</si>
  <si>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</si>
  <si>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</si>
  <si>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</si>
  <si>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</si>
  <si>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</si>
  <si>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</si>
  <si>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</si>
  <si>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</si>
  <si>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</si>
  <si>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</si>
  <si>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</si>
  <si>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</si>
  <si>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</si>
  <si>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</si>
  <si>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</si>
  <si>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</si>
  <si>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</si>
  <si>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</si>
  <si>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KFUSb9</t>
  </si>
  <si>
    <t>KZ2C00007318</t>
  </si>
  <si>
    <t>KZT</t>
  </si>
  <si>
    <t>29.10.2025</t>
  </si>
  <si>
    <t>05.11.2025</t>
  </si>
  <si>
    <t>МИНИСТЕРСТВО ФИНАНСОВ РК, ГЦБ, MUM240_0001</t>
  </si>
  <si>
    <t>KZKD00000550</t>
  </si>
  <si>
    <t>МИНИСТЕРСТВО ФИНАНСОВ РК, ГЦБ, MUM084_0019</t>
  </si>
  <si>
    <t>KZKD00001244</t>
  </si>
  <si>
    <t>31.10.2025</t>
  </si>
  <si>
    <t>03.11.2025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</si>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</sst>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7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98.653100000000009</v>
      </c>
      <c r="J4" s="11">
        <v>101.61698888888901</v>
      </c>
      <c r="K4" s="11">
        <v>89509444.444444433</v>
      </c>
      <c r="L4" s="11">
        <v>3068833064.4444442</v>
      </c>
      <c r="M4" s="6">
        <f t="shared" ref="M4:M22" si="0">L4/$L$24</f>
        <v>0.10385501063531584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82.843299999999999</v>
      </c>
      <c r="J5" s="11">
        <v>85.56871666666666</v>
      </c>
      <c r="K5" s="11">
        <v>61730687.499999993</v>
      </c>
      <c r="L5" s="11">
        <v>1938131432.499999</v>
      </c>
      <c r="M5" s="6">
        <f t="shared" si="0"/>
        <v>6.5589967361540477E-2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82.843299999999999</v>
      </c>
      <c r="J6" s="11">
        <v>85.568716666666916</v>
      </c>
      <c r="K6" s="11">
        <v>42288818.691666663</v>
      </c>
      <c r="L6" s="11">
        <v>1327723569.4096701</v>
      </c>
      <c r="M6" s="6">
        <f t="shared" si="0"/>
        <v>4.4932631565856578E-2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82.843299999999999</v>
      </c>
      <c r="J7" s="11">
        <v>85.56871666666666</v>
      </c>
      <c r="K7" s="11">
        <v>14872380.716666659</v>
      </c>
      <c r="L7" s="11">
        <v>466941641.35266697</v>
      </c>
      <c r="M7" s="6">
        <f t="shared" si="0"/>
        <v>1.5802172392694828E-2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87.166700000000006</v>
      </c>
      <c r="J8" s="11">
        <v>92.915588888888877</v>
      </c>
      <c r="K8" s="11">
        <v>130212333.333333</v>
      </c>
      <c r="L8" s="11">
        <v>2104538088.333333</v>
      </c>
      <c r="M8" s="6">
        <f t="shared" si="0"/>
        <v>7.1221477661527047E-2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84.951400000000007</v>
      </c>
      <c r="J9" s="11">
        <v>91.398622222222215</v>
      </c>
      <c r="K9" s="11">
        <v>146029583.33333299</v>
      </c>
      <c r="L9" s="11">
        <v>2070178793.333333</v>
      </c>
      <c r="M9" s="6">
        <f t="shared" si="0"/>
        <v>7.0058695303310714E-2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77.293999999999997</v>
      </c>
      <c r="J10" s="11">
        <v>83.702888888888879</v>
      </c>
      <c r="K10" s="11">
        <v>145161333.33333299</v>
      </c>
      <c r="L10" s="11">
        <v>1895870433.333333</v>
      </c>
      <c r="M10" s="6">
        <f t="shared" si="0"/>
        <v>6.4159776658512538E-2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67.762700000000009</v>
      </c>
      <c r="J11" s="11">
        <v>72.33978333333333</v>
      </c>
      <c r="K11" s="11">
        <v>103670937.5</v>
      </c>
      <c r="L11" s="11">
        <v>1638496092.499999</v>
      </c>
      <c r="M11" s="6">
        <f t="shared" si="0"/>
        <v>5.5449750944115389E-2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75.452100000000002</v>
      </c>
      <c r="J12" s="11">
        <v>78.262516666666656</v>
      </c>
      <c r="K12" s="11">
        <v>63655937.5</v>
      </c>
      <c r="L12" s="11">
        <v>1772646002.5</v>
      </c>
      <c r="M12" s="6">
        <f t="shared" si="0"/>
        <v>5.9989633054743953E-2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61.133400000000002</v>
      </c>
      <c r="J13" s="11">
        <v>64.921816666666658</v>
      </c>
      <c r="K13" s="11">
        <v>85807637.5</v>
      </c>
      <c r="L13" s="11">
        <v>1470479147.5</v>
      </c>
      <c r="M13" s="6">
        <f t="shared" si="0"/>
        <v>4.9763745467943599E-2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59.692600000000006</v>
      </c>
      <c r="J14" s="11">
        <v>65.789933333333323</v>
      </c>
      <c r="K14" s="11">
        <v>138104600</v>
      </c>
      <c r="L14" s="11">
        <v>1490141990</v>
      </c>
      <c r="M14" s="6">
        <f t="shared" si="0"/>
        <v>5.0429172577882445E-2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86.2821</v>
      </c>
      <c r="J15" s="11">
        <v>89.545600000000007</v>
      </c>
      <c r="K15" s="11">
        <v>123197125</v>
      </c>
      <c r="L15" s="11">
        <v>3380346400</v>
      </c>
      <c r="M15" s="6">
        <f t="shared" si="0"/>
        <v>0.11439720048330672</v>
      </c>
    </row>
    <row r="16" spans="1:13" x14ac:dyDescent="0.25">
      <c r="A16" s="1" t="s">
        <v>54</v>
      </c>
      <c r="B16" s="13" t="s">
        <v>55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56.694900000000004</v>
      </c>
      <c r="J16" s="11">
        <v>59.551844444444434</v>
      </c>
      <c r="K16" s="11">
        <v>80104722.5</v>
      </c>
      <c r="L16" s="11">
        <v>1669750345.6400001</v>
      </c>
      <c r="M16" s="6">
        <f t="shared" si="0"/>
        <v>5.6507452918804352E-2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85.115600000000001</v>
      </c>
      <c r="J17" s="11">
        <v>92.915599999999998</v>
      </c>
      <c r="K17" s="11">
        <v>81001440</v>
      </c>
      <c r="L17" s="11">
        <v>964909922.88</v>
      </c>
      <c r="M17" s="6">
        <f t="shared" si="0"/>
        <v>3.2654343914586798E-2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98.051400000000001</v>
      </c>
      <c r="J18" s="11">
        <v>105.001538888889</v>
      </c>
      <c r="K18" s="11">
        <v>35236439.651388884</v>
      </c>
      <c r="L18" s="11">
        <v>532346251.99738902</v>
      </c>
      <c r="M18" s="6">
        <f t="shared" si="0"/>
        <v>1.801558589270089E-2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94.272450439578492</v>
      </c>
      <c r="J19" s="11">
        <v>96.57633932846737</v>
      </c>
      <c r="K19" s="11">
        <v>48381666.666666657</v>
      </c>
      <c r="L19" s="11">
        <v>2028103125.897815</v>
      </c>
      <c r="M19" s="6">
        <f t="shared" si="0"/>
        <v>6.86347765702809E-2</v>
      </c>
    </row>
    <row r="20" spans="1:15" x14ac:dyDescent="0.25">
      <c r="A20" s="1" t="s">
        <v>106</v>
      </c>
      <c r="B20" s="13" t="s">
        <v>107</v>
      </c>
      <c r="C20" s="10">
        <v>1000000</v>
      </c>
      <c r="D20" s="11">
        <v>1000000000</v>
      </c>
      <c r="E20" s="3">
        <v>0.1389</v>
      </c>
      <c r="F20" s="4" t="s">
        <v>108</v>
      </c>
      <c r="G20" s="4" t="s">
        <v>109</v>
      </c>
      <c r="H20" s="11">
        <v>1000000000</v>
      </c>
      <c r="I20" s="11">
        <v>98.078315280045302</v>
      </c>
      <c r="J20" s="11">
        <v>103.981565280045</v>
      </c>
      <c r="K20" s="11">
        <v>59032499.999999993</v>
      </c>
      <c r="L20" s="11">
        <v>1039815652.800452</v>
      </c>
      <c r="M20" s="6">
        <f t="shared" si="0"/>
        <v>3.5189292937284108E-2</v>
      </c>
    </row>
    <row r="21" spans="1:15" x14ac:dyDescent="0.25">
      <c r="A21" s="1" t="s">
        <v>110</v>
      </c>
      <c r="B21" s="13" t="s">
        <v>111</v>
      </c>
      <c r="C21" s="10">
        <v>165739</v>
      </c>
      <c r="D21" s="11">
        <v>165739000</v>
      </c>
      <c r="E21" s="3">
        <v>0.125</v>
      </c>
      <c r="F21" s="4" t="s">
        <v>112</v>
      </c>
      <c r="G21" s="4" t="s">
        <v>113</v>
      </c>
      <c r="H21" s="11">
        <v>159596381.18279999</v>
      </c>
      <c r="I21" s="11">
        <v>96.331897770141595</v>
      </c>
      <c r="J21" s="11">
        <v>101.15828665901701</v>
      </c>
      <c r="K21" s="11">
        <v>7999208.68053333</v>
      </c>
      <c r="L21" s="11">
        <v>167658732.725788</v>
      </c>
      <c r="M21" s="6">
        <f t="shared" si="0"/>
        <v>5.6738829075059019E-3</v>
      </c>
    </row>
    <row r="22" spans="1:15" x14ac:dyDescent="0.25">
      <c r="A22" s="1" t="s">
        <v>114</v>
      </c>
      <c r="B22" s="13" t="s">
        <v>115</v>
      </c>
      <c r="C22" s="10">
        <v>494987</v>
      </c>
      <c r="D22" s="11">
        <v>494987000</v>
      </c>
      <c r="E22" s="3">
        <v>0.1701</v>
      </c>
      <c r="F22" s="4" t="s">
        <v>116</v>
      </c>
      <c r="G22" s="4" t="s">
        <v>117</v>
      </c>
      <c r="H22" s="11">
        <v>495088472.34249997</v>
      </c>
      <c r="I22" s="11">
        <v>101.5479</v>
      </c>
      <c r="J22" s="11">
        <v>105.51690000000001</v>
      </c>
      <c r="K22" s="11">
        <v>19646034.030000001</v>
      </c>
      <c r="L22" s="11">
        <v>522294937.80299997</v>
      </c>
      <c r="M22" s="6">
        <f t="shared" si="0"/>
        <v>1.7675430752086829E-2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1475642830.3813658</v>
      </c>
      <c r="L24" s="22">
        <f>SUM(L4:L23)</f>
        <v>29549205624.951225</v>
      </c>
      <c r="M24" s="23"/>
      <c r="N24" s="26">
        <v>29549205624.951252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2673107.13</v>
      </c>
      <c r="C27" s="51">
        <v>2673107.13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1511139</v>
      </c>
      <c r="D32" s="7" t="s">
        <v>51</v>
      </c>
      <c r="E32" s="34" t="s">
        <v>52</v>
      </c>
      <c r="F32" s="34" t="s">
        <v>53</v>
      </c>
      <c r="G32" s="15">
        <v>1051.7669999980139</v>
      </c>
      <c r="H32" s="15">
        <v>1055.236390318825</v>
      </c>
      <c r="I32" s="16">
        <f>+C32*G32</f>
        <v>1589366132.6099987</v>
      </c>
      <c r="J32" s="16">
        <f>+C32*H32</f>
        <v>1594608863.6299989</v>
      </c>
      <c r="K32" s="18">
        <v>0.17200000000000001</v>
      </c>
      <c r="L32" s="17">
        <v>748961.57428571419</v>
      </c>
      <c r="M32" s="17">
        <v>1591613017.3328569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18502</v>
      </c>
      <c r="D33" s="7" t="s">
        <v>51</v>
      </c>
      <c r="E33" s="34" t="s">
        <v>52</v>
      </c>
      <c r="F33" s="34" t="s">
        <v>53</v>
      </c>
      <c r="G33" s="15">
        <v>594.62800021619307</v>
      </c>
      <c r="H33" s="15">
        <v>596.58945789644406</v>
      </c>
      <c r="I33" s="16">
        <f>+C33*G33</f>
        <v>11001807.260000004</v>
      </c>
      <c r="J33" s="16">
        <f>+C33*H33</f>
        <v>11038098.150000008</v>
      </c>
      <c r="K33" s="18">
        <v>0.17200000000000001</v>
      </c>
      <c r="L33" s="17">
        <v>5184.4128571428573</v>
      </c>
      <c r="M33" s="17">
        <v>11017360.49857142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10960</v>
      </c>
      <c r="D34" s="7" t="s">
        <v>51</v>
      </c>
      <c r="E34" s="34" t="s">
        <v>58</v>
      </c>
      <c r="F34" s="34" t="s">
        <v>59</v>
      </c>
      <c r="G34" s="15">
        <v>912.90600000000006</v>
      </c>
      <c r="H34" s="15">
        <v>914.21158029197102</v>
      </c>
      <c r="I34" s="16">
        <f>+C34*G34</f>
        <v>10005449.76</v>
      </c>
      <c r="J34" s="16">
        <f>+C34*H34</f>
        <v>10019758.920000002</v>
      </c>
      <c r="K34" s="18">
        <v>0.17400000000000002</v>
      </c>
      <c r="L34" s="17">
        <v>4769.72</v>
      </c>
      <c r="M34" s="17">
        <v>10010219.48</v>
      </c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2792160</v>
      </c>
      <c r="D35" s="7" t="s">
        <v>51</v>
      </c>
      <c r="E35" s="34" t="s">
        <v>58</v>
      </c>
      <c r="F35" s="34" t="s">
        <v>59</v>
      </c>
      <c r="G35" s="15">
        <v>595.36599999999999</v>
      </c>
      <c r="H35" s="15">
        <v>596.21745493811204</v>
      </c>
      <c r="I35" s="16">
        <f>+C35*G35</f>
        <v>1662357130.5599999</v>
      </c>
      <c r="J35" s="16">
        <f>+C35*H35</f>
        <v>1664734528.9799988</v>
      </c>
      <c r="K35" s="18">
        <v>0.17400000000000002</v>
      </c>
      <c r="L35" s="17">
        <v>792466.14</v>
      </c>
      <c r="M35" s="17">
        <v>1663149596.7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3275790194.0114284</v>
      </c>
      <c r="N37" s="38">
        <v>3275790194.0114284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32827668926.092655</v>
      </c>
      <c r="C44" s="32">
        <v>32827668926.092682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13490.82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/>
    </row>
    <row r="54" spans="1:2" x14ac:dyDescent="0.25">
      <c r="A54" s="48" t="s">
        <v>41</v>
      </c>
      <c r="B54" s="50"/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13490.82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2025-11-03T06:20:37Z</dcterms:created>
  <dcterms:modified xsi:type="dcterms:W3CDTF">2025-11-03T09:54:52Z</dcterms:modified>
</cp:coreProperties>
</file>