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A3629371-1DA9-4D86-971E-52F7FF0742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5" i="1"/>
  <c r="O24" i="1"/>
  <c r="D27" i="1"/>
  <c r="B56" i="1"/>
  <c r="G40" i="1"/>
  <c r="M35" i="1"/>
  <c r="J33" i="1"/>
  <c r="I33" i="1"/>
  <c r="J32" i="1"/>
  <c r="I32" i="1"/>
  <c r="L24" i="1"/>
  <c r="M20" i="1" s="1"/>
  <c r="K24" i="1"/>
  <c r="M18" i="1"/>
  <c r="M12" i="1"/>
  <c r="M6" i="1"/>
  <c r="M4" i="1" l="1"/>
  <c r="M10" i="1"/>
  <c r="M16" i="1"/>
  <c r="M22" i="1"/>
  <c r="M9" i="1"/>
  <c r="M15" i="1"/>
  <c r="M21" i="1"/>
  <c r="M5" i="1"/>
  <c r="M11" i="1"/>
  <c r="M17" i="1"/>
  <c r="M7" i="1"/>
  <c r="M13" i="1"/>
  <c r="M19" i="1"/>
  <c r="B42" i="1"/>
  <c r="M8" i="1"/>
  <c r="M14" i="1"/>
</calcChain>
</file>

<file path=xl/sharedStrings.xml><?xml version="1.0" encoding="utf-8"?>
<sst xmlns="http://schemas.openxmlformats.org/spreadsheetml/2006/main" count="140" uniqueCount="115">
  <si>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</si>
  <si>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</si>
  <si>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</si>
  <si>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</si>
  <si>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</si>
  <si>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</si>
  <si>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</si>
  <si>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</si>
  <si>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</si>
  <si>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</si>
  <si>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</si>
  <si>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</si>
  <si>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</si>
  <si>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</si>
  <si>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</si>
  <si>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</si>
  <si>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</si>
  <si>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</si>
  <si>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</si>
  <si>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</si>
  <si>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</si>
  <si>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</si>
  <si>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</si>
  <si>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</si>
  <si>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</si>
  <si>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</si>
  <si>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</si>
  <si>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</si>
  <si>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</si>
  <si>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</si>
  <si>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</si>
  <si>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</si>
  <si>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</si>
  <si>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</si>
  <si>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</si>
  <si>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</si>
  <si>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</si>
  <si>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</si>
  <si>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</si>
  <si>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</si>
  <si>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</si>
  <si>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</si>
  <si>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</si>
  <si>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</si>
  <si>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</si>
  <si>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</si>
  <si>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</si>
  <si>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</si>
  <si>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</si>
  <si>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MUM084_0019</t>
  </si>
  <si>
    <t>KZKD00001244</t>
  </si>
  <si>
    <t>KZT</t>
  </si>
  <si>
    <t>21.11.2025</t>
  </si>
  <si>
    <t>24.11.2025</t>
  </si>
  <si>
    <t>МИНИСТЕРСТВО ФИНАНСОВ РК, ГЦБ, MUM240_0001</t>
  </si>
  <si>
    <t>KZKD00000550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</si>
  <si>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</si>
  <si>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</si>
  <si>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</si>
  <si>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</si>
  <si>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</si>
  <si>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</si>
  <si>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</si>
  <si>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</si>
  <si>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</si>
  <si>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</si>
  <si>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</si>
  <si>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</si>
  <si>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</si>
  <si>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</si>
  <si>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</si>
  <si>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</si>
  <si>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</si>
  <si>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</si>
  <si>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</si>
  <si>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</si>
  <si>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</si>
  <si>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</si>
  <si>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</si>
  <si>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</si>
  <si>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</si>
  <si>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</si>
  <si>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</si>
  <si>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</si>
  <si>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</si>
  <si>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</si>
  <si>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</si>
  <si>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</si>
  <si>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</si>
  <si>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</si>
  <si>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</si>
  <si>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</si>
  <si>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</si>
  <si>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</si>
  <si>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</si>
  <si>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</si>
  <si>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</si>
  <si>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</si>
  <si>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</si>
  <si>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</si>
  <si>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</si>
  <si>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</si>
  <si>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</si>
  <si>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</si>
  <si>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</si>
  <si>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</si>
  <si>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</si>
  <si>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</si>
  <si>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</si>
  <si>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</si>
  <si>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</si>
  <si>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</si>
  <si>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</si>
  <si>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</si>
  <si>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23.11.2025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</si>
</sst>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topLeftCell="A9" zoomScale="90" zoomScaleNormal="90" workbookViewId="0">
      <selection activeCell="D43" sqref="D4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114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56</v>
      </c>
      <c r="B4" s="13" t="s">
        <v>57</v>
      </c>
      <c r="C4" s="10">
        <v>3020000</v>
      </c>
      <c r="D4" s="11">
        <v>3020000000</v>
      </c>
      <c r="E4" s="3">
        <v>0.1067</v>
      </c>
      <c r="F4" s="4" t="s">
        <v>58</v>
      </c>
      <c r="G4" s="4" t="s">
        <v>59</v>
      </c>
      <c r="H4" s="11">
        <v>2930617060.0000029</v>
      </c>
      <c r="I4" s="11">
        <v>99.000700000000009</v>
      </c>
      <c r="J4" s="11">
        <v>102.61664444444401</v>
      </c>
      <c r="K4" s="11">
        <v>109201522.222222</v>
      </c>
      <c r="L4" s="11">
        <v>3099022662.2222219</v>
      </c>
      <c r="M4" s="6">
        <f t="shared" ref="M4:M22" si="0">L4/$L$24</f>
        <v>0.10394174128808385</v>
      </c>
    </row>
    <row r="5" spans="1:13" x14ac:dyDescent="0.25">
      <c r="A5" s="1" t="s">
        <v>60</v>
      </c>
      <c r="B5" s="13" t="s">
        <v>61</v>
      </c>
      <c r="C5" s="10">
        <v>2265000</v>
      </c>
      <c r="D5" s="11">
        <v>2265000000</v>
      </c>
      <c r="E5" s="3">
        <v>0.10550000000000001</v>
      </c>
      <c r="F5" s="4" t="s">
        <v>58</v>
      </c>
      <c r="G5" s="4" t="s">
        <v>62</v>
      </c>
      <c r="H5" s="11">
        <v>2039188560.0000031</v>
      </c>
      <c r="I5" s="11">
        <v>83.008600000000001</v>
      </c>
      <c r="J5" s="11">
        <v>86.378738888888876</v>
      </c>
      <c r="K5" s="11">
        <v>76333645.833333328</v>
      </c>
      <c r="L5" s="11">
        <v>1956478435.833333</v>
      </c>
      <c r="M5" s="6">
        <f t="shared" si="0"/>
        <v>6.5620615780615066E-2</v>
      </c>
    </row>
    <row r="6" spans="1:13" x14ac:dyDescent="0.25">
      <c r="A6" s="1" t="s">
        <v>60</v>
      </c>
      <c r="B6" s="13" t="s">
        <v>61</v>
      </c>
      <c r="C6" s="10">
        <v>1551646</v>
      </c>
      <c r="D6" s="11">
        <v>1551646000</v>
      </c>
      <c r="E6" s="3">
        <v>0.10550000000000001</v>
      </c>
      <c r="F6" s="4" t="s">
        <v>63</v>
      </c>
      <c r="G6" s="4" t="s">
        <v>62</v>
      </c>
      <c r="H6" s="11">
        <v>1395452658.7</v>
      </c>
      <c r="I6" s="11">
        <v>83.008600000000001</v>
      </c>
      <c r="J6" s="11">
        <v>86.378738888889131</v>
      </c>
      <c r="K6" s="11">
        <v>52292625.263888881</v>
      </c>
      <c r="L6" s="11">
        <v>1340292246.8198919</v>
      </c>
      <c r="M6" s="6">
        <f t="shared" si="0"/>
        <v>4.495362737021126E-2</v>
      </c>
    </row>
    <row r="7" spans="1:13" x14ac:dyDescent="0.25">
      <c r="A7" s="1" t="s">
        <v>60</v>
      </c>
      <c r="B7" s="13" t="s">
        <v>61</v>
      </c>
      <c r="C7" s="10">
        <v>545692</v>
      </c>
      <c r="D7" s="11">
        <v>545692000</v>
      </c>
      <c r="E7" s="3">
        <v>0.10550000000000001</v>
      </c>
      <c r="F7" s="4" t="s">
        <v>64</v>
      </c>
      <c r="G7" s="4" t="s">
        <v>62</v>
      </c>
      <c r="H7" s="11">
        <v>449784993.92000002</v>
      </c>
      <c r="I7" s="11">
        <v>83.008600000000001</v>
      </c>
      <c r="J7" s="11">
        <v>86.37873888888889</v>
      </c>
      <c r="K7" s="11">
        <v>18390578.305555549</v>
      </c>
      <c r="L7" s="11">
        <v>471361867.81755602</v>
      </c>
      <c r="M7" s="6">
        <f t="shared" si="0"/>
        <v>1.580955632077503E-2</v>
      </c>
    </row>
    <row r="8" spans="1:13" x14ac:dyDescent="0.25">
      <c r="A8" s="1" t="s">
        <v>65</v>
      </c>
      <c r="B8" s="13" t="s">
        <v>66</v>
      </c>
      <c r="C8" s="10">
        <v>2265000</v>
      </c>
      <c r="D8" s="11">
        <v>2265000000</v>
      </c>
      <c r="E8" s="3">
        <v>0.10400000000000001</v>
      </c>
      <c r="F8" s="4" t="s">
        <v>58</v>
      </c>
      <c r="G8" s="4" t="s">
        <v>67</v>
      </c>
      <c r="H8" s="11">
        <v>2073109200</v>
      </c>
      <c r="I8" s="11">
        <v>87.247399999999999</v>
      </c>
      <c r="J8" s="11">
        <v>93.63184444444444</v>
      </c>
      <c r="K8" s="11">
        <v>144607666.66666701</v>
      </c>
      <c r="L8" s="11">
        <v>2120761276.666666</v>
      </c>
      <c r="M8" s="6">
        <f t="shared" si="0"/>
        <v>7.1130689891439794E-2</v>
      </c>
    </row>
    <row r="9" spans="1:13" x14ac:dyDescent="0.25">
      <c r="A9" s="1" t="s">
        <v>68</v>
      </c>
      <c r="B9" s="13" t="s">
        <v>69</v>
      </c>
      <c r="C9" s="10">
        <v>2265000</v>
      </c>
      <c r="D9" s="11">
        <v>2265000000</v>
      </c>
      <c r="E9" s="3">
        <v>0.11</v>
      </c>
      <c r="F9" s="4" t="s">
        <v>58</v>
      </c>
      <c r="G9" s="4" t="s">
        <v>70</v>
      </c>
      <c r="H9" s="11">
        <v>2080889475</v>
      </c>
      <c r="I9" s="11">
        <v>85.108500000000006</v>
      </c>
      <c r="J9" s="11">
        <v>92.227944444444432</v>
      </c>
      <c r="K9" s="11">
        <v>161255416.66666701</v>
      </c>
      <c r="L9" s="11">
        <v>2088962941.666666</v>
      </c>
      <c r="M9" s="6">
        <f t="shared" si="0"/>
        <v>7.0064168387659706E-2</v>
      </c>
    </row>
    <row r="10" spans="1:13" x14ac:dyDescent="0.25">
      <c r="A10" s="1" t="s">
        <v>71</v>
      </c>
      <c r="B10" s="13" t="s">
        <v>72</v>
      </c>
      <c r="C10" s="10">
        <v>2265000</v>
      </c>
      <c r="D10" s="11">
        <v>2265000000</v>
      </c>
      <c r="E10" s="3">
        <v>0.10300000000000001</v>
      </c>
      <c r="F10" s="4" t="s">
        <v>58</v>
      </c>
      <c r="G10" s="4" t="s">
        <v>73</v>
      </c>
      <c r="H10" s="11">
        <v>1963990560.0000031</v>
      </c>
      <c r="I10" s="11">
        <v>77.616</v>
      </c>
      <c r="J10" s="11">
        <v>84.654333333333327</v>
      </c>
      <c r="K10" s="11">
        <v>159418250</v>
      </c>
      <c r="L10" s="11">
        <v>1917420650</v>
      </c>
      <c r="M10" s="6">
        <f t="shared" si="0"/>
        <v>6.4310611074982302E-2</v>
      </c>
    </row>
    <row r="11" spans="1:13" x14ac:dyDescent="0.25">
      <c r="A11" s="1" t="s">
        <v>74</v>
      </c>
      <c r="B11" s="13" t="s">
        <v>75</v>
      </c>
      <c r="C11" s="10">
        <v>2265000</v>
      </c>
      <c r="D11" s="11">
        <v>2265000000</v>
      </c>
      <c r="E11" s="3">
        <v>8.4500000000000006E-2</v>
      </c>
      <c r="F11" s="4" t="s">
        <v>58</v>
      </c>
      <c r="G11" s="4" t="s">
        <v>76</v>
      </c>
      <c r="H11" s="11">
        <v>1740247065.0000031</v>
      </c>
      <c r="I11" s="11">
        <v>68.158299999999997</v>
      </c>
      <c r="J11" s="11">
        <v>73.251772222222215</v>
      </c>
      <c r="K11" s="11">
        <v>115367145.833333</v>
      </c>
      <c r="L11" s="11">
        <v>1659152640.833333</v>
      </c>
      <c r="M11" s="6">
        <f t="shared" si="0"/>
        <v>5.5648258611725232E-2</v>
      </c>
    </row>
    <row r="12" spans="1:13" x14ac:dyDescent="0.25">
      <c r="A12" s="1" t="s">
        <v>77</v>
      </c>
      <c r="B12" s="13" t="s">
        <v>78</v>
      </c>
      <c r="C12" s="10">
        <v>2265000</v>
      </c>
      <c r="D12" s="11">
        <v>2265000000</v>
      </c>
      <c r="E12" s="3">
        <v>0.10650000000000001</v>
      </c>
      <c r="F12" s="4" t="s">
        <v>58</v>
      </c>
      <c r="G12" s="4" t="s">
        <v>79</v>
      </c>
      <c r="H12" s="11">
        <v>1967775375</v>
      </c>
      <c r="I12" s="11">
        <v>75.78840000000001</v>
      </c>
      <c r="J12" s="11">
        <v>79.249650000000003</v>
      </c>
      <c r="K12" s="11">
        <v>78397312.5</v>
      </c>
      <c r="L12" s="11">
        <v>1795004572.5</v>
      </c>
      <c r="M12" s="6">
        <f t="shared" si="0"/>
        <v>6.0204755247557383E-2</v>
      </c>
    </row>
    <row r="13" spans="1:13" x14ac:dyDescent="0.25">
      <c r="A13" s="1" t="s">
        <v>80</v>
      </c>
      <c r="B13" s="13" t="s">
        <v>81</v>
      </c>
      <c r="C13" s="10">
        <v>2265000</v>
      </c>
      <c r="D13" s="11">
        <v>2265000000</v>
      </c>
      <c r="E13" s="3">
        <v>8.0700000000000008E-2</v>
      </c>
      <c r="F13" s="4" t="s">
        <v>58</v>
      </c>
      <c r="G13" s="4" t="s">
        <v>82</v>
      </c>
      <c r="H13" s="11">
        <v>1622351550</v>
      </c>
      <c r="I13" s="11">
        <v>61.568000000000005</v>
      </c>
      <c r="J13" s="11">
        <v>65.849583333333328</v>
      </c>
      <c r="K13" s="11">
        <v>96977862.5</v>
      </c>
      <c r="L13" s="11">
        <v>1491493062.5</v>
      </c>
      <c r="M13" s="6">
        <f t="shared" si="0"/>
        <v>5.0024928157246969E-2</v>
      </c>
    </row>
    <row r="14" spans="1:13" x14ac:dyDescent="0.25">
      <c r="A14" s="1" t="s">
        <v>83</v>
      </c>
      <c r="B14" s="13" t="s">
        <v>84</v>
      </c>
      <c r="C14" s="10">
        <v>2265000</v>
      </c>
      <c r="D14" s="11">
        <v>2265000000</v>
      </c>
      <c r="E14" s="3">
        <v>8.0700000000000008E-2</v>
      </c>
      <c r="F14" s="4" t="s">
        <v>58</v>
      </c>
      <c r="G14" s="4" t="s">
        <v>85</v>
      </c>
      <c r="H14" s="11">
        <v>1597764975</v>
      </c>
      <c r="I14" s="11">
        <v>60.158100000000005</v>
      </c>
      <c r="J14" s="11">
        <v>66.748599999999996</v>
      </c>
      <c r="K14" s="11">
        <v>149274825</v>
      </c>
      <c r="L14" s="11">
        <v>1511855790</v>
      </c>
      <c r="M14" s="6">
        <f t="shared" si="0"/>
        <v>5.0707897462223601E-2</v>
      </c>
    </row>
    <row r="15" spans="1:13" x14ac:dyDescent="0.25">
      <c r="A15" s="1" t="s">
        <v>86</v>
      </c>
      <c r="B15" s="13" t="s">
        <v>87</v>
      </c>
      <c r="C15" s="10">
        <v>3775000</v>
      </c>
      <c r="D15" s="11">
        <v>3775000000</v>
      </c>
      <c r="E15" s="3">
        <v>5.4900000000000004E-2</v>
      </c>
      <c r="F15" s="4" t="s">
        <v>58</v>
      </c>
      <c r="G15" s="4" t="s">
        <v>88</v>
      </c>
      <c r="H15" s="11">
        <v>3136670150</v>
      </c>
      <c r="I15" s="11">
        <v>86.539200000000008</v>
      </c>
      <c r="J15" s="11">
        <v>90.138199999999998</v>
      </c>
      <c r="K15" s="11">
        <v>135862250</v>
      </c>
      <c r="L15" s="11">
        <v>3402717050</v>
      </c>
      <c r="M15" s="6">
        <f t="shared" si="0"/>
        <v>0.11412770212981754</v>
      </c>
    </row>
    <row r="16" spans="1:13" x14ac:dyDescent="0.25">
      <c r="A16" s="1" t="s">
        <v>54</v>
      </c>
      <c r="B16" s="13" t="s">
        <v>55</v>
      </c>
      <c r="C16" s="10">
        <v>2803860</v>
      </c>
      <c r="D16" s="11">
        <v>2803860000</v>
      </c>
      <c r="E16" s="3">
        <v>5.5E-2</v>
      </c>
      <c r="F16" s="4" t="s">
        <v>89</v>
      </c>
      <c r="G16" s="4" t="s">
        <v>90</v>
      </c>
      <c r="H16" s="11">
        <v>1773018067.1400001</v>
      </c>
      <c r="I16" s="11">
        <v>57.143000000000001</v>
      </c>
      <c r="J16" s="11">
        <v>60.336055555555546</v>
      </c>
      <c r="K16" s="11">
        <v>89528807.5</v>
      </c>
      <c r="L16" s="11">
        <v>1691738527.3</v>
      </c>
      <c r="M16" s="6">
        <f t="shared" si="0"/>
        <v>5.6741194724148632E-2</v>
      </c>
    </row>
    <row r="17" spans="1:15" x14ac:dyDescent="0.25">
      <c r="A17" s="1" t="s">
        <v>91</v>
      </c>
      <c r="B17" s="13" t="s">
        <v>92</v>
      </c>
      <c r="C17" s="10">
        <v>1038480</v>
      </c>
      <c r="D17" s="11">
        <v>1038480000</v>
      </c>
      <c r="E17" s="3">
        <v>0.12</v>
      </c>
      <c r="F17" s="4" t="s">
        <v>89</v>
      </c>
      <c r="G17" s="4" t="s">
        <v>93</v>
      </c>
      <c r="H17" s="11">
        <v>979029096.96000004</v>
      </c>
      <c r="I17" s="11">
        <v>85.32950000000001</v>
      </c>
      <c r="J17" s="11">
        <v>93.862833333333327</v>
      </c>
      <c r="K17" s="11">
        <v>88616960</v>
      </c>
      <c r="L17" s="11">
        <v>974746751.60000002</v>
      </c>
      <c r="M17" s="6">
        <f t="shared" si="0"/>
        <v>3.2693169982679592E-2</v>
      </c>
    </row>
    <row r="18" spans="1:15" x14ac:dyDescent="0.25">
      <c r="A18" s="1" t="s">
        <v>94</v>
      </c>
      <c r="B18" s="13" t="s">
        <v>95</v>
      </c>
      <c r="C18" s="10">
        <v>506989</v>
      </c>
      <c r="D18" s="11">
        <v>506989000</v>
      </c>
      <c r="E18" s="3">
        <v>0.1535</v>
      </c>
      <c r="F18" s="4" t="s">
        <v>96</v>
      </c>
      <c r="G18" s="4" t="s">
        <v>97</v>
      </c>
      <c r="H18" s="11">
        <v>492216861.50999999</v>
      </c>
      <c r="I18" s="11">
        <v>97.878900000000002</v>
      </c>
      <c r="J18" s="11">
        <v>98.092094444444442</v>
      </c>
      <c r="K18" s="11">
        <v>1080872.3819444401</v>
      </c>
      <c r="L18" s="11">
        <v>497316128.70294398</v>
      </c>
      <c r="M18" s="6">
        <f t="shared" si="0"/>
        <v>1.6680066595888009E-2</v>
      </c>
    </row>
    <row r="19" spans="1:15" x14ac:dyDescent="0.25">
      <c r="A19" s="1" t="s">
        <v>98</v>
      </c>
      <c r="B19" s="13" t="s">
        <v>99</v>
      </c>
      <c r="C19" s="10">
        <v>2100000</v>
      </c>
      <c r="D19" s="11">
        <v>2100000000</v>
      </c>
      <c r="E19" s="3">
        <v>0.14300000000000002</v>
      </c>
      <c r="F19" s="4" t="s">
        <v>100</v>
      </c>
      <c r="G19" s="4" t="s">
        <v>101</v>
      </c>
      <c r="H19" s="11">
        <v>2100000000</v>
      </c>
      <c r="I19" s="11">
        <v>94.37792983703379</v>
      </c>
      <c r="J19" s="11">
        <v>97.555707614811567</v>
      </c>
      <c r="K19" s="11">
        <v>66733333.333333328</v>
      </c>
      <c r="L19" s="11">
        <v>2048669859.9110429</v>
      </c>
      <c r="M19" s="6">
        <f t="shared" si="0"/>
        <v>6.8712731649039849E-2</v>
      </c>
    </row>
    <row r="20" spans="1:15" x14ac:dyDescent="0.25">
      <c r="A20" s="1" t="s">
        <v>102</v>
      </c>
      <c r="B20" s="13" t="s">
        <v>103</v>
      </c>
      <c r="C20" s="10">
        <v>1000000</v>
      </c>
      <c r="D20" s="11">
        <v>1000000000</v>
      </c>
      <c r="E20" s="3">
        <v>0.1389</v>
      </c>
      <c r="F20" s="4" t="s">
        <v>104</v>
      </c>
      <c r="G20" s="4" t="s">
        <v>105</v>
      </c>
      <c r="H20" s="11">
        <v>1000000000</v>
      </c>
      <c r="I20" s="11">
        <v>98.39281688739419</v>
      </c>
      <c r="J20" s="11">
        <v>105.144900220728</v>
      </c>
      <c r="K20" s="11">
        <v>67520833.333333328</v>
      </c>
      <c r="L20" s="11">
        <v>1051449002.207275</v>
      </c>
      <c r="M20" s="6">
        <f t="shared" si="0"/>
        <v>3.5265776367919201E-2</v>
      </c>
    </row>
    <row r="21" spans="1:15" x14ac:dyDescent="0.25">
      <c r="A21" s="1" t="s">
        <v>106</v>
      </c>
      <c r="B21" s="13" t="s">
        <v>107</v>
      </c>
      <c r="C21" s="10">
        <v>165739</v>
      </c>
      <c r="D21" s="11">
        <v>165739000</v>
      </c>
      <c r="E21" s="3">
        <v>0.125</v>
      </c>
      <c r="F21" s="4" t="s">
        <v>108</v>
      </c>
      <c r="G21" s="4" t="s">
        <v>109</v>
      </c>
      <c r="H21" s="11">
        <v>159596381.18279999</v>
      </c>
      <c r="I21" s="11">
        <v>96.591074191319095</v>
      </c>
      <c r="J21" s="11">
        <v>102.18135196908301</v>
      </c>
      <c r="K21" s="11">
        <v>9265270.4860888906</v>
      </c>
      <c r="L21" s="11">
        <v>169354350.94003901</v>
      </c>
      <c r="M21" s="6">
        <f t="shared" si="0"/>
        <v>5.6801734127359654E-3</v>
      </c>
    </row>
    <row r="22" spans="1:15" x14ac:dyDescent="0.25">
      <c r="A22" s="1" t="s">
        <v>110</v>
      </c>
      <c r="B22" s="13" t="s">
        <v>111</v>
      </c>
      <c r="C22" s="10">
        <v>494987</v>
      </c>
      <c r="D22" s="11">
        <v>494987000</v>
      </c>
      <c r="E22" s="3">
        <v>0.1701</v>
      </c>
      <c r="F22" s="4" t="s">
        <v>112</v>
      </c>
      <c r="G22" s="4" t="s">
        <v>113</v>
      </c>
      <c r="H22" s="11">
        <v>495088472.34249997</v>
      </c>
      <c r="I22" s="11">
        <v>101.4991</v>
      </c>
      <c r="J22" s="11">
        <v>106.50760000000001</v>
      </c>
      <c r="K22" s="11">
        <v>24791423.895</v>
      </c>
      <c r="L22" s="11">
        <v>527198774.01200002</v>
      </c>
      <c r="M22" s="6">
        <f t="shared" si="0"/>
        <v>1.7682335545250973E-2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1644916601.7213669</v>
      </c>
      <c r="L24" s="22">
        <f>SUM(L4:L23)</f>
        <v>29814996591.53297</v>
      </c>
      <c r="M24" s="23"/>
      <c r="N24" s="26">
        <v>29814996591.53299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3279583.83</v>
      </c>
      <c r="C27" s="51">
        <v>3279583.83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3468800</v>
      </c>
      <c r="D32" s="7" t="s">
        <v>51</v>
      </c>
      <c r="E32" s="34" t="s">
        <v>52</v>
      </c>
      <c r="F32" s="34" t="s">
        <v>53</v>
      </c>
      <c r="G32" s="15">
        <v>922.77300000000002</v>
      </c>
      <c r="H32" s="15">
        <v>924.06993849169703</v>
      </c>
      <c r="I32" s="16">
        <f>+C32*G32</f>
        <v>3200914982.4000001</v>
      </c>
      <c r="J32" s="16">
        <f>+C32*H32</f>
        <v>3205413802.6399984</v>
      </c>
      <c r="K32" s="18">
        <v>0.17100000000000001</v>
      </c>
      <c r="L32" s="17">
        <v>1499606.7466666701</v>
      </c>
      <c r="M32" s="17">
        <v>3203914195.893333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238896</v>
      </c>
      <c r="D33" s="7" t="s">
        <v>51</v>
      </c>
      <c r="E33" s="34" t="s">
        <v>52</v>
      </c>
      <c r="F33" s="34" t="s">
        <v>53</v>
      </c>
      <c r="G33" s="15">
        <v>603.05500000000006</v>
      </c>
      <c r="H33" s="15">
        <v>603.90307707119405</v>
      </c>
      <c r="I33" s="16">
        <f>+C33*G33</f>
        <v>144067427.28</v>
      </c>
      <c r="J33" s="16">
        <f>+C33*H33</f>
        <v>144270029.49999997</v>
      </c>
      <c r="K33" s="18">
        <v>0.1711</v>
      </c>
      <c r="L33" s="17">
        <v>67534.073333333305</v>
      </c>
      <c r="M33" s="17">
        <v>144202495.426667</v>
      </c>
      <c r="N33" s="35"/>
    </row>
    <row r="34" spans="1:15" s="36" customFormat="1" ht="11.25" hidden="1" x14ac:dyDescent="0.25">
      <c r="A34" s="7"/>
      <c r="B34" s="7"/>
      <c r="C34" s="7"/>
      <c r="D34" s="7"/>
      <c r="E34" s="37"/>
      <c r="F34" s="37"/>
      <c r="G34" s="7"/>
      <c r="H34" s="7"/>
      <c r="I34" s="8"/>
      <c r="J34" s="8"/>
      <c r="K34" s="7"/>
      <c r="L34" s="9"/>
      <c r="M34" s="9"/>
      <c r="N34" s="35"/>
    </row>
    <row r="35" spans="1:15" x14ac:dyDescent="0.25">
      <c r="A35" s="1" t="s">
        <v>5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2">
        <f>SUM(M32:M34)</f>
        <v>3348116691.3200002</v>
      </c>
      <c r="N35" s="38">
        <v>3348116691.3200002</v>
      </c>
      <c r="O35" s="29">
        <f>M35-N35</f>
        <v>0</v>
      </c>
    </row>
    <row r="37" spans="1:15" x14ac:dyDescent="0.25">
      <c r="A37" s="39" t="s">
        <v>28</v>
      </c>
      <c r="B37" s="33"/>
      <c r="D37" s="33"/>
      <c r="F37" s="28"/>
      <c r="G37" s="28"/>
    </row>
    <row r="38" spans="1:15" ht="22.5" x14ac:dyDescent="0.25">
      <c r="A38" s="19" t="s">
        <v>6</v>
      </c>
      <c r="B38" s="19" t="s">
        <v>29</v>
      </c>
      <c r="C38" s="19" t="s">
        <v>17</v>
      </c>
      <c r="D38" s="19" t="s">
        <v>30</v>
      </c>
      <c r="E38" s="19" t="s">
        <v>16</v>
      </c>
      <c r="F38" s="19" t="s">
        <v>31</v>
      </c>
      <c r="G38" s="19" t="s">
        <v>32</v>
      </c>
    </row>
    <row r="39" spans="1:15" hidden="1" x14ac:dyDescent="0.25">
      <c r="B39" s="41"/>
      <c r="C39" s="42"/>
      <c r="D39" s="43"/>
      <c r="G39" s="44"/>
      <c r="H39" s="33"/>
    </row>
    <row r="40" spans="1:15" x14ac:dyDescent="0.25">
      <c r="G40" s="45">
        <f>SUM(G39:G39)</f>
        <v>0</v>
      </c>
    </row>
    <row r="42" spans="1:15" x14ac:dyDescent="0.25">
      <c r="A42" s="46" t="s">
        <v>13</v>
      </c>
      <c r="B42" s="47">
        <f>+L24+B27+M35+G40</f>
        <v>33166392866.682972</v>
      </c>
      <c r="C42" s="32">
        <v>33166392866.682991</v>
      </c>
      <c r="D42" s="29">
        <f>B42-C42</f>
        <v>0</v>
      </c>
    </row>
    <row r="45" spans="1:15" x14ac:dyDescent="0.25">
      <c r="A45" s="24" t="s">
        <v>46</v>
      </c>
      <c r="B45" s="33"/>
    </row>
    <row r="46" spans="1:15" x14ac:dyDescent="0.25">
      <c r="A46" s="48" t="s">
        <v>35</v>
      </c>
      <c r="B46" s="49"/>
    </row>
    <row r="47" spans="1:15" x14ac:dyDescent="0.25">
      <c r="A47" s="48" t="s">
        <v>36</v>
      </c>
      <c r="B47" s="40"/>
    </row>
    <row r="48" spans="1:15" x14ac:dyDescent="0.25">
      <c r="A48" s="48" t="s">
        <v>37</v>
      </c>
      <c r="B48" s="40">
        <v>361522.52999999997</v>
      </c>
    </row>
    <row r="49" spans="1:2" x14ac:dyDescent="0.25">
      <c r="A49" s="48" t="s">
        <v>38</v>
      </c>
      <c r="B49" s="40"/>
    </row>
    <row r="50" spans="1:2" x14ac:dyDescent="0.25">
      <c r="A50" s="48" t="s">
        <v>39</v>
      </c>
      <c r="B50" s="49"/>
    </row>
    <row r="51" spans="1:2" x14ac:dyDescent="0.25">
      <c r="A51" s="48" t="s">
        <v>40</v>
      </c>
      <c r="B51" s="50">
        <v>99511.489999999991</v>
      </c>
    </row>
    <row r="52" spans="1:2" x14ac:dyDescent="0.25">
      <c r="A52" s="48" t="s">
        <v>41</v>
      </c>
      <c r="B52" s="50">
        <v>49596.15</v>
      </c>
    </row>
    <row r="53" spans="1:2" x14ac:dyDescent="0.25">
      <c r="A53" s="48" t="s">
        <v>42</v>
      </c>
      <c r="B53" s="40"/>
    </row>
    <row r="54" spans="1:2" x14ac:dyDescent="0.25">
      <c r="A54" s="48" t="s">
        <v>43</v>
      </c>
      <c r="B54" s="40"/>
    </row>
    <row r="55" spans="1:2" x14ac:dyDescent="0.25">
      <c r="A55" s="48" t="s">
        <v>44</v>
      </c>
      <c r="B55" s="50"/>
    </row>
    <row r="56" spans="1:2" x14ac:dyDescent="0.25">
      <c r="A56" s="48" t="s">
        <v>45</v>
      </c>
      <c r="B56" s="49">
        <f>SUM(B46:B55)</f>
        <v>510630.17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2025-11-24T05:34:46Z</dcterms:created>
  <dcterms:modified xsi:type="dcterms:W3CDTF">2025-11-24T10:10:59Z</dcterms:modified>
</cp:coreProperties>
</file>