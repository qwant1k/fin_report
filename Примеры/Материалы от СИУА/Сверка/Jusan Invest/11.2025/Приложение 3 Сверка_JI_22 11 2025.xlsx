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74925E81-112A-4AA0-B8AC-D3A1B9B2E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M20" i="1" s="1"/>
  <c r="K24" i="1"/>
  <c r="M18" i="1" l="1"/>
  <c r="M9" i="1"/>
  <c r="M15" i="1"/>
  <c r="M21" i="1"/>
  <c r="M6" i="1"/>
  <c r="M4" i="1"/>
  <c r="M10" i="1"/>
  <c r="M16" i="1"/>
  <c r="M22" i="1"/>
  <c r="M12" i="1"/>
  <c r="M5" i="1"/>
  <c r="M11" i="1"/>
  <c r="M17" i="1"/>
  <c r="M7" i="1"/>
  <c r="M13" i="1"/>
  <c r="M19" i="1"/>
  <c r="B42" i="1"/>
  <c r="M8" i="1"/>
  <c r="M14" i="1"/>
</calcChain>
</file>

<file path=xl/sharedStrings.xml><?xml version="1.0" encoding="utf-8"?>
<sst xmlns="http://schemas.openxmlformats.org/spreadsheetml/2006/main" count="140" uniqueCount="115">
  <si>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</si>
  <si>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</si>
  <si>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</si>
  <si>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</si>
  <si>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</si>
  <si>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</si>
  <si>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</si>
  <si>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</si>
  <si>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</si>
  <si>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</si>
  <si>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</si>
  <si>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</si>
  <si>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</si>
  <si>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</si>
  <si>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</si>
  <si>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</si>
  <si>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</si>
  <si>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</si>
  <si>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</si>
  <si>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</si>
  <si>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</si>
  <si>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</si>
  <si>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</si>
  <si>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</si>
  <si>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</si>
  <si>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</si>
  <si>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</si>
  <si>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</si>
  <si>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</si>
  <si>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</si>
  <si>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</si>
  <si>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</si>
  <si>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</si>
  <si>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</si>
  <si>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</si>
  <si>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</si>
  <si>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</si>
  <si>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</si>
  <si>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</si>
  <si>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</si>
  <si>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</si>
  <si>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</si>
  <si>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</si>
  <si>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</si>
  <si>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</si>
  <si>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</si>
  <si>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</si>
  <si>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</si>
  <si>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</si>
  <si>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</si>
  <si>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</si>
  <si>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</si>
  <si>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21.11.2025</t>
  </si>
  <si>
    <t>24.11.2025</t>
  </si>
  <si>
    <t>МИНИСТЕРСТВО ФИНАНСОВ РК, ГЦБ, MUM240_0001</t>
  </si>
  <si>
    <t>KZKD00000550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</si>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</sst>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6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99.000700000000009</v>
      </c>
      <c r="J4" s="11">
        <v>102.587005555556</v>
      </c>
      <c r="K4" s="11">
        <v>108306427.777778</v>
      </c>
      <c r="L4" s="11">
        <v>3098127567.7777772</v>
      </c>
      <c r="M4" s="6">
        <f t="shared" ref="M4:M22" si="0">L4/$L$24</f>
        <v>0.10394471061473728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83.008600000000001</v>
      </c>
      <c r="J5" s="11">
        <v>86.349433333333323</v>
      </c>
      <c r="K5" s="11">
        <v>75669874.999999985</v>
      </c>
      <c r="L5" s="11">
        <v>1955814664.999999</v>
      </c>
      <c r="M5" s="6">
        <f t="shared" si="0"/>
        <v>6.5619179624454488E-2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83.008600000000001</v>
      </c>
      <c r="J6" s="11">
        <v>86.349433333333593</v>
      </c>
      <c r="K6" s="11">
        <v>51837906.783333331</v>
      </c>
      <c r="L6" s="11">
        <v>1339837528.3393371</v>
      </c>
      <c r="M6" s="6">
        <f t="shared" si="0"/>
        <v>4.4952643526519488E-2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83.008600000000001</v>
      </c>
      <c r="J7" s="11">
        <v>86.349433333333323</v>
      </c>
      <c r="K7" s="11">
        <v>18230660.233333331</v>
      </c>
      <c r="L7" s="11">
        <v>471201949.74533302</v>
      </c>
      <c r="M7" s="6">
        <f t="shared" si="0"/>
        <v>1.580921031683347E-2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87.247399999999999</v>
      </c>
      <c r="J8" s="11">
        <v>93.602955555555539</v>
      </c>
      <c r="K8" s="11">
        <v>143953333.33333299</v>
      </c>
      <c r="L8" s="11">
        <v>2120106943.333333</v>
      </c>
      <c r="M8" s="6">
        <f t="shared" si="0"/>
        <v>7.1131319765231016E-2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85.108500000000006</v>
      </c>
      <c r="J9" s="11">
        <v>92.197388888888881</v>
      </c>
      <c r="K9" s="11">
        <v>160563333.33333299</v>
      </c>
      <c r="L9" s="11">
        <v>2088270858.333333</v>
      </c>
      <c r="M9" s="6">
        <f t="shared" si="0"/>
        <v>7.0063193108069258E-2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77.616</v>
      </c>
      <c r="J10" s="11">
        <v>84.625722222222223</v>
      </c>
      <c r="K10" s="11">
        <v>158770208.33333299</v>
      </c>
      <c r="L10" s="11">
        <v>1916772608.333333</v>
      </c>
      <c r="M10" s="6">
        <f t="shared" si="0"/>
        <v>6.4309286731654189E-2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68.158299999999997</v>
      </c>
      <c r="J11" s="11">
        <v>73.22829999999999</v>
      </c>
      <c r="K11" s="11">
        <v>114835500</v>
      </c>
      <c r="L11" s="11">
        <v>1658620994.999999</v>
      </c>
      <c r="M11" s="6">
        <f t="shared" si="0"/>
        <v>5.5648089232318142E-2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75.78840000000001</v>
      </c>
      <c r="J12" s="11">
        <v>79.220066666666654</v>
      </c>
      <c r="K12" s="11">
        <v>77727250</v>
      </c>
      <c r="L12" s="11">
        <v>1794334510</v>
      </c>
      <c r="M12" s="6">
        <f t="shared" si="0"/>
        <v>6.0201388518603613E-2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61.568000000000005</v>
      </c>
      <c r="J13" s="11">
        <v>65.827166666666656</v>
      </c>
      <c r="K13" s="11">
        <v>96470125</v>
      </c>
      <c r="L13" s="11">
        <v>1490985325</v>
      </c>
      <c r="M13" s="6">
        <f t="shared" si="0"/>
        <v>5.0023775570064405E-2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60.158100000000005</v>
      </c>
      <c r="J14" s="11">
        <v>66.726183333333324</v>
      </c>
      <c r="K14" s="11">
        <v>148767087.5</v>
      </c>
      <c r="L14" s="11">
        <v>1511348052.5</v>
      </c>
      <c r="M14" s="6">
        <f t="shared" si="0"/>
        <v>5.0706961711050991E-2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86.539200000000008</v>
      </c>
      <c r="J15" s="11">
        <v>90.122950000000003</v>
      </c>
      <c r="K15" s="11">
        <v>135286562.5</v>
      </c>
      <c r="L15" s="11">
        <v>3402141362.5</v>
      </c>
      <c r="M15" s="6">
        <f t="shared" si="0"/>
        <v>0.11414462176234573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89</v>
      </c>
      <c r="G16" s="4" t="s">
        <v>90</v>
      </c>
      <c r="H16" s="11">
        <v>1773018067.1400001</v>
      </c>
      <c r="I16" s="11">
        <v>57.143000000000001</v>
      </c>
      <c r="J16" s="11">
        <v>60.320777777777771</v>
      </c>
      <c r="K16" s="11">
        <v>89100440</v>
      </c>
      <c r="L16" s="11">
        <v>1691310159.8</v>
      </c>
      <c r="M16" s="6">
        <f t="shared" si="0"/>
        <v>5.6744837413610999E-2</v>
      </c>
    </row>
    <row r="17" spans="1:15" x14ac:dyDescent="0.25">
      <c r="A17" s="1" t="s">
        <v>91</v>
      </c>
      <c r="B17" s="13" t="s">
        <v>92</v>
      </c>
      <c r="C17" s="10">
        <v>1038480</v>
      </c>
      <c r="D17" s="11">
        <v>1038480000</v>
      </c>
      <c r="E17" s="3">
        <v>0.12</v>
      </c>
      <c r="F17" s="4" t="s">
        <v>89</v>
      </c>
      <c r="G17" s="4" t="s">
        <v>93</v>
      </c>
      <c r="H17" s="11">
        <v>979029096.96000004</v>
      </c>
      <c r="I17" s="11">
        <v>85.32950000000001</v>
      </c>
      <c r="J17" s="11">
        <v>93.82950000000001</v>
      </c>
      <c r="K17" s="11">
        <v>88270800</v>
      </c>
      <c r="L17" s="11">
        <v>974400591.60000002</v>
      </c>
      <c r="M17" s="6">
        <f t="shared" si="0"/>
        <v>3.2691935790539306E-2</v>
      </c>
    </row>
    <row r="18" spans="1:15" x14ac:dyDescent="0.25">
      <c r="A18" s="1" t="s">
        <v>94</v>
      </c>
      <c r="B18" s="13" t="s">
        <v>95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97.878900000000002</v>
      </c>
      <c r="J18" s="11">
        <v>98.049455555555539</v>
      </c>
      <c r="K18" s="11">
        <v>864697.90555555548</v>
      </c>
      <c r="L18" s="11">
        <v>497099954.226556</v>
      </c>
      <c r="M18" s="6">
        <f t="shared" si="0"/>
        <v>1.667810952204947E-2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94.37792983703379</v>
      </c>
      <c r="J19" s="11">
        <v>97.515985392589343</v>
      </c>
      <c r="K19" s="11">
        <v>65899166.666666657</v>
      </c>
      <c r="L19" s="11">
        <v>2047835693.2443759</v>
      </c>
      <c r="M19" s="6">
        <f t="shared" si="0"/>
        <v>6.870656028973586E-2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98.39281688739419</v>
      </c>
      <c r="J20" s="11">
        <v>105.106316887394</v>
      </c>
      <c r="K20" s="11">
        <v>67134999.999999985</v>
      </c>
      <c r="L20" s="11">
        <v>1051063168.8739409</v>
      </c>
      <c r="M20" s="6">
        <f t="shared" si="0"/>
        <v>3.5264027880160878E-2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96.591074191319095</v>
      </c>
      <c r="J21" s="11">
        <v>102.14662974686101</v>
      </c>
      <c r="K21" s="11">
        <v>9207722.2222000007</v>
      </c>
      <c r="L21" s="11">
        <v>169296802.67614999</v>
      </c>
      <c r="M21" s="6">
        <f t="shared" si="0"/>
        <v>5.6800460204403458E-3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101.4991</v>
      </c>
      <c r="J22" s="11">
        <v>106.46035000000001</v>
      </c>
      <c r="K22" s="11">
        <v>24557542.537500001</v>
      </c>
      <c r="L22" s="11">
        <v>526964892.65450001</v>
      </c>
      <c r="M22" s="6">
        <f t="shared" si="0"/>
        <v>1.7680102601581132E-2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1635453639.1263657</v>
      </c>
      <c r="L24" s="22">
        <f>SUM(L4:L23)</f>
        <v>29805533628.937965</v>
      </c>
      <c r="M24" s="23"/>
      <c r="N24" s="26">
        <v>29805533628.937988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3279583.83</v>
      </c>
      <c r="C27" s="51">
        <v>3279583.83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3468800</v>
      </c>
      <c r="D32" s="7" t="s">
        <v>51</v>
      </c>
      <c r="E32" s="34" t="s">
        <v>52</v>
      </c>
      <c r="F32" s="34" t="s">
        <v>53</v>
      </c>
      <c r="G32" s="15">
        <v>922.77300000000002</v>
      </c>
      <c r="H32" s="15">
        <v>924.06993849169703</v>
      </c>
      <c r="I32" s="16">
        <f>+C32*G32</f>
        <v>3200914982.4000001</v>
      </c>
      <c r="J32" s="16">
        <f>+C32*H32</f>
        <v>3205413802.6399984</v>
      </c>
      <c r="K32" s="18">
        <v>0.17100000000000001</v>
      </c>
      <c r="L32" s="17">
        <v>1499606.7466666701</v>
      </c>
      <c r="M32" s="17">
        <v>3202414589.146666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238896</v>
      </c>
      <c r="D33" s="7" t="s">
        <v>51</v>
      </c>
      <c r="E33" s="34" t="s">
        <v>52</v>
      </c>
      <c r="F33" s="34" t="s">
        <v>53</v>
      </c>
      <c r="G33" s="15">
        <v>603.05500000000006</v>
      </c>
      <c r="H33" s="15">
        <v>603.90307707119405</v>
      </c>
      <c r="I33" s="16">
        <f>+C33*G33</f>
        <v>144067427.28</v>
      </c>
      <c r="J33" s="16">
        <f>+C33*H33</f>
        <v>144270029.49999997</v>
      </c>
      <c r="K33" s="18">
        <v>0.1711</v>
      </c>
      <c r="L33" s="17">
        <v>67534.073333333305</v>
      </c>
      <c r="M33" s="17">
        <v>144134961.353333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3346549550.499999</v>
      </c>
      <c r="N35" s="38">
        <v>3346549550.5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33155362763.267967</v>
      </c>
      <c r="C42" s="32">
        <v>33155362763.26799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347892.50999999995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99511.489999999991</v>
      </c>
    </row>
    <row r="52" spans="1:2" x14ac:dyDescent="0.25">
      <c r="A52" s="48" t="s">
        <v>41</v>
      </c>
      <c r="B52" s="50">
        <v>49596.15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497000.14999999997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2025-11-24T05:31:32Z</dcterms:created>
  <dcterms:modified xsi:type="dcterms:W3CDTF">2025-11-24T10:00:25Z</dcterms:modified>
</cp:coreProperties>
</file>