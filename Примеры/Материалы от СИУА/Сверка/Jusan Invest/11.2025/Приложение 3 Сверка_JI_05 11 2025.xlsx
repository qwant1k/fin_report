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36C793A7-F875-42F4-9A99-4C95AD9255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O45" i="1"/>
  <c r="O24" i="1"/>
  <c r="D27" i="1"/>
  <c r="B66" i="1"/>
  <c r="G50" i="1"/>
  <c r="M45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8" i="1"/>
  <c r="M17" i="1"/>
  <c r="M14" i="1"/>
  <c r="M12" i="1"/>
  <c r="M11" i="1"/>
  <c r="M8" i="1"/>
  <c r="M6" i="1"/>
  <c r="M5" i="1"/>
  <c r="M7" i="1" l="1"/>
  <c r="M13" i="1"/>
  <c r="M19" i="1"/>
  <c r="M9" i="1"/>
  <c r="M15" i="1"/>
  <c r="M21" i="1"/>
  <c r="B52" i="1"/>
  <c r="M4" i="1"/>
  <c r="M10" i="1"/>
  <c r="M16" i="1"/>
</calcChain>
</file>

<file path=xl/sharedStrings.xml><?xml version="1.0" encoding="utf-8"?>
<sst xmlns="http://schemas.openxmlformats.org/spreadsheetml/2006/main" count="190" uniqueCount="125">
  <si>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</si>
  <si>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</si>
  <si>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</si>
  <si>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</si>
  <si>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</si>
  <si>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</si>
  <si>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</si>
  <si>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</si>
  <si>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</si>
  <si>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</si>
  <si>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</si>
  <si>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</si>
  <si>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</si>
  <si>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</si>
  <si>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</si>
  <si>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</si>
  <si>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</si>
  <si>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</si>
  <si>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</si>
  <si>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</si>
  <si>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</si>
  <si>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</si>
  <si>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</si>
  <si>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</si>
  <si>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</si>
  <si>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</si>
  <si>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</si>
  <si>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</si>
  <si>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</si>
  <si>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</si>
  <si>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</si>
  <si>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</si>
  <si>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</si>
  <si>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</si>
  <si>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</si>
  <si>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</si>
  <si>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</si>
  <si>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</si>
  <si>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</si>
  <si>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</si>
  <si>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</si>
  <si>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</si>
  <si>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</si>
  <si>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</si>
  <si>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</si>
  <si>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</si>
  <si>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</si>
  <si>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</si>
  <si>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</si>
  <si>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KFUSb9</t>
  </si>
  <si>
    <t>KZ2C00007318</t>
  </si>
  <si>
    <t>KZT</t>
  </si>
  <si>
    <t>29.10.2025</t>
  </si>
  <si>
    <t>05.11.2025</t>
  </si>
  <si>
    <t>МИНИСТЕРСТВО ФИНАНСОВ РК, ГЦБ, MUM240_0001</t>
  </si>
  <si>
    <t>KZKD00000550</t>
  </si>
  <si>
    <t>МИНИСТЕРСТВО ФИНАНСОВ РК, ГЦБ, MUM180_0013</t>
  </si>
  <si>
    <t>KZKD00000931</t>
  </si>
  <si>
    <t>12.11.2025</t>
  </si>
  <si>
    <t>МИНИСТЕРСТВО ФИНАНСОВ РК, ОБЛИГАЦИИ, MFKZ.0435</t>
  </si>
  <si>
    <t>XS2914770545</t>
  </si>
  <si>
    <t>МИНИСТЕРСТВО ФИНАНСОВ РК, ГЦБ, MUM120_0019</t>
  </si>
  <si>
    <t>KZKD00001129</t>
  </si>
  <si>
    <t>06.11.2025</t>
  </si>
  <si>
    <t>МИНИСТЕРСТВО ФИНАНСОВ РК, ГЦБ, MUM180_0009</t>
  </si>
  <si>
    <t>KZKD00000717</t>
  </si>
  <si>
    <t>04.11.2025</t>
  </si>
  <si>
    <t>МИНИСТЕРСТВО ФИНАНСОВ РК, ГЦБ, MKM012_0160</t>
  </si>
  <si>
    <t>KZK100000373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</si>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</sst>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13" zoomScale="90" zoomScaleNormal="90" workbookViewId="0">
      <selection activeCell="D53" sqref="D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69</v>
      </c>
      <c r="B4" s="13" t="s">
        <v>70</v>
      </c>
      <c r="C4" s="10">
        <v>3020000</v>
      </c>
      <c r="D4" s="11">
        <v>3020000000</v>
      </c>
      <c r="E4" s="3">
        <v>0.1067</v>
      </c>
      <c r="F4" s="4" t="s">
        <v>71</v>
      </c>
      <c r="G4" s="4" t="s">
        <v>72</v>
      </c>
      <c r="H4" s="11">
        <v>2930617060.0000029</v>
      </c>
      <c r="I4" s="11">
        <v>98.777799999999999</v>
      </c>
      <c r="J4" s="11">
        <v>101.86024444444401</v>
      </c>
      <c r="K4" s="11">
        <v>93089822.222222224</v>
      </c>
      <c r="L4" s="11">
        <v>3076179382.2222219</v>
      </c>
      <c r="M4" s="6">
        <f t="shared" ref="M4:M22" si="0">L4/$L$24</f>
        <v>0.10438098142208137</v>
      </c>
    </row>
    <row r="5" spans="1:13" x14ac:dyDescent="0.25">
      <c r="A5" s="1" t="s">
        <v>73</v>
      </c>
      <c r="B5" s="13" t="s">
        <v>74</v>
      </c>
      <c r="C5" s="10">
        <v>2265000</v>
      </c>
      <c r="D5" s="11">
        <v>2265000000</v>
      </c>
      <c r="E5" s="3">
        <v>0.10550000000000001</v>
      </c>
      <c r="F5" s="4" t="s">
        <v>71</v>
      </c>
      <c r="G5" s="4" t="s">
        <v>75</v>
      </c>
      <c r="H5" s="11">
        <v>2039188560.0000031</v>
      </c>
      <c r="I5" s="11">
        <v>82.1751</v>
      </c>
      <c r="J5" s="11">
        <v>85.017738888888871</v>
      </c>
      <c r="K5" s="11">
        <v>64385770.833333328</v>
      </c>
      <c r="L5" s="11">
        <v>1925651785.833333</v>
      </c>
      <c r="M5" s="6">
        <f t="shared" si="0"/>
        <v>6.5341255599101047E-2</v>
      </c>
    </row>
    <row r="6" spans="1:13" x14ac:dyDescent="0.25">
      <c r="A6" s="1" t="s">
        <v>73</v>
      </c>
      <c r="B6" s="13" t="s">
        <v>74</v>
      </c>
      <c r="C6" s="10">
        <v>1551646</v>
      </c>
      <c r="D6" s="11">
        <v>1551646000</v>
      </c>
      <c r="E6" s="3">
        <v>0.10550000000000001</v>
      </c>
      <c r="F6" s="4" t="s">
        <v>76</v>
      </c>
      <c r="G6" s="4" t="s">
        <v>75</v>
      </c>
      <c r="H6" s="11">
        <v>1395452658.7</v>
      </c>
      <c r="I6" s="11">
        <v>82.1751</v>
      </c>
      <c r="J6" s="11">
        <v>85.017738888889141</v>
      </c>
      <c r="K6" s="11">
        <v>44107692.613888882</v>
      </c>
      <c r="L6" s="11">
        <v>1319174344.759892</v>
      </c>
      <c r="M6" s="6">
        <f t="shared" si="0"/>
        <v>4.476225072199691E-2</v>
      </c>
    </row>
    <row r="7" spans="1:13" x14ac:dyDescent="0.25">
      <c r="A7" s="1" t="s">
        <v>73</v>
      </c>
      <c r="B7" s="13" t="s">
        <v>74</v>
      </c>
      <c r="C7" s="10">
        <v>545692</v>
      </c>
      <c r="D7" s="11">
        <v>545692000</v>
      </c>
      <c r="E7" s="3">
        <v>0.10550000000000001</v>
      </c>
      <c r="F7" s="4" t="s">
        <v>77</v>
      </c>
      <c r="G7" s="4" t="s">
        <v>75</v>
      </c>
      <c r="H7" s="11">
        <v>449784993.92000002</v>
      </c>
      <c r="I7" s="11">
        <v>82.1751</v>
      </c>
      <c r="J7" s="11">
        <v>85.017738888888886</v>
      </c>
      <c r="K7" s="11">
        <v>15512053.00555555</v>
      </c>
      <c r="L7" s="11">
        <v>463934999.69755602</v>
      </c>
      <c r="M7" s="6">
        <f t="shared" si="0"/>
        <v>1.5742251854474476E-2</v>
      </c>
    </row>
    <row r="8" spans="1:13" x14ac:dyDescent="0.25">
      <c r="A8" s="1" t="s">
        <v>78</v>
      </c>
      <c r="B8" s="13" t="s">
        <v>79</v>
      </c>
      <c r="C8" s="10">
        <v>2265000</v>
      </c>
      <c r="D8" s="11">
        <v>2265000000</v>
      </c>
      <c r="E8" s="3">
        <v>0.10400000000000001</v>
      </c>
      <c r="F8" s="4" t="s">
        <v>71</v>
      </c>
      <c r="G8" s="4" t="s">
        <v>80</v>
      </c>
      <c r="H8" s="11">
        <v>2073109200</v>
      </c>
      <c r="I8" s="11">
        <v>86.544899999999998</v>
      </c>
      <c r="J8" s="11">
        <v>92.409344444444429</v>
      </c>
      <c r="K8" s="11">
        <v>132829666.666667</v>
      </c>
      <c r="L8" s="11">
        <v>2093071651.666666</v>
      </c>
      <c r="M8" s="6">
        <f t="shared" si="0"/>
        <v>7.1022149894872669E-2</v>
      </c>
    </row>
    <row r="9" spans="1:13" x14ac:dyDescent="0.25">
      <c r="A9" s="1" t="s">
        <v>81</v>
      </c>
      <c r="B9" s="13" t="s">
        <v>82</v>
      </c>
      <c r="C9" s="10">
        <v>2265000</v>
      </c>
      <c r="D9" s="11">
        <v>2265000000</v>
      </c>
      <c r="E9" s="3">
        <v>0.11</v>
      </c>
      <c r="F9" s="4" t="s">
        <v>71</v>
      </c>
      <c r="G9" s="4" t="s">
        <v>83</v>
      </c>
      <c r="H9" s="11">
        <v>2080889475</v>
      </c>
      <c r="I9" s="11">
        <v>84.27170000000001</v>
      </c>
      <c r="J9" s="11">
        <v>90.841144444444438</v>
      </c>
      <c r="K9" s="11">
        <v>148797916.66666701</v>
      </c>
      <c r="L9" s="11">
        <v>2057551921.666666</v>
      </c>
      <c r="M9" s="6">
        <f t="shared" si="0"/>
        <v>6.9816893693405963E-2</v>
      </c>
    </row>
    <row r="10" spans="1:13" x14ac:dyDescent="0.25">
      <c r="A10" s="1" t="s">
        <v>61</v>
      </c>
      <c r="B10" s="13" t="s">
        <v>62</v>
      </c>
      <c r="C10" s="10">
        <v>2265000</v>
      </c>
      <c r="D10" s="11">
        <v>2265000000</v>
      </c>
      <c r="E10" s="3">
        <v>0.10300000000000001</v>
      </c>
      <c r="F10" s="4" t="s">
        <v>71</v>
      </c>
      <c r="G10" s="4" t="s">
        <v>84</v>
      </c>
      <c r="H10" s="11">
        <v>1963990560.0000031</v>
      </c>
      <c r="I10" s="11">
        <v>76.789299999999997</v>
      </c>
      <c r="J10" s="11">
        <v>83.312633333333324</v>
      </c>
      <c r="K10" s="11">
        <v>147753500</v>
      </c>
      <c r="L10" s="11">
        <v>1887031145</v>
      </c>
      <c r="M10" s="6">
        <f t="shared" si="0"/>
        <v>6.4030779228109694E-2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71</v>
      </c>
      <c r="G11" s="4" t="s">
        <v>87</v>
      </c>
      <c r="H11" s="11">
        <v>1740247065.0000031</v>
      </c>
      <c r="I11" s="11">
        <v>67.41810000000001</v>
      </c>
      <c r="J11" s="11">
        <v>72.089072222222214</v>
      </c>
      <c r="K11" s="11">
        <v>105797520.833333</v>
      </c>
      <c r="L11" s="11">
        <v>1632817485.833333</v>
      </c>
      <c r="M11" s="6">
        <f t="shared" si="0"/>
        <v>5.540479617001301E-2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71</v>
      </c>
      <c r="G12" s="4" t="s">
        <v>90</v>
      </c>
      <c r="H12" s="11">
        <v>1967775375</v>
      </c>
      <c r="I12" s="11">
        <v>75.060100000000006</v>
      </c>
      <c r="J12" s="11">
        <v>77.988849999999999</v>
      </c>
      <c r="K12" s="11">
        <v>66336187.5</v>
      </c>
      <c r="L12" s="11">
        <v>1766447452.5</v>
      </c>
      <c r="M12" s="6">
        <f t="shared" si="0"/>
        <v>5.9939130919370323E-2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71</v>
      </c>
      <c r="G13" s="4" t="s">
        <v>93</v>
      </c>
      <c r="H13" s="11">
        <v>1622351550</v>
      </c>
      <c r="I13" s="11">
        <v>60.965000000000003</v>
      </c>
      <c r="J13" s="11">
        <v>64.843083333333325</v>
      </c>
      <c r="K13" s="11">
        <v>87838587.5</v>
      </c>
      <c r="L13" s="11">
        <v>1468695837.5</v>
      </c>
      <c r="M13" s="6">
        <f t="shared" si="0"/>
        <v>4.9835817057596134E-2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71</v>
      </c>
      <c r="G14" s="4" t="s">
        <v>96</v>
      </c>
      <c r="H14" s="11">
        <v>1597764975</v>
      </c>
      <c r="I14" s="11">
        <v>59.573300000000003</v>
      </c>
      <c r="J14" s="11">
        <v>65.760300000000001</v>
      </c>
      <c r="K14" s="11">
        <v>140135550</v>
      </c>
      <c r="L14" s="11">
        <v>1489470795</v>
      </c>
      <c r="M14" s="6">
        <f t="shared" si="0"/>
        <v>5.0540753338420404E-2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71</v>
      </c>
      <c r="G15" s="4" t="s">
        <v>99</v>
      </c>
      <c r="H15" s="11">
        <v>3136670150</v>
      </c>
      <c r="I15" s="11">
        <v>86.018600000000006</v>
      </c>
      <c r="J15" s="11">
        <v>89.343100000000007</v>
      </c>
      <c r="K15" s="11">
        <v>125499875</v>
      </c>
      <c r="L15" s="11">
        <v>3372702025</v>
      </c>
      <c r="M15" s="6">
        <f t="shared" si="0"/>
        <v>0.11444259377339185</v>
      </c>
    </row>
    <row r="16" spans="1:13" x14ac:dyDescent="0.25">
      <c r="A16" s="1" t="s">
        <v>54</v>
      </c>
      <c r="B16" s="13" t="s">
        <v>55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56.4375</v>
      </c>
      <c r="J16" s="11">
        <v>59.355555555555547</v>
      </c>
      <c r="K16" s="11">
        <v>81818192.5</v>
      </c>
      <c r="L16" s="11">
        <v>1664246680</v>
      </c>
      <c r="M16" s="6">
        <f t="shared" si="0"/>
        <v>5.6471252226308388E-2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84.467700000000008</v>
      </c>
      <c r="J17" s="11">
        <v>92.401033333333331</v>
      </c>
      <c r="K17" s="11">
        <v>82386080</v>
      </c>
      <c r="L17" s="11">
        <v>959566250.96000004</v>
      </c>
      <c r="M17" s="6">
        <f t="shared" si="0"/>
        <v>3.2560021562317493E-2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97.442599999999999</v>
      </c>
      <c r="J18" s="11">
        <v>104.56329444444401</v>
      </c>
      <c r="K18" s="11">
        <v>36101137.556944437</v>
      </c>
      <c r="L18" s="11">
        <v>530124400.87094402</v>
      </c>
      <c r="M18" s="6">
        <f t="shared" si="0"/>
        <v>1.7988191962566329E-2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94.380112765491589</v>
      </c>
      <c r="J19" s="11">
        <v>96.842890543269363</v>
      </c>
      <c r="K19" s="11">
        <v>51718333.333333328</v>
      </c>
      <c r="L19" s="11">
        <v>2033700701.4086559</v>
      </c>
      <c r="M19" s="6">
        <f t="shared" si="0"/>
        <v>6.9007573602050676E-2</v>
      </c>
    </row>
    <row r="20" spans="1:15" x14ac:dyDescent="0.25">
      <c r="A20" s="1" t="s">
        <v>113</v>
      </c>
      <c r="B20" s="13" t="s">
        <v>114</v>
      </c>
      <c r="C20" s="10">
        <v>1000000</v>
      </c>
      <c r="D20" s="11">
        <v>1000000000</v>
      </c>
      <c r="E20" s="3">
        <v>0.1389</v>
      </c>
      <c r="F20" s="4" t="s">
        <v>115</v>
      </c>
      <c r="G20" s="4" t="s">
        <v>116</v>
      </c>
      <c r="H20" s="11">
        <v>1000000000</v>
      </c>
      <c r="I20" s="11">
        <v>98.246381784720199</v>
      </c>
      <c r="J20" s="11">
        <v>104.30396511805401</v>
      </c>
      <c r="K20" s="11">
        <v>60575833.333333328</v>
      </c>
      <c r="L20" s="11">
        <v>1043039651.180535</v>
      </c>
      <c r="M20" s="6">
        <f t="shared" si="0"/>
        <v>3.5392442677942858E-2</v>
      </c>
    </row>
    <row r="21" spans="1:15" x14ac:dyDescent="0.25">
      <c r="A21" s="1" t="s">
        <v>117</v>
      </c>
      <c r="B21" s="13" t="s">
        <v>118</v>
      </c>
      <c r="C21" s="10">
        <v>165739</v>
      </c>
      <c r="D21" s="11">
        <v>165739000</v>
      </c>
      <c r="E21" s="3">
        <v>0.125</v>
      </c>
      <c r="F21" s="4" t="s">
        <v>119</v>
      </c>
      <c r="G21" s="4" t="s">
        <v>120</v>
      </c>
      <c r="H21" s="11">
        <v>159596381.18279999</v>
      </c>
      <c r="I21" s="11">
        <v>96.399795483068189</v>
      </c>
      <c r="J21" s="11">
        <v>101.365073260833</v>
      </c>
      <c r="K21" s="11">
        <v>8229401.7360888897</v>
      </c>
      <c r="L21" s="11">
        <v>168001458.77177101</v>
      </c>
      <c r="M21" s="6">
        <f t="shared" si="0"/>
        <v>5.7006289191987034E-3</v>
      </c>
    </row>
    <row r="22" spans="1:15" x14ac:dyDescent="0.25">
      <c r="A22" s="1" t="s">
        <v>121</v>
      </c>
      <c r="B22" s="13" t="s">
        <v>122</v>
      </c>
      <c r="C22" s="10">
        <v>494987</v>
      </c>
      <c r="D22" s="11">
        <v>494987000</v>
      </c>
      <c r="E22" s="3">
        <v>0.1701</v>
      </c>
      <c r="F22" s="4" t="s">
        <v>123</v>
      </c>
      <c r="G22" s="4" t="s">
        <v>124</v>
      </c>
      <c r="H22" s="11">
        <v>495088472.34249997</v>
      </c>
      <c r="I22" s="11">
        <v>100.74990000000001</v>
      </c>
      <c r="J22" s="11">
        <v>104.9079</v>
      </c>
      <c r="K22" s="11">
        <v>20581559.460000001</v>
      </c>
      <c r="L22" s="11">
        <v>519280466.97299999</v>
      </c>
      <c r="M22" s="6">
        <f t="shared" si="0"/>
        <v>1.7620235376781694E-2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1513494680.7613671</v>
      </c>
      <c r="L24" s="22">
        <f>SUM(L4:L23)</f>
        <v>29470688436.844574</v>
      </c>
      <c r="M24" s="23"/>
      <c r="N24" s="26">
        <v>29470688436.844597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3385399.85</v>
      </c>
      <c r="C27" s="51">
        <v>3385399.85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1511139</v>
      </c>
      <c r="D32" s="7" t="s">
        <v>51</v>
      </c>
      <c r="E32" s="34" t="s">
        <v>52</v>
      </c>
      <c r="F32" s="34" t="s">
        <v>53</v>
      </c>
      <c r="G32" s="15">
        <v>1051.7669999980139</v>
      </c>
      <c r="H32" s="15">
        <v>1055.236390318825</v>
      </c>
      <c r="I32" s="16">
        <f t="shared" ref="I32:I43" si="1">+C32*G32</f>
        <v>1589366132.6099987</v>
      </c>
      <c r="J32" s="16">
        <f t="shared" ref="J32:J43" si="2">+C32*H32</f>
        <v>1594608863.6299989</v>
      </c>
      <c r="K32" s="18">
        <v>0.17200000000000001</v>
      </c>
      <c r="L32" s="17">
        <v>748961.57428571419</v>
      </c>
      <c r="M32" s="17"/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18502</v>
      </c>
      <c r="D33" s="7" t="s">
        <v>51</v>
      </c>
      <c r="E33" s="34" t="s">
        <v>52</v>
      </c>
      <c r="F33" s="34" t="s">
        <v>53</v>
      </c>
      <c r="G33" s="15">
        <v>594.62800021619307</v>
      </c>
      <c r="H33" s="15">
        <v>596.58945789644406</v>
      </c>
      <c r="I33" s="16">
        <f t="shared" si="1"/>
        <v>11001807.260000004</v>
      </c>
      <c r="J33" s="16">
        <f t="shared" si="2"/>
        <v>11038098.150000008</v>
      </c>
      <c r="K33" s="18">
        <v>0.17200000000000001</v>
      </c>
      <c r="L33" s="17">
        <v>5184.4128571428573</v>
      </c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1511139</v>
      </c>
      <c r="D34" s="7" t="s">
        <v>51</v>
      </c>
      <c r="E34" s="34" t="s">
        <v>53</v>
      </c>
      <c r="F34" s="34" t="s">
        <v>53</v>
      </c>
      <c r="G34" s="15">
        <v>1051.7669999980139</v>
      </c>
      <c r="H34" s="15">
        <v>1055.236390318825</v>
      </c>
      <c r="I34" s="16">
        <f t="shared" si="1"/>
        <v>1589366132.6099987</v>
      </c>
      <c r="J34" s="16">
        <f t="shared" si="2"/>
        <v>1594608863.6299989</v>
      </c>
      <c r="K34" s="18">
        <v>0.17200000000000001</v>
      </c>
      <c r="L34" s="17"/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18502</v>
      </c>
      <c r="D35" s="7" t="s">
        <v>51</v>
      </c>
      <c r="E35" s="34" t="s">
        <v>53</v>
      </c>
      <c r="F35" s="34" t="s">
        <v>53</v>
      </c>
      <c r="G35" s="15">
        <v>594.62800021619307</v>
      </c>
      <c r="H35" s="15">
        <v>596.58945789644406</v>
      </c>
      <c r="I35" s="16">
        <f t="shared" si="1"/>
        <v>11001807.260000004</v>
      </c>
      <c r="J35" s="16">
        <f t="shared" si="2"/>
        <v>11038098.150000008</v>
      </c>
      <c r="K35" s="18">
        <v>0.17200000000000001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2242079</v>
      </c>
      <c r="D36" s="7" t="s">
        <v>51</v>
      </c>
      <c r="E36" s="34" t="s">
        <v>53</v>
      </c>
      <c r="F36" s="34" t="s">
        <v>58</v>
      </c>
      <c r="G36" s="15">
        <v>708.84</v>
      </c>
      <c r="H36" s="15">
        <v>711.191781583075</v>
      </c>
      <c r="I36" s="16">
        <f t="shared" si="1"/>
        <v>1589275278.3600001</v>
      </c>
      <c r="J36" s="16">
        <f t="shared" si="2"/>
        <v>1594548158.4599993</v>
      </c>
      <c r="K36" s="18">
        <v>0.17299899999999999</v>
      </c>
      <c r="L36" s="17"/>
      <c r="M36" s="17">
        <v>1589275278.3599999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19330</v>
      </c>
      <c r="D37" s="7" t="s">
        <v>51</v>
      </c>
      <c r="E37" s="34" t="s">
        <v>53</v>
      </c>
      <c r="F37" s="34" t="s">
        <v>58</v>
      </c>
      <c r="G37" s="15">
        <v>517.364399896534</v>
      </c>
      <c r="H37" s="15">
        <v>519.07792912571108</v>
      </c>
      <c r="I37" s="16">
        <f t="shared" si="1"/>
        <v>10000653.850000001</v>
      </c>
      <c r="J37" s="16">
        <f t="shared" si="2"/>
        <v>10033776.369999995</v>
      </c>
      <c r="K37" s="18">
        <v>0.17269899999999999</v>
      </c>
      <c r="L37" s="17"/>
      <c r="M37" s="17">
        <v>10000653.85</v>
      </c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2006871</v>
      </c>
      <c r="D38" s="7" t="s">
        <v>51</v>
      </c>
      <c r="E38" s="34" t="s">
        <v>53</v>
      </c>
      <c r="F38" s="34" t="s">
        <v>63</v>
      </c>
      <c r="G38" s="15">
        <v>833.12600000199302</v>
      </c>
      <c r="H38" s="15">
        <v>833.51426182350508</v>
      </c>
      <c r="I38" s="16">
        <f t="shared" si="1"/>
        <v>1671976408.7499998</v>
      </c>
      <c r="J38" s="16">
        <f t="shared" si="2"/>
        <v>1672755600.1399994</v>
      </c>
      <c r="K38" s="18">
        <v>0.170101</v>
      </c>
      <c r="L38" s="17"/>
      <c r="M38" s="17">
        <v>1671976408.75</v>
      </c>
      <c r="N38" s="35"/>
    </row>
    <row r="39" spans="1:15" s="36" customFormat="1" ht="12" customHeight="1" x14ac:dyDescent="0.25">
      <c r="A39" s="12" t="s">
        <v>64</v>
      </c>
      <c r="B39" s="7" t="s">
        <v>65</v>
      </c>
      <c r="C39" s="14">
        <v>11990</v>
      </c>
      <c r="D39" s="7" t="s">
        <v>51</v>
      </c>
      <c r="E39" s="34" t="s">
        <v>53</v>
      </c>
      <c r="F39" s="34" t="s">
        <v>63</v>
      </c>
      <c r="G39" s="15">
        <v>834.35900000000004</v>
      </c>
      <c r="H39" s="15">
        <v>834.74783402835703</v>
      </c>
      <c r="I39" s="16">
        <f t="shared" si="1"/>
        <v>10003964.41</v>
      </c>
      <c r="J39" s="16">
        <f t="shared" si="2"/>
        <v>10008626.530000001</v>
      </c>
      <c r="K39" s="18">
        <v>0.1701</v>
      </c>
      <c r="L39" s="17"/>
      <c r="M39" s="17">
        <v>10003964.41</v>
      </c>
      <c r="N39" s="35"/>
    </row>
    <row r="40" spans="1:15" s="36" customFormat="1" ht="12" customHeight="1" x14ac:dyDescent="0.25">
      <c r="A40" s="12" t="s">
        <v>59</v>
      </c>
      <c r="B40" s="7" t="s">
        <v>60</v>
      </c>
      <c r="C40" s="14">
        <v>21164</v>
      </c>
      <c r="D40" s="7" t="s">
        <v>51</v>
      </c>
      <c r="E40" s="34" t="s">
        <v>66</v>
      </c>
      <c r="F40" s="34" t="s">
        <v>53</v>
      </c>
      <c r="G40" s="15">
        <v>519.81640001890003</v>
      </c>
      <c r="H40" s="15">
        <v>520.059217066717</v>
      </c>
      <c r="I40" s="16">
        <f t="shared" si="1"/>
        <v>11001394.290000001</v>
      </c>
      <c r="J40" s="16">
        <f t="shared" si="2"/>
        <v>11006533.269999998</v>
      </c>
      <c r="K40" s="18">
        <v>0.17049899999999998</v>
      </c>
      <c r="L40" s="17">
        <v>5138.9800000000005</v>
      </c>
      <c r="M40" s="17"/>
      <c r="N40" s="35"/>
    </row>
    <row r="41" spans="1:15" s="36" customFormat="1" ht="12" customHeight="1" x14ac:dyDescent="0.25">
      <c r="A41" s="12" t="s">
        <v>59</v>
      </c>
      <c r="B41" s="7" t="s">
        <v>60</v>
      </c>
      <c r="C41" s="14">
        <v>21164</v>
      </c>
      <c r="D41" s="7" t="s">
        <v>51</v>
      </c>
      <c r="E41" s="34" t="s">
        <v>53</v>
      </c>
      <c r="F41" s="34" t="s">
        <v>53</v>
      </c>
      <c r="G41" s="15">
        <v>519.81640001890003</v>
      </c>
      <c r="H41" s="15">
        <v>520.059217066717</v>
      </c>
      <c r="I41" s="16">
        <f t="shared" si="1"/>
        <v>11001394.290000001</v>
      </c>
      <c r="J41" s="16">
        <f t="shared" si="2"/>
        <v>11006533.269999998</v>
      </c>
      <c r="K41" s="18">
        <v>0.17049899999999998</v>
      </c>
      <c r="L41" s="17"/>
      <c r="M41" s="17"/>
      <c r="N41" s="35"/>
    </row>
    <row r="42" spans="1:15" s="36" customFormat="1" ht="12" customHeight="1" x14ac:dyDescent="0.25">
      <c r="A42" s="12" t="s">
        <v>67</v>
      </c>
      <c r="B42" s="7" t="s">
        <v>68</v>
      </c>
      <c r="C42" s="14">
        <v>17332224</v>
      </c>
      <c r="D42" s="7" t="s">
        <v>51</v>
      </c>
      <c r="E42" s="34" t="s">
        <v>66</v>
      </c>
      <c r="F42" s="34" t="s">
        <v>53</v>
      </c>
      <c r="G42" s="15">
        <v>96.007800000161538</v>
      </c>
      <c r="H42" s="15">
        <v>96.052647479054031</v>
      </c>
      <c r="I42" s="16">
        <f t="shared" si="1"/>
        <v>1664028695.3499999</v>
      </c>
      <c r="J42" s="16">
        <f t="shared" si="2"/>
        <v>1664806001.8999999</v>
      </c>
      <c r="K42" s="18">
        <v>0.17050000000000001</v>
      </c>
      <c r="L42" s="17">
        <v>777306.55</v>
      </c>
      <c r="M42" s="17"/>
      <c r="N42" s="35"/>
    </row>
    <row r="43" spans="1:15" s="36" customFormat="1" ht="12" customHeight="1" x14ac:dyDescent="0.25">
      <c r="A43" s="12" t="s">
        <v>67</v>
      </c>
      <c r="B43" s="7" t="s">
        <v>68</v>
      </c>
      <c r="C43" s="14">
        <v>17332224</v>
      </c>
      <c r="D43" s="7" t="s">
        <v>51</v>
      </c>
      <c r="E43" s="34" t="s">
        <v>53</v>
      </c>
      <c r="F43" s="34" t="s">
        <v>53</v>
      </c>
      <c r="G43" s="15">
        <v>96.007800000161538</v>
      </c>
      <c r="H43" s="15">
        <v>96.052647479054031</v>
      </c>
      <c r="I43" s="16">
        <f t="shared" si="1"/>
        <v>1664028695.3499999</v>
      </c>
      <c r="J43" s="16">
        <f t="shared" si="2"/>
        <v>1664806001.8999999</v>
      </c>
      <c r="K43" s="18">
        <v>0.17050000000000001</v>
      </c>
      <c r="L43" s="17"/>
      <c r="M43" s="17"/>
      <c r="N43" s="35"/>
    </row>
    <row r="44" spans="1:15" s="36" customFormat="1" ht="11.25" hidden="1" x14ac:dyDescent="0.25">
      <c r="A44" s="7"/>
      <c r="B44" s="7"/>
      <c r="C44" s="7"/>
      <c r="D44" s="7"/>
      <c r="E44" s="37"/>
      <c r="F44" s="37"/>
      <c r="G44" s="7"/>
      <c r="H44" s="7"/>
      <c r="I44" s="8"/>
      <c r="J44" s="8"/>
      <c r="K44" s="7"/>
      <c r="L44" s="9"/>
      <c r="M44" s="9"/>
      <c r="N44" s="35"/>
    </row>
    <row r="45" spans="1:15" x14ac:dyDescent="0.25">
      <c r="A45" s="1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>
        <f>SUM(M32:M44)</f>
        <v>3281256305.3699999</v>
      </c>
      <c r="N45" s="38">
        <v>3281256305.3699999</v>
      </c>
      <c r="O45" s="29">
        <f>M45-N45</f>
        <v>0</v>
      </c>
    </row>
    <row r="47" spans="1:15" x14ac:dyDescent="0.25">
      <c r="A47" s="39" t="s">
        <v>28</v>
      </c>
      <c r="B47" s="33"/>
      <c r="D47" s="33"/>
      <c r="F47" s="28"/>
      <c r="G47" s="28"/>
    </row>
    <row r="48" spans="1:15" ht="22.5" x14ac:dyDescent="0.25">
      <c r="A48" s="19" t="s">
        <v>6</v>
      </c>
      <c r="B48" s="19" t="s">
        <v>29</v>
      </c>
      <c r="C48" s="19" t="s">
        <v>17</v>
      </c>
      <c r="D48" s="19" t="s">
        <v>30</v>
      </c>
      <c r="E48" s="19" t="s">
        <v>16</v>
      </c>
      <c r="F48" s="19" t="s">
        <v>31</v>
      </c>
      <c r="G48" s="19" t="s">
        <v>32</v>
      </c>
    </row>
    <row r="49" spans="1:8" hidden="1" x14ac:dyDescent="0.25">
      <c r="B49" s="41"/>
      <c r="C49" s="42"/>
      <c r="D49" s="43"/>
      <c r="G49" s="44"/>
      <c r="H49" s="33"/>
    </row>
    <row r="50" spans="1:8" x14ac:dyDescent="0.25">
      <c r="G50" s="45">
        <f>SUM(G49:G49)</f>
        <v>0</v>
      </c>
    </row>
    <row r="52" spans="1:8" x14ac:dyDescent="0.25">
      <c r="A52" s="46" t="s">
        <v>13</v>
      </c>
      <c r="B52" s="47">
        <f>+L24+B27+M45+G50</f>
        <v>32755330142.064571</v>
      </c>
      <c r="C52" s="32">
        <v>32755330142.064594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8" t="s">
        <v>35</v>
      </c>
      <c r="B56" s="49"/>
    </row>
    <row r="57" spans="1:8" x14ac:dyDescent="0.25">
      <c r="A57" s="48" t="s">
        <v>36</v>
      </c>
      <c r="B57" s="40"/>
    </row>
    <row r="58" spans="1:8" x14ac:dyDescent="0.25">
      <c r="A58" s="48" t="s">
        <v>37</v>
      </c>
      <c r="B58" s="40">
        <v>78454.58</v>
      </c>
    </row>
    <row r="59" spans="1:8" x14ac:dyDescent="0.25">
      <c r="A59" s="48" t="s">
        <v>38</v>
      </c>
      <c r="B59" s="40"/>
    </row>
    <row r="60" spans="1:8" x14ac:dyDescent="0.25">
      <c r="A60" s="48" t="s">
        <v>39</v>
      </c>
      <c r="B60" s="49"/>
    </row>
    <row r="61" spans="1:8" x14ac:dyDescent="0.25">
      <c r="A61" s="48" t="s">
        <v>40</v>
      </c>
      <c r="B61" s="50">
        <v>24410.940000000002</v>
      </c>
    </row>
    <row r="62" spans="1:8" x14ac:dyDescent="0.25">
      <c r="A62" s="48" t="s">
        <v>41</v>
      </c>
      <c r="B62" s="50">
        <v>12169.73</v>
      </c>
    </row>
    <row r="63" spans="1:8" x14ac:dyDescent="0.25">
      <c r="A63" s="48" t="s">
        <v>42</v>
      </c>
      <c r="B63" s="40"/>
    </row>
    <row r="64" spans="1:8" x14ac:dyDescent="0.25">
      <c r="A64" s="48" t="s">
        <v>43</v>
      </c>
      <c r="B64" s="40"/>
    </row>
    <row r="65" spans="1:2" x14ac:dyDescent="0.25">
      <c r="A65" s="48" t="s">
        <v>44</v>
      </c>
      <c r="B65" s="50"/>
    </row>
    <row r="66" spans="1:2" x14ac:dyDescent="0.25">
      <c r="A66" s="48" t="s">
        <v>45</v>
      </c>
      <c r="B66" s="49">
        <f>SUM(B56:B65)</f>
        <v>115035.25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2025-11-06T05:33:44Z</dcterms:created>
  <dcterms:modified xsi:type="dcterms:W3CDTF">2025-11-06T07:18:57Z</dcterms:modified>
</cp:coreProperties>
</file>