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39D5F3F9-6881-4D9C-8D07-44E59C9716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6" i="1" l="1"/>
  <c r="O59" i="1"/>
  <c r="O24" i="1"/>
  <c r="D27" i="1"/>
  <c r="B80" i="1"/>
  <c r="G64" i="1"/>
  <c r="M59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18" i="1"/>
  <c r="M12" i="1"/>
  <c r="M6" i="1"/>
  <c r="M9" i="1" l="1"/>
  <c r="M15" i="1"/>
  <c r="M21" i="1"/>
  <c r="M4" i="1"/>
  <c r="M10" i="1"/>
  <c r="M16" i="1"/>
  <c r="M22" i="1"/>
  <c r="M5" i="1"/>
  <c r="M11" i="1"/>
  <c r="M17" i="1"/>
  <c r="M7" i="1"/>
  <c r="M13" i="1"/>
  <c r="M19" i="1"/>
  <c r="B66" i="1"/>
  <c r="M8" i="1"/>
  <c r="M14" i="1"/>
</calcChain>
</file>

<file path=xl/sharedStrings.xml><?xml version="1.0" encoding="utf-8"?>
<sst xmlns="http://schemas.openxmlformats.org/spreadsheetml/2006/main" count="261" uniqueCount="145">
  <si>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</si>
  <si>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</si>
  <si>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</si>
  <si>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</si>
  <si>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</si>
  <si>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</si>
  <si>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</si>
  <si>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</si>
  <si>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</si>
  <si>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</si>
  <si>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</si>
  <si>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</si>
  <si>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</si>
  <si>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</si>
  <si>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</si>
  <si>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</si>
  <si>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</si>
  <si>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</si>
  <si>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</si>
  <si>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</si>
  <si>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</si>
  <si>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</si>
  <si>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</si>
  <si>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</si>
  <si>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</si>
  <si>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</si>
  <si>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</si>
  <si>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</si>
  <si>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</si>
  <si>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</si>
  <si>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</si>
  <si>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</si>
  <si>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</si>
  <si>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</si>
  <si>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</si>
  <si>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</si>
  <si>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</si>
  <si>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</si>
  <si>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</si>
  <si>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</si>
  <si>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</si>
  <si>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</si>
  <si>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</si>
  <si>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</si>
  <si>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</si>
  <si>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</si>
  <si>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</si>
  <si>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</si>
  <si>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</si>
  <si>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MFKZ.0435</t>
  </si>
  <si>
    <t>XS2914770545</t>
  </si>
  <si>
    <t>KZT</t>
  </si>
  <si>
    <t>29.09.2025</t>
  </si>
  <si>
    <t>06.10.2025</t>
  </si>
  <si>
    <t>МИНИСТЕРСТВО ФИНАНСОВ РК, ГЦБ, MUM120_0018</t>
  </si>
  <si>
    <t>KZKD00000907</t>
  </si>
  <si>
    <t>МИНИСТЕРСТВО ФИНАНСОВ РК, ГЦБ, KZ_24_3207</t>
  </si>
  <si>
    <t>XS3093655341</t>
  </si>
  <si>
    <t>АКЦИОНЕРНОЕ ОБЩЕСТВО КАЗАХСТАНСКИЙ ФОНД УСТОЙЧИВОСТИ, ОБЛИГАЦИИ, KFUSb10</t>
  </si>
  <si>
    <t>KZ2C00007326</t>
  </si>
  <si>
    <t>03.10.2025</t>
  </si>
  <si>
    <t>АКЦИОНЕРНОЕ ОБЩЕСТВО КАЗАХСТАНСКИЙ ФОНД УСТОЙЧИВОСТИ, ОБЛИГАЦИИ, KFUSb5</t>
  </si>
  <si>
    <t>KZ2C00007110</t>
  </si>
  <si>
    <t>МИНИСТЕРСТВО ФИНАНСОВ РК, ГЦБ, MOM060_0054</t>
  </si>
  <si>
    <t>KZK200000737</t>
  </si>
  <si>
    <t>МИНИСТЕРСТВО ФИНАНСОВ РК, ГЦБ, KZ_10_2811</t>
  </si>
  <si>
    <t>XS1901718335</t>
  </si>
  <si>
    <t>МИНИСТЕРСТВО ФИНАНСОВ РК, ГЦБ, MUM216_0001</t>
  </si>
  <si>
    <t>KZKD00000972</t>
  </si>
  <si>
    <t>МИНИСТЕРСТВО ФИНАНСОВ РК, ГЦБ, MUM156_0007</t>
  </si>
  <si>
    <t>KZKD00001103</t>
  </si>
  <si>
    <t>АКЦИОНЕРНОЕ ОБЩЕСТВО КАЗАХСТАНСКИЙ ФОНД УСТОЙЧИВОСТИ, ОБЛИГАЦИИ, KFUSb1</t>
  </si>
  <si>
    <t>KZ2C00006906</t>
  </si>
  <si>
    <t>МИНИСТЕРСТВО ФИНАНСОВ РК, ГЦБ, MOM048_0054</t>
  </si>
  <si>
    <t>KZK200000729</t>
  </si>
  <si>
    <t>АКЦИОНЕРНОЕ ОБЩЕСТВО КАЗАХСТАНСКИЙ ФОНД УСТОЙЧИВОСТИ, ОБЛИГАЦИИ, KFUSb47</t>
  </si>
  <si>
    <t>KZ2C00008936</t>
  </si>
  <si>
    <t>ЕВРАЗИЙСКИЙ БАНК РАЗВИТИЯ, ОБЛИГАЦИИ, EABRb40</t>
  </si>
  <si>
    <t>KZ2D00009628</t>
  </si>
  <si>
    <t>АКЦИОНЕРНОЕ ОБЩЕСТВО КАЗАХСТАНСКИЙ ФОНД УСТОЙЧИВОСТИ, ОБЛИГАЦИИ, KFUSb48</t>
  </si>
  <si>
    <t>KZ2C00008944</t>
  </si>
  <si>
    <t>МИНИСТЕРСТВО ФИНАНСОВ РК, ГЦБ, MUM084_0018</t>
  </si>
  <si>
    <t>KZKD00001137</t>
  </si>
  <si>
    <t>МИНИСТЕРСТВО ФИНАНСОВ РК, ГЦБ, MUM120_0019</t>
  </si>
  <si>
    <t>KZKD00001129</t>
  </si>
  <si>
    <t>МИНИСТЕРСТВО ФИНАНСОВ РК, ГЦБ, MUM144_0009</t>
  </si>
  <si>
    <t>KZKD00001178</t>
  </si>
  <si>
    <t>ГУ "Национальный Банк Республики Казахстан", ГЦБ, NTK028_2867</t>
  </si>
  <si>
    <t>KZW100014338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</si>
  <si>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</si>
  <si>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</si>
  <si>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</si>
  <si>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</si>
  <si>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</si>
  <si>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</si>
  <si>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</si>
  <si>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</si>
  <si>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</si>
  <si>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12.04.2028</t>
  </si>
  <si>
    <t>МИНИСТЕРСТВО ФИНАНСОВ РК, ГЦБ, MUM108_0013</t>
  </si>
  <si>
    <t>KZKD00001087</t>
  </si>
  <si>
    <t>31.03.2029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</si>
  <si>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</si>
  <si>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</si>
  <si>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</si>
  <si>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</si>
  <si>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</si>
  <si>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</si>
  <si>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</si>
  <si>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</si>
  <si>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</si>
  <si>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</si>
  <si>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</si>
  <si>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</si>
  <si>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</si>
  <si>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</si>
  <si>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</si>
  <si>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</si>
  <si>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</si>
  <si>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</si>
  <si>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</si>
  <si>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</si>
  <si>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</si>
  <si>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</si>
  <si>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</si>
  <si>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</si>
  <si>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</si>
  <si>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</si>
  <si>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</si>
  <si>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</si>
  <si>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</si>
  <si>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</si>
  <si>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</si>
  <si>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</si>
  <si>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</si>
  <si>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</si>
  <si>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</si>
  <si>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</si>
  <si>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</si>
  <si>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</si>
  <si>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</si>
  <si>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</si>
  <si>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</si>
  <si>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04.10.2025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</si>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</sst>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topLeftCell="A27" zoomScale="90" zoomScaleNormal="90" workbookViewId="0">
      <selection activeCell="F50" sqref="F5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143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89</v>
      </c>
      <c r="B4" s="13" t="s">
        <v>90</v>
      </c>
      <c r="C4" s="10">
        <v>3020000</v>
      </c>
      <c r="D4" s="11">
        <v>3020000000</v>
      </c>
      <c r="E4" s="3">
        <v>0.1067</v>
      </c>
      <c r="F4" s="4" t="s">
        <v>91</v>
      </c>
      <c r="G4" s="4" t="s">
        <v>92</v>
      </c>
      <c r="H4" s="11">
        <v>2930617060.0000029</v>
      </c>
      <c r="I4" s="11">
        <v>98.260200000000012</v>
      </c>
      <c r="J4" s="11">
        <v>100.42383888888901</v>
      </c>
      <c r="K4" s="11">
        <v>65341894.44444444</v>
      </c>
      <c r="L4" s="11">
        <v>3032799934.4444442</v>
      </c>
      <c r="M4" s="6">
        <f t="shared" ref="M4:M22" si="0">L4/$L$24</f>
        <v>0.10350260940633428</v>
      </c>
    </row>
    <row r="5" spans="1:13" x14ac:dyDescent="0.25">
      <c r="A5" s="1" t="s">
        <v>93</v>
      </c>
      <c r="B5" s="13" t="s">
        <v>94</v>
      </c>
      <c r="C5" s="10">
        <v>2265000</v>
      </c>
      <c r="D5" s="11">
        <v>2265000000</v>
      </c>
      <c r="E5" s="3">
        <v>0.10550000000000001</v>
      </c>
      <c r="F5" s="4" t="s">
        <v>91</v>
      </c>
      <c r="G5" s="4" t="s">
        <v>95</v>
      </c>
      <c r="H5" s="11">
        <v>2039188560.0000031</v>
      </c>
      <c r="I5" s="11">
        <v>82.955500000000001</v>
      </c>
      <c r="J5" s="11">
        <v>84.889666666666656</v>
      </c>
      <c r="K5" s="11">
        <v>43808874.999999993</v>
      </c>
      <c r="L5" s="11">
        <v>1922750949.999999</v>
      </c>
      <c r="M5" s="6">
        <f t="shared" si="0"/>
        <v>6.5619145629519801E-2</v>
      </c>
    </row>
    <row r="6" spans="1:13" x14ac:dyDescent="0.25">
      <c r="A6" s="1" t="s">
        <v>93</v>
      </c>
      <c r="B6" s="13" t="s">
        <v>94</v>
      </c>
      <c r="C6" s="10">
        <v>1551646</v>
      </c>
      <c r="D6" s="11">
        <v>1551646000</v>
      </c>
      <c r="E6" s="3">
        <v>0.10550000000000001</v>
      </c>
      <c r="F6" s="4" t="s">
        <v>96</v>
      </c>
      <c r="G6" s="4" t="s">
        <v>95</v>
      </c>
      <c r="H6" s="11">
        <v>1395452658.7</v>
      </c>
      <c r="I6" s="11">
        <v>82.955500000000001</v>
      </c>
      <c r="J6" s="11">
        <v>84.889666666666912</v>
      </c>
      <c r="K6" s="11">
        <v>30011419.716666661</v>
      </c>
      <c r="L6" s="11">
        <v>1317187117.24667</v>
      </c>
      <c r="M6" s="6">
        <f t="shared" si="0"/>
        <v>4.4952620238173147E-2</v>
      </c>
    </row>
    <row r="7" spans="1:13" x14ac:dyDescent="0.25">
      <c r="A7" s="1" t="s">
        <v>93</v>
      </c>
      <c r="B7" s="13" t="s">
        <v>94</v>
      </c>
      <c r="C7" s="10">
        <v>545692</v>
      </c>
      <c r="D7" s="11">
        <v>545692000</v>
      </c>
      <c r="E7" s="3">
        <v>0.10550000000000001</v>
      </c>
      <c r="F7" s="4" t="s">
        <v>97</v>
      </c>
      <c r="G7" s="4" t="s">
        <v>95</v>
      </c>
      <c r="H7" s="11">
        <v>449784993.92000002</v>
      </c>
      <c r="I7" s="11">
        <v>82.955500000000001</v>
      </c>
      <c r="J7" s="11">
        <v>84.889666666666656</v>
      </c>
      <c r="K7" s="11">
        <v>10554592.76666666</v>
      </c>
      <c r="L7" s="11">
        <v>463236119.82666701</v>
      </c>
      <c r="M7" s="6">
        <f t="shared" si="0"/>
        <v>1.5809202126650754E-2</v>
      </c>
    </row>
    <row r="8" spans="1:13" x14ac:dyDescent="0.25">
      <c r="A8" s="1" t="s">
        <v>81</v>
      </c>
      <c r="B8" s="13" t="s">
        <v>82</v>
      </c>
      <c r="C8" s="10">
        <v>2265000</v>
      </c>
      <c r="D8" s="11">
        <v>2265000000</v>
      </c>
      <c r="E8" s="3">
        <v>0.10400000000000001</v>
      </c>
      <c r="F8" s="4" t="s">
        <v>91</v>
      </c>
      <c r="G8" s="4" t="s">
        <v>98</v>
      </c>
      <c r="H8" s="11">
        <v>2073109200</v>
      </c>
      <c r="I8" s="11">
        <v>87.126500000000007</v>
      </c>
      <c r="J8" s="11">
        <v>92.095388888888877</v>
      </c>
      <c r="K8" s="11">
        <v>112545333.333333</v>
      </c>
      <c r="L8" s="11">
        <v>2085960558.333333</v>
      </c>
      <c r="M8" s="6">
        <f t="shared" si="0"/>
        <v>7.1189120803559852E-2</v>
      </c>
    </row>
    <row r="9" spans="1:13" x14ac:dyDescent="0.25">
      <c r="A9" s="1" t="s">
        <v>99</v>
      </c>
      <c r="B9" s="13" t="s">
        <v>100</v>
      </c>
      <c r="C9" s="10">
        <v>2265000</v>
      </c>
      <c r="D9" s="11">
        <v>2265000000</v>
      </c>
      <c r="E9" s="3">
        <v>0.11</v>
      </c>
      <c r="F9" s="4" t="s">
        <v>91</v>
      </c>
      <c r="G9" s="4" t="s">
        <v>101</v>
      </c>
      <c r="H9" s="11">
        <v>2080889475</v>
      </c>
      <c r="I9" s="11">
        <v>85.021300000000011</v>
      </c>
      <c r="J9" s="11">
        <v>90.643522222222217</v>
      </c>
      <c r="K9" s="11">
        <v>127343333.333333</v>
      </c>
      <c r="L9" s="11">
        <v>2053075778.333333</v>
      </c>
      <c r="M9" s="6">
        <f t="shared" si="0"/>
        <v>7.006683756255315E-2</v>
      </c>
    </row>
    <row r="10" spans="1:13" x14ac:dyDescent="0.25">
      <c r="A10" s="1" t="s">
        <v>83</v>
      </c>
      <c r="B10" s="13" t="s">
        <v>84</v>
      </c>
      <c r="C10" s="10">
        <v>2265000</v>
      </c>
      <c r="D10" s="11">
        <v>2265000000</v>
      </c>
      <c r="E10" s="3">
        <v>0.10300000000000001</v>
      </c>
      <c r="F10" s="4" t="s">
        <v>91</v>
      </c>
      <c r="G10" s="4" t="s">
        <v>102</v>
      </c>
      <c r="H10" s="11">
        <v>1963990560.0000031</v>
      </c>
      <c r="I10" s="11">
        <v>77.4345</v>
      </c>
      <c r="J10" s="11">
        <v>83.070888888888874</v>
      </c>
      <c r="K10" s="11">
        <v>127664208.333333</v>
      </c>
      <c r="L10" s="11">
        <v>1881555633.333333</v>
      </c>
      <c r="M10" s="6">
        <f t="shared" si="0"/>
        <v>6.4213242549038083E-2</v>
      </c>
    </row>
    <row r="11" spans="1:13" x14ac:dyDescent="0.25">
      <c r="A11" s="1" t="s">
        <v>103</v>
      </c>
      <c r="B11" s="13" t="s">
        <v>104</v>
      </c>
      <c r="C11" s="10">
        <v>2265000</v>
      </c>
      <c r="D11" s="11">
        <v>2265000000</v>
      </c>
      <c r="E11" s="3">
        <v>8.4500000000000006E-2</v>
      </c>
      <c r="F11" s="4" t="s">
        <v>91</v>
      </c>
      <c r="G11" s="4" t="s">
        <v>105</v>
      </c>
      <c r="H11" s="11">
        <v>1740247065.0000031</v>
      </c>
      <c r="I11" s="11">
        <v>67.882800000000003</v>
      </c>
      <c r="J11" s="11">
        <v>71.826133333333331</v>
      </c>
      <c r="K11" s="11">
        <v>89316499.999999985</v>
      </c>
      <c r="L11" s="11">
        <v>1626861919.999999</v>
      </c>
      <c r="M11" s="6">
        <f t="shared" si="0"/>
        <v>5.5521121571985271E-2</v>
      </c>
    </row>
    <row r="12" spans="1:13" x14ac:dyDescent="0.25">
      <c r="A12" s="1" t="s">
        <v>106</v>
      </c>
      <c r="B12" s="13" t="s">
        <v>107</v>
      </c>
      <c r="C12" s="10">
        <v>2265000</v>
      </c>
      <c r="D12" s="11">
        <v>2265000000</v>
      </c>
      <c r="E12" s="3">
        <v>0.10650000000000001</v>
      </c>
      <c r="F12" s="4" t="s">
        <v>91</v>
      </c>
      <c r="G12" s="4" t="s">
        <v>108</v>
      </c>
      <c r="H12" s="11">
        <v>1967775375</v>
      </c>
      <c r="I12" s="11">
        <v>75.700400000000002</v>
      </c>
      <c r="J12" s="11">
        <v>77.712066666666658</v>
      </c>
      <c r="K12" s="11">
        <v>45564250</v>
      </c>
      <c r="L12" s="11">
        <v>1760178310</v>
      </c>
      <c r="M12" s="6">
        <f t="shared" si="0"/>
        <v>6.007090874552011E-2</v>
      </c>
    </row>
    <row r="13" spans="1:13" x14ac:dyDescent="0.25">
      <c r="A13" s="1" t="s">
        <v>109</v>
      </c>
      <c r="B13" s="13" t="s">
        <v>110</v>
      </c>
      <c r="C13" s="10">
        <v>2265000</v>
      </c>
      <c r="D13" s="11">
        <v>2265000000</v>
      </c>
      <c r="E13" s="3">
        <v>8.0700000000000008E-2</v>
      </c>
      <c r="F13" s="4" t="s">
        <v>91</v>
      </c>
      <c r="G13" s="4" t="s">
        <v>111</v>
      </c>
      <c r="H13" s="11">
        <v>1622351550</v>
      </c>
      <c r="I13" s="11">
        <v>61.308700000000002</v>
      </c>
      <c r="J13" s="11">
        <v>64.491866666666652</v>
      </c>
      <c r="K13" s="11">
        <v>72098725</v>
      </c>
      <c r="L13" s="11">
        <v>1460740780</v>
      </c>
      <c r="M13" s="6">
        <f t="shared" si="0"/>
        <v>4.9851782400522744E-2</v>
      </c>
    </row>
    <row r="14" spans="1:13" x14ac:dyDescent="0.25">
      <c r="A14" s="1" t="s">
        <v>112</v>
      </c>
      <c r="B14" s="13" t="s">
        <v>113</v>
      </c>
      <c r="C14" s="10">
        <v>2265000</v>
      </c>
      <c r="D14" s="11">
        <v>2265000000</v>
      </c>
      <c r="E14" s="3">
        <v>8.0700000000000008E-2</v>
      </c>
      <c r="F14" s="4" t="s">
        <v>91</v>
      </c>
      <c r="G14" s="4" t="s">
        <v>114</v>
      </c>
      <c r="H14" s="11">
        <v>1597764975</v>
      </c>
      <c r="I14" s="11">
        <v>59.858600000000003</v>
      </c>
      <c r="J14" s="11">
        <v>65.350683333333322</v>
      </c>
      <c r="K14" s="11">
        <v>124395687.5</v>
      </c>
      <c r="L14" s="11">
        <v>1480192977.5</v>
      </c>
      <c r="M14" s="6">
        <f t="shared" si="0"/>
        <v>5.0515641950594312E-2</v>
      </c>
    </row>
    <row r="15" spans="1:13" x14ac:dyDescent="0.25">
      <c r="A15" s="1" t="s">
        <v>115</v>
      </c>
      <c r="B15" s="13" t="s">
        <v>116</v>
      </c>
      <c r="C15" s="10">
        <v>3775000</v>
      </c>
      <c r="D15" s="11">
        <v>3775000000</v>
      </c>
      <c r="E15" s="3">
        <v>5.4900000000000004E-2</v>
      </c>
      <c r="F15" s="4" t="s">
        <v>91</v>
      </c>
      <c r="G15" s="4" t="s">
        <v>117</v>
      </c>
      <c r="H15" s="11">
        <v>3136670150</v>
      </c>
      <c r="I15" s="11">
        <v>85.798400000000001</v>
      </c>
      <c r="J15" s="11">
        <v>88.650149999999996</v>
      </c>
      <c r="K15" s="11">
        <v>107653562.5</v>
      </c>
      <c r="L15" s="11">
        <v>3346543162.5</v>
      </c>
      <c r="M15" s="6">
        <f t="shared" si="0"/>
        <v>0.11420995690344678</v>
      </c>
    </row>
    <row r="16" spans="1:13" x14ac:dyDescent="0.25">
      <c r="A16" s="1" t="s">
        <v>118</v>
      </c>
      <c r="B16" s="13" t="s">
        <v>119</v>
      </c>
      <c r="C16" s="10">
        <v>2803860</v>
      </c>
      <c r="D16" s="11">
        <v>2803860000</v>
      </c>
      <c r="E16" s="3">
        <v>5.5E-2</v>
      </c>
      <c r="F16" s="4" t="s">
        <v>120</v>
      </c>
      <c r="G16" s="4" t="s">
        <v>121</v>
      </c>
      <c r="H16" s="11">
        <v>1773018067.1400001</v>
      </c>
      <c r="I16" s="11">
        <v>56.704500000000003</v>
      </c>
      <c r="J16" s="11">
        <v>59.148944444444439</v>
      </c>
      <c r="K16" s="11">
        <v>68538800</v>
      </c>
      <c r="L16" s="11">
        <v>1658453593.7</v>
      </c>
      <c r="M16" s="6">
        <f t="shared" si="0"/>
        <v>5.6599274016637884E-2</v>
      </c>
    </row>
    <row r="17" spans="1:15" x14ac:dyDescent="0.25">
      <c r="A17" s="1" t="s">
        <v>122</v>
      </c>
      <c r="B17" s="13" t="s">
        <v>123</v>
      </c>
      <c r="C17" s="10">
        <v>1038480</v>
      </c>
      <c r="D17" s="11">
        <v>1038480000</v>
      </c>
      <c r="E17" s="3">
        <v>0.12</v>
      </c>
      <c r="F17" s="4" t="s">
        <v>120</v>
      </c>
      <c r="G17" s="4" t="s">
        <v>124</v>
      </c>
      <c r="H17" s="11">
        <v>979029096.96000004</v>
      </c>
      <c r="I17" s="11">
        <v>85.275500000000008</v>
      </c>
      <c r="J17" s="11">
        <v>92.1755</v>
      </c>
      <c r="K17" s="11">
        <v>71655120</v>
      </c>
      <c r="L17" s="11">
        <v>957224132.39999998</v>
      </c>
      <c r="M17" s="6">
        <f t="shared" si="0"/>
        <v>3.26678968714312E-2</v>
      </c>
    </row>
    <row r="18" spans="1:15" x14ac:dyDescent="0.25">
      <c r="A18" s="1" t="s">
        <v>63</v>
      </c>
      <c r="B18" s="13" t="s">
        <v>64</v>
      </c>
      <c r="C18" s="10">
        <v>506989</v>
      </c>
      <c r="D18" s="11">
        <v>506989000</v>
      </c>
      <c r="E18" s="3">
        <v>0.1535</v>
      </c>
      <c r="F18" s="4" t="s">
        <v>125</v>
      </c>
      <c r="G18" s="4" t="s">
        <v>126</v>
      </c>
      <c r="H18" s="11">
        <v>492216861.50999999</v>
      </c>
      <c r="I18" s="11">
        <v>98.219100000000012</v>
      </c>
      <c r="J18" s="11">
        <v>104.01798888888901</v>
      </c>
      <c r="K18" s="11">
        <v>29399728.788888879</v>
      </c>
      <c r="L18" s="11">
        <v>527359761.68788898</v>
      </c>
      <c r="M18" s="6">
        <f t="shared" si="0"/>
        <v>1.7997597141401207E-2</v>
      </c>
    </row>
    <row r="19" spans="1:15" x14ac:dyDescent="0.25">
      <c r="A19" s="1" t="s">
        <v>127</v>
      </c>
      <c r="B19" s="13" t="s">
        <v>128</v>
      </c>
      <c r="C19" s="10">
        <v>2100000</v>
      </c>
      <c r="D19" s="11">
        <v>2100000000</v>
      </c>
      <c r="E19" s="3">
        <v>0.14300000000000002</v>
      </c>
      <c r="F19" s="4" t="s">
        <v>129</v>
      </c>
      <c r="G19" s="4" t="s">
        <v>130</v>
      </c>
      <c r="H19" s="11">
        <v>2100000000</v>
      </c>
      <c r="I19" s="11">
        <v>94.59858484696889</v>
      </c>
      <c r="J19" s="11">
        <v>95.829973735857777</v>
      </c>
      <c r="K19" s="11">
        <v>25859166.66666666</v>
      </c>
      <c r="L19" s="11">
        <v>2012429448.4530129</v>
      </c>
      <c r="M19" s="6">
        <f t="shared" si="0"/>
        <v>6.8679670160699965E-2</v>
      </c>
    </row>
    <row r="20" spans="1:15" x14ac:dyDescent="0.25">
      <c r="A20" s="1" t="s">
        <v>131</v>
      </c>
      <c r="B20" s="13" t="s">
        <v>132</v>
      </c>
      <c r="C20" s="10">
        <v>1000000</v>
      </c>
      <c r="D20" s="11">
        <v>1000000000</v>
      </c>
      <c r="E20" s="3">
        <v>0.1389</v>
      </c>
      <c r="F20" s="4" t="s">
        <v>133</v>
      </c>
      <c r="G20" s="4" t="s">
        <v>134</v>
      </c>
      <c r="H20" s="11">
        <v>1000000000</v>
      </c>
      <c r="I20" s="11">
        <v>98.277407551658001</v>
      </c>
      <c r="J20" s="11">
        <v>103.13890755165801</v>
      </c>
      <c r="K20" s="11">
        <v>48614999.999999993</v>
      </c>
      <c r="L20" s="11">
        <v>1031389075.516579</v>
      </c>
      <c r="M20" s="6">
        <f t="shared" si="0"/>
        <v>3.5198978810551736E-2</v>
      </c>
    </row>
    <row r="21" spans="1:15" x14ac:dyDescent="0.25">
      <c r="A21" s="1" t="s">
        <v>135</v>
      </c>
      <c r="B21" s="13" t="s">
        <v>136</v>
      </c>
      <c r="C21" s="10">
        <v>165739</v>
      </c>
      <c r="D21" s="11">
        <v>165739000</v>
      </c>
      <c r="E21" s="3">
        <v>0.125</v>
      </c>
      <c r="F21" s="4" t="s">
        <v>137</v>
      </c>
      <c r="G21" s="4" t="s">
        <v>138</v>
      </c>
      <c r="H21" s="11">
        <v>159596381.18279999</v>
      </c>
      <c r="I21" s="11">
        <v>96.13507608756359</v>
      </c>
      <c r="J21" s="11">
        <v>100.023964976439</v>
      </c>
      <c r="K21" s="11">
        <v>6445405.55553333</v>
      </c>
      <c r="L21" s="11">
        <v>165778719.3123</v>
      </c>
      <c r="M21" s="6">
        <f t="shared" si="0"/>
        <v>5.6576531270620904E-3</v>
      </c>
    </row>
    <row r="22" spans="1:15" x14ac:dyDescent="0.25">
      <c r="A22" s="1" t="s">
        <v>139</v>
      </c>
      <c r="B22" s="13" t="s">
        <v>140</v>
      </c>
      <c r="C22" s="10">
        <v>494987</v>
      </c>
      <c r="D22" s="11">
        <v>494987000</v>
      </c>
      <c r="E22" s="3">
        <v>0.1701</v>
      </c>
      <c r="F22" s="4" t="s">
        <v>141</v>
      </c>
      <c r="G22" s="4" t="s">
        <v>142</v>
      </c>
      <c r="H22" s="11">
        <v>495088472.34249997</v>
      </c>
      <c r="I22" s="11">
        <v>101.94750000000001</v>
      </c>
      <c r="J22" s="11">
        <v>104.64075</v>
      </c>
      <c r="K22" s="11">
        <v>13331237.377499999</v>
      </c>
      <c r="L22" s="11">
        <v>517958109.20249999</v>
      </c>
      <c r="M22" s="6">
        <f t="shared" si="0"/>
        <v>1.7676739984317562E-2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1220142840.316366</v>
      </c>
      <c r="L24" s="22">
        <f>SUM(L4:L23)</f>
        <v>29301676081.790062</v>
      </c>
      <c r="M24" s="23"/>
      <c r="N24" s="26">
        <v>29301676081.790085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7147956.8799999999</v>
      </c>
      <c r="C27" s="51">
        <v>7147956.8799999999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349330</v>
      </c>
      <c r="D32" s="7" t="s">
        <v>51</v>
      </c>
      <c r="E32" s="34" t="s">
        <v>52</v>
      </c>
      <c r="F32" s="34" t="s">
        <v>53</v>
      </c>
      <c r="G32" s="15">
        <v>552.491300002863</v>
      </c>
      <c r="H32" s="15">
        <v>554.19191363467201</v>
      </c>
      <c r="I32" s="16">
        <f t="shared" ref="I32:I57" si="1">+C32*G32</f>
        <v>193001785.83000013</v>
      </c>
      <c r="J32" s="16">
        <f t="shared" ref="J32:J57" si="2">+C32*H32</f>
        <v>193595861.18999997</v>
      </c>
      <c r="K32" s="18">
        <v>0.1605</v>
      </c>
      <c r="L32" s="17">
        <v>84867.908571428605</v>
      </c>
      <c r="M32" s="17">
        <v>193426125.372857</v>
      </c>
      <c r="N32" s="35"/>
    </row>
    <row r="33" spans="1:14" s="36" customFormat="1" ht="12" customHeight="1" x14ac:dyDescent="0.25">
      <c r="A33" s="12" t="s">
        <v>54</v>
      </c>
      <c r="B33" s="7" t="s">
        <v>55</v>
      </c>
      <c r="C33" s="14">
        <v>1440400</v>
      </c>
      <c r="D33" s="7" t="s">
        <v>51</v>
      </c>
      <c r="E33" s="34" t="s">
        <v>52</v>
      </c>
      <c r="F33" s="34" t="s">
        <v>53</v>
      </c>
      <c r="G33" s="15">
        <v>903.21300000000008</v>
      </c>
      <c r="H33" s="15">
        <v>905.98450290197206</v>
      </c>
      <c r="I33" s="16">
        <f t="shared" si="1"/>
        <v>1300988005.2</v>
      </c>
      <c r="J33" s="16">
        <f t="shared" si="2"/>
        <v>1304980077.9800005</v>
      </c>
      <c r="K33" s="18">
        <v>0.16</v>
      </c>
      <c r="L33" s="17">
        <v>570296.1114285714</v>
      </c>
      <c r="M33" s="17">
        <v>1303839485.7571421</v>
      </c>
      <c r="N33" s="35"/>
    </row>
    <row r="34" spans="1:14" s="36" customFormat="1" ht="12" customHeight="1" x14ac:dyDescent="0.25">
      <c r="A34" s="12" t="s">
        <v>56</v>
      </c>
      <c r="B34" s="7" t="s">
        <v>57</v>
      </c>
      <c r="C34" s="14">
        <v>10632</v>
      </c>
      <c r="D34" s="7" t="s">
        <v>51</v>
      </c>
      <c r="E34" s="34" t="s">
        <v>52</v>
      </c>
      <c r="F34" s="34" t="s">
        <v>53</v>
      </c>
      <c r="G34" s="15">
        <v>564.63099981188907</v>
      </c>
      <c r="H34" s="15">
        <v>566.363566591422</v>
      </c>
      <c r="I34" s="16">
        <f t="shared" si="1"/>
        <v>6003156.7900000047</v>
      </c>
      <c r="J34" s="16">
        <f t="shared" si="2"/>
        <v>6021577.4399999985</v>
      </c>
      <c r="K34" s="18">
        <v>0.16</v>
      </c>
      <c r="L34" s="17">
        <v>2631.5214285714283</v>
      </c>
      <c r="M34" s="17">
        <v>6016314.3971428601</v>
      </c>
      <c r="N34" s="35"/>
    </row>
    <row r="35" spans="1:14" s="36" customFormat="1" ht="12" customHeight="1" x14ac:dyDescent="0.25">
      <c r="A35" s="12" t="s">
        <v>58</v>
      </c>
      <c r="B35" s="7" t="s">
        <v>59</v>
      </c>
      <c r="C35" s="14">
        <v>102606</v>
      </c>
      <c r="D35" s="7" t="s">
        <v>51</v>
      </c>
      <c r="E35" s="34" t="s">
        <v>60</v>
      </c>
      <c r="F35" s="34" t="s">
        <v>53</v>
      </c>
      <c r="G35" s="15">
        <v>955.15600003898408</v>
      </c>
      <c r="H35" s="15">
        <v>956.40031187260001</v>
      </c>
      <c r="I35" s="16">
        <f t="shared" si="1"/>
        <v>98004736.540000007</v>
      </c>
      <c r="J35" s="16">
        <f t="shared" si="2"/>
        <v>98132410.399999991</v>
      </c>
      <c r="K35" s="18">
        <v>0.158499</v>
      </c>
      <c r="L35" s="17">
        <v>42557.953333333302</v>
      </c>
      <c r="M35" s="17">
        <v>98047294.493333325</v>
      </c>
      <c r="N35" s="35"/>
    </row>
    <row r="36" spans="1:14" s="36" customFormat="1" ht="12" customHeight="1" x14ac:dyDescent="0.25">
      <c r="A36" s="12" t="s">
        <v>61</v>
      </c>
      <c r="B36" s="7" t="s">
        <v>62</v>
      </c>
      <c r="C36" s="14">
        <v>131216</v>
      </c>
      <c r="D36" s="7" t="s">
        <v>51</v>
      </c>
      <c r="E36" s="34" t="s">
        <v>60</v>
      </c>
      <c r="F36" s="34" t="s">
        <v>53</v>
      </c>
      <c r="G36" s="15">
        <v>1060.441000030484</v>
      </c>
      <c r="H36" s="15">
        <v>1061.822469896963</v>
      </c>
      <c r="I36" s="16">
        <f t="shared" si="1"/>
        <v>139146826.25999999</v>
      </c>
      <c r="J36" s="16">
        <f t="shared" si="2"/>
        <v>139328097.20999989</v>
      </c>
      <c r="K36" s="18">
        <v>0.158499</v>
      </c>
      <c r="L36" s="17">
        <v>60423.65</v>
      </c>
      <c r="M36" s="17">
        <v>139207249.91</v>
      </c>
      <c r="N36" s="35"/>
    </row>
    <row r="37" spans="1:14" s="36" customFormat="1" ht="12" customHeight="1" x14ac:dyDescent="0.25">
      <c r="A37" s="12" t="s">
        <v>63</v>
      </c>
      <c r="B37" s="7" t="s">
        <v>64</v>
      </c>
      <c r="C37" s="14">
        <v>8658</v>
      </c>
      <c r="D37" s="7" t="s">
        <v>51</v>
      </c>
      <c r="E37" s="34" t="s">
        <v>60</v>
      </c>
      <c r="F37" s="34" t="s">
        <v>53</v>
      </c>
      <c r="G37" s="15">
        <v>1039.7539997689989</v>
      </c>
      <c r="H37" s="15">
        <v>1041.1085204435201</v>
      </c>
      <c r="I37" s="16">
        <f t="shared" si="1"/>
        <v>9002190.1299999934</v>
      </c>
      <c r="J37" s="16">
        <f t="shared" si="2"/>
        <v>9013917.5699999966</v>
      </c>
      <c r="K37" s="18">
        <v>0.158499</v>
      </c>
      <c r="L37" s="17">
        <v>3909.1466666666661</v>
      </c>
      <c r="M37" s="17">
        <v>9006099.2766666692</v>
      </c>
      <c r="N37" s="35"/>
    </row>
    <row r="38" spans="1:14" s="36" customFormat="1" ht="12" customHeight="1" x14ac:dyDescent="0.25">
      <c r="A38" s="12" t="s">
        <v>65</v>
      </c>
      <c r="B38" s="7" t="s">
        <v>66</v>
      </c>
      <c r="C38" s="14">
        <v>30840</v>
      </c>
      <c r="D38" s="7" t="s">
        <v>51</v>
      </c>
      <c r="E38" s="34" t="s">
        <v>60</v>
      </c>
      <c r="F38" s="34" t="s">
        <v>53</v>
      </c>
      <c r="G38" s="15">
        <v>648.51549999999997</v>
      </c>
      <c r="H38" s="15">
        <v>649.36034143968902</v>
      </c>
      <c r="I38" s="16">
        <f t="shared" si="1"/>
        <v>20000218.02</v>
      </c>
      <c r="J38" s="16">
        <f t="shared" si="2"/>
        <v>20026272.930000011</v>
      </c>
      <c r="K38" s="18">
        <v>0.158499</v>
      </c>
      <c r="L38" s="17">
        <v>8684.9699999999993</v>
      </c>
      <c r="M38" s="17">
        <v>20008902.989999998</v>
      </c>
      <c r="N38" s="35"/>
    </row>
    <row r="39" spans="1:14" s="36" customFormat="1" ht="12" customHeight="1" x14ac:dyDescent="0.25">
      <c r="A39" s="12" t="s">
        <v>67</v>
      </c>
      <c r="B39" s="7" t="s">
        <v>68</v>
      </c>
      <c r="C39" s="14">
        <v>32880</v>
      </c>
      <c r="D39" s="7" t="s">
        <v>51</v>
      </c>
      <c r="E39" s="34" t="s">
        <v>60</v>
      </c>
      <c r="F39" s="34" t="s">
        <v>53</v>
      </c>
      <c r="G39" s="15">
        <v>608.62599999999998</v>
      </c>
      <c r="H39" s="15">
        <v>609.41887621654507</v>
      </c>
      <c r="I39" s="16">
        <f t="shared" si="1"/>
        <v>20011622.879999999</v>
      </c>
      <c r="J39" s="16">
        <f t="shared" si="2"/>
        <v>20037692.650000002</v>
      </c>
      <c r="K39" s="18">
        <v>0.158499</v>
      </c>
      <c r="L39" s="17">
        <v>8689.9233333333341</v>
      </c>
      <c r="M39" s="17">
        <v>20020312.803333331</v>
      </c>
      <c r="N39" s="35"/>
    </row>
    <row r="40" spans="1:14" s="36" customFormat="1" ht="12" customHeight="1" x14ac:dyDescent="0.25">
      <c r="A40" s="12" t="s">
        <v>69</v>
      </c>
      <c r="B40" s="7" t="s">
        <v>70</v>
      </c>
      <c r="C40" s="14">
        <v>50739</v>
      </c>
      <c r="D40" s="7" t="s">
        <v>51</v>
      </c>
      <c r="E40" s="34" t="s">
        <v>60</v>
      </c>
      <c r="F40" s="34" t="s">
        <v>53</v>
      </c>
      <c r="G40" s="15">
        <v>769.14400007883501</v>
      </c>
      <c r="H40" s="15">
        <v>770.14598829302906</v>
      </c>
      <c r="I40" s="16">
        <f t="shared" si="1"/>
        <v>39025597.420000009</v>
      </c>
      <c r="J40" s="16">
        <f t="shared" si="2"/>
        <v>39076437.300000004</v>
      </c>
      <c r="K40" s="18">
        <v>0.158499</v>
      </c>
      <c r="L40" s="17">
        <v>16946.6266666667</v>
      </c>
      <c r="M40" s="17">
        <v>39042544.046666659</v>
      </c>
      <c r="N40" s="35"/>
    </row>
    <row r="41" spans="1:14" s="36" customFormat="1" ht="12" customHeight="1" x14ac:dyDescent="0.25">
      <c r="A41" s="12" t="s">
        <v>67</v>
      </c>
      <c r="B41" s="7" t="s">
        <v>68</v>
      </c>
      <c r="C41" s="14">
        <v>124944</v>
      </c>
      <c r="D41" s="7" t="s">
        <v>51</v>
      </c>
      <c r="E41" s="34" t="s">
        <v>60</v>
      </c>
      <c r="F41" s="34" t="s">
        <v>53</v>
      </c>
      <c r="G41" s="15">
        <v>608.62599996798599</v>
      </c>
      <c r="H41" s="15">
        <v>609.41887621654507</v>
      </c>
      <c r="I41" s="16">
        <f t="shared" si="1"/>
        <v>76044166.940000042</v>
      </c>
      <c r="J41" s="16">
        <f t="shared" si="2"/>
        <v>76143232.070000008</v>
      </c>
      <c r="K41" s="18">
        <v>0.158499</v>
      </c>
      <c r="L41" s="17">
        <v>33021.71</v>
      </c>
      <c r="M41" s="17">
        <v>76077188.650000006</v>
      </c>
      <c r="N41" s="35"/>
    </row>
    <row r="42" spans="1:14" s="36" customFormat="1" ht="12" customHeight="1" x14ac:dyDescent="0.25">
      <c r="A42" s="12" t="s">
        <v>71</v>
      </c>
      <c r="B42" s="7" t="s">
        <v>72</v>
      </c>
      <c r="C42" s="14">
        <v>26232</v>
      </c>
      <c r="D42" s="7" t="s">
        <v>51</v>
      </c>
      <c r="E42" s="34" t="s">
        <v>60</v>
      </c>
      <c r="F42" s="34" t="s">
        <v>53</v>
      </c>
      <c r="G42" s="15">
        <v>915.3950000000001</v>
      </c>
      <c r="H42" s="15">
        <v>916.58751372369602</v>
      </c>
      <c r="I42" s="16">
        <f t="shared" si="1"/>
        <v>24012641.640000004</v>
      </c>
      <c r="J42" s="16">
        <f t="shared" si="2"/>
        <v>24043923.659999993</v>
      </c>
      <c r="K42" s="18">
        <v>0.158499</v>
      </c>
      <c r="L42" s="17">
        <v>10427.34</v>
      </c>
      <c r="M42" s="17">
        <v>24023068.98</v>
      </c>
      <c r="N42" s="35"/>
    </row>
    <row r="43" spans="1:14" s="36" customFormat="1" ht="12" customHeight="1" x14ac:dyDescent="0.25">
      <c r="A43" s="12" t="s">
        <v>73</v>
      </c>
      <c r="B43" s="7" t="s">
        <v>74</v>
      </c>
      <c r="C43" s="14">
        <v>15255</v>
      </c>
      <c r="D43" s="7" t="s">
        <v>51</v>
      </c>
      <c r="E43" s="34" t="s">
        <v>60</v>
      </c>
      <c r="F43" s="34" t="s">
        <v>53</v>
      </c>
      <c r="G43" s="15">
        <v>983.97</v>
      </c>
      <c r="H43" s="15">
        <v>985.25184857423801</v>
      </c>
      <c r="I43" s="16">
        <f t="shared" si="1"/>
        <v>15010462.35</v>
      </c>
      <c r="J43" s="16">
        <f t="shared" si="2"/>
        <v>15030016.950000001</v>
      </c>
      <c r="K43" s="18">
        <v>0.158499</v>
      </c>
      <c r="L43" s="17">
        <v>6518.2</v>
      </c>
      <c r="M43" s="17">
        <v>15016980.550000001</v>
      </c>
      <c r="N43" s="35"/>
    </row>
    <row r="44" spans="1:14" s="36" customFormat="1" ht="12" customHeight="1" x14ac:dyDescent="0.25">
      <c r="A44" s="12" t="s">
        <v>58</v>
      </c>
      <c r="B44" s="7" t="s">
        <v>59</v>
      </c>
      <c r="C44" s="14">
        <v>40833</v>
      </c>
      <c r="D44" s="7" t="s">
        <v>51</v>
      </c>
      <c r="E44" s="34" t="s">
        <v>60</v>
      </c>
      <c r="F44" s="34" t="s">
        <v>53</v>
      </c>
      <c r="G44" s="15">
        <v>955.15600004897999</v>
      </c>
      <c r="H44" s="15">
        <v>956.40031175764705</v>
      </c>
      <c r="I44" s="16">
        <f t="shared" si="1"/>
        <v>39001884.950000003</v>
      </c>
      <c r="J44" s="16">
        <f t="shared" si="2"/>
        <v>39052693.93</v>
      </c>
      <c r="K44" s="18">
        <v>0.158499</v>
      </c>
      <c r="L44" s="17">
        <v>16936.3266666667</v>
      </c>
      <c r="M44" s="17">
        <v>39018821.276666664</v>
      </c>
      <c r="N44" s="35"/>
    </row>
    <row r="45" spans="1:14" s="36" customFormat="1" ht="12" customHeight="1" x14ac:dyDescent="0.25">
      <c r="A45" s="12" t="s">
        <v>63</v>
      </c>
      <c r="B45" s="7" t="s">
        <v>64</v>
      </c>
      <c r="C45" s="14">
        <v>89466</v>
      </c>
      <c r="D45" s="7" t="s">
        <v>51</v>
      </c>
      <c r="E45" s="34" t="s">
        <v>60</v>
      </c>
      <c r="F45" s="34" t="s">
        <v>53</v>
      </c>
      <c r="G45" s="15">
        <v>1039.7539999552901</v>
      </c>
      <c r="H45" s="15">
        <v>1041.1085202199711</v>
      </c>
      <c r="I45" s="16">
        <f t="shared" si="1"/>
        <v>93022631.359999985</v>
      </c>
      <c r="J45" s="16">
        <f t="shared" si="2"/>
        <v>93143814.86999993</v>
      </c>
      <c r="K45" s="18">
        <v>0.158499</v>
      </c>
      <c r="L45" s="17">
        <v>40394.503333333298</v>
      </c>
      <c r="M45" s="17">
        <v>93063025.86333333</v>
      </c>
      <c r="N45" s="35"/>
    </row>
    <row r="46" spans="1:14" s="36" customFormat="1" ht="12" customHeight="1" x14ac:dyDescent="0.25">
      <c r="A46" s="12" t="s">
        <v>75</v>
      </c>
      <c r="B46" s="7" t="s">
        <v>76</v>
      </c>
      <c r="C46" s="14">
        <v>26992</v>
      </c>
      <c r="D46" s="7" t="s">
        <v>51</v>
      </c>
      <c r="E46" s="34" t="s">
        <v>60</v>
      </c>
      <c r="F46" s="34" t="s">
        <v>53</v>
      </c>
      <c r="G46" s="15">
        <v>1037.9730001481921</v>
      </c>
      <c r="H46" s="15">
        <v>1039.325200429756</v>
      </c>
      <c r="I46" s="16">
        <f t="shared" si="1"/>
        <v>28016967.220000003</v>
      </c>
      <c r="J46" s="16">
        <f t="shared" si="2"/>
        <v>28053465.809999976</v>
      </c>
      <c r="K46" s="18">
        <v>0.158499</v>
      </c>
      <c r="L46" s="17">
        <v>12166.196666666699</v>
      </c>
      <c r="M46" s="17">
        <v>28029133.41666666</v>
      </c>
      <c r="N46" s="35"/>
    </row>
    <row r="47" spans="1:14" s="36" customFormat="1" ht="12" customHeight="1" x14ac:dyDescent="0.25">
      <c r="A47" s="12" t="s">
        <v>77</v>
      </c>
      <c r="B47" s="7" t="s">
        <v>78</v>
      </c>
      <c r="C47" s="14">
        <v>34884</v>
      </c>
      <c r="D47" s="7" t="s">
        <v>51</v>
      </c>
      <c r="E47" s="34" t="s">
        <v>60</v>
      </c>
      <c r="F47" s="34" t="s">
        <v>53</v>
      </c>
      <c r="G47" s="15">
        <v>544.81380002293304</v>
      </c>
      <c r="H47" s="15">
        <v>545.52354603829804</v>
      </c>
      <c r="I47" s="16">
        <f t="shared" si="1"/>
        <v>19005284.599999998</v>
      </c>
      <c r="J47" s="16">
        <f t="shared" si="2"/>
        <v>19030043.379999988</v>
      </c>
      <c r="K47" s="18">
        <v>0.158499</v>
      </c>
      <c r="L47" s="17">
        <v>8252.9266666666663</v>
      </c>
      <c r="M47" s="17">
        <v>19013537.52666666</v>
      </c>
      <c r="N47" s="35"/>
    </row>
    <row r="48" spans="1:14" s="36" customFormat="1" ht="12" customHeight="1" x14ac:dyDescent="0.25">
      <c r="A48" s="12" t="s">
        <v>79</v>
      </c>
      <c r="B48" s="7" t="s">
        <v>80</v>
      </c>
      <c r="C48" s="14">
        <v>28920</v>
      </c>
      <c r="D48" s="7" t="s">
        <v>51</v>
      </c>
      <c r="E48" s="34" t="s">
        <v>60</v>
      </c>
      <c r="F48" s="34" t="s">
        <v>53</v>
      </c>
      <c r="G48" s="15">
        <v>1038.384</v>
      </c>
      <c r="H48" s="15">
        <v>1039.7367354771779</v>
      </c>
      <c r="I48" s="16">
        <f t="shared" si="1"/>
        <v>30030065.280000001</v>
      </c>
      <c r="J48" s="16">
        <f t="shared" si="2"/>
        <v>30069186.389999986</v>
      </c>
      <c r="K48" s="18">
        <v>0.158499</v>
      </c>
      <c r="L48" s="17">
        <v>13040.37</v>
      </c>
      <c r="M48" s="17">
        <v>30043105.649999999</v>
      </c>
      <c r="N48" s="35"/>
    </row>
    <row r="49" spans="1:15" s="36" customFormat="1" ht="12" customHeight="1" x14ac:dyDescent="0.25">
      <c r="A49" s="12" t="s">
        <v>58</v>
      </c>
      <c r="B49" s="7" t="s">
        <v>59</v>
      </c>
      <c r="C49" s="14">
        <v>38739</v>
      </c>
      <c r="D49" s="7" t="s">
        <v>51</v>
      </c>
      <c r="E49" s="34" t="s">
        <v>60</v>
      </c>
      <c r="F49" s="34" t="s">
        <v>53</v>
      </c>
      <c r="G49" s="15">
        <v>955.15599989674502</v>
      </c>
      <c r="H49" s="15">
        <v>956.40031183045505</v>
      </c>
      <c r="I49" s="16">
        <f t="shared" si="1"/>
        <v>37001788.280000009</v>
      </c>
      <c r="J49" s="16">
        <f t="shared" si="2"/>
        <v>37049991.68</v>
      </c>
      <c r="K49" s="18">
        <v>0.158499</v>
      </c>
      <c r="L49" s="17">
        <v>16067.8</v>
      </c>
      <c r="M49" s="17">
        <v>37017856.079999998</v>
      </c>
      <c r="N49" s="35"/>
    </row>
    <row r="50" spans="1:15" s="36" customFormat="1" ht="12" customHeight="1" x14ac:dyDescent="0.25">
      <c r="A50" s="12" t="s">
        <v>73</v>
      </c>
      <c r="B50" s="7" t="s">
        <v>74</v>
      </c>
      <c r="C50" s="14">
        <v>29493</v>
      </c>
      <c r="D50" s="7" t="s">
        <v>51</v>
      </c>
      <c r="E50" s="34" t="s">
        <v>60</v>
      </c>
      <c r="F50" s="34" t="s">
        <v>53</v>
      </c>
      <c r="G50" s="15">
        <v>983.97</v>
      </c>
      <c r="H50" s="15">
        <v>985.25184857423801</v>
      </c>
      <c r="I50" s="16">
        <f t="shared" si="1"/>
        <v>29020227.210000001</v>
      </c>
      <c r="J50" s="16">
        <f t="shared" si="2"/>
        <v>29058032.770000003</v>
      </c>
      <c r="K50" s="18">
        <v>0.158499</v>
      </c>
      <c r="L50" s="17">
        <v>12601.8533333333</v>
      </c>
      <c r="M50" s="17">
        <v>29032829.063333329</v>
      </c>
      <c r="N50" s="35"/>
    </row>
    <row r="51" spans="1:15" s="36" customFormat="1" ht="12" customHeight="1" x14ac:dyDescent="0.25">
      <c r="A51" s="12" t="s">
        <v>81</v>
      </c>
      <c r="B51" s="7" t="s">
        <v>82</v>
      </c>
      <c r="C51" s="14">
        <v>4348</v>
      </c>
      <c r="D51" s="7" t="s">
        <v>51</v>
      </c>
      <c r="E51" s="34" t="s">
        <v>60</v>
      </c>
      <c r="F51" s="34" t="s">
        <v>53</v>
      </c>
      <c r="G51" s="15">
        <v>920.66500000000008</v>
      </c>
      <c r="H51" s="15">
        <v>921.86437902483908</v>
      </c>
      <c r="I51" s="16">
        <f t="shared" si="1"/>
        <v>4003051.4200000004</v>
      </c>
      <c r="J51" s="16">
        <f t="shared" si="2"/>
        <v>4008266.3200000003</v>
      </c>
      <c r="K51" s="18">
        <v>0.158499</v>
      </c>
      <c r="L51" s="17">
        <v>1738.3</v>
      </c>
      <c r="M51" s="17">
        <v>4004789.72</v>
      </c>
      <c r="N51" s="35"/>
    </row>
    <row r="52" spans="1:15" s="36" customFormat="1" ht="12" customHeight="1" x14ac:dyDescent="0.25">
      <c r="A52" s="12" t="s">
        <v>49</v>
      </c>
      <c r="B52" s="7" t="s">
        <v>50</v>
      </c>
      <c r="C52" s="14">
        <v>1019466</v>
      </c>
      <c r="D52" s="7" t="s">
        <v>51</v>
      </c>
      <c r="E52" s="34" t="s">
        <v>60</v>
      </c>
      <c r="F52" s="34" t="s">
        <v>53</v>
      </c>
      <c r="G52" s="15">
        <v>556.40779999529207</v>
      </c>
      <c r="H52" s="15">
        <v>557.13264996576606</v>
      </c>
      <c r="I52" s="16">
        <f t="shared" si="1"/>
        <v>567238834.23000038</v>
      </c>
      <c r="J52" s="16">
        <f t="shared" si="2"/>
        <v>567977794.12999964</v>
      </c>
      <c r="K52" s="18">
        <v>0.158499</v>
      </c>
      <c r="L52" s="17">
        <v>246319.96666666662</v>
      </c>
      <c r="M52" s="17">
        <v>567485154.19666696</v>
      </c>
      <c r="N52" s="35"/>
    </row>
    <row r="53" spans="1:15" s="36" customFormat="1" ht="12" customHeight="1" x14ac:dyDescent="0.25">
      <c r="A53" s="12" t="s">
        <v>65</v>
      </c>
      <c r="B53" s="7" t="s">
        <v>66</v>
      </c>
      <c r="C53" s="14">
        <v>18504</v>
      </c>
      <c r="D53" s="7" t="s">
        <v>51</v>
      </c>
      <c r="E53" s="34" t="s">
        <v>60</v>
      </c>
      <c r="F53" s="34" t="s">
        <v>53</v>
      </c>
      <c r="G53" s="15">
        <v>648.51549989191506</v>
      </c>
      <c r="H53" s="15">
        <v>649.36034154777303</v>
      </c>
      <c r="I53" s="16">
        <f t="shared" si="1"/>
        <v>12000130.809999997</v>
      </c>
      <c r="J53" s="16">
        <f t="shared" si="2"/>
        <v>12015763.759999992</v>
      </c>
      <c r="K53" s="18">
        <v>0.158499</v>
      </c>
      <c r="L53" s="17">
        <v>5210.9833333333336</v>
      </c>
      <c r="M53" s="17">
        <v>12005341.793333329</v>
      </c>
      <c r="N53" s="35"/>
    </row>
    <row r="54" spans="1:15" s="36" customFormat="1" ht="12" customHeight="1" x14ac:dyDescent="0.25">
      <c r="A54" s="12" t="s">
        <v>83</v>
      </c>
      <c r="B54" s="7" t="s">
        <v>84</v>
      </c>
      <c r="C54" s="14">
        <v>159060</v>
      </c>
      <c r="D54" s="7" t="s">
        <v>51</v>
      </c>
      <c r="E54" s="34" t="s">
        <v>60</v>
      </c>
      <c r="F54" s="34" t="s">
        <v>53</v>
      </c>
      <c r="G54" s="15">
        <v>830.423</v>
      </c>
      <c r="H54" s="15">
        <v>831.504818181818</v>
      </c>
      <c r="I54" s="16">
        <f t="shared" si="1"/>
        <v>132087082.38</v>
      </c>
      <c r="J54" s="16">
        <f t="shared" si="2"/>
        <v>132259156.37999997</v>
      </c>
      <c r="K54" s="18">
        <v>0.158499</v>
      </c>
      <c r="L54" s="17">
        <v>57358</v>
      </c>
      <c r="M54" s="17">
        <v>132144440.38</v>
      </c>
      <c r="N54" s="35"/>
    </row>
    <row r="55" spans="1:15" s="36" customFormat="1" ht="12" customHeight="1" x14ac:dyDescent="0.25">
      <c r="A55" s="12" t="s">
        <v>65</v>
      </c>
      <c r="B55" s="7" t="s">
        <v>66</v>
      </c>
      <c r="C55" s="14">
        <v>198918</v>
      </c>
      <c r="D55" s="7" t="s">
        <v>51</v>
      </c>
      <c r="E55" s="34" t="s">
        <v>60</v>
      </c>
      <c r="F55" s="34" t="s">
        <v>53</v>
      </c>
      <c r="G55" s="15">
        <v>648.51550000502698</v>
      </c>
      <c r="H55" s="15">
        <v>649.36034159804501</v>
      </c>
      <c r="I55" s="16">
        <f t="shared" si="1"/>
        <v>129001406.22999996</v>
      </c>
      <c r="J55" s="16">
        <f t="shared" si="2"/>
        <v>129169460.42999992</v>
      </c>
      <c r="K55" s="18">
        <v>0.158499</v>
      </c>
      <c r="L55" s="17">
        <v>56018.066666666702</v>
      </c>
      <c r="M55" s="17">
        <v>129057424.29666699</v>
      </c>
      <c r="N55" s="35"/>
    </row>
    <row r="56" spans="1:15" s="36" customFormat="1" ht="12" customHeight="1" x14ac:dyDescent="0.25">
      <c r="A56" s="12" t="s">
        <v>85</v>
      </c>
      <c r="B56" s="7" t="s">
        <v>86</v>
      </c>
      <c r="C56" s="14">
        <v>207636</v>
      </c>
      <c r="D56" s="7" t="s">
        <v>51</v>
      </c>
      <c r="E56" s="34" t="s">
        <v>60</v>
      </c>
      <c r="F56" s="34" t="s">
        <v>53</v>
      </c>
      <c r="G56" s="15">
        <v>751.34</v>
      </c>
      <c r="H56" s="15">
        <v>752.31879428422803</v>
      </c>
      <c r="I56" s="16">
        <f t="shared" si="1"/>
        <v>156005232.24000001</v>
      </c>
      <c r="J56" s="16">
        <f t="shared" si="2"/>
        <v>156208465.16999996</v>
      </c>
      <c r="K56" s="18">
        <v>0.158499</v>
      </c>
      <c r="L56" s="17">
        <v>67744.31</v>
      </c>
      <c r="M56" s="17">
        <v>156072976.55000001</v>
      </c>
      <c r="N56" s="35"/>
    </row>
    <row r="57" spans="1:15" s="36" customFormat="1" ht="12" customHeight="1" x14ac:dyDescent="0.25">
      <c r="A57" s="12" t="s">
        <v>87</v>
      </c>
      <c r="B57" s="7" t="s">
        <v>88</v>
      </c>
      <c r="C57" s="14">
        <v>100500</v>
      </c>
      <c r="D57" s="7" t="s">
        <v>51</v>
      </c>
      <c r="E57" s="34" t="s">
        <v>60</v>
      </c>
      <c r="F57" s="34" t="s">
        <v>53</v>
      </c>
      <c r="G57" s="15">
        <v>99.510500000000008</v>
      </c>
      <c r="H57" s="15">
        <v>99.639727363184065</v>
      </c>
      <c r="I57" s="16">
        <f t="shared" si="1"/>
        <v>10000805.25</v>
      </c>
      <c r="J57" s="16">
        <f t="shared" si="2"/>
        <v>10013792.599999998</v>
      </c>
      <c r="K57" s="18">
        <v>0.158</v>
      </c>
      <c r="L57" s="17">
        <v>4329.1166666666659</v>
      </c>
      <c r="M57" s="17">
        <v>10005134.36666666</v>
      </c>
      <c r="N57" s="35"/>
    </row>
    <row r="58" spans="1:15" s="36" customFormat="1" ht="11.25" hidden="1" x14ac:dyDescent="0.25">
      <c r="A58" s="7"/>
      <c r="B58" s="7"/>
      <c r="C58" s="7"/>
      <c r="D58" s="7"/>
      <c r="E58" s="37"/>
      <c r="F58" s="37"/>
      <c r="G58" s="7"/>
      <c r="H58" s="7"/>
      <c r="I58" s="8"/>
      <c r="J58" s="8"/>
      <c r="K58" s="7"/>
      <c r="L58" s="9"/>
      <c r="M58" s="9"/>
      <c r="N58" s="35"/>
    </row>
    <row r="59" spans="1:15" x14ac:dyDescent="0.25">
      <c r="A59" s="1" t="s">
        <v>5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2">
        <f>SUM(M32:M58)</f>
        <v>3229725137.4071431</v>
      </c>
      <c r="N59" s="38">
        <v>3229725137.4071426</v>
      </c>
      <c r="O59" s="29">
        <f>M59-N59</f>
        <v>0</v>
      </c>
    </row>
    <row r="61" spans="1:15" x14ac:dyDescent="0.25">
      <c r="A61" s="39" t="s">
        <v>28</v>
      </c>
      <c r="B61" s="33"/>
      <c r="D61" s="33"/>
      <c r="F61" s="28"/>
      <c r="G61" s="28"/>
    </row>
    <row r="62" spans="1:15" ht="22.5" x14ac:dyDescent="0.25">
      <c r="A62" s="19" t="s">
        <v>6</v>
      </c>
      <c r="B62" s="19" t="s">
        <v>29</v>
      </c>
      <c r="C62" s="19" t="s">
        <v>17</v>
      </c>
      <c r="D62" s="19" t="s">
        <v>30</v>
      </c>
      <c r="E62" s="19" t="s">
        <v>16</v>
      </c>
      <c r="F62" s="19" t="s">
        <v>31</v>
      </c>
      <c r="G62" s="19" t="s">
        <v>32</v>
      </c>
    </row>
    <row r="63" spans="1:15" hidden="1" x14ac:dyDescent="0.25">
      <c r="B63" s="41"/>
      <c r="C63" s="42"/>
      <c r="D63" s="43"/>
      <c r="G63" s="44"/>
      <c r="H63" s="33"/>
    </row>
    <row r="64" spans="1:15" x14ac:dyDescent="0.25">
      <c r="G64" s="45">
        <f>SUM(G63:G63)</f>
        <v>0</v>
      </c>
    </row>
    <row r="66" spans="1:4" x14ac:dyDescent="0.25">
      <c r="A66" s="46" t="s">
        <v>13</v>
      </c>
      <c r="B66" s="47">
        <f>+L24+B27+M59+G64</f>
        <v>32538549176.077206</v>
      </c>
      <c r="C66" s="32">
        <v>32538549176.077229</v>
      </c>
      <c r="D66" s="29">
        <f>B66-C66</f>
        <v>0</v>
      </c>
    </row>
    <row r="67" spans="1:4" x14ac:dyDescent="0.25">
      <c r="D67" s="26" t="s">
        <v>144</v>
      </c>
    </row>
    <row r="69" spans="1:4" x14ac:dyDescent="0.25">
      <c r="A69" s="24" t="s">
        <v>46</v>
      </c>
      <c r="B69" s="33"/>
    </row>
    <row r="70" spans="1:4" x14ac:dyDescent="0.25">
      <c r="A70" s="48" t="s">
        <v>35</v>
      </c>
      <c r="B70" s="49"/>
    </row>
    <row r="71" spans="1:4" x14ac:dyDescent="0.25">
      <c r="A71" s="48" t="s">
        <v>36</v>
      </c>
      <c r="B71" s="40"/>
    </row>
    <row r="72" spans="1:4" x14ac:dyDescent="0.25">
      <c r="A72" s="48" t="s">
        <v>37</v>
      </c>
      <c r="B72" s="40">
        <v>91471.360000000001</v>
      </c>
    </row>
    <row r="73" spans="1:4" x14ac:dyDescent="0.25">
      <c r="A73" s="48" t="s">
        <v>38</v>
      </c>
      <c r="B73" s="40"/>
    </row>
    <row r="74" spans="1:4" x14ac:dyDescent="0.25">
      <c r="A74" s="48" t="s">
        <v>39</v>
      </c>
      <c r="B74" s="49"/>
    </row>
    <row r="75" spans="1:4" x14ac:dyDescent="0.25">
      <c r="A75" s="48" t="s">
        <v>40</v>
      </c>
      <c r="B75" s="50">
        <v>13567.41</v>
      </c>
    </row>
    <row r="76" spans="1:4" x14ac:dyDescent="0.25">
      <c r="A76" s="48" t="s">
        <v>41</v>
      </c>
      <c r="B76" s="50">
        <v>6471.0300000000007</v>
      </c>
    </row>
    <row r="77" spans="1:4" x14ac:dyDescent="0.25">
      <c r="A77" s="48" t="s">
        <v>42</v>
      </c>
      <c r="B77" s="40"/>
    </row>
    <row r="78" spans="1:4" x14ac:dyDescent="0.25">
      <c r="A78" s="48" t="s">
        <v>43</v>
      </c>
      <c r="B78" s="40"/>
    </row>
    <row r="79" spans="1:4" x14ac:dyDescent="0.25">
      <c r="A79" s="48" t="s">
        <v>44</v>
      </c>
      <c r="B79" s="50"/>
    </row>
    <row r="80" spans="1:4" x14ac:dyDescent="0.25">
      <c r="A80" s="48" t="s">
        <v>45</v>
      </c>
      <c r="B80" s="49">
        <f>SUM(B70:B79)</f>
        <v>111509.8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2025-10-06T06:00:50Z</dcterms:created>
  <dcterms:modified xsi:type="dcterms:W3CDTF">2025-10-06T10:09:35Z</dcterms:modified>
</cp:coreProperties>
</file>