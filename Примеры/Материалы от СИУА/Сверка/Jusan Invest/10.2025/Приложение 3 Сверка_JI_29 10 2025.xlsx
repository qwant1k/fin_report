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794B384F-A9E8-49E3-ABAC-6F39B7253D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5" i="1"/>
  <c r="D27" i="1"/>
  <c r="B62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2" i="1"/>
  <c r="M6" i="1"/>
  <c r="M13" i="1" l="1"/>
  <c r="M9" i="1"/>
  <c r="M21" i="1"/>
  <c r="M4" i="1"/>
  <c r="M10" i="1"/>
  <c r="M16" i="1"/>
  <c r="M22" i="1"/>
  <c r="M19" i="1"/>
  <c r="M15" i="1"/>
  <c r="M5" i="1"/>
  <c r="M11" i="1"/>
  <c r="M17" i="1"/>
  <c r="M18" i="1"/>
  <c r="M7" i="1"/>
  <c r="B48" i="1"/>
  <c r="M8" i="1"/>
  <c r="M14" i="1"/>
</calcChain>
</file>

<file path=xl/sharedStrings.xml><?xml version="1.0" encoding="utf-8"?>
<sst xmlns="http://schemas.openxmlformats.org/spreadsheetml/2006/main" count="170" uniqueCount="120">
  <si>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</si>
  <si>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</si>
  <si>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</si>
  <si>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</si>
  <si>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</si>
  <si>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</si>
  <si>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</si>
  <si>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</si>
  <si>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</si>
  <si>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</si>
  <si>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</si>
  <si>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</si>
  <si>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</si>
  <si>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</si>
  <si>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</si>
  <si>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</si>
  <si>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</si>
  <si>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</si>
  <si>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</si>
  <si>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</si>
  <si>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</si>
  <si>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</si>
  <si>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</si>
  <si>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</si>
  <si>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</si>
  <si>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</si>
  <si>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</si>
  <si>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</si>
  <si>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</si>
  <si>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</si>
  <si>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</si>
  <si>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</si>
  <si>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</si>
  <si>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</si>
  <si>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</si>
  <si>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</si>
  <si>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</si>
  <si>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</si>
  <si>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</si>
  <si>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</si>
  <si>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</si>
  <si>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</si>
  <si>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</si>
  <si>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</si>
  <si>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</si>
  <si>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</si>
  <si>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</si>
  <si>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</si>
  <si>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</si>
  <si>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MUM180_0004</t>
  </si>
  <si>
    <t>KZKD00000444</t>
  </si>
  <si>
    <t>KZT</t>
  </si>
  <si>
    <t>28.10.2025</t>
  </si>
  <si>
    <t>29.10.2025</t>
  </si>
  <si>
    <t>АКЦИОНЕРНОЕ ОБЩЕСТВО КАЗАХСТАНСКИЙ ФОНД УСТОЙЧИВОСТИ, ОБЛИГАЦИИ, KFUSb10</t>
  </si>
  <si>
    <t>KZ2C00007326</t>
  </si>
  <si>
    <t>30.10.2025</t>
  </si>
  <si>
    <t>АКЦИОНЕРНОЕ ОБЩЕСТВО КАЗАХСТАНСКИЙ ФОНД УСТОЙЧИВОСТИ, ОБЛИГАЦИИ, KFUSb9</t>
  </si>
  <si>
    <t>KZ2C00007318</t>
  </si>
  <si>
    <t>05.11.2025</t>
  </si>
  <si>
    <t>МИНИСТЕРСТВО ФИНАНСОВ РК, ГЦБ, MUM084_0018</t>
  </si>
  <si>
    <t>KZKD00001137</t>
  </si>
  <si>
    <t>МИНИСТЕРСТВО ФИНАНСОВ РК, ГЦБ, MUM240_0001</t>
  </si>
  <si>
    <t>KZKD00000550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</si>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</sst>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0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64</v>
      </c>
      <c r="B4" s="13" t="s">
        <v>65</v>
      </c>
      <c r="C4" s="10">
        <v>3020000</v>
      </c>
      <c r="D4" s="11">
        <v>3020000000</v>
      </c>
      <c r="E4" s="3">
        <v>0.1067</v>
      </c>
      <c r="F4" s="4" t="s">
        <v>66</v>
      </c>
      <c r="G4" s="4" t="s">
        <v>67</v>
      </c>
      <c r="H4" s="11">
        <v>2930617060.0000029</v>
      </c>
      <c r="I4" s="11">
        <v>98.657800000000009</v>
      </c>
      <c r="J4" s="11">
        <v>101.562411111111</v>
      </c>
      <c r="K4" s="11">
        <v>87719255.555555552</v>
      </c>
      <c r="L4" s="11">
        <v>3067184815.5555549</v>
      </c>
      <c r="M4" s="6">
        <f t="shared" ref="M4:M22" si="0">L4/$L$24</f>
        <v>0.10392327261467621</v>
      </c>
    </row>
    <row r="5" spans="1:13" x14ac:dyDescent="0.25">
      <c r="A5" s="1" t="s">
        <v>68</v>
      </c>
      <c r="B5" s="13" t="s">
        <v>69</v>
      </c>
      <c r="C5" s="10">
        <v>2265000</v>
      </c>
      <c r="D5" s="11">
        <v>2265000000</v>
      </c>
      <c r="E5" s="3">
        <v>0.10550000000000001</v>
      </c>
      <c r="F5" s="4" t="s">
        <v>66</v>
      </c>
      <c r="G5" s="4" t="s">
        <v>70</v>
      </c>
      <c r="H5" s="11">
        <v>2039188560.0000031</v>
      </c>
      <c r="I5" s="11">
        <v>82.744799999999998</v>
      </c>
      <c r="J5" s="11">
        <v>85.411605555555539</v>
      </c>
      <c r="K5" s="11">
        <v>60403145.833333328</v>
      </c>
      <c r="L5" s="11">
        <v>1934572865.833333</v>
      </c>
      <c r="M5" s="6">
        <f t="shared" si="0"/>
        <v>6.5547776028793844E-2</v>
      </c>
    </row>
    <row r="6" spans="1:13" x14ac:dyDescent="0.25">
      <c r="A6" s="1" t="s">
        <v>68</v>
      </c>
      <c r="B6" s="13" t="s">
        <v>69</v>
      </c>
      <c r="C6" s="10">
        <v>1551646</v>
      </c>
      <c r="D6" s="11">
        <v>1551646000</v>
      </c>
      <c r="E6" s="3">
        <v>0.10550000000000001</v>
      </c>
      <c r="F6" s="4" t="s">
        <v>71</v>
      </c>
      <c r="G6" s="4" t="s">
        <v>70</v>
      </c>
      <c r="H6" s="11">
        <v>1395452658.7</v>
      </c>
      <c r="I6" s="11">
        <v>82.744799999999998</v>
      </c>
      <c r="J6" s="11">
        <v>85.411605555555809</v>
      </c>
      <c r="K6" s="11">
        <v>41379381.730555549</v>
      </c>
      <c r="L6" s="11">
        <v>1325285761.1385591</v>
      </c>
      <c r="M6" s="6">
        <f t="shared" si="0"/>
        <v>4.490372824899521E-2</v>
      </c>
    </row>
    <row r="7" spans="1:13" x14ac:dyDescent="0.25">
      <c r="A7" s="1" t="s">
        <v>68</v>
      </c>
      <c r="B7" s="13" t="s">
        <v>69</v>
      </c>
      <c r="C7" s="10">
        <v>545692</v>
      </c>
      <c r="D7" s="11">
        <v>545692000</v>
      </c>
      <c r="E7" s="3">
        <v>0.10550000000000001</v>
      </c>
      <c r="F7" s="4" t="s">
        <v>72</v>
      </c>
      <c r="G7" s="4" t="s">
        <v>70</v>
      </c>
      <c r="H7" s="11">
        <v>449784993.92000002</v>
      </c>
      <c r="I7" s="11">
        <v>82.744799999999998</v>
      </c>
      <c r="J7" s="11">
        <v>85.411605555555539</v>
      </c>
      <c r="K7" s="11">
        <v>14552544.57222222</v>
      </c>
      <c r="L7" s="11">
        <v>466084298.58822203</v>
      </c>
      <c r="M7" s="6">
        <f t="shared" si="0"/>
        <v>1.5792007504063826E-2</v>
      </c>
    </row>
    <row r="8" spans="1:13" x14ac:dyDescent="0.25">
      <c r="A8" s="1" t="s">
        <v>60</v>
      </c>
      <c r="B8" s="13" t="s">
        <v>61</v>
      </c>
      <c r="C8" s="10">
        <v>2265000</v>
      </c>
      <c r="D8" s="11">
        <v>2265000000</v>
      </c>
      <c r="E8" s="3">
        <v>0.10400000000000001</v>
      </c>
      <c r="F8" s="4" t="s">
        <v>66</v>
      </c>
      <c r="G8" s="4" t="s">
        <v>73</v>
      </c>
      <c r="H8" s="11">
        <v>2073109200</v>
      </c>
      <c r="I8" s="11">
        <v>87.091300000000004</v>
      </c>
      <c r="J8" s="11">
        <v>92.782411111111102</v>
      </c>
      <c r="K8" s="11">
        <v>128903666.666667</v>
      </c>
      <c r="L8" s="11">
        <v>2101521611.666666</v>
      </c>
      <c r="M8" s="6">
        <f t="shared" si="0"/>
        <v>7.1204383331335289E-2</v>
      </c>
    </row>
    <row r="9" spans="1:13" x14ac:dyDescent="0.25">
      <c r="A9" s="1" t="s">
        <v>74</v>
      </c>
      <c r="B9" s="13" t="s">
        <v>75</v>
      </c>
      <c r="C9" s="10">
        <v>2265000</v>
      </c>
      <c r="D9" s="11">
        <v>2265000000</v>
      </c>
      <c r="E9" s="3">
        <v>0.11</v>
      </c>
      <c r="F9" s="4" t="s">
        <v>66</v>
      </c>
      <c r="G9" s="4" t="s">
        <v>76</v>
      </c>
      <c r="H9" s="11">
        <v>2080889475</v>
      </c>
      <c r="I9" s="11">
        <v>84.853500000000011</v>
      </c>
      <c r="J9" s="11">
        <v>91.239611111111103</v>
      </c>
      <c r="K9" s="11">
        <v>144645416.66666701</v>
      </c>
      <c r="L9" s="11">
        <v>2066577191.666666</v>
      </c>
      <c r="M9" s="6">
        <f t="shared" si="0"/>
        <v>7.0020386049005248E-2</v>
      </c>
    </row>
    <row r="10" spans="1:13" x14ac:dyDescent="0.25">
      <c r="A10" s="1" t="s">
        <v>77</v>
      </c>
      <c r="B10" s="13" t="s">
        <v>78</v>
      </c>
      <c r="C10" s="10">
        <v>2265000</v>
      </c>
      <c r="D10" s="11">
        <v>2265000000</v>
      </c>
      <c r="E10" s="3">
        <v>0.10300000000000001</v>
      </c>
      <c r="F10" s="4" t="s">
        <v>66</v>
      </c>
      <c r="G10" s="4" t="s">
        <v>79</v>
      </c>
      <c r="H10" s="11">
        <v>1963990560.0000031</v>
      </c>
      <c r="I10" s="11">
        <v>77.210000000000008</v>
      </c>
      <c r="J10" s="11">
        <v>83.561666666666653</v>
      </c>
      <c r="K10" s="11">
        <v>143865250</v>
      </c>
      <c r="L10" s="11">
        <v>1892671750</v>
      </c>
      <c r="M10" s="6">
        <f t="shared" si="0"/>
        <v>6.4128069899080931E-2</v>
      </c>
    </row>
    <row r="11" spans="1:13" x14ac:dyDescent="0.25">
      <c r="A11" s="1" t="s">
        <v>80</v>
      </c>
      <c r="B11" s="13" t="s">
        <v>81</v>
      </c>
      <c r="C11" s="10">
        <v>2265000</v>
      </c>
      <c r="D11" s="11">
        <v>2265000000</v>
      </c>
      <c r="E11" s="3">
        <v>8.4500000000000006E-2</v>
      </c>
      <c r="F11" s="4" t="s">
        <v>66</v>
      </c>
      <c r="G11" s="4" t="s">
        <v>82</v>
      </c>
      <c r="H11" s="11">
        <v>1740247065.0000031</v>
      </c>
      <c r="I11" s="11">
        <v>67.698900000000009</v>
      </c>
      <c r="J11" s="11">
        <v>72.22903888888888</v>
      </c>
      <c r="K11" s="11">
        <v>102607645.833333</v>
      </c>
      <c r="L11" s="11">
        <v>1635987730.833333</v>
      </c>
      <c r="M11" s="6">
        <f t="shared" si="0"/>
        <v>5.5431025246146771E-2</v>
      </c>
    </row>
    <row r="12" spans="1:13" x14ac:dyDescent="0.25">
      <c r="A12" s="1" t="s">
        <v>83</v>
      </c>
      <c r="B12" s="13" t="s">
        <v>84</v>
      </c>
      <c r="C12" s="10">
        <v>2265000</v>
      </c>
      <c r="D12" s="11">
        <v>2265000000</v>
      </c>
      <c r="E12" s="3">
        <v>0.10650000000000001</v>
      </c>
      <c r="F12" s="4" t="s">
        <v>66</v>
      </c>
      <c r="G12" s="4" t="s">
        <v>85</v>
      </c>
      <c r="H12" s="11">
        <v>1967775375</v>
      </c>
      <c r="I12" s="11">
        <v>75.389400000000009</v>
      </c>
      <c r="J12" s="11">
        <v>78.140649999999994</v>
      </c>
      <c r="K12" s="11">
        <v>62315812.5</v>
      </c>
      <c r="L12" s="11">
        <v>1769885722.5</v>
      </c>
      <c r="M12" s="6">
        <f t="shared" si="0"/>
        <v>5.9967797018085869E-2</v>
      </c>
    </row>
    <row r="13" spans="1:13" x14ac:dyDescent="0.25">
      <c r="A13" s="1" t="s">
        <v>86</v>
      </c>
      <c r="B13" s="13" t="s">
        <v>87</v>
      </c>
      <c r="C13" s="10">
        <v>2265000</v>
      </c>
      <c r="D13" s="11">
        <v>2265000000</v>
      </c>
      <c r="E13" s="3">
        <v>8.0700000000000008E-2</v>
      </c>
      <c r="F13" s="4" t="s">
        <v>66</v>
      </c>
      <c r="G13" s="4" t="s">
        <v>88</v>
      </c>
      <c r="H13" s="11">
        <v>1622351550</v>
      </c>
      <c r="I13" s="11">
        <v>61.0989</v>
      </c>
      <c r="J13" s="11">
        <v>64.842483333333334</v>
      </c>
      <c r="K13" s="11">
        <v>84792162.5</v>
      </c>
      <c r="L13" s="11">
        <v>1468682247.5</v>
      </c>
      <c r="M13" s="6">
        <f t="shared" si="0"/>
        <v>4.9762330857011677E-2</v>
      </c>
    </row>
    <row r="14" spans="1:13" x14ac:dyDescent="0.25">
      <c r="A14" s="1" t="s">
        <v>89</v>
      </c>
      <c r="B14" s="13" t="s">
        <v>90</v>
      </c>
      <c r="C14" s="10">
        <v>2265000</v>
      </c>
      <c r="D14" s="11">
        <v>2265000000</v>
      </c>
      <c r="E14" s="3">
        <v>8.0700000000000008E-2</v>
      </c>
      <c r="F14" s="4" t="s">
        <v>66</v>
      </c>
      <c r="G14" s="4" t="s">
        <v>91</v>
      </c>
      <c r="H14" s="11">
        <v>1597764975</v>
      </c>
      <c r="I14" s="11">
        <v>59.663700000000006</v>
      </c>
      <c r="J14" s="11">
        <v>65.716200000000001</v>
      </c>
      <c r="K14" s="11">
        <v>137089125</v>
      </c>
      <c r="L14" s="11">
        <v>1488471930</v>
      </c>
      <c r="M14" s="6">
        <f t="shared" si="0"/>
        <v>5.0432850794048099E-2</v>
      </c>
    </row>
    <row r="15" spans="1:13" x14ac:dyDescent="0.25">
      <c r="A15" s="1" t="s">
        <v>92</v>
      </c>
      <c r="B15" s="13" t="s">
        <v>93</v>
      </c>
      <c r="C15" s="10">
        <v>3775000</v>
      </c>
      <c r="D15" s="11">
        <v>3775000000</v>
      </c>
      <c r="E15" s="3">
        <v>5.4900000000000004E-2</v>
      </c>
      <c r="F15" s="4" t="s">
        <v>66</v>
      </c>
      <c r="G15" s="4" t="s">
        <v>94</v>
      </c>
      <c r="H15" s="11">
        <v>3136670150</v>
      </c>
      <c r="I15" s="11">
        <v>86.262700000000009</v>
      </c>
      <c r="J15" s="11">
        <v>89.495699999999999</v>
      </c>
      <c r="K15" s="11">
        <v>122045750</v>
      </c>
      <c r="L15" s="11">
        <v>3378462675</v>
      </c>
      <c r="M15" s="6">
        <f t="shared" si="0"/>
        <v>0.11447008208044314</v>
      </c>
    </row>
    <row r="16" spans="1:13" x14ac:dyDescent="0.25">
      <c r="A16" s="1" t="s">
        <v>62</v>
      </c>
      <c r="B16" s="13" t="s">
        <v>63</v>
      </c>
      <c r="C16" s="10">
        <v>2803860</v>
      </c>
      <c r="D16" s="11">
        <v>2803860000</v>
      </c>
      <c r="E16" s="3">
        <v>5.5E-2</v>
      </c>
      <c r="F16" s="4" t="s">
        <v>95</v>
      </c>
      <c r="G16" s="4" t="s">
        <v>96</v>
      </c>
      <c r="H16" s="11">
        <v>1773018067.1400001</v>
      </c>
      <c r="I16" s="11">
        <v>56.636400000000002</v>
      </c>
      <c r="J16" s="11">
        <v>59.46278888888888</v>
      </c>
      <c r="K16" s="11">
        <v>79247987.5</v>
      </c>
      <c r="L16" s="11">
        <v>1667253352.54</v>
      </c>
      <c r="M16" s="6">
        <f t="shared" si="0"/>
        <v>5.6490376385214258E-2</v>
      </c>
    </row>
    <row r="17" spans="1:15" x14ac:dyDescent="0.25">
      <c r="A17" s="1" t="s">
        <v>97</v>
      </c>
      <c r="B17" s="13" t="s">
        <v>98</v>
      </c>
      <c r="C17" s="10">
        <v>1038480</v>
      </c>
      <c r="D17" s="11">
        <v>1038480000</v>
      </c>
      <c r="E17" s="3">
        <v>0.12</v>
      </c>
      <c r="F17" s="4" t="s">
        <v>95</v>
      </c>
      <c r="G17" s="4" t="s">
        <v>99</v>
      </c>
      <c r="H17" s="11">
        <v>979029096.96000004</v>
      </c>
      <c r="I17" s="11">
        <v>85.017800000000008</v>
      </c>
      <c r="J17" s="11">
        <v>92.751133333333328</v>
      </c>
      <c r="K17" s="11">
        <v>80309120</v>
      </c>
      <c r="L17" s="11">
        <v>963201969.44000006</v>
      </c>
      <c r="M17" s="6">
        <f t="shared" si="0"/>
        <v>3.2635497002150925E-2</v>
      </c>
    </row>
    <row r="18" spans="1:15" x14ac:dyDescent="0.25">
      <c r="A18" s="1" t="s">
        <v>100</v>
      </c>
      <c r="B18" s="13" t="s">
        <v>101</v>
      </c>
      <c r="C18" s="10">
        <v>506989</v>
      </c>
      <c r="D18" s="11">
        <v>506989000</v>
      </c>
      <c r="E18" s="3">
        <v>0.1535</v>
      </c>
      <c r="F18" s="4" t="s">
        <v>102</v>
      </c>
      <c r="G18" s="4" t="s">
        <v>103</v>
      </c>
      <c r="H18" s="11">
        <v>492216861.50999999</v>
      </c>
      <c r="I18" s="11">
        <v>98.004900000000006</v>
      </c>
      <c r="J18" s="11">
        <v>104.869761111111</v>
      </c>
      <c r="K18" s="11">
        <v>34804090.69861111</v>
      </c>
      <c r="L18" s="11">
        <v>531678153.15961099</v>
      </c>
      <c r="M18" s="6">
        <f t="shared" si="0"/>
        <v>1.8014478088783113E-2</v>
      </c>
    </row>
    <row r="19" spans="1:15" x14ac:dyDescent="0.25">
      <c r="A19" s="1" t="s">
        <v>104</v>
      </c>
      <c r="B19" s="13" t="s">
        <v>105</v>
      </c>
      <c r="C19" s="10">
        <v>2100000</v>
      </c>
      <c r="D19" s="11">
        <v>2100000000</v>
      </c>
      <c r="E19" s="3">
        <v>0.14300000000000002</v>
      </c>
      <c r="F19" s="4" t="s">
        <v>106</v>
      </c>
      <c r="G19" s="4" t="s">
        <v>107</v>
      </c>
      <c r="H19" s="11">
        <v>2100000000</v>
      </c>
      <c r="I19" s="11">
        <v>94.351341142982292</v>
      </c>
      <c r="J19" s="11">
        <v>96.575785587426736</v>
      </c>
      <c r="K19" s="11">
        <v>46713333.333333328</v>
      </c>
      <c r="L19" s="11">
        <v>2028091497.3359611</v>
      </c>
      <c r="M19" s="6">
        <f t="shared" si="0"/>
        <v>6.8716402251416411E-2</v>
      </c>
    </row>
    <row r="20" spans="1:15" x14ac:dyDescent="0.25">
      <c r="A20" s="1" t="s">
        <v>108</v>
      </c>
      <c r="B20" s="13" t="s">
        <v>109</v>
      </c>
      <c r="C20" s="10">
        <v>1000000</v>
      </c>
      <c r="D20" s="11">
        <v>1000000000</v>
      </c>
      <c r="E20" s="3">
        <v>0.1389</v>
      </c>
      <c r="F20" s="4" t="s">
        <v>110</v>
      </c>
      <c r="G20" s="4" t="s">
        <v>111</v>
      </c>
      <c r="H20" s="11">
        <v>1000000000</v>
      </c>
      <c r="I20" s="11">
        <v>98.114089696838391</v>
      </c>
      <c r="J20" s="11">
        <v>103.94017303017201</v>
      </c>
      <c r="K20" s="11">
        <v>58260833.333333328</v>
      </c>
      <c r="L20" s="11">
        <v>1039401730.301717</v>
      </c>
      <c r="M20" s="6">
        <f t="shared" si="0"/>
        <v>3.5217320073601871E-2</v>
      </c>
    </row>
    <row r="21" spans="1:15" x14ac:dyDescent="0.25">
      <c r="A21" s="1" t="s">
        <v>112</v>
      </c>
      <c r="B21" s="13" t="s">
        <v>113</v>
      </c>
      <c r="C21" s="10">
        <v>165739</v>
      </c>
      <c r="D21" s="11">
        <v>165739000</v>
      </c>
      <c r="E21" s="3">
        <v>0.125</v>
      </c>
      <c r="F21" s="4" t="s">
        <v>114</v>
      </c>
      <c r="G21" s="4" t="s">
        <v>115</v>
      </c>
      <c r="H21" s="11">
        <v>159596381.18279999</v>
      </c>
      <c r="I21" s="11">
        <v>96.343135795196801</v>
      </c>
      <c r="J21" s="11">
        <v>101.100080239628</v>
      </c>
      <c r="K21" s="11">
        <v>7884112.1527555604</v>
      </c>
      <c r="L21" s="11">
        <v>167562261.98835701</v>
      </c>
      <c r="M21" s="6">
        <f t="shared" si="0"/>
        <v>5.6773946402684308E-3</v>
      </c>
    </row>
    <row r="22" spans="1:15" x14ac:dyDescent="0.25">
      <c r="A22" s="1" t="s">
        <v>116</v>
      </c>
      <c r="B22" s="13" t="s">
        <v>117</v>
      </c>
      <c r="C22" s="10">
        <v>494987</v>
      </c>
      <c r="D22" s="11">
        <v>494987000</v>
      </c>
      <c r="E22" s="3">
        <v>0.1701</v>
      </c>
      <c r="F22" s="4" t="s">
        <v>118</v>
      </c>
      <c r="G22" s="4" t="s">
        <v>119</v>
      </c>
      <c r="H22" s="11">
        <v>495088472.34249997</v>
      </c>
      <c r="I22" s="11">
        <v>101.45320000000001</v>
      </c>
      <c r="J22" s="11">
        <v>105.32770000000001</v>
      </c>
      <c r="K22" s="11">
        <v>19178271.315000001</v>
      </c>
      <c r="L22" s="11">
        <v>521358422.39899999</v>
      </c>
      <c r="M22" s="6">
        <f t="shared" si="0"/>
        <v>1.7664821886879029E-2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1456716905.1913667</v>
      </c>
      <c r="L24" s="22">
        <f>SUM(L4:L23)</f>
        <v>29513935987.446976</v>
      </c>
      <c r="M24" s="23"/>
      <c r="O24" s="29"/>
    </row>
    <row r="25" spans="1:15" x14ac:dyDescent="0.25">
      <c r="N25" s="26">
        <v>29513935987.446999</v>
      </c>
      <c r="O25" s="29">
        <f>L24-N25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1220011.42</v>
      </c>
      <c r="C27" s="51">
        <v>1220011.42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3456000</v>
      </c>
      <c r="D32" s="7" t="s">
        <v>51</v>
      </c>
      <c r="E32" s="34" t="s">
        <v>52</v>
      </c>
      <c r="F32" s="34" t="s">
        <v>53</v>
      </c>
      <c r="G32" s="15">
        <v>926.31100000000004</v>
      </c>
      <c r="H32" s="15">
        <v>926.74623927951404</v>
      </c>
      <c r="I32" s="16">
        <f t="shared" ref="I32:I39" si="1">+C32*G32</f>
        <v>3201330816</v>
      </c>
      <c r="J32" s="16">
        <f t="shared" ref="J32:J39" si="2">+C32*H32</f>
        <v>3202835002.9500008</v>
      </c>
      <c r="K32" s="18">
        <v>0.17150000000000001</v>
      </c>
      <c r="L32" s="17">
        <v>1504186.95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3456000</v>
      </c>
      <c r="D33" s="7" t="s">
        <v>51</v>
      </c>
      <c r="E33" s="34" t="s">
        <v>53</v>
      </c>
      <c r="F33" s="34" t="s">
        <v>53</v>
      </c>
      <c r="G33" s="15">
        <v>926.31100000000004</v>
      </c>
      <c r="H33" s="15">
        <v>926.74623927951404</v>
      </c>
      <c r="I33" s="16">
        <f t="shared" si="1"/>
        <v>3201330816</v>
      </c>
      <c r="J33" s="16">
        <f t="shared" si="2"/>
        <v>3202835002.9500008</v>
      </c>
      <c r="K33" s="18">
        <v>0.17150000000000001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75600</v>
      </c>
      <c r="D34" s="7" t="s">
        <v>51</v>
      </c>
      <c r="E34" s="34" t="s">
        <v>52</v>
      </c>
      <c r="F34" s="34" t="s">
        <v>53</v>
      </c>
      <c r="G34" s="15">
        <v>926.31100000000004</v>
      </c>
      <c r="H34" s="15">
        <v>926.74623928571407</v>
      </c>
      <c r="I34" s="16">
        <f t="shared" si="1"/>
        <v>70029111.600000009</v>
      </c>
      <c r="J34" s="16">
        <f t="shared" si="2"/>
        <v>70062015.689999983</v>
      </c>
      <c r="K34" s="18">
        <v>0.17150000000000001</v>
      </c>
      <c r="L34" s="17">
        <v>32904.090000000004</v>
      </c>
      <c r="M34" s="17"/>
      <c r="N34" s="35"/>
    </row>
    <row r="35" spans="1:15" s="36" customFormat="1" ht="12" customHeight="1" x14ac:dyDescent="0.25">
      <c r="A35" s="12" t="s">
        <v>49</v>
      </c>
      <c r="B35" s="7" t="s">
        <v>50</v>
      </c>
      <c r="C35" s="14">
        <v>75600</v>
      </c>
      <c r="D35" s="7" t="s">
        <v>51</v>
      </c>
      <c r="E35" s="34" t="s">
        <v>53</v>
      </c>
      <c r="F35" s="34" t="s">
        <v>53</v>
      </c>
      <c r="G35" s="15">
        <v>926.31100000000004</v>
      </c>
      <c r="H35" s="15">
        <v>926.74623928571407</v>
      </c>
      <c r="I35" s="16">
        <f t="shared" si="1"/>
        <v>70029111.600000009</v>
      </c>
      <c r="J35" s="16">
        <f t="shared" si="2"/>
        <v>70062015.689999983</v>
      </c>
      <c r="K35" s="18">
        <v>0.17150000000000001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1720796</v>
      </c>
      <c r="D36" s="7" t="s">
        <v>51</v>
      </c>
      <c r="E36" s="34" t="s">
        <v>53</v>
      </c>
      <c r="F36" s="34" t="s">
        <v>56</v>
      </c>
      <c r="G36" s="15">
        <v>965.39300000116202</v>
      </c>
      <c r="H36" s="15">
        <v>965.84528000994908</v>
      </c>
      <c r="I36" s="16">
        <f t="shared" si="1"/>
        <v>1661244412.8299997</v>
      </c>
      <c r="J36" s="16">
        <f t="shared" si="2"/>
        <v>1662022694.4600003</v>
      </c>
      <c r="K36" s="18">
        <v>0.17100000000000001</v>
      </c>
      <c r="L36" s="17"/>
      <c r="M36" s="17">
        <v>1661244412.8299999</v>
      </c>
      <c r="N36" s="35"/>
    </row>
    <row r="37" spans="1:15" s="36" customFormat="1" ht="12" customHeight="1" x14ac:dyDescent="0.25">
      <c r="A37" s="12" t="s">
        <v>57</v>
      </c>
      <c r="B37" s="7" t="s">
        <v>58</v>
      </c>
      <c r="C37" s="14">
        <v>1511139</v>
      </c>
      <c r="D37" s="7" t="s">
        <v>51</v>
      </c>
      <c r="E37" s="34" t="s">
        <v>53</v>
      </c>
      <c r="F37" s="34" t="s">
        <v>59</v>
      </c>
      <c r="G37" s="15">
        <v>1051.7669999980139</v>
      </c>
      <c r="H37" s="15">
        <v>1055.236390318825</v>
      </c>
      <c r="I37" s="16">
        <f t="shared" si="1"/>
        <v>1589366132.6099987</v>
      </c>
      <c r="J37" s="16">
        <f t="shared" si="2"/>
        <v>1594608863.6299989</v>
      </c>
      <c r="K37" s="18">
        <v>0.17200000000000001</v>
      </c>
      <c r="L37" s="17"/>
      <c r="M37" s="17">
        <v>1589366132.6099999</v>
      </c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11858</v>
      </c>
      <c r="D38" s="7" t="s">
        <v>51</v>
      </c>
      <c r="E38" s="34" t="s">
        <v>53</v>
      </c>
      <c r="F38" s="34" t="s">
        <v>56</v>
      </c>
      <c r="G38" s="15">
        <v>927.82399983133701</v>
      </c>
      <c r="H38" s="15">
        <v>928.25867684263801</v>
      </c>
      <c r="I38" s="16">
        <f t="shared" si="1"/>
        <v>11002136.989999995</v>
      </c>
      <c r="J38" s="16">
        <f t="shared" si="2"/>
        <v>11007291.390000001</v>
      </c>
      <c r="K38" s="18">
        <v>0.17099899999999998</v>
      </c>
      <c r="L38" s="17"/>
      <c r="M38" s="17">
        <v>11002136.99</v>
      </c>
      <c r="N38" s="35"/>
    </row>
    <row r="39" spans="1:15" s="36" customFormat="1" ht="12" customHeight="1" x14ac:dyDescent="0.25">
      <c r="A39" s="12" t="s">
        <v>62</v>
      </c>
      <c r="B39" s="7" t="s">
        <v>63</v>
      </c>
      <c r="C39" s="14">
        <v>18502</v>
      </c>
      <c r="D39" s="7" t="s">
        <v>51</v>
      </c>
      <c r="E39" s="34" t="s">
        <v>53</v>
      </c>
      <c r="F39" s="34" t="s">
        <v>59</v>
      </c>
      <c r="G39" s="15">
        <v>594.62800021619307</v>
      </c>
      <c r="H39" s="15">
        <v>596.58945789644406</v>
      </c>
      <c r="I39" s="16">
        <f t="shared" si="1"/>
        <v>11001807.260000004</v>
      </c>
      <c r="J39" s="16">
        <f t="shared" si="2"/>
        <v>11038098.150000008</v>
      </c>
      <c r="K39" s="18">
        <v>0.17200000000000001</v>
      </c>
      <c r="L39" s="17"/>
      <c r="M39" s="17">
        <v>11001807.26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3272614489.6899996</v>
      </c>
      <c r="N41" s="38">
        <v>3272614489.6899996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32787770488.556973</v>
      </c>
      <c r="C48" s="32">
        <v>32787770488.556995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580989.29000000015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145581.58999999997</v>
      </c>
    </row>
    <row r="58" spans="1:2" x14ac:dyDescent="0.25">
      <c r="A58" s="48" t="s">
        <v>41</v>
      </c>
      <c r="B58" s="50">
        <v>72159.740000000005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798730.62000000011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2025-10-30T05:39:35Z</dcterms:created>
  <dcterms:modified xsi:type="dcterms:W3CDTF">2025-10-30T07:50:37Z</dcterms:modified>
</cp:coreProperties>
</file>