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56AAC012-E2EE-4B84-B2D6-9686F723F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G40" i="1"/>
  <c r="M35" i="1"/>
  <c r="B42" i="1" s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<sst xmlns="http://schemas.openxmlformats.org/spreadsheetml/2006/main" count="140" uniqueCount="117">
  <si>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</si>
  <si>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</si>
  <si>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</si>
  <si>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</si>
  <si>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</si>
  <si>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</si>
  <si>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</si>
  <si>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</si>
  <si>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</si>
  <si>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</si>
  <si>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</si>
  <si>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</si>
  <si>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</si>
  <si>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</si>
  <si>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</si>
  <si>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</si>
  <si>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</si>
  <si>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</si>
  <si>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</si>
  <si>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</si>
  <si>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</si>
  <si>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</si>
  <si>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</si>
  <si>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</si>
  <si>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</si>
  <si>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</si>
  <si>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</si>
  <si>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</si>
  <si>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</si>
  <si>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</si>
  <si>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</si>
  <si>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</si>
  <si>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</si>
  <si>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</si>
  <si>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</si>
  <si>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</si>
  <si>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</si>
  <si>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</si>
  <si>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</si>
  <si>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</si>
  <si>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</si>
  <si>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</si>
  <si>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</si>
  <si>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</si>
  <si>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</si>
  <si>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</si>
  <si>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</si>
  <si>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</si>
  <si>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</si>
  <si>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</t>
  </si>
  <si>
    <t>KZ2C00006906</t>
  </si>
  <si>
    <t>KZT</t>
  </si>
  <si>
    <t>17.10.2025</t>
  </si>
  <si>
    <t>20.10.2025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</si>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</sst>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3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98.518200000000007</v>
      </c>
      <c r="J4" s="11">
        <v>101.126422222222</v>
      </c>
      <c r="K4" s="11">
        <v>78768311.111111104</v>
      </c>
      <c r="L4" s="11">
        <v>3054017951.1111112</v>
      </c>
      <c r="M4" s="6">
        <f t="shared" ref="M4:M22" si="0">L4/$L$24</f>
        <v>0.10385006547862217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82.854100000000003</v>
      </c>
      <c r="J5" s="11">
        <v>85.227849999999989</v>
      </c>
      <c r="K5" s="11">
        <v>53765437.499999993</v>
      </c>
      <c r="L5" s="11">
        <v>1930410802.499999</v>
      </c>
      <c r="M5" s="6">
        <f t="shared" si="0"/>
        <v>6.5642472129978285E-2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82.854100000000003</v>
      </c>
      <c r="J6" s="11">
        <v>85.227850000000245</v>
      </c>
      <c r="K6" s="11">
        <v>36832196.924999997</v>
      </c>
      <c r="L6" s="11">
        <v>1322434525.4110041</v>
      </c>
      <c r="M6" s="6">
        <f t="shared" si="0"/>
        <v>4.4968600137126995E-2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82.854100000000003</v>
      </c>
      <c r="J7" s="11">
        <v>85.227849999999989</v>
      </c>
      <c r="K7" s="11">
        <v>12953363.84999999</v>
      </c>
      <c r="L7" s="11">
        <v>465081559.222</v>
      </c>
      <c r="M7" s="6">
        <f t="shared" si="0"/>
        <v>1.5814822031590344E-2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87.257600000000011</v>
      </c>
      <c r="J8" s="11">
        <v>92.659822222222218</v>
      </c>
      <c r="K8" s="11">
        <v>122360333.333333</v>
      </c>
      <c r="L8" s="11">
        <v>2098744973.333333</v>
      </c>
      <c r="M8" s="6">
        <f t="shared" si="0"/>
        <v>7.1366575571142135E-2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84.98360000000001</v>
      </c>
      <c r="J9" s="11">
        <v>91.064155555555544</v>
      </c>
      <c r="K9" s="11">
        <v>137724583.33333299</v>
      </c>
      <c r="L9" s="11">
        <v>2062603123.333333</v>
      </c>
      <c r="M9" s="6">
        <f t="shared" si="0"/>
        <v>7.0137593440355056E-2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77.139600000000002</v>
      </c>
      <c r="J10" s="11">
        <v>83.20515555555555</v>
      </c>
      <c r="K10" s="11">
        <v>137384833.33333299</v>
      </c>
      <c r="L10" s="11">
        <v>1884596773.333333</v>
      </c>
      <c r="M10" s="6">
        <f t="shared" si="0"/>
        <v>6.408459329463391E-2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67.51100000000001</v>
      </c>
      <c r="J11" s="11">
        <v>71.806416666666664</v>
      </c>
      <c r="K11" s="11">
        <v>97291187.499999985</v>
      </c>
      <c r="L11" s="11">
        <v>1626415337.499999</v>
      </c>
      <c r="M11" s="6">
        <f t="shared" si="0"/>
        <v>5.5305287001787259E-2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75.232700000000008</v>
      </c>
      <c r="J12" s="11">
        <v>77.688116666666659</v>
      </c>
      <c r="K12" s="11">
        <v>55615187.5</v>
      </c>
      <c r="L12" s="11">
        <v>1759635842.5</v>
      </c>
      <c r="M12" s="6">
        <f t="shared" si="0"/>
        <v>5.9835371103719857E-2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60.795999999999999</v>
      </c>
      <c r="J13" s="11">
        <v>64.315416666666664</v>
      </c>
      <c r="K13" s="11">
        <v>79714787.5</v>
      </c>
      <c r="L13" s="11">
        <v>1456744187.5</v>
      </c>
      <c r="M13" s="6">
        <f t="shared" si="0"/>
        <v>4.9535720378604056E-2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59.321899999999999</v>
      </c>
      <c r="J14" s="11">
        <v>65.150233333333333</v>
      </c>
      <c r="K14" s="11">
        <v>132011750</v>
      </c>
      <c r="L14" s="11">
        <v>1475652785</v>
      </c>
      <c r="M14" s="6">
        <f t="shared" si="0"/>
        <v>5.0178695999546129E-2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86.229500000000002</v>
      </c>
      <c r="J15" s="11">
        <v>89.31</v>
      </c>
      <c r="K15" s="11">
        <v>116288875</v>
      </c>
      <c r="L15" s="11">
        <v>3371452500</v>
      </c>
      <c r="M15" s="6">
        <f t="shared" si="0"/>
        <v>0.11464423866784475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56.398500000000006</v>
      </c>
      <c r="J16" s="11">
        <v>59.072111111111106</v>
      </c>
      <c r="K16" s="11">
        <v>74964312.5</v>
      </c>
      <c r="L16" s="11">
        <v>1656299294.5999999</v>
      </c>
      <c r="M16" s="6">
        <f t="shared" si="0"/>
        <v>5.6321473203465061E-2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85.081000000000003</v>
      </c>
      <c r="J17" s="11">
        <v>92.481000000000009</v>
      </c>
      <c r="K17" s="11">
        <v>76847520</v>
      </c>
      <c r="L17" s="11">
        <v>960396688.79999995</v>
      </c>
      <c r="M17" s="6">
        <f t="shared" si="0"/>
        <v>3.2657718655859758E-2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98.29010000000001</v>
      </c>
      <c r="J18" s="11">
        <v>104.728572222222</v>
      </c>
      <c r="K18" s="11">
        <v>32642345.934722219</v>
      </c>
      <c r="L18" s="11">
        <v>530962341.02372199</v>
      </c>
      <c r="M18" s="6">
        <f t="shared" si="0"/>
        <v>1.8055058864973231E-2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94.642694219999996</v>
      </c>
      <c r="J19" s="11">
        <v>96.469916442222214</v>
      </c>
      <c r="K19" s="11">
        <v>38371666.666666657</v>
      </c>
      <c r="L19" s="11">
        <v>2025868245.2866659</v>
      </c>
      <c r="M19" s="6">
        <f t="shared" si="0"/>
        <v>6.8888445743267149E-2</v>
      </c>
    </row>
    <row r="20" spans="1:15" x14ac:dyDescent="0.25">
      <c r="A20" s="1" t="s">
        <v>104</v>
      </c>
      <c r="B20" s="13" t="s">
        <v>105</v>
      </c>
      <c r="C20" s="10">
        <v>1000000</v>
      </c>
      <c r="D20" s="11">
        <v>1000000000</v>
      </c>
      <c r="E20" s="3">
        <v>0.1389</v>
      </c>
      <c r="F20" s="4" t="s">
        <v>106</v>
      </c>
      <c r="G20" s="4" t="s">
        <v>107</v>
      </c>
      <c r="H20" s="11">
        <v>1000000000</v>
      </c>
      <c r="I20" s="11">
        <v>98.486356700000002</v>
      </c>
      <c r="J20" s="11">
        <v>103.92660670000001</v>
      </c>
      <c r="K20" s="11">
        <v>54402499.999999993</v>
      </c>
      <c r="L20" s="11">
        <v>1039266066.999999</v>
      </c>
      <c r="M20" s="6">
        <f t="shared" si="0"/>
        <v>3.5339624990872696E-2</v>
      </c>
    </row>
    <row r="21" spans="1:15" x14ac:dyDescent="0.25">
      <c r="A21" s="1" t="s">
        <v>108</v>
      </c>
      <c r="B21" s="13" t="s">
        <v>109</v>
      </c>
      <c r="C21" s="10">
        <v>165739</v>
      </c>
      <c r="D21" s="11">
        <v>165739000</v>
      </c>
      <c r="E21" s="3">
        <v>0.125</v>
      </c>
      <c r="F21" s="4" t="s">
        <v>110</v>
      </c>
      <c r="G21" s="4" t="s">
        <v>111</v>
      </c>
      <c r="H21" s="11">
        <v>159596381.18279999</v>
      </c>
      <c r="I21" s="11">
        <v>96.386118170000003</v>
      </c>
      <c r="J21" s="11">
        <v>100.795840392209</v>
      </c>
      <c r="K21" s="11">
        <v>7308629.5138666704</v>
      </c>
      <c r="L21" s="11">
        <v>167058017.90764299</v>
      </c>
      <c r="M21" s="6">
        <f t="shared" si="0"/>
        <v>5.6807086193208728E-3</v>
      </c>
    </row>
    <row r="22" spans="1:15" x14ac:dyDescent="0.25">
      <c r="A22" s="1" t="s">
        <v>112</v>
      </c>
      <c r="B22" s="13" t="s">
        <v>113</v>
      </c>
      <c r="C22" s="10">
        <v>494987</v>
      </c>
      <c r="D22" s="11">
        <v>494987000</v>
      </c>
      <c r="E22" s="3">
        <v>0.1701</v>
      </c>
      <c r="F22" s="4" t="s">
        <v>114</v>
      </c>
      <c r="G22" s="4" t="s">
        <v>115</v>
      </c>
      <c r="H22" s="11">
        <v>495088472.34249997</v>
      </c>
      <c r="I22" s="11">
        <v>101.7145</v>
      </c>
      <c r="J22" s="11">
        <v>105.1165</v>
      </c>
      <c r="K22" s="11">
        <v>16839457.739999998</v>
      </c>
      <c r="L22" s="11">
        <v>520313009.85500002</v>
      </c>
      <c r="M22" s="6">
        <f t="shared" si="0"/>
        <v>1.7692934687290204E-2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1362087279.2413657</v>
      </c>
      <c r="L24" s="22">
        <f>SUM(L4:L23)</f>
        <v>29407954025.217144</v>
      </c>
      <c r="M24" s="23"/>
      <c r="N24" s="26">
        <v>29407954025.303658</v>
      </c>
      <c r="O24" s="29">
        <f>L24-N24</f>
        <v>-8.6513519287109375E-2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3420624.84</v>
      </c>
      <c r="C27" s="51">
        <v>3420624.84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3672015</v>
      </c>
      <c r="D32" s="7" t="s">
        <v>51</v>
      </c>
      <c r="E32" s="34" t="s">
        <v>52</v>
      </c>
      <c r="F32" s="34" t="s">
        <v>53</v>
      </c>
      <c r="G32" s="15">
        <v>873.39200000000005</v>
      </c>
      <c r="H32" s="15">
        <v>874.61593804763902</v>
      </c>
      <c r="I32" s="16">
        <f>+C32*G32</f>
        <v>3207108524.8800001</v>
      </c>
      <c r="J32" s="16">
        <f>+C32*H32</f>
        <v>3211602843.7500014</v>
      </c>
      <c r="K32" s="18">
        <v>0.17049899999999998</v>
      </c>
      <c r="L32" s="17">
        <v>1498106.29</v>
      </c>
      <c r="M32" s="17">
        <v>3210104737.46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472275</v>
      </c>
      <c r="D33" s="7" t="s">
        <v>51</v>
      </c>
      <c r="E33" s="34" t="s">
        <v>52</v>
      </c>
      <c r="F33" s="34" t="s">
        <v>53</v>
      </c>
      <c r="G33" s="15">
        <v>95.290400000000005</v>
      </c>
      <c r="H33" s="15">
        <v>95.423937091736789</v>
      </c>
      <c r="I33" s="16">
        <f>+C33*G33</f>
        <v>45003273.660000004</v>
      </c>
      <c r="J33" s="16">
        <f>+C33*H33</f>
        <v>45066339.889999993</v>
      </c>
      <c r="K33" s="18">
        <v>0.17050000000000001</v>
      </c>
      <c r="L33" s="17">
        <v>21022.0766666667</v>
      </c>
      <c r="M33" s="17">
        <v>45045317.813333333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3255150055.2733335</v>
      </c>
      <c r="N35" s="38">
        <v>3255150055.2733335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32666524705.330479</v>
      </c>
      <c r="C42" s="32">
        <v>32666524705.416992</v>
      </c>
      <c r="D42" s="29">
        <f>B42-C42</f>
        <v>-8.6513519287109375E-2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416607.96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/>
    </row>
    <row r="52" spans="1:2" x14ac:dyDescent="0.25">
      <c r="A52" s="48" t="s">
        <v>41</v>
      </c>
      <c r="B52" s="50">
        <v>82154.739999999991</v>
      </c>
    </row>
    <row r="53" spans="1:2" x14ac:dyDescent="0.25">
      <c r="A53" s="48" t="s">
        <v>42</v>
      </c>
      <c r="B53" s="40">
        <v>40509.360000000001</v>
      </c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539272.06000000006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2025-10-20T07:00:08Z</dcterms:created>
  <dcterms:modified xsi:type="dcterms:W3CDTF">2025-10-20T09:37:52Z</dcterms:modified>
</cp:coreProperties>
</file>