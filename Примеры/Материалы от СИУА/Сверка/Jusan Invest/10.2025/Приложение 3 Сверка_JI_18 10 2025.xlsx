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FCFD4A21-B937-40B5-A00D-191311993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B42" i="1" s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<sst xmlns="http://schemas.openxmlformats.org/spreadsheetml/2006/main" count="140" uniqueCount="117">
  <si>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</si>
  <si>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</si>
  <si>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</si>
  <si>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</si>
  <si>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</si>
  <si>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</si>
  <si>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</si>
  <si>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</si>
  <si>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</si>
  <si>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</si>
  <si>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</si>
  <si>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</si>
  <si>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</si>
  <si>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</si>
  <si>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</si>
  <si>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</si>
  <si>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</si>
  <si>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</si>
  <si>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</si>
  <si>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</si>
  <si>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</si>
  <si>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</si>
  <si>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</si>
  <si>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</si>
  <si>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</si>
  <si>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</si>
  <si>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</si>
  <si>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</si>
  <si>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</si>
  <si>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</si>
  <si>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</si>
  <si>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</si>
  <si>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</si>
  <si>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</si>
  <si>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</si>
  <si>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</si>
  <si>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</si>
  <si>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</si>
  <si>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</si>
  <si>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</si>
  <si>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</si>
  <si>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</si>
  <si>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</si>
  <si>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</si>
  <si>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</si>
  <si>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</si>
  <si>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</si>
  <si>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</si>
  <si>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</si>
  <si>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</t>
  </si>
  <si>
    <t>KZ2C00006906</t>
  </si>
  <si>
    <t>KZT</t>
  </si>
  <si>
    <t>17.10.2025</t>
  </si>
  <si>
    <t>20.10.2025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</si>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</sst>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8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98.518200000000007</v>
      </c>
      <c r="J4" s="11">
        <v>101.09678333333301</v>
      </c>
      <c r="K4" s="11">
        <v>77873216.666666657</v>
      </c>
      <c r="L4" s="11">
        <v>3053122856.666666</v>
      </c>
      <c r="M4" s="6">
        <f t="shared" ref="M4:M22" si="0">L4/$L$24</f>
        <v>0.10385304640851008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82.854100000000003</v>
      </c>
      <c r="J5" s="11">
        <v>85.198544444444437</v>
      </c>
      <c r="K5" s="11">
        <v>53101666.666666657</v>
      </c>
      <c r="L5" s="11">
        <v>1929747031.666666</v>
      </c>
      <c r="M5" s="6">
        <f t="shared" si="0"/>
        <v>6.5641023124489092E-2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82.854100000000003</v>
      </c>
      <c r="J6" s="11">
        <v>85.198544444444693</v>
      </c>
      <c r="K6" s="11">
        <v>36377478.44444444</v>
      </c>
      <c r="L6" s="11">
        <v>1321979806.9304481</v>
      </c>
      <c r="M6" s="6">
        <f t="shared" si="0"/>
        <v>4.4967607490958642E-2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82.854100000000003</v>
      </c>
      <c r="J7" s="11">
        <v>85.198544444444437</v>
      </c>
      <c r="K7" s="11">
        <v>12793445.777777771</v>
      </c>
      <c r="L7" s="11">
        <v>464921641.14977801</v>
      </c>
      <c r="M7" s="6">
        <f t="shared" si="0"/>
        <v>1.5814472931942044E-2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87.257600000000011</v>
      </c>
      <c r="J8" s="11">
        <v>92.630933333333331</v>
      </c>
      <c r="K8" s="11">
        <v>121706000</v>
      </c>
      <c r="L8" s="11">
        <v>2098090639.999999</v>
      </c>
      <c r="M8" s="6">
        <f t="shared" si="0"/>
        <v>7.1367290094271382E-2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84.98360000000001</v>
      </c>
      <c r="J9" s="11">
        <v>91.033599999999993</v>
      </c>
      <c r="K9" s="11">
        <v>137032500</v>
      </c>
      <c r="L9" s="11">
        <v>2061911039.999999</v>
      </c>
      <c r="M9" s="6">
        <f t="shared" si="0"/>
        <v>7.0136628291836242E-2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77.139600000000002</v>
      </c>
      <c r="J10" s="11">
        <v>83.176544444444431</v>
      </c>
      <c r="K10" s="11">
        <v>136736791.66666701</v>
      </c>
      <c r="L10" s="11">
        <v>1883948731.666666</v>
      </c>
      <c r="M10" s="6">
        <f t="shared" si="0"/>
        <v>6.408317786289236E-2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67.51100000000001</v>
      </c>
      <c r="J11" s="11">
        <v>71.782944444444439</v>
      </c>
      <c r="K11" s="11">
        <v>96759541.666666657</v>
      </c>
      <c r="L11" s="11">
        <v>1625883691.666666</v>
      </c>
      <c r="M11" s="6">
        <f t="shared" si="0"/>
        <v>5.5305004879445958E-2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75.232700000000008</v>
      </c>
      <c r="J12" s="11">
        <v>77.658533333333324</v>
      </c>
      <c r="K12" s="11">
        <v>54945125</v>
      </c>
      <c r="L12" s="11">
        <v>1758965780</v>
      </c>
      <c r="M12" s="6">
        <f t="shared" si="0"/>
        <v>5.9831838860477639E-2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60.795999999999999</v>
      </c>
      <c r="J13" s="11">
        <v>64.293000000000006</v>
      </c>
      <c r="K13" s="11">
        <v>79207050</v>
      </c>
      <c r="L13" s="11">
        <v>1456236450</v>
      </c>
      <c r="M13" s="6">
        <f t="shared" si="0"/>
        <v>4.9534394363916504E-2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59.321899999999999</v>
      </c>
      <c r="J14" s="11">
        <v>65.127816666666661</v>
      </c>
      <c r="K14" s="11">
        <v>131504012.5</v>
      </c>
      <c r="L14" s="11">
        <v>1475145047.5</v>
      </c>
      <c r="M14" s="6">
        <f t="shared" si="0"/>
        <v>5.0177576949707134E-2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86.229500000000002</v>
      </c>
      <c r="J15" s="11">
        <v>89.294749999999993</v>
      </c>
      <c r="K15" s="11">
        <v>115713187.5</v>
      </c>
      <c r="L15" s="11">
        <v>3370876812.5</v>
      </c>
      <c r="M15" s="6">
        <f t="shared" si="0"/>
        <v>0.1146615588303375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56.398500000000006</v>
      </c>
      <c r="J16" s="11">
        <v>59.05683333333333</v>
      </c>
      <c r="K16" s="11">
        <v>74535945</v>
      </c>
      <c r="L16" s="11">
        <v>1655870927.0999999</v>
      </c>
      <c r="M16" s="6">
        <f t="shared" si="0"/>
        <v>5.6325031226017883E-2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85.081000000000003</v>
      </c>
      <c r="J17" s="11">
        <v>92.447666666666649</v>
      </c>
      <c r="K17" s="11">
        <v>76501360</v>
      </c>
      <c r="L17" s="11">
        <v>960050528.79999995</v>
      </c>
      <c r="M17" s="6">
        <f t="shared" si="0"/>
        <v>3.2656455964184782E-2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98.29010000000001</v>
      </c>
      <c r="J18" s="11">
        <v>104.68593333333301</v>
      </c>
      <c r="K18" s="11">
        <v>32426171.458333328</v>
      </c>
      <c r="L18" s="11">
        <v>530746166.547333</v>
      </c>
      <c r="M18" s="6">
        <f t="shared" si="0"/>
        <v>1.8053517284842377E-2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94.642694219999996</v>
      </c>
      <c r="J19" s="11">
        <v>96.43019421999999</v>
      </c>
      <c r="K19" s="11">
        <v>37537500</v>
      </c>
      <c r="L19" s="11">
        <v>2025034078.6199999</v>
      </c>
      <c r="M19" s="6">
        <f t="shared" si="0"/>
        <v>6.8882245497105477E-2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98.486356700000002</v>
      </c>
      <c r="J20" s="11">
        <v>103.888023366667</v>
      </c>
      <c r="K20" s="11">
        <v>54016666.666666657</v>
      </c>
      <c r="L20" s="11">
        <v>1038880233.666666</v>
      </c>
      <c r="M20" s="6">
        <f t="shared" si="0"/>
        <v>3.5337876064922259E-2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96.386118170000003</v>
      </c>
      <c r="J21" s="11">
        <v>100.761118169987</v>
      </c>
      <c r="K21" s="11">
        <v>7251081.2499777796</v>
      </c>
      <c r="L21" s="11">
        <v>167000469.64375401</v>
      </c>
      <c r="M21" s="6">
        <f t="shared" si="0"/>
        <v>5.6805796354657771E-3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101.7145</v>
      </c>
      <c r="J22" s="11">
        <v>105.06925</v>
      </c>
      <c r="K22" s="11">
        <v>16605576.3825</v>
      </c>
      <c r="L22" s="11">
        <v>520079128.4975</v>
      </c>
      <c r="M22" s="6">
        <f t="shared" si="0"/>
        <v>1.7690674238676811E-2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1352624316.6463671</v>
      </c>
      <c r="L24" s="22">
        <f>SUM(L4:L23)</f>
        <v>29398491062.622143</v>
      </c>
      <c r="M24" s="23"/>
      <c r="N24" s="26">
        <v>29398491062.708649</v>
      </c>
      <c r="O24" s="29">
        <f>L24-N24</f>
        <v>-8.6505889892578125E-2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3420624.84</v>
      </c>
      <c r="C27" s="51">
        <v>3420624.84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3672015</v>
      </c>
      <c r="D32" s="7" t="s">
        <v>51</v>
      </c>
      <c r="E32" s="34" t="s">
        <v>52</v>
      </c>
      <c r="F32" s="34" t="s">
        <v>53</v>
      </c>
      <c r="G32" s="15">
        <v>873.39200000000005</v>
      </c>
      <c r="H32" s="15">
        <v>874.61593804763902</v>
      </c>
      <c r="I32" s="16">
        <f>+C32*G32</f>
        <v>3207108524.8800001</v>
      </c>
      <c r="J32" s="16">
        <f>+C32*H32</f>
        <v>3211602843.7500014</v>
      </c>
      <c r="K32" s="18">
        <v>0.17049899999999998</v>
      </c>
      <c r="L32" s="17">
        <v>1498106.29</v>
      </c>
      <c r="M32" s="17">
        <v>3208606631.1700001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472275</v>
      </c>
      <c r="D33" s="7" t="s">
        <v>51</v>
      </c>
      <c r="E33" s="34" t="s">
        <v>52</v>
      </c>
      <c r="F33" s="34" t="s">
        <v>53</v>
      </c>
      <c r="G33" s="15">
        <v>95.290400000000005</v>
      </c>
      <c r="H33" s="15">
        <v>95.423937091736789</v>
      </c>
      <c r="I33" s="16">
        <f>+C33*G33</f>
        <v>45003273.660000004</v>
      </c>
      <c r="J33" s="16">
        <f>+C33*H33</f>
        <v>45066339.889999993</v>
      </c>
      <c r="K33" s="18">
        <v>0.17050000000000001</v>
      </c>
      <c r="L33" s="17">
        <v>21022.0766666667</v>
      </c>
      <c r="M33" s="17">
        <v>45024295.736666657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3253630926.9066668</v>
      </c>
      <c r="N35" s="38">
        <v>3253630926.9066668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32655542614.368809</v>
      </c>
      <c r="C42" s="32">
        <v>32655542614.455315</v>
      </c>
      <c r="D42" s="29">
        <f>B42-C42</f>
        <v>-8.6505889892578125E-2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403183.36000000004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/>
    </row>
    <row r="52" spans="1:2" x14ac:dyDescent="0.25">
      <c r="A52" s="48" t="s">
        <v>41</v>
      </c>
      <c r="B52" s="50">
        <v>82154.739999999991</v>
      </c>
    </row>
    <row r="53" spans="1:2" x14ac:dyDescent="0.25">
      <c r="A53" s="48" t="s">
        <v>42</v>
      </c>
      <c r="B53" s="40">
        <v>40509.360000000001</v>
      </c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525847.46000000008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2025-10-20T06:44:04Z</dcterms:created>
  <dcterms:modified xsi:type="dcterms:W3CDTF">2025-10-20T07:31:46Z</dcterms:modified>
</cp:coreProperties>
</file>