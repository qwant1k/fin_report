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0.2025\"/>
    </mc:Choice>
  </mc:AlternateContent>
  <xr:revisionPtr revIDLastSave="0" documentId="13_ncr:1_{9143500E-7B1A-4F6C-A2AD-530A31D9B7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6" i="1" l="1"/>
  <c r="O59" i="1"/>
  <c r="O24" i="1"/>
  <c r="D27" i="1"/>
  <c r="B80" i="1"/>
  <c r="G64" i="1"/>
  <c r="M59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0" i="1" s="1"/>
  <c r="K24" i="1"/>
  <c r="M9" i="1" l="1"/>
  <c r="M15" i="1"/>
  <c r="M21" i="1"/>
  <c r="M6" i="1"/>
  <c r="M19" i="1"/>
  <c r="M4" i="1"/>
  <c r="M10" i="1"/>
  <c r="M16" i="1"/>
  <c r="M22" i="1"/>
  <c r="M12" i="1"/>
  <c r="M7" i="1"/>
  <c r="M13" i="1"/>
  <c r="M5" i="1"/>
  <c r="M11" i="1"/>
  <c r="M17" i="1"/>
  <c r="M18" i="1"/>
  <c r="B66" i="1"/>
  <c r="M8" i="1"/>
  <c r="M14" i="1"/>
</calcChain>
</file>

<file path=xl/sharedStrings.xml><?xml version="1.0" encoding="utf-8"?>
<sst xmlns="http://schemas.openxmlformats.org/spreadsheetml/2006/main" count="260" uniqueCount="138">
  <si>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</si>
  <si>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</si>
  <si>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</si>
  <si>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</si>
  <si>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</si>
  <si>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</si>
  <si>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</si>
  <si>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</si>
  <si>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</si>
  <si>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</si>
  <si>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</si>
  <si>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</si>
  <si>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</si>
  <si>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</si>
  <si>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</si>
  <si>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</si>
  <si>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</si>
  <si>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</si>
  <si>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</si>
  <si>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</si>
  <si>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</si>
  <si>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</si>
  <si>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</si>
  <si>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</si>
  <si>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</si>
  <si>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</si>
  <si>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</si>
  <si>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</si>
  <si>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</si>
  <si>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</si>
  <si>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</si>
  <si>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</si>
  <si>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</si>
  <si>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</si>
  <si>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</si>
  <si>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</si>
  <si>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</si>
  <si>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</si>
  <si>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</si>
  <si>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</si>
  <si>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</si>
  <si>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</si>
  <si>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</si>
  <si>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</si>
  <si>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</si>
  <si>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</si>
  <si>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</si>
  <si>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</si>
  <si>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</si>
  <si>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MUM096_0014</t>
  </si>
  <si>
    <t>KZKD00001228</t>
  </si>
  <si>
    <t>KZT</t>
  </si>
  <si>
    <t>21.10.2025</t>
  </si>
  <si>
    <t>28.10.2025</t>
  </si>
  <si>
    <t>ЕВРАЗИЙСКИЙ БАНК РАЗВИТИЯ, ОБЛИГАЦИИ, EABRb42</t>
  </si>
  <si>
    <t>KZ2D00009222</t>
  </si>
  <si>
    <t>МИНИСТЕРСТВО ФИНАНСОВ РК, ГЦБ, MUM108_0014</t>
  </si>
  <si>
    <t>KZKD00001236</t>
  </si>
  <si>
    <t>ЕВРАЗИЙСКИЙ БАНК РАЗВИТИЯ, ОБЛИГАЦИИ, EABRb40</t>
  </si>
  <si>
    <t>KZ2D00009628</t>
  </si>
  <si>
    <t>24.10.2025</t>
  </si>
  <si>
    <t>МИНИСТЕРСТВО ФИНАНСОВ РК, ГЦБ, MUM180_0009</t>
  </si>
  <si>
    <t>KZKD00000717</t>
  </si>
  <si>
    <t>МИНИСТЕРСТВО ФИНАНСОВ РК, ГЦБ, MUM096_0013</t>
  </si>
  <si>
    <t>KZKD00001202</t>
  </si>
  <si>
    <t>МИНИСТЕРСТВО ФИНАНСОВ РК, ГЦБ, MUM180_0016</t>
  </si>
  <si>
    <t>KZKD00001194</t>
  </si>
  <si>
    <t>АКЦИОНЕРНОЕ ОБЩЕСТВО КАЗАХСТАНСКИЙ ФОНД УСТОЙЧИВОСТИ, ОБЛИГАЦИИ, KFUSb49</t>
  </si>
  <si>
    <t>KZ2C00008951</t>
  </si>
  <si>
    <t>МИНИСТЕРСТВО ФИНАНСОВ РК, ГЦБ, MUM084_0018</t>
  </si>
  <si>
    <t>KZKD00001137</t>
  </si>
  <si>
    <t>АКЦИОНЕРНОЕ ОБЩЕСТВО КАЗАХСТАНСКИЙ ФОНД УСТОЙЧИВОСТИ, ОБЛИГАЦИИ, KFUSb48</t>
  </si>
  <si>
    <t>KZ2C00008944</t>
  </si>
  <si>
    <t>МИНИСТЕРСТВО ФИНАНСОВ РК, ГЦБ, MOM048_0053</t>
  </si>
  <si>
    <t>KZK200000711</t>
  </si>
  <si>
    <t>МИНИСТЕРСТВО ФИНАНСОВ РК, ГЦБ, MUM072_0014</t>
  </si>
  <si>
    <t>KZKD00001210</t>
  </si>
  <si>
    <t>МИНИСТЕРСТВО ФИНАНСОВ РК, ГЦБ, MUM180_0004</t>
  </si>
  <si>
    <t>KZKD00000444</t>
  </si>
  <si>
    <t>29.10.2025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</si>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</sst>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topLeftCell="A28" zoomScale="90" zoomScaleNormal="90" workbookViewId="0">
      <selection activeCell="D67" sqref="D67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53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80</v>
      </c>
      <c r="B4" s="13" t="s">
        <v>81</v>
      </c>
      <c r="C4" s="10">
        <v>3020000</v>
      </c>
      <c r="D4" s="11">
        <v>3020000000</v>
      </c>
      <c r="E4" s="3">
        <v>0.1067</v>
      </c>
      <c r="F4" s="4" t="s">
        <v>82</v>
      </c>
      <c r="G4" s="4" t="s">
        <v>83</v>
      </c>
      <c r="H4" s="11">
        <v>2930617060.0000029</v>
      </c>
      <c r="I4" s="11">
        <v>98.629600000000011</v>
      </c>
      <c r="J4" s="11">
        <v>101.50457222222201</v>
      </c>
      <c r="K4" s="11">
        <v>86824161.111111104</v>
      </c>
      <c r="L4" s="11">
        <v>3065438081.1111112</v>
      </c>
      <c r="M4" s="6">
        <f t="shared" ref="M4:M22" si="0">L4/$L$24</f>
        <v>0.10381403530671712</v>
      </c>
    </row>
    <row r="5" spans="1:13" x14ac:dyDescent="0.25">
      <c r="A5" s="1" t="s">
        <v>84</v>
      </c>
      <c r="B5" s="13" t="s">
        <v>85</v>
      </c>
      <c r="C5" s="10">
        <v>2265000</v>
      </c>
      <c r="D5" s="11">
        <v>2265000000</v>
      </c>
      <c r="E5" s="3">
        <v>0.10550000000000001</v>
      </c>
      <c r="F5" s="4" t="s">
        <v>82</v>
      </c>
      <c r="G5" s="4" t="s">
        <v>86</v>
      </c>
      <c r="H5" s="11">
        <v>2039188560.0000031</v>
      </c>
      <c r="I5" s="11">
        <v>82.382600000000011</v>
      </c>
      <c r="J5" s="11">
        <v>85.020099999999985</v>
      </c>
      <c r="K5" s="11">
        <v>59739374.999999993</v>
      </c>
      <c r="L5" s="11">
        <v>1925705264.999999</v>
      </c>
      <c r="M5" s="6">
        <f t="shared" si="0"/>
        <v>6.5215877496562852E-2</v>
      </c>
    </row>
    <row r="6" spans="1:13" x14ac:dyDescent="0.25">
      <c r="A6" s="1" t="s">
        <v>84</v>
      </c>
      <c r="B6" s="13" t="s">
        <v>85</v>
      </c>
      <c r="C6" s="10">
        <v>1551646</v>
      </c>
      <c r="D6" s="11">
        <v>1551646000</v>
      </c>
      <c r="E6" s="3">
        <v>0.10550000000000001</v>
      </c>
      <c r="F6" s="4" t="s">
        <v>87</v>
      </c>
      <c r="G6" s="4" t="s">
        <v>86</v>
      </c>
      <c r="H6" s="11">
        <v>1395452658.7</v>
      </c>
      <c r="I6" s="11">
        <v>82.382600000000011</v>
      </c>
      <c r="J6" s="11">
        <v>85.020100000000241</v>
      </c>
      <c r="K6" s="11">
        <v>40924663.25</v>
      </c>
      <c r="L6" s="11">
        <v>1319210980.846004</v>
      </c>
      <c r="M6" s="6">
        <f t="shared" si="0"/>
        <v>4.4676360023855242E-2</v>
      </c>
    </row>
    <row r="7" spans="1:13" x14ac:dyDescent="0.25">
      <c r="A7" s="1" t="s">
        <v>84</v>
      </c>
      <c r="B7" s="13" t="s">
        <v>85</v>
      </c>
      <c r="C7" s="10">
        <v>545692</v>
      </c>
      <c r="D7" s="11">
        <v>545692000</v>
      </c>
      <c r="E7" s="3">
        <v>0.10550000000000001</v>
      </c>
      <c r="F7" s="4" t="s">
        <v>88</v>
      </c>
      <c r="G7" s="4" t="s">
        <v>86</v>
      </c>
      <c r="H7" s="11">
        <v>449784993.92000002</v>
      </c>
      <c r="I7" s="11">
        <v>82.382600000000011</v>
      </c>
      <c r="J7" s="11">
        <v>85.020099999999999</v>
      </c>
      <c r="K7" s="11">
        <v>14392626.499999991</v>
      </c>
      <c r="L7" s="11">
        <v>463947884.09200001</v>
      </c>
      <c r="M7" s="6">
        <f t="shared" si="0"/>
        <v>1.5712045308103488E-2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82</v>
      </c>
      <c r="G8" s="4" t="s">
        <v>89</v>
      </c>
      <c r="H8" s="11">
        <v>2073109200</v>
      </c>
      <c r="I8" s="11">
        <v>86.581900000000005</v>
      </c>
      <c r="J8" s="11">
        <v>92.244122222222217</v>
      </c>
      <c r="K8" s="11">
        <v>128249333.333333</v>
      </c>
      <c r="L8" s="11">
        <v>2089329368.333333</v>
      </c>
      <c r="M8" s="6">
        <f t="shared" si="0"/>
        <v>7.0757166536176946E-2</v>
      </c>
    </row>
    <row r="9" spans="1:13" x14ac:dyDescent="0.25">
      <c r="A9" s="1" t="s">
        <v>90</v>
      </c>
      <c r="B9" s="13" t="s">
        <v>91</v>
      </c>
      <c r="C9" s="10">
        <v>2265000</v>
      </c>
      <c r="D9" s="11">
        <v>2265000000</v>
      </c>
      <c r="E9" s="3">
        <v>0.11</v>
      </c>
      <c r="F9" s="4" t="s">
        <v>82</v>
      </c>
      <c r="G9" s="4" t="s">
        <v>92</v>
      </c>
      <c r="H9" s="11">
        <v>2080889475</v>
      </c>
      <c r="I9" s="11">
        <v>84.434700000000007</v>
      </c>
      <c r="J9" s="11">
        <v>90.790255555555547</v>
      </c>
      <c r="K9" s="11">
        <v>143953333.33333299</v>
      </c>
      <c r="L9" s="11">
        <v>2056399288.333333</v>
      </c>
      <c r="M9" s="6">
        <f t="shared" si="0"/>
        <v>6.9641957421747905E-2</v>
      </c>
    </row>
    <row r="10" spans="1:13" x14ac:dyDescent="0.25">
      <c r="A10" s="1" t="s">
        <v>93</v>
      </c>
      <c r="B10" s="13" t="s">
        <v>94</v>
      </c>
      <c r="C10" s="10">
        <v>2265000</v>
      </c>
      <c r="D10" s="11">
        <v>2265000000</v>
      </c>
      <c r="E10" s="3">
        <v>0.10300000000000001</v>
      </c>
      <c r="F10" s="4" t="s">
        <v>82</v>
      </c>
      <c r="G10" s="4" t="s">
        <v>95</v>
      </c>
      <c r="H10" s="11">
        <v>1963990560.0000031</v>
      </c>
      <c r="I10" s="11">
        <v>77.146100000000004</v>
      </c>
      <c r="J10" s="11">
        <v>83.469155555555545</v>
      </c>
      <c r="K10" s="11">
        <v>143217208.33333299</v>
      </c>
      <c r="L10" s="11">
        <v>1890576373.333333</v>
      </c>
      <c r="M10" s="6">
        <f t="shared" si="0"/>
        <v>6.4026203491323375E-2</v>
      </c>
    </row>
    <row r="11" spans="1:13" x14ac:dyDescent="0.25">
      <c r="A11" s="1" t="s">
        <v>96</v>
      </c>
      <c r="B11" s="13" t="s">
        <v>97</v>
      </c>
      <c r="C11" s="10">
        <v>2265000</v>
      </c>
      <c r="D11" s="11">
        <v>2265000000</v>
      </c>
      <c r="E11" s="3">
        <v>8.4500000000000006E-2</v>
      </c>
      <c r="F11" s="4" t="s">
        <v>82</v>
      </c>
      <c r="G11" s="4" t="s">
        <v>98</v>
      </c>
      <c r="H11" s="11">
        <v>1740247065.0000031</v>
      </c>
      <c r="I11" s="11">
        <v>67.828400000000002</v>
      </c>
      <c r="J11" s="11">
        <v>72.335066666666663</v>
      </c>
      <c r="K11" s="11">
        <v>102076000</v>
      </c>
      <c r="L11" s="11">
        <v>1638389259.999999</v>
      </c>
      <c r="M11" s="6">
        <f t="shared" si="0"/>
        <v>5.5485642176838657E-2</v>
      </c>
    </row>
    <row r="12" spans="1:13" x14ac:dyDescent="0.25">
      <c r="A12" s="1" t="s">
        <v>99</v>
      </c>
      <c r="B12" s="13" t="s">
        <v>100</v>
      </c>
      <c r="C12" s="10">
        <v>2265000</v>
      </c>
      <c r="D12" s="11">
        <v>2265000000</v>
      </c>
      <c r="E12" s="3">
        <v>0.10650000000000001</v>
      </c>
      <c r="F12" s="4" t="s">
        <v>82</v>
      </c>
      <c r="G12" s="4" t="s">
        <v>101</v>
      </c>
      <c r="H12" s="11">
        <v>1967775375</v>
      </c>
      <c r="I12" s="11">
        <v>75.541600000000003</v>
      </c>
      <c r="J12" s="11">
        <v>78.263266666666652</v>
      </c>
      <c r="K12" s="11">
        <v>61645750</v>
      </c>
      <c r="L12" s="11">
        <v>1772662990</v>
      </c>
      <c r="M12" s="6">
        <f t="shared" si="0"/>
        <v>6.0032952342024617E-2</v>
      </c>
    </row>
    <row r="13" spans="1:13" x14ac:dyDescent="0.25">
      <c r="A13" s="1" t="s">
        <v>102</v>
      </c>
      <c r="B13" s="13" t="s">
        <v>103</v>
      </c>
      <c r="C13" s="10">
        <v>2265000</v>
      </c>
      <c r="D13" s="11">
        <v>2265000000</v>
      </c>
      <c r="E13" s="3">
        <v>8.0700000000000008E-2</v>
      </c>
      <c r="F13" s="4" t="s">
        <v>82</v>
      </c>
      <c r="G13" s="4" t="s">
        <v>104</v>
      </c>
      <c r="H13" s="11">
        <v>1622351550</v>
      </c>
      <c r="I13" s="11">
        <v>61.474700000000006</v>
      </c>
      <c r="J13" s="11">
        <v>65.19586666666666</v>
      </c>
      <c r="K13" s="11">
        <v>84284425</v>
      </c>
      <c r="L13" s="11">
        <v>1476686380</v>
      </c>
      <c r="M13" s="6">
        <f t="shared" si="0"/>
        <v>5.0009417229756034E-2</v>
      </c>
    </row>
    <row r="14" spans="1:13" x14ac:dyDescent="0.25">
      <c r="A14" s="1" t="s">
        <v>105</v>
      </c>
      <c r="B14" s="13" t="s">
        <v>106</v>
      </c>
      <c r="C14" s="10">
        <v>2265000</v>
      </c>
      <c r="D14" s="11">
        <v>2265000000</v>
      </c>
      <c r="E14" s="3">
        <v>8.0700000000000008E-2</v>
      </c>
      <c r="F14" s="4" t="s">
        <v>82</v>
      </c>
      <c r="G14" s="4" t="s">
        <v>107</v>
      </c>
      <c r="H14" s="11">
        <v>1597764975</v>
      </c>
      <c r="I14" s="11">
        <v>60.099700000000006</v>
      </c>
      <c r="J14" s="11">
        <v>66.129783333333322</v>
      </c>
      <c r="K14" s="11">
        <v>136581387.5</v>
      </c>
      <c r="L14" s="11">
        <v>1497839592.5</v>
      </c>
      <c r="M14" s="6">
        <f t="shared" si="0"/>
        <v>5.0725791298068493E-2</v>
      </c>
    </row>
    <row r="15" spans="1:13" x14ac:dyDescent="0.25">
      <c r="A15" s="1" t="s">
        <v>108</v>
      </c>
      <c r="B15" s="13" t="s">
        <v>109</v>
      </c>
      <c r="C15" s="10">
        <v>3775000</v>
      </c>
      <c r="D15" s="11">
        <v>3775000000</v>
      </c>
      <c r="E15" s="3">
        <v>5.4900000000000004E-2</v>
      </c>
      <c r="F15" s="4" t="s">
        <v>82</v>
      </c>
      <c r="G15" s="4" t="s">
        <v>110</v>
      </c>
      <c r="H15" s="11">
        <v>3136670150</v>
      </c>
      <c r="I15" s="11">
        <v>85.862300000000005</v>
      </c>
      <c r="J15" s="11">
        <v>89.08005</v>
      </c>
      <c r="K15" s="11">
        <v>121470062.5</v>
      </c>
      <c r="L15" s="11">
        <v>3362771887.5</v>
      </c>
      <c r="M15" s="6">
        <f t="shared" si="0"/>
        <v>0.11388353319171382</v>
      </c>
    </row>
    <row r="16" spans="1:13" x14ac:dyDescent="0.25">
      <c r="A16" s="1" t="s">
        <v>111</v>
      </c>
      <c r="B16" s="13" t="s">
        <v>112</v>
      </c>
      <c r="C16" s="10">
        <v>2803860</v>
      </c>
      <c r="D16" s="11">
        <v>2803860000</v>
      </c>
      <c r="E16" s="3">
        <v>5.5E-2</v>
      </c>
      <c r="F16" s="4" t="s">
        <v>113</v>
      </c>
      <c r="G16" s="4" t="s">
        <v>114</v>
      </c>
      <c r="H16" s="11">
        <v>1773018067.1400001</v>
      </c>
      <c r="I16" s="11">
        <v>56.793700000000001</v>
      </c>
      <c r="J16" s="11">
        <v>59.604811111111104</v>
      </c>
      <c r="K16" s="11">
        <v>78819620</v>
      </c>
      <c r="L16" s="11">
        <v>1671235456.8199999</v>
      </c>
      <c r="M16" s="6">
        <f t="shared" si="0"/>
        <v>5.6598010505977112E-2</v>
      </c>
    </row>
    <row r="17" spans="1:15" x14ac:dyDescent="0.25">
      <c r="A17" s="1" t="s">
        <v>115</v>
      </c>
      <c r="B17" s="13" t="s">
        <v>116</v>
      </c>
      <c r="C17" s="10">
        <v>1038480</v>
      </c>
      <c r="D17" s="11">
        <v>1038480000</v>
      </c>
      <c r="E17" s="3">
        <v>0.12</v>
      </c>
      <c r="F17" s="4" t="s">
        <v>113</v>
      </c>
      <c r="G17" s="4" t="s">
        <v>117</v>
      </c>
      <c r="H17" s="11">
        <v>979029096.96000004</v>
      </c>
      <c r="I17" s="11">
        <v>84.748100000000008</v>
      </c>
      <c r="J17" s="11">
        <v>92.448100000000011</v>
      </c>
      <c r="K17" s="11">
        <v>79962960</v>
      </c>
      <c r="L17" s="11">
        <v>960055028.88</v>
      </c>
      <c r="M17" s="6">
        <f t="shared" si="0"/>
        <v>3.2513195186905833E-2</v>
      </c>
    </row>
    <row r="18" spans="1:15" x14ac:dyDescent="0.25">
      <c r="A18" s="1" t="s">
        <v>118</v>
      </c>
      <c r="B18" s="13" t="s">
        <v>119</v>
      </c>
      <c r="C18" s="10">
        <v>506989</v>
      </c>
      <c r="D18" s="11">
        <v>506989000</v>
      </c>
      <c r="E18" s="3">
        <v>0.1535</v>
      </c>
      <c r="F18" s="4" t="s">
        <v>120</v>
      </c>
      <c r="G18" s="4" t="s">
        <v>121</v>
      </c>
      <c r="H18" s="11">
        <v>492216861.50999999</v>
      </c>
      <c r="I18" s="11">
        <v>97.491700000000009</v>
      </c>
      <c r="J18" s="11">
        <v>104.313922222222</v>
      </c>
      <c r="K18" s="11">
        <v>34587916.222222216</v>
      </c>
      <c r="L18" s="11">
        <v>528860111.13522202</v>
      </c>
      <c r="M18" s="6">
        <f t="shared" si="0"/>
        <v>1.7910360867509637E-2</v>
      </c>
    </row>
    <row r="19" spans="1:15" x14ac:dyDescent="0.25">
      <c r="A19" s="1" t="s">
        <v>122</v>
      </c>
      <c r="B19" s="13" t="s">
        <v>123</v>
      </c>
      <c r="C19" s="10">
        <v>2100000</v>
      </c>
      <c r="D19" s="11">
        <v>2100000000</v>
      </c>
      <c r="E19" s="3">
        <v>0.14300000000000002</v>
      </c>
      <c r="F19" s="4" t="s">
        <v>124</v>
      </c>
      <c r="G19" s="4" t="s">
        <v>125</v>
      </c>
      <c r="H19" s="11">
        <v>2100000000</v>
      </c>
      <c r="I19" s="11">
        <v>97.079126810604009</v>
      </c>
      <c r="J19" s="11">
        <v>99.263849032826215</v>
      </c>
      <c r="K19" s="11">
        <v>45879166.666666657</v>
      </c>
      <c r="L19" s="11">
        <v>2084540829.6893499</v>
      </c>
      <c r="M19" s="6">
        <f t="shared" si="0"/>
        <v>7.0594998028218101E-2</v>
      </c>
    </row>
    <row r="20" spans="1:15" x14ac:dyDescent="0.25">
      <c r="A20" s="1" t="s">
        <v>126</v>
      </c>
      <c r="B20" s="13" t="s">
        <v>127</v>
      </c>
      <c r="C20" s="10">
        <v>1000000</v>
      </c>
      <c r="D20" s="11">
        <v>1000000000</v>
      </c>
      <c r="E20" s="3">
        <v>0.1389</v>
      </c>
      <c r="F20" s="4" t="s">
        <v>128</v>
      </c>
      <c r="G20" s="4" t="s">
        <v>129</v>
      </c>
      <c r="H20" s="11">
        <v>1000000000</v>
      </c>
      <c r="I20" s="11">
        <v>98.035359886778693</v>
      </c>
      <c r="J20" s="11">
        <v>103.822859886779</v>
      </c>
      <c r="K20" s="11">
        <v>57874999.999999993</v>
      </c>
      <c r="L20" s="11">
        <v>1038228598.867786</v>
      </c>
      <c r="M20" s="6">
        <f t="shared" si="0"/>
        <v>3.5160618993888282E-2</v>
      </c>
    </row>
    <row r="21" spans="1:15" x14ac:dyDescent="0.25">
      <c r="A21" s="1" t="s">
        <v>130</v>
      </c>
      <c r="B21" s="13" t="s">
        <v>131</v>
      </c>
      <c r="C21" s="10">
        <v>165739</v>
      </c>
      <c r="D21" s="11">
        <v>165739000</v>
      </c>
      <c r="E21" s="3">
        <v>0.125</v>
      </c>
      <c r="F21" s="4" t="s">
        <v>132</v>
      </c>
      <c r="G21" s="4" t="s">
        <v>133</v>
      </c>
      <c r="H21" s="11">
        <v>159596381.18279999</v>
      </c>
      <c r="I21" s="11">
        <v>96.172780142173693</v>
      </c>
      <c r="J21" s="11">
        <v>100.895002364383</v>
      </c>
      <c r="K21" s="11">
        <v>7826563.8888666704</v>
      </c>
      <c r="L21" s="11">
        <v>167222367.96870399</v>
      </c>
      <c r="M21" s="6">
        <f t="shared" si="0"/>
        <v>5.6631477632337265E-3</v>
      </c>
    </row>
    <row r="22" spans="1:15" x14ac:dyDescent="0.25">
      <c r="A22" s="1" t="s">
        <v>134</v>
      </c>
      <c r="B22" s="13" t="s">
        <v>135</v>
      </c>
      <c r="C22" s="10">
        <v>494987</v>
      </c>
      <c r="D22" s="11">
        <v>494987000</v>
      </c>
      <c r="E22" s="3">
        <v>0.1701</v>
      </c>
      <c r="F22" s="4" t="s">
        <v>136</v>
      </c>
      <c r="G22" s="4" t="s">
        <v>137</v>
      </c>
      <c r="H22" s="11">
        <v>495088472.34249997</v>
      </c>
      <c r="I22" s="11">
        <v>101.03740000000001</v>
      </c>
      <c r="J22" s="11">
        <v>104.86465</v>
      </c>
      <c r="K22" s="11">
        <v>18944389.9575</v>
      </c>
      <c r="L22" s="11">
        <v>519066385.09549999</v>
      </c>
      <c r="M22" s="6">
        <f t="shared" si="0"/>
        <v>1.7578686831378563E-2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1447253942.5963659</v>
      </c>
      <c r="L24" s="22">
        <f>SUM(L4:L23)</f>
        <v>29528166129.50568</v>
      </c>
      <c r="M24" s="23"/>
      <c r="N24" s="26">
        <v>29528166129.505699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937482.47</v>
      </c>
      <c r="C27" s="51">
        <v>937482.47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1419204</v>
      </c>
      <c r="D32" s="7" t="s">
        <v>51</v>
      </c>
      <c r="E32" s="34" t="s">
        <v>52</v>
      </c>
      <c r="F32" s="34" t="s">
        <v>53</v>
      </c>
      <c r="G32" s="15">
        <v>960.17</v>
      </c>
      <c r="H32" s="15">
        <v>963.328038590647</v>
      </c>
      <c r="I32" s="16">
        <f t="shared" ref="I32:I57" si="1">+C32*G32</f>
        <v>1362677104.6799998</v>
      </c>
      <c r="J32" s="16">
        <f t="shared" ref="J32:J57" si="2">+C32*H32</f>
        <v>1367159005.6800005</v>
      </c>
      <c r="K32" s="18">
        <v>0.17150000000000001</v>
      </c>
      <c r="L32" s="17">
        <v>640271.57142857136</v>
      </c>
      <c r="M32" s="17"/>
      <c r="N32" s="35"/>
    </row>
    <row r="33" spans="1:14" s="36" customFormat="1" ht="12" customHeight="1" x14ac:dyDescent="0.25">
      <c r="A33" s="12" t="s">
        <v>49</v>
      </c>
      <c r="B33" s="7" t="s">
        <v>50</v>
      </c>
      <c r="C33" s="14">
        <v>1419204</v>
      </c>
      <c r="D33" s="7" t="s">
        <v>51</v>
      </c>
      <c r="E33" s="34" t="s">
        <v>53</v>
      </c>
      <c r="F33" s="34" t="s">
        <v>53</v>
      </c>
      <c r="G33" s="15">
        <v>960.17</v>
      </c>
      <c r="H33" s="15">
        <v>963.328038590647</v>
      </c>
      <c r="I33" s="16">
        <f t="shared" si="1"/>
        <v>1362677104.6799998</v>
      </c>
      <c r="J33" s="16">
        <f t="shared" si="2"/>
        <v>1367159005.6800005</v>
      </c>
      <c r="K33" s="18">
        <v>0.17150000000000001</v>
      </c>
      <c r="L33" s="17"/>
      <c r="M33" s="17"/>
      <c r="N33" s="35"/>
    </row>
    <row r="34" spans="1:14" s="36" customFormat="1" ht="12" customHeight="1" x14ac:dyDescent="0.25">
      <c r="A34" s="12" t="s">
        <v>54</v>
      </c>
      <c r="B34" s="7" t="s">
        <v>55</v>
      </c>
      <c r="C34" s="14">
        <v>9870</v>
      </c>
      <c r="D34" s="7" t="s">
        <v>51</v>
      </c>
      <c r="E34" s="34" t="s">
        <v>52</v>
      </c>
      <c r="F34" s="34" t="s">
        <v>53</v>
      </c>
      <c r="G34" s="15">
        <v>1013.8610000000001</v>
      </c>
      <c r="H34" s="15">
        <v>1017.1801337386011</v>
      </c>
      <c r="I34" s="16">
        <f t="shared" si="1"/>
        <v>10006808.07</v>
      </c>
      <c r="J34" s="16">
        <f t="shared" si="2"/>
        <v>10039567.919999992</v>
      </c>
      <c r="K34" s="18">
        <v>0.17070299999999999</v>
      </c>
      <c r="L34" s="17">
        <v>4679.9785714285708</v>
      </c>
      <c r="M34" s="17"/>
      <c r="N34" s="35"/>
    </row>
    <row r="35" spans="1:14" s="36" customFormat="1" ht="12" customHeight="1" x14ac:dyDescent="0.25">
      <c r="A35" s="12" t="s">
        <v>54</v>
      </c>
      <c r="B35" s="7" t="s">
        <v>55</v>
      </c>
      <c r="C35" s="14">
        <v>9870</v>
      </c>
      <c r="D35" s="7" t="s">
        <v>51</v>
      </c>
      <c r="E35" s="34" t="s">
        <v>53</v>
      </c>
      <c r="F35" s="34" t="s">
        <v>53</v>
      </c>
      <c r="G35" s="15">
        <v>1013.8610000000001</v>
      </c>
      <c r="H35" s="15">
        <v>1017.1801337386011</v>
      </c>
      <c r="I35" s="16">
        <f t="shared" si="1"/>
        <v>10006808.07</v>
      </c>
      <c r="J35" s="16">
        <f t="shared" si="2"/>
        <v>10039567.919999992</v>
      </c>
      <c r="K35" s="18">
        <v>0.17070299999999999</v>
      </c>
      <c r="L35" s="17"/>
      <c r="M35" s="17"/>
      <c r="N35" s="35"/>
    </row>
    <row r="36" spans="1:14" s="36" customFormat="1" ht="12" customHeight="1" x14ac:dyDescent="0.25">
      <c r="A36" s="12" t="s">
        <v>56</v>
      </c>
      <c r="B36" s="7" t="s">
        <v>57</v>
      </c>
      <c r="C36" s="14">
        <v>300472</v>
      </c>
      <c r="D36" s="7" t="s">
        <v>51</v>
      </c>
      <c r="E36" s="34" t="s">
        <v>52</v>
      </c>
      <c r="F36" s="34" t="s">
        <v>53</v>
      </c>
      <c r="G36" s="15">
        <v>945.80699998668808</v>
      </c>
      <c r="H36" s="15">
        <v>948.9177980643791</v>
      </c>
      <c r="I36" s="16">
        <f t="shared" si="1"/>
        <v>284188520.90000015</v>
      </c>
      <c r="J36" s="16">
        <f t="shared" si="2"/>
        <v>285123228.62000012</v>
      </c>
      <c r="K36" s="18">
        <v>0.17150000000000001</v>
      </c>
      <c r="L36" s="17">
        <v>133529.67428571419</v>
      </c>
      <c r="M36" s="17"/>
      <c r="N36" s="35"/>
    </row>
    <row r="37" spans="1:14" s="36" customFormat="1" ht="12" customHeight="1" x14ac:dyDescent="0.25">
      <c r="A37" s="12" t="s">
        <v>56</v>
      </c>
      <c r="B37" s="7" t="s">
        <v>57</v>
      </c>
      <c r="C37" s="14">
        <v>300472</v>
      </c>
      <c r="D37" s="7" t="s">
        <v>51</v>
      </c>
      <c r="E37" s="34" t="s">
        <v>53</v>
      </c>
      <c r="F37" s="34" t="s">
        <v>53</v>
      </c>
      <c r="G37" s="15">
        <v>945.80699998668808</v>
      </c>
      <c r="H37" s="15">
        <v>948.9177980643791</v>
      </c>
      <c r="I37" s="16">
        <f t="shared" si="1"/>
        <v>284188520.90000015</v>
      </c>
      <c r="J37" s="16">
        <f t="shared" si="2"/>
        <v>285123228.62000012</v>
      </c>
      <c r="K37" s="18">
        <v>0.17150000000000001</v>
      </c>
      <c r="L37" s="17"/>
      <c r="M37" s="17"/>
      <c r="N37" s="35"/>
    </row>
    <row r="38" spans="1:14" s="36" customFormat="1" ht="12" customHeight="1" x14ac:dyDescent="0.25">
      <c r="A38" s="12" t="s">
        <v>58</v>
      </c>
      <c r="B38" s="7" t="s">
        <v>59</v>
      </c>
      <c r="C38" s="14">
        <v>708992</v>
      </c>
      <c r="D38" s="7" t="s">
        <v>51</v>
      </c>
      <c r="E38" s="34" t="s">
        <v>60</v>
      </c>
      <c r="F38" s="34" t="s">
        <v>53</v>
      </c>
      <c r="G38" s="15">
        <v>539.03109999830701</v>
      </c>
      <c r="H38" s="15">
        <v>540.03826409889007</v>
      </c>
      <c r="I38" s="16">
        <f t="shared" si="1"/>
        <v>382168737.64999968</v>
      </c>
      <c r="J38" s="16">
        <f t="shared" si="2"/>
        <v>382882808.9400003</v>
      </c>
      <c r="K38" s="18">
        <v>0.17049799999999998</v>
      </c>
      <c r="L38" s="17">
        <v>178517.82250000001</v>
      </c>
      <c r="M38" s="17"/>
      <c r="N38" s="35"/>
    </row>
    <row r="39" spans="1:14" s="36" customFormat="1" ht="12" customHeight="1" x14ac:dyDescent="0.25">
      <c r="A39" s="12" t="s">
        <v>58</v>
      </c>
      <c r="B39" s="7" t="s">
        <v>59</v>
      </c>
      <c r="C39" s="14">
        <v>708992</v>
      </c>
      <c r="D39" s="7" t="s">
        <v>51</v>
      </c>
      <c r="E39" s="34" t="s">
        <v>53</v>
      </c>
      <c r="F39" s="34" t="s">
        <v>53</v>
      </c>
      <c r="G39" s="15">
        <v>539.03109999830701</v>
      </c>
      <c r="H39" s="15">
        <v>540.03826409889007</v>
      </c>
      <c r="I39" s="16">
        <f t="shared" si="1"/>
        <v>382168737.64999968</v>
      </c>
      <c r="J39" s="16">
        <f t="shared" si="2"/>
        <v>382882808.9400003</v>
      </c>
      <c r="K39" s="18">
        <v>0.17049799999999998</v>
      </c>
      <c r="L39" s="17"/>
      <c r="M39" s="17"/>
      <c r="N39" s="35"/>
    </row>
    <row r="40" spans="1:14" s="36" customFormat="1" ht="12" customHeight="1" x14ac:dyDescent="0.25">
      <c r="A40" s="12" t="s">
        <v>61</v>
      </c>
      <c r="B40" s="7" t="s">
        <v>62</v>
      </c>
      <c r="C40" s="14">
        <v>10836</v>
      </c>
      <c r="D40" s="7" t="s">
        <v>51</v>
      </c>
      <c r="E40" s="34" t="s">
        <v>60</v>
      </c>
      <c r="F40" s="34" t="s">
        <v>53</v>
      </c>
      <c r="G40" s="15">
        <v>831.21100036914004</v>
      </c>
      <c r="H40" s="15">
        <v>832.76046880767808</v>
      </c>
      <c r="I40" s="16">
        <f t="shared" si="1"/>
        <v>9007002.4000000022</v>
      </c>
      <c r="J40" s="16">
        <f t="shared" si="2"/>
        <v>9023792.4399999995</v>
      </c>
      <c r="K40" s="18">
        <v>0.1701</v>
      </c>
      <c r="L40" s="17">
        <v>4197.51</v>
      </c>
      <c r="M40" s="17"/>
      <c r="N40" s="35"/>
    </row>
    <row r="41" spans="1:14" s="36" customFormat="1" ht="12" customHeight="1" x14ac:dyDescent="0.25">
      <c r="A41" s="12" t="s">
        <v>61</v>
      </c>
      <c r="B41" s="7" t="s">
        <v>62</v>
      </c>
      <c r="C41" s="14">
        <v>10836</v>
      </c>
      <c r="D41" s="7" t="s">
        <v>51</v>
      </c>
      <c r="E41" s="34" t="s">
        <v>53</v>
      </c>
      <c r="F41" s="34" t="s">
        <v>53</v>
      </c>
      <c r="G41" s="15">
        <v>831.21100036914004</v>
      </c>
      <c r="H41" s="15">
        <v>832.76046880767808</v>
      </c>
      <c r="I41" s="16">
        <f t="shared" si="1"/>
        <v>9007002.4000000022</v>
      </c>
      <c r="J41" s="16">
        <f t="shared" si="2"/>
        <v>9023792.4399999995</v>
      </c>
      <c r="K41" s="18">
        <v>0.1701</v>
      </c>
      <c r="L41" s="17"/>
      <c r="M41" s="17"/>
      <c r="N41" s="35"/>
    </row>
    <row r="42" spans="1:14" s="36" customFormat="1" ht="12" customHeight="1" x14ac:dyDescent="0.25">
      <c r="A42" s="12" t="s">
        <v>63</v>
      </c>
      <c r="B42" s="7" t="s">
        <v>64</v>
      </c>
      <c r="C42" s="14">
        <v>105830</v>
      </c>
      <c r="D42" s="7" t="s">
        <v>51</v>
      </c>
      <c r="E42" s="34" t="s">
        <v>60</v>
      </c>
      <c r="F42" s="34" t="s">
        <v>53</v>
      </c>
      <c r="G42" s="15">
        <v>898.24900000000002</v>
      </c>
      <c r="H42" s="15">
        <v>899.92735245204608</v>
      </c>
      <c r="I42" s="16">
        <f t="shared" si="1"/>
        <v>95061691.670000002</v>
      </c>
      <c r="J42" s="16">
        <f t="shared" si="2"/>
        <v>95239311.710000038</v>
      </c>
      <c r="K42" s="18">
        <v>0.17049799999999998</v>
      </c>
      <c r="L42" s="17">
        <v>44405.01</v>
      </c>
      <c r="M42" s="17"/>
      <c r="N42" s="35"/>
    </row>
    <row r="43" spans="1:14" s="36" customFormat="1" ht="12" customHeight="1" x14ac:dyDescent="0.25">
      <c r="A43" s="12" t="s">
        <v>63</v>
      </c>
      <c r="B43" s="7" t="s">
        <v>64</v>
      </c>
      <c r="C43" s="14">
        <v>105830</v>
      </c>
      <c r="D43" s="7" t="s">
        <v>51</v>
      </c>
      <c r="E43" s="34" t="s">
        <v>53</v>
      </c>
      <c r="F43" s="34" t="s">
        <v>53</v>
      </c>
      <c r="G43" s="15">
        <v>898.24900000000002</v>
      </c>
      <c r="H43" s="15">
        <v>899.92735245204608</v>
      </c>
      <c r="I43" s="16">
        <f t="shared" si="1"/>
        <v>95061691.670000002</v>
      </c>
      <c r="J43" s="16">
        <f t="shared" si="2"/>
        <v>95239311.710000038</v>
      </c>
      <c r="K43" s="18">
        <v>0.17049799999999998</v>
      </c>
      <c r="L43" s="17"/>
      <c r="M43" s="17"/>
      <c r="N43" s="35"/>
    </row>
    <row r="44" spans="1:14" s="36" customFormat="1" ht="12" customHeight="1" x14ac:dyDescent="0.25">
      <c r="A44" s="12" t="s">
        <v>65</v>
      </c>
      <c r="B44" s="7" t="s">
        <v>66</v>
      </c>
      <c r="C44" s="14">
        <v>249480</v>
      </c>
      <c r="D44" s="7" t="s">
        <v>51</v>
      </c>
      <c r="E44" s="34" t="s">
        <v>60</v>
      </c>
      <c r="F44" s="34" t="s">
        <v>53</v>
      </c>
      <c r="G44" s="15">
        <v>794.029</v>
      </c>
      <c r="H44" s="15">
        <v>795.51262033028706</v>
      </c>
      <c r="I44" s="16">
        <f t="shared" si="1"/>
        <v>198094354.91999999</v>
      </c>
      <c r="J44" s="16">
        <f t="shared" si="2"/>
        <v>198464488.52000001</v>
      </c>
      <c r="K44" s="18">
        <v>0.17049799999999998</v>
      </c>
      <c r="L44" s="17">
        <v>92533.4</v>
      </c>
      <c r="M44" s="17"/>
      <c r="N44" s="35"/>
    </row>
    <row r="45" spans="1:14" s="36" customFormat="1" ht="12" customHeight="1" x14ac:dyDescent="0.25">
      <c r="A45" s="12" t="s">
        <v>65</v>
      </c>
      <c r="B45" s="7" t="s">
        <v>66</v>
      </c>
      <c r="C45" s="14">
        <v>249480</v>
      </c>
      <c r="D45" s="7" t="s">
        <v>51</v>
      </c>
      <c r="E45" s="34" t="s">
        <v>53</v>
      </c>
      <c r="F45" s="34" t="s">
        <v>53</v>
      </c>
      <c r="G45" s="15">
        <v>794.029</v>
      </c>
      <c r="H45" s="15">
        <v>795.51262033028706</v>
      </c>
      <c r="I45" s="16">
        <f t="shared" si="1"/>
        <v>198094354.91999999</v>
      </c>
      <c r="J45" s="16">
        <f t="shared" si="2"/>
        <v>198464488.52000001</v>
      </c>
      <c r="K45" s="18">
        <v>0.17049799999999998</v>
      </c>
      <c r="L45" s="17"/>
      <c r="M45" s="17"/>
      <c r="N45" s="35"/>
    </row>
    <row r="46" spans="1:14" s="36" customFormat="1" ht="12" customHeight="1" x14ac:dyDescent="0.25">
      <c r="A46" s="12" t="s">
        <v>67</v>
      </c>
      <c r="B46" s="7" t="s">
        <v>68</v>
      </c>
      <c r="C46" s="14">
        <v>180960</v>
      </c>
      <c r="D46" s="7" t="s">
        <v>51</v>
      </c>
      <c r="E46" s="34" t="s">
        <v>60</v>
      </c>
      <c r="F46" s="34" t="s">
        <v>53</v>
      </c>
      <c r="G46" s="15">
        <v>1077.9570000000001</v>
      </c>
      <c r="H46" s="15">
        <v>1079.9711316312992</v>
      </c>
      <c r="I46" s="16">
        <f t="shared" si="1"/>
        <v>195067098.72000003</v>
      </c>
      <c r="J46" s="16">
        <f t="shared" si="2"/>
        <v>195431575.9799999</v>
      </c>
      <c r="K46" s="18">
        <v>0.17049799999999998</v>
      </c>
      <c r="L46" s="17">
        <v>91119.315000000002</v>
      </c>
      <c r="M46" s="17"/>
      <c r="N46" s="35"/>
    </row>
    <row r="47" spans="1:14" s="36" customFormat="1" ht="12" customHeight="1" x14ac:dyDescent="0.25">
      <c r="A47" s="12" t="s">
        <v>67</v>
      </c>
      <c r="B47" s="7" t="s">
        <v>68</v>
      </c>
      <c r="C47" s="14">
        <v>180960</v>
      </c>
      <c r="D47" s="7" t="s">
        <v>51</v>
      </c>
      <c r="E47" s="34" t="s">
        <v>53</v>
      </c>
      <c r="F47" s="34" t="s">
        <v>53</v>
      </c>
      <c r="G47" s="15">
        <v>1077.9570000000001</v>
      </c>
      <c r="H47" s="15">
        <v>1079.9711316312992</v>
      </c>
      <c r="I47" s="16">
        <f t="shared" si="1"/>
        <v>195067098.72000003</v>
      </c>
      <c r="J47" s="16">
        <f t="shared" si="2"/>
        <v>195431575.9799999</v>
      </c>
      <c r="K47" s="18">
        <v>0.17049799999999998</v>
      </c>
      <c r="L47" s="17"/>
      <c r="M47" s="17"/>
      <c r="N47" s="35"/>
    </row>
    <row r="48" spans="1:14" s="36" customFormat="1" ht="12" customHeight="1" x14ac:dyDescent="0.25">
      <c r="A48" s="12" t="s">
        <v>69</v>
      </c>
      <c r="B48" s="7" t="s">
        <v>70</v>
      </c>
      <c r="C48" s="14">
        <v>209984</v>
      </c>
      <c r="D48" s="7" t="s">
        <v>51</v>
      </c>
      <c r="E48" s="34" t="s">
        <v>60</v>
      </c>
      <c r="F48" s="34" t="s">
        <v>53</v>
      </c>
      <c r="G48" s="15">
        <v>919.91700000952505</v>
      </c>
      <c r="H48" s="15">
        <v>921.63583844483401</v>
      </c>
      <c r="I48" s="16">
        <f t="shared" si="1"/>
        <v>193167851.3300001</v>
      </c>
      <c r="J48" s="16">
        <f t="shared" si="2"/>
        <v>193528779.90000004</v>
      </c>
      <c r="K48" s="18">
        <v>0.17049799999999998</v>
      </c>
      <c r="L48" s="17">
        <v>90232.142500000002</v>
      </c>
      <c r="M48" s="17"/>
      <c r="N48" s="35"/>
    </row>
    <row r="49" spans="1:15" s="36" customFormat="1" ht="12" customHeight="1" x14ac:dyDescent="0.25">
      <c r="A49" s="12" t="s">
        <v>69</v>
      </c>
      <c r="B49" s="7" t="s">
        <v>70</v>
      </c>
      <c r="C49" s="14">
        <v>209984</v>
      </c>
      <c r="D49" s="7" t="s">
        <v>51</v>
      </c>
      <c r="E49" s="34" t="s">
        <v>53</v>
      </c>
      <c r="F49" s="34" t="s">
        <v>53</v>
      </c>
      <c r="G49" s="15">
        <v>919.91700000952505</v>
      </c>
      <c r="H49" s="15">
        <v>921.63583844483401</v>
      </c>
      <c r="I49" s="16">
        <f t="shared" si="1"/>
        <v>193167851.3300001</v>
      </c>
      <c r="J49" s="16">
        <f t="shared" si="2"/>
        <v>193528779.90000004</v>
      </c>
      <c r="K49" s="18">
        <v>0.17049799999999998</v>
      </c>
      <c r="L49" s="17"/>
      <c r="M49" s="17"/>
      <c r="N49" s="35"/>
    </row>
    <row r="50" spans="1:15" s="36" customFormat="1" ht="12" customHeight="1" x14ac:dyDescent="0.25">
      <c r="A50" s="12" t="s">
        <v>71</v>
      </c>
      <c r="B50" s="7" t="s">
        <v>72</v>
      </c>
      <c r="C50" s="14">
        <v>153433</v>
      </c>
      <c r="D50" s="7" t="s">
        <v>51</v>
      </c>
      <c r="E50" s="34" t="s">
        <v>60</v>
      </c>
      <c r="F50" s="34" t="s">
        <v>53</v>
      </c>
      <c r="G50" s="15">
        <v>1049.656999993482</v>
      </c>
      <c r="H50" s="15">
        <v>1051.6182538958371</v>
      </c>
      <c r="I50" s="16">
        <f t="shared" si="1"/>
        <v>161052022.47999993</v>
      </c>
      <c r="J50" s="16">
        <f t="shared" si="2"/>
        <v>161352943.54999998</v>
      </c>
      <c r="K50" s="18">
        <v>0.17049799999999998</v>
      </c>
      <c r="L50" s="17">
        <v>75230.267500000002</v>
      </c>
      <c r="M50" s="17"/>
      <c r="N50" s="35"/>
    </row>
    <row r="51" spans="1:15" s="36" customFormat="1" ht="12" customHeight="1" x14ac:dyDescent="0.25">
      <c r="A51" s="12" t="s">
        <v>71</v>
      </c>
      <c r="B51" s="7" t="s">
        <v>72</v>
      </c>
      <c r="C51" s="14">
        <v>153433</v>
      </c>
      <c r="D51" s="7" t="s">
        <v>51</v>
      </c>
      <c r="E51" s="34" t="s">
        <v>53</v>
      </c>
      <c r="F51" s="34" t="s">
        <v>53</v>
      </c>
      <c r="G51" s="15">
        <v>1049.656999993482</v>
      </c>
      <c r="H51" s="15">
        <v>1051.6182538958371</v>
      </c>
      <c r="I51" s="16">
        <f t="shared" si="1"/>
        <v>161052022.47999993</v>
      </c>
      <c r="J51" s="16">
        <f t="shared" si="2"/>
        <v>161352943.54999998</v>
      </c>
      <c r="K51" s="18">
        <v>0.17049799999999998</v>
      </c>
      <c r="L51" s="17"/>
      <c r="M51" s="17"/>
      <c r="N51" s="35"/>
    </row>
    <row r="52" spans="1:15" s="36" customFormat="1" ht="12" customHeight="1" x14ac:dyDescent="0.25">
      <c r="A52" s="12" t="s">
        <v>73</v>
      </c>
      <c r="B52" s="7" t="s">
        <v>74</v>
      </c>
      <c r="C52" s="14">
        <v>172575</v>
      </c>
      <c r="D52" s="7" t="s">
        <v>51</v>
      </c>
      <c r="E52" s="34" t="s">
        <v>60</v>
      </c>
      <c r="F52" s="34" t="s">
        <v>53</v>
      </c>
      <c r="G52" s="15">
        <v>1026.6590000289721</v>
      </c>
      <c r="H52" s="15">
        <v>1028.5772828625231</v>
      </c>
      <c r="I52" s="16">
        <f t="shared" si="1"/>
        <v>177175676.92999986</v>
      </c>
      <c r="J52" s="16">
        <f t="shared" si="2"/>
        <v>177506724.58999994</v>
      </c>
      <c r="K52" s="18">
        <v>0.17049799999999998</v>
      </c>
      <c r="L52" s="17">
        <v>82761.914999999994</v>
      </c>
      <c r="M52" s="17"/>
      <c r="N52" s="35"/>
    </row>
    <row r="53" spans="1:15" s="36" customFormat="1" ht="12" customHeight="1" x14ac:dyDescent="0.25">
      <c r="A53" s="12" t="s">
        <v>73</v>
      </c>
      <c r="B53" s="7" t="s">
        <v>74</v>
      </c>
      <c r="C53" s="14">
        <v>172575</v>
      </c>
      <c r="D53" s="7" t="s">
        <v>51</v>
      </c>
      <c r="E53" s="34" t="s">
        <v>53</v>
      </c>
      <c r="F53" s="34" t="s">
        <v>53</v>
      </c>
      <c r="G53" s="15">
        <v>1026.6590000289721</v>
      </c>
      <c r="H53" s="15">
        <v>1028.5772828625231</v>
      </c>
      <c r="I53" s="16">
        <f t="shared" si="1"/>
        <v>177175676.92999986</v>
      </c>
      <c r="J53" s="16">
        <f t="shared" si="2"/>
        <v>177506724.58999994</v>
      </c>
      <c r="K53" s="18">
        <v>0.17049799999999998</v>
      </c>
      <c r="L53" s="17"/>
      <c r="M53" s="17"/>
      <c r="N53" s="35"/>
    </row>
    <row r="54" spans="1:15" s="36" customFormat="1" ht="12" customHeight="1" x14ac:dyDescent="0.25">
      <c r="A54" s="12" t="s">
        <v>75</v>
      </c>
      <c r="B54" s="7" t="s">
        <v>76</v>
      </c>
      <c r="C54" s="14">
        <v>180873</v>
      </c>
      <c r="D54" s="7" t="s">
        <v>51</v>
      </c>
      <c r="E54" s="34" t="s">
        <v>60</v>
      </c>
      <c r="F54" s="34" t="s">
        <v>53</v>
      </c>
      <c r="G54" s="15">
        <v>1045.7439999889421</v>
      </c>
      <c r="H54" s="15">
        <v>1047.6979425895511</v>
      </c>
      <c r="I54" s="16">
        <f t="shared" si="1"/>
        <v>189146854.5099999</v>
      </c>
      <c r="J54" s="16">
        <f t="shared" si="2"/>
        <v>189500269.96999988</v>
      </c>
      <c r="K54" s="18">
        <v>0.17049799999999998</v>
      </c>
      <c r="L54" s="17">
        <v>88353.865000000005</v>
      </c>
      <c r="M54" s="17"/>
      <c r="N54" s="35"/>
    </row>
    <row r="55" spans="1:15" s="36" customFormat="1" ht="12" customHeight="1" x14ac:dyDescent="0.25">
      <c r="A55" s="12" t="s">
        <v>75</v>
      </c>
      <c r="B55" s="7" t="s">
        <v>76</v>
      </c>
      <c r="C55" s="14">
        <v>180873</v>
      </c>
      <c r="D55" s="7" t="s">
        <v>51</v>
      </c>
      <c r="E55" s="34" t="s">
        <v>53</v>
      </c>
      <c r="F55" s="34" t="s">
        <v>53</v>
      </c>
      <c r="G55" s="15">
        <v>1045.7439999889421</v>
      </c>
      <c r="H55" s="15">
        <v>1047.6979425895511</v>
      </c>
      <c r="I55" s="16">
        <f t="shared" si="1"/>
        <v>189146854.5099999</v>
      </c>
      <c r="J55" s="16">
        <f t="shared" si="2"/>
        <v>189500269.96999988</v>
      </c>
      <c r="K55" s="18">
        <v>0.17049799999999998</v>
      </c>
      <c r="L55" s="17"/>
      <c r="M55" s="17"/>
      <c r="N55" s="35"/>
    </row>
    <row r="56" spans="1:15" s="36" customFormat="1" ht="12" customHeight="1" x14ac:dyDescent="0.25">
      <c r="A56" s="12" t="s">
        <v>77</v>
      </c>
      <c r="B56" s="7" t="s">
        <v>78</v>
      </c>
      <c r="C56" s="14">
        <v>3456000</v>
      </c>
      <c r="D56" s="7" t="s">
        <v>51</v>
      </c>
      <c r="E56" s="34" t="s">
        <v>53</v>
      </c>
      <c r="F56" s="34" t="s">
        <v>79</v>
      </c>
      <c r="G56" s="15">
        <v>926.31100000000004</v>
      </c>
      <c r="H56" s="15">
        <v>926.74623927951404</v>
      </c>
      <c r="I56" s="16">
        <f t="shared" si="1"/>
        <v>3201330816</v>
      </c>
      <c r="J56" s="16">
        <f t="shared" si="2"/>
        <v>3202835002.9500008</v>
      </c>
      <c r="K56" s="18">
        <v>0.17150000000000001</v>
      </c>
      <c r="L56" s="17"/>
      <c r="M56" s="17">
        <v>3201330816</v>
      </c>
      <c r="N56" s="35"/>
    </row>
    <row r="57" spans="1:15" s="36" customFormat="1" ht="12" customHeight="1" x14ac:dyDescent="0.25">
      <c r="A57" s="12" t="s">
        <v>77</v>
      </c>
      <c r="B57" s="7" t="s">
        <v>78</v>
      </c>
      <c r="C57" s="14">
        <v>75600</v>
      </c>
      <c r="D57" s="7" t="s">
        <v>51</v>
      </c>
      <c r="E57" s="34" t="s">
        <v>53</v>
      </c>
      <c r="F57" s="34" t="s">
        <v>79</v>
      </c>
      <c r="G57" s="15">
        <v>926.31100000000004</v>
      </c>
      <c r="H57" s="15">
        <v>926.74623928571407</v>
      </c>
      <c r="I57" s="16">
        <f t="shared" si="1"/>
        <v>70029111.600000009</v>
      </c>
      <c r="J57" s="16">
        <f t="shared" si="2"/>
        <v>70062015.689999983</v>
      </c>
      <c r="K57" s="18">
        <v>0.17150000000000001</v>
      </c>
      <c r="L57" s="17"/>
      <c r="M57" s="17">
        <v>70029111.599999994</v>
      </c>
      <c r="N57" s="35"/>
    </row>
    <row r="58" spans="1:15" s="36" customFormat="1" ht="11.25" hidden="1" x14ac:dyDescent="0.25">
      <c r="A58" s="7"/>
      <c r="B58" s="7"/>
      <c r="C58" s="7"/>
      <c r="D58" s="7"/>
      <c r="E58" s="37"/>
      <c r="F58" s="37"/>
      <c r="G58" s="7"/>
      <c r="H58" s="7"/>
      <c r="I58" s="8"/>
      <c r="J58" s="8"/>
      <c r="K58" s="7"/>
      <c r="L58" s="9"/>
      <c r="M58" s="9"/>
      <c r="N58" s="35"/>
    </row>
    <row r="59" spans="1:15" x14ac:dyDescent="0.25">
      <c r="A59" s="1" t="s">
        <v>5</v>
      </c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2">
        <f>SUM(M32:M58)</f>
        <v>3271359927.5999999</v>
      </c>
      <c r="N59" s="38">
        <v>3271359927.5999999</v>
      </c>
      <c r="O59" s="29">
        <f>M59-N59</f>
        <v>0</v>
      </c>
    </row>
    <row r="61" spans="1:15" x14ac:dyDescent="0.25">
      <c r="A61" s="39" t="s">
        <v>28</v>
      </c>
      <c r="B61" s="33"/>
      <c r="D61" s="33"/>
      <c r="F61" s="28"/>
      <c r="G61" s="28"/>
    </row>
    <row r="62" spans="1:15" ht="22.5" x14ac:dyDescent="0.25">
      <c r="A62" s="19" t="s">
        <v>6</v>
      </c>
      <c r="B62" s="19" t="s">
        <v>29</v>
      </c>
      <c r="C62" s="19" t="s">
        <v>17</v>
      </c>
      <c r="D62" s="19" t="s">
        <v>30</v>
      </c>
      <c r="E62" s="19" t="s">
        <v>16</v>
      </c>
      <c r="F62" s="19" t="s">
        <v>31</v>
      </c>
      <c r="G62" s="19" t="s">
        <v>32</v>
      </c>
    </row>
    <row r="63" spans="1:15" hidden="1" x14ac:dyDescent="0.25">
      <c r="B63" s="41"/>
      <c r="C63" s="42"/>
      <c r="D63" s="43"/>
      <c r="G63" s="44"/>
      <c r="H63" s="33"/>
    </row>
    <row r="64" spans="1:15" x14ac:dyDescent="0.25">
      <c r="G64" s="45">
        <f>SUM(G63:G63)</f>
        <v>0</v>
      </c>
    </row>
    <row r="66" spans="1:4" x14ac:dyDescent="0.25">
      <c r="A66" s="46" t="s">
        <v>13</v>
      </c>
      <c r="B66" s="47">
        <f>+L24+B27+M59+G64</f>
        <v>32800463539.57568</v>
      </c>
      <c r="C66" s="32">
        <v>32800463539.575699</v>
      </c>
      <c r="D66" s="29">
        <f>B66-C66</f>
        <v>0</v>
      </c>
    </row>
    <row r="69" spans="1:4" x14ac:dyDescent="0.25">
      <c r="A69" s="24" t="s">
        <v>46</v>
      </c>
      <c r="B69" s="33"/>
    </row>
    <row r="70" spans="1:4" x14ac:dyDescent="0.25">
      <c r="A70" s="48" t="s">
        <v>35</v>
      </c>
      <c r="B70" s="49"/>
    </row>
    <row r="71" spans="1:4" x14ac:dyDescent="0.25">
      <c r="A71" s="48" t="s">
        <v>36</v>
      </c>
      <c r="B71" s="40"/>
    </row>
    <row r="72" spans="1:4" x14ac:dyDescent="0.25">
      <c r="A72" s="48" t="s">
        <v>37</v>
      </c>
      <c r="B72" s="40">
        <v>565514.8600000001</v>
      </c>
    </row>
    <row r="73" spans="1:4" x14ac:dyDescent="0.25">
      <c r="A73" s="48" t="s">
        <v>38</v>
      </c>
      <c r="B73" s="40"/>
    </row>
    <row r="74" spans="1:4" x14ac:dyDescent="0.25">
      <c r="A74" s="48" t="s">
        <v>39</v>
      </c>
      <c r="B74" s="49"/>
    </row>
    <row r="75" spans="1:4" x14ac:dyDescent="0.25">
      <c r="A75" s="48" t="s">
        <v>40</v>
      </c>
      <c r="B75" s="50">
        <v>126246.53999999998</v>
      </c>
    </row>
    <row r="76" spans="1:4" x14ac:dyDescent="0.25">
      <c r="A76" s="48" t="s">
        <v>41</v>
      </c>
      <c r="B76" s="50">
        <v>62503.630000000005</v>
      </c>
    </row>
    <row r="77" spans="1:4" x14ac:dyDescent="0.25">
      <c r="A77" s="48" t="s">
        <v>42</v>
      </c>
      <c r="B77" s="40"/>
    </row>
    <row r="78" spans="1:4" x14ac:dyDescent="0.25">
      <c r="A78" s="48" t="s">
        <v>43</v>
      </c>
      <c r="B78" s="40"/>
    </row>
    <row r="79" spans="1:4" x14ac:dyDescent="0.25">
      <c r="A79" s="48" t="s">
        <v>44</v>
      </c>
      <c r="B79" s="50"/>
    </row>
    <row r="80" spans="1:4" x14ac:dyDescent="0.25">
      <c r="A80" s="48" t="s">
        <v>45</v>
      </c>
      <c r="B80" s="49">
        <f>SUM(B70:B79)</f>
        <v>754265.03000000014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2025-10-29T05:20:20Z</dcterms:created>
  <dcterms:modified xsi:type="dcterms:W3CDTF">2025-10-29T06:26:30Z</dcterms:modified>
</cp:coreProperties>
</file>