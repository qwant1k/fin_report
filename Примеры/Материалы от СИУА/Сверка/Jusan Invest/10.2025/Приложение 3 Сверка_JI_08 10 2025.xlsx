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07964757-6D5C-4C12-AE88-81891E9ED7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8" i="1" l="1"/>
  <c r="M7" i="1"/>
  <c r="M15" i="1"/>
  <c r="M21" i="1"/>
  <c r="M4" i="1"/>
  <c r="M10" i="1"/>
  <c r="M16" i="1"/>
  <c r="M22" i="1"/>
  <c r="M6" i="1"/>
  <c r="M12" i="1"/>
  <c r="M19" i="1"/>
  <c r="M9" i="1"/>
  <c r="M5" i="1"/>
  <c r="M11" i="1"/>
  <c r="M17" i="1"/>
  <c r="M13" i="1"/>
  <c r="B51" i="1"/>
  <c r="M8" i="1"/>
  <c r="M14" i="1"/>
</calcChain>
</file>

<file path=xl/sharedStrings.xml><?xml version="1.0" encoding="utf-8"?>
<sst xmlns="http://schemas.openxmlformats.org/spreadsheetml/2006/main" count="185" uniqueCount="127">
  <si>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</si>
  <si>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</si>
  <si>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</si>
  <si>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</si>
  <si>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</si>
  <si>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</si>
  <si>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</si>
  <si>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</si>
  <si>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</si>
  <si>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</si>
  <si>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</si>
  <si>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</si>
  <si>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</si>
  <si>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</si>
  <si>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</si>
  <si>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</si>
  <si>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</si>
  <si>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</si>
  <si>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</si>
  <si>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</si>
  <si>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</si>
  <si>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</si>
  <si>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</si>
  <si>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</si>
  <si>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</si>
  <si>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</si>
  <si>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</si>
  <si>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</si>
  <si>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</si>
  <si>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</si>
  <si>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</si>
  <si>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</si>
  <si>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</si>
  <si>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</si>
  <si>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</si>
  <si>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</si>
  <si>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</si>
  <si>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</si>
  <si>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</si>
  <si>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</si>
  <si>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</si>
  <si>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</si>
  <si>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</si>
  <si>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</si>
  <si>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</si>
  <si>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</si>
  <si>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</si>
  <si>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</si>
  <si>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</si>
  <si>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KFUSb10</t>
  </si>
  <si>
    <t>KZ2C00007326</t>
  </si>
  <si>
    <t>KZT</t>
  </si>
  <si>
    <t>06.10.2025</t>
  </si>
  <si>
    <t>13.10.2025</t>
  </si>
  <si>
    <t>МИНИСТЕРСТВО ФИНАНСОВ РК, ГЦБ, MUM072_0014</t>
  </si>
  <si>
    <t>KZKD00001210</t>
  </si>
  <si>
    <t>REPUBLIC OF KAZAKHSTAN, ЕВРО ОБЛИГАЦИИ, KZ_22_4507</t>
  </si>
  <si>
    <t>XS1263139856</t>
  </si>
  <si>
    <t>07.10.2025</t>
  </si>
  <si>
    <t>08.10.2025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</si>
  <si>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</si>
  <si>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</si>
  <si>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MUM180_0011</t>
  </si>
  <si>
    <t>KZKD00000790</t>
  </si>
  <si>
    <t>09.10.2025</t>
  </si>
  <si>
    <t>МИНИСТЕРСТВО ФИНАНСОВ РК, ГЦБ, KZ_06_4410</t>
  </si>
  <si>
    <t>XS1120709826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</si>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</sst>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25" zoomScale="90" zoomScaleNormal="90" workbookViewId="0">
      <selection activeCell="A30" sqref="A3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59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98.357500000000002</v>
      </c>
      <c r="J4" s="11">
        <v>100.639694444444</v>
      </c>
      <c r="K4" s="11">
        <v>68922272.222222224</v>
      </c>
      <c r="L4" s="11">
        <v>3039318772.2222219</v>
      </c>
      <c r="M4" s="6">
        <f t="shared" ref="M4:M22" si="0">L4/$L$24</f>
        <v>0.1035054295983702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83.017499999999998</v>
      </c>
      <c r="J5" s="11">
        <v>85.068888888888878</v>
      </c>
      <c r="K5" s="11">
        <v>46463958.333333328</v>
      </c>
      <c r="L5" s="11">
        <v>1926810333.333333</v>
      </c>
      <c r="M5" s="6">
        <f t="shared" si="0"/>
        <v>6.5618431712059874E-2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83.017499999999998</v>
      </c>
      <c r="J6" s="11">
        <v>85.068888888889134</v>
      </c>
      <c r="K6" s="11">
        <v>31830293.638888881</v>
      </c>
      <c r="L6" s="11">
        <v>1319968011.6888919</v>
      </c>
      <c r="M6" s="6">
        <f t="shared" si="0"/>
        <v>4.4952131166574434E-2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83.017499999999998</v>
      </c>
      <c r="J7" s="11">
        <v>85.068888888888893</v>
      </c>
      <c r="K7" s="11">
        <v>11194265.05555555</v>
      </c>
      <c r="L7" s="11">
        <v>464214121.15555602</v>
      </c>
      <c r="M7" s="6">
        <f t="shared" si="0"/>
        <v>1.5809030127071706E-2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87.205600000000004</v>
      </c>
      <c r="J8" s="11">
        <v>92.290044444444433</v>
      </c>
      <c r="K8" s="11">
        <v>115162666.666667</v>
      </c>
      <c r="L8" s="11">
        <v>2090369506.666666</v>
      </c>
      <c r="M8" s="6">
        <f t="shared" si="0"/>
        <v>7.1188516250524705E-2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85.090699999999998</v>
      </c>
      <c r="J9" s="11">
        <v>90.835144444444438</v>
      </c>
      <c r="K9" s="11">
        <v>130111666.666667</v>
      </c>
      <c r="L9" s="11">
        <v>2057416021.666666</v>
      </c>
      <c r="M9" s="6">
        <f t="shared" si="0"/>
        <v>7.006626982712813E-2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77.4983</v>
      </c>
      <c r="J10" s="11">
        <v>83.249133333333333</v>
      </c>
      <c r="K10" s="11">
        <v>130256375</v>
      </c>
      <c r="L10" s="11">
        <v>1885592870</v>
      </c>
      <c r="M10" s="6">
        <f t="shared" si="0"/>
        <v>6.4214751621553129E-2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67.945900000000009</v>
      </c>
      <c r="J11" s="11">
        <v>71.983122222222221</v>
      </c>
      <c r="K11" s="11">
        <v>91443083.333333328</v>
      </c>
      <c r="L11" s="11">
        <v>1630417718.333333</v>
      </c>
      <c r="M11" s="6">
        <f t="shared" si="0"/>
        <v>5.5524641871473747E-2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75.747600000000006</v>
      </c>
      <c r="J12" s="11">
        <v>77.877600000000001</v>
      </c>
      <c r="K12" s="11">
        <v>48244500</v>
      </c>
      <c r="L12" s="11">
        <v>1763927640</v>
      </c>
      <c r="M12" s="6">
        <f t="shared" si="0"/>
        <v>6.0071385018014199E-2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61.360500000000002</v>
      </c>
      <c r="J13" s="11">
        <v>64.633333333333326</v>
      </c>
      <c r="K13" s="11">
        <v>74129675</v>
      </c>
      <c r="L13" s="11">
        <v>1463945000</v>
      </c>
      <c r="M13" s="6">
        <f t="shared" si="0"/>
        <v>4.9855335188350919E-2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59.9129</v>
      </c>
      <c r="J14" s="11">
        <v>65.494649999999993</v>
      </c>
      <c r="K14" s="11">
        <v>126426637.5</v>
      </c>
      <c r="L14" s="11">
        <v>1483453822.5</v>
      </c>
      <c r="M14" s="6">
        <f t="shared" si="0"/>
        <v>5.0519717309856542E-2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85.93480000000001</v>
      </c>
      <c r="J15" s="11">
        <v>88.847549999999998</v>
      </c>
      <c r="K15" s="11">
        <v>109956312.5</v>
      </c>
      <c r="L15" s="11">
        <v>3353995012.5</v>
      </c>
      <c r="M15" s="6">
        <f t="shared" si="0"/>
        <v>0.11422187689308323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56.7774</v>
      </c>
      <c r="J16" s="11">
        <v>59.282955555555546</v>
      </c>
      <c r="K16" s="11">
        <v>70252270</v>
      </c>
      <c r="L16" s="11">
        <v>1662211077.6400001</v>
      </c>
      <c r="M16" s="6">
        <f t="shared" si="0"/>
        <v>5.6607379668998634E-2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85.336399999999998</v>
      </c>
      <c r="J17" s="11">
        <v>92.369733333333329</v>
      </c>
      <c r="K17" s="11">
        <v>73039760</v>
      </c>
      <c r="L17" s="11">
        <v>959241206.72000003</v>
      </c>
      <c r="M17" s="6">
        <f t="shared" si="0"/>
        <v>3.266741024253221E-2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98.256600000000006</v>
      </c>
      <c r="J18" s="11">
        <v>104.226044444444</v>
      </c>
      <c r="K18" s="11">
        <v>30264426.69444444</v>
      </c>
      <c r="L18" s="11">
        <v>528414580.46844399</v>
      </c>
      <c r="M18" s="6">
        <f t="shared" si="0"/>
        <v>1.7995406950169646E-2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94.6182903801827</v>
      </c>
      <c r="J19" s="11">
        <v>96.008568157960468</v>
      </c>
      <c r="K19" s="11">
        <v>29195833.333333328</v>
      </c>
      <c r="L19" s="11">
        <v>2016179931.3171699</v>
      </c>
      <c r="M19" s="6">
        <f t="shared" si="0"/>
        <v>6.8661955384829235E-2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98.302549007079392</v>
      </c>
      <c r="J20" s="11">
        <v>103.31838234041301</v>
      </c>
      <c r="K20" s="11">
        <v>50158333.333333328</v>
      </c>
      <c r="L20" s="11">
        <v>1033183823.404127</v>
      </c>
      <c r="M20" s="6">
        <f t="shared" si="0"/>
        <v>3.5185560814781101E-2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96.253549550208689</v>
      </c>
      <c r="J21" s="11">
        <v>100.281327327973</v>
      </c>
      <c r="K21" s="11">
        <v>6675598.6110888897</v>
      </c>
      <c r="L21" s="11">
        <v>166205269.10010901</v>
      </c>
      <c r="M21" s="6">
        <f t="shared" si="0"/>
        <v>5.6601985737551605E-3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101.96770000000001</v>
      </c>
      <c r="J22" s="11">
        <v>104.84995000000001</v>
      </c>
      <c r="K22" s="11">
        <v>14266762.807499999</v>
      </c>
      <c r="L22" s="11">
        <v>518993622.00650001</v>
      </c>
      <c r="M22" s="6">
        <f t="shared" si="0"/>
        <v>1.7674571780873158E-2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1257994690.6963673</v>
      </c>
      <c r="L24" s="22">
        <f>SUM(L4:L23)</f>
        <v>29363858340.723019</v>
      </c>
      <c r="M24" s="23"/>
      <c r="N24" s="26">
        <v>29363858340.723038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8730214.25</v>
      </c>
      <c r="C27" s="51">
        <v>8730214.25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340996</v>
      </c>
      <c r="D32" s="7" t="s">
        <v>51</v>
      </c>
      <c r="E32" s="34" t="s">
        <v>52</v>
      </c>
      <c r="F32" s="34" t="s">
        <v>53</v>
      </c>
      <c r="G32" s="15">
        <v>956.06500000000005</v>
      </c>
      <c r="H32" s="15">
        <v>958.99867889945904</v>
      </c>
      <c r="I32" s="16">
        <f t="shared" ref="I32:I42" si="1">+C32*G32</f>
        <v>326014340.74000001</v>
      </c>
      <c r="J32" s="16">
        <f t="shared" ref="J32:J42" si="2">+C32*H32</f>
        <v>327014713.50999993</v>
      </c>
      <c r="K32" s="18">
        <v>0.16</v>
      </c>
      <c r="L32" s="17">
        <v>142910.3957142857</v>
      </c>
      <c r="M32" s="17">
        <v>326300161.53142899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1221445</v>
      </c>
      <c r="D33" s="7" t="s">
        <v>51</v>
      </c>
      <c r="E33" s="34" t="s">
        <v>52</v>
      </c>
      <c r="F33" s="34" t="s">
        <v>53</v>
      </c>
      <c r="G33" s="15">
        <v>1047.699000004093</v>
      </c>
      <c r="H33" s="15">
        <v>1050.9138572101072</v>
      </c>
      <c r="I33" s="16">
        <f t="shared" si="1"/>
        <v>1279706705.0599995</v>
      </c>
      <c r="J33" s="16">
        <f t="shared" si="2"/>
        <v>1283633476.3199992</v>
      </c>
      <c r="K33" s="18">
        <v>0.16</v>
      </c>
      <c r="L33" s="17">
        <v>560967.32285714278</v>
      </c>
      <c r="M33" s="17">
        <v>1280828639.705714</v>
      </c>
      <c r="N33" s="35"/>
    </row>
    <row r="34" spans="1:15" s="36" customFormat="1" ht="12" customHeight="1" x14ac:dyDescent="0.25">
      <c r="A34" s="12" t="s">
        <v>49</v>
      </c>
      <c r="B34" s="7" t="s">
        <v>50</v>
      </c>
      <c r="C34" s="14">
        <v>10460</v>
      </c>
      <c r="D34" s="7" t="s">
        <v>51</v>
      </c>
      <c r="E34" s="34" t="s">
        <v>52</v>
      </c>
      <c r="F34" s="34" t="s">
        <v>53</v>
      </c>
      <c r="G34" s="15">
        <v>956.06500000000005</v>
      </c>
      <c r="H34" s="15">
        <v>958.99867877629106</v>
      </c>
      <c r="I34" s="16">
        <f t="shared" si="1"/>
        <v>10000439.9</v>
      </c>
      <c r="J34" s="16">
        <f t="shared" si="2"/>
        <v>10031126.180000005</v>
      </c>
      <c r="K34" s="18">
        <v>0.16</v>
      </c>
      <c r="L34" s="17">
        <v>4383.7542857142853</v>
      </c>
      <c r="M34" s="17">
        <v>10009207.40857142</v>
      </c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1698599</v>
      </c>
      <c r="D35" s="7" t="s">
        <v>51</v>
      </c>
      <c r="E35" s="34" t="s">
        <v>58</v>
      </c>
      <c r="F35" s="34" t="s">
        <v>59</v>
      </c>
      <c r="G35" s="15">
        <v>622.40280000164807</v>
      </c>
      <c r="H35" s="15">
        <v>622.66796064874598</v>
      </c>
      <c r="I35" s="16">
        <f t="shared" si="1"/>
        <v>1057212773.6799995</v>
      </c>
      <c r="J35" s="16">
        <f t="shared" si="2"/>
        <v>1057663175.2899992</v>
      </c>
      <c r="K35" s="18">
        <v>0.1555</v>
      </c>
      <c r="L35" s="17">
        <v>450401.61</v>
      </c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1698599</v>
      </c>
      <c r="D36" s="7" t="s">
        <v>51</v>
      </c>
      <c r="E36" s="34" t="s">
        <v>59</v>
      </c>
      <c r="F36" s="34" t="s">
        <v>59</v>
      </c>
      <c r="G36" s="15">
        <v>622.40280000164807</v>
      </c>
      <c r="H36" s="15">
        <v>622.66796064874598</v>
      </c>
      <c r="I36" s="16">
        <f t="shared" si="1"/>
        <v>1057212773.6799995</v>
      </c>
      <c r="J36" s="16">
        <f t="shared" si="2"/>
        <v>1057663175.2899992</v>
      </c>
      <c r="K36" s="18">
        <v>0.1555</v>
      </c>
      <c r="L36" s="17"/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527040</v>
      </c>
      <c r="D37" s="7" t="s">
        <v>51</v>
      </c>
      <c r="E37" s="34" t="s">
        <v>58</v>
      </c>
      <c r="F37" s="34" t="s">
        <v>59</v>
      </c>
      <c r="G37" s="15">
        <v>1041.8399999999999</v>
      </c>
      <c r="H37" s="15">
        <v>1042.2838523831201</v>
      </c>
      <c r="I37" s="16">
        <f t="shared" si="1"/>
        <v>549091353.5999999</v>
      </c>
      <c r="J37" s="16">
        <f t="shared" si="2"/>
        <v>549325281.55999959</v>
      </c>
      <c r="K37" s="18">
        <v>0.1555</v>
      </c>
      <c r="L37" s="17">
        <v>233927.96</v>
      </c>
      <c r="M37" s="17"/>
      <c r="N37" s="35"/>
    </row>
    <row r="38" spans="1:15" s="36" customFormat="1" ht="12" customHeight="1" x14ac:dyDescent="0.25">
      <c r="A38" s="12" t="s">
        <v>60</v>
      </c>
      <c r="B38" s="7" t="s">
        <v>61</v>
      </c>
      <c r="C38" s="14">
        <v>527040</v>
      </c>
      <c r="D38" s="7" t="s">
        <v>51</v>
      </c>
      <c r="E38" s="34" t="s">
        <v>59</v>
      </c>
      <c r="F38" s="34" t="s">
        <v>59</v>
      </c>
      <c r="G38" s="15">
        <v>1041.8399999999999</v>
      </c>
      <c r="H38" s="15">
        <v>1042.2838523831201</v>
      </c>
      <c r="I38" s="16">
        <f t="shared" si="1"/>
        <v>549091353.5999999</v>
      </c>
      <c r="J38" s="16">
        <f t="shared" si="2"/>
        <v>549325281.55999959</v>
      </c>
      <c r="K38" s="18">
        <v>0.1555</v>
      </c>
      <c r="L38" s="17"/>
      <c r="M38" s="17"/>
      <c r="N38" s="35"/>
    </row>
    <row r="39" spans="1:15" s="36" customFormat="1" ht="12" customHeight="1" x14ac:dyDescent="0.25">
      <c r="A39" s="12" t="s">
        <v>60</v>
      </c>
      <c r="B39" s="7" t="s">
        <v>61</v>
      </c>
      <c r="C39" s="14">
        <v>9600</v>
      </c>
      <c r="D39" s="7" t="s">
        <v>51</v>
      </c>
      <c r="E39" s="34" t="s">
        <v>58</v>
      </c>
      <c r="F39" s="34" t="s">
        <v>59</v>
      </c>
      <c r="G39" s="15">
        <v>1041.8399999999999</v>
      </c>
      <c r="H39" s="15">
        <v>1042.2838520833332</v>
      </c>
      <c r="I39" s="16">
        <f t="shared" si="1"/>
        <v>10001664</v>
      </c>
      <c r="J39" s="16">
        <f t="shared" si="2"/>
        <v>10005924.979999999</v>
      </c>
      <c r="K39" s="18">
        <v>0.1555</v>
      </c>
      <c r="L39" s="17">
        <v>4260.9800000000005</v>
      </c>
      <c r="M39" s="17"/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9600</v>
      </c>
      <c r="D40" s="7" t="s">
        <v>51</v>
      </c>
      <c r="E40" s="34" t="s">
        <v>59</v>
      </c>
      <c r="F40" s="34" t="s">
        <v>59</v>
      </c>
      <c r="G40" s="15">
        <v>1041.8399999999999</v>
      </c>
      <c r="H40" s="15">
        <v>1042.2838520833332</v>
      </c>
      <c r="I40" s="16">
        <f t="shared" si="1"/>
        <v>10001664</v>
      </c>
      <c r="J40" s="16">
        <f t="shared" si="2"/>
        <v>10005924.979999999</v>
      </c>
      <c r="K40" s="18">
        <v>0.1555</v>
      </c>
      <c r="L40" s="17"/>
      <c r="M40" s="17"/>
      <c r="N40" s="35"/>
    </row>
    <row r="41" spans="1:15" s="36" customFormat="1" ht="12" customHeight="1" x14ac:dyDescent="0.25">
      <c r="A41" s="12" t="s">
        <v>62</v>
      </c>
      <c r="B41" s="7" t="s">
        <v>63</v>
      </c>
      <c r="C41" s="14">
        <v>2102254</v>
      </c>
      <c r="D41" s="7" t="s">
        <v>51</v>
      </c>
      <c r="E41" s="34" t="s">
        <v>59</v>
      </c>
      <c r="F41" s="34" t="s">
        <v>64</v>
      </c>
      <c r="G41" s="15">
        <v>764.22900000190305</v>
      </c>
      <c r="H41" s="15">
        <v>764.55374498038805</v>
      </c>
      <c r="I41" s="16">
        <f t="shared" si="1"/>
        <v>1606603472.1700008</v>
      </c>
      <c r="J41" s="16">
        <f t="shared" si="2"/>
        <v>1607286168.6000006</v>
      </c>
      <c r="K41" s="18">
        <v>0.15510000000000002</v>
      </c>
      <c r="L41" s="17"/>
      <c r="M41" s="17">
        <v>1606603472.1700001</v>
      </c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19100</v>
      </c>
      <c r="D42" s="7" t="s">
        <v>51</v>
      </c>
      <c r="E42" s="34" t="s">
        <v>59</v>
      </c>
      <c r="F42" s="34" t="s">
        <v>64</v>
      </c>
      <c r="G42" s="15">
        <v>523.61120000000005</v>
      </c>
      <c r="H42" s="15">
        <v>523.83355549738201</v>
      </c>
      <c r="I42" s="16">
        <f t="shared" si="1"/>
        <v>10000973.920000002</v>
      </c>
      <c r="J42" s="16">
        <f t="shared" si="2"/>
        <v>10005220.909999996</v>
      </c>
      <c r="K42" s="18">
        <v>0.155</v>
      </c>
      <c r="L42" s="17"/>
      <c r="M42" s="17">
        <v>10000973.92</v>
      </c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3233742454.7357149</v>
      </c>
      <c r="N44" s="38">
        <v>3233742454.7357144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32606331009.708733</v>
      </c>
      <c r="C51" s="32">
        <v>32606331009.708755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179023.8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37916.400000000001</v>
      </c>
    </row>
    <row r="61" spans="1:7" x14ac:dyDescent="0.25">
      <c r="A61" s="48" t="s">
        <v>41</v>
      </c>
      <c r="B61" s="50">
        <v>18590.13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235530.33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2025-10-09T05:23:15Z</dcterms:created>
  <dcterms:modified xsi:type="dcterms:W3CDTF">2025-10-09T12:03:57Z</dcterms:modified>
</cp:coreProperties>
</file>