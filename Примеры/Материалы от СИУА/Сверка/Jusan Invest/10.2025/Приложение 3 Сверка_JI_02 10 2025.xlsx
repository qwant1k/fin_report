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906DAF54-AB4E-4F55-BCBA-4CFCFC8ED4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9" i="1" l="1"/>
  <c r="O102" i="1"/>
  <c r="O24" i="1"/>
  <c r="D27" i="1"/>
  <c r="B123" i="1"/>
  <c r="G107" i="1"/>
  <c r="B109" i="1" s="1"/>
  <c r="M102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1" i="1"/>
  <c r="M20" i="1"/>
  <c r="M18" i="1"/>
  <c r="M17" i="1"/>
  <c r="M15" i="1"/>
  <c r="M14" i="1"/>
  <c r="M12" i="1"/>
  <c r="M11" i="1"/>
  <c r="M9" i="1"/>
  <c r="M8" i="1"/>
  <c r="M6" i="1"/>
  <c r="M5" i="1"/>
  <c r="M7" i="1" l="1"/>
  <c r="M13" i="1"/>
  <c r="M19" i="1"/>
  <c r="M4" i="1"/>
  <c r="M10" i="1"/>
  <c r="M16" i="1"/>
</calcChain>
</file>

<file path=xl/sharedStrings.xml><?xml version="1.0" encoding="utf-8"?>
<sst xmlns="http://schemas.openxmlformats.org/spreadsheetml/2006/main" count="475" uniqueCount="159">
  <si>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</si>
  <si>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</si>
  <si>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</si>
  <si>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</si>
  <si>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</si>
  <si>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</si>
  <si>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</si>
  <si>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</si>
  <si>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</si>
  <si>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</si>
  <si>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</si>
  <si>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</si>
  <si>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</si>
  <si>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</si>
  <si>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</si>
  <si>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</si>
  <si>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</si>
  <si>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</si>
  <si>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</si>
  <si>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</si>
  <si>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</si>
  <si>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</si>
  <si>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</si>
  <si>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</si>
  <si>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</si>
  <si>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</si>
  <si>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</si>
  <si>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</si>
  <si>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</si>
  <si>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</si>
  <si>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</si>
  <si>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</si>
  <si>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</si>
  <si>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</si>
  <si>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</si>
  <si>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</si>
  <si>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</si>
  <si>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</si>
  <si>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</si>
  <si>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</si>
  <si>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</si>
  <si>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</si>
  <si>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</si>
  <si>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</si>
  <si>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</si>
  <si>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</si>
  <si>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</si>
  <si>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</si>
  <si>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</si>
  <si>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MFKZ.0435</t>
  </si>
  <si>
    <t>XS2914770545</t>
  </si>
  <si>
    <t>KZT</t>
  </si>
  <si>
    <t>29.09.2025</t>
  </si>
  <si>
    <t>06.10.2025</t>
  </si>
  <si>
    <t>МИНИСТЕРСТВО ФИНАНСОВ РК, ГЦБ, MUM120_0018</t>
  </si>
  <si>
    <t>KZKD00000907</t>
  </si>
  <si>
    <t>МИНИСТЕРСТВО ФИНАНСОВ РК, ГЦБ, KZ_24_3207</t>
  </si>
  <si>
    <t>XS3093655341</t>
  </si>
  <si>
    <t>02.10.2025</t>
  </si>
  <si>
    <t>03.10.2025</t>
  </si>
  <si>
    <t>Европейский банк реконструкции и развития, ОБЛИГАЦИИ, EBRDe21</t>
  </si>
  <si>
    <t>XS2733527670</t>
  </si>
  <si>
    <t>МИНИСТЕРСТВО ФИНАНСОВ РК, ГЦБ, MUM168_0003</t>
  </si>
  <si>
    <t>KZKD00000949</t>
  </si>
  <si>
    <t>АКЦИОНЕРНОЕ ОБЩЕСТВО КАЗАХСТАНСКИЙ ФОНД УСТОЙЧИВОСТИ, ОБЛИГАЦИИ, KFUSb7</t>
  </si>
  <si>
    <t>KZ2C00007136</t>
  </si>
  <si>
    <t>01.10.2025</t>
  </si>
  <si>
    <t>АКЦИОНЕРНОЕ ОБЩЕСТВО КАЗАХСТАНСКИЙ ФОНД УСТОЙЧИВОСТИ, ОБЛИГАЦИИ, KFUSb10</t>
  </si>
  <si>
    <t>KZ2C00007326</t>
  </si>
  <si>
    <t>МИНИСТЕРСТВО ФИНАНСОВ РК, ГЦБ, MUM096_0012</t>
  </si>
  <si>
    <t>KZKD00001160</t>
  </si>
  <si>
    <t>МИНИСТЕРСТВО ФИНАНСОВ РК, ГЦБ, MUM240_0001</t>
  </si>
  <si>
    <t>KZKD00000550</t>
  </si>
  <si>
    <t>АКЦИОНЕРНОЕ ОБЩЕСТВО КАЗАХСТАНСКИЙ ФОНД УСТОЙЧИВОСТИ, ОБЛИГАЦИИ, KFUSb1</t>
  </si>
  <si>
    <t>KZ2C00006906</t>
  </si>
  <si>
    <t>МИНИСТЕРСТВО ФИНАНСОВ РК, ГЦБ, MUM192_0002</t>
  </si>
  <si>
    <t>KZKD00000543</t>
  </si>
  <si>
    <t>МИНИСТЕРСТВО ФИНАНСОВ РК, ГЦБ, MUM168_0005</t>
  </si>
  <si>
    <t>KZKD00001111</t>
  </si>
  <si>
    <t>АКЦИОНЕРНОЕ ОБЩЕСТВО КАЗАХСТАНСКИЙ ФОНД УСТОЙЧИВОСТИ, ОБЛИГАЦИИ, KFUSb46</t>
  </si>
  <si>
    <t>KZ2C00008928</t>
  </si>
  <si>
    <t>МИНИСТЕРСТВО ФИНАНСОВ РК, ГЦБ, MUM216_0001</t>
  </si>
  <si>
    <t>KZKD00000972</t>
  </si>
  <si>
    <t>АКЦИОНЕРНОЕ ОБЩЕСТВО КАЗАХСТАНСКИЙ ФОНД УСТОЙЧИВОСТИ, ОБЛИГАЦИИ, KFUSb47</t>
  </si>
  <si>
    <t>KZ2C00008936</t>
  </si>
  <si>
    <t>АКЦИОНЕРНОЕ ОБЩЕСТВО КАЗАХСТАНСКИЙ ФОНД УСТОЙЧИВОСТИ, ОБЛИГАЦИИ, KFUSb5</t>
  </si>
  <si>
    <t>KZ2C00007110</t>
  </si>
  <si>
    <t>АКЦИОНЕРНОЕ ОБЩЕСТВО КАЗАХСТАНСКИЙ ФОНД УСТОЙЧИВОСТИ, ОБЛИГАЦИИ, KFUSb11</t>
  </si>
  <si>
    <t>KZ2C00007334</t>
  </si>
  <si>
    <t>МИНИСТЕРСТВО ФИНАНСОВ РК, ГЦБ, MUM180_0015</t>
  </si>
  <si>
    <t>KZKD00001186</t>
  </si>
  <si>
    <t>ГУ "Национальный Банк Республики Казахстан", ГЦБ, NTK028_2867</t>
  </si>
  <si>
    <t>KZW100014338</t>
  </si>
  <si>
    <t>АКЦИОНЕРНОЕ ОБЩЕСТВО КАЗАХСТАНСКИЙ ФОНД УСТОЙЧИВОСТИ, ОБЛИГАЦИИ, KFUSb44</t>
  </si>
  <si>
    <t>KZ2C00008902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</si>
  <si>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</si>
  <si>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</si>
  <si>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MUM084_0019</t>
  </si>
  <si>
    <t>KZKD00001244</t>
  </si>
  <si>
    <t>АКЦИОНЕРНОЕ ОБЩЕСТВО КАЗАХСТАНСКИЙ ФОНД УСТОЙЧИВОСТИ, ОБЛИГАЦИИ, KFUSb6</t>
  </si>
  <si>
    <t>KZ2C00007128</t>
  </si>
  <si>
    <t>МИНИСТЕРСТВО ФИНАНСОВ РК, ГЦБ, MUM096_0013</t>
  </si>
  <si>
    <t>KZKD00001202</t>
  </si>
  <si>
    <t>МИНИСТЕРСТВО ФИНАНСОВ РК, ГЦБ, MOM060_0052</t>
  </si>
  <si>
    <t>KZK200000679</t>
  </si>
  <si>
    <t>МИНИСТЕРСТВО ФИНАНСОВ РК, ГЦБ, MUM132_0007</t>
  </si>
  <si>
    <t>KZKD00001152</t>
  </si>
  <si>
    <t>МИНИСТЕРСТВО ФИНАНСОВ РК, ГЦБ, MOM048_0052</t>
  </si>
  <si>
    <t>KZK200000687</t>
  </si>
  <si>
    <t>18.07.2024</t>
  </si>
  <si>
    <t>21.01.2026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</si>
  <si>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</si>
  <si>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</si>
  <si>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</si>
  <si>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</si>
  <si>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</si>
  <si>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</si>
  <si>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</si>
  <si>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</si>
  <si>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</si>
  <si>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</si>
  <si>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</si>
  <si>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</si>
  <si>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16.04.2032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</si>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</sst>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3"/>
  <sheetViews>
    <sheetView tabSelected="1" topLeftCell="A70" zoomScale="90" zoomScaleNormal="90" workbookViewId="0">
      <selection activeCell="D110" sqref="D11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58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107</v>
      </c>
      <c r="B4" s="13" t="s">
        <v>108</v>
      </c>
      <c r="C4" s="10">
        <v>3020000</v>
      </c>
      <c r="D4" s="11">
        <v>3020000000</v>
      </c>
      <c r="E4" s="3">
        <v>0.1067</v>
      </c>
      <c r="F4" s="4" t="s">
        <v>109</v>
      </c>
      <c r="G4" s="4" t="s">
        <v>110</v>
      </c>
      <c r="H4" s="11">
        <v>2930617060.0000029</v>
      </c>
      <c r="I4" s="11">
        <v>98.182600000000008</v>
      </c>
      <c r="J4" s="11">
        <v>100.28696111111101</v>
      </c>
      <c r="K4" s="11">
        <v>63551705.555555552</v>
      </c>
      <c r="L4" s="11">
        <v>3028666225.5555549</v>
      </c>
      <c r="M4" s="6">
        <f t="shared" ref="M4:M22" si="0">L4/$L$24</f>
        <v>0.10337852156636884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109</v>
      </c>
      <c r="G5" s="4" t="s">
        <v>111</v>
      </c>
      <c r="H5" s="11">
        <v>2039188560.0000031</v>
      </c>
      <c r="I5" s="11">
        <v>83.018200000000007</v>
      </c>
      <c r="J5" s="11">
        <v>84.893755555555543</v>
      </c>
      <c r="K5" s="11">
        <v>42481333.333333328</v>
      </c>
      <c r="L5" s="11">
        <v>1922843563.333333</v>
      </c>
      <c r="M5" s="6">
        <f t="shared" si="0"/>
        <v>6.5633090600581354E-2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112</v>
      </c>
      <c r="G6" s="4" t="s">
        <v>111</v>
      </c>
      <c r="H6" s="11">
        <v>1395452658.7</v>
      </c>
      <c r="I6" s="11">
        <v>83.018200000000007</v>
      </c>
      <c r="J6" s="11">
        <v>84.893755555555799</v>
      </c>
      <c r="K6" s="11">
        <v>29101982.755555551</v>
      </c>
      <c r="L6" s="11">
        <v>1317250562.327559</v>
      </c>
      <c r="M6" s="6">
        <f t="shared" si="0"/>
        <v>4.4962173288313437E-2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113</v>
      </c>
      <c r="G7" s="4" t="s">
        <v>111</v>
      </c>
      <c r="H7" s="11">
        <v>449784993.92000002</v>
      </c>
      <c r="I7" s="11">
        <v>83.018200000000007</v>
      </c>
      <c r="J7" s="11">
        <v>84.893755555555543</v>
      </c>
      <c r="K7" s="11">
        <v>10234756.622222221</v>
      </c>
      <c r="L7" s="11">
        <v>463258432.56622201</v>
      </c>
      <c r="M7" s="6">
        <f t="shared" si="0"/>
        <v>1.5812561799563984E-2</v>
      </c>
    </row>
    <row r="8" spans="1:13" x14ac:dyDescent="0.25">
      <c r="A8" s="1" t="s">
        <v>114</v>
      </c>
      <c r="B8" s="13" t="s">
        <v>115</v>
      </c>
      <c r="C8" s="10">
        <v>2265000</v>
      </c>
      <c r="D8" s="11">
        <v>2265000000</v>
      </c>
      <c r="E8" s="3">
        <v>0.10400000000000001</v>
      </c>
      <c r="F8" s="4" t="s">
        <v>109</v>
      </c>
      <c r="G8" s="4" t="s">
        <v>116</v>
      </c>
      <c r="H8" s="11">
        <v>2073109200</v>
      </c>
      <c r="I8" s="11">
        <v>87.165400000000005</v>
      </c>
      <c r="J8" s="11">
        <v>92.076511111111103</v>
      </c>
      <c r="K8" s="11">
        <v>111236666.666667</v>
      </c>
      <c r="L8" s="11">
        <v>2085532976.666666</v>
      </c>
      <c r="M8" s="6">
        <f t="shared" si="0"/>
        <v>7.1186225139800774E-2</v>
      </c>
    </row>
    <row r="9" spans="1:13" x14ac:dyDescent="0.25">
      <c r="A9" s="1" t="s">
        <v>117</v>
      </c>
      <c r="B9" s="13" t="s">
        <v>118</v>
      </c>
      <c r="C9" s="10">
        <v>2265000</v>
      </c>
      <c r="D9" s="11">
        <v>2265000000</v>
      </c>
      <c r="E9" s="3">
        <v>0.11</v>
      </c>
      <c r="F9" s="4" t="s">
        <v>109</v>
      </c>
      <c r="G9" s="4" t="s">
        <v>119</v>
      </c>
      <c r="H9" s="11">
        <v>2080889475</v>
      </c>
      <c r="I9" s="11">
        <v>85.075900000000004</v>
      </c>
      <c r="J9" s="11">
        <v>90.637011111111107</v>
      </c>
      <c r="K9" s="11">
        <v>125959166.666667</v>
      </c>
      <c r="L9" s="11">
        <v>2052928301.666666</v>
      </c>
      <c r="M9" s="6">
        <f t="shared" si="0"/>
        <v>7.0073318385926411E-2</v>
      </c>
    </row>
    <row r="10" spans="1:13" x14ac:dyDescent="0.25">
      <c r="A10" s="1" t="s">
        <v>120</v>
      </c>
      <c r="B10" s="13" t="s">
        <v>121</v>
      </c>
      <c r="C10" s="10">
        <v>2265000</v>
      </c>
      <c r="D10" s="11">
        <v>2265000000</v>
      </c>
      <c r="E10" s="3">
        <v>0.10300000000000001</v>
      </c>
      <c r="F10" s="4" t="s">
        <v>109</v>
      </c>
      <c r="G10" s="4" t="s">
        <v>122</v>
      </c>
      <c r="H10" s="11">
        <v>1963990560.0000031</v>
      </c>
      <c r="I10" s="11">
        <v>77.508499999999998</v>
      </c>
      <c r="J10" s="11">
        <v>83.087666666666649</v>
      </c>
      <c r="K10" s="11">
        <v>126368125</v>
      </c>
      <c r="L10" s="11">
        <v>1881935650</v>
      </c>
      <c r="M10" s="6">
        <f t="shared" si="0"/>
        <v>6.4236766514063903E-2</v>
      </c>
    </row>
    <row r="11" spans="1:13" x14ac:dyDescent="0.25">
      <c r="A11" s="1" t="s">
        <v>62</v>
      </c>
      <c r="B11" s="13" t="s">
        <v>63</v>
      </c>
      <c r="C11" s="10">
        <v>2265000</v>
      </c>
      <c r="D11" s="11">
        <v>2265000000</v>
      </c>
      <c r="E11" s="3">
        <v>8.4500000000000006E-2</v>
      </c>
      <c r="F11" s="4" t="s">
        <v>109</v>
      </c>
      <c r="G11" s="4" t="s">
        <v>123</v>
      </c>
      <c r="H11" s="11">
        <v>1740247065.0000031</v>
      </c>
      <c r="I11" s="11">
        <v>67.959800000000001</v>
      </c>
      <c r="J11" s="11">
        <v>71.85618888888888</v>
      </c>
      <c r="K11" s="11">
        <v>88253208.333333328</v>
      </c>
      <c r="L11" s="11">
        <v>1627542678.333333</v>
      </c>
      <c r="M11" s="6">
        <f t="shared" si="0"/>
        <v>5.555348240508251E-2</v>
      </c>
    </row>
    <row r="12" spans="1:13" x14ac:dyDescent="0.25">
      <c r="A12" s="1" t="s">
        <v>105</v>
      </c>
      <c r="B12" s="13" t="s">
        <v>106</v>
      </c>
      <c r="C12" s="10">
        <v>2265000</v>
      </c>
      <c r="D12" s="11">
        <v>2265000000</v>
      </c>
      <c r="E12" s="3">
        <v>0.10650000000000001</v>
      </c>
      <c r="F12" s="4" t="s">
        <v>109</v>
      </c>
      <c r="G12" s="4" t="s">
        <v>124</v>
      </c>
      <c r="H12" s="11">
        <v>1967775375</v>
      </c>
      <c r="I12" s="11">
        <v>75.791800000000009</v>
      </c>
      <c r="J12" s="11">
        <v>77.74430000000001</v>
      </c>
      <c r="K12" s="11">
        <v>44224125</v>
      </c>
      <c r="L12" s="11">
        <v>1760908395</v>
      </c>
      <c r="M12" s="6">
        <f t="shared" si="0"/>
        <v>6.0105700969249401E-2</v>
      </c>
    </row>
    <row r="13" spans="1:13" x14ac:dyDescent="0.25">
      <c r="A13" s="1" t="s">
        <v>125</v>
      </c>
      <c r="B13" s="13" t="s">
        <v>126</v>
      </c>
      <c r="C13" s="10">
        <v>2265000</v>
      </c>
      <c r="D13" s="11">
        <v>2265000000</v>
      </c>
      <c r="E13" s="3">
        <v>8.0700000000000008E-2</v>
      </c>
      <c r="F13" s="4" t="s">
        <v>109</v>
      </c>
      <c r="G13" s="4" t="s">
        <v>127</v>
      </c>
      <c r="H13" s="11">
        <v>1622351550</v>
      </c>
      <c r="I13" s="11">
        <v>61.394400000000005</v>
      </c>
      <c r="J13" s="11">
        <v>64.532733333333326</v>
      </c>
      <c r="K13" s="11">
        <v>71083250</v>
      </c>
      <c r="L13" s="11">
        <v>1461666410</v>
      </c>
      <c r="M13" s="6">
        <f t="shared" si="0"/>
        <v>4.9891569831635847E-2</v>
      </c>
    </row>
    <row r="14" spans="1:13" x14ac:dyDescent="0.25">
      <c r="A14" s="1" t="s">
        <v>128</v>
      </c>
      <c r="B14" s="13" t="s">
        <v>129</v>
      </c>
      <c r="C14" s="10">
        <v>2265000</v>
      </c>
      <c r="D14" s="11">
        <v>2265000000</v>
      </c>
      <c r="E14" s="3">
        <v>8.0700000000000008E-2</v>
      </c>
      <c r="F14" s="4" t="s">
        <v>109</v>
      </c>
      <c r="G14" s="4" t="s">
        <v>130</v>
      </c>
      <c r="H14" s="11">
        <v>1597764975</v>
      </c>
      <c r="I14" s="11">
        <v>59.942500000000003</v>
      </c>
      <c r="J14" s="11">
        <v>65.389749999999992</v>
      </c>
      <c r="K14" s="11">
        <v>123380212.5</v>
      </c>
      <c r="L14" s="11">
        <v>1481077837.5</v>
      </c>
      <c r="M14" s="6">
        <f t="shared" si="0"/>
        <v>5.0554146862907968E-2</v>
      </c>
    </row>
    <row r="15" spans="1:13" x14ac:dyDescent="0.25">
      <c r="A15" s="1" t="s">
        <v>131</v>
      </c>
      <c r="B15" s="13" t="s">
        <v>132</v>
      </c>
      <c r="C15" s="10">
        <v>3775000</v>
      </c>
      <c r="D15" s="11">
        <v>3775000000</v>
      </c>
      <c r="E15" s="3">
        <v>5.4900000000000004E-2</v>
      </c>
      <c r="F15" s="4" t="s">
        <v>109</v>
      </c>
      <c r="G15" s="4" t="s">
        <v>133</v>
      </c>
      <c r="H15" s="11">
        <v>3136670150</v>
      </c>
      <c r="I15" s="11">
        <v>85.806200000000004</v>
      </c>
      <c r="J15" s="11">
        <v>88.627449999999996</v>
      </c>
      <c r="K15" s="11">
        <v>106502187.5</v>
      </c>
      <c r="L15" s="11">
        <v>3345686237.5</v>
      </c>
      <c r="M15" s="6">
        <f t="shared" si="0"/>
        <v>0.11419947630388129</v>
      </c>
    </row>
    <row r="16" spans="1:13" x14ac:dyDescent="0.25">
      <c r="A16" s="1" t="s">
        <v>71</v>
      </c>
      <c r="B16" s="13" t="s">
        <v>72</v>
      </c>
      <c r="C16" s="10">
        <v>2803860</v>
      </c>
      <c r="D16" s="11">
        <v>2803860000</v>
      </c>
      <c r="E16" s="3">
        <v>5.5E-2</v>
      </c>
      <c r="F16" s="4" t="s">
        <v>134</v>
      </c>
      <c r="G16" s="4" t="s">
        <v>135</v>
      </c>
      <c r="H16" s="11">
        <v>1773018067.1400001</v>
      </c>
      <c r="I16" s="11">
        <v>56.770800000000001</v>
      </c>
      <c r="J16" s="11">
        <v>59.184688888888878</v>
      </c>
      <c r="K16" s="11">
        <v>67682065</v>
      </c>
      <c r="L16" s="11">
        <v>1659455817.8800001</v>
      </c>
      <c r="M16" s="6">
        <f t="shared" si="0"/>
        <v>5.6642784737917319E-2</v>
      </c>
    </row>
    <row r="17" spans="1:15" x14ac:dyDescent="0.25">
      <c r="A17" s="1" t="s">
        <v>136</v>
      </c>
      <c r="B17" s="13" t="s">
        <v>137</v>
      </c>
      <c r="C17" s="10">
        <v>1038480</v>
      </c>
      <c r="D17" s="11">
        <v>1038480000</v>
      </c>
      <c r="E17" s="3">
        <v>0.12</v>
      </c>
      <c r="F17" s="4" t="s">
        <v>134</v>
      </c>
      <c r="G17" s="4" t="s">
        <v>138</v>
      </c>
      <c r="H17" s="11">
        <v>979029096.96000004</v>
      </c>
      <c r="I17" s="11">
        <v>85.343299999999999</v>
      </c>
      <c r="J17" s="11">
        <v>92.176633333333328</v>
      </c>
      <c r="K17" s="11">
        <v>70962800</v>
      </c>
      <c r="L17" s="11">
        <v>957235901.84000003</v>
      </c>
      <c r="M17" s="6">
        <f t="shared" si="0"/>
        <v>3.2673667202901158E-2</v>
      </c>
    </row>
    <row r="18" spans="1:15" x14ac:dyDescent="0.25">
      <c r="A18" s="1" t="s">
        <v>139</v>
      </c>
      <c r="B18" s="13" t="s">
        <v>140</v>
      </c>
      <c r="C18" s="10">
        <v>506989</v>
      </c>
      <c r="D18" s="11">
        <v>506989000</v>
      </c>
      <c r="E18" s="3">
        <v>0.1535</v>
      </c>
      <c r="F18" s="4" t="s">
        <v>141</v>
      </c>
      <c r="G18" s="4" t="s">
        <v>142</v>
      </c>
      <c r="H18" s="11">
        <v>492216861.50999999</v>
      </c>
      <c r="I18" s="11">
        <v>98.260600000000011</v>
      </c>
      <c r="J18" s="11">
        <v>103.974211111111</v>
      </c>
      <c r="K18" s="11">
        <v>28967379.83611111</v>
      </c>
      <c r="L18" s="11">
        <v>527137813.170111</v>
      </c>
      <c r="M18" s="6">
        <f t="shared" si="0"/>
        <v>1.7992978997630794E-2</v>
      </c>
    </row>
    <row r="19" spans="1:15" x14ac:dyDescent="0.25">
      <c r="A19" s="1" t="s">
        <v>143</v>
      </c>
      <c r="B19" s="13" t="s">
        <v>144</v>
      </c>
      <c r="C19" s="10">
        <v>2100000</v>
      </c>
      <c r="D19" s="11">
        <v>2100000000</v>
      </c>
      <c r="E19" s="3">
        <v>0.14300000000000002</v>
      </c>
      <c r="F19" s="4" t="s">
        <v>145</v>
      </c>
      <c r="G19" s="4" t="s">
        <v>146</v>
      </c>
      <c r="H19" s="11">
        <v>2100000000</v>
      </c>
      <c r="I19" s="11">
        <v>94.600575548047303</v>
      </c>
      <c r="J19" s="11">
        <v>95.752519992491742</v>
      </c>
      <c r="K19" s="11">
        <v>24190833.333333328</v>
      </c>
      <c r="L19" s="11">
        <v>2010802919.8423259</v>
      </c>
      <c r="M19" s="6">
        <f t="shared" si="0"/>
        <v>6.8635438022394357E-2</v>
      </c>
    </row>
    <row r="20" spans="1:15" x14ac:dyDescent="0.25">
      <c r="A20" s="1" t="s">
        <v>147</v>
      </c>
      <c r="B20" s="13" t="s">
        <v>148</v>
      </c>
      <c r="C20" s="10">
        <v>1000000</v>
      </c>
      <c r="D20" s="11">
        <v>1000000000</v>
      </c>
      <c r="E20" s="3">
        <v>0.1389</v>
      </c>
      <c r="F20" s="4" t="s">
        <v>149</v>
      </c>
      <c r="G20" s="4" t="s">
        <v>150</v>
      </c>
      <c r="H20" s="11">
        <v>1000000000</v>
      </c>
      <c r="I20" s="11">
        <v>98.177391478870007</v>
      </c>
      <c r="J20" s="11">
        <v>102.961724812203</v>
      </c>
      <c r="K20" s="11">
        <v>47843333.333333328</v>
      </c>
      <c r="L20" s="11">
        <v>1029617248.122033</v>
      </c>
      <c r="M20" s="6">
        <f t="shared" si="0"/>
        <v>3.5144284963446029E-2</v>
      </c>
    </row>
    <row r="21" spans="1:15" x14ac:dyDescent="0.25">
      <c r="A21" s="1" t="s">
        <v>151</v>
      </c>
      <c r="B21" s="13" t="s">
        <v>152</v>
      </c>
      <c r="C21" s="10">
        <v>165739</v>
      </c>
      <c r="D21" s="11">
        <v>165739000</v>
      </c>
      <c r="E21" s="3">
        <v>0.125</v>
      </c>
      <c r="F21" s="4" t="s">
        <v>153</v>
      </c>
      <c r="G21" s="4" t="s">
        <v>154</v>
      </c>
      <c r="H21" s="11">
        <v>159596381.18279999</v>
      </c>
      <c r="I21" s="11">
        <v>96.007047472169006</v>
      </c>
      <c r="J21" s="11">
        <v>99.82649191660002</v>
      </c>
      <c r="K21" s="11">
        <v>6330309.0277555604</v>
      </c>
      <c r="L21" s="11">
        <v>165451429.43765399</v>
      </c>
      <c r="M21" s="6">
        <f t="shared" si="0"/>
        <v>5.6474113991117061E-3</v>
      </c>
    </row>
    <row r="22" spans="1:15" x14ac:dyDescent="0.25">
      <c r="A22" s="1" t="s">
        <v>155</v>
      </c>
      <c r="B22" s="13" t="s">
        <v>156</v>
      </c>
      <c r="C22" s="10">
        <v>494987</v>
      </c>
      <c r="D22" s="11">
        <v>494987000</v>
      </c>
      <c r="E22" s="3">
        <v>0.1701</v>
      </c>
      <c r="F22" s="4" t="s">
        <v>157</v>
      </c>
      <c r="G22" s="4" t="s">
        <v>158</v>
      </c>
      <c r="H22" s="11">
        <v>495088472.34249997</v>
      </c>
      <c r="I22" s="11">
        <v>102.0228</v>
      </c>
      <c r="J22" s="11">
        <v>104.62155</v>
      </c>
      <c r="K22" s="11">
        <v>12863474.6625</v>
      </c>
      <c r="L22" s="11">
        <v>517863071.69849998</v>
      </c>
      <c r="M22" s="6">
        <f t="shared" si="0"/>
        <v>1.7676401009222856E-2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1201216915.1263669</v>
      </c>
      <c r="L24" s="22">
        <f>SUM(L4:L23)</f>
        <v>29296861472.43996</v>
      </c>
      <c r="M24" s="23"/>
      <c r="N24" s="26">
        <v>29296861472.439987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6346784.9199999999</v>
      </c>
      <c r="C27" s="51">
        <v>6346784.9199999999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349330</v>
      </c>
      <c r="D32" s="7" t="s">
        <v>51</v>
      </c>
      <c r="E32" s="34" t="s">
        <v>52</v>
      </c>
      <c r="F32" s="34" t="s">
        <v>53</v>
      </c>
      <c r="G32" s="15">
        <v>552.491300002863</v>
      </c>
      <c r="H32" s="15">
        <v>554.19191363467201</v>
      </c>
      <c r="I32" s="16">
        <f t="shared" ref="I32:I63" si="1">+C32*G32</f>
        <v>193001785.83000013</v>
      </c>
      <c r="J32" s="16">
        <f t="shared" ref="J32:J63" si="2">+C32*H32</f>
        <v>193595861.18999997</v>
      </c>
      <c r="K32" s="18">
        <v>0.1605</v>
      </c>
      <c r="L32" s="17">
        <v>84867.908571428605</v>
      </c>
      <c r="M32" s="17">
        <v>193256389.55571401</v>
      </c>
      <c r="N32" s="35"/>
    </row>
    <row r="33" spans="1:14" s="36" customFormat="1" ht="12" customHeight="1" x14ac:dyDescent="0.25">
      <c r="A33" s="12" t="s">
        <v>54</v>
      </c>
      <c r="B33" s="7" t="s">
        <v>55</v>
      </c>
      <c r="C33" s="14">
        <v>1440400</v>
      </c>
      <c r="D33" s="7" t="s">
        <v>51</v>
      </c>
      <c r="E33" s="34" t="s">
        <v>52</v>
      </c>
      <c r="F33" s="34" t="s">
        <v>53</v>
      </c>
      <c r="G33" s="15">
        <v>903.21300000000008</v>
      </c>
      <c r="H33" s="15">
        <v>905.98450290197206</v>
      </c>
      <c r="I33" s="16">
        <f t="shared" si="1"/>
        <v>1300988005.2</v>
      </c>
      <c r="J33" s="16">
        <f t="shared" si="2"/>
        <v>1304980077.9800005</v>
      </c>
      <c r="K33" s="18">
        <v>0.16</v>
      </c>
      <c r="L33" s="17">
        <v>570296.1114285714</v>
      </c>
      <c r="M33" s="17">
        <v>1302698893.5342851</v>
      </c>
      <c r="N33" s="35"/>
    </row>
    <row r="34" spans="1:14" s="36" customFormat="1" ht="12" customHeight="1" x14ac:dyDescent="0.25">
      <c r="A34" s="12" t="s">
        <v>56</v>
      </c>
      <c r="B34" s="7" t="s">
        <v>57</v>
      </c>
      <c r="C34" s="14">
        <v>10632</v>
      </c>
      <c r="D34" s="7" t="s">
        <v>51</v>
      </c>
      <c r="E34" s="34" t="s">
        <v>52</v>
      </c>
      <c r="F34" s="34" t="s">
        <v>53</v>
      </c>
      <c r="G34" s="15">
        <v>564.63099981188907</v>
      </c>
      <c r="H34" s="15">
        <v>566.363566591422</v>
      </c>
      <c r="I34" s="16">
        <f t="shared" si="1"/>
        <v>6003156.7900000047</v>
      </c>
      <c r="J34" s="16">
        <f t="shared" si="2"/>
        <v>6021577.4399999985</v>
      </c>
      <c r="K34" s="18">
        <v>0.16</v>
      </c>
      <c r="L34" s="17">
        <v>2631.5214285714283</v>
      </c>
      <c r="M34" s="17">
        <v>6011051.3542857096</v>
      </c>
      <c r="N34" s="35"/>
    </row>
    <row r="35" spans="1:14" s="36" customFormat="1" ht="12" customHeight="1" x14ac:dyDescent="0.25">
      <c r="A35" s="12" t="s">
        <v>49</v>
      </c>
      <c r="B35" s="7" t="s">
        <v>50</v>
      </c>
      <c r="C35" s="14">
        <v>3086914</v>
      </c>
      <c r="D35" s="7" t="s">
        <v>51</v>
      </c>
      <c r="E35" s="34" t="s">
        <v>58</v>
      </c>
      <c r="F35" s="34" t="s">
        <v>59</v>
      </c>
      <c r="G35" s="15">
        <v>555.487100000194</v>
      </c>
      <c r="H35" s="15">
        <v>555.729840254701</v>
      </c>
      <c r="I35" s="16">
        <f t="shared" si="1"/>
        <v>1714740905.809999</v>
      </c>
      <c r="J35" s="16">
        <f t="shared" si="2"/>
        <v>1715490224.1000001</v>
      </c>
      <c r="K35" s="18">
        <v>0.1595</v>
      </c>
      <c r="L35" s="17"/>
      <c r="M35" s="17">
        <v>1714740905.8099999</v>
      </c>
      <c r="N35" s="35"/>
    </row>
    <row r="36" spans="1:14" s="36" customFormat="1" ht="12" customHeight="1" x14ac:dyDescent="0.25">
      <c r="A36" s="12" t="s">
        <v>60</v>
      </c>
      <c r="B36" s="7" t="s">
        <v>61</v>
      </c>
      <c r="C36" s="14">
        <v>10041086</v>
      </c>
      <c r="D36" s="7" t="s">
        <v>51</v>
      </c>
      <c r="E36" s="34" t="s">
        <v>58</v>
      </c>
      <c r="F36" s="34" t="s">
        <v>59</v>
      </c>
      <c r="G36" s="15">
        <v>1.09549999970123</v>
      </c>
      <c r="H36" s="15">
        <v>1.0959772180021199</v>
      </c>
      <c r="I36" s="16">
        <f t="shared" si="1"/>
        <v>11000009.710000025</v>
      </c>
      <c r="J36" s="16">
        <f t="shared" si="2"/>
        <v>11004801.500000034</v>
      </c>
      <c r="K36" s="18">
        <v>0.159</v>
      </c>
      <c r="L36" s="17"/>
      <c r="M36" s="17">
        <v>11000009.710000001</v>
      </c>
      <c r="N36" s="35"/>
    </row>
    <row r="37" spans="1:14" s="36" customFormat="1" ht="12" customHeight="1" x14ac:dyDescent="0.25">
      <c r="A37" s="12" t="s">
        <v>62</v>
      </c>
      <c r="B37" s="7" t="s">
        <v>63</v>
      </c>
      <c r="C37" s="14">
        <v>32039</v>
      </c>
      <c r="D37" s="7" t="s">
        <v>51</v>
      </c>
      <c r="E37" s="34" t="s">
        <v>58</v>
      </c>
      <c r="F37" s="34" t="s">
        <v>58</v>
      </c>
      <c r="G37" s="15">
        <v>718.25699990636406</v>
      </c>
      <c r="H37" s="15">
        <v>718.56948906020807</v>
      </c>
      <c r="I37" s="16">
        <f t="shared" si="1"/>
        <v>23012236.02</v>
      </c>
      <c r="J37" s="16">
        <f t="shared" si="2"/>
        <v>23022247.860000007</v>
      </c>
      <c r="K37" s="18">
        <v>0.158799</v>
      </c>
      <c r="L37" s="17"/>
      <c r="M37" s="17"/>
      <c r="N37" s="35"/>
    </row>
    <row r="38" spans="1:14" s="36" customFormat="1" ht="12" customHeight="1" x14ac:dyDescent="0.25">
      <c r="A38" s="12" t="s">
        <v>64</v>
      </c>
      <c r="B38" s="7" t="s">
        <v>65</v>
      </c>
      <c r="C38" s="14">
        <v>21528</v>
      </c>
      <c r="D38" s="7" t="s">
        <v>51</v>
      </c>
      <c r="E38" s="34" t="s">
        <v>66</v>
      </c>
      <c r="F38" s="34" t="s">
        <v>58</v>
      </c>
      <c r="G38" s="15">
        <v>836.38899990709808</v>
      </c>
      <c r="H38" s="15">
        <v>836.752884150873</v>
      </c>
      <c r="I38" s="16">
        <f t="shared" si="1"/>
        <v>18005782.390000008</v>
      </c>
      <c r="J38" s="16">
        <f t="shared" si="2"/>
        <v>18013616.089999992</v>
      </c>
      <c r="K38" s="18">
        <v>0.158799</v>
      </c>
      <c r="L38" s="17">
        <v>7833.7</v>
      </c>
      <c r="M38" s="17"/>
      <c r="N38" s="35"/>
    </row>
    <row r="39" spans="1:14" s="36" customFormat="1" ht="12" customHeight="1" x14ac:dyDescent="0.25">
      <c r="A39" s="12" t="s">
        <v>64</v>
      </c>
      <c r="B39" s="7" t="s">
        <v>65</v>
      </c>
      <c r="C39" s="14">
        <v>21528</v>
      </c>
      <c r="D39" s="7" t="s">
        <v>51</v>
      </c>
      <c r="E39" s="34" t="s">
        <v>58</v>
      </c>
      <c r="F39" s="34" t="s">
        <v>58</v>
      </c>
      <c r="G39" s="15">
        <v>836.38899990709808</v>
      </c>
      <c r="H39" s="15">
        <v>836.752884150873</v>
      </c>
      <c r="I39" s="16">
        <f t="shared" si="1"/>
        <v>18005782.390000008</v>
      </c>
      <c r="J39" s="16">
        <f t="shared" si="2"/>
        <v>18013616.089999992</v>
      </c>
      <c r="K39" s="18">
        <v>0.158799</v>
      </c>
      <c r="L39" s="17"/>
      <c r="M39" s="17"/>
      <c r="N39" s="35"/>
    </row>
    <row r="40" spans="1:14" s="36" customFormat="1" ht="12" customHeight="1" x14ac:dyDescent="0.25">
      <c r="A40" s="12" t="s">
        <v>67</v>
      </c>
      <c r="B40" s="7" t="s">
        <v>68</v>
      </c>
      <c r="C40" s="14">
        <v>25152</v>
      </c>
      <c r="D40" s="7" t="s">
        <v>51</v>
      </c>
      <c r="E40" s="34" t="s">
        <v>66</v>
      </c>
      <c r="F40" s="34" t="s">
        <v>58</v>
      </c>
      <c r="G40" s="15">
        <v>955.02</v>
      </c>
      <c r="H40" s="15">
        <v>955.43549658078905</v>
      </c>
      <c r="I40" s="16">
        <f t="shared" si="1"/>
        <v>24020663.039999999</v>
      </c>
      <c r="J40" s="16">
        <f t="shared" si="2"/>
        <v>24031113.610000007</v>
      </c>
      <c r="K40" s="18">
        <v>0.158799</v>
      </c>
      <c r="L40" s="17">
        <v>10450.57</v>
      </c>
      <c r="M40" s="17"/>
      <c r="N40" s="35"/>
    </row>
    <row r="41" spans="1:14" s="36" customFormat="1" ht="12" customHeight="1" x14ac:dyDescent="0.25">
      <c r="A41" s="12" t="s">
        <v>67</v>
      </c>
      <c r="B41" s="7" t="s">
        <v>68</v>
      </c>
      <c r="C41" s="14">
        <v>25152</v>
      </c>
      <c r="D41" s="7" t="s">
        <v>51</v>
      </c>
      <c r="E41" s="34" t="s">
        <v>58</v>
      </c>
      <c r="F41" s="34" t="s">
        <v>58</v>
      </c>
      <c r="G41" s="15">
        <v>955.02</v>
      </c>
      <c r="H41" s="15">
        <v>955.43549658078905</v>
      </c>
      <c r="I41" s="16">
        <f t="shared" si="1"/>
        <v>24020663.039999999</v>
      </c>
      <c r="J41" s="16">
        <f t="shared" si="2"/>
        <v>24031113.610000007</v>
      </c>
      <c r="K41" s="18">
        <v>0.158799</v>
      </c>
      <c r="L41" s="17"/>
      <c r="M41" s="17"/>
      <c r="N41" s="35"/>
    </row>
    <row r="42" spans="1:14" s="36" customFormat="1" ht="12" customHeight="1" x14ac:dyDescent="0.25">
      <c r="A42" s="12" t="s">
        <v>69</v>
      </c>
      <c r="B42" s="7" t="s">
        <v>70</v>
      </c>
      <c r="C42" s="14">
        <v>18864</v>
      </c>
      <c r="D42" s="7" t="s">
        <v>51</v>
      </c>
      <c r="E42" s="34" t="s">
        <v>66</v>
      </c>
      <c r="F42" s="34" t="s">
        <v>58</v>
      </c>
      <c r="G42" s="15">
        <v>848.58500000000004</v>
      </c>
      <c r="H42" s="15">
        <v>848.95419052162799</v>
      </c>
      <c r="I42" s="16">
        <f t="shared" si="1"/>
        <v>16007707.440000001</v>
      </c>
      <c r="J42" s="16">
        <f t="shared" si="2"/>
        <v>16014671.84999999</v>
      </c>
      <c r="K42" s="18">
        <v>0.158799</v>
      </c>
      <c r="L42" s="17">
        <v>6964.41</v>
      </c>
      <c r="M42" s="17"/>
      <c r="N42" s="35"/>
    </row>
    <row r="43" spans="1:14" s="36" customFormat="1" ht="12" customHeight="1" x14ac:dyDescent="0.25">
      <c r="A43" s="12" t="s">
        <v>69</v>
      </c>
      <c r="B43" s="7" t="s">
        <v>70</v>
      </c>
      <c r="C43" s="14">
        <v>18864</v>
      </c>
      <c r="D43" s="7" t="s">
        <v>51</v>
      </c>
      <c r="E43" s="34" t="s">
        <v>58</v>
      </c>
      <c r="F43" s="34" t="s">
        <v>58</v>
      </c>
      <c r="G43" s="15">
        <v>848.58500000000004</v>
      </c>
      <c r="H43" s="15">
        <v>848.95419052162799</v>
      </c>
      <c r="I43" s="16">
        <f t="shared" si="1"/>
        <v>16007707.440000001</v>
      </c>
      <c r="J43" s="16">
        <f t="shared" si="2"/>
        <v>16014671.84999999</v>
      </c>
      <c r="K43" s="18">
        <v>0.158799</v>
      </c>
      <c r="L43" s="17"/>
      <c r="M43" s="17"/>
      <c r="N43" s="35"/>
    </row>
    <row r="44" spans="1:14" s="36" customFormat="1" ht="12" customHeight="1" x14ac:dyDescent="0.25">
      <c r="A44" s="12" t="s">
        <v>71</v>
      </c>
      <c r="B44" s="7" t="s">
        <v>72</v>
      </c>
      <c r="C44" s="14">
        <v>35511</v>
      </c>
      <c r="D44" s="7" t="s">
        <v>51</v>
      </c>
      <c r="E44" s="34" t="s">
        <v>66</v>
      </c>
      <c r="F44" s="34" t="s">
        <v>58</v>
      </c>
      <c r="G44" s="15">
        <v>591.59700008448101</v>
      </c>
      <c r="H44" s="15">
        <v>591.85438371208897</v>
      </c>
      <c r="I44" s="16">
        <f t="shared" si="1"/>
        <v>21008201.070000004</v>
      </c>
      <c r="J44" s="16">
        <f t="shared" si="2"/>
        <v>21017341.019999992</v>
      </c>
      <c r="K44" s="18">
        <v>0.158799</v>
      </c>
      <c r="L44" s="17">
        <v>9139.9500000000007</v>
      </c>
      <c r="M44" s="17"/>
      <c r="N44" s="35"/>
    </row>
    <row r="45" spans="1:14" s="36" customFormat="1" ht="12" customHeight="1" x14ac:dyDescent="0.25">
      <c r="A45" s="12" t="s">
        <v>71</v>
      </c>
      <c r="B45" s="7" t="s">
        <v>72</v>
      </c>
      <c r="C45" s="14">
        <v>35511</v>
      </c>
      <c r="D45" s="7" t="s">
        <v>51</v>
      </c>
      <c r="E45" s="34" t="s">
        <v>58</v>
      </c>
      <c r="F45" s="34" t="s">
        <v>58</v>
      </c>
      <c r="G45" s="15">
        <v>591.59700008448101</v>
      </c>
      <c r="H45" s="15">
        <v>591.85438371208897</v>
      </c>
      <c r="I45" s="16">
        <f t="shared" si="1"/>
        <v>21008201.070000004</v>
      </c>
      <c r="J45" s="16">
        <f t="shared" si="2"/>
        <v>21017341.019999992</v>
      </c>
      <c r="K45" s="18">
        <v>0.158799</v>
      </c>
      <c r="L45" s="17"/>
      <c r="M45" s="17"/>
      <c r="N45" s="35"/>
    </row>
    <row r="46" spans="1:14" s="36" customFormat="1" ht="12" customHeight="1" x14ac:dyDescent="0.25">
      <c r="A46" s="12" t="s">
        <v>73</v>
      </c>
      <c r="B46" s="7" t="s">
        <v>74</v>
      </c>
      <c r="C46" s="14">
        <v>20767</v>
      </c>
      <c r="D46" s="7" t="s">
        <v>51</v>
      </c>
      <c r="E46" s="34" t="s">
        <v>66</v>
      </c>
      <c r="F46" s="34" t="s">
        <v>58</v>
      </c>
      <c r="G46" s="15">
        <v>915.19800019261299</v>
      </c>
      <c r="H46" s="15">
        <v>915.59617132951303</v>
      </c>
      <c r="I46" s="16">
        <f t="shared" si="1"/>
        <v>19005916.869999994</v>
      </c>
      <c r="J46" s="16">
        <f t="shared" si="2"/>
        <v>19014185.689999998</v>
      </c>
      <c r="K46" s="18">
        <v>0.158799</v>
      </c>
      <c r="L46" s="17">
        <v>8268.82</v>
      </c>
      <c r="M46" s="17"/>
      <c r="N46" s="35"/>
    </row>
    <row r="47" spans="1:14" s="36" customFormat="1" ht="12" customHeight="1" x14ac:dyDescent="0.25">
      <c r="A47" s="12" t="s">
        <v>73</v>
      </c>
      <c r="B47" s="7" t="s">
        <v>74</v>
      </c>
      <c r="C47" s="14">
        <v>20767</v>
      </c>
      <c r="D47" s="7" t="s">
        <v>51</v>
      </c>
      <c r="E47" s="34" t="s">
        <v>58</v>
      </c>
      <c r="F47" s="34" t="s">
        <v>58</v>
      </c>
      <c r="G47" s="15">
        <v>915.19800019261299</v>
      </c>
      <c r="H47" s="15">
        <v>915.59617132951303</v>
      </c>
      <c r="I47" s="16">
        <f t="shared" si="1"/>
        <v>19005916.869999994</v>
      </c>
      <c r="J47" s="16">
        <f t="shared" si="2"/>
        <v>19014185.689999998</v>
      </c>
      <c r="K47" s="18">
        <v>0.158799</v>
      </c>
      <c r="L47" s="17"/>
      <c r="M47" s="17"/>
      <c r="N47" s="35"/>
    </row>
    <row r="48" spans="1:14" s="36" customFormat="1" ht="12" customHeight="1" x14ac:dyDescent="0.25">
      <c r="A48" s="12" t="s">
        <v>75</v>
      </c>
      <c r="B48" s="7" t="s">
        <v>76</v>
      </c>
      <c r="C48" s="14">
        <v>1266</v>
      </c>
      <c r="D48" s="7" t="s">
        <v>51</v>
      </c>
      <c r="E48" s="34" t="s">
        <v>66</v>
      </c>
      <c r="F48" s="34" t="s">
        <v>58</v>
      </c>
      <c r="G48" s="15">
        <v>789.95300157977908</v>
      </c>
      <c r="H48" s="15">
        <v>790.29668246445499</v>
      </c>
      <c r="I48" s="16">
        <f t="shared" si="1"/>
        <v>1000080.5000000003</v>
      </c>
      <c r="J48" s="16">
        <f t="shared" si="2"/>
        <v>1000515.6</v>
      </c>
      <c r="K48" s="18">
        <v>0.158799</v>
      </c>
      <c r="L48" s="17">
        <v>435.1</v>
      </c>
      <c r="M48" s="17"/>
      <c r="N48" s="35"/>
    </row>
    <row r="49" spans="1:14" s="36" customFormat="1" ht="12" customHeight="1" x14ac:dyDescent="0.25">
      <c r="A49" s="12" t="s">
        <v>75</v>
      </c>
      <c r="B49" s="7" t="s">
        <v>76</v>
      </c>
      <c r="C49" s="14">
        <v>1266</v>
      </c>
      <c r="D49" s="7" t="s">
        <v>51</v>
      </c>
      <c r="E49" s="34" t="s">
        <v>58</v>
      </c>
      <c r="F49" s="34" t="s">
        <v>58</v>
      </c>
      <c r="G49" s="15">
        <v>789.95300157977908</v>
      </c>
      <c r="H49" s="15">
        <v>790.29668246445499</v>
      </c>
      <c r="I49" s="16">
        <f t="shared" si="1"/>
        <v>1000080.5000000003</v>
      </c>
      <c r="J49" s="16">
        <f t="shared" si="2"/>
        <v>1000515.6</v>
      </c>
      <c r="K49" s="18">
        <v>0.158799</v>
      </c>
      <c r="L49" s="17"/>
      <c r="M49" s="17"/>
      <c r="N49" s="35"/>
    </row>
    <row r="50" spans="1:14" s="36" customFormat="1" ht="12" customHeight="1" x14ac:dyDescent="0.25">
      <c r="A50" s="12" t="s">
        <v>77</v>
      </c>
      <c r="B50" s="7" t="s">
        <v>78</v>
      </c>
      <c r="C50" s="14">
        <v>7962</v>
      </c>
      <c r="D50" s="7" t="s">
        <v>51</v>
      </c>
      <c r="E50" s="34" t="s">
        <v>66</v>
      </c>
      <c r="F50" s="34" t="s">
        <v>58</v>
      </c>
      <c r="G50" s="15">
        <v>753.84099974880701</v>
      </c>
      <c r="H50" s="15">
        <v>754.16897010801301</v>
      </c>
      <c r="I50" s="16">
        <f t="shared" si="1"/>
        <v>6002082.040000001</v>
      </c>
      <c r="J50" s="16">
        <f t="shared" si="2"/>
        <v>6004693.3399999999</v>
      </c>
      <c r="K50" s="18">
        <v>0.158799</v>
      </c>
      <c r="L50" s="17">
        <v>2611.3000000000002</v>
      </c>
      <c r="M50" s="17"/>
      <c r="N50" s="35"/>
    </row>
    <row r="51" spans="1:14" s="36" customFormat="1" ht="12" customHeight="1" x14ac:dyDescent="0.25">
      <c r="A51" s="12" t="s">
        <v>77</v>
      </c>
      <c r="B51" s="7" t="s">
        <v>78</v>
      </c>
      <c r="C51" s="14">
        <v>7962</v>
      </c>
      <c r="D51" s="7" t="s">
        <v>51</v>
      </c>
      <c r="E51" s="34" t="s">
        <v>58</v>
      </c>
      <c r="F51" s="34" t="s">
        <v>58</v>
      </c>
      <c r="G51" s="15">
        <v>753.84099974880701</v>
      </c>
      <c r="H51" s="15">
        <v>754.16897010801301</v>
      </c>
      <c r="I51" s="16">
        <f t="shared" si="1"/>
        <v>6002082.040000001</v>
      </c>
      <c r="J51" s="16">
        <f t="shared" si="2"/>
        <v>6004693.3399999999</v>
      </c>
      <c r="K51" s="18">
        <v>0.158799</v>
      </c>
      <c r="L51" s="17"/>
      <c r="M51" s="17"/>
      <c r="N51" s="35"/>
    </row>
    <row r="52" spans="1:14" s="36" customFormat="1" ht="12" customHeight="1" x14ac:dyDescent="0.25">
      <c r="A52" s="12" t="s">
        <v>79</v>
      </c>
      <c r="B52" s="7" t="s">
        <v>80</v>
      </c>
      <c r="C52" s="14">
        <v>15024</v>
      </c>
      <c r="D52" s="7" t="s">
        <v>51</v>
      </c>
      <c r="E52" s="34" t="s">
        <v>66</v>
      </c>
      <c r="F52" s="34" t="s">
        <v>58</v>
      </c>
      <c r="G52" s="15">
        <v>1065.135999733759</v>
      </c>
      <c r="H52" s="15">
        <v>1065.5994036208731</v>
      </c>
      <c r="I52" s="16">
        <f t="shared" si="1"/>
        <v>16002603.259999996</v>
      </c>
      <c r="J52" s="16">
        <f t="shared" si="2"/>
        <v>16009565.439999998</v>
      </c>
      <c r="K52" s="18">
        <v>0.158799</v>
      </c>
      <c r="L52" s="17">
        <v>6962.18</v>
      </c>
      <c r="M52" s="17"/>
      <c r="N52" s="35"/>
    </row>
    <row r="53" spans="1:14" s="36" customFormat="1" ht="12" customHeight="1" x14ac:dyDescent="0.25">
      <c r="A53" s="12" t="s">
        <v>79</v>
      </c>
      <c r="B53" s="7" t="s">
        <v>80</v>
      </c>
      <c r="C53" s="14">
        <v>15024</v>
      </c>
      <c r="D53" s="7" t="s">
        <v>51</v>
      </c>
      <c r="E53" s="34" t="s">
        <v>58</v>
      </c>
      <c r="F53" s="34" t="s">
        <v>58</v>
      </c>
      <c r="G53" s="15">
        <v>1065.135999733759</v>
      </c>
      <c r="H53" s="15">
        <v>1065.5994036208731</v>
      </c>
      <c r="I53" s="16">
        <f t="shared" si="1"/>
        <v>16002603.259999996</v>
      </c>
      <c r="J53" s="16">
        <f t="shared" si="2"/>
        <v>16009565.439999998</v>
      </c>
      <c r="K53" s="18">
        <v>0.158799</v>
      </c>
      <c r="L53" s="17"/>
      <c r="M53" s="17"/>
      <c r="N53" s="35"/>
    </row>
    <row r="54" spans="1:14" s="36" customFormat="1" ht="12" customHeight="1" x14ac:dyDescent="0.25">
      <c r="A54" s="12" t="s">
        <v>81</v>
      </c>
      <c r="B54" s="7" t="s">
        <v>82</v>
      </c>
      <c r="C54" s="14">
        <v>1642</v>
      </c>
      <c r="D54" s="7" t="s">
        <v>51</v>
      </c>
      <c r="E54" s="34" t="s">
        <v>66</v>
      </c>
      <c r="F54" s="34" t="s">
        <v>58</v>
      </c>
      <c r="G54" s="15">
        <v>609.08800243605401</v>
      </c>
      <c r="H54" s="15">
        <v>609.35299634592002</v>
      </c>
      <c r="I54" s="16">
        <f t="shared" si="1"/>
        <v>1000122.5000000007</v>
      </c>
      <c r="J54" s="16">
        <f t="shared" si="2"/>
        <v>1000557.6200000007</v>
      </c>
      <c r="K54" s="18">
        <v>0.158799</v>
      </c>
      <c r="L54" s="17">
        <v>435.12</v>
      </c>
      <c r="M54" s="17"/>
      <c r="N54" s="35"/>
    </row>
    <row r="55" spans="1:14" s="36" customFormat="1" ht="12" customHeight="1" x14ac:dyDescent="0.25">
      <c r="A55" s="12" t="s">
        <v>81</v>
      </c>
      <c r="B55" s="7" t="s">
        <v>82</v>
      </c>
      <c r="C55" s="14">
        <v>1642</v>
      </c>
      <c r="D55" s="7" t="s">
        <v>51</v>
      </c>
      <c r="E55" s="34" t="s">
        <v>58</v>
      </c>
      <c r="F55" s="34" t="s">
        <v>58</v>
      </c>
      <c r="G55" s="15">
        <v>609.08800243605401</v>
      </c>
      <c r="H55" s="15">
        <v>609.35299634592002</v>
      </c>
      <c r="I55" s="16">
        <f t="shared" si="1"/>
        <v>1000122.5000000007</v>
      </c>
      <c r="J55" s="16">
        <f t="shared" si="2"/>
        <v>1000557.6200000007</v>
      </c>
      <c r="K55" s="18">
        <v>0.158799</v>
      </c>
      <c r="L55" s="17"/>
      <c r="M55" s="17"/>
      <c r="N55" s="35"/>
    </row>
    <row r="56" spans="1:14" s="36" customFormat="1" ht="12" customHeight="1" x14ac:dyDescent="0.25">
      <c r="A56" s="12" t="s">
        <v>83</v>
      </c>
      <c r="B56" s="7" t="s">
        <v>84</v>
      </c>
      <c r="C56" s="14">
        <v>24125</v>
      </c>
      <c r="D56" s="7" t="s">
        <v>51</v>
      </c>
      <c r="E56" s="34" t="s">
        <v>66</v>
      </c>
      <c r="F56" s="34" t="s">
        <v>58</v>
      </c>
      <c r="G56" s="15">
        <v>1036.9000000000001</v>
      </c>
      <c r="H56" s="15">
        <v>1037.3511195854921</v>
      </c>
      <c r="I56" s="16">
        <f t="shared" si="1"/>
        <v>25015212.500000004</v>
      </c>
      <c r="J56" s="16">
        <f t="shared" si="2"/>
        <v>25026095.759999998</v>
      </c>
      <c r="K56" s="18">
        <v>0.158799</v>
      </c>
      <c r="L56" s="17">
        <v>10883.26</v>
      </c>
      <c r="M56" s="17"/>
      <c r="N56" s="35"/>
    </row>
    <row r="57" spans="1:14" s="36" customFormat="1" ht="12" customHeight="1" x14ac:dyDescent="0.25">
      <c r="A57" s="12" t="s">
        <v>83</v>
      </c>
      <c r="B57" s="7" t="s">
        <v>84</v>
      </c>
      <c r="C57" s="14">
        <v>24125</v>
      </c>
      <c r="D57" s="7" t="s">
        <v>51</v>
      </c>
      <c r="E57" s="34" t="s">
        <v>58</v>
      </c>
      <c r="F57" s="34" t="s">
        <v>58</v>
      </c>
      <c r="G57" s="15">
        <v>1036.9000000000001</v>
      </c>
      <c r="H57" s="15">
        <v>1037.3511195854921</v>
      </c>
      <c r="I57" s="16">
        <f t="shared" si="1"/>
        <v>25015212.500000004</v>
      </c>
      <c r="J57" s="16">
        <f t="shared" si="2"/>
        <v>25026095.759999998</v>
      </c>
      <c r="K57" s="18">
        <v>0.158799</v>
      </c>
      <c r="L57" s="17"/>
      <c r="M57" s="17"/>
      <c r="N57" s="35"/>
    </row>
    <row r="58" spans="1:14" s="36" customFormat="1" ht="12" customHeight="1" x14ac:dyDescent="0.25">
      <c r="A58" s="12" t="s">
        <v>77</v>
      </c>
      <c r="B58" s="7" t="s">
        <v>78</v>
      </c>
      <c r="C58" s="14">
        <v>33175</v>
      </c>
      <c r="D58" s="7" t="s">
        <v>51</v>
      </c>
      <c r="E58" s="34" t="s">
        <v>66</v>
      </c>
      <c r="F58" s="34" t="s">
        <v>58</v>
      </c>
      <c r="G58" s="15">
        <v>753.84100015071601</v>
      </c>
      <c r="H58" s="15">
        <v>754.16897061039901</v>
      </c>
      <c r="I58" s="16">
        <f t="shared" si="1"/>
        <v>25008675.180000003</v>
      </c>
      <c r="J58" s="16">
        <f t="shared" si="2"/>
        <v>25019555.599999987</v>
      </c>
      <c r="K58" s="18">
        <v>0.158799</v>
      </c>
      <c r="L58" s="17">
        <v>10880.42</v>
      </c>
      <c r="M58" s="17"/>
      <c r="N58" s="35"/>
    </row>
    <row r="59" spans="1:14" s="36" customFormat="1" ht="12" customHeight="1" x14ac:dyDescent="0.25">
      <c r="A59" s="12" t="s">
        <v>77</v>
      </c>
      <c r="B59" s="7" t="s">
        <v>78</v>
      </c>
      <c r="C59" s="14">
        <v>33175</v>
      </c>
      <c r="D59" s="7" t="s">
        <v>51</v>
      </c>
      <c r="E59" s="34" t="s">
        <v>58</v>
      </c>
      <c r="F59" s="34" t="s">
        <v>58</v>
      </c>
      <c r="G59" s="15">
        <v>753.84100015071601</v>
      </c>
      <c r="H59" s="15">
        <v>754.16897061039901</v>
      </c>
      <c r="I59" s="16">
        <f t="shared" si="1"/>
        <v>25008675.180000003</v>
      </c>
      <c r="J59" s="16">
        <f t="shared" si="2"/>
        <v>25019555.599999987</v>
      </c>
      <c r="K59" s="18">
        <v>0.158799</v>
      </c>
      <c r="L59" s="17"/>
      <c r="M59" s="17"/>
      <c r="N59" s="35"/>
    </row>
    <row r="60" spans="1:14" s="36" customFormat="1" ht="12" customHeight="1" x14ac:dyDescent="0.25">
      <c r="A60" s="12" t="s">
        <v>85</v>
      </c>
      <c r="B60" s="7" t="s">
        <v>86</v>
      </c>
      <c r="C60" s="14">
        <v>23625</v>
      </c>
      <c r="D60" s="7" t="s">
        <v>51</v>
      </c>
      <c r="E60" s="34" t="s">
        <v>66</v>
      </c>
      <c r="F60" s="34" t="s">
        <v>58</v>
      </c>
      <c r="G60" s="15">
        <v>1058.4180000000001</v>
      </c>
      <c r="H60" s="15">
        <v>1058.8784812698411</v>
      </c>
      <c r="I60" s="16">
        <f t="shared" si="1"/>
        <v>25005125.250000004</v>
      </c>
      <c r="J60" s="16">
        <f t="shared" si="2"/>
        <v>25016004.119999997</v>
      </c>
      <c r="K60" s="18">
        <v>0.158799</v>
      </c>
      <c r="L60" s="17">
        <v>10878.87</v>
      </c>
      <c r="M60" s="17"/>
      <c r="N60" s="35"/>
    </row>
    <row r="61" spans="1:14" s="36" customFormat="1" ht="12" customHeight="1" x14ac:dyDescent="0.25">
      <c r="A61" s="12" t="s">
        <v>85</v>
      </c>
      <c r="B61" s="7" t="s">
        <v>86</v>
      </c>
      <c r="C61" s="14">
        <v>23625</v>
      </c>
      <c r="D61" s="7" t="s">
        <v>51</v>
      </c>
      <c r="E61" s="34" t="s">
        <v>58</v>
      </c>
      <c r="F61" s="34" t="s">
        <v>58</v>
      </c>
      <c r="G61" s="15">
        <v>1058.4180000000001</v>
      </c>
      <c r="H61" s="15">
        <v>1058.8784812698411</v>
      </c>
      <c r="I61" s="16">
        <f t="shared" si="1"/>
        <v>25005125.250000004</v>
      </c>
      <c r="J61" s="16">
        <f t="shared" si="2"/>
        <v>25016004.119999997</v>
      </c>
      <c r="K61" s="18">
        <v>0.158799</v>
      </c>
      <c r="L61" s="17"/>
      <c r="M61" s="17"/>
      <c r="N61" s="35"/>
    </row>
    <row r="62" spans="1:14" s="36" customFormat="1" ht="12" customHeight="1" x14ac:dyDescent="0.25">
      <c r="A62" s="12" t="s">
        <v>87</v>
      </c>
      <c r="B62" s="7" t="s">
        <v>88</v>
      </c>
      <c r="C62" s="14">
        <v>32578</v>
      </c>
      <c r="D62" s="7" t="s">
        <v>51</v>
      </c>
      <c r="E62" s="34" t="s">
        <v>66</v>
      </c>
      <c r="F62" s="34" t="s">
        <v>58</v>
      </c>
      <c r="G62" s="15">
        <v>798.23899993860903</v>
      </c>
      <c r="H62" s="15">
        <v>798.58628645097906</v>
      </c>
      <c r="I62" s="16">
        <f t="shared" si="1"/>
        <v>26005030.140000004</v>
      </c>
      <c r="J62" s="16">
        <f t="shared" si="2"/>
        <v>26016344.039999995</v>
      </c>
      <c r="K62" s="18">
        <v>0.158799</v>
      </c>
      <c r="L62" s="17">
        <v>11313.9</v>
      </c>
      <c r="M62" s="17"/>
      <c r="N62" s="35"/>
    </row>
    <row r="63" spans="1:14" s="36" customFormat="1" ht="12" customHeight="1" x14ac:dyDescent="0.25">
      <c r="A63" s="12" t="s">
        <v>87</v>
      </c>
      <c r="B63" s="7" t="s">
        <v>88</v>
      </c>
      <c r="C63" s="14">
        <v>32578</v>
      </c>
      <c r="D63" s="7" t="s">
        <v>51</v>
      </c>
      <c r="E63" s="34" t="s">
        <v>58</v>
      </c>
      <c r="F63" s="34" t="s">
        <v>58</v>
      </c>
      <c r="G63" s="15">
        <v>798.23899993860903</v>
      </c>
      <c r="H63" s="15">
        <v>798.58628645097906</v>
      </c>
      <c r="I63" s="16">
        <f t="shared" si="1"/>
        <v>26005030.140000004</v>
      </c>
      <c r="J63" s="16">
        <f t="shared" si="2"/>
        <v>26016344.039999995</v>
      </c>
      <c r="K63" s="18">
        <v>0.158799</v>
      </c>
      <c r="L63" s="17"/>
      <c r="M63" s="17"/>
      <c r="N63" s="35"/>
    </row>
    <row r="64" spans="1:14" s="36" customFormat="1" ht="12" customHeight="1" x14ac:dyDescent="0.25">
      <c r="A64" s="12" t="s">
        <v>89</v>
      </c>
      <c r="B64" s="7" t="s">
        <v>90</v>
      </c>
      <c r="C64" s="14">
        <v>36322</v>
      </c>
      <c r="D64" s="7" t="s">
        <v>51</v>
      </c>
      <c r="E64" s="34" t="s">
        <v>66</v>
      </c>
      <c r="F64" s="34" t="s">
        <v>58</v>
      </c>
      <c r="G64" s="15">
        <v>715.96300011012602</v>
      </c>
      <c r="H64" s="15">
        <v>716.27449121744405</v>
      </c>
      <c r="I64" s="16">
        <f t="shared" ref="I64:I100" si="3">+C64*G64</f>
        <v>26005208.089999996</v>
      </c>
      <c r="J64" s="16">
        <f t="shared" ref="J64:J100" si="4">+C64*H64</f>
        <v>26016522.070000004</v>
      </c>
      <c r="K64" s="18">
        <v>0.158799</v>
      </c>
      <c r="L64" s="17">
        <v>11313.98</v>
      </c>
      <c r="M64" s="17"/>
      <c r="N64" s="35"/>
    </row>
    <row r="65" spans="1:14" s="36" customFormat="1" ht="12" customHeight="1" x14ac:dyDescent="0.25">
      <c r="A65" s="12" t="s">
        <v>89</v>
      </c>
      <c r="B65" s="7" t="s">
        <v>90</v>
      </c>
      <c r="C65" s="14">
        <v>36322</v>
      </c>
      <c r="D65" s="7" t="s">
        <v>51</v>
      </c>
      <c r="E65" s="34" t="s">
        <v>58</v>
      </c>
      <c r="F65" s="34" t="s">
        <v>58</v>
      </c>
      <c r="G65" s="15">
        <v>715.96300011012602</v>
      </c>
      <c r="H65" s="15">
        <v>716.27449121744405</v>
      </c>
      <c r="I65" s="16">
        <f t="shared" si="3"/>
        <v>26005208.089999996</v>
      </c>
      <c r="J65" s="16">
        <f t="shared" si="4"/>
        <v>26016522.070000004</v>
      </c>
      <c r="K65" s="18">
        <v>0.158799</v>
      </c>
      <c r="L65" s="17"/>
      <c r="M65" s="17"/>
      <c r="N65" s="35"/>
    </row>
    <row r="66" spans="1:14" s="36" customFormat="1" ht="12" customHeight="1" x14ac:dyDescent="0.25">
      <c r="A66" s="12" t="s">
        <v>91</v>
      </c>
      <c r="B66" s="7" t="s">
        <v>92</v>
      </c>
      <c r="C66" s="14">
        <v>13076700</v>
      </c>
      <c r="D66" s="7" t="s">
        <v>51</v>
      </c>
      <c r="E66" s="34" t="s">
        <v>66</v>
      </c>
      <c r="F66" s="34" t="s">
        <v>58</v>
      </c>
      <c r="G66" s="15">
        <v>99.420300000000012</v>
      </c>
      <c r="H66" s="15">
        <v>99.463472652121709</v>
      </c>
      <c r="I66" s="16">
        <f t="shared" si="3"/>
        <v>1300089437.0100002</v>
      </c>
      <c r="J66" s="16">
        <f t="shared" si="4"/>
        <v>1300653992.8299999</v>
      </c>
      <c r="K66" s="18">
        <v>0.158499</v>
      </c>
      <c r="L66" s="17">
        <v>564555.82000000007</v>
      </c>
      <c r="M66" s="17"/>
      <c r="N66" s="35"/>
    </row>
    <row r="67" spans="1:14" s="36" customFormat="1" ht="12" customHeight="1" x14ac:dyDescent="0.25">
      <c r="A67" s="12" t="s">
        <v>91</v>
      </c>
      <c r="B67" s="7" t="s">
        <v>92</v>
      </c>
      <c r="C67" s="14">
        <v>13076700</v>
      </c>
      <c r="D67" s="7" t="s">
        <v>51</v>
      </c>
      <c r="E67" s="34" t="s">
        <v>58</v>
      </c>
      <c r="F67" s="34" t="s">
        <v>58</v>
      </c>
      <c r="G67" s="15">
        <v>99.420300000000012</v>
      </c>
      <c r="H67" s="15">
        <v>99.463472652121709</v>
      </c>
      <c r="I67" s="16">
        <f t="shared" si="3"/>
        <v>1300089437.0100002</v>
      </c>
      <c r="J67" s="16">
        <f t="shared" si="4"/>
        <v>1300653992.8299999</v>
      </c>
      <c r="K67" s="18">
        <v>0.158499</v>
      </c>
      <c r="L67" s="17"/>
      <c r="M67" s="17"/>
      <c r="N67" s="35"/>
    </row>
    <row r="68" spans="1:14" s="36" customFormat="1" ht="12" customHeight="1" x14ac:dyDescent="0.25">
      <c r="A68" s="12" t="s">
        <v>93</v>
      </c>
      <c r="B68" s="7" t="s">
        <v>94</v>
      </c>
      <c r="C68" s="14">
        <v>10373</v>
      </c>
      <c r="D68" s="7" t="s">
        <v>51</v>
      </c>
      <c r="E68" s="34" t="s">
        <v>66</v>
      </c>
      <c r="F68" s="34" t="s">
        <v>58</v>
      </c>
      <c r="G68" s="15">
        <v>1060.633000096404</v>
      </c>
      <c r="H68" s="15">
        <v>1061.0944451942541</v>
      </c>
      <c r="I68" s="16">
        <f t="shared" si="3"/>
        <v>11001946.109999998</v>
      </c>
      <c r="J68" s="16">
        <f t="shared" si="4"/>
        <v>11006732.679999998</v>
      </c>
      <c r="K68" s="18">
        <v>0.158799</v>
      </c>
      <c r="L68" s="17">
        <v>4786.57</v>
      </c>
      <c r="M68" s="17"/>
      <c r="N68" s="35"/>
    </row>
    <row r="69" spans="1:14" s="36" customFormat="1" ht="12" customHeight="1" x14ac:dyDescent="0.25">
      <c r="A69" s="12" t="s">
        <v>93</v>
      </c>
      <c r="B69" s="7" t="s">
        <v>94</v>
      </c>
      <c r="C69" s="14">
        <v>10373</v>
      </c>
      <c r="D69" s="7" t="s">
        <v>51</v>
      </c>
      <c r="E69" s="34" t="s">
        <v>58</v>
      </c>
      <c r="F69" s="34" t="s">
        <v>58</v>
      </c>
      <c r="G69" s="15">
        <v>1060.633000096404</v>
      </c>
      <c r="H69" s="15">
        <v>1061.0944451942541</v>
      </c>
      <c r="I69" s="16">
        <f t="shared" si="3"/>
        <v>11001946.109999998</v>
      </c>
      <c r="J69" s="16">
        <f t="shared" si="4"/>
        <v>11006732.679999998</v>
      </c>
      <c r="K69" s="18">
        <v>0.158799</v>
      </c>
      <c r="L69" s="17"/>
      <c r="M69" s="17"/>
      <c r="N69" s="35"/>
    </row>
    <row r="70" spans="1:14" s="36" customFormat="1" ht="12" customHeight="1" x14ac:dyDescent="0.25">
      <c r="A70" s="12" t="s">
        <v>95</v>
      </c>
      <c r="B70" s="7" t="s">
        <v>96</v>
      </c>
      <c r="C70" s="14">
        <v>9650</v>
      </c>
      <c r="D70" s="7" t="s">
        <v>51</v>
      </c>
      <c r="E70" s="34" t="s">
        <v>66</v>
      </c>
      <c r="F70" s="34" t="s">
        <v>58</v>
      </c>
      <c r="G70" s="15">
        <v>1037.221</v>
      </c>
      <c r="H70" s="15">
        <v>1037.6722590673571</v>
      </c>
      <c r="I70" s="16">
        <f t="shared" si="3"/>
        <v>10009182.65</v>
      </c>
      <c r="J70" s="16">
        <f t="shared" si="4"/>
        <v>10013537.299999997</v>
      </c>
      <c r="K70" s="18">
        <v>0.158799</v>
      </c>
      <c r="L70" s="17">
        <v>4354.6499999999996</v>
      </c>
      <c r="M70" s="17"/>
      <c r="N70" s="35"/>
    </row>
    <row r="71" spans="1:14" s="36" customFormat="1" ht="12" customHeight="1" x14ac:dyDescent="0.25">
      <c r="A71" s="12" t="s">
        <v>95</v>
      </c>
      <c r="B71" s="7" t="s">
        <v>96</v>
      </c>
      <c r="C71" s="14">
        <v>9650</v>
      </c>
      <c r="D71" s="7" t="s">
        <v>51</v>
      </c>
      <c r="E71" s="34" t="s">
        <v>58</v>
      </c>
      <c r="F71" s="34" t="s">
        <v>58</v>
      </c>
      <c r="G71" s="15">
        <v>1037.221</v>
      </c>
      <c r="H71" s="15">
        <v>1037.6722590673571</v>
      </c>
      <c r="I71" s="16">
        <f t="shared" si="3"/>
        <v>10009182.65</v>
      </c>
      <c r="J71" s="16">
        <f t="shared" si="4"/>
        <v>10013537.299999997</v>
      </c>
      <c r="K71" s="18">
        <v>0.158799</v>
      </c>
      <c r="L71" s="17"/>
      <c r="M71" s="17"/>
      <c r="N71" s="35"/>
    </row>
    <row r="72" spans="1:14" s="36" customFormat="1" ht="12" customHeight="1" x14ac:dyDescent="0.25">
      <c r="A72" s="12" t="s">
        <v>62</v>
      </c>
      <c r="B72" s="7" t="s">
        <v>63</v>
      </c>
      <c r="C72" s="14">
        <v>16716</v>
      </c>
      <c r="D72" s="7" t="s">
        <v>51</v>
      </c>
      <c r="E72" s="34" t="s">
        <v>66</v>
      </c>
      <c r="F72" s="34" t="s">
        <v>58</v>
      </c>
      <c r="G72" s="15">
        <v>718.25699988035399</v>
      </c>
      <c r="H72" s="15">
        <v>718.56948911222798</v>
      </c>
      <c r="I72" s="16">
        <f t="shared" si="3"/>
        <v>12006384.009999998</v>
      </c>
      <c r="J72" s="16">
        <f t="shared" si="4"/>
        <v>12011607.580000004</v>
      </c>
      <c r="K72" s="18">
        <v>0.158799</v>
      </c>
      <c r="L72" s="17">
        <v>5223.57</v>
      </c>
      <c r="M72" s="17"/>
      <c r="N72" s="35"/>
    </row>
    <row r="73" spans="1:14" s="36" customFormat="1" ht="12" customHeight="1" x14ac:dyDescent="0.25">
      <c r="A73" s="12" t="s">
        <v>62</v>
      </c>
      <c r="B73" s="7" t="s">
        <v>63</v>
      </c>
      <c r="C73" s="14">
        <v>16716</v>
      </c>
      <c r="D73" s="7" t="s">
        <v>51</v>
      </c>
      <c r="E73" s="34" t="s">
        <v>58</v>
      </c>
      <c r="F73" s="34" t="s">
        <v>58</v>
      </c>
      <c r="G73" s="15">
        <v>718.25699988035399</v>
      </c>
      <c r="H73" s="15">
        <v>718.56948911222798</v>
      </c>
      <c r="I73" s="16">
        <f t="shared" si="3"/>
        <v>12006384.009999998</v>
      </c>
      <c r="J73" s="16">
        <f t="shared" si="4"/>
        <v>12011607.580000004</v>
      </c>
      <c r="K73" s="18">
        <v>0.158799</v>
      </c>
      <c r="L73" s="17"/>
      <c r="M73" s="17"/>
      <c r="N73" s="35"/>
    </row>
    <row r="74" spans="1:14" s="36" customFormat="1" ht="12" customHeight="1" x14ac:dyDescent="0.25">
      <c r="A74" s="12" t="s">
        <v>97</v>
      </c>
      <c r="B74" s="7" t="s">
        <v>98</v>
      </c>
      <c r="C74" s="14">
        <v>7728</v>
      </c>
      <c r="D74" s="7" t="s">
        <v>51</v>
      </c>
      <c r="E74" s="34" t="s">
        <v>66</v>
      </c>
      <c r="F74" s="34" t="s">
        <v>58</v>
      </c>
      <c r="G74" s="15">
        <v>905.92499999999995</v>
      </c>
      <c r="H74" s="15">
        <v>906.31913690476199</v>
      </c>
      <c r="I74" s="16">
        <f t="shared" si="3"/>
        <v>7000988.3999999994</v>
      </c>
      <c r="J74" s="16">
        <f t="shared" si="4"/>
        <v>7004034.290000001</v>
      </c>
      <c r="K74" s="18">
        <v>0.158799</v>
      </c>
      <c r="L74" s="17">
        <v>3045.89</v>
      </c>
      <c r="M74" s="17"/>
      <c r="N74" s="35"/>
    </row>
    <row r="75" spans="1:14" s="36" customFormat="1" ht="12" customHeight="1" x14ac:dyDescent="0.25">
      <c r="A75" s="12" t="s">
        <v>97</v>
      </c>
      <c r="B75" s="7" t="s">
        <v>98</v>
      </c>
      <c r="C75" s="14">
        <v>7728</v>
      </c>
      <c r="D75" s="7" t="s">
        <v>51</v>
      </c>
      <c r="E75" s="34" t="s">
        <v>58</v>
      </c>
      <c r="F75" s="34" t="s">
        <v>58</v>
      </c>
      <c r="G75" s="15">
        <v>905.92499999999995</v>
      </c>
      <c r="H75" s="15">
        <v>906.31913690476199</v>
      </c>
      <c r="I75" s="16">
        <f t="shared" si="3"/>
        <v>7000988.3999999994</v>
      </c>
      <c r="J75" s="16">
        <f t="shared" si="4"/>
        <v>7004034.290000001</v>
      </c>
      <c r="K75" s="18">
        <v>0.158799</v>
      </c>
      <c r="L75" s="17"/>
      <c r="M75" s="17"/>
      <c r="N75" s="35"/>
    </row>
    <row r="76" spans="1:14" s="36" customFormat="1" ht="12" customHeight="1" x14ac:dyDescent="0.25">
      <c r="A76" s="12" t="s">
        <v>93</v>
      </c>
      <c r="B76" s="7" t="s">
        <v>94</v>
      </c>
      <c r="C76" s="14">
        <v>14145</v>
      </c>
      <c r="D76" s="7" t="s">
        <v>51</v>
      </c>
      <c r="E76" s="34" t="s">
        <v>66</v>
      </c>
      <c r="F76" s="34" t="s">
        <v>58</v>
      </c>
      <c r="G76" s="15">
        <v>1060.6330003534811</v>
      </c>
      <c r="H76" s="15">
        <v>1061.094445387062</v>
      </c>
      <c r="I76" s="16">
        <f t="shared" si="3"/>
        <v>15002653.78999999</v>
      </c>
      <c r="J76" s="16">
        <f t="shared" si="4"/>
        <v>15009180.929999992</v>
      </c>
      <c r="K76" s="18">
        <v>0.158799</v>
      </c>
      <c r="L76" s="17">
        <v>6527.14</v>
      </c>
      <c r="M76" s="17"/>
      <c r="N76" s="35"/>
    </row>
    <row r="77" spans="1:14" s="36" customFormat="1" ht="12" customHeight="1" x14ac:dyDescent="0.25">
      <c r="A77" s="12" t="s">
        <v>93</v>
      </c>
      <c r="B77" s="7" t="s">
        <v>94</v>
      </c>
      <c r="C77" s="14">
        <v>14145</v>
      </c>
      <c r="D77" s="7" t="s">
        <v>51</v>
      </c>
      <c r="E77" s="34" t="s">
        <v>58</v>
      </c>
      <c r="F77" s="34" t="s">
        <v>58</v>
      </c>
      <c r="G77" s="15">
        <v>1060.6330003534811</v>
      </c>
      <c r="H77" s="15">
        <v>1061.094445387062</v>
      </c>
      <c r="I77" s="16">
        <f t="shared" si="3"/>
        <v>15002653.78999999</v>
      </c>
      <c r="J77" s="16">
        <f t="shared" si="4"/>
        <v>15009180.929999992</v>
      </c>
      <c r="K77" s="18">
        <v>0.158799</v>
      </c>
      <c r="L77" s="17"/>
      <c r="M77" s="17"/>
      <c r="N77" s="35"/>
    </row>
    <row r="78" spans="1:14" s="36" customFormat="1" ht="12" customHeight="1" x14ac:dyDescent="0.25">
      <c r="A78" s="12" t="s">
        <v>99</v>
      </c>
      <c r="B78" s="7" t="s">
        <v>100</v>
      </c>
      <c r="C78" s="14">
        <v>2118</v>
      </c>
      <c r="D78" s="7" t="s">
        <v>51</v>
      </c>
      <c r="E78" s="34" t="s">
        <v>66</v>
      </c>
      <c r="F78" s="34" t="s">
        <v>58</v>
      </c>
      <c r="G78" s="15">
        <v>944.88499999999999</v>
      </c>
      <c r="H78" s="15">
        <v>945.29608593012301</v>
      </c>
      <c r="I78" s="16">
        <f t="shared" si="3"/>
        <v>2001266.43</v>
      </c>
      <c r="J78" s="16">
        <f t="shared" si="4"/>
        <v>2002137.1100000006</v>
      </c>
      <c r="K78" s="18">
        <v>0.158799</v>
      </c>
      <c r="L78" s="17">
        <v>870.68</v>
      </c>
      <c r="M78" s="17"/>
      <c r="N78" s="35"/>
    </row>
    <row r="79" spans="1:14" s="36" customFormat="1" ht="12" customHeight="1" x14ac:dyDescent="0.25">
      <c r="A79" s="12" t="s">
        <v>99</v>
      </c>
      <c r="B79" s="7" t="s">
        <v>100</v>
      </c>
      <c r="C79" s="14">
        <v>2118</v>
      </c>
      <c r="D79" s="7" t="s">
        <v>51</v>
      </c>
      <c r="E79" s="34" t="s">
        <v>58</v>
      </c>
      <c r="F79" s="34" t="s">
        <v>58</v>
      </c>
      <c r="G79" s="15">
        <v>944.88499999999999</v>
      </c>
      <c r="H79" s="15">
        <v>945.29608593012301</v>
      </c>
      <c r="I79" s="16">
        <f t="shared" si="3"/>
        <v>2001266.43</v>
      </c>
      <c r="J79" s="16">
        <f t="shared" si="4"/>
        <v>2002137.1100000006</v>
      </c>
      <c r="K79" s="18">
        <v>0.158799</v>
      </c>
      <c r="L79" s="17"/>
      <c r="M79" s="17"/>
      <c r="N79" s="35"/>
    </row>
    <row r="80" spans="1:14" s="36" customFormat="1" ht="12" customHeight="1" x14ac:dyDescent="0.25">
      <c r="A80" s="12" t="s">
        <v>99</v>
      </c>
      <c r="B80" s="7" t="s">
        <v>100</v>
      </c>
      <c r="C80" s="14">
        <v>6354</v>
      </c>
      <c r="D80" s="7" t="s">
        <v>51</v>
      </c>
      <c r="E80" s="34" t="s">
        <v>66</v>
      </c>
      <c r="F80" s="34" t="s">
        <v>58</v>
      </c>
      <c r="G80" s="15">
        <v>944.88499999999999</v>
      </c>
      <c r="H80" s="15">
        <v>945.29608750393504</v>
      </c>
      <c r="I80" s="16">
        <f t="shared" si="3"/>
        <v>6003799.29</v>
      </c>
      <c r="J80" s="16">
        <f t="shared" si="4"/>
        <v>6006411.3400000036</v>
      </c>
      <c r="K80" s="18">
        <v>0.158799</v>
      </c>
      <c r="L80" s="17">
        <v>2612.0500000000002</v>
      </c>
      <c r="M80" s="17"/>
      <c r="N80" s="35"/>
    </row>
    <row r="81" spans="1:14" s="36" customFormat="1" ht="12" customHeight="1" x14ac:dyDescent="0.25">
      <c r="A81" s="12" t="s">
        <v>99</v>
      </c>
      <c r="B81" s="7" t="s">
        <v>100</v>
      </c>
      <c r="C81" s="14">
        <v>6354</v>
      </c>
      <c r="D81" s="7" t="s">
        <v>51</v>
      </c>
      <c r="E81" s="34" t="s">
        <v>58</v>
      </c>
      <c r="F81" s="34" t="s">
        <v>58</v>
      </c>
      <c r="G81" s="15">
        <v>944.88499999999999</v>
      </c>
      <c r="H81" s="15">
        <v>945.29608750393504</v>
      </c>
      <c r="I81" s="16">
        <f t="shared" si="3"/>
        <v>6003799.29</v>
      </c>
      <c r="J81" s="16">
        <f t="shared" si="4"/>
        <v>6006411.3400000036</v>
      </c>
      <c r="K81" s="18">
        <v>0.158799</v>
      </c>
      <c r="L81" s="17"/>
      <c r="M81" s="17"/>
      <c r="N81" s="35"/>
    </row>
    <row r="82" spans="1:14" s="36" customFormat="1" ht="12" customHeight="1" x14ac:dyDescent="0.25">
      <c r="A82" s="12" t="s">
        <v>85</v>
      </c>
      <c r="B82" s="7" t="s">
        <v>86</v>
      </c>
      <c r="C82" s="14">
        <v>945</v>
      </c>
      <c r="D82" s="7" t="s">
        <v>51</v>
      </c>
      <c r="E82" s="34" t="s">
        <v>66</v>
      </c>
      <c r="F82" s="34" t="s">
        <v>58</v>
      </c>
      <c r="G82" s="15">
        <v>1058.4180000000001</v>
      </c>
      <c r="H82" s="15">
        <v>1058.878476190476</v>
      </c>
      <c r="I82" s="16">
        <f t="shared" si="3"/>
        <v>1000205.0100000001</v>
      </c>
      <c r="J82" s="16">
        <f t="shared" si="4"/>
        <v>1000640.1599999998</v>
      </c>
      <c r="K82" s="18">
        <v>0.158799</v>
      </c>
      <c r="L82" s="17">
        <v>435.15</v>
      </c>
      <c r="M82" s="17"/>
      <c r="N82" s="35"/>
    </row>
    <row r="83" spans="1:14" s="36" customFormat="1" ht="12" customHeight="1" x14ac:dyDescent="0.25">
      <c r="A83" s="12" t="s">
        <v>85</v>
      </c>
      <c r="B83" s="7" t="s">
        <v>86</v>
      </c>
      <c r="C83" s="14">
        <v>945</v>
      </c>
      <c r="D83" s="7" t="s">
        <v>51</v>
      </c>
      <c r="E83" s="34" t="s">
        <v>58</v>
      </c>
      <c r="F83" s="34" t="s">
        <v>58</v>
      </c>
      <c r="G83" s="15">
        <v>1058.4180000000001</v>
      </c>
      <c r="H83" s="15">
        <v>1058.878476190476</v>
      </c>
      <c r="I83" s="16">
        <f t="shared" si="3"/>
        <v>1000205.0100000001</v>
      </c>
      <c r="J83" s="16">
        <f t="shared" si="4"/>
        <v>1000640.1599999998</v>
      </c>
      <c r="K83" s="18">
        <v>0.158799</v>
      </c>
      <c r="L83" s="17"/>
      <c r="M83" s="17"/>
      <c r="N83" s="35"/>
    </row>
    <row r="84" spans="1:14" s="36" customFormat="1" ht="12" customHeight="1" x14ac:dyDescent="0.25">
      <c r="A84" s="12" t="s">
        <v>69</v>
      </c>
      <c r="B84" s="7" t="s">
        <v>70</v>
      </c>
      <c r="C84" s="14">
        <v>7074</v>
      </c>
      <c r="D84" s="7" t="s">
        <v>51</v>
      </c>
      <c r="E84" s="34" t="s">
        <v>66</v>
      </c>
      <c r="F84" s="34" t="s">
        <v>58</v>
      </c>
      <c r="G84" s="15">
        <v>848.58500000000004</v>
      </c>
      <c r="H84" s="15">
        <v>848.95418999151809</v>
      </c>
      <c r="I84" s="16">
        <f t="shared" si="3"/>
        <v>6002890.29</v>
      </c>
      <c r="J84" s="16">
        <f t="shared" si="4"/>
        <v>6005501.9399999985</v>
      </c>
      <c r="K84" s="18">
        <v>0.158799</v>
      </c>
      <c r="L84" s="17">
        <v>2611.65</v>
      </c>
      <c r="M84" s="17"/>
      <c r="N84" s="35"/>
    </row>
    <row r="85" spans="1:14" s="36" customFormat="1" ht="12" customHeight="1" x14ac:dyDescent="0.25">
      <c r="A85" s="12" t="s">
        <v>69</v>
      </c>
      <c r="B85" s="7" t="s">
        <v>70</v>
      </c>
      <c r="C85" s="14">
        <v>7074</v>
      </c>
      <c r="D85" s="7" t="s">
        <v>51</v>
      </c>
      <c r="E85" s="34" t="s">
        <v>58</v>
      </c>
      <c r="F85" s="34" t="s">
        <v>58</v>
      </c>
      <c r="G85" s="15">
        <v>848.58500000000004</v>
      </c>
      <c r="H85" s="15">
        <v>848.95418999151809</v>
      </c>
      <c r="I85" s="16">
        <f t="shared" si="3"/>
        <v>6002890.29</v>
      </c>
      <c r="J85" s="16">
        <f t="shared" si="4"/>
        <v>6005501.9399999985</v>
      </c>
      <c r="K85" s="18">
        <v>0.158799</v>
      </c>
      <c r="L85" s="17"/>
      <c r="M85" s="17"/>
      <c r="N85" s="35"/>
    </row>
    <row r="86" spans="1:14" s="36" customFormat="1" ht="12" customHeight="1" x14ac:dyDescent="0.25">
      <c r="A86" s="12" t="s">
        <v>87</v>
      </c>
      <c r="B86" s="7" t="s">
        <v>88</v>
      </c>
      <c r="C86" s="14">
        <v>1253</v>
      </c>
      <c r="D86" s="7" t="s">
        <v>51</v>
      </c>
      <c r="E86" s="34" t="s">
        <v>66</v>
      </c>
      <c r="F86" s="34" t="s">
        <v>58</v>
      </c>
      <c r="G86" s="15">
        <v>798.23900239425404</v>
      </c>
      <c r="H86" s="15">
        <v>798.58628890662408</v>
      </c>
      <c r="I86" s="16">
        <f t="shared" si="3"/>
        <v>1000193.4700000003</v>
      </c>
      <c r="J86" s="16">
        <f t="shared" si="4"/>
        <v>1000628.62</v>
      </c>
      <c r="K86" s="18">
        <v>0.158799</v>
      </c>
      <c r="L86" s="17">
        <v>435.15</v>
      </c>
      <c r="M86" s="17"/>
      <c r="N86" s="35"/>
    </row>
    <row r="87" spans="1:14" s="36" customFormat="1" ht="12" customHeight="1" x14ac:dyDescent="0.25">
      <c r="A87" s="12" t="s">
        <v>87</v>
      </c>
      <c r="B87" s="7" t="s">
        <v>88</v>
      </c>
      <c r="C87" s="14">
        <v>1253</v>
      </c>
      <c r="D87" s="7" t="s">
        <v>51</v>
      </c>
      <c r="E87" s="34" t="s">
        <v>58</v>
      </c>
      <c r="F87" s="34" t="s">
        <v>58</v>
      </c>
      <c r="G87" s="15">
        <v>798.23900239425404</v>
      </c>
      <c r="H87" s="15">
        <v>798.58628890662408</v>
      </c>
      <c r="I87" s="16">
        <f t="shared" si="3"/>
        <v>1000193.4700000003</v>
      </c>
      <c r="J87" s="16">
        <f t="shared" si="4"/>
        <v>1000628.62</v>
      </c>
      <c r="K87" s="18">
        <v>0.158799</v>
      </c>
      <c r="L87" s="17"/>
      <c r="M87" s="17"/>
      <c r="N87" s="35"/>
    </row>
    <row r="88" spans="1:14" s="36" customFormat="1" ht="12" customHeight="1" x14ac:dyDescent="0.25">
      <c r="A88" s="12" t="s">
        <v>101</v>
      </c>
      <c r="B88" s="7" t="s">
        <v>102</v>
      </c>
      <c r="C88" s="14">
        <v>2228</v>
      </c>
      <c r="D88" s="7" t="s">
        <v>51</v>
      </c>
      <c r="E88" s="34" t="s">
        <v>66</v>
      </c>
      <c r="F88" s="34" t="s">
        <v>58</v>
      </c>
      <c r="G88" s="15">
        <v>898.18100089766608</v>
      </c>
      <c r="H88" s="15">
        <v>898.57176840215402</v>
      </c>
      <c r="I88" s="16">
        <f t="shared" si="3"/>
        <v>2001147.27</v>
      </c>
      <c r="J88" s="16">
        <f t="shared" si="4"/>
        <v>2002017.8999999992</v>
      </c>
      <c r="K88" s="18">
        <v>0.158799</v>
      </c>
      <c r="L88" s="17">
        <v>870.63</v>
      </c>
      <c r="M88" s="17"/>
      <c r="N88" s="35"/>
    </row>
    <row r="89" spans="1:14" s="36" customFormat="1" ht="12" customHeight="1" x14ac:dyDescent="0.25">
      <c r="A89" s="12" t="s">
        <v>101</v>
      </c>
      <c r="B89" s="7" t="s">
        <v>102</v>
      </c>
      <c r="C89" s="14">
        <v>2228</v>
      </c>
      <c r="D89" s="7" t="s">
        <v>51</v>
      </c>
      <c r="E89" s="34" t="s">
        <v>58</v>
      </c>
      <c r="F89" s="34" t="s">
        <v>58</v>
      </c>
      <c r="G89" s="15">
        <v>898.18100089766608</v>
      </c>
      <c r="H89" s="15">
        <v>898.57176840215402</v>
      </c>
      <c r="I89" s="16">
        <f t="shared" si="3"/>
        <v>2001147.27</v>
      </c>
      <c r="J89" s="16">
        <f t="shared" si="4"/>
        <v>2002017.8999999992</v>
      </c>
      <c r="K89" s="18">
        <v>0.158799</v>
      </c>
      <c r="L89" s="17"/>
      <c r="M89" s="17"/>
      <c r="N89" s="35"/>
    </row>
    <row r="90" spans="1:14" s="36" customFormat="1" ht="12" customHeight="1" x14ac:dyDescent="0.25">
      <c r="A90" s="12" t="s">
        <v>95</v>
      </c>
      <c r="B90" s="7" t="s">
        <v>96</v>
      </c>
      <c r="C90" s="14">
        <v>3860</v>
      </c>
      <c r="D90" s="7" t="s">
        <v>51</v>
      </c>
      <c r="E90" s="34" t="s">
        <v>66</v>
      </c>
      <c r="F90" s="34" t="s">
        <v>58</v>
      </c>
      <c r="G90" s="15">
        <v>1037.221</v>
      </c>
      <c r="H90" s="15">
        <v>1037.6722590673571</v>
      </c>
      <c r="I90" s="16">
        <f t="shared" si="3"/>
        <v>4003673.06</v>
      </c>
      <c r="J90" s="16">
        <f t="shared" si="4"/>
        <v>4005414.9199999985</v>
      </c>
      <c r="K90" s="18">
        <v>0.158799</v>
      </c>
      <c r="L90" s="17">
        <v>1741.86</v>
      </c>
      <c r="M90" s="17"/>
      <c r="N90" s="35"/>
    </row>
    <row r="91" spans="1:14" s="36" customFormat="1" ht="12" customHeight="1" x14ac:dyDescent="0.25">
      <c r="A91" s="12" t="s">
        <v>95</v>
      </c>
      <c r="B91" s="7" t="s">
        <v>96</v>
      </c>
      <c r="C91" s="14">
        <v>3860</v>
      </c>
      <c r="D91" s="7" t="s">
        <v>51</v>
      </c>
      <c r="E91" s="34" t="s">
        <v>58</v>
      </c>
      <c r="F91" s="34" t="s">
        <v>58</v>
      </c>
      <c r="G91" s="15">
        <v>1037.221</v>
      </c>
      <c r="H91" s="15">
        <v>1037.6722590673571</v>
      </c>
      <c r="I91" s="16">
        <f t="shared" si="3"/>
        <v>4003673.06</v>
      </c>
      <c r="J91" s="16">
        <f t="shared" si="4"/>
        <v>4005414.9199999985</v>
      </c>
      <c r="K91" s="18">
        <v>0.158799</v>
      </c>
      <c r="L91" s="17"/>
      <c r="M91" s="17"/>
      <c r="N91" s="35"/>
    </row>
    <row r="92" spans="1:14" s="36" customFormat="1" ht="12" customHeight="1" x14ac:dyDescent="0.25">
      <c r="A92" s="12" t="s">
        <v>103</v>
      </c>
      <c r="B92" s="7" t="s">
        <v>104</v>
      </c>
      <c r="C92" s="14">
        <v>20620</v>
      </c>
      <c r="D92" s="7" t="s">
        <v>51</v>
      </c>
      <c r="E92" s="34" t="s">
        <v>66</v>
      </c>
      <c r="F92" s="34" t="s">
        <v>58</v>
      </c>
      <c r="G92" s="15">
        <v>970.39100000000008</v>
      </c>
      <c r="H92" s="15">
        <v>970.81318380213406</v>
      </c>
      <c r="I92" s="16">
        <f t="shared" si="3"/>
        <v>20009462.420000002</v>
      </c>
      <c r="J92" s="16">
        <f t="shared" si="4"/>
        <v>20018167.850000005</v>
      </c>
      <c r="K92" s="18">
        <v>0.158799</v>
      </c>
      <c r="L92" s="17">
        <v>8705.43</v>
      </c>
      <c r="M92" s="17"/>
      <c r="N92" s="35"/>
    </row>
    <row r="93" spans="1:14" s="36" customFormat="1" ht="12" customHeight="1" x14ac:dyDescent="0.25">
      <c r="A93" s="12" t="s">
        <v>103</v>
      </c>
      <c r="B93" s="7" t="s">
        <v>104</v>
      </c>
      <c r="C93" s="14">
        <v>20620</v>
      </c>
      <c r="D93" s="7" t="s">
        <v>51</v>
      </c>
      <c r="E93" s="34" t="s">
        <v>58</v>
      </c>
      <c r="F93" s="34" t="s">
        <v>58</v>
      </c>
      <c r="G93" s="15">
        <v>970.39100000000008</v>
      </c>
      <c r="H93" s="15">
        <v>970.81318380213406</v>
      </c>
      <c r="I93" s="16">
        <f t="shared" si="3"/>
        <v>20009462.420000002</v>
      </c>
      <c r="J93" s="16">
        <f t="shared" si="4"/>
        <v>20018167.850000005</v>
      </c>
      <c r="K93" s="18">
        <v>0.158799</v>
      </c>
      <c r="L93" s="17"/>
      <c r="M93" s="17"/>
      <c r="N93" s="35"/>
    </row>
    <row r="94" spans="1:14" s="36" customFormat="1" ht="12" customHeight="1" x14ac:dyDescent="0.25">
      <c r="A94" s="12" t="s">
        <v>81</v>
      </c>
      <c r="B94" s="7" t="s">
        <v>82</v>
      </c>
      <c r="C94" s="14">
        <v>36124</v>
      </c>
      <c r="D94" s="7" t="s">
        <v>51</v>
      </c>
      <c r="E94" s="34" t="s">
        <v>66</v>
      </c>
      <c r="F94" s="34" t="s">
        <v>58</v>
      </c>
      <c r="G94" s="15">
        <v>609.08799994463504</v>
      </c>
      <c r="H94" s="15">
        <v>609.35299330085297</v>
      </c>
      <c r="I94" s="16">
        <f t="shared" si="3"/>
        <v>22002694.909999996</v>
      </c>
      <c r="J94" s="16">
        <f t="shared" si="4"/>
        <v>22012267.530000012</v>
      </c>
      <c r="K94" s="18">
        <v>0.158799</v>
      </c>
      <c r="L94" s="17">
        <v>9572.6200000000008</v>
      </c>
      <c r="M94" s="17"/>
      <c r="N94" s="35"/>
    </row>
    <row r="95" spans="1:14" s="36" customFormat="1" ht="12" customHeight="1" x14ac:dyDescent="0.25">
      <c r="A95" s="12" t="s">
        <v>81</v>
      </c>
      <c r="B95" s="7" t="s">
        <v>82</v>
      </c>
      <c r="C95" s="14">
        <v>36124</v>
      </c>
      <c r="D95" s="7" t="s">
        <v>51</v>
      </c>
      <c r="E95" s="34" t="s">
        <v>58</v>
      </c>
      <c r="F95" s="34" t="s">
        <v>58</v>
      </c>
      <c r="G95" s="15">
        <v>609.08799994463504</v>
      </c>
      <c r="H95" s="15">
        <v>609.35299330085297</v>
      </c>
      <c r="I95" s="16">
        <f t="shared" si="3"/>
        <v>22002694.909999996</v>
      </c>
      <c r="J95" s="16">
        <f t="shared" si="4"/>
        <v>22012267.530000012</v>
      </c>
      <c r="K95" s="18">
        <v>0.158799</v>
      </c>
      <c r="L95" s="17"/>
      <c r="M95" s="17"/>
      <c r="N95" s="35"/>
    </row>
    <row r="96" spans="1:14" s="36" customFormat="1" ht="12" customHeight="1" x14ac:dyDescent="0.25">
      <c r="A96" s="12" t="s">
        <v>97</v>
      </c>
      <c r="B96" s="7" t="s">
        <v>98</v>
      </c>
      <c r="C96" s="14">
        <v>18768</v>
      </c>
      <c r="D96" s="7" t="s">
        <v>51</v>
      </c>
      <c r="E96" s="34" t="s">
        <v>66</v>
      </c>
      <c r="F96" s="34" t="s">
        <v>58</v>
      </c>
      <c r="G96" s="15">
        <v>905.92499999999995</v>
      </c>
      <c r="H96" s="15">
        <v>906.31913682864501</v>
      </c>
      <c r="I96" s="16">
        <f t="shared" si="3"/>
        <v>17002400.399999999</v>
      </c>
      <c r="J96" s="16">
        <f t="shared" si="4"/>
        <v>17009797.56000001</v>
      </c>
      <c r="K96" s="18">
        <v>0.158799</v>
      </c>
      <c r="L96" s="17">
        <v>7397.16</v>
      </c>
      <c r="M96" s="17"/>
      <c r="N96" s="35"/>
    </row>
    <row r="97" spans="1:15" s="36" customFormat="1" ht="12" customHeight="1" x14ac:dyDescent="0.25">
      <c r="A97" s="12" t="s">
        <v>97</v>
      </c>
      <c r="B97" s="7" t="s">
        <v>98</v>
      </c>
      <c r="C97" s="14">
        <v>18768</v>
      </c>
      <c r="D97" s="7" t="s">
        <v>51</v>
      </c>
      <c r="E97" s="34" t="s">
        <v>58</v>
      </c>
      <c r="F97" s="34" t="s">
        <v>58</v>
      </c>
      <c r="G97" s="15">
        <v>905.92499999999995</v>
      </c>
      <c r="H97" s="15">
        <v>906.31913682864501</v>
      </c>
      <c r="I97" s="16">
        <f t="shared" si="3"/>
        <v>17002400.399999999</v>
      </c>
      <c r="J97" s="16">
        <f t="shared" si="4"/>
        <v>17009797.56000001</v>
      </c>
      <c r="K97" s="18">
        <v>0.158799</v>
      </c>
      <c r="L97" s="17"/>
      <c r="M97" s="17"/>
      <c r="N97" s="35"/>
    </row>
    <row r="98" spans="1:15" s="36" customFormat="1" ht="12" customHeight="1" x14ac:dyDescent="0.25">
      <c r="A98" s="12" t="s">
        <v>105</v>
      </c>
      <c r="B98" s="7" t="s">
        <v>106</v>
      </c>
      <c r="C98" s="14">
        <v>21879</v>
      </c>
      <c r="D98" s="7" t="s">
        <v>51</v>
      </c>
      <c r="E98" s="34" t="s">
        <v>66</v>
      </c>
      <c r="F98" s="34" t="s">
        <v>58</v>
      </c>
      <c r="G98" s="15">
        <v>777.11699986288204</v>
      </c>
      <c r="H98" s="15">
        <v>777.45509666803798</v>
      </c>
      <c r="I98" s="16">
        <f t="shared" si="3"/>
        <v>17002542.839999996</v>
      </c>
      <c r="J98" s="16">
        <f t="shared" si="4"/>
        <v>17009940.060000002</v>
      </c>
      <c r="K98" s="18">
        <v>0.158799</v>
      </c>
      <c r="L98" s="17">
        <v>7397.22</v>
      </c>
      <c r="M98" s="17"/>
      <c r="N98" s="35"/>
    </row>
    <row r="99" spans="1:15" s="36" customFormat="1" ht="12" customHeight="1" x14ac:dyDescent="0.25">
      <c r="A99" s="12" t="s">
        <v>105</v>
      </c>
      <c r="B99" s="7" t="s">
        <v>106</v>
      </c>
      <c r="C99" s="14">
        <v>21879</v>
      </c>
      <c r="D99" s="7" t="s">
        <v>51</v>
      </c>
      <c r="E99" s="34" t="s">
        <v>58</v>
      </c>
      <c r="F99" s="34" t="s">
        <v>58</v>
      </c>
      <c r="G99" s="15">
        <v>777.11699986288204</v>
      </c>
      <c r="H99" s="15">
        <v>777.45509666803798</v>
      </c>
      <c r="I99" s="16">
        <f t="shared" si="3"/>
        <v>17002542.839999996</v>
      </c>
      <c r="J99" s="16">
        <f t="shared" si="4"/>
        <v>17009940.060000002</v>
      </c>
      <c r="K99" s="18">
        <v>0.158799</v>
      </c>
      <c r="L99" s="17"/>
      <c r="M99" s="17"/>
      <c r="N99" s="35"/>
    </row>
    <row r="100" spans="1:15" s="36" customFormat="1" ht="12" customHeight="1" x14ac:dyDescent="0.25">
      <c r="A100" s="12" t="s">
        <v>62</v>
      </c>
      <c r="B100" s="7" t="s">
        <v>63</v>
      </c>
      <c r="C100" s="14">
        <v>32039</v>
      </c>
      <c r="D100" s="7" t="s">
        <v>51</v>
      </c>
      <c r="E100" s="34" t="s">
        <v>66</v>
      </c>
      <c r="F100" s="34" t="s">
        <v>58</v>
      </c>
      <c r="G100" s="15">
        <v>718.25699990636406</v>
      </c>
      <c r="H100" s="15">
        <v>718.56948906020807</v>
      </c>
      <c r="I100" s="16">
        <f t="shared" si="3"/>
        <v>23012236.02</v>
      </c>
      <c r="J100" s="16">
        <f t="shared" si="4"/>
        <v>23022247.860000007</v>
      </c>
      <c r="K100" s="18">
        <v>0.158799</v>
      </c>
      <c r="L100" s="17">
        <v>10011.84</v>
      </c>
      <c r="M100" s="17"/>
      <c r="N100" s="35"/>
    </row>
    <row r="101" spans="1:15" s="36" customFormat="1" ht="11.25" hidden="1" x14ac:dyDescent="0.25">
      <c r="A101" s="7"/>
      <c r="B101" s="7"/>
      <c r="C101" s="7"/>
      <c r="D101" s="7"/>
      <c r="E101" s="37"/>
      <c r="F101" s="37"/>
      <c r="G101" s="7"/>
      <c r="H101" s="7"/>
      <c r="I101" s="8"/>
      <c r="J101" s="8"/>
      <c r="K101" s="7"/>
      <c r="L101" s="9"/>
      <c r="M101" s="9"/>
      <c r="N101" s="35"/>
    </row>
    <row r="102" spans="1:15" x14ac:dyDescent="0.25">
      <c r="A102" s="1" t="s">
        <v>5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2">
        <f>SUM(M32:M101)</f>
        <v>3227707249.9642849</v>
      </c>
      <c r="N102" s="38">
        <v>3227707249.9642859</v>
      </c>
      <c r="O102" s="29">
        <f>M102-N102</f>
        <v>0</v>
      </c>
    </row>
    <row r="104" spans="1:15" x14ac:dyDescent="0.25">
      <c r="A104" s="39" t="s">
        <v>28</v>
      </c>
      <c r="B104" s="33"/>
      <c r="D104" s="33"/>
      <c r="F104" s="28"/>
      <c r="G104" s="28"/>
    </row>
    <row r="105" spans="1:15" ht="22.5" x14ac:dyDescent="0.25">
      <c r="A105" s="19" t="s">
        <v>6</v>
      </c>
      <c r="B105" s="19" t="s">
        <v>29</v>
      </c>
      <c r="C105" s="19" t="s">
        <v>17</v>
      </c>
      <c r="D105" s="19" t="s">
        <v>30</v>
      </c>
      <c r="E105" s="19" t="s">
        <v>16</v>
      </c>
      <c r="F105" s="19" t="s">
        <v>31</v>
      </c>
      <c r="G105" s="19" t="s">
        <v>32</v>
      </c>
    </row>
    <row r="106" spans="1:15" hidden="1" x14ac:dyDescent="0.25">
      <c r="B106" s="41"/>
      <c r="C106" s="42"/>
      <c r="D106" s="43"/>
      <c r="G106" s="44"/>
      <c r="H106" s="33"/>
    </row>
    <row r="107" spans="1:15" x14ac:dyDescent="0.25">
      <c r="G107" s="45">
        <f>SUM(G106:G106)</f>
        <v>0</v>
      </c>
    </row>
    <row r="109" spans="1:15" x14ac:dyDescent="0.25">
      <c r="A109" s="46" t="s">
        <v>13</v>
      </c>
      <c r="B109" s="47">
        <f>+L24+B27+M102+G107</f>
        <v>32530915507.324242</v>
      </c>
      <c r="C109" s="32">
        <v>32530915507.324272</v>
      </c>
      <c r="D109" s="29">
        <f>B109-C109</f>
        <v>-3.0517578125E-5</v>
      </c>
    </row>
    <row r="112" spans="1:15" x14ac:dyDescent="0.25">
      <c r="A112" s="24" t="s">
        <v>46</v>
      </c>
      <c r="B112" s="33"/>
    </row>
    <row r="113" spans="1:2" x14ac:dyDescent="0.25">
      <c r="A113" s="48" t="s">
        <v>35</v>
      </c>
      <c r="B113" s="49"/>
    </row>
    <row r="114" spans="1:2" x14ac:dyDescent="0.25">
      <c r="A114" s="48" t="s">
        <v>36</v>
      </c>
      <c r="B114" s="40"/>
    </row>
    <row r="115" spans="1:2" x14ac:dyDescent="0.25">
      <c r="A115" s="48" t="s">
        <v>37</v>
      </c>
      <c r="B115" s="40">
        <v>62731.810000000005</v>
      </c>
    </row>
    <row r="116" spans="1:2" x14ac:dyDescent="0.25">
      <c r="A116" s="48" t="s">
        <v>38</v>
      </c>
      <c r="B116" s="40"/>
    </row>
    <row r="117" spans="1:2" x14ac:dyDescent="0.25">
      <c r="A117" s="48" t="s">
        <v>39</v>
      </c>
      <c r="B117" s="49"/>
    </row>
    <row r="118" spans="1:2" x14ac:dyDescent="0.25">
      <c r="A118" s="48" t="s">
        <v>40</v>
      </c>
      <c r="B118" s="50">
        <v>5780.48</v>
      </c>
    </row>
    <row r="119" spans="1:2" x14ac:dyDescent="0.25">
      <c r="A119" s="48" t="s">
        <v>41</v>
      </c>
      <c r="B119" s="50">
        <v>2588.2200000000003</v>
      </c>
    </row>
    <row r="120" spans="1:2" x14ac:dyDescent="0.25">
      <c r="A120" s="48" t="s">
        <v>42</v>
      </c>
      <c r="B120" s="40"/>
    </row>
    <row r="121" spans="1:2" x14ac:dyDescent="0.25">
      <c r="A121" s="48" t="s">
        <v>43</v>
      </c>
      <c r="B121" s="40"/>
    </row>
    <row r="122" spans="1:2" x14ac:dyDescent="0.25">
      <c r="A122" s="48" t="s">
        <v>44</v>
      </c>
      <c r="B122" s="50"/>
    </row>
    <row r="123" spans="1:2" x14ac:dyDescent="0.25">
      <c r="A123" s="48" t="s">
        <v>45</v>
      </c>
      <c r="B123" s="49">
        <f>SUM(B113:B122)</f>
        <v>71100.510000000009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2025-10-03T05:46:31Z</dcterms:created>
  <dcterms:modified xsi:type="dcterms:W3CDTF">2025-10-03T09:40:47Z</dcterms:modified>
</cp:coreProperties>
</file>