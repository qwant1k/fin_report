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06123180-3936-4A32-A99E-18E81B44E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7" i="1"/>
  <c r="M12" i="1"/>
  <c r="M11" i="1"/>
  <c r="M6" i="1"/>
  <c r="M5" i="1"/>
  <c r="M7" i="1" l="1"/>
  <c r="M13" i="1"/>
  <c r="M19" i="1"/>
  <c r="M8" i="1"/>
  <c r="M9" i="1"/>
  <c r="M15" i="1"/>
  <c r="M21" i="1"/>
  <c r="B52" i="1"/>
  <c r="M18" i="1"/>
  <c r="M14" i="1"/>
  <c r="M20" i="1"/>
  <c r="M4" i="1"/>
  <c r="M10" i="1"/>
  <c r="M16" i="1"/>
</calcChain>
</file>

<file path=xl/sharedStrings.xml><?xml version="1.0" encoding="utf-8"?>
<sst xmlns="http://schemas.openxmlformats.org/spreadsheetml/2006/main" count="190" uniqueCount="136">
  <si>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</si>
  <si>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</si>
  <si>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</si>
  <si>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</si>
  <si>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</si>
  <si>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</si>
  <si>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</si>
  <si>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</si>
  <si>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</si>
  <si>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</si>
  <si>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</si>
  <si>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</si>
  <si>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</si>
  <si>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</si>
  <si>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</si>
  <si>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</si>
  <si>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</si>
  <si>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</si>
  <si>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</si>
  <si>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</si>
  <si>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</si>
  <si>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</si>
  <si>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</si>
  <si>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</si>
  <si>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</si>
  <si>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</si>
  <si>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</si>
  <si>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</si>
  <si>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</si>
  <si>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</si>
  <si>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</si>
  <si>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</si>
  <si>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</si>
  <si>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</si>
  <si>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</si>
  <si>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</si>
  <si>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</si>
  <si>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</si>
  <si>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</si>
  <si>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</si>
  <si>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</si>
  <si>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</si>
  <si>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</si>
  <si>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</si>
  <si>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</si>
  <si>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</si>
  <si>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</si>
  <si>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</si>
  <si>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</si>
  <si>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</si>
  <si>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</si>
  <si>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</si>
  <si>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</si>
  <si>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</si>
  <si>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</si>
  <si>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</si>
  <si>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</si>
  <si>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</si>
  <si>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ЕВРАЗИЙСКИЙ БАНК РАЗВИТИЯ, ОБЛИГАЦИИ, EABRb40</t>
  </si>
  <si>
    <t>KZ2D00009628</t>
  </si>
  <si>
    <t>24.10.2025</t>
  </si>
  <si>
    <t>МИНИСТЕРСТВО ФИНАНСОВ РК, ГЦБ, MUM180_0009</t>
  </si>
  <si>
    <t>KZKD00000717</t>
  </si>
  <si>
    <t>МИНИСТЕРСТВО ФИНАНСОВ РК, ГЦБ, MUM096_0013</t>
  </si>
  <si>
    <t>KZKD00001202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</si>
  <si>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</si>
  <si>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</si>
  <si>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</si>
  <si>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</si>
  <si>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MUM084_0018</t>
  </si>
  <si>
    <t>KZKD00001137</t>
  </si>
  <si>
    <t>АКЦИОНЕРНОЕ ОБЩЕСТВО КАЗАХСТАНСКИЙ ФОНД УСТОЙЧИВОСТИ, ОБЛИГАЦИИ, KFUSb48</t>
  </si>
  <si>
    <t>KZ2C00008944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</si>
  <si>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</si>
  <si>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</si>
  <si>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</si>
  <si>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</si>
  <si>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</si>
  <si>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</si>
  <si>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</si>
  <si>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</si>
  <si>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</si>
  <si>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</si>
  <si>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</si>
  <si>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</si>
  <si>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</si>
  <si>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</si>
  <si>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</si>
  <si>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</si>
  <si>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</si>
  <si>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</si>
  <si>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</si>
  <si>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</si>
  <si>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</si>
  <si>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</si>
  <si>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</si>
  <si>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</si>
  <si>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</si>
  <si>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</si>
  <si>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</si>
  <si>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</si>
  <si>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</si>
  <si>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</si>
  <si>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</si>
  <si>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</si>
  <si>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</si>
  <si>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</si>
  <si>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</si>
  <si>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</si>
  <si>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</si>
  <si>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</si>
  <si>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</si>
  <si>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</si>
  <si>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</si>
  <si>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</si>
  <si>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</si>
  <si>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</si>
  <si>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</si>
  <si>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</si>
  <si>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</si>
  <si>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</si>
  <si>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</si>
  <si>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</si>
  <si>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</si>
  <si>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</si>
  <si>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</si>
  <si>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</si>
  <si>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</si>
  <si>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</si>
  <si>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</si>
  <si>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</si>
  <si>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</si>
  <si>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</si>
  <si>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</si>
  <si>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</si>
  <si>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26.10.2025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</si>
</sst>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28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77</v>
      </c>
      <c r="B4" s="13" t="s">
        <v>78</v>
      </c>
      <c r="C4" s="10">
        <v>3020000</v>
      </c>
      <c r="D4" s="11">
        <v>3020000000</v>
      </c>
      <c r="E4" s="3">
        <v>0.1067</v>
      </c>
      <c r="F4" s="4" t="s">
        <v>79</v>
      </c>
      <c r="G4" s="4" t="s">
        <v>80</v>
      </c>
      <c r="H4" s="11">
        <v>2930617060.0000029</v>
      </c>
      <c r="I4" s="11">
        <v>98.557000000000002</v>
      </c>
      <c r="J4" s="11">
        <v>101.37269444444401</v>
      </c>
      <c r="K4" s="11">
        <v>85033972.222222224</v>
      </c>
      <c r="L4" s="11">
        <v>3061455372.2222219</v>
      </c>
      <c r="M4" s="6">
        <f t="shared" ref="M4:M22" si="0">L4/$L$24</f>
        <v>0.10419419115347549</v>
      </c>
    </row>
    <row r="5" spans="1:13" x14ac:dyDescent="0.25">
      <c r="A5" s="1" t="s">
        <v>81</v>
      </c>
      <c r="B5" s="13" t="s">
        <v>82</v>
      </c>
      <c r="C5" s="10">
        <v>2265000</v>
      </c>
      <c r="D5" s="11">
        <v>2265000000</v>
      </c>
      <c r="E5" s="3">
        <v>0.10550000000000001</v>
      </c>
      <c r="F5" s="4" t="s">
        <v>79</v>
      </c>
      <c r="G5" s="4" t="s">
        <v>83</v>
      </c>
      <c r="H5" s="11">
        <v>2039188560.0000031</v>
      </c>
      <c r="I5" s="11">
        <v>82.232700000000008</v>
      </c>
      <c r="J5" s="11">
        <v>84.811588888888878</v>
      </c>
      <c r="K5" s="11">
        <v>58411833.333333328</v>
      </c>
      <c r="L5" s="11">
        <v>1920982488.333333</v>
      </c>
      <c r="M5" s="6">
        <f t="shared" si="0"/>
        <v>6.5379106423686134E-2</v>
      </c>
    </row>
    <row r="6" spans="1:13" x14ac:dyDescent="0.25">
      <c r="A6" s="1" t="s">
        <v>81</v>
      </c>
      <c r="B6" s="13" t="s">
        <v>82</v>
      </c>
      <c r="C6" s="10">
        <v>1551646</v>
      </c>
      <c r="D6" s="11">
        <v>1551646000</v>
      </c>
      <c r="E6" s="3">
        <v>0.10550000000000001</v>
      </c>
      <c r="F6" s="4" t="s">
        <v>84</v>
      </c>
      <c r="G6" s="4" t="s">
        <v>83</v>
      </c>
      <c r="H6" s="11">
        <v>1395452658.7</v>
      </c>
      <c r="I6" s="11">
        <v>82.232700000000008</v>
      </c>
      <c r="J6" s="11">
        <v>84.811588888889133</v>
      </c>
      <c r="K6" s="11">
        <v>40015226.288888879</v>
      </c>
      <c r="L6" s="11">
        <v>1315975626.5308919</v>
      </c>
      <c r="M6" s="6">
        <f t="shared" si="0"/>
        <v>4.478818055889057E-2</v>
      </c>
    </row>
    <row r="7" spans="1:13" x14ac:dyDescent="0.25">
      <c r="A7" s="1" t="s">
        <v>81</v>
      </c>
      <c r="B7" s="13" t="s">
        <v>82</v>
      </c>
      <c r="C7" s="10">
        <v>545692</v>
      </c>
      <c r="D7" s="11">
        <v>545692000</v>
      </c>
      <c r="E7" s="3">
        <v>0.10550000000000001</v>
      </c>
      <c r="F7" s="4" t="s">
        <v>85</v>
      </c>
      <c r="G7" s="4" t="s">
        <v>83</v>
      </c>
      <c r="H7" s="11">
        <v>449784993.92000002</v>
      </c>
      <c r="I7" s="11">
        <v>82.232700000000008</v>
      </c>
      <c r="J7" s="11">
        <v>84.811588888888892</v>
      </c>
      <c r="K7" s="11">
        <v>14072790.355555549</v>
      </c>
      <c r="L7" s="11">
        <v>462810055.63955599</v>
      </c>
      <c r="M7" s="6">
        <f t="shared" si="0"/>
        <v>1.57513710121652E-2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79</v>
      </c>
      <c r="G8" s="4" t="s">
        <v>86</v>
      </c>
      <c r="H8" s="11">
        <v>2073109200</v>
      </c>
      <c r="I8" s="11">
        <v>86.444999999999993</v>
      </c>
      <c r="J8" s="11">
        <v>92.049444444444433</v>
      </c>
      <c r="K8" s="11">
        <v>126940666.666667</v>
      </c>
      <c r="L8" s="11">
        <v>2084919916.666666</v>
      </c>
      <c r="M8" s="6">
        <f t="shared" si="0"/>
        <v>7.0958586007141125E-2</v>
      </c>
    </row>
    <row r="9" spans="1:13" x14ac:dyDescent="0.25">
      <c r="A9" s="1" t="s">
        <v>87</v>
      </c>
      <c r="B9" s="13" t="s">
        <v>88</v>
      </c>
      <c r="C9" s="10">
        <v>2265000</v>
      </c>
      <c r="D9" s="11">
        <v>2265000000</v>
      </c>
      <c r="E9" s="3">
        <v>0.11</v>
      </c>
      <c r="F9" s="4" t="s">
        <v>79</v>
      </c>
      <c r="G9" s="4" t="s">
        <v>89</v>
      </c>
      <c r="H9" s="11">
        <v>2080889475</v>
      </c>
      <c r="I9" s="11">
        <v>84.284900000000007</v>
      </c>
      <c r="J9" s="11">
        <v>90.57934444444443</v>
      </c>
      <c r="K9" s="11">
        <v>142569166.66666701</v>
      </c>
      <c r="L9" s="11">
        <v>2051622151.666666</v>
      </c>
      <c r="M9" s="6">
        <f t="shared" si="0"/>
        <v>6.9825323140442819E-2</v>
      </c>
    </row>
    <row r="10" spans="1:13" x14ac:dyDescent="0.25">
      <c r="A10" s="1" t="s">
        <v>90</v>
      </c>
      <c r="B10" s="13" t="s">
        <v>91</v>
      </c>
      <c r="C10" s="10">
        <v>2265000</v>
      </c>
      <c r="D10" s="11">
        <v>2265000000</v>
      </c>
      <c r="E10" s="3">
        <v>0.10300000000000001</v>
      </c>
      <c r="F10" s="4" t="s">
        <v>79</v>
      </c>
      <c r="G10" s="4" t="s">
        <v>92</v>
      </c>
      <c r="H10" s="11">
        <v>1963990560.0000031</v>
      </c>
      <c r="I10" s="11">
        <v>76.970700000000008</v>
      </c>
      <c r="J10" s="11">
        <v>83.236533333333327</v>
      </c>
      <c r="K10" s="11">
        <v>141921125</v>
      </c>
      <c r="L10" s="11">
        <v>1885307480</v>
      </c>
      <c r="M10" s="6">
        <f t="shared" si="0"/>
        <v>6.4164935976711121E-2</v>
      </c>
    </row>
    <row r="11" spans="1:13" x14ac:dyDescent="0.25">
      <c r="A11" s="1" t="s">
        <v>93</v>
      </c>
      <c r="B11" s="13" t="s">
        <v>94</v>
      </c>
      <c r="C11" s="10">
        <v>2265000</v>
      </c>
      <c r="D11" s="11">
        <v>2265000000</v>
      </c>
      <c r="E11" s="3">
        <v>8.4500000000000006E-2</v>
      </c>
      <c r="F11" s="4" t="s">
        <v>79</v>
      </c>
      <c r="G11" s="4" t="s">
        <v>95</v>
      </c>
      <c r="H11" s="11">
        <v>1740247065.0000031</v>
      </c>
      <c r="I11" s="11">
        <v>67.648800000000008</v>
      </c>
      <c r="J11" s="11">
        <v>72.10852222222222</v>
      </c>
      <c r="K11" s="11">
        <v>101012708.333333</v>
      </c>
      <c r="L11" s="11">
        <v>1633258028.333333</v>
      </c>
      <c r="M11" s="6">
        <f t="shared" si="0"/>
        <v>5.5586633975195254E-2</v>
      </c>
    </row>
    <row r="12" spans="1:13" x14ac:dyDescent="0.25">
      <c r="A12" s="1" t="s">
        <v>96</v>
      </c>
      <c r="B12" s="13" t="s">
        <v>97</v>
      </c>
      <c r="C12" s="10">
        <v>2265000</v>
      </c>
      <c r="D12" s="11">
        <v>2265000000</v>
      </c>
      <c r="E12" s="3">
        <v>0.10650000000000001</v>
      </c>
      <c r="F12" s="4" t="s">
        <v>79</v>
      </c>
      <c r="G12" s="4" t="s">
        <v>98</v>
      </c>
      <c r="H12" s="11">
        <v>1967775375</v>
      </c>
      <c r="I12" s="11">
        <v>75.361400000000003</v>
      </c>
      <c r="J12" s="11">
        <v>78.023899999999998</v>
      </c>
      <c r="K12" s="11">
        <v>60305625</v>
      </c>
      <c r="L12" s="11">
        <v>1767241335</v>
      </c>
      <c r="M12" s="6">
        <f t="shared" si="0"/>
        <v>6.0146648925231271E-2</v>
      </c>
    </row>
    <row r="13" spans="1:13" x14ac:dyDescent="0.25">
      <c r="A13" s="1" t="s">
        <v>99</v>
      </c>
      <c r="B13" s="13" t="s">
        <v>100</v>
      </c>
      <c r="C13" s="10">
        <v>2265000</v>
      </c>
      <c r="D13" s="11">
        <v>2265000000</v>
      </c>
      <c r="E13" s="3">
        <v>8.0700000000000008E-2</v>
      </c>
      <c r="F13" s="4" t="s">
        <v>79</v>
      </c>
      <c r="G13" s="4" t="s">
        <v>101</v>
      </c>
      <c r="H13" s="11">
        <v>1622351550</v>
      </c>
      <c r="I13" s="11">
        <v>61.292300000000004</v>
      </c>
      <c r="J13" s="11">
        <v>64.968633333333329</v>
      </c>
      <c r="K13" s="11">
        <v>83268950</v>
      </c>
      <c r="L13" s="11">
        <v>1471539545</v>
      </c>
      <c r="M13" s="6">
        <f t="shared" si="0"/>
        <v>5.0082674414532957E-2</v>
      </c>
    </row>
    <row r="14" spans="1:13" x14ac:dyDescent="0.25">
      <c r="A14" s="1" t="s">
        <v>102</v>
      </c>
      <c r="B14" s="13" t="s">
        <v>103</v>
      </c>
      <c r="C14" s="10">
        <v>2265000</v>
      </c>
      <c r="D14" s="11">
        <v>2265000000</v>
      </c>
      <c r="E14" s="3">
        <v>8.0700000000000008E-2</v>
      </c>
      <c r="F14" s="4" t="s">
        <v>79</v>
      </c>
      <c r="G14" s="4" t="s">
        <v>104</v>
      </c>
      <c r="H14" s="11">
        <v>1597764975</v>
      </c>
      <c r="I14" s="11">
        <v>59.913200000000003</v>
      </c>
      <c r="J14" s="11">
        <v>65.898449999999997</v>
      </c>
      <c r="K14" s="11">
        <v>135565912.5</v>
      </c>
      <c r="L14" s="11">
        <v>1492599892.5</v>
      </c>
      <c r="M14" s="6">
        <f t="shared" si="0"/>
        <v>5.079944653967447E-2</v>
      </c>
    </row>
    <row r="15" spans="1:13" x14ac:dyDescent="0.25">
      <c r="A15" s="1" t="s">
        <v>105</v>
      </c>
      <c r="B15" s="13" t="s">
        <v>106</v>
      </c>
      <c r="C15" s="10">
        <v>3775000</v>
      </c>
      <c r="D15" s="11">
        <v>3775000000</v>
      </c>
      <c r="E15" s="3">
        <v>5.4900000000000004E-2</v>
      </c>
      <c r="F15" s="4" t="s">
        <v>79</v>
      </c>
      <c r="G15" s="4" t="s">
        <v>107</v>
      </c>
      <c r="H15" s="11">
        <v>3136670150</v>
      </c>
      <c r="I15" s="11">
        <v>85.707900000000009</v>
      </c>
      <c r="J15" s="11">
        <v>88.895150000000001</v>
      </c>
      <c r="K15" s="11">
        <v>120318687.5</v>
      </c>
      <c r="L15" s="11">
        <v>3355791912.5</v>
      </c>
      <c r="M15" s="6">
        <f t="shared" si="0"/>
        <v>0.11421170047907912</v>
      </c>
    </row>
    <row r="16" spans="1:13" x14ac:dyDescent="0.25">
      <c r="A16" s="1" t="s">
        <v>108</v>
      </c>
      <c r="B16" s="13" t="s">
        <v>109</v>
      </c>
      <c r="C16" s="10">
        <v>2803860</v>
      </c>
      <c r="D16" s="11">
        <v>2803860000</v>
      </c>
      <c r="E16" s="3">
        <v>5.5E-2</v>
      </c>
      <c r="F16" s="4" t="s">
        <v>110</v>
      </c>
      <c r="G16" s="4" t="s">
        <v>111</v>
      </c>
      <c r="H16" s="11">
        <v>1773018067.1400001</v>
      </c>
      <c r="I16" s="11">
        <v>56.619300000000003</v>
      </c>
      <c r="J16" s="11">
        <v>59.399855555555547</v>
      </c>
      <c r="K16" s="11">
        <v>77962885</v>
      </c>
      <c r="L16" s="11">
        <v>1665488789.98</v>
      </c>
      <c r="M16" s="6">
        <f t="shared" si="0"/>
        <v>5.6683582234021986E-2</v>
      </c>
    </row>
    <row r="17" spans="1:15" x14ac:dyDescent="0.25">
      <c r="A17" s="1" t="s">
        <v>112</v>
      </c>
      <c r="B17" s="13" t="s">
        <v>113</v>
      </c>
      <c r="C17" s="10">
        <v>1038480</v>
      </c>
      <c r="D17" s="11">
        <v>1038480000</v>
      </c>
      <c r="E17" s="3">
        <v>0.12</v>
      </c>
      <c r="F17" s="4" t="s">
        <v>110</v>
      </c>
      <c r="G17" s="4" t="s">
        <v>114</v>
      </c>
      <c r="H17" s="11">
        <v>979029096.96000004</v>
      </c>
      <c r="I17" s="11">
        <v>84.585599999999999</v>
      </c>
      <c r="J17" s="11">
        <v>92.218933333333325</v>
      </c>
      <c r="K17" s="11">
        <v>79270640</v>
      </c>
      <c r="L17" s="11">
        <v>957675178.88</v>
      </c>
      <c r="M17" s="6">
        <f t="shared" si="0"/>
        <v>3.2593710676478385E-2</v>
      </c>
    </row>
    <row r="18" spans="1:15" x14ac:dyDescent="0.25">
      <c r="A18" s="1" t="s">
        <v>115</v>
      </c>
      <c r="B18" s="13" t="s">
        <v>116</v>
      </c>
      <c r="C18" s="10">
        <v>506989</v>
      </c>
      <c r="D18" s="11">
        <v>506989000</v>
      </c>
      <c r="E18" s="3">
        <v>0.1535</v>
      </c>
      <c r="F18" s="4" t="s">
        <v>117</v>
      </c>
      <c r="G18" s="4" t="s">
        <v>118</v>
      </c>
      <c r="H18" s="11">
        <v>492216861.50999999</v>
      </c>
      <c r="I18" s="11">
        <v>97.395700000000005</v>
      </c>
      <c r="J18" s="11">
        <v>104.13264444444401</v>
      </c>
      <c r="K18" s="11">
        <v>34155567.269444443</v>
      </c>
      <c r="L18" s="11">
        <v>527941052.74244398</v>
      </c>
      <c r="M18" s="6">
        <f t="shared" si="0"/>
        <v>1.796805253681823E-2</v>
      </c>
    </row>
    <row r="19" spans="1:15" x14ac:dyDescent="0.25">
      <c r="A19" s="1" t="s">
        <v>119</v>
      </c>
      <c r="B19" s="13" t="s">
        <v>120</v>
      </c>
      <c r="C19" s="10">
        <v>2100000</v>
      </c>
      <c r="D19" s="11">
        <v>2100000000</v>
      </c>
      <c r="E19" s="3">
        <v>0.14300000000000002</v>
      </c>
      <c r="F19" s="4" t="s">
        <v>121</v>
      </c>
      <c r="G19" s="4" t="s">
        <v>122</v>
      </c>
      <c r="H19" s="11">
        <v>2100000000</v>
      </c>
      <c r="I19" s="11">
        <v>93.162199058537894</v>
      </c>
      <c r="J19" s="11">
        <v>95.267476836315666</v>
      </c>
      <c r="K19" s="11">
        <v>44210833.333333328</v>
      </c>
      <c r="L19" s="11">
        <v>2000617013.562629</v>
      </c>
      <c r="M19" s="6">
        <f t="shared" si="0"/>
        <v>6.8089403957154557E-2</v>
      </c>
    </row>
    <row r="20" spans="1:15" x14ac:dyDescent="0.25">
      <c r="A20" s="1" t="s">
        <v>123</v>
      </c>
      <c r="B20" s="13" t="s">
        <v>124</v>
      </c>
      <c r="C20" s="10">
        <v>1000000</v>
      </c>
      <c r="D20" s="11">
        <v>1000000000</v>
      </c>
      <c r="E20" s="3">
        <v>0.1389</v>
      </c>
      <c r="F20" s="4" t="s">
        <v>125</v>
      </c>
      <c r="G20" s="4" t="s">
        <v>126</v>
      </c>
      <c r="H20" s="11">
        <v>1000000000</v>
      </c>
      <c r="I20" s="11">
        <v>98.485664221517297</v>
      </c>
      <c r="J20" s="11">
        <v>104.195997554851</v>
      </c>
      <c r="K20" s="11">
        <v>57103333.333333328</v>
      </c>
      <c r="L20" s="11">
        <v>1041959975.548506</v>
      </c>
      <c r="M20" s="6">
        <f t="shared" si="0"/>
        <v>3.5462276488377041E-2</v>
      </c>
    </row>
    <row r="21" spans="1:15" x14ac:dyDescent="0.25">
      <c r="A21" s="1" t="s">
        <v>127</v>
      </c>
      <c r="B21" s="13" t="s">
        <v>128</v>
      </c>
      <c r="C21" s="10">
        <v>165739</v>
      </c>
      <c r="D21" s="11">
        <v>165739000</v>
      </c>
      <c r="E21" s="3">
        <v>0.125</v>
      </c>
      <c r="F21" s="4" t="s">
        <v>129</v>
      </c>
      <c r="G21" s="4" t="s">
        <v>130</v>
      </c>
      <c r="H21" s="11">
        <v>159596381.18279999</v>
      </c>
      <c r="I21" s="11">
        <v>96.138809922520394</v>
      </c>
      <c r="J21" s="11">
        <v>100.79158770028501</v>
      </c>
      <c r="K21" s="11">
        <v>7711467.3610888897</v>
      </c>
      <c r="L21" s="11">
        <v>167050969.53857499</v>
      </c>
      <c r="M21" s="6">
        <f t="shared" si="0"/>
        <v>5.6854464743810295E-3</v>
      </c>
    </row>
    <row r="22" spans="1:15" x14ac:dyDescent="0.25">
      <c r="A22" s="1" t="s">
        <v>131</v>
      </c>
      <c r="B22" s="13" t="s">
        <v>132</v>
      </c>
      <c r="C22" s="10">
        <v>494987</v>
      </c>
      <c r="D22" s="11">
        <v>494987000</v>
      </c>
      <c r="E22" s="3">
        <v>0.1701</v>
      </c>
      <c r="F22" s="4" t="s">
        <v>133</v>
      </c>
      <c r="G22" s="4" t="s">
        <v>134</v>
      </c>
      <c r="H22" s="11">
        <v>495088472.34249997</v>
      </c>
      <c r="I22" s="11">
        <v>100.9106</v>
      </c>
      <c r="J22" s="11">
        <v>104.64335</v>
      </c>
      <c r="K22" s="11">
        <v>18476627.2425</v>
      </c>
      <c r="L22" s="11">
        <v>517970978.86449999</v>
      </c>
      <c r="M22" s="6">
        <f t="shared" si="0"/>
        <v>1.7628729026543208E-2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1428328017.4063671</v>
      </c>
      <c r="L24" s="22">
        <f>SUM(L4:L23)</f>
        <v>29382207763.509323</v>
      </c>
      <c r="M24" s="23"/>
      <c r="N24" s="26">
        <v>29382207763.509346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7044912.25</v>
      </c>
      <c r="C27" s="51">
        <v>7044912.25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43" si="1">+C32*G32</f>
        <v>1362677104.6799998</v>
      </c>
      <c r="J32" s="16">
        <f t="shared" ref="J32:J43" si="2">+C32*H32</f>
        <v>1367159005.6800005</v>
      </c>
      <c r="K32" s="18">
        <v>0.17150000000000001</v>
      </c>
      <c r="L32" s="17">
        <v>640271.57142857136</v>
      </c>
      <c r="M32" s="17">
        <v>1365878462.537142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9870</v>
      </c>
      <c r="D33" s="7" t="s">
        <v>51</v>
      </c>
      <c r="E33" s="34" t="s">
        <v>52</v>
      </c>
      <c r="F33" s="34" t="s">
        <v>53</v>
      </c>
      <c r="G33" s="15">
        <v>1013.8610000000001</v>
      </c>
      <c r="H33" s="15">
        <v>1017.1801337386011</v>
      </c>
      <c r="I33" s="16">
        <f t="shared" si="1"/>
        <v>10006808.07</v>
      </c>
      <c r="J33" s="16">
        <f t="shared" si="2"/>
        <v>10039567.919999992</v>
      </c>
      <c r="K33" s="18">
        <v>0.17070299999999999</v>
      </c>
      <c r="L33" s="17">
        <v>4679.9785714285708</v>
      </c>
      <c r="M33" s="17">
        <v>10030207.96285714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300472</v>
      </c>
      <c r="D34" s="7" t="s">
        <v>51</v>
      </c>
      <c r="E34" s="34" t="s">
        <v>52</v>
      </c>
      <c r="F34" s="34" t="s">
        <v>53</v>
      </c>
      <c r="G34" s="15">
        <v>945.80699998668808</v>
      </c>
      <c r="H34" s="15">
        <v>948.9177980643791</v>
      </c>
      <c r="I34" s="16">
        <f t="shared" si="1"/>
        <v>284188520.90000015</v>
      </c>
      <c r="J34" s="16">
        <f t="shared" si="2"/>
        <v>285123228.62000012</v>
      </c>
      <c r="K34" s="18">
        <v>0.17150000000000001</v>
      </c>
      <c r="L34" s="17">
        <v>133529.67428571419</v>
      </c>
      <c r="M34" s="17">
        <v>284856169.271429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708992</v>
      </c>
      <c r="D35" s="7" t="s">
        <v>51</v>
      </c>
      <c r="E35" s="34" t="s">
        <v>60</v>
      </c>
      <c r="F35" s="34" t="s">
        <v>53</v>
      </c>
      <c r="G35" s="15">
        <v>539.03109999830701</v>
      </c>
      <c r="H35" s="15">
        <v>540.03826409889007</v>
      </c>
      <c r="I35" s="16">
        <f t="shared" si="1"/>
        <v>382168737.64999968</v>
      </c>
      <c r="J35" s="16">
        <f t="shared" si="2"/>
        <v>382882808.9400003</v>
      </c>
      <c r="K35" s="18">
        <v>0.17049799999999998</v>
      </c>
      <c r="L35" s="17">
        <v>178517.82250000001</v>
      </c>
      <c r="M35" s="17">
        <v>382525773.29500002</v>
      </c>
      <c r="N35" s="35"/>
    </row>
    <row r="36" spans="1:15" s="36" customFormat="1" ht="12" customHeight="1" x14ac:dyDescent="0.25">
      <c r="A36" s="12" t="s">
        <v>61</v>
      </c>
      <c r="B36" s="7" t="s">
        <v>62</v>
      </c>
      <c r="C36" s="14">
        <v>10836</v>
      </c>
      <c r="D36" s="7" t="s">
        <v>51</v>
      </c>
      <c r="E36" s="34" t="s">
        <v>60</v>
      </c>
      <c r="F36" s="34" t="s">
        <v>53</v>
      </c>
      <c r="G36" s="15">
        <v>831.21100036914004</v>
      </c>
      <c r="H36" s="15">
        <v>832.76046880767808</v>
      </c>
      <c r="I36" s="16">
        <f t="shared" si="1"/>
        <v>9007002.4000000022</v>
      </c>
      <c r="J36" s="16">
        <f t="shared" si="2"/>
        <v>9023792.4399999995</v>
      </c>
      <c r="K36" s="18">
        <v>0.1701</v>
      </c>
      <c r="L36" s="17">
        <v>4197.51</v>
      </c>
      <c r="M36" s="17">
        <v>9015397.4199999999</v>
      </c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105830</v>
      </c>
      <c r="D37" s="7" t="s">
        <v>51</v>
      </c>
      <c r="E37" s="34" t="s">
        <v>60</v>
      </c>
      <c r="F37" s="34" t="s">
        <v>53</v>
      </c>
      <c r="G37" s="15">
        <v>898.24900000000002</v>
      </c>
      <c r="H37" s="15">
        <v>899.92735245204608</v>
      </c>
      <c r="I37" s="16">
        <f t="shared" si="1"/>
        <v>95061691.670000002</v>
      </c>
      <c r="J37" s="16">
        <f t="shared" si="2"/>
        <v>95239311.710000038</v>
      </c>
      <c r="K37" s="18">
        <v>0.17049799999999998</v>
      </c>
      <c r="L37" s="17">
        <v>44405.01</v>
      </c>
      <c r="M37" s="17">
        <v>95150501.689999998</v>
      </c>
      <c r="N37" s="35"/>
    </row>
    <row r="38" spans="1:15" s="36" customFormat="1" ht="12" customHeight="1" x14ac:dyDescent="0.25">
      <c r="A38" s="12" t="s">
        <v>65</v>
      </c>
      <c r="B38" s="7" t="s">
        <v>66</v>
      </c>
      <c r="C38" s="14">
        <v>249480</v>
      </c>
      <c r="D38" s="7" t="s">
        <v>51</v>
      </c>
      <c r="E38" s="34" t="s">
        <v>60</v>
      </c>
      <c r="F38" s="34" t="s">
        <v>53</v>
      </c>
      <c r="G38" s="15">
        <v>794.029</v>
      </c>
      <c r="H38" s="15">
        <v>795.51262033028706</v>
      </c>
      <c r="I38" s="16">
        <f t="shared" si="1"/>
        <v>198094354.91999999</v>
      </c>
      <c r="J38" s="16">
        <f t="shared" si="2"/>
        <v>198464488.52000001</v>
      </c>
      <c r="K38" s="18">
        <v>0.17049799999999998</v>
      </c>
      <c r="L38" s="17">
        <v>92533.4</v>
      </c>
      <c r="M38" s="17">
        <v>198279421.72</v>
      </c>
      <c r="N38" s="35"/>
    </row>
    <row r="39" spans="1:15" s="36" customFormat="1" ht="12" customHeight="1" x14ac:dyDescent="0.25">
      <c r="A39" s="12" t="s">
        <v>67</v>
      </c>
      <c r="B39" s="7" t="s">
        <v>68</v>
      </c>
      <c r="C39" s="14">
        <v>180960</v>
      </c>
      <c r="D39" s="7" t="s">
        <v>51</v>
      </c>
      <c r="E39" s="34" t="s">
        <v>60</v>
      </c>
      <c r="F39" s="34" t="s">
        <v>53</v>
      </c>
      <c r="G39" s="15">
        <v>1077.9570000000001</v>
      </c>
      <c r="H39" s="15">
        <v>1079.9711316312992</v>
      </c>
      <c r="I39" s="16">
        <f t="shared" si="1"/>
        <v>195067098.72000003</v>
      </c>
      <c r="J39" s="16">
        <f t="shared" si="2"/>
        <v>195431575.9799999</v>
      </c>
      <c r="K39" s="18">
        <v>0.17049799999999998</v>
      </c>
      <c r="L39" s="17">
        <v>91119.315000000002</v>
      </c>
      <c r="M39" s="17">
        <v>195249337.34999999</v>
      </c>
      <c r="N39" s="35"/>
    </row>
    <row r="40" spans="1:15" s="36" customFormat="1" ht="12" customHeight="1" x14ac:dyDescent="0.25">
      <c r="A40" s="12" t="s">
        <v>69</v>
      </c>
      <c r="B40" s="7" t="s">
        <v>70</v>
      </c>
      <c r="C40" s="14">
        <v>209984</v>
      </c>
      <c r="D40" s="7" t="s">
        <v>51</v>
      </c>
      <c r="E40" s="34" t="s">
        <v>60</v>
      </c>
      <c r="F40" s="34" t="s">
        <v>53</v>
      </c>
      <c r="G40" s="15">
        <v>919.91700000952505</v>
      </c>
      <c r="H40" s="15">
        <v>921.63583844483401</v>
      </c>
      <c r="I40" s="16">
        <f t="shared" si="1"/>
        <v>193167851.3300001</v>
      </c>
      <c r="J40" s="16">
        <f t="shared" si="2"/>
        <v>193528779.90000004</v>
      </c>
      <c r="K40" s="18">
        <v>0.17049799999999998</v>
      </c>
      <c r="L40" s="17">
        <v>90232.142500000002</v>
      </c>
      <c r="M40" s="17">
        <v>193348315.61500001</v>
      </c>
      <c r="N40" s="35"/>
    </row>
    <row r="41" spans="1:15" s="36" customFormat="1" ht="12" customHeight="1" x14ac:dyDescent="0.25">
      <c r="A41" s="12" t="s">
        <v>71</v>
      </c>
      <c r="B41" s="7" t="s">
        <v>72</v>
      </c>
      <c r="C41" s="14">
        <v>153433</v>
      </c>
      <c r="D41" s="7" t="s">
        <v>51</v>
      </c>
      <c r="E41" s="34" t="s">
        <v>60</v>
      </c>
      <c r="F41" s="34" t="s">
        <v>53</v>
      </c>
      <c r="G41" s="15">
        <v>1049.656999993482</v>
      </c>
      <c r="H41" s="15">
        <v>1051.6182538958371</v>
      </c>
      <c r="I41" s="16">
        <f t="shared" si="1"/>
        <v>161052022.47999993</v>
      </c>
      <c r="J41" s="16">
        <f t="shared" si="2"/>
        <v>161352943.54999998</v>
      </c>
      <c r="K41" s="18">
        <v>0.17049799999999998</v>
      </c>
      <c r="L41" s="17">
        <v>75230.267500000002</v>
      </c>
      <c r="M41" s="17">
        <v>161202483.01499999</v>
      </c>
      <c r="N41" s="35"/>
    </row>
    <row r="42" spans="1:15" s="36" customFormat="1" ht="12" customHeight="1" x14ac:dyDescent="0.25">
      <c r="A42" s="12" t="s">
        <v>73</v>
      </c>
      <c r="B42" s="7" t="s">
        <v>74</v>
      </c>
      <c r="C42" s="14">
        <v>172575</v>
      </c>
      <c r="D42" s="7" t="s">
        <v>51</v>
      </c>
      <c r="E42" s="34" t="s">
        <v>60</v>
      </c>
      <c r="F42" s="34" t="s">
        <v>53</v>
      </c>
      <c r="G42" s="15">
        <v>1026.6590000289721</v>
      </c>
      <c r="H42" s="15">
        <v>1028.5772828625231</v>
      </c>
      <c r="I42" s="16">
        <f t="shared" si="1"/>
        <v>177175676.92999986</v>
      </c>
      <c r="J42" s="16">
        <f t="shared" si="2"/>
        <v>177506724.58999994</v>
      </c>
      <c r="K42" s="18">
        <v>0.17049799999999998</v>
      </c>
      <c r="L42" s="17">
        <v>82761.914999999994</v>
      </c>
      <c r="M42" s="17">
        <v>177341200.75999999</v>
      </c>
      <c r="N42" s="35"/>
    </row>
    <row r="43" spans="1:15" s="36" customFormat="1" ht="12" customHeight="1" x14ac:dyDescent="0.25">
      <c r="A43" s="12" t="s">
        <v>75</v>
      </c>
      <c r="B43" s="7" t="s">
        <v>76</v>
      </c>
      <c r="C43" s="14">
        <v>180873</v>
      </c>
      <c r="D43" s="7" t="s">
        <v>51</v>
      </c>
      <c r="E43" s="34" t="s">
        <v>60</v>
      </c>
      <c r="F43" s="34" t="s">
        <v>53</v>
      </c>
      <c r="G43" s="15">
        <v>1045.7439999889421</v>
      </c>
      <c r="H43" s="15">
        <v>1047.6979425895511</v>
      </c>
      <c r="I43" s="16">
        <f t="shared" si="1"/>
        <v>189146854.5099999</v>
      </c>
      <c r="J43" s="16">
        <f t="shared" si="2"/>
        <v>189500269.96999988</v>
      </c>
      <c r="K43" s="18">
        <v>0.17049799999999998</v>
      </c>
      <c r="L43" s="17">
        <v>88353.865000000005</v>
      </c>
      <c r="M43" s="17">
        <v>189323562.24000001</v>
      </c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3262200832.8764277</v>
      </c>
      <c r="N45" s="38">
        <v>3262200832.8764286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32651453508.63575</v>
      </c>
      <c r="C52" s="32">
        <v>32651453508.635773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526612.30000000005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121339.49999999999</v>
      </c>
    </row>
    <row r="62" spans="1:8" x14ac:dyDescent="0.25">
      <c r="A62" s="48" t="s">
        <v>41</v>
      </c>
      <c r="B62" s="50">
        <v>60050.110000000008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708001.91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2025-10-28T06:28:52Z</dcterms:created>
  <dcterms:modified xsi:type="dcterms:W3CDTF">2025-10-28T08:00:50Z</dcterms:modified>
</cp:coreProperties>
</file>