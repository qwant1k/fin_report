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CD4987FF-2D21-42C7-B193-16B79D1DC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O43" i="1"/>
  <c r="O24" i="1"/>
  <c r="D27" i="1"/>
  <c r="B64" i="1"/>
  <c r="G48" i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0" i="1" s="1"/>
  <c r="K24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2" i="1" l="1"/>
</calcChain>
</file>

<file path=xl/sharedStrings.xml><?xml version="1.0" encoding="utf-8"?>
<sst xmlns="http://schemas.openxmlformats.org/spreadsheetml/2006/main" count="180" uniqueCount="127">
  <si>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</si>
  <si>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</si>
  <si>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</si>
  <si>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</si>
  <si>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</si>
  <si>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</si>
  <si>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</si>
  <si>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</si>
  <si>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</si>
  <si>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</si>
  <si>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</si>
  <si>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</si>
  <si>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</si>
  <si>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</si>
  <si>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</si>
  <si>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</si>
  <si>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</si>
  <si>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</si>
  <si>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</si>
  <si>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</si>
  <si>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</si>
  <si>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</si>
  <si>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</si>
  <si>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</si>
  <si>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</si>
  <si>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</si>
  <si>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</si>
  <si>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</si>
  <si>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</si>
  <si>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</si>
  <si>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</si>
  <si>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</si>
  <si>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</si>
  <si>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</si>
  <si>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</si>
  <si>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</si>
  <si>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</si>
  <si>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</si>
  <si>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</si>
  <si>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</si>
  <si>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</si>
  <si>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</si>
  <si>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</si>
  <si>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</si>
  <si>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</si>
  <si>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</si>
  <si>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</si>
  <si>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</si>
  <si>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</si>
  <si>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KFUSb10</t>
  </si>
  <si>
    <t>KZ2C00007326</t>
  </si>
  <si>
    <t>KZT</t>
  </si>
  <si>
    <t>06.10.2025</t>
  </si>
  <si>
    <t>13.10.2025</t>
  </si>
  <si>
    <t>МИНИСТЕРСТВО ФИНАНСОВ РК, ГЦБ, MUM072_0014</t>
  </si>
  <si>
    <t>KZKD00001210</t>
  </si>
  <si>
    <t>МИНИСТЕРСТВО ФИНАНСОВ РК, ГЦБ, MUM180_0011</t>
  </si>
  <si>
    <t>KZKD00000790</t>
  </si>
  <si>
    <t>08.10.2025</t>
  </si>
  <si>
    <t>09.10.2025</t>
  </si>
  <si>
    <t>МИНИСТЕРСТВО ФИНАНСОВ РК, ГЦБ, KZ_06_4410</t>
  </si>
  <si>
    <t>XS1120709826</t>
  </si>
  <si>
    <t>10.10.2025</t>
  </si>
  <si>
    <t>МИНИСТЕРСТВО ФИНАНСОВ РК, ГЦБ, MKM012_0161</t>
  </si>
  <si>
    <t>KZK100000423</t>
  </si>
  <si>
    <t>МИНИСТЕРСТВО ФИНАНСОВ РК, ГЦБ, MUM180_0004</t>
  </si>
  <si>
    <t>KZKD00000444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</si>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</sst>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A13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59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98.372600000000006</v>
      </c>
      <c r="J4" s="11">
        <v>100.684433333333</v>
      </c>
      <c r="K4" s="11">
        <v>69817366.666666657</v>
      </c>
      <c r="L4" s="11">
        <v>3040669886.666666</v>
      </c>
      <c r="M4" s="6">
        <f t="shared" ref="M4:M22" si="0">L4/$L$24</f>
        <v>0.10350653166524107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83.024799999999999</v>
      </c>
      <c r="J5" s="11">
        <v>85.105494444444432</v>
      </c>
      <c r="K5" s="11">
        <v>47127729.166666657</v>
      </c>
      <c r="L5" s="11">
        <v>1927639449.166666</v>
      </c>
      <c r="M5" s="6">
        <f t="shared" si="0"/>
        <v>6.561819635839021E-2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83.024799999999999</v>
      </c>
      <c r="J6" s="11">
        <v>85.105494444444702</v>
      </c>
      <c r="K6" s="11">
        <v>32285012.119444441</v>
      </c>
      <c r="L6" s="11">
        <v>1320536000.3274479</v>
      </c>
      <c r="M6" s="6">
        <f t="shared" si="0"/>
        <v>4.4951969936737758E-2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83.024799999999999</v>
      </c>
      <c r="J7" s="11">
        <v>85.105494444444432</v>
      </c>
      <c r="K7" s="11">
        <v>11354183.12777777</v>
      </c>
      <c r="L7" s="11">
        <v>464413874.74377799</v>
      </c>
      <c r="M7" s="6">
        <f t="shared" si="0"/>
        <v>1.5808973424813553E-2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87.2166</v>
      </c>
      <c r="J8" s="11">
        <v>92.329933333333329</v>
      </c>
      <c r="K8" s="11">
        <v>115817000</v>
      </c>
      <c r="L8" s="11">
        <v>2091272989.999999</v>
      </c>
      <c r="M8" s="6">
        <f t="shared" si="0"/>
        <v>7.1188396645514518E-2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85.09920000000001</v>
      </c>
      <c r="J9" s="11">
        <v>90.874199999999988</v>
      </c>
      <c r="K9" s="11">
        <v>130803750</v>
      </c>
      <c r="L9" s="11">
        <v>2058300629.999999</v>
      </c>
      <c r="M9" s="6">
        <f t="shared" si="0"/>
        <v>7.0065994427706169E-2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77.505400000000009</v>
      </c>
      <c r="J10" s="11">
        <v>83.284844444444431</v>
      </c>
      <c r="K10" s="11">
        <v>130904416.666667</v>
      </c>
      <c r="L10" s="11">
        <v>1886401726.666666</v>
      </c>
      <c r="M10" s="6">
        <f t="shared" si="0"/>
        <v>6.4214435414637158E-2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67.953100000000006</v>
      </c>
      <c r="J11" s="11">
        <v>72.013794444444443</v>
      </c>
      <c r="K11" s="11">
        <v>91974729.166666657</v>
      </c>
      <c r="L11" s="11">
        <v>1631112444.166666</v>
      </c>
      <c r="M11" s="6">
        <f t="shared" si="0"/>
        <v>5.5524209514498303E-2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75.751199999999997</v>
      </c>
      <c r="J12" s="11">
        <v>77.910783333333328</v>
      </c>
      <c r="K12" s="11">
        <v>48914562.5</v>
      </c>
      <c r="L12" s="11">
        <v>1764679242.5</v>
      </c>
      <c r="M12" s="6">
        <f t="shared" si="0"/>
        <v>6.0070916837689448E-2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61.365500000000004</v>
      </c>
      <c r="J13" s="11">
        <v>64.660749999999993</v>
      </c>
      <c r="K13" s="11">
        <v>74637412.5</v>
      </c>
      <c r="L13" s="11">
        <v>1464565987.5</v>
      </c>
      <c r="M13" s="6">
        <f t="shared" si="0"/>
        <v>4.9854851533122753E-2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59.918400000000005</v>
      </c>
      <c r="J14" s="11">
        <v>65.522566666666663</v>
      </c>
      <c r="K14" s="11">
        <v>126934375</v>
      </c>
      <c r="L14" s="11">
        <v>1484086135</v>
      </c>
      <c r="M14" s="6">
        <f t="shared" si="0"/>
        <v>5.05193310197578E-2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85.957999999999998</v>
      </c>
      <c r="J15" s="11">
        <v>88.88600000000001</v>
      </c>
      <c r="K15" s="11">
        <v>110532000</v>
      </c>
      <c r="L15" s="11">
        <v>3355446500</v>
      </c>
      <c r="M15" s="6">
        <f t="shared" si="0"/>
        <v>0.11422174795305108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56.787500000000001</v>
      </c>
      <c r="J16" s="11">
        <v>59.30833333333333</v>
      </c>
      <c r="K16" s="11">
        <v>70680637.5</v>
      </c>
      <c r="L16" s="11">
        <v>1662922635</v>
      </c>
      <c r="M16" s="6">
        <f t="shared" si="0"/>
        <v>5.6607050680257773E-2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85.342800000000011</v>
      </c>
      <c r="J17" s="11">
        <v>92.40946666666666</v>
      </c>
      <c r="K17" s="11">
        <v>73385920</v>
      </c>
      <c r="L17" s="11">
        <v>959653829.44000006</v>
      </c>
      <c r="M17" s="6">
        <f t="shared" si="0"/>
        <v>3.2667288192041198E-2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98.258900000000011</v>
      </c>
      <c r="J18" s="11">
        <v>104.27098333333301</v>
      </c>
      <c r="K18" s="11">
        <v>30480601.170833331</v>
      </c>
      <c r="L18" s="11">
        <v>528642415.69183302</v>
      </c>
      <c r="M18" s="6">
        <f t="shared" si="0"/>
        <v>1.7995357924033242E-2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94.621670290861999</v>
      </c>
      <c r="J19" s="11">
        <v>96.051670290861992</v>
      </c>
      <c r="K19" s="11">
        <v>30030000</v>
      </c>
      <c r="L19" s="11">
        <v>2017085076.1081021</v>
      </c>
      <c r="M19" s="6">
        <f t="shared" si="0"/>
        <v>6.866298811889282E-2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98.312805056882397</v>
      </c>
      <c r="J20" s="11">
        <v>103.36722172354901</v>
      </c>
      <c r="K20" s="11">
        <v>50544166.666666657</v>
      </c>
      <c r="L20" s="11">
        <v>1033672217.23549</v>
      </c>
      <c r="M20" s="6">
        <f t="shared" si="0"/>
        <v>3.5186925931658751E-2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96.264202006887004</v>
      </c>
      <c r="J21" s="11">
        <v>100.326702006874</v>
      </c>
      <c r="K21" s="11">
        <v>6733146.8749777796</v>
      </c>
      <c r="L21" s="11">
        <v>166280472.63917199</v>
      </c>
      <c r="M21" s="6">
        <f t="shared" si="0"/>
        <v>5.6603036988686038E-3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101.9657</v>
      </c>
      <c r="J22" s="11">
        <v>104.8952</v>
      </c>
      <c r="K22" s="11">
        <v>14500644.164999999</v>
      </c>
      <c r="L22" s="11">
        <v>519217603.62400001</v>
      </c>
      <c r="M22" s="6">
        <f t="shared" si="0"/>
        <v>1.7674530723087886E-2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1267457653.2913671</v>
      </c>
      <c r="L24" s="22">
        <f>SUM(L4:L23)</f>
        <v>29376599116.476482</v>
      </c>
      <c r="M24" s="23"/>
      <c r="N24" s="26">
        <v>29376599116.476509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8939500.1899999995</v>
      </c>
      <c r="C27" s="51">
        <v>8939500.1899999995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340996</v>
      </c>
      <c r="D32" s="7" t="s">
        <v>51</v>
      </c>
      <c r="E32" s="34" t="s">
        <v>52</v>
      </c>
      <c r="F32" s="34" t="s">
        <v>53</v>
      </c>
      <c r="G32" s="15">
        <v>956.06500000000005</v>
      </c>
      <c r="H32" s="15">
        <v>958.99867889945904</v>
      </c>
      <c r="I32" s="16">
        <f t="shared" ref="I32:I41" si="1">+C32*G32</f>
        <v>326014340.74000001</v>
      </c>
      <c r="J32" s="16">
        <f t="shared" ref="J32:J41" si="2">+C32*H32</f>
        <v>327014713.50999993</v>
      </c>
      <c r="K32" s="18">
        <v>0.16</v>
      </c>
      <c r="L32" s="17">
        <v>142910.3957142857</v>
      </c>
      <c r="M32" s="17">
        <v>326443071.92714298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1221445</v>
      </c>
      <c r="D33" s="7" t="s">
        <v>51</v>
      </c>
      <c r="E33" s="34" t="s">
        <v>52</v>
      </c>
      <c r="F33" s="34" t="s">
        <v>53</v>
      </c>
      <c r="G33" s="15">
        <v>1047.699000004093</v>
      </c>
      <c r="H33" s="15">
        <v>1050.9138572101072</v>
      </c>
      <c r="I33" s="16">
        <f t="shared" si="1"/>
        <v>1279706705.0599995</v>
      </c>
      <c r="J33" s="16">
        <f t="shared" si="2"/>
        <v>1283633476.3199992</v>
      </c>
      <c r="K33" s="18">
        <v>0.16</v>
      </c>
      <c r="L33" s="17">
        <v>560967.32285714278</v>
      </c>
      <c r="M33" s="17">
        <v>1281389607.0285709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10460</v>
      </c>
      <c r="D34" s="7" t="s">
        <v>51</v>
      </c>
      <c r="E34" s="34" t="s">
        <v>52</v>
      </c>
      <c r="F34" s="34" t="s">
        <v>53</v>
      </c>
      <c r="G34" s="15">
        <v>956.06500000000005</v>
      </c>
      <c r="H34" s="15">
        <v>958.99867877629106</v>
      </c>
      <c r="I34" s="16">
        <f t="shared" si="1"/>
        <v>10000439.9</v>
      </c>
      <c r="J34" s="16">
        <f t="shared" si="2"/>
        <v>10031126.180000005</v>
      </c>
      <c r="K34" s="18">
        <v>0.16</v>
      </c>
      <c r="L34" s="17">
        <v>4383.7542857142853</v>
      </c>
      <c r="M34" s="17">
        <v>10013591.162857139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2102254</v>
      </c>
      <c r="D35" s="7" t="s">
        <v>51</v>
      </c>
      <c r="E35" s="34" t="s">
        <v>58</v>
      </c>
      <c r="F35" s="34" t="s">
        <v>59</v>
      </c>
      <c r="G35" s="15">
        <v>764.22900000190305</v>
      </c>
      <c r="H35" s="15">
        <v>764.55374498038805</v>
      </c>
      <c r="I35" s="16">
        <f t="shared" si="1"/>
        <v>1606603472.1700008</v>
      </c>
      <c r="J35" s="16">
        <f t="shared" si="2"/>
        <v>1607286168.6000006</v>
      </c>
      <c r="K35" s="18">
        <v>0.15510000000000002</v>
      </c>
      <c r="L35" s="17">
        <v>682696.43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2102254</v>
      </c>
      <c r="D36" s="7" t="s">
        <v>51</v>
      </c>
      <c r="E36" s="34" t="s">
        <v>59</v>
      </c>
      <c r="F36" s="34" t="s">
        <v>59</v>
      </c>
      <c r="G36" s="15">
        <v>764.22900000190305</v>
      </c>
      <c r="H36" s="15">
        <v>764.55374498038805</v>
      </c>
      <c r="I36" s="16">
        <f t="shared" si="1"/>
        <v>1606603472.1700008</v>
      </c>
      <c r="J36" s="16">
        <f t="shared" si="2"/>
        <v>1607286168.6000006</v>
      </c>
      <c r="K36" s="18">
        <v>0.15510000000000002</v>
      </c>
      <c r="L36" s="17"/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19100</v>
      </c>
      <c r="D37" s="7" t="s">
        <v>51</v>
      </c>
      <c r="E37" s="34" t="s">
        <v>58</v>
      </c>
      <c r="F37" s="34" t="s">
        <v>59</v>
      </c>
      <c r="G37" s="15">
        <v>523.61120000000005</v>
      </c>
      <c r="H37" s="15">
        <v>523.83355549738201</v>
      </c>
      <c r="I37" s="16">
        <f t="shared" si="1"/>
        <v>10000973.920000002</v>
      </c>
      <c r="J37" s="16">
        <f t="shared" si="2"/>
        <v>10005220.909999996</v>
      </c>
      <c r="K37" s="18">
        <v>0.155</v>
      </c>
      <c r="L37" s="17">
        <v>4246.99</v>
      </c>
      <c r="M37" s="17"/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19100</v>
      </c>
      <c r="D38" s="7" t="s">
        <v>51</v>
      </c>
      <c r="E38" s="34" t="s">
        <v>59</v>
      </c>
      <c r="F38" s="34" t="s">
        <v>59</v>
      </c>
      <c r="G38" s="15">
        <v>523.61120000000005</v>
      </c>
      <c r="H38" s="15">
        <v>523.83355549738201</v>
      </c>
      <c r="I38" s="16">
        <f t="shared" si="1"/>
        <v>10000973.920000002</v>
      </c>
      <c r="J38" s="16">
        <f t="shared" si="2"/>
        <v>10005220.909999996</v>
      </c>
      <c r="K38" s="18">
        <v>0.155</v>
      </c>
      <c r="L38" s="17"/>
      <c r="M38" s="17"/>
      <c r="N38" s="35"/>
    </row>
    <row r="39" spans="1:15" s="36" customFormat="1" ht="12" customHeight="1" x14ac:dyDescent="0.25">
      <c r="A39" s="12" t="s">
        <v>56</v>
      </c>
      <c r="B39" s="7" t="s">
        <v>57</v>
      </c>
      <c r="C39" s="14">
        <v>1831200</v>
      </c>
      <c r="D39" s="7" t="s">
        <v>51</v>
      </c>
      <c r="E39" s="34" t="s">
        <v>59</v>
      </c>
      <c r="F39" s="34" t="s">
        <v>62</v>
      </c>
      <c r="G39" s="15">
        <v>764.55700000000002</v>
      </c>
      <c r="H39" s="15">
        <v>764.88188435998302</v>
      </c>
      <c r="I39" s="16">
        <f t="shared" si="1"/>
        <v>1400056778.4000001</v>
      </c>
      <c r="J39" s="16">
        <f t="shared" si="2"/>
        <v>1400651706.6400008</v>
      </c>
      <c r="K39" s="18">
        <v>0.15510000000000002</v>
      </c>
      <c r="L39" s="17"/>
      <c r="M39" s="17">
        <v>1400056778.4000001</v>
      </c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2277000</v>
      </c>
      <c r="D40" s="7" t="s">
        <v>51</v>
      </c>
      <c r="E40" s="34" t="s">
        <v>59</v>
      </c>
      <c r="F40" s="34" t="s">
        <v>62</v>
      </c>
      <c r="G40" s="15">
        <v>90.916499999999999</v>
      </c>
      <c r="H40" s="15">
        <v>90.955133285024147</v>
      </c>
      <c r="I40" s="16">
        <f t="shared" si="1"/>
        <v>207016870.5</v>
      </c>
      <c r="J40" s="16">
        <f t="shared" si="2"/>
        <v>207104838.48999998</v>
      </c>
      <c r="K40" s="18">
        <v>0.15510000000000002</v>
      </c>
      <c r="L40" s="17"/>
      <c r="M40" s="17">
        <v>207016870.5</v>
      </c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10870</v>
      </c>
      <c r="D41" s="7" t="s">
        <v>51</v>
      </c>
      <c r="E41" s="34" t="s">
        <v>59</v>
      </c>
      <c r="F41" s="34" t="s">
        <v>62</v>
      </c>
      <c r="G41" s="15">
        <v>920.7410000000001</v>
      </c>
      <c r="H41" s="15">
        <v>921.13225206991706</v>
      </c>
      <c r="I41" s="16">
        <f t="shared" si="1"/>
        <v>10008454.670000002</v>
      </c>
      <c r="J41" s="16">
        <f t="shared" si="2"/>
        <v>10012707.579999998</v>
      </c>
      <c r="K41" s="18">
        <v>0.15510000000000002</v>
      </c>
      <c r="L41" s="17"/>
      <c r="M41" s="17">
        <v>10008454.67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3234928373.688571</v>
      </c>
      <c r="N43" s="38">
        <v>3234928373.6885715</v>
      </c>
      <c r="O43" s="29">
        <f>M43-N43</f>
        <v>0</v>
      </c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idden="1" x14ac:dyDescent="0.25">
      <c r="B47" s="41"/>
      <c r="C47" s="42"/>
      <c r="D47" s="43"/>
      <c r="G47" s="44"/>
      <c r="H47" s="33"/>
    </row>
    <row r="48" spans="1:15" x14ac:dyDescent="0.25">
      <c r="G48" s="45">
        <f>SUM(G47:G47)</f>
        <v>0</v>
      </c>
    </row>
    <row r="50" spans="1:4" x14ac:dyDescent="0.25">
      <c r="A50" s="46" t="s">
        <v>13</v>
      </c>
      <c r="B50" s="47">
        <f>+L24+B27+M43+G48</f>
        <v>32620466990.355053</v>
      </c>
      <c r="C50" s="32">
        <v>32620466990.35508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8" t="s">
        <v>35</v>
      </c>
      <c r="B54" s="49"/>
    </row>
    <row r="55" spans="1:4" x14ac:dyDescent="0.25">
      <c r="A55" s="48" t="s">
        <v>36</v>
      </c>
      <c r="B55" s="40"/>
    </row>
    <row r="56" spans="1:4" x14ac:dyDescent="0.25">
      <c r="A56" s="48" t="s">
        <v>37</v>
      </c>
      <c r="B56" s="40">
        <v>194429.47</v>
      </c>
    </row>
    <row r="57" spans="1:4" x14ac:dyDescent="0.25">
      <c r="A57" s="48" t="s">
        <v>38</v>
      </c>
      <c r="B57" s="40"/>
    </row>
    <row r="58" spans="1:4" x14ac:dyDescent="0.25">
      <c r="A58" s="48" t="s">
        <v>39</v>
      </c>
      <c r="B58" s="49"/>
    </row>
    <row r="59" spans="1:4" x14ac:dyDescent="0.25">
      <c r="A59" s="48" t="s">
        <v>40</v>
      </c>
      <c r="B59" s="50">
        <v>40366.340000000004</v>
      </c>
    </row>
    <row r="60" spans="1:4" x14ac:dyDescent="0.25">
      <c r="A60" s="48" t="s">
        <v>41</v>
      </c>
      <c r="B60" s="50">
        <v>19802.940000000002</v>
      </c>
    </row>
    <row r="61" spans="1:4" x14ac:dyDescent="0.25">
      <c r="A61" s="48" t="s">
        <v>42</v>
      </c>
      <c r="B61" s="40"/>
    </row>
    <row r="62" spans="1:4" x14ac:dyDescent="0.25">
      <c r="A62" s="48" t="s">
        <v>43</v>
      </c>
      <c r="B62" s="40"/>
    </row>
    <row r="63" spans="1:4" x14ac:dyDescent="0.25">
      <c r="A63" s="48" t="s">
        <v>44</v>
      </c>
      <c r="B63" s="50"/>
    </row>
    <row r="64" spans="1:4" x14ac:dyDescent="0.25">
      <c r="A64" s="48" t="s">
        <v>45</v>
      </c>
      <c r="B64" s="49">
        <f>SUM(B54:B63)</f>
        <v>254598.75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2025-10-10T05:49:36Z</dcterms:created>
  <dcterms:modified xsi:type="dcterms:W3CDTF">2025-10-10T12:44:22Z</dcterms:modified>
</cp:coreProperties>
</file>