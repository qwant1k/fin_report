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179C816A-00D1-40A3-BE24-4F51AFD08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4" i="1"/>
  <c r="D27" i="1"/>
  <c r="B63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9" i="1"/>
  <c r="M6" i="1"/>
  <c r="M10" i="1"/>
  <c r="M14" i="1"/>
  <c r="M18" i="1"/>
</calcChain>
</file>

<file path=xl/sharedStrings.xml><?xml version="1.0" encoding="utf-8"?>
<sst xmlns="http://schemas.openxmlformats.org/spreadsheetml/2006/main" count="175" uniqueCount="127">
  <si>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</si>
  <si>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</si>
  <si>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</si>
  <si>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</si>
  <si>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</si>
  <si>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</si>
  <si>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</si>
  <si>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</si>
  <si>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</si>
  <si>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</si>
  <si>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</si>
  <si>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</si>
  <si>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</si>
  <si>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</si>
  <si>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</si>
  <si>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</si>
  <si>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</si>
  <si>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</si>
  <si>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</si>
  <si>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</si>
  <si>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</si>
  <si>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</si>
  <si>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</si>
  <si>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</si>
  <si>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</si>
  <si>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</si>
  <si>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</si>
  <si>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</si>
  <si>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</si>
  <si>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</si>
  <si>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</si>
  <si>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</si>
  <si>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</si>
  <si>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</si>
  <si>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</si>
  <si>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</si>
  <si>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</si>
  <si>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</si>
  <si>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</si>
  <si>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</si>
  <si>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</si>
  <si>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</si>
  <si>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</si>
  <si>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</si>
  <si>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</si>
  <si>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</si>
  <si>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</si>
  <si>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</si>
  <si>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</si>
  <si>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</si>
  <si>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</si>
  <si>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</si>
  <si>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21.10.2025</t>
  </si>
  <si>
    <t>28.10.2025</t>
  </si>
  <si>
    <t>ЕВРАЗИЙСКИЙ БАНК РАЗВИТИЯ, ОБЛИГАЦИИ, EABRb42</t>
  </si>
  <si>
    <t>KZ2D00009222</t>
  </si>
  <si>
    <t>МИНИСТЕРСТВО ФИНАНСОВ РК, ГЦБ, MUM108_0014</t>
  </si>
  <si>
    <t>KZKD00001236</t>
  </si>
  <si>
    <t>МИНИСТЕРСТВО ФИНАНСОВ РК, ГЦБ, KZ_25_3707</t>
  </si>
  <si>
    <t>XS3093658014</t>
  </si>
  <si>
    <t>22.10.2025</t>
  </si>
  <si>
    <t>23.10.2025</t>
  </si>
  <si>
    <t>МИНИСТЕРСТВО ФИНАНСОВ РК, ГЦБ, MKM012_0160</t>
  </si>
  <si>
    <t>KZK100000373</t>
  </si>
  <si>
    <t>МИНИСТЕРСТВО ФИНАНСОВ РК, ОБЛИГАЦИИ, MFKZ.0435</t>
  </si>
  <si>
    <t>XS2914770545</t>
  </si>
  <si>
    <t>24.10.2025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</si>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</sst>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22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61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98.525000000000006</v>
      </c>
      <c r="J4" s="11">
        <v>101.251777777778</v>
      </c>
      <c r="K4" s="11">
        <v>82348688.888888881</v>
      </c>
      <c r="L4" s="11">
        <v>3057803688.8888879</v>
      </c>
      <c r="M4" s="6">
        <f t="shared" ref="M4:M22" si="0">L4/$L$24</f>
        <v>0.10409546077717154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82.210900000000009</v>
      </c>
      <c r="J5" s="11">
        <v>84.701872222222221</v>
      </c>
      <c r="K5" s="11">
        <v>56420520.833333328</v>
      </c>
      <c r="L5" s="11">
        <v>1918497405.833333</v>
      </c>
      <c r="M5" s="6">
        <f t="shared" si="0"/>
        <v>6.5310560055147432E-2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82.210900000000009</v>
      </c>
      <c r="J6" s="11">
        <v>84.701872222222477</v>
      </c>
      <c r="K6" s="11">
        <v>38651070.847222216</v>
      </c>
      <c r="L6" s="11">
        <v>1314273212.2612259</v>
      </c>
      <c r="M6" s="6">
        <f t="shared" si="0"/>
        <v>4.4741222634582599E-2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82.210900000000009</v>
      </c>
      <c r="J7" s="11">
        <v>84.701872222222221</v>
      </c>
      <c r="K7" s="11">
        <v>13593036.138888881</v>
      </c>
      <c r="L7" s="11">
        <v>462211340.56688899</v>
      </c>
      <c r="M7" s="6">
        <f t="shared" si="0"/>
        <v>1.5734856572897804E-2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86.41170000000001</v>
      </c>
      <c r="J8" s="11">
        <v>91.929477777777763</v>
      </c>
      <c r="K8" s="11">
        <v>124977666.666667</v>
      </c>
      <c r="L8" s="11">
        <v>2082202671.666666</v>
      </c>
      <c r="M8" s="6">
        <f t="shared" si="0"/>
        <v>7.0883506134221036E-2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84.259600000000006</v>
      </c>
      <c r="J9" s="11">
        <v>90.46237777777776</v>
      </c>
      <c r="K9" s="11">
        <v>140492916.66666701</v>
      </c>
      <c r="L9" s="11">
        <v>2048972856.666666</v>
      </c>
      <c r="M9" s="6">
        <f t="shared" si="0"/>
        <v>6.9752278215131802E-2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76.952100000000002</v>
      </c>
      <c r="J10" s="11">
        <v>83.132099999999994</v>
      </c>
      <c r="K10" s="11">
        <v>139977000</v>
      </c>
      <c r="L10" s="11">
        <v>1882942065</v>
      </c>
      <c r="M10" s="6">
        <f t="shared" si="0"/>
        <v>6.4100165286973126E-2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67.632400000000004</v>
      </c>
      <c r="J11" s="11">
        <v>72.021705555555542</v>
      </c>
      <c r="K11" s="11">
        <v>99417770.833333328</v>
      </c>
      <c r="L11" s="11">
        <v>1631291630.833333</v>
      </c>
      <c r="M11" s="6">
        <f t="shared" si="0"/>
        <v>5.5533340675392791E-2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75.347300000000004</v>
      </c>
      <c r="J12" s="11">
        <v>77.921049999999994</v>
      </c>
      <c r="K12" s="11">
        <v>58295437.5</v>
      </c>
      <c r="L12" s="11">
        <v>1764911782.5</v>
      </c>
      <c r="M12" s="6">
        <f t="shared" si="0"/>
        <v>6.0082112497272383E-2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61.279200000000003</v>
      </c>
      <c r="J13" s="11">
        <v>64.888283333333334</v>
      </c>
      <c r="K13" s="11">
        <v>81745737.5</v>
      </c>
      <c r="L13" s="11">
        <v>1469719617.5</v>
      </c>
      <c r="M13" s="6">
        <f t="shared" si="0"/>
        <v>5.0033015969217789E-2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59.899800000000006</v>
      </c>
      <c r="J14" s="11">
        <v>65.817800000000005</v>
      </c>
      <c r="K14" s="11">
        <v>134042700</v>
      </c>
      <c r="L14" s="11">
        <v>1490773170</v>
      </c>
      <c r="M14" s="6">
        <f t="shared" si="0"/>
        <v>5.0749732760569502E-2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85.655300000000011</v>
      </c>
      <c r="J15" s="11">
        <v>88.796800000000005</v>
      </c>
      <c r="K15" s="11">
        <v>118591625</v>
      </c>
      <c r="L15" s="11">
        <v>3352079200</v>
      </c>
      <c r="M15" s="6">
        <f t="shared" si="0"/>
        <v>0.11411335206164437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56.602800000000002</v>
      </c>
      <c r="J16" s="11">
        <v>59.337522222222219</v>
      </c>
      <c r="K16" s="11">
        <v>76677782.5</v>
      </c>
      <c r="L16" s="11">
        <v>1663741050.5799999</v>
      </c>
      <c r="M16" s="6">
        <f t="shared" si="0"/>
        <v>5.6638001943464106E-2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84.564900000000009</v>
      </c>
      <c r="J17" s="11">
        <v>92.098233333333326</v>
      </c>
      <c r="K17" s="11">
        <v>78232160</v>
      </c>
      <c r="L17" s="11">
        <v>956421733.51999998</v>
      </c>
      <c r="M17" s="6">
        <f t="shared" si="0"/>
        <v>3.2559042756679486E-2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97.365600000000001</v>
      </c>
      <c r="J18" s="11">
        <v>103.97462777777801</v>
      </c>
      <c r="K18" s="11">
        <v>33507043.840277769</v>
      </c>
      <c r="L18" s="11">
        <v>527139925.62427801</v>
      </c>
      <c r="M18" s="6">
        <f t="shared" si="0"/>
        <v>1.7945191724143113E-2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94.560155015013891</v>
      </c>
      <c r="J19" s="11">
        <v>96.546266126125005</v>
      </c>
      <c r="K19" s="11">
        <v>41708333.333333328</v>
      </c>
      <c r="L19" s="11">
        <v>2027471588.6486249</v>
      </c>
      <c r="M19" s="6">
        <f t="shared" si="0"/>
        <v>6.9020320042092659E-2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98.4594148725525</v>
      </c>
      <c r="J20" s="11">
        <v>104.053998205886</v>
      </c>
      <c r="K20" s="11">
        <v>55945833.333333328</v>
      </c>
      <c r="L20" s="11">
        <v>1040539982.058858</v>
      </c>
      <c r="M20" s="6">
        <f t="shared" si="0"/>
        <v>3.5422643148437419E-2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96.102326152502101</v>
      </c>
      <c r="J21" s="11">
        <v>100.6509372636</v>
      </c>
      <c r="K21" s="11">
        <v>7538822.5694222199</v>
      </c>
      <c r="L21" s="11">
        <v>166817856.911318</v>
      </c>
      <c r="M21" s="6">
        <f t="shared" si="0"/>
        <v>5.6789066427458653E-3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100.8935</v>
      </c>
      <c r="J22" s="11">
        <v>104.48450000000001</v>
      </c>
      <c r="K22" s="11">
        <v>17774983.170000002</v>
      </c>
      <c r="L22" s="11">
        <v>517184692.01499999</v>
      </c>
      <c r="M22" s="6">
        <f t="shared" si="0"/>
        <v>1.7606290102215011E-2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1399939129.6213672</v>
      </c>
      <c r="L24" s="22">
        <f>SUM(L4:L23)</f>
        <v>29374995471.075085</v>
      </c>
      <c r="M24" s="23"/>
      <c r="N24" s="26">
        <v>29374995471.075104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6180124.71</v>
      </c>
      <c r="C27" s="51">
        <v>6180124.71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1419204</v>
      </c>
      <c r="D32" s="7" t="s">
        <v>51</v>
      </c>
      <c r="E32" s="34" t="s">
        <v>52</v>
      </c>
      <c r="F32" s="34" t="s">
        <v>53</v>
      </c>
      <c r="G32" s="15">
        <v>960.17</v>
      </c>
      <c r="H32" s="15">
        <v>963.328038590647</v>
      </c>
      <c r="I32" s="16">
        <f t="shared" ref="I32:I40" si="1">+C32*G32</f>
        <v>1362677104.6799998</v>
      </c>
      <c r="J32" s="16">
        <f t="shared" ref="J32:J40" si="2">+C32*H32</f>
        <v>1367159005.6800005</v>
      </c>
      <c r="K32" s="18">
        <v>0.17150000000000001</v>
      </c>
      <c r="L32" s="17">
        <v>640271.57142857136</v>
      </c>
      <c r="M32" s="17">
        <v>1363957647.8228569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9870</v>
      </c>
      <c r="D33" s="7" t="s">
        <v>51</v>
      </c>
      <c r="E33" s="34" t="s">
        <v>52</v>
      </c>
      <c r="F33" s="34" t="s">
        <v>53</v>
      </c>
      <c r="G33" s="15">
        <v>1013.8610000000001</v>
      </c>
      <c r="H33" s="15">
        <v>1017.1801337386011</v>
      </c>
      <c r="I33" s="16">
        <f t="shared" si="1"/>
        <v>10006808.07</v>
      </c>
      <c r="J33" s="16">
        <f t="shared" si="2"/>
        <v>10039567.919999992</v>
      </c>
      <c r="K33" s="18">
        <v>0.17070299999999999</v>
      </c>
      <c r="L33" s="17">
        <v>4679.9785714285708</v>
      </c>
      <c r="M33" s="17">
        <v>10016168.027142851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300472</v>
      </c>
      <c r="D34" s="7" t="s">
        <v>51</v>
      </c>
      <c r="E34" s="34" t="s">
        <v>52</v>
      </c>
      <c r="F34" s="34" t="s">
        <v>53</v>
      </c>
      <c r="G34" s="15">
        <v>945.80699998668808</v>
      </c>
      <c r="H34" s="15">
        <v>948.9177980643791</v>
      </c>
      <c r="I34" s="16">
        <f t="shared" si="1"/>
        <v>284188520.90000015</v>
      </c>
      <c r="J34" s="16">
        <f t="shared" si="2"/>
        <v>285123228.62000012</v>
      </c>
      <c r="K34" s="18">
        <v>0.17150000000000001</v>
      </c>
      <c r="L34" s="17">
        <v>133529.67428571419</v>
      </c>
      <c r="M34" s="17">
        <v>284455580.24857098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2827020</v>
      </c>
      <c r="D35" s="7" t="s">
        <v>51</v>
      </c>
      <c r="E35" s="34" t="s">
        <v>60</v>
      </c>
      <c r="F35" s="34" t="s">
        <v>61</v>
      </c>
      <c r="G35" s="15">
        <v>562.51909999929308</v>
      </c>
      <c r="H35" s="15">
        <v>562.78417440980297</v>
      </c>
      <c r="I35" s="16">
        <f t="shared" si="1"/>
        <v>1590252746.0800016</v>
      </c>
      <c r="J35" s="16">
        <f t="shared" si="2"/>
        <v>1591002116.7400012</v>
      </c>
      <c r="K35" s="18">
        <v>0.17199799999999998</v>
      </c>
      <c r="L35" s="17">
        <v>749370.66</v>
      </c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2827020</v>
      </c>
      <c r="D36" s="7" t="s">
        <v>51</v>
      </c>
      <c r="E36" s="34" t="s">
        <v>61</v>
      </c>
      <c r="F36" s="34" t="s">
        <v>61</v>
      </c>
      <c r="G36" s="15">
        <v>562.51909999929308</v>
      </c>
      <c r="H36" s="15">
        <v>562.78417440980297</v>
      </c>
      <c r="I36" s="16">
        <f t="shared" si="1"/>
        <v>1590252746.0800016</v>
      </c>
      <c r="J36" s="16">
        <f t="shared" si="2"/>
        <v>1591002116.7400012</v>
      </c>
      <c r="K36" s="18">
        <v>0.17199799999999998</v>
      </c>
      <c r="L36" s="17"/>
      <c r="M36" s="17"/>
      <c r="N36" s="35"/>
    </row>
    <row r="37" spans="1:15" s="36" customFormat="1" ht="12" customHeight="1" x14ac:dyDescent="0.25">
      <c r="A37" s="12" t="s">
        <v>62</v>
      </c>
      <c r="B37" s="7" t="s">
        <v>63</v>
      </c>
      <c r="C37" s="14">
        <v>104820</v>
      </c>
      <c r="D37" s="7" t="s">
        <v>51</v>
      </c>
      <c r="E37" s="34" t="s">
        <v>60</v>
      </c>
      <c r="F37" s="34" t="s">
        <v>61</v>
      </c>
      <c r="G37" s="15">
        <v>95.406699961839337</v>
      </c>
      <c r="H37" s="15">
        <v>95.451658175920613</v>
      </c>
      <c r="I37" s="16">
        <f t="shared" si="1"/>
        <v>10000530.289999999</v>
      </c>
      <c r="J37" s="16">
        <f t="shared" si="2"/>
        <v>10005242.809999999</v>
      </c>
      <c r="K37" s="18">
        <v>0.17199799999999998</v>
      </c>
      <c r="L37" s="17">
        <v>4712.5200000000004</v>
      </c>
      <c r="M37" s="17"/>
      <c r="N37" s="35"/>
    </row>
    <row r="38" spans="1:15" s="36" customFormat="1" ht="12" customHeight="1" x14ac:dyDescent="0.25">
      <c r="A38" s="12" t="s">
        <v>62</v>
      </c>
      <c r="B38" s="7" t="s">
        <v>63</v>
      </c>
      <c r="C38" s="14">
        <v>104820</v>
      </c>
      <c r="D38" s="7" t="s">
        <v>51</v>
      </c>
      <c r="E38" s="34" t="s">
        <v>61</v>
      </c>
      <c r="F38" s="34" t="s">
        <v>61</v>
      </c>
      <c r="G38" s="15">
        <v>95.406699961839337</v>
      </c>
      <c r="H38" s="15">
        <v>95.451658175920613</v>
      </c>
      <c r="I38" s="16">
        <f t="shared" si="1"/>
        <v>10000530.289999999</v>
      </c>
      <c r="J38" s="16">
        <f t="shared" si="2"/>
        <v>10005242.809999999</v>
      </c>
      <c r="K38" s="18">
        <v>0.17199799999999998</v>
      </c>
      <c r="L38" s="17"/>
      <c r="M38" s="17"/>
      <c r="N38" s="35"/>
    </row>
    <row r="39" spans="1:15" s="36" customFormat="1" ht="12" customHeight="1" x14ac:dyDescent="0.25">
      <c r="A39" s="12" t="s">
        <v>64</v>
      </c>
      <c r="B39" s="7" t="s">
        <v>65</v>
      </c>
      <c r="C39" s="14">
        <v>2970120</v>
      </c>
      <c r="D39" s="7" t="s">
        <v>51</v>
      </c>
      <c r="E39" s="34" t="s">
        <v>61</v>
      </c>
      <c r="F39" s="34" t="s">
        <v>66</v>
      </c>
      <c r="G39" s="15">
        <v>535.35219999865308</v>
      </c>
      <c r="H39" s="15">
        <v>535.60154211950999</v>
      </c>
      <c r="I39" s="16">
        <f t="shared" si="1"/>
        <v>1590060276.2599995</v>
      </c>
      <c r="J39" s="16">
        <f t="shared" si="2"/>
        <v>1590800852.279999</v>
      </c>
      <c r="K39" s="18">
        <v>0.17</v>
      </c>
      <c r="L39" s="17"/>
      <c r="M39" s="17">
        <v>1590060276.26</v>
      </c>
      <c r="N39" s="35"/>
    </row>
    <row r="40" spans="1:15" s="36" customFormat="1" ht="12" customHeight="1" x14ac:dyDescent="0.25">
      <c r="A40" s="12" t="s">
        <v>49</v>
      </c>
      <c r="B40" s="7" t="s">
        <v>50</v>
      </c>
      <c r="C40" s="14">
        <v>10490</v>
      </c>
      <c r="D40" s="7" t="s">
        <v>51</v>
      </c>
      <c r="E40" s="34" t="s">
        <v>61</v>
      </c>
      <c r="F40" s="34" t="s">
        <v>66</v>
      </c>
      <c r="G40" s="15">
        <v>953.34300000000007</v>
      </c>
      <c r="H40" s="15">
        <v>953.78702287893202</v>
      </c>
      <c r="I40" s="16">
        <f t="shared" si="1"/>
        <v>10000568.07</v>
      </c>
      <c r="J40" s="16">
        <f t="shared" si="2"/>
        <v>10005225.869999997</v>
      </c>
      <c r="K40" s="18">
        <v>0.17</v>
      </c>
      <c r="L40" s="17"/>
      <c r="M40" s="17">
        <v>10000568.07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3258490240.4285707</v>
      </c>
      <c r="N42" s="38">
        <v>3258490240.4285712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32639665836.213654</v>
      </c>
      <c r="C49" s="32">
        <v>32639665836.213673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484370.63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111739.85999999999</v>
      </c>
    </row>
    <row r="59" spans="1:4" x14ac:dyDescent="0.25">
      <c r="A59" s="48" t="s">
        <v>41</v>
      </c>
      <c r="B59" s="50">
        <v>55250.280000000006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651360.77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2025-10-24T06:35:45Z</dcterms:created>
  <dcterms:modified xsi:type="dcterms:W3CDTF">2025-10-24T08:20:18Z</dcterms:modified>
</cp:coreProperties>
</file>