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B45F896F-CF51-479F-A8DF-092A6B4853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</externalReferences>
  <definedNames>
    <definedName name="__mdDATAHead__">ДУ!$1:$1</definedName>
    <definedName name="__mdDATAMoney__">ДУ!$27:$27</definedName>
    <definedName name="__mdDATAOther__" localSheetId="1">[1]ДУ!#REF!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" i="1" l="1"/>
  <c r="B2" i="3"/>
  <c r="G2" i="3"/>
  <c r="F2" i="3"/>
  <c r="C2" i="3"/>
  <c r="D52" i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8" i="1"/>
  <c r="M17" i="1"/>
  <c r="M12" i="1"/>
  <c r="M11" i="1"/>
  <c r="M6" i="1"/>
  <c r="M5" i="1"/>
  <c r="H2" i="3" l="1"/>
  <c r="M7" i="1"/>
  <c r="M13" i="1"/>
  <c r="M19" i="1"/>
  <c r="M8" i="1"/>
  <c r="M20" i="1"/>
  <c r="M9" i="1"/>
  <c r="M15" i="1"/>
  <c r="M21" i="1"/>
  <c r="B52" i="1"/>
  <c r="M14" i="1"/>
  <c r="M4" i="1"/>
  <c r="M10" i="1"/>
  <c r="M16" i="1"/>
</calcChain>
</file>

<file path=xl/sharedStrings.xml><?xml version="1.0" encoding="utf-8"?>
<sst xmlns="http://schemas.openxmlformats.org/spreadsheetml/2006/main" count="198" uniqueCount="133">
  <si>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</si>
  <si>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</si>
  <si>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</si>
  <si>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</si>
  <si>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</si>
  <si>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</si>
  <si>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</si>
  <si>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</si>
  <si>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</si>
  <si>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</si>
  <si>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</si>
  <si>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</si>
  <si>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</si>
  <si>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</si>
  <si>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</si>
  <si>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</si>
  <si>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</si>
  <si>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</si>
  <si>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</si>
  <si>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</si>
  <si>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</si>
  <si>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</si>
  <si>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</si>
  <si>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</si>
  <si>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</si>
  <si>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</si>
  <si>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</si>
  <si>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</si>
  <si>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</si>
  <si>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</si>
  <si>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</si>
  <si>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</si>
  <si>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</si>
  <si>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</si>
  <si>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</si>
  <si>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</si>
  <si>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</si>
  <si>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</si>
  <si>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</si>
  <si>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</si>
  <si>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</si>
  <si>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</si>
  <si>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</si>
  <si>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</si>
  <si>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</si>
  <si>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</si>
  <si>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</si>
  <si>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</si>
  <si>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</si>
  <si>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MOM048_0053</t>
  </si>
  <si>
    <t>KZK200000711</t>
  </si>
  <si>
    <t>KZT</t>
  </si>
  <si>
    <t>30.10.2025</t>
  </si>
  <si>
    <t>31.10.2025</t>
  </si>
  <si>
    <t>МИНИСТЕРСТВО ФИНАНСОВ РК, ГЦБ, MUM072_0014</t>
  </si>
  <si>
    <t>KZKD00001210</t>
  </si>
  <si>
    <t>МИНИСТЕРСТВО ФИНАНСОВ РК, ГЦБ, MUM084_0018</t>
  </si>
  <si>
    <t>KZKD00001137</t>
  </si>
  <si>
    <t>МИНИСТЕРСТВО ФИНАНСОВ РК, ГЦБ, MKM012_0161</t>
  </si>
  <si>
    <t>KZK100000423</t>
  </si>
  <si>
    <t>АКЦИОНЕРНОЕ ОБЩЕСТВО КАЗАХСТАНСКИЙ ФОНД УСТОЙЧИВОСТИ, ОБЛИГАЦИИ, KFUSb9</t>
  </si>
  <si>
    <t>KZ2C00007318</t>
  </si>
  <si>
    <t>29.10.2025</t>
  </si>
  <si>
    <t>05.11.2025</t>
  </si>
  <si>
    <t>МИНИСТЕРСТВО ФИНАНСОВ РК, ГЦБ, MUM240_0001</t>
  </si>
  <si>
    <t>KZKD00000550</t>
  </si>
  <si>
    <t>МИНИСТЕРСТВО ФИНАНСОВ РК, ГЦБ, MUM084_0019</t>
  </si>
  <si>
    <t>KZKD00001244</t>
  </si>
  <si>
    <t>03.11.2025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</si>
  <si>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</si>
  <si>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</si>
  <si>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</si>
  <si>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</si>
  <si>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</si>
  <si>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</si>
  <si>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</si>
  <si>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</si>
  <si>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</si>
  <si>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</si>
  <si>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</si>
  <si>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</si>
  <si>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</si>
  <si>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</si>
  <si>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</si>
  <si>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</si>
  <si>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</si>
  <si>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</si>
  <si>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</si>
  <si>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</si>
  <si>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</si>
  <si>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</si>
  <si>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</si>
  <si>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</si>
  <si>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</si>
  <si>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</si>
  <si>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</si>
  <si>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</si>
  <si>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</si>
  <si>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</si>
  <si>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</si>
  <si>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</si>
  <si>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</si>
  <si>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</si>
  <si>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</si>
  <si>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</si>
  <si>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</si>
  <si>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</si>
  <si>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</si>
  <si>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</si>
  <si>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</si>
  <si>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</si>
  <si>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</si>
  <si>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</si>
  <si>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</si>
  <si>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</si>
  <si>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</si>
  <si>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</si>
  <si>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</si>
  <si>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</si>
  <si>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</si>
  <si>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</si>
  <si>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</si>
  <si>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</si>
  <si>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</si>
  <si>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</si>
  <si>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</si>
  <si>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</si>
  <si>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</si>
  <si>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</si>
  <si>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сентябрь</t>
  </si>
  <si>
    <t>Фактическая комиссия за сентябрь  (без корректировки)</t>
  </si>
  <si>
    <t>Корректировка комиссии ДУ за сентябрь</t>
  </si>
  <si>
    <t>Комиссия ДУ за окятбрь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</si>
</sst>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2039294</xdr:colOff>
      <xdr:row>43</xdr:row>
      <xdr:rowOff>86801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1693E79-0F5B-45A9-BB8A-E912619F4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opLeftCell="A24" zoomScale="90" zoomScaleNormal="90" workbookViewId="0">
      <selection activeCell="B56" sqref="B5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98.653100000000009</v>
      </c>
      <c r="J4" s="11">
        <v>101.58735</v>
      </c>
      <c r="K4" s="11">
        <v>88614349.999999985</v>
      </c>
      <c r="L4" s="11">
        <v>3067937969.999999</v>
      </c>
      <c r="M4" s="6">
        <f t="shared" ref="M4:M22" si="0">L4/$L$24</f>
        <v>0.10385797889531401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82.843299999999999</v>
      </c>
      <c r="J5" s="11">
        <v>85.539411111111107</v>
      </c>
      <c r="K5" s="11">
        <v>61066916.666666657</v>
      </c>
      <c r="L5" s="11">
        <v>1937467661.666666</v>
      </c>
      <c r="M5" s="6">
        <f t="shared" si="0"/>
        <v>6.5588508465094564E-2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82.843299999999999</v>
      </c>
      <c r="J6" s="11">
        <v>85.539411111111363</v>
      </c>
      <c r="K6" s="11">
        <v>41834100.211111113</v>
      </c>
      <c r="L6" s="11">
        <v>1327268850.9291151</v>
      </c>
      <c r="M6" s="6">
        <f t="shared" si="0"/>
        <v>4.4931632143854504E-2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82.843299999999999</v>
      </c>
      <c r="J7" s="11">
        <v>85.539411111111107</v>
      </c>
      <c r="K7" s="11">
        <v>14712462.64444444</v>
      </c>
      <c r="L7" s="11">
        <v>466781723.28044403</v>
      </c>
      <c r="M7" s="6">
        <f t="shared" si="0"/>
        <v>1.5801820910081397E-2</v>
      </c>
    </row>
    <row r="8" spans="1:13" x14ac:dyDescent="0.25">
      <c r="A8" s="1" t="s">
        <v>56</v>
      </c>
      <c r="B8" s="13" t="s">
        <v>57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78</v>
      </c>
      <c r="H8" s="11">
        <v>2073109200</v>
      </c>
      <c r="I8" s="11">
        <v>87.166700000000006</v>
      </c>
      <c r="J8" s="11">
        <v>92.88669999999999</v>
      </c>
      <c r="K8" s="11">
        <v>129558000</v>
      </c>
      <c r="L8" s="11">
        <v>2103883754.999999</v>
      </c>
      <c r="M8" s="6">
        <f t="shared" si="0"/>
        <v>7.1222142286333112E-2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81</v>
      </c>
      <c r="H9" s="11">
        <v>2080889475</v>
      </c>
      <c r="I9" s="11">
        <v>84.951400000000007</v>
      </c>
      <c r="J9" s="11">
        <v>91.36806666666665</v>
      </c>
      <c r="K9" s="11">
        <v>145337500</v>
      </c>
      <c r="L9" s="11">
        <v>2069486709.999999</v>
      </c>
      <c r="M9" s="6">
        <f t="shared" si="0"/>
        <v>7.0057709495121495E-2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84</v>
      </c>
      <c r="H10" s="11">
        <v>1963990560.0000031</v>
      </c>
      <c r="I10" s="11">
        <v>77.293999999999997</v>
      </c>
      <c r="J10" s="11">
        <v>83.67427777777776</v>
      </c>
      <c r="K10" s="11">
        <v>144513291.66666701</v>
      </c>
      <c r="L10" s="11">
        <v>1895222391.666666</v>
      </c>
      <c r="M10" s="6">
        <f t="shared" si="0"/>
        <v>6.4158392079760068E-2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87</v>
      </c>
      <c r="H11" s="11">
        <v>1740247065.0000031</v>
      </c>
      <c r="I11" s="11">
        <v>67.762700000000009</v>
      </c>
      <c r="J11" s="11">
        <v>72.316311111111105</v>
      </c>
      <c r="K11" s="11">
        <v>103139291.666667</v>
      </c>
      <c r="L11" s="11">
        <v>1637964446.666666</v>
      </c>
      <c r="M11" s="6">
        <f t="shared" si="0"/>
        <v>5.5449516449376367E-2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90</v>
      </c>
      <c r="H12" s="11">
        <v>1967775375</v>
      </c>
      <c r="I12" s="11">
        <v>75.452100000000002</v>
      </c>
      <c r="J12" s="11">
        <v>78.232933333333321</v>
      </c>
      <c r="K12" s="11">
        <v>62985875</v>
      </c>
      <c r="L12" s="11">
        <v>1771975940</v>
      </c>
      <c r="M12" s="6">
        <f t="shared" si="0"/>
        <v>5.9986167119123419E-2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93</v>
      </c>
      <c r="H13" s="11">
        <v>1622351550</v>
      </c>
      <c r="I13" s="11">
        <v>61.133400000000002</v>
      </c>
      <c r="J13" s="11">
        <v>64.8994</v>
      </c>
      <c r="K13" s="11">
        <v>85299900</v>
      </c>
      <c r="L13" s="11">
        <v>1469971410</v>
      </c>
      <c r="M13" s="6">
        <f t="shared" si="0"/>
        <v>4.9762498841035896E-2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96</v>
      </c>
      <c r="H14" s="11">
        <v>1597764975</v>
      </c>
      <c r="I14" s="11">
        <v>59.692600000000006</v>
      </c>
      <c r="J14" s="11">
        <v>65.767516666666651</v>
      </c>
      <c r="K14" s="11">
        <v>137596862.5</v>
      </c>
      <c r="L14" s="11">
        <v>1489634252.5</v>
      </c>
      <c r="M14" s="6">
        <f t="shared" si="0"/>
        <v>5.0428139118432663E-2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99</v>
      </c>
      <c r="H15" s="11">
        <v>3136670150</v>
      </c>
      <c r="I15" s="11">
        <v>86.2821</v>
      </c>
      <c r="J15" s="11">
        <v>89.530349999999999</v>
      </c>
      <c r="K15" s="11">
        <v>122621437.5</v>
      </c>
      <c r="L15" s="11">
        <v>3379770712.5</v>
      </c>
      <c r="M15" s="6">
        <f t="shared" si="0"/>
        <v>0.11441435868725386</v>
      </c>
    </row>
    <row r="16" spans="1:13" x14ac:dyDescent="0.25">
      <c r="A16" s="1" t="s">
        <v>64</v>
      </c>
      <c r="B16" s="13" t="s">
        <v>65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56.694900000000004</v>
      </c>
      <c r="J16" s="11">
        <v>59.536566666666658</v>
      </c>
      <c r="K16" s="11">
        <v>79676355</v>
      </c>
      <c r="L16" s="11">
        <v>1669321978.1400001</v>
      </c>
      <c r="M16" s="6">
        <f t="shared" si="0"/>
        <v>5.6511053505800837E-2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85.115600000000001</v>
      </c>
      <c r="J17" s="11">
        <v>92.882266666666652</v>
      </c>
      <c r="K17" s="11">
        <v>80655280</v>
      </c>
      <c r="L17" s="11">
        <v>964563762.88</v>
      </c>
      <c r="M17" s="6">
        <f t="shared" si="0"/>
        <v>3.2653086179697345E-2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98.051400000000001</v>
      </c>
      <c r="J18" s="11">
        <v>104.9589</v>
      </c>
      <c r="K18" s="11">
        <v>35020265.174999997</v>
      </c>
      <c r="L18" s="11">
        <v>532130077.52100003</v>
      </c>
      <c r="M18" s="6">
        <f t="shared" si="0"/>
        <v>1.8014039038976346E-2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94.272450439578492</v>
      </c>
      <c r="J19" s="11">
        <v>96.53661710624516</v>
      </c>
      <c r="K19" s="11">
        <v>47547500</v>
      </c>
      <c r="L19" s="11">
        <v>2027268959.231148</v>
      </c>
      <c r="M19" s="6">
        <f t="shared" si="0"/>
        <v>6.8628524710020067E-2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98.078315280045302</v>
      </c>
      <c r="J20" s="11">
        <v>103.94298194671201</v>
      </c>
      <c r="K20" s="11">
        <v>58646666.666666657</v>
      </c>
      <c r="L20" s="11">
        <v>1039429819.467119</v>
      </c>
      <c r="M20" s="6">
        <f t="shared" si="0"/>
        <v>3.5187504215861351E-2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96.331897770141595</v>
      </c>
      <c r="J21" s="11">
        <v>101.12356443679501</v>
      </c>
      <c r="K21" s="11">
        <v>7941660.41664444</v>
      </c>
      <c r="L21" s="11">
        <v>167601184.46189901</v>
      </c>
      <c r="M21" s="6">
        <f t="shared" si="0"/>
        <v>5.6737523538240063E-3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101.5479</v>
      </c>
      <c r="J22" s="11">
        <v>105.46965</v>
      </c>
      <c r="K22" s="11">
        <v>19412152.672499999</v>
      </c>
      <c r="L22" s="11">
        <v>522061056.44550002</v>
      </c>
      <c r="M22" s="6">
        <f t="shared" si="0"/>
        <v>1.767317550503868E-2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1466179867.7863669</v>
      </c>
      <c r="L24" s="22">
        <f>SUM(L4:L23)</f>
        <v>29539742662.35622</v>
      </c>
      <c r="M24" s="23"/>
      <c r="N24" s="26">
        <v>29539742662.356247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2673107.13</v>
      </c>
      <c r="C27" s="51">
        <v>2673107.13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321732</v>
      </c>
      <c r="D32" s="7" t="s">
        <v>51</v>
      </c>
      <c r="E32" s="34" t="s">
        <v>52</v>
      </c>
      <c r="F32" s="34" t="s">
        <v>53</v>
      </c>
      <c r="G32" s="15">
        <v>1029.795999993783</v>
      </c>
      <c r="H32" s="15">
        <v>1030.2798630537211</v>
      </c>
      <c r="I32" s="16">
        <f t="shared" ref="I32:I43" si="1">+C32*G32</f>
        <v>331318326.66999978</v>
      </c>
      <c r="J32" s="16">
        <f t="shared" ref="J32:J43" si="2">+C32*H32</f>
        <v>331474000.8999998</v>
      </c>
      <c r="K32" s="18">
        <v>0.17150000000000001</v>
      </c>
      <c r="L32" s="17">
        <v>155674.23000000001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321732</v>
      </c>
      <c r="D33" s="7" t="s">
        <v>51</v>
      </c>
      <c r="E33" s="34" t="s">
        <v>53</v>
      </c>
      <c r="F33" s="34" t="s">
        <v>53</v>
      </c>
      <c r="G33" s="15">
        <v>1029.795999993783</v>
      </c>
      <c r="H33" s="15">
        <v>1030.2798630537211</v>
      </c>
      <c r="I33" s="16">
        <f t="shared" si="1"/>
        <v>331318326.66999978</v>
      </c>
      <c r="J33" s="16">
        <f t="shared" si="2"/>
        <v>331474000.8999998</v>
      </c>
      <c r="K33" s="18">
        <v>0.17150000000000001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659808</v>
      </c>
      <c r="D34" s="7" t="s">
        <v>51</v>
      </c>
      <c r="E34" s="34" t="s">
        <v>52</v>
      </c>
      <c r="F34" s="34" t="s">
        <v>53</v>
      </c>
      <c r="G34" s="15">
        <v>1055.53</v>
      </c>
      <c r="H34" s="15">
        <v>1056.025954504946</v>
      </c>
      <c r="I34" s="16">
        <f t="shared" si="1"/>
        <v>696447138.24000001</v>
      </c>
      <c r="J34" s="16">
        <f t="shared" si="2"/>
        <v>696774372.98999941</v>
      </c>
      <c r="K34" s="18">
        <v>0.17150000000000001</v>
      </c>
      <c r="L34" s="17">
        <v>327234.75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659808</v>
      </c>
      <c r="D35" s="7" t="s">
        <v>51</v>
      </c>
      <c r="E35" s="34" t="s">
        <v>53</v>
      </c>
      <c r="F35" s="34" t="s">
        <v>53</v>
      </c>
      <c r="G35" s="15">
        <v>1055.53</v>
      </c>
      <c r="H35" s="15">
        <v>1056.025954504946</v>
      </c>
      <c r="I35" s="16">
        <f t="shared" si="1"/>
        <v>696447138.24000001</v>
      </c>
      <c r="J35" s="16">
        <f t="shared" si="2"/>
        <v>696774372.98999941</v>
      </c>
      <c r="K35" s="18">
        <v>0.17150000000000001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683895</v>
      </c>
      <c r="D36" s="7" t="s">
        <v>51</v>
      </c>
      <c r="E36" s="34" t="s">
        <v>52</v>
      </c>
      <c r="F36" s="34" t="s">
        <v>53</v>
      </c>
      <c r="G36" s="15">
        <v>929.09400000000005</v>
      </c>
      <c r="H36" s="15">
        <v>929.53054691144109</v>
      </c>
      <c r="I36" s="16">
        <f t="shared" si="1"/>
        <v>635402741.13</v>
      </c>
      <c r="J36" s="16">
        <f t="shared" si="2"/>
        <v>635701293.38</v>
      </c>
      <c r="K36" s="18">
        <v>0.17150000000000001</v>
      </c>
      <c r="L36" s="17">
        <v>298552.25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683895</v>
      </c>
      <c r="D37" s="7" t="s">
        <v>51</v>
      </c>
      <c r="E37" s="34" t="s">
        <v>53</v>
      </c>
      <c r="F37" s="34" t="s">
        <v>53</v>
      </c>
      <c r="G37" s="15">
        <v>929.09400000000005</v>
      </c>
      <c r="H37" s="15">
        <v>929.53054691144109</v>
      </c>
      <c r="I37" s="16">
        <f t="shared" si="1"/>
        <v>635402741.13</v>
      </c>
      <c r="J37" s="16">
        <f t="shared" si="2"/>
        <v>635701293.38</v>
      </c>
      <c r="K37" s="18">
        <v>0.17150000000000001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98190</v>
      </c>
      <c r="D38" s="7" t="s">
        <v>51</v>
      </c>
      <c r="E38" s="34" t="s">
        <v>52</v>
      </c>
      <c r="F38" s="34" t="s">
        <v>53</v>
      </c>
      <c r="G38" s="15">
        <v>91.662899989815656</v>
      </c>
      <c r="H38" s="15">
        <v>91.705969039617059</v>
      </c>
      <c r="I38" s="16">
        <f t="shared" si="1"/>
        <v>9000380.1499999985</v>
      </c>
      <c r="J38" s="16">
        <f t="shared" si="2"/>
        <v>9004609.0999999996</v>
      </c>
      <c r="K38" s="18">
        <v>0.17150000000000001</v>
      </c>
      <c r="L38" s="17">
        <v>4228.95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98190</v>
      </c>
      <c r="D39" s="7" t="s">
        <v>51</v>
      </c>
      <c r="E39" s="34" t="s">
        <v>53</v>
      </c>
      <c r="F39" s="34" t="s">
        <v>53</v>
      </c>
      <c r="G39" s="15">
        <v>91.662899989815656</v>
      </c>
      <c r="H39" s="15">
        <v>91.705969039617059</v>
      </c>
      <c r="I39" s="16">
        <f t="shared" si="1"/>
        <v>9000380.1499999985</v>
      </c>
      <c r="J39" s="16">
        <f t="shared" si="2"/>
        <v>9004609.0999999996</v>
      </c>
      <c r="K39" s="18">
        <v>0.17150000000000001</v>
      </c>
      <c r="L39" s="17"/>
      <c r="M39" s="17"/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1511139</v>
      </c>
      <c r="D40" s="7" t="s">
        <v>51</v>
      </c>
      <c r="E40" s="34" t="s">
        <v>62</v>
      </c>
      <c r="F40" s="34" t="s">
        <v>63</v>
      </c>
      <c r="G40" s="15">
        <v>1051.7669999980139</v>
      </c>
      <c r="H40" s="15">
        <v>1055.236390318825</v>
      </c>
      <c r="I40" s="16">
        <f t="shared" si="1"/>
        <v>1589366132.6099987</v>
      </c>
      <c r="J40" s="16">
        <f t="shared" si="2"/>
        <v>1594608863.6299989</v>
      </c>
      <c r="K40" s="18">
        <v>0.17200000000000001</v>
      </c>
      <c r="L40" s="17">
        <v>748961.57428571419</v>
      </c>
      <c r="M40" s="17">
        <v>1590864055.7585709</v>
      </c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18502</v>
      </c>
      <c r="D41" s="7" t="s">
        <v>51</v>
      </c>
      <c r="E41" s="34" t="s">
        <v>62</v>
      </c>
      <c r="F41" s="34" t="s">
        <v>63</v>
      </c>
      <c r="G41" s="15">
        <v>594.62800021619307</v>
      </c>
      <c r="H41" s="15">
        <v>596.58945789644406</v>
      </c>
      <c r="I41" s="16">
        <f t="shared" si="1"/>
        <v>11001807.260000004</v>
      </c>
      <c r="J41" s="16">
        <f t="shared" si="2"/>
        <v>11038098.150000008</v>
      </c>
      <c r="K41" s="18">
        <v>0.17200000000000001</v>
      </c>
      <c r="L41" s="17">
        <v>5184.4128571428573</v>
      </c>
      <c r="M41" s="17">
        <v>11012176.085714281</v>
      </c>
      <c r="N41" s="35"/>
    </row>
    <row r="42" spans="1:15" s="36" customFormat="1" ht="12" customHeight="1" x14ac:dyDescent="0.25">
      <c r="A42" s="12" t="s">
        <v>66</v>
      </c>
      <c r="B42" s="7" t="s">
        <v>67</v>
      </c>
      <c r="C42" s="14">
        <v>10960</v>
      </c>
      <c r="D42" s="7" t="s">
        <v>51</v>
      </c>
      <c r="E42" s="34" t="s">
        <v>53</v>
      </c>
      <c r="F42" s="34" t="s">
        <v>68</v>
      </c>
      <c r="G42" s="15">
        <v>912.90600000000006</v>
      </c>
      <c r="H42" s="15">
        <v>914.21158029197102</v>
      </c>
      <c r="I42" s="16">
        <f t="shared" si="1"/>
        <v>10005449.76</v>
      </c>
      <c r="J42" s="16">
        <f t="shared" si="2"/>
        <v>10019758.920000002</v>
      </c>
      <c r="K42" s="18">
        <v>0.17400000000000002</v>
      </c>
      <c r="L42" s="17"/>
      <c r="M42" s="17">
        <v>10005449.76</v>
      </c>
      <c r="N42" s="35"/>
    </row>
    <row r="43" spans="1:15" s="36" customFormat="1" ht="12" customHeight="1" x14ac:dyDescent="0.25">
      <c r="A43" s="12" t="s">
        <v>64</v>
      </c>
      <c r="B43" s="7" t="s">
        <v>65</v>
      </c>
      <c r="C43" s="14">
        <v>2792160</v>
      </c>
      <c r="D43" s="7" t="s">
        <v>51</v>
      </c>
      <c r="E43" s="34" t="s">
        <v>53</v>
      </c>
      <c r="F43" s="34" t="s">
        <v>68</v>
      </c>
      <c r="G43" s="15">
        <v>595.36599999999999</v>
      </c>
      <c r="H43" s="15">
        <v>596.21745493811204</v>
      </c>
      <c r="I43" s="16">
        <f t="shared" si="1"/>
        <v>1662357130.5599999</v>
      </c>
      <c r="J43" s="16">
        <f t="shared" si="2"/>
        <v>1664734528.9799988</v>
      </c>
      <c r="K43" s="18">
        <v>0.17400000000000002</v>
      </c>
      <c r="L43" s="17"/>
      <c r="M43" s="17">
        <v>1662357130.5599999</v>
      </c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3274238812.1642852</v>
      </c>
      <c r="N45" s="38">
        <v>3274238812.1642857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32816654581.650505</v>
      </c>
      <c r="C52" s="32">
        <v>32816654581.650532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>
        <f>'Расчет ДУ'!H2</f>
        <v>3264613.29</v>
      </c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613960.4700000002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>
        <v>386602.6424463194</v>
      </c>
    </row>
    <row r="61" spans="1:8" x14ac:dyDescent="0.25">
      <c r="A61" s="48" t="s">
        <v>40</v>
      </c>
      <c r="B61" s="50">
        <v>155641.28999999998</v>
      </c>
    </row>
    <row r="62" spans="1:8" x14ac:dyDescent="0.25">
      <c r="A62" s="48" t="s">
        <v>41</v>
      </c>
      <c r="B62" s="50">
        <v>77176.680000000008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4497994.3724463191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DB47-C257-44BF-8BEE-02C6787A09EE}">
  <dimension ref="A1:H12"/>
  <sheetViews>
    <sheetView tabSelected="1" workbookViewId="0">
      <selection activeCell="C2" sqref="C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125</v>
      </c>
      <c r="B1" t="s">
        <v>126</v>
      </c>
      <c r="C1" t="s">
        <v>127</v>
      </c>
      <c r="D1" t="s">
        <v>129</v>
      </c>
      <c r="E1" t="s">
        <v>130</v>
      </c>
      <c r="F1" t="s">
        <v>131</v>
      </c>
      <c r="G1" t="s">
        <v>132</v>
      </c>
      <c r="H1" t="s">
        <v>128</v>
      </c>
    </row>
    <row r="2" spans="1:8" x14ac:dyDescent="0.25">
      <c r="A2" s="52">
        <v>32650660611.579853</v>
      </c>
      <c r="B2" s="53">
        <f>ДУ!B58+ДУ!B60+ДУ!B61+ДУ!B62</f>
        <v>1233381.0824463195</v>
      </c>
      <c r="C2" s="54">
        <f>A2*0.12%/12</f>
        <v>3265066.0611579851</v>
      </c>
      <c r="D2" s="54">
        <v>3225373.56</v>
      </c>
      <c r="E2" s="54">
        <v>3225370.63</v>
      </c>
      <c r="F2" s="53">
        <f>ROUND((E2-D2),2)</f>
        <v>-2.93</v>
      </c>
      <c r="G2" s="54">
        <f>ROUND(((A2-B2-C2)*0.12%/12),2)</f>
        <v>3264616.22</v>
      </c>
      <c r="H2" s="55">
        <f>F2+G2</f>
        <v>3264613.29</v>
      </c>
    </row>
    <row r="12" spans="1:8" x14ac:dyDescent="0.25">
      <c r="E12" s="5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ДУ</vt:lpstr>
      <vt:lpstr>Расчет 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2025-11-03T06:11:16Z</dcterms:created>
  <dcterms:modified xsi:type="dcterms:W3CDTF">2025-11-04T12:47:40Z</dcterms:modified>
</cp:coreProperties>
</file>