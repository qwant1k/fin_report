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ED9B497E-3DFB-4F07-A0F0-12F1BFB92F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0" i="1" l="1"/>
  <c r="O93" i="1"/>
  <c r="O24" i="1"/>
  <c r="D27" i="1"/>
  <c r="B114" i="1"/>
  <c r="G98" i="1"/>
  <c r="M93" i="1"/>
  <c r="J91" i="1"/>
  <c r="I91" i="1"/>
  <c r="J90" i="1"/>
  <c r="I90" i="1"/>
  <c r="J89" i="1"/>
  <c r="I89" i="1"/>
  <c r="J88" i="1"/>
  <c r="I88" i="1"/>
  <c r="J87" i="1"/>
  <c r="I87" i="1"/>
  <c r="J86" i="1"/>
  <c r="I86" i="1"/>
  <c r="J85" i="1"/>
  <c r="I85" i="1"/>
  <c r="J84" i="1"/>
  <c r="I84" i="1"/>
  <c r="J83" i="1"/>
  <c r="I83" i="1"/>
  <c r="J82" i="1"/>
  <c r="I82" i="1"/>
  <c r="J81" i="1"/>
  <c r="I81" i="1"/>
  <c r="J80" i="1"/>
  <c r="I80" i="1"/>
  <c r="J79" i="1"/>
  <c r="I79" i="1"/>
  <c r="J78" i="1"/>
  <c r="I78" i="1"/>
  <c r="J77" i="1"/>
  <c r="I77" i="1"/>
  <c r="J76" i="1"/>
  <c r="I76" i="1"/>
  <c r="J75" i="1"/>
  <c r="I75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8" i="1"/>
  <c r="M17" i="1"/>
  <c r="M16" i="1"/>
  <c r="M14" i="1"/>
  <c r="M13" i="1"/>
  <c r="M12" i="1"/>
  <c r="M11" i="1"/>
  <c r="M10" i="1"/>
  <c r="M8" i="1"/>
  <c r="M7" i="1"/>
  <c r="M6" i="1"/>
  <c r="M5" i="1"/>
  <c r="M4" i="1"/>
  <c r="M19" i="1" l="1"/>
  <c r="M9" i="1"/>
  <c r="M15" i="1"/>
  <c r="M21" i="1"/>
  <c r="B100" i="1"/>
</calcChain>
</file>

<file path=xl/sharedStrings.xml><?xml version="1.0" encoding="utf-8"?>
<sst xmlns="http://schemas.openxmlformats.org/spreadsheetml/2006/main" count="430" uniqueCount="155">
  <si>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</si>
  <si>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</si>
  <si>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</si>
  <si>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</si>
  <si>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</si>
  <si>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</si>
  <si>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</si>
  <si>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</si>
  <si>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</si>
  <si>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</si>
  <si>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</si>
  <si>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</si>
  <si>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</si>
  <si>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</si>
  <si>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</si>
  <si>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</si>
  <si>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</si>
  <si>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</si>
  <si>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</si>
  <si>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</si>
  <si>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</si>
  <si>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</si>
  <si>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</si>
  <si>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</si>
  <si>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</si>
  <si>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</si>
  <si>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</si>
  <si>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</si>
  <si>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</si>
  <si>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</si>
  <si>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</si>
  <si>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</si>
  <si>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</si>
  <si>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</si>
  <si>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</si>
  <si>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</si>
  <si>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</si>
  <si>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</si>
  <si>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</si>
  <si>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</si>
  <si>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</si>
  <si>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</si>
  <si>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</si>
  <si>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</si>
  <si>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</si>
  <si>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</si>
  <si>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</si>
  <si>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</si>
  <si>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</si>
  <si>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MFKZ.0435</t>
  </si>
  <si>
    <t>XS2914770545</t>
  </si>
  <si>
    <t>KZT</t>
  </si>
  <si>
    <t>29.09.2025</t>
  </si>
  <si>
    <t>06.10.2025</t>
  </si>
  <si>
    <t>МИНИСТЕРСТВО ФИНАНСОВ РК, ГЦБ, MUM120_0018</t>
  </si>
  <si>
    <t>KZKD00000907</t>
  </si>
  <si>
    <t>МИНИСТЕРСТВО ФИНАНСОВ РК, ГЦБ, KZ_24_3207</t>
  </si>
  <si>
    <t>XS3093655341</t>
  </si>
  <si>
    <t>МИНИСТЕРСТВО ФИНАНСОВ РК, ГЦБ, MUM144_0009</t>
  </si>
  <si>
    <t>KZKD00001178</t>
  </si>
  <si>
    <t>АКЦИОНЕРНОЕ ОБЩЕСТВО КАЗАХСТАНСКИЙ ФОНД УСТОЙЧИВОСТИ, ОБЛИГАЦИИ, KFUSb10</t>
  </si>
  <si>
    <t>KZ2C00007326</t>
  </si>
  <si>
    <t>03.10.2025</t>
  </si>
  <si>
    <t>АКЦИОНЕРНОЕ ОБЩЕСТВО КАЗАХСТАНСКИЙ ФОНД УСТОЙЧИВОСТИ, ОБЛИГАЦИИ, KFUSb5</t>
  </si>
  <si>
    <t>KZ2C00007110</t>
  </si>
  <si>
    <t>МИНИСТЕРСТВО ФИНАНСОВ РК, ГЦБ, MOM060_0054</t>
  </si>
  <si>
    <t>KZK200000737</t>
  </si>
  <si>
    <t>МИНИСТЕРСТВО ФИНАНСОВ РК, ГЦБ, KZ_10_2811</t>
  </si>
  <si>
    <t>XS1901718335</t>
  </si>
  <si>
    <t>МИНИСТЕРСТВО ФИНАНСОВ РК, ГЦБ, MUM216_0001</t>
  </si>
  <si>
    <t>KZKD00000972</t>
  </si>
  <si>
    <t>МИНИСТЕРСТВО ФИНАНСОВ РК, ГЦБ, MUM156_0007</t>
  </si>
  <si>
    <t>KZKD00001103</t>
  </si>
  <si>
    <t>АКЦИОНЕРНОЕ ОБЩЕСТВО КАЗАХСТАНСКИЙ ФОНД УСТОЙЧИВОСТИ, ОБЛИГАЦИИ, KFUSb1</t>
  </si>
  <si>
    <t>KZ2C00006906</t>
  </si>
  <si>
    <t>МИНИСТЕРСТВО ФИНАНСОВ РК, ГЦБ, MOM048_0054</t>
  </si>
  <si>
    <t>KZK200000729</t>
  </si>
  <si>
    <t>АКЦИОНЕРНОЕ ОБЩЕСТВО КАЗАХСТАНСКИЙ ФОНД УСТОЙЧИВОСТИ, ОБЛИГАЦИИ, KFUSb47</t>
  </si>
  <si>
    <t>KZ2C00008936</t>
  </si>
  <si>
    <t>ЕВРАЗИЙСКИЙ БАНК РАЗВИТИЯ, ОБЛИГАЦИИ, EABRb40</t>
  </si>
  <si>
    <t>KZ2D00009628</t>
  </si>
  <si>
    <t>АКЦИОНЕРНОЕ ОБЩЕСТВО КАЗАХСТАНСКИЙ ФОНД УСТОЙЧИВОСТИ, ОБЛИГАЦИИ, KFUSb48</t>
  </si>
  <si>
    <t>KZ2C00008944</t>
  </si>
  <si>
    <t>МИНИСТЕРСТВО ФИНАНСОВ РК, ГЦБ, MUM084_0018</t>
  </si>
  <si>
    <t>KZKD00001137</t>
  </si>
  <si>
    <t>МИНИСТЕРСТВО ФИНАНСОВ РК, ГЦБ, MUM120_0019</t>
  </si>
  <si>
    <t>KZKD00001129</t>
  </si>
  <si>
    <t>ГУ "Национальный Банк Республики Казахстан", ГЦБ, NTK028_2867</t>
  </si>
  <si>
    <t>KZW100014338</t>
  </si>
  <si>
    <t>МИНИСТЕРСТВО ФИНАНСОВ РК, ГЦБ, MUM180_0014</t>
  </si>
  <si>
    <t>KZKD00000956</t>
  </si>
  <si>
    <t>07.10.2025</t>
  </si>
  <si>
    <t>МИНИСТЕРСТВО ФИНАНСОВ РК, ГЦБ, MUM096_0014</t>
  </si>
  <si>
    <t>KZKD00001228</t>
  </si>
  <si>
    <t>МИНИСТЕРСТВО ФИНАНСОВ РК, ГЦБ, MOM048_0053</t>
  </si>
  <si>
    <t>KZK200000711</t>
  </si>
  <si>
    <t>13.10.2025</t>
  </si>
  <si>
    <t>МИНИСТЕРСТВО ФИНАНСОВ РК, ГЦБ, MUM072_0014</t>
  </si>
  <si>
    <t>KZKD00001210</t>
  </si>
  <si>
    <t>МИНИСТЕРСТВО ФИНАНСОВ РК, ГЦБ, MUM192_0003</t>
  </si>
  <si>
    <t>KZKD00000626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</si>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</sst>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"/>
  <sheetViews>
    <sheetView tabSelected="1" topLeftCell="A58" zoomScale="90" zoomScaleNormal="90" workbookViewId="0">
      <selection activeCell="D101" sqref="D101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101</v>
      </c>
      <c r="B4" s="13" t="s">
        <v>102</v>
      </c>
      <c r="C4" s="10">
        <v>3020000</v>
      </c>
      <c r="D4" s="11">
        <v>3020000000</v>
      </c>
      <c r="E4" s="3">
        <v>0.1067</v>
      </c>
      <c r="F4" s="4" t="s">
        <v>103</v>
      </c>
      <c r="G4" s="4" t="s">
        <v>104</v>
      </c>
      <c r="H4" s="11">
        <v>2930617060.0000029</v>
      </c>
      <c r="I4" s="11">
        <v>98.307000000000002</v>
      </c>
      <c r="J4" s="11">
        <v>100.52991666666701</v>
      </c>
      <c r="K4" s="11">
        <v>67132083.333333328</v>
      </c>
      <c r="L4" s="11">
        <v>3036003483.333333</v>
      </c>
      <c r="M4" s="6">
        <f t="shared" ref="M4:M22" si="0">L4/$L$24</f>
        <v>0.10351207676043535</v>
      </c>
    </row>
    <row r="5" spans="1:13" x14ac:dyDescent="0.25">
      <c r="A5" s="1" t="s">
        <v>105</v>
      </c>
      <c r="B5" s="13" t="s">
        <v>106</v>
      </c>
      <c r="C5" s="10">
        <v>2265000</v>
      </c>
      <c r="D5" s="11">
        <v>2265000000</v>
      </c>
      <c r="E5" s="3">
        <v>0.10550000000000001</v>
      </c>
      <c r="F5" s="4" t="s">
        <v>103</v>
      </c>
      <c r="G5" s="4" t="s">
        <v>107</v>
      </c>
      <c r="H5" s="11">
        <v>2039188560.0000031</v>
      </c>
      <c r="I5" s="11">
        <v>82.977800000000002</v>
      </c>
      <c r="J5" s="11">
        <v>84.970577777777763</v>
      </c>
      <c r="K5" s="11">
        <v>45136416.666666657</v>
      </c>
      <c r="L5" s="11">
        <v>1924583586.666666</v>
      </c>
      <c r="M5" s="6">
        <f t="shared" si="0"/>
        <v>6.5618384513902464E-2</v>
      </c>
    </row>
    <row r="6" spans="1:13" x14ac:dyDescent="0.25">
      <c r="A6" s="1" t="s">
        <v>105</v>
      </c>
      <c r="B6" s="13" t="s">
        <v>106</v>
      </c>
      <c r="C6" s="10">
        <v>1551646</v>
      </c>
      <c r="D6" s="11">
        <v>1551646000</v>
      </c>
      <c r="E6" s="3">
        <v>0.10550000000000001</v>
      </c>
      <c r="F6" s="4" t="s">
        <v>108</v>
      </c>
      <c r="G6" s="4" t="s">
        <v>107</v>
      </c>
      <c r="H6" s="11">
        <v>1395452658.7</v>
      </c>
      <c r="I6" s="11">
        <v>82.977800000000002</v>
      </c>
      <c r="J6" s="11">
        <v>84.970577777778033</v>
      </c>
      <c r="K6" s="11">
        <v>30920856.677777771</v>
      </c>
      <c r="L6" s="11">
        <v>1318442571.2657809</v>
      </c>
      <c r="M6" s="6">
        <f t="shared" si="0"/>
        <v>4.4952098833315225E-2</v>
      </c>
    </row>
    <row r="7" spans="1:13" x14ac:dyDescent="0.25">
      <c r="A7" s="1" t="s">
        <v>105</v>
      </c>
      <c r="B7" s="13" t="s">
        <v>106</v>
      </c>
      <c r="C7" s="10">
        <v>545692</v>
      </c>
      <c r="D7" s="11">
        <v>545692000</v>
      </c>
      <c r="E7" s="3">
        <v>0.10550000000000001</v>
      </c>
      <c r="F7" s="4" t="s">
        <v>109</v>
      </c>
      <c r="G7" s="4" t="s">
        <v>107</v>
      </c>
      <c r="H7" s="11">
        <v>449784993.92000002</v>
      </c>
      <c r="I7" s="11">
        <v>82.977800000000002</v>
      </c>
      <c r="J7" s="11">
        <v>84.970577777777763</v>
      </c>
      <c r="K7" s="11">
        <v>10874428.911111111</v>
      </c>
      <c r="L7" s="11">
        <v>463677645.28711098</v>
      </c>
      <c r="M7" s="6">
        <f t="shared" si="0"/>
        <v>1.5809018755920737E-2</v>
      </c>
    </row>
    <row r="8" spans="1:13" x14ac:dyDescent="0.25">
      <c r="A8" s="1" t="s">
        <v>83</v>
      </c>
      <c r="B8" s="13" t="s">
        <v>84</v>
      </c>
      <c r="C8" s="10">
        <v>2265000</v>
      </c>
      <c r="D8" s="11">
        <v>2265000000</v>
      </c>
      <c r="E8" s="3">
        <v>0.10400000000000001</v>
      </c>
      <c r="F8" s="4" t="s">
        <v>103</v>
      </c>
      <c r="G8" s="4" t="s">
        <v>110</v>
      </c>
      <c r="H8" s="11">
        <v>2073109200</v>
      </c>
      <c r="I8" s="11">
        <v>87.159599999999998</v>
      </c>
      <c r="J8" s="11">
        <v>92.186266666666654</v>
      </c>
      <c r="K8" s="11">
        <v>113854000</v>
      </c>
      <c r="L8" s="11">
        <v>2088018939.999999</v>
      </c>
      <c r="M8" s="6">
        <f t="shared" si="0"/>
        <v>7.1190688015028397E-2</v>
      </c>
    </row>
    <row r="9" spans="1:13" x14ac:dyDescent="0.25">
      <c r="A9" s="1" t="s">
        <v>111</v>
      </c>
      <c r="B9" s="13" t="s">
        <v>112</v>
      </c>
      <c r="C9" s="10">
        <v>2265000</v>
      </c>
      <c r="D9" s="11">
        <v>2265000000</v>
      </c>
      <c r="E9" s="3">
        <v>0.11</v>
      </c>
      <c r="F9" s="4" t="s">
        <v>103</v>
      </c>
      <c r="G9" s="4" t="s">
        <v>113</v>
      </c>
      <c r="H9" s="11">
        <v>2080889475</v>
      </c>
      <c r="I9" s="11">
        <v>85.047700000000006</v>
      </c>
      <c r="J9" s="11">
        <v>90.731033333333329</v>
      </c>
      <c r="K9" s="11">
        <v>128727500</v>
      </c>
      <c r="L9" s="11">
        <v>2055057904.999999</v>
      </c>
      <c r="M9" s="6">
        <f t="shared" si="0"/>
        <v>7.0066886542548723E-2</v>
      </c>
    </row>
    <row r="10" spans="1:13" x14ac:dyDescent="0.25">
      <c r="A10" s="1" t="s">
        <v>85</v>
      </c>
      <c r="B10" s="13" t="s">
        <v>86</v>
      </c>
      <c r="C10" s="10">
        <v>2265000</v>
      </c>
      <c r="D10" s="11">
        <v>2265000000</v>
      </c>
      <c r="E10" s="3">
        <v>0.10300000000000001</v>
      </c>
      <c r="F10" s="4" t="s">
        <v>103</v>
      </c>
      <c r="G10" s="4" t="s">
        <v>114</v>
      </c>
      <c r="H10" s="11">
        <v>1963990560.0000031</v>
      </c>
      <c r="I10" s="11">
        <v>77.456900000000005</v>
      </c>
      <c r="J10" s="11">
        <v>83.150511111111101</v>
      </c>
      <c r="K10" s="11">
        <v>128960291.666667</v>
      </c>
      <c r="L10" s="11">
        <v>1883359076.666666</v>
      </c>
      <c r="M10" s="6">
        <f t="shared" si="0"/>
        <v>6.4212841118792066E-2</v>
      </c>
    </row>
    <row r="11" spans="1:13" x14ac:dyDescent="0.25">
      <c r="A11" s="1" t="s">
        <v>115</v>
      </c>
      <c r="B11" s="13" t="s">
        <v>116</v>
      </c>
      <c r="C11" s="10">
        <v>2265000</v>
      </c>
      <c r="D11" s="11">
        <v>2265000000</v>
      </c>
      <c r="E11" s="3">
        <v>8.4500000000000006E-2</v>
      </c>
      <c r="F11" s="4" t="s">
        <v>103</v>
      </c>
      <c r="G11" s="4" t="s">
        <v>117</v>
      </c>
      <c r="H11" s="11">
        <v>1740247065.0000031</v>
      </c>
      <c r="I11" s="11">
        <v>67.905799999999999</v>
      </c>
      <c r="J11" s="11">
        <v>71.896077777777762</v>
      </c>
      <c r="K11" s="11">
        <v>90379791.666666657</v>
      </c>
      <c r="L11" s="11">
        <v>1628446161.666666</v>
      </c>
      <c r="M11" s="6">
        <f t="shared" si="0"/>
        <v>5.5521624073238608E-2</v>
      </c>
    </row>
    <row r="12" spans="1:13" x14ac:dyDescent="0.25">
      <c r="A12" s="1" t="s">
        <v>118</v>
      </c>
      <c r="B12" s="13" t="s">
        <v>119</v>
      </c>
      <c r="C12" s="10">
        <v>2265000</v>
      </c>
      <c r="D12" s="11">
        <v>2265000000</v>
      </c>
      <c r="E12" s="3">
        <v>0.10650000000000001</v>
      </c>
      <c r="F12" s="4" t="s">
        <v>103</v>
      </c>
      <c r="G12" s="4" t="s">
        <v>120</v>
      </c>
      <c r="H12" s="11">
        <v>1967775375</v>
      </c>
      <c r="I12" s="11">
        <v>75.712699999999998</v>
      </c>
      <c r="J12" s="11">
        <v>77.783533333333324</v>
      </c>
      <c r="K12" s="11">
        <v>46904375</v>
      </c>
      <c r="L12" s="11">
        <v>1761797030</v>
      </c>
      <c r="M12" s="6">
        <f t="shared" si="0"/>
        <v>6.0068201636395924E-2</v>
      </c>
    </row>
    <row r="13" spans="1:13" x14ac:dyDescent="0.25">
      <c r="A13" s="1" t="s">
        <v>121</v>
      </c>
      <c r="B13" s="13" t="s">
        <v>122</v>
      </c>
      <c r="C13" s="10">
        <v>2265000</v>
      </c>
      <c r="D13" s="11">
        <v>2265000000</v>
      </c>
      <c r="E13" s="3">
        <v>8.0700000000000008E-2</v>
      </c>
      <c r="F13" s="4" t="s">
        <v>103</v>
      </c>
      <c r="G13" s="4" t="s">
        <v>123</v>
      </c>
      <c r="H13" s="11">
        <v>1622351550</v>
      </c>
      <c r="I13" s="11">
        <v>61.325300000000006</v>
      </c>
      <c r="J13" s="11">
        <v>64.553300000000007</v>
      </c>
      <c r="K13" s="11">
        <v>73114200</v>
      </c>
      <c r="L13" s="11">
        <v>1462132245</v>
      </c>
      <c r="M13" s="6">
        <f t="shared" si="0"/>
        <v>4.9851176393308057E-2</v>
      </c>
    </row>
    <row r="14" spans="1:13" x14ac:dyDescent="0.25">
      <c r="A14" s="1" t="s">
        <v>124</v>
      </c>
      <c r="B14" s="13" t="s">
        <v>125</v>
      </c>
      <c r="C14" s="10">
        <v>2265000</v>
      </c>
      <c r="D14" s="11">
        <v>2265000000</v>
      </c>
      <c r="E14" s="3">
        <v>8.0700000000000008E-2</v>
      </c>
      <c r="F14" s="4" t="s">
        <v>103</v>
      </c>
      <c r="G14" s="4" t="s">
        <v>126</v>
      </c>
      <c r="H14" s="11">
        <v>1597764975</v>
      </c>
      <c r="I14" s="11">
        <v>59.876600000000003</v>
      </c>
      <c r="J14" s="11">
        <v>65.413516666666652</v>
      </c>
      <c r="K14" s="11">
        <v>125411162.5</v>
      </c>
      <c r="L14" s="11">
        <v>1481616152.5</v>
      </c>
      <c r="M14" s="6">
        <f t="shared" si="0"/>
        <v>5.0515477254557031E-2</v>
      </c>
    </row>
    <row r="15" spans="1:13" x14ac:dyDescent="0.25">
      <c r="A15" s="1" t="s">
        <v>127</v>
      </c>
      <c r="B15" s="13" t="s">
        <v>128</v>
      </c>
      <c r="C15" s="10">
        <v>3775000</v>
      </c>
      <c r="D15" s="11">
        <v>3775000000</v>
      </c>
      <c r="E15" s="3">
        <v>5.4900000000000004E-2</v>
      </c>
      <c r="F15" s="4" t="s">
        <v>103</v>
      </c>
      <c r="G15" s="4" t="s">
        <v>129</v>
      </c>
      <c r="H15" s="11">
        <v>3136670150</v>
      </c>
      <c r="I15" s="11">
        <v>85.867900000000006</v>
      </c>
      <c r="J15" s="11">
        <v>88.750149999999991</v>
      </c>
      <c r="K15" s="11">
        <v>108804937.5</v>
      </c>
      <c r="L15" s="11">
        <v>3350318162.5</v>
      </c>
      <c r="M15" s="6">
        <f t="shared" si="0"/>
        <v>0.11422858791578816</v>
      </c>
    </row>
    <row r="16" spans="1:13" x14ac:dyDescent="0.25">
      <c r="A16" s="1" t="s">
        <v>130</v>
      </c>
      <c r="B16" s="13" t="s">
        <v>131</v>
      </c>
      <c r="C16" s="10">
        <v>2803860</v>
      </c>
      <c r="D16" s="11">
        <v>2803860000</v>
      </c>
      <c r="E16" s="3">
        <v>5.5E-2</v>
      </c>
      <c r="F16" s="4" t="s">
        <v>132</v>
      </c>
      <c r="G16" s="4" t="s">
        <v>133</v>
      </c>
      <c r="H16" s="11">
        <v>1773018067.1400001</v>
      </c>
      <c r="I16" s="11">
        <v>56.735600000000005</v>
      </c>
      <c r="J16" s="11">
        <v>59.210599999999999</v>
      </c>
      <c r="K16" s="11">
        <v>69395535</v>
      </c>
      <c r="L16" s="11">
        <v>1660182329.1600001</v>
      </c>
      <c r="M16" s="6">
        <f t="shared" si="0"/>
        <v>5.6603663874472708E-2</v>
      </c>
    </row>
    <row r="17" spans="1:15" x14ac:dyDescent="0.25">
      <c r="A17" s="1" t="s">
        <v>134</v>
      </c>
      <c r="B17" s="13" t="s">
        <v>135</v>
      </c>
      <c r="C17" s="10">
        <v>1038480</v>
      </c>
      <c r="D17" s="11">
        <v>1038480000</v>
      </c>
      <c r="E17" s="3">
        <v>0.12</v>
      </c>
      <c r="F17" s="4" t="s">
        <v>132</v>
      </c>
      <c r="G17" s="4" t="s">
        <v>136</v>
      </c>
      <c r="H17" s="11">
        <v>979029096.96000004</v>
      </c>
      <c r="I17" s="11">
        <v>85.295500000000004</v>
      </c>
      <c r="J17" s="11">
        <v>92.262166666666658</v>
      </c>
      <c r="K17" s="11">
        <v>72347440</v>
      </c>
      <c r="L17" s="11">
        <v>958124148.39999998</v>
      </c>
      <c r="M17" s="6">
        <f t="shared" si="0"/>
        <v>3.2667097037160586E-2</v>
      </c>
    </row>
    <row r="18" spans="1:15" x14ac:dyDescent="0.25">
      <c r="A18" s="1" t="s">
        <v>65</v>
      </c>
      <c r="B18" s="13" t="s">
        <v>66</v>
      </c>
      <c r="C18" s="10">
        <v>506989</v>
      </c>
      <c r="D18" s="11">
        <v>506989000</v>
      </c>
      <c r="E18" s="3">
        <v>0.1535</v>
      </c>
      <c r="F18" s="4" t="s">
        <v>137</v>
      </c>
      <c r="G18" s="4" t="s">
        <v>138</v>
      </c>
      <c r="H18" s="11">
        <v>492216861.50999999</v>
      </c>
      <c r="I18" s="11">
        <v>98.226600000000005</v>
      </c>
      <c r="J18" s="11">
        <v>104.110766666667</v>
      </c>
      <c r="K18" s="11">
        <v>29832077.74166666</v>
      </c>
      <c r="L18" s="11">
        <v>527830134.81566697</v>
      </c>
      <c r="M18" s="6">
        <f t="shared" si="0"/>
        <v>1.7996288123992083E-2</v>
      </c>
    </row>
    <row r="19" spans="1:15" x14ac:dyDescent="0.25">
      <c r="A19" s="1" t="s">
        <v>139</v>
      </c>
      <c r="B19" s="13" t="s">
        <v>140</v>
      </c>
      <c r="C19" s="10">
        <v>2100000</v>
      </c>
      <c r="D19" s="11">
        <v>2100000000</v>
      </c>
      <c r="E19" s="3">
        <v>0.14300000000000002</v>
      </c>
      <c r="F19" s="4" t="s">
        <v>141</v>
      </c>
      <c r="G19" s="4" t="s">
        <v>142</v>
      </c>
      <c r="H19" s="11">
        <v>2100000000</v>
      </c>
      <c r="I19" s="11">
        <v>94.602061320642591</v>
      </c>
      <c r="J19" s="11">
        <v>95.912894653975926</v>
      </c>
      <c r="K19" s="11">
        <v>27527500</v>
      </c>
      <c r="L19" s="11">
        <v>2014170787.733494</v>
      </c>
      <c r="M19" s="6">
        <f t="shared" si="0"/>
        <v>6.8672846501344101E-2</v>
      </c>
    </row>
    <row r="20" spans="1:15" x14ac:dyDescent="0.25">
      <c r="A20" s="1" t="s">
        <v>143</v>
      </c>
      <c r="B20" s="13" t="s">
        <v>144</v>
      </c>
      <c r="C20" s="10">
        <v>1000000</v>
      </c>
      <c r="D20" s="11">
        <v>1000000000</v>
      </c>
      <c r="E20" s="3">
        <v>0.1389</v>
      </c>
      <c r="F20" s="4" t="s">
        <v>145</v>
      </c>
      <c r="G20" s="4" t="s">
        <v>146</v>
      </c>
      <c r="H20" s="11">
        <v>1000000000</v>
      </c>
      <c r="I20" s="11">
        <v>98.248577088391201</v>
      </c>
      <c r="J20" s="11">
        <v>103.18724375505801</v>
      </c>
      <c r="K20" s="11">
        <v>49386666.666666657</v>
      </c>
      <c r="L20" s="11">
        <v>1031872437.550578</v>
      </c>
      <c r="M20" s="6">
        <f t="shared" si="0"/>
        <v>3.5181533733104023E-2</v>
      </c>
    </row>
    <row r="21" spans="1:15" x14ac:dyDescent="0.25">
      <c r="A21" s="1" t="s">
        <v>147</v>
      </c>
      <c r="B21" s="13" t="s">
        <v>148</v>
      </c>
      <c r="C21" s="10">
        <v>165739</v>
      </c>
      <c r="D21" s="11">
        <v>165739000</v>
      </c>
      <c r="E21" s="3">
        <v>0.125</v>
      </c>
      <c r="F21" s="4" t="s">
        <v>149</v>
      </c>
      <c r="G21" s="4" t="s">
        <v>150</v>
      </c>
      <c r="H21" s="11">
        <v>159596381.18279999</v>
      </c>
      <c r="I21" s="11">
        <v>96.147081074225795</v>
      </c>
      <c r="J21" s="11">
        <v>100.10541440754601</v>
      </c>
      <c r="K21" s="11">
        <v>6560502.0833111098</v>
      </c>
      <c r="L21" s="11">
        <v>165913712.784922</v>
      </c>
      <c r="M21" s="6">
        <f t="shared" si="0"/>
        <v>5.6568027894835166E-3</v>
      </c>
    </row>
    <row r="22" spans="1:15" x14ac:dyDescent="0.25">
      <c r="A22" s="1" t="s">
        <v>151</v>
      </c>
      <c r="B22" s="13" t="s">
        <v>152</v>
      </c>
      <c r="C22" s="10">
        <v>494987</v>
      </c>
      <c r="D22" s="11">
        <v>494987000</v>
      </c>
      <c r="E22" s="3">
        <v>0.1701</v>
      </c>
      <c r="F22" s="4" t="s">
        <v>153</v>
      </c>
      <c r="G22" s="4" t="s">
        <v>154</v>
      </c>
      <c r="H22" s="11">
        <v>495088472.34249997</v>
      </c>
      <c r="I22" s="11">
        <v>101.9419</v>
      </c>
      <c r="J22" s="11">
        <v>104.72965000000001</v>
      </c>
      <c r="K22" s="11">
        <v>13799000.092499999</v>
      </c>
      <c r="L22" s="11">
        <v>518398152.6455</v>
      </c>
      <c r="M22" s="6">
        <f t="shared" si="0"/>
        <v>1.767470612721208E-2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1239068765.506367</v>
      </c>
      <c r="L24" s="22">
        <f>SUM(L4:L23)</f>
        <v>29329944662.976387</v>
      </c>
      <c r="M24" s="23"/>
      <c r="N24" s="26">
        <v>29329944662.976406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8117691.6100000003</v>
      </c>
      <c r="C27" s="51">
        <v>8117691.6100000003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349330</v>
      </c>
      <c r="D32" s="7" t="s">
        <v>51</v>
      </c>
      <c r="E32" s="34" t="s">
        <v>52</v>
      </c>
      <c r="F32" s="34" t="s">
        <v>53</v>
      </c>
      <c r="G32" s="15">
        <v>552.491300002863</v>
      </c>
      <c r="H32" s="15">
        <v>554.19191363467201</v>
      </c>
      <c r="I32" s="16">
        <f t="shared" ref="I32:I63" si="1">+C32*G32</f>
        <v>193001785.83000013</v>
      </c>
      <c r="J32" s="16">
        <f t="shared" ref="J32:J63" si="2">+C32*H32</f>
        <v>193595861.18999997</v>
      </c>
      <c r="K32" s="18">
        <v>0.1605</v>
      </c>
      <c r="L32" s="17">
        <v>84867.908571428605</v>
      </c>
      <c r="M32" s="17"/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349330</v>
      </c>
      <c r="D33" s="7" t="s">
        <v>51</v>
      </c>
      <c r="E33" s="34" t="s">
        <v>53</v>
      </c>
      <c r="F33" s="34" t="s">
        <v>53</v>
      </c>
      <c r="G33" s="15">
        <v>552.491300002863</v>
      </c>
      <c r="H33" s="15">
        <v>554.19191363467201</v>
      </c>
      <c r="I33" s="16">
        <f t="shared" si="1"/>
        <v>193001785.83000013</v>
      </c>
      <c r="J33" s="16">
        <f t="shared" si="2"/>
        <v>193595861.18999997</v>
      </c>
      <c r="K33" s="18">
        <v>0.1605</v>
      </c>
      <c r="L33" s="17"/>
      <c r="M33" s="17"/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1440400</v>
      </c>
      <c r="D34" s="7" t="s">
        <v>51</v>
      </c>
      <c r="E34" s="34" t="s">
        <v>52</v>
      </c>
      <c r="F34" s="34" t="s">
        <v>53</v>
      </c>
      <c r="G34" s="15">
        <v>903.21300000000008</v>
      </c>
      <c r="H34" s="15">
        <v>905.98450290197206</v>
      </c>
      <c r="I34" s="16">
        <f t="shared" si="1"/>
        <v>1300988005.2</v>
      </c>
      <c r="J34" s="16">
        <f t="shared" si="2"/>
        <v>1304980077.9800005</v>
      </c>
      <c r="K34" s="18">
        <v>0.16</v>
      </c>
      <c r="L34" s="17">
        <v>570296.1114285714</v>
      </c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1440400</v>
      </c>
      <c r="D35" s="7" t="s">
        <v>51</v>
      </c>
      <c r="E35" s="34" t="s">
        <v>53</v>
      </c>
      <c r="F35" s="34" t="s">
        <v>53</v>
      </c>
      <c r="G35" s="15">
        <v>903.21300000000008</v>
      </c>
      <c r="H35" s="15">
        <v>905.98450290197206</v>
      </c>
      <c r="I35" s="16">
        <f t="shared" si="1"/>
        <v>1300988005.2</v>
      </c>
      <c r="J35" s="16">
        <f t="shared" si="2"/>
        <v>1304980077.9800005</v>
      </c>
      <c r="K35" s="18">
        <v>0.16</v>
      </c>
      <c r="L35" s="17"/>
      <c r="M35" s="17"/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10632</v>
      </c>
      <c r="D36" s="7" t="s">
        <v>51</v>
      </c>
      <c r="E36" s="34" t="s">
        <v>52</v>
      </c>
      <c r="F36" s="34" t="s">
        <v>53</v>
      </c>
      <c r="G36" s="15">
        <v>564.63099981188907</v>
      </c>
      <c r="H36" s="15">
        <v>566.363566591422</v>
      </c>
      <c r="I36" s="16">
        <f t="shared" si="1"/>
        <v>6003156.7900000047</v>
      </c>
      <c r="J36" s="16">
        <f t="shared" si="2"/>
        <v>6021577.4399999985</v>
      </c>
      <c r="K36" s="18">
        <v>0.16</v>
      </c>
      <c r="L36" s="17">
        <v>2631.5214285714283</v>
      </c>
      <c r="M36" s="17"/>
      <c r="N36" s="35"/>
    </row>
    <row r="37" spans="1:14" s="36" customFormat="1" ht="12" customHeight="1" x14ac:dyDescent="0.25">
      <c r="A37" s="12" t="s">
        <v>56</v>
      </c>
      <c r="B37" s="7" t="s">
        <v>57</v>
      </c>
      <c r="C37" s="14">
        <v>10632</v>
      </c>
      <c r="D37" s="7" t="s">
        <v>51</v>
      </c>
      <c r="E37" s="34" t="s">
        <v>53</v>
      </c>
      <c r="F37" s="34" t="s">
        <v>53</v>
      </c>
      <c r="G37" s="15">
        <v>564.63099981188907</v>
      </c>
      <c r="H37" s="15">
        <v>566.363566591422</v>
      </c>
      <c r="I37" s="16">
        <f t="shared" si="1"/>
        <v>6003156.7900000047</v>
      </c>
      <c r="J37" s="16">
        <f t="shared" si="2"/>
        <v>6021577.4399999985</v>
      </c>
      <c r="K37" s="18">
        <v>0.16</v>
      </c>
      <c r="L37" s="17"/>
      <c r="M37" s="17"/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207636</v>
      </c>
      <c r="D38" s="7" t="s">
        <v>51</v>
      </c>
      <c r="E38" s="34" t="s">
        <v>53</v>
      </c>
      <c r="F38" s="34" t="s">
        <v>53</v>
      </c>
      <c r="G38" s="15">
        <v>751.34</v>
      </c>
      <c r="H38" s="15">
        <v>752.31879428422803</v>
      </c>
      <c r="I38" s="16">
        <f t="shared" si="1"/>
        <v>156005232.24000001</v>
      </c>
      <c r="J38" s="16">
        <f t="shared" si="2"/>
        <v>156208465.16999996</v>
      </c>
      <c r="K38" s="18">
        <v>0.158499</v>
      </c>
      <c r="L38" s="17"/>
      <c r="M38" s="17"/>
      <c r="N38" s="35"/>
    </row>
    <row r="39" spans="1:14" s="36" customFormat="1" ht="12" customHeight="1" x14ac:dyDescent="0.25">
      <c r="A39" s="12" t="s">
        <v>60</v>
      </c>
      <c r="B39" s="7" t="s">
        <v>61</v>
      </c>
      <c r="C39" s="14">
        <v>102606</v>
      </c>
      <c r="D39" s="7" t="s">
        <v>51</v>
      </c>
      <c r="E39" s="34" t="s">
        <v>62</v>
      </c>
      <c r="F39" s="34" t="s">
        <v>53</v>
      </c>
      <c r="G39" s="15">
        <v>955.15600003898408</v>
      </c>
      <c r="H39" s="15">
        <v>956.40031187260001</v>
      </c>
      <c r="I39" s="16">
        <f t="shared" si="1"/>
        <v>98004736.540000007</v>
      </c>
      <c r="J39" s="16">
        <f t="shared" si="2"/>
        <v>98132410.399999991</v>
      </c>
      <c r="K39" s="18">
        <v>0.158499</v>
      </c>
      <c r="L39" s="17">
        <v>42557.953333333302</v>
      </c>
      <c r="M39" s="17"/>
      <c r="N39" s="35"/>
    </row>
    <row r="40" spans="1:14" s="36" customFormat="1" ht="12" customHeight="1" x14ac:dyDescent="0.25">
      <c r="A40" s="12" t="s">
        <v>60</v>
      </c>
      <c r="B40" s="7" t="s">
        <v>61</v>
      </c>
      <c r="C40" s="14">
        <v>102606</v>
      </c>
      <c r="D40" s="7" t="s">
        <v>51</v>
      </c>
      <c r="E40" s="34" t="s">
        <v>53</v>
      </c>
      <c r="F40" s="34" t="s">
        <v>53</v>
      </c>
      <c r="G40" s="15">
        <v>955.15600003898408</v>
      </c>
      <c r="H40" s="15">
        <v>956.40031187260001</v>
      </c>
      <c r="I40" s="16">
        <f t="shared" si="1"/>
        <v>98004736.540000007</v>
      </c>
      <c r="J40" s="16">
        <f t="shared" si="2"/>
        <v>98132410.399999991</v>
      </c>
      <c r="K40" s="18">
        <v>0.158499</v>
      </c>
      <c r="L40" s="17"/>
      <c r="M40" s="17"/>
      <c r="N40" s="35"/>
    </row>
    <row r="41" spans="1:14" s="36" customFormat="1" ht="12" customHeight="1" x14ac:dyDescent="0.25">
      <c r="A41" s="12" t="s">
        <v>63</v>
      </c>
      <c r="B41" s="7" t="s">
        <v>64</v>
      </c>
      <c r="C41" s="14">
        <v>131216</v>
      </c>
      <c r="D41" s="7" t="s">
        <v>51</v>
      </c>
      <c r="E41" s="34" t="s">
        <v>62</v>
      </c>
      <c r="F41" s="34" t="s">
        <v>53</v>
      </c>
      <c r="G41" s="15">
        <v>1060.441000030484</v>
      </c>
      <c r="H41" s="15">
        <v>1061.822469896963</v>
      </c>
      <c r="I41" s="16">
        <f t="shared" si="1"/>
        <v>139146826.25999999</v>
      </c>
      <c r="J41" s="16">
        <f t="shared" si="2"/>
        <v>139328097.20999989</v>
      </c>
      <c r="K41" s="18">
        <v>0.158499</v>
      </c>
      <c r="L41" s="17">
        <v>60423.65</v>
      </c>
      <c r="M41" s="17"/>
      <c r="N41" s="35"/>
    </row>
    <row r="42" spans="1:14" s="36" customFormat="1" ht="12" customHeight="1" x14ac:dyDescent="0.25">
      <c r="A42" s="12" t="s">
        <v>63</v>
      </c>
      <c r="B42" s="7" t="s">
        <v>64</v>
      </c>
      <c r="C42" s="14">
        <v>131216</v>
      </c>
      <c r="D42" s="7" t="s">
        <v>51</v>
      </c>
      <c r="E42" s="34" t="s">
        <v>53</v>
      </c>
      <c r="F42" s="34" t="s">
        <v>53</v>
      </c>
      <c r="G42" s="15">
        <v>1060.441000030484</v>
      </c>
      <c r="H42" s="15">
        <v>1061.822469896963</v>
      </c>
      <c r="I42" s="16">
        <f t="shared" si="1"/>
        <v>139146826.25999999</v>
      </c>
      <c r="J42" s="16">
        <f t="shared" si="2"/>
        <v>139328097.20999989</v>
      </c>
      <c r="K42" s="18">
        <v>0.158499</v>
      </c>
      <c r="L42" s="17"/>
      <c r="M42" s="17"/>
      <c r="N42" s="35"/>
    </row>
    <row r="43" spans="1:14" s="36" customFormat="1" ht="12" customHeight="1" x14ac:dyDescent="0.25">
      <c r="A43" s="12" t="s">
        <v>65</v>
      </c>
      <c r="B43" s="7" t="s">
        <v>66</v>
      </c>
      <c r="C43" s="14">
        <v>8658</v>
      </c>
      <c r="D43" s="7" t="s">
        <v>51</v>
      </c>
      <c r="E43" s="34" t="s">
        <v>62</v>
      </c>
      <c r="F43" s="34" t="s">
        <v>53</v>
      </c>
      <c r="G43" s="15">
        <v>1039.7539997689989</v>
      </c>
      <c r="H43" s="15">
        <v>1041.1085204435201</v>
      </c>
      <c r="I43" s="16">
        <f t="shared" si="1"/>
        <v>9002190.1299999934</v>
      </c>
      <c r="J43" s="16">
        <f t="shared" si="2"/>
        <v>9013917.5699999966</v>
      </c>
      <c r="K43" s="18">
        <v>0.158499</v>
      </c>
      <c r="L43" s="17">
        <v>3909.1466666666661</v>
      </c>
      <c r="M43" s="17"/>
      <c r="N43" s="35"/>
    </row>
    <row r="44" spans="1:14" s="36" customFormat="1" ht="12" customHeight="1" x14ac:dyDescent="0.25">
      <c r="A44" s="12" t="s">
        <v>65</v>
      </c>
      <c r="B44" s="7" t="s">
        <v>66</v>
      </c>
      <c r="C44" s="14">
        <v>8658</v>
      </c>
      <c r="D44" s="7" t="s">
        <v>51</v>
      </c>
      <c r="E44" s="34" t="s">
        <v>53</v>
      </c>
      <c r="F44" s="34" t="s">
        <v>53</v>
      </c>
      <c r="G44" s="15">
        <v>1039.7539997689989</v>
      </c>
      <c r="H44" s="15">
        <v>1041.1085204435201</v>
      </c>
      <c r="I44" s="16">
        <f t="shared" si="1"/>
        <v>9002190.1299999934</v>
      </c>
      <c r="J44" s="16">
        <f t="shared" si="2"/>
        <v>9013917.5699999966</v>
      </c>
      <c r="K44" s="18">
        <v>0.158499</v>
      </c>
      <c r="L44" s="17"/>
      <c r="M44" s="17"/>
      <c r="N44" s="35"/>
    </row>
    <row r="45" spans="1:14" s="36" customFormat="1" ht="12" customHeight="1" x14ac:dyDescent="0.25">
      <c r="A45" s="12" t="s">
        <v>67</v>
      </c>
      <c r="B45" s="7" t="s">
        <v>68</v>
      </c>
      <c r="C45" s="14">
        <v>30840</v>
      </c>
      <c r="D45" s="7" t="s">
        <v>51</v>
      </c>
      <c r="E45" s="34" t="s">
        <v>62</v>
      </c>
      <c r="F45" s="34" t="s">
        <v>53</v>
      </c>
      <c r="G45" s="15">
        <v>648.51549999999997</v>
      </c>
      <c r="H45" s="15">
        <v>649.36034143968902</v>
      </c>
      <c r="I45" s="16">
        <f t="shared" si="1"/>
        <v>20000218.02</v>
      </c>
      <c r="J45" s="16">
        <f t="shared" si="2"/>
        <v>20026272.930000011</v>
      </c>
      <c r="K45" s="18">
        <v>0.158499</v>
      </c>
      <c r="L45" s="17">
        <v>8684.9699999999993</v>
      </c>
      <c r="M45" s="17"/>
      <c r="N45" s="35"/>
    </row>
    <row r="46" spans="1:14" s="36" customFormat="1" ht="12" customHeight="1" x14ac:dyDescent="0.25">
      <c r="A46" s="12" t="s">
        <v>67</v>
      </c>
      <c r="B46" s="7" t="s">
        <v>68</v>
      </c>
      <c r="C46" s="14">
        <v>30840</v>
      </c>
      <c r="D46" s="7" t="s">
        <v>51</v>
      </c>
      <c r="E46" s="34" t="s">
        <v>53</v>
      </c>
      <c r="F46" s="34" t="s">
        <v>53</v>
      </c>
      <c r="G46" s="15">
        <v>648.51549999999997</v>
      </c>
      <c r="H46" s="15">
        <v>649.36034143968902</v>
      </c>
      <c r="I46" s="16">
        <f t="shared" si="1"/>
        <v>20000218.02</v>
      </c>
      <c r="J46" s="16">
        <f t="shared" si="2"/>
        <v>20026272.930000011</v>
      </c>
      <c r="K46" s="18">
        <v>0.158499</v>
      </c>
      <c r="L46" s="17"/>
      <c r="M46" s="17"/>
      <c r="N46" s="35"/>
    </row>
    <row r="47" spans="1:14" s="36" customFormat="1" ht="12" customHeight="1" x14ac:dyDescent="0.25">
      <c r="A47" s="12" t="s">
        <v>69</v>
      </c>
      <c r="B47" s="7" t="s">
        <v>70</v>
      </c>
      <c r="C47" s="14">
        <v>32880</v>
      </c>
      <c r="D47" s="7" t="s">
        <v>51</v>
      </c>
      <c r="E47" s="34" t="s">
        <v>62</v>
      </c>
      <c r="F47" s="34" t="s">
        <v>53</v>
      </c>
      <c r="G47" s="15">
        <v>608.62599999999998</v>
      </c>
      <c r="H47" s="15">
        <v>609.41887621654507</v>
      </c>
      <c r="I47" s="16">
        <f t="shared" si="1"/>
        <v>20011622.879999999</v>
      </c>
      <c r="J47" s="16">
        <f t="shared" si="2"/>
        <v>20037692.650000002</v>
      </c>
      <c r="K47" s="18">
        <v>0.158499</v>
      </c>
      <c r="L47" s="17">
        <v>8689.9233333333341</v>
      </c>
      <c r="M47" s="17"/>
      <c r="N47" s="35"/>
    </row>
    <row r="48" spans="1:14" s="36" customFormat="1" ht="12" customHeight="1" x14ac:dyDescent="0.25">
      <c r="A48" s="12" t="s">
        <v>69</v>
      </c>
      <c r="B48" s="7" t="s">
        <v>70</v>
      </c>
      <c r="C48" s="14">
        <v>32880</v>
      </c>
      <c r="D48" s="7" t="s">
        <v>51</v>
      </c>
      <c r="E48" s="34" t="s">
        <v>53</v>
      </c>
      <c r="F48" s="34" t="s">
        <v>53</v>
      </c>
      <c r="G48" s="15">
        <v>608.62599999999998</v>
      </c>
      <c r="H48" s="15">
        <v>609.41887621654507</v>
      </c>
      <c r="I48" s="16">
        <f t="shared" si="1"/>
        <v>20011622.879999999</v>
      </c>
      <c r="J48" s="16">
        <f t="shared" si="2"/>
        <v>20037692.650000002</v>
      </c>
      <c r="K48" s="18">
        <v>0.158499</v>
      </c>
      <c r="L48" s="17"/>
      <c r="M48" s="17"/>
      <c r="N48" s="35"/>
    </row>
    <row r="49" spans="1:14" s="36" customFormat="1" ht="12" customHeight="1" x14ac:dyDescent="0.25">
      <c r="A49" s="12" t="s">
        <v>71</v>
      </c>
      <c r="B49" s="7" t="s">
        <v>72</v>
      </c>
      <c r="C49" s="14">
        <v>50739</v>
      </c>
      <c r="D49" s="7" t="s">
        <v>51</v>
      </c>
      <c r="E49" s="34" t="s">
        <v>62</v>
      </c>
      <c r="F49" s="34" t="s">
        <v>53</v>
      </c>
      <c r="G49" s="15">
        <v>769.14400007883501</v>
      </c>
      <c r="H49" s="15">
        <v>770.14598829302906</v>
      </c>
      <c r="I49" s="16">
        <f t="shared" si="1"/>
        <v>39025597.420000009</v>
      </c>
      <c r="J49" s="16">
        <f t="shared" si="2"/>
        <v>39076437.300000004</v>
      </c>
      <c r="K49" s="18">
        <v>0.158499</v>
      </c>
      <c r="L49" s="17">
        <v>16946.6266666667</v>
      </c>
      <c r="M49" s="17"/>
      <c r="N49" s="35"/>
    </row>
    <row r="50" spans="1:14" s="36" customFormat="1" ht="12" customHeight="1" x14ac:dyDescent="0.25">
      <c r="A50" s="12" t="s">
        <v>71</v>
      </c>
      <c r="B50" s="7" t="s">
        <v>72</v>
      </c>
      <c r="C50" s="14">
        <v>50739</v>
      </c>
      <c r="D50" s="7" t="s">
        <v>51</v>
      </c>
      <c r="E50" s="34" t="s">
        <v>53</v>
      </c>
      <c r="F50" s="34" t="s">
        <v>53</v>
      </c>
      <c r="G50" s="15">
        <v>769.14400007883501</v>
      </c>
      <c r="H50" s="15">
        <v>770.14598829302906</v>
      </c>
      <c r="I50" s="16">
        <f t="shared" si="1"/>
        <v>39025597.420000009</v>
      </c>
      <c r="J50" s="16">
        <f t="shared" si="2"/>
        <v>39076437.300000004</v>
      </c>
      <c r="K50" s="18">
        <v>0.158499</v>
      </c>
      <c r="L50" s="17"/>
      <c r="M50" s="17"/>
      <c r="N50" s="35"/>
    </row>
    <row r="51" spans="1:14" s="36" customFormat="1" ht="12" customHeight="1" x14ac:dyDescent="0.25">
      <c r="A51" s="12" t="s">
        <v>69</v>
      </c>
      <c r="B51" s="7" t="s">
        <v>70</v>
      </c>
      <c r="C51" s="14">
        <v>124944</v>
      </c>
      <c r="D51" s="7" t="s">
        <v>51</v>
      </c>
      <c r="E51" s="34" t="s">
        <v>62</v>
      </c>
      <c r="F51" s="34" t="s">
        <v>53</v>
      </c>
      <c r="G51" s="15">
        <v>608.62599996798599</v>
      </c>
      <c r="H51" s="15">
        <v>609.41887621654507</v>
      </c>
      <c r="I51" s="16">
        <f t="shared" si="1"/>
        <v>76044166.940000042</v>
      </c>
      <c r="J51" s="16">
        <f t="shared" si="2"/>
        <v>76143232.070000008</v>
      </c>
      <c r="K51" s="18">
        <v>0.158499</v>
      </c>
      <c r="L51" s="17">
        <v>33021.71</v>
      </c>
      <c r="M51" s="17"/>
      <c r="N51" s="35"/>
    </row>
    <row r="52" spans="1:14" s="36" customFormat="1" ht="12" customHeight="1" x14ac:dyDescent="0.25">
      <c r="A52" s="12" t="s">
        <v>69</v>
      </c>
      <c r="B52" s="7" t="s">
        <v>70</v>
      </c>
      <c r="C52" s="14">
        <v>124944</v>
      </c>
      <c r="D52" s="7" t="s">
        <v>51</v>
      </c>
      <c r="E52" s="34" t="s">
        <v>53</v>
      </c>
      <c r="F52" s="34" t="s">
        <v>53</v>
      </c>
      <c r="G52" s="15">
        <v>608.62599996798599</v>
      </c>
      <c r="H52" s="15">
        <v>609.41887621654507</v>
      </c>
      <c r="I52" s="16">
        <f t="shared" si="1"/>
        <v>76044166.940000042</v>
      </c>
      <c r="J52" s="16">
        <f t="shared" si="2"/>
        <v>76143232.070000008</v>
      </c>
      <c r="K52" s="18">
        <v>0.158499</v>
      </c>
      <c r="L52" s="17"/>
      <c r="M52" s="17"/>
      <c r="N52" s="35"/>
    </row>
    <row r="53" spans="1:14" s="36" customFormat="1" ht="12" customHeight="1" x14ac:dyDescent="0.25">
      <c r="A53" s="12" t="s">
        <v>73</v>
      </c>
      <c r="B53" s="7" t="s">
        <v>74</v>
      </c>
      <c r="C53" s="14">
        <v>26232</v>
      </c>
      <c r="D53" s="7" t="s">
        <v>51</v>
      </c>
      <c r="E53" s="34" t="s">
        <v>62</v>
      </c>
      <c r="F53" s="34" t="s">
        <v>53</v>
      </c>
      <c r="G53" s="15">
        <v>915.3950000000001</v>
      </c>
      <c r="H53" s="15">
        <v>916.58751372369602</v>
      </c>
      <c r="I53" s="16">
        <f t="shared" si="1"/>
        <v>24012641.640000004</v>
      </c>
      <c r="J53" s="16">
        <f t="shared" si="2"/>
        <v>24043923.659999993</v>
      </c>
      <c r="K53" s="18">
        <v>0.158499</v>
      </c>
      <c r="L53" s="17">
        <v>10427.34</v>
      </c>
      <c r="M53" s="17"/>
      <c r="N53" s="35"/>
    </row>
    <row r="54" spans="1:14" s="36" customFormat="1" ht="12" customHeight="1" x14ac:dyDescent="0.25">
      <c r="A54" s="12" t="s">
        <v>73</v>
      </c>
      <c r="B54" s="7" t="s">
        <v>74</v>
      </c>
      <c r="C54" s="14">
        <v>26232</v>
      </c>
      <c r="D54" s="7" t="s">
        <v>51</v>
      </c>
      <c r="E54" s="34" t="s">
        <v>53</v>
      </c>
      <c r="F54" s="34" t="s">
        <v>53</v>
      </c>
      <c r="G54" s="15">
        <v>915.3950000000001</v>
      </c>
      <c r="H54" s="15">
        <v>916.58751372369602</v>
      </c>
      <c r="I54" s="16">
        <f t="shared" si="1"/>
        <v>24012641.640000004</v>
      </c>
      <c r="J54" s="16">
        <f t="shared" si="2"/>
        <v>24043923.659999993</v>
      </c>
      <c r="K54" s="18">
        <v>0.158499</v>
      </c>
      <c r="L54" s="17"/>
      <c r="M54" s="17"/>
      <c r="N54" s="35"/>
    </row>
    <row r="55" spans="1:14" s="36" customFormat="1" ht="12" customHeight="1" x14ac:dyDescent="0.25">
      <c r="A55" s="12" t="s">
        <v>75</v>
      </c>
      <c r="B55" s="7" t="s">
        <v>76</v>
      </c>
      <c r="C55" s="14">
        <v>15255</v>
      </c>
      <c r="D55" s="7" t="s">
        <v>51</v>
      </c>
      <c r="E55" s="34" t="s">
        <v>62</v>
      </c>
      <c r="F55" s="34" t="s">
        <v>53</v>
      </c>
      <c r="G55" s="15">
        <v>983.97</v>
      </c>
      <c r="H55" s="15">
        <v>985.25184857423801</v>
      </c>
      <c r="I55" s="16">
        <f t="shared" si="1"/>
        <v>15010462.35</v>
      </c>
      <c r="J55" s="16">
        <f t="shared" si="2"/>
        <v>15030016.950000001</v>
      </c>
      <c r="K55" s="18">
        <v>0.158499</v>
      </c>
      <c r="L55" s="17">
        <v>6518.2</v>
      </c>
      <c r="M55" s="17"/>
      <c r="N55" s="35"/>
    </row>
    <row r="56" spans="1:14" s="36" customFormat="1" ht="12" customHeight="1" x14ac:dyDescent="0.25">
      <c r="A56" s="12" t="s">
        <v>75</v>
      </c>
      <c r="B56" s="7" t="s">
        <v>76</v>
      </c>
      <c r="C56" s="14">
        <v>15255</v>
      </c>
      <c r="D56" s="7" t="s">
        <v>51</v>
      </c>
      <c r="E56" s="34" t="s">
        <v>53</v>
      </c>
      <c r="F56" s="34" t="s">
        <v>53</v>
      </c>
      <c r="G56" s="15">
        <v>983.97</v>
      </c>
      <c r="H56" s="15">
        <v>985.25184857423801</v>
      </c>
      <c r="I56" s="16">
        <f t="shared" si="1"/>
        <v>15010462.35</v>
      </c>
      <c r="J56" s="16">
        <f t="shared" si="2"/>
        <v>15030016.950000001</v>
      </c>
      <c r="K56" s="18">
        <v>0.158499</v>
      </c>
      <c r="L56" s="17"/>
      <c r="M56" s="17"/>
      <c r="N56" s="35"/>
    </row>
    <row r="57" spans="1:14" s="36" customFormat="1" ht="12" customHeight="1" x14ac:dyDescent="0.25">
      <c r="A57" s="12" t="s">
        <v>60</v>
      </c>
      <c r="B57" s="7" t="s">
        <v>61</v>
      </c>
      <c r="C57" s="14">
        <v>40833</v>
      </c>
      <c r="D57" s="7" t="s">
        <v>51</v>
      </c>
      <c r="E57" s="34" t="s">
        <v>62</v>
      </c>
      <c r="F57" s="34" t="s">
        <v>53</v>
      </c>
      <c r="G57" s="15">
        <v>955.15600004897999</v>
      </c>
      <c r="H57" s="15">
        <v>956.40031175764705</v>
      </c>
      <c r="I57" s="16">
        <f t="shared" si="1"/>
        <v>39001884.950000003</v>
      </c>
      <c r="J57" s="16">
        <f t="shared" si="2"/>
        <v>39052693.93</v>
      </c>
      <c r="K57" s="18">
        <v>0.158499</v>
      </c>
      <c r="L57" s="17">
        <v>16936.3266666667</v>
      </c>
      <c r="M57" s="17"/>
      <c r="N57" s="35"/>
    </row>
    <row r="58" spans="1:14" s="36" customFormat="1" ht="12" customHeight="1" x14ac:dyDescent="0.25">
      <c r="A58" s="12" t="s">
        <v>60</v>
      </c>
      <c r="B58" s="7" t="s">
        <v>61</v>
      </c>
      <c r="C58" s="14">
        <v>40833</v>
      </c>
      <c r="D58" s="7" t="s">
        <v>51</v>
      </c>
      <c r="E58" s="34" t="s">
        <v>53</v>
      </c>
      <c r="F58" s="34" t="s">
        <v>53</v>
      </c>
      <c r="G58" s="15">
        <v>955.15600004897999</v>
      </c>
      <c r="H58" s="15">
        <v>956.40031175764705</v>
      </c>
      <c r="I58" s="16">
        <f t="shared" si="1"/>
        <v>39001884.950000003</v>
      </c>
      <c r="J58" s="16">
        <f t="shared" si="2"/>
        <v>39052693.93</v>
      </c>
      <c r="K58" s="18">
        <v>0.158499</v>
      </c>
      <c r="L58" s="17"/>
      <c r="M58" s="17"/>
      <c r="N58" s="35"/>
    </row>
    <row r="59" spans="1:14" s="36" customFormat="1" ht="12" customHeight="1" x14ac:dyDescent="0.25">
      <c r="A59" s="12" t="s">
        <v>65</v>
      </c>
      <c r="B59" s="7" t="s">
        <v>66</v>
      </c>
      <c r="C59" s="14">
        <v>89466</v>
      </c>
      <c r="D59" s="7" t="s">
        <v>51</v>
      </c>
      <c r="E59" s="34" t="s">
        <v>62</v>
      </c>
      <c r="F59" s="34" t="s">
        <v>53</v>
      </c>
      <c r="G59" s="15">
        <v>1039.7539999552901</v>
      </c>
      <c r="H59" s="15">
        <v>1041.1085202199711</v>
      </c>
      <c r="I59" s="16">
        <f t="shared" si="1"/>
        <v>93022631.359999985</v>
      </c>
      <c r="J59" s="16">
        <f t="shared" si="2"/>
        <v>93143814.86999993</v>
      </c>
      <c r="K59" s="18">
        <v>0.158499</v>
      </c>
      <c r="L59" s="17">
        <v>40394.503333333298</v>
      </c>
      <c r="M59" s="17"/>
      <c r="N59" s="35"/>
    </row>
    <row r="60" spans="1:14" s="36" customFormat="1" ht="12" customHeight="1" x14ac:dyDescent="0.25">
      <c r="A60" s="12" t="s">
        <v>65</v>
      </c>
      <c r="B60" s="7" t="s">
        <v>66</v>
      </c>
      <c r="C60" s="14">
        <v>89466</v>
      </c>
      <c r="D60" s="7" t="s">
        <v>51</v>
      </c>
      <c r="E60" s="34" t="s">
        <v>53</v>
      </c>
      <c r="F60" s="34" t="s">
        <v>53</v>
      </c>
      <c r="G60" s="15">
        <v>1039.7539999552901</v>
      </c>
      <c r="H60" s="15">
        <v>1041.1085202199711</v>
      </c>
      <c r="I60" s="16">
        <f t="shared" si="1"/>
        <v>93022631.359999985</v>
      </c>
      <c r="J60" s="16">
        <f t="shared" si="2"/>
        <v>93143814.86999993</v>
      </c>
      <c r="K60" s="18">
        <v>0.158499</v>
      </c>
      <c r="L60" s="17"/>
      <c r="M60" s="17"/>
      <c r="N60" s="35"/>
    </row>
    <row r="61" spans="1:14" s="36" customFormat="1" ht="12" customHeight="1" x14ac:dyDescent="0.25">
      <c r="A61" s="12" t="s">
        <v>77</v>
      </c>
      <c r="B61" s="7" t="s">
        <v>78</v>
      </c>
      <c r="C61" s="14">
        <v>26992</v>
      </c>
      <c r="D61" s="7" t="s">
        <v>51</v>
      </c>
      <c r="E61" s="34" t="s">
        <v>62</v>
      </c>
      <c r="F61" s="34" t="s">
        <v>53</v>
      </c>
      <c r="G61" s="15">
        <v>1037.9730001481921</v>
      </c>
      <c r="H61" s="15">
        <v>1039.325200429756</v>
      </c>
      <c r="I61" s="16">
        <f t="shared" si="1"/>
        <v>28016967.220000003</v>
      </c>
      <c r="J61" s="16">
        <f t="shared" si="2"/>
        <v>28053465.809999976</v>
      </c>
      <c r="K61" s="18">
        <v>0.158499</v>
      </c>
      <c r="L61" s="17">
        <v>12166.196666666699</v>
      </c>
      <c r="M61" s="17"/>
      <c r="N61" s="35"/>
    </row>
    <row r="62" spans="1:14" s="36" customFormat="1" ht="12" customHeight="1" x14ac:dyDescent="0.25">
      <c r="A62" s="12" t="s">
        <v>77</v>
      </c>
      <c r="B62" s="7" t="s">
        <v>78</v>
      </c>
      <c r="C62" s="14">
        <v>26992</v>
      </c>
      <c r="D62" s="7" t="s">
        <v>51</v>
      </c>
      <c r="E62" s="34" t="s">
        <v>53</v>
      </c>
      <c r="F62" s="34" t="s">
        <v>53</v>
      </c>
      <c r="G62" s="15">
        <v>1037.9730001481921</v>
      </c>
      <c r="H62" s="15">
        <v>1039.325200429756</v>
      </c>
      <c r="I62" s="16">
        <f t="shared" si="1"/>
        <v>28016967.220000003</v>
      </c>
      <c r="J62" s="16">
        <f t="shared" si="2"/>
        <v>28053465.809999976</v>
      </c>
      <c r="K62" s="18">
        <v>0.158499</v>
      </c>
      <c r="L62" s="17"/>
      <c r="M62" s="17"/>
      <c r="N62" s="35"/>
    </row>
    <row r="63" spans="1:14" s="36" customFormat="1" ht="12" customHeight="1" x14ac:dyDescent="0.25">
      <c r="A63" s="12" t="s">
        <v>79</v>
      </c>
      <c r="B63" s="7" t="s">
        <v>80</v>
      </c>
      <c r="C63" s="14">
        <v>34884</v>
      </c>
      <c r="D63" s="7" t="s">
        <v>51</v>
      </c>
      <c r="E63" s="34" t="s">
        <v>62</v>
      </c>
      <c r="F63" s="34" t="s">
        <v>53</v>
      </c>
      <c r="G63" s="15">
        <v>544.81380002293304</v>
      </c>
      <c r="H63" s="15">
        <v>545.52354603829804</v>
      </c>
      <c r="I63" s="16">
        <f t="shared" si="1"/>
        <v>19005284.599999998</v>
      </c>
      <c r="J63" s="16">
        <f t="shared" si="2"/>
        <v>19030043.379999988</v>
      </c>
      <c r="K63" s="18">
        <v>0.158499</v>
      </c>
      <c r="L63" s="17">
        <v>8252.9266666666663</v>
      </c>
      <c r="M63" s="17"/>
      <c r="N63" s="35"/>
    </row>
    <row r="64" spans="1:14" s="36" customFormat="1" ht="12" customHeight="1" x14ac:dyDescent="0.25">
      <c r="A64" s="12" t="s">
        <v>79</v>
      </c>
      <c r="B64" s="7" t="s">
        <v>80</v>
      </c>
      <c r="C64" s="14">
        <v>34884</v>
      </c>
      <c r="D64" s="7" t="s">
        <v>51</v>
      </c>
      <c r="E64" s="34" t="s">
        <v>53</v>
      </c>
      <c r="F64" s="34" t="s">
        <v>53</v>
      </c>
      <c r="G64" s="15">
        <v>544.81380002293304</v>
      </c>
      <c r="H64" s="15">
        <v>545.52354603829804</v>
      </c>
      <c r="I64" s="16">
        <f t="shared" ref="I64:I91" si="3">+C64*G64</f>
        <v>19005284.599999998</v>
      </c>
      <c r="J64" s="16">
        <f t="shared" ref="J64:J91" si="4">+C64*H64</f>
        <v>19030043.379999988</v>
      </c>
      <c r="K64" s="18">
        <v>0.158499</v>
      </c>
      <c r="L64" s="17"/>
      <c r="M64" s="17"/>
      <c r="N64" s="35"/>
    </row>
    <row r="65" spans="1:14" s="36" customFormat="1" ht="12" customHeight="1" x14ac:dyDescent="0.25">
      <c r="A65" s="12" t="s">
        <v>81</v>
      </c>
      <c r="B65" s="7" t="s">
        <v>82</v>
      </c>
      <c r="C65" s="14">
        <v>28920</v>
      </c>
      <c r="D65" s="7" t="s">
        <v>51</v>
      </c>
      <c r="E65" s="34" t="s">
        <v>62</v>
      </c>
      <c r="F65" s="34" t="s">
        <v>53</v>
      </c>
      <c r="G65" s="15">
        <v>1038.384</v>
      </c>
      <c r="H65" s="15">
        <v>1039.7367354771779</v>
      </c>
      <c r="I65" s="16">
        <f t="shared" si="3"/>
        <v>30030065.280000001</v>
      </c>
      <c r="J65" s="16">
        <f t="shared" si="4"/>
        <v>30069186.389999986</v>
      </c>
      <c r="K65" s="18">
        <v>0.158499</v>
      </c>
      <c r="L65" s="17">
        <v>13040.37</v>
      </c>
      <c r="M65" s="17"/>
      <c r="N65" s="35"/>
    </row>
    <row r="66" spans="1:14" s="36" customFormat="1" ht="12" customHeight="1" x14ac:dyDescent="0.25">
      <c r="A66" s="12" t="s">
        <v>81</v>
      </c>
      <c r="B66" s="7" t="s">
        <v>82</v>
      </c>
      <c r="C66" s="14">
        <v>28920</v>
      </c>
      <c r="D66" s="7" t="s">
        <v>51</v>
      </c>
      <c r="E66" s="34" t="s">
        <v>53</v>
      </c>
      <c r="F66" s="34" t="s">
        <v>53</v>
      </c>
      <c r="G66" s="15">
        <v>1038.384</v>
      </c>
      <c r="H66" s="15">
        <v>1039.7367354771779</v>
      </c>
      <c r="I66" s="16">
        <f t="shared" si="3"/>
        <v>30030065.280000001</v>
      </c>
      <c r="J66" s="16">
        <f t="shared" si="4"/>
        <v>30069186.389999986</v>
      </c>
      <c r="K66" s="18">
        <v>0.158499</v>
      </c>
      <c r="L66" s="17"/>
      <c r="M66" s="17"/>
      <c r="N66" s="35"/>
    </row>
    <row r="67" spans="1:14" s="36" customFormat="1" ht="12" customHeight="1" x14ac:dyDescent="0.25">
      <c r="A67" s="12" t="s">
        <v>60</v>
      </c>
      <c r="B67" s="7" t="s">
        <v>61</v>
      </c>
      <c r="C67" s="14">
        <v>38739</v>
      </c>
      <c r="D67" s="7" t="s">
        <v>51</v>
      </c>
      <c r="E67" s="34" t="s">
        <v>62</v>
      </c>
      <c r="F67" s="34" t="s">
        <v>53</v>
      </c>
      <c r="G67" s="15">
        <v>955.15599989674502</v>
      </c>
      <c r="H67" s="15">
        <v>956.40031183045505</v>
      </c>
      <c r="I67" s="16">
        <f t="shared" si="3"/>
        <v>37001788.280000009</v>
      </c>
      <c r="J67" s="16">
        <f t="shared" si="4"/>
        <v>37049991.68</v>
      </c>
      <c r="K67" s="18">
        <v>0.158499</v>
      </c>
      <c r="L67" s="17">
        <v>16067.8</v>
      </c>
      <c r="M67" s="17"/>
      <c r="N67" s="35"/>
    </row>
    <row r="68" spans="1:14" s="36" customFormat="1" ht="12" customHeight="1" x14ac:dyDescent="0.25">
      <c r="A68" s="12" t="s">
        <v>60</v>
      </c>
      <c r="B68" s="7" t="s">
        <v>61</v>
      </c>
      <c r="C68" s="14">
        <v>38739</v>
      </c>
      <c r="D68" s="7" t="s">
        <v>51</v>
      </c>
      <c r="E68" s="34" t="s">
        <v>53</v>
      </c>
      <c r="F68" s="34" t="s">
        <v>53</v>
      </c>
      <c r="G68" s="15">
        <v>955.15599989674502</v>
      </c>
      <c r="H68" s="15">
        <v>956.40031183045505</v>
      </c>
      <c r="I68" s="16">
        <f t="shared" si="3"/>
        <v>37001788.280000009</v>
      </c>
      <c r="J68" s="16">
        <f t="shared" si="4"/>
        <v>37049991.68</v>
      </c>
      <c r="K68" s="18">
        <v>0.158499</v>
      </c>
      <c r="L68" s="17"/>
      <c r="M68" s="17"/>
      <c r="N68" s="35"/>
    </row>
    <row r="69" spans="1:14" s="36" customFormat="1" ht="12" customHeight="1" x14ac:dyDescent="0.25">
      <c r="A69" s="12" t="s">
        <v>75</v>
      </c>
      <c r="B69" s="7" t="s">
        <v>76</v>
      </c>
      <c r="C69" s="14">
        <v>29493</v>
      </c>
      <c r="D69" s="7" t="s">
        <v>51</v>
      </c>
      <c r="E69" s="34" t="s">
        <v>62</v>
      </c>
      <c r="F69" s="34" t="s">
        <v>53</v>
      </c>
      <c r="G69" s="15">
        <v>983.97</v>
      </c>
      <c r="H69" s="15">
        <v>985.25184857423801</v>
      </c>
      <c r="I69" s="16">
        <f t="shared" si="3"/>
        <v>29020227.210000001</v>
      </c>
      <c r="J69" s="16">
        <f t="shared" si="4"/>
        <v>29058032.770000003</v>
      </c>
      <c r="K69" s="18">
        <v>0.158499</v>
      </c>
      <c r="L69" s="17">
        <v>12601.8533333333</v>
      </c>
      <c r="M69" s="17"/>
      <c r="N69" s="35"/>
    </row>
    <row r="70" spans="1:14" s="36" customFormat="1" ht="12" customHeight="1" x14ac:dyDescent="0.25">
      <c r="A70" s="12" t="s">
        <v>75</v>
      </c>
      <c r="B70" s="7" t="s">
        <v>76</v>
      </c>
      <c r="C70" s="14">
        <v>29493</v>
      </c>
      <c r="D70" s="7" t="s">
        <v>51</v>
      </c>
      <c r="E70" s="34" t="s">
        <v>53</v>
      </c>
      <c r="F70" s="34" t="s">
        <v>53</v>
      </c>
      <c r="G70" s="15">
        <v>983.97</v>
      </c>
      <c r="H70" s="15">
        <v>985.25184857423801</v>
      </c>
      <c r="I70" s="16">
        <f t="shared" si="3"/>
        <v>29020227.210000001</v>
      </c>
      <c r="J70" s="16">
        <f t="shared" si="4"/>
        <v>29058032.770000003</v>
      </c>
      <c r="K70" s="18">
        <v>0.158499</v>
      </c>
      <c r="L70" s="17"/>
      <c r="M70" s="17"/>
      <c r="N70" s="35"/>
    </row>
    <row r="71" spans="1:14" s="36" customFormat="1" ht="12" customHeight="1" x14ac:dyDescent="0.25">
      <c r="A71" s="12" t="s">
        <v>83</v>
      </c>
      <c r="B71" s="7" t="s">
        <v>84</v>
      </c>
      <c r="C71" s="14">
        <v>4348</v>
      </c>
      <c r="D71" s="7" t="s">
        <v>51</v>
      </c>
      <c r="E71" s="34" t="s">
        <v>62</v>
      </c>
      <c r="F71" s="34" t="s">
        <v>53</v>
      </c>
      <c r="G71" s="15">
        <v>920.66500000000008</v>
      </c>
      <c r="H71" s="15">
        <v>921.86437902483908</v>
      </c>
      <c r="I71" s="16">
        <f t="shared" si="3"/>
        <v>4003051.4200000004</v>
      </c>
      <c r="J71" s="16">
        <f t="shared" si="4"/>
        <v>4008266.3200000003</v>
      </c>
      <c r="K71" s="18">
        <v>0.158499</v>
      </c>
      <c r="L71" s="17">
        <v>1738.3</v>
      </c>
      <c r="M71" s="17"/>
      <c r="N71" s="35"/>
    </row>
    <row r="72" spans="1:14" s="36" customFormat="1" ht="12" customHeight="1" x14ac:dyDescent="0.25">
      <c r="A72" s="12" t="s">
        <v>83</v>
      </c>
      <c r="B72" s="7" t="s">
        <v>84</v>
      </c>
      <c r="C72" s="14">
        <v>4348</v>
      </c>
      <c r="D72" s="7" t="s">
        <v>51</v>
      </c>
      <c r="E72" s="34" t="s">
        <v>53</v>
      </c>
      <c r="F72" s="34" t="s">
        <v>53</v>
      </c>
      <c r="G72" s="15">
        <v>920.66500000000008</v>
      </c>
      <c r="H72" s="15">
        <v>921.86437902483908</v>
      </c>
      <c r="I72" s="16">
        <f t="shared" si="3"/>
        <v>4003051.4200000004</v>
      </c>
      <c r="J72" s="16">
        <f t="shared" si="4"/>
        <v>4008266.3200000003</v>
      </c>
      <c r="K72" s="18">
        <v>0.158499</v>
      </c>
      <c r="L72" s="17"/>
      <c r="M72" s="17"/>
      <c r="N72" s="35"/>
    </row>
    <row r="73" spans="1:14" s="36" customFormat="1" ht="12" customHeight="1" x14ac:dyDescent="0.25">
      <c r="A73" s="12" t="s">
        <v>49</v>
      </c>
      <c r="B73" s="7" t="s">
        <v>50</v>
      </c>
      <c r="C73" s="14">
        <v>1019466</v>
      </c>
      <c r="D73" s="7" t="s">
        <v>51</v>
      </c>
      <c r="E73" s="34" t="s">
        <v>62</v>
      </c>
      <c r="F73" s="34" t="s">
        <v>53</v>
      </c>
      <c r="G73" s="15">
        <v>556.40779999529207</v>
      </c>
      <c r="H73" s="15">
        <v>557.13264996576606</v>
      </c>
      <c r="I73" s="16">
        <f t="shared" si="3"/>
        <v>567238834.23000038</v>
      </c>
      <c r="J73" s="16">
        <f t="shared" si="4"/>
        <v>567977794.12999964</v>
      </c>
      <c r="K73" s="18">
        <v>0.158499</v>
      </c>
      <c r="L73" s="17">
        <v>246319.96666666662</v>
      </c>
      <c r="M73" s="17"/>
      <c r="N73" s="35"/>
    </row>
    <row r="74" spans="1:14" s="36" customFormat="1" ht="12" customHeight="1" x14ac:dyDescent="0.25">
      <c r="A74" s="12" t="s">
        <v>49</v>
      </c>
      <c r="B74" s="7" t="s">
        <v>50</v>
      </c>
      <c r="C74" s="14">
        <v>1019466</v>
      </c>
      <c r="D74" s="7" t="s">
        <v>51</v>
      </c>
      <c r="E74" s="34" t="s">
        <v>53</v>
      </c>
      <c r="F74" s="34" t="s">
        <v>53</v>
      </c>
      <c r="G74" s="15">
        <v>556.40779999529207</v>
      </c>
      <c r="H74" s="15">
        <v>557.13264996576606</v>
      </c>
      <c r="I74" s="16">
        <f t="shared" si="3"/>
        <v>567238834.23000038</v>
      </c>
      <c r="J74" s="16">
        <f t="shared" si="4"/>
        <v>567977794.12999964</v>
      </c>
      <c r="K74" s="18">
        <v>0.158499</v>
      </c>
      <c r="L74" s="17"/>
      <c r="M74" s="17"/>
      <c r="N74" s="35"/>
    </row>
    <row r="75" spans="1:14" s="36" customFormat="1" ht="12" customHeight="1" x14ac:dyDescent="0.25">
      <c r="A75" s="12" t="s">
        <v>67</v>
      </c>
      <c r="B75" s="7" t="s">
        <v>68</v>
      </c>
      <c r="C75" s="14">
        <v>18504</v>
      </c>
      <c r="D75" s="7" t="s">
        <v>51</v>
      </c>
      <c r="E75" s="34" t="s">
        <v>62</v>
      </c>
      <c r="F75" s="34" t="s">
        <v>53</v>
      </c>
      <c r="G75" s="15">
        <v>648.51549989191506</v>
      </c>
      <c r="H75" s="15">
        <v>649.36034154777303</v>
      </c>
      <c r="I75" s="16">
        <f t="shared" si="3"/>
        <v>12000130.809999997</v>
      </c>
      <c r="J75" s="16">
        <f t="shared" si="4"/>
        <v>12015763.759999992</v>
      </c>
      <c r="K75" s="18">
        <v>0.158499</v>
      </c>
      <c r="L75" s="17">
        <v>5210.9833333333336</v>
      </c>
      <c r="M75" s="17"/>
      <c r="N75" s="35"/>
    </row>
    <row r="76" spans="1:14" s="36" customFormat="1" ht="12" customHeight="1" x14ac:dyDescent="0.25">
      <c r="A76" s="12" t="s">
        <v>67</v>
      </c>
      <c r="B76" s="7" t="s">
        <v>68</v>
      </c>
      <c r="C76" s="14">
        <v>18504</v>
      </c>
      <c r="D76" s="7" t="s">
        <v>51</v>
      </c>
      <c r="E76" s="34" t="s">
        <v>53</v>
      </c>
      <c r="F76" s="34" t="s">
        <v>53</v>
      </c>
      <c r="G76" s="15">
        <v>648.51549989191506</v>
      </c>
      <c r="H76" s="15">
        <v>649.36034154777303</v>
      </c>
      <c r="I76" s="16">
        <f t="shared" si="3"/>
        <v>12000130.809999997</v>
      </c>
      <c r="J76" s="16">
        <f t="shared" si="4"/>
        <v>12015763.759999992</v>
      </c>
      <c r="K76" s="18">
        <v>0.158499</v>
      </c>
      <c r="L76" s="17"/>
      <c r="M76" s="17"/>
      <c r="N76" s="35"/>
    </row>
    <row r="77" spans="1:14" s="36" customFormat="1" ht="12" customHeight="1" x14ac:dyDescent="0.25">
      <c r="A77" s="12" t="s">
        <v>85</v>
      </c>
      <c r="B77" s="7" t="s">
        <v>86</v>
      </c>
      <c r="C77" s="14">
        <v>159060</v>
      </c>
      <c r="D77" s="7" t="s">
        <v>51</v>
      </c>
      <c r="E77" s="34" t="s">
        <v>62</v>
      </c>
      <c r="F77" s="34" t="s">
        <v>53</v>
      </c>
      <c r="G77" s="15">
        <v>830.423</v>
      </c>
      <c r="H77" s="15">
        <v>831.504818181818</v>
      </c>
      <c r="I77" s="16">
        <f t="shared" si="3"/>
        <v>132087082.38</v>
      </c>
      <c r="J77" s="16">
        <f t="shared" si="4"/>
        <v>132259156.37999997</v>
      </c>
      <c r="K77" s="18">
        <v>0.158499</v>
      </c>
      <c r="L77" s="17">
        <v>57358</v>
      </c>
      <c r="M77" s="17"/>
      <c r="N77" s="35"/>
    </row>
    <row r="78" spans="1:14" s="36" customFormat="1" ht="12" customHeight="1" x14ac:dyDescent="0.25">
      <c r="A78" s="12" t="s">
        <v>85</v>
      </c>
      <c r="B78" s="7" t="s">
        <v>86</v>
      </c>
      <c r="C78" s="14">
        <v>159060</v>
      </c>
      <c r="D78" s="7" t="s">
        <v>51</v>
      </c>
      <c r="E78" s="34" t="s">
        <v>53</v>
      </c>
      <c r="F78" s="34" t="s">
        <v>53</v>
      </c>
      <c r="G78" s="15">
        <v>830.423</v>
      </c>
      <c r="H78" s="15">
        <v>831.504818181818</v>
      </c>
      <c r="I78" s="16">
        <f t="shared" si="3"/>
        <v>132087082.38</v>
      </c>
      <c r="J78" s="16">
        <f t="shared" si="4"/>
        <v>132259156.37999997</v>
      </c>
      <c r="K78" s="18">
        <v>0.158499</v>
      </c>
      <c r="L78" s="17"/>
      <c r="M78" s="17"/>
      <c r="N78" s="35"/>
    </row>
    <row r="79" spans="1:14" s="36" customFormat="1" ht="12" customHeight="1" x14ac:dyDescent="0.25">
      <c r="A79" s="12" t="s">
        <v>67</v>
      </c>
      <c r="B79" s="7" t="s">
        <v>68</v>
      </c>
      <c r="C79" s="14">
        <v>198918</v>
      </c>
      <c r="D79" s="7" t="s">
        <v>51</v>
      </c>
      <c r="E79" s="34" t="s">
        <v>62</v>
      </c>
      <c r="F79" s="34" t="s">
        <v>53</v>
      </c>
      <c r="G79" s="15">
        <v>648.51550000502698</v>
      </c>
      <c r="H79" s="15">
        <v>649.36034159804501</v>
      </c>
      <c r="I79" s="16">
        <f t="shared" si="3"/>
        <v>129001406.22999996</v>
      </c>
      <c r="J79" s="16">
        <f t="shared" si="4"/>
        <v>129169460.42999992</v>
      </c>
      <c r="K79" s="18">
        <v>0.158499</v>
      </c>
      <c r="L79" s="17">
        <v>56018.066666666702</v>
      </c>
      <c r="M79" s="17"/>
      <c r="N79" s="35"/>
    </row>
    <row r="80" spans="1:14" s="36" customFormat="1" ht="12" customHeight="1" x14ac:dyDescent="0.25">
      <c r="A80" s="12" t="s">
        <v>67</v>
      </c>
      <c r="B80" s="7" t="s">
        <v>68</v>
      </c>
      <c r="C80" s="14">
        <v>198918</v>
      </c>
      <c r="D80" s="7" t="s">
        <v>51</v>
      </c>
      <c r="E80" s="34" t="s">
        <v>53</v>
      </c>
      <c r="F80" s="34" t="s">
        <v>53</v>
      </c>
      <c r="G80" s="15">
        <v>648.51550000502698</v>
      </c>
      <c r="H80" s="15">
        <v>649.36034159804501</v>
      </c>
      <c r="I80" s="16">
        <f t="shared" si="3"/>
        <v>129001406.22999996</v>
      </c>
      <c r="J80" s="16">
        <f t="shared" si="4"/>
        <v>129169460.42999992</v>
      </c>
      <c r="K80" s="18">
        <v>0.158499</v>
      </c>
      <c r="L80" s="17"/>
      <c r="M80" s="17"/>
      <c r="N80" s="35"/>
    </row>
    <row r="81" spans="1:15" s="36" customFormat="1" ht="12" customHeight="1" x14ac:dyDescent="0.25">
      <c r="A81" s="12" t="s">
        <v>58</v>
      </c>
      <c r="B81" s="7" t="s">
        <v>59</v>
      </c>
      <c r="C81" s="14">
        <v>207636</v>
      </c>
      <c r="D81" s="7" t="s">
        <v>51</v>
      </c>
      <c r="E81" s="34" t="s">
        <v>62</v>
      </c>
      <c r="F81" s="34" t="s">
        <v>53</v>
      </c>
      <c r="G81" s="15">
        <v>751.34</v>
      </c>
      <c r="H81" s="15">
        <v>752.31879428422803</v>
      </c>
      <c r="I81" s="16">
        <f t="shared" si="3"/>
        <v>156005232.24000001</v>
      </c>
      <c r="J81" s="16">
        <f t="shared" si="4"/>
        <v>156208465.16999996</v>
      </c>
      <c r="K81" s="18">
        <v>0.158499</v>
      </c>
      <c r="L81" s="17">
        <v>67744.31</v>
      </c>
      <c r="M81" s="17"/>
      <c r="N81" s="35"/>
    </row>
    <row r="82" spans="1:15" s="36" customFormat="1" ht="12" customHeight="1" x14ac:dyDescent="0.25">
      <c r="A82" s="12" t="s">
        <v>87</v>
      </c>
      <c r="B82" s="7" t="s">
        <v>88</v>
      </c>
      <c r="C82" s="14">
        <v>100500</v>
      </c>
      <c r="D82" s="7" t="s">
        <v>51</v>
      </c>
      <c r="E82" s="34" t="s">
        <v>62</v>
      </c>
      <c r="F82" s="34" t="s">
        <v>53</v>
      </c>
      <c r="G82" s="15">
        <v>99.510500000000008</v>
      </c>
      <c r="H82" s="15">
        <v>99.639727363184065</v>
      </c>
      <c r="I82" s="16">
        <f t="shared" si="3"/>
        <v>10000805.25</v>
      </c>
      <c r="J82" s="16">
        <f t="shared" si="4"/>
        <v>10013792.599999998</v>
      </c>
      <c r="K82" s="18">
        <v>0.158</v>
      </c>
      <c r="L82" s="17">
        <v>4329.1166666666659</v>
      </c>
      <c r="M82" s="17"/>
      <c r="N82" s="35"/>
    </row>
    <row r="83" spans="1:15" s="36" customFormat="1" ht="12" customHeight="1" x14ac:dyDescent="0.25">
      <c r="A83" s="12" t="s">
        <v>87</v>
      </c>
      <c r="B83" s="7" t="s">
        <v>88</v>
      </c>
      <c r="C83" s="14">
        <v>100500</v>
      </c>
      <c r="D83" s="7" t="s">
        <v>51</v>
      </c>
      <c r="E83" s="34" t="s">
        <v>53</v>
      </c>
      <c r="F83" s="34" t="s">
        <v>53</v>
      </c>
      <c r="G83" s="15">
        <v>99.510500000000008</v>
      </c>
      <c r="H83" s="15">
        <v>99.639727363184065</v>
      </c>
      <c r="I83" s="16">
        <f t="shared" si="3"/>
        <v>10000805.25</v>
      </c>
      <c r="J83" s="16">
        <f t="shared" si="4"/>
        <v>10013792.599999998</v>
      </c>
      <c r="K83" s="18">
        <v>0.158</v>
      </c>
      <c r="L83" s="17"/>
      <c r="M83" s="17"/>
      <c r="N83" s="35"/>
    </row>
    <row r="84" spans="1:15" s="36" customFormat="1" ht="12" customHeight="1" x14ac:dyDescent="0.25">
      <c r="A84" s="12" t="s">
        <v>89</v>
      </c>
      <c r="B84" s="7" t="s">
        <v>90</v>
      </c>
      <c r="C84" s="14">
        <v>14470</v>
      </c>
      <c r="D84" s="7" t="s">
        <v>51</v>
      </c>
      <c r="E84" s="34" t="s">
        <v>53</v>
      </c>
      <c r="F84" s="34" t="s">
        <v>91</v>
      </c>
      <c r="G84" s="15">
        <v>691.505</v>
      </c>
      <c r="H84" s="15">
        <v>691.77971112646901</v>
      </c>
      <c r="I84" s="16">
        <f t="shared" si="3"/>
        <v>10006077.35</v>
      </c>
      <c r="J84" s="16">
        <f t="shared" si="4"/>
        <v>10010052.420000007</v>
      </c>
      <c r="K84" s="18">
        <v>0.14500199999999999</v>
      </c>
      <c r="L84" s="17"/>
      <c r="M84" s="17">
        <v>10006077.35</v>
      </c>
      <c r="N84" s="35"/>
    </row>
    <row r="85" spans="1:15" s="36" customFormat="1" ht="12" customHeight="1" x14ac:dyDescent="0.25">
      <c r="A85" s="12" t="s">
        <v>49</v>
      </c>
      <c r="B85" s="7" t="s">
        <v>50</v>
      </c>
      <c r="C85" s="14">
        <v>1797</v>
      </c>
      <c r="D85" s="7" t="s">
        <v>51</v>
      </c>
      <c r="E85" s="34" t="s">
        <v>53</v>
      </c>
      <c r="F85" s="34" t="s">
        <v>91</v>
      </c>
      <c r="G85" s="15">
        <v>556.60639955481406</v>
      </c>
      <c r="H85" s="15">
        <v>556.84581524763507</v>
      </c>
      <c r="I85" s="16">
        <f t="shared" si="3"/>
        <v>1000221.7000000009</v>
      </c>
      <c r="J85" s="16">
        <f t="shared" si="4"/>
        <v>1000651.9300000003</v>
      </c>
      <c r="K85" s="18">
        <v>0.156999</v>
      </c>
      <c r="L85" s="17"/>
      <c r="M85" s="17">
        <v>1000221.7</v>
      </c>
      <c r="N85" s="35"/>
    </row>
    <row r="86" spans="1:15" s="36" customFormat="1" ht="12" customHeight="1" x14ac:dyDescent="0.25">
      <c r="A86" s="12" t="s">
        <v>92</v>
      </c>
      <c r="B86" s="7" t="s">
        <v>93</v>
      </c>
      <c r="C86" s="14">
        <v>349317</v>
      </c>
      <c r="D86" s="7" t="s">
        <v>51</v>
      </c>
      <c r="E86" s="34" t="s">
        <v>53</v>
      </c>
      <c r="F86" s="34" t="s">
        <v>91</v>
      </c>
      <c r="G86" s="15">
        <v>953.48199998854909</v>
      </c>
      <c r="H86" s="15">
        <v>953.89473753066704</v>
      </c>
      <c r="I86" s="16">
        <f t="shared" si="3"/>
        <v>333067471.79000002</v>
      </c>
      <c r="J86" s="16">
        <f t="shared" si="4"/>
        <v>333211648.03000003</v>
      </c>
      <c r="K86" s="18">
        <v>0.157999</v>
      </c>
      <c r="L86" s="17"/>
      <c r="M86" s="17">
        <v>333067471.79000002</v>
      </c>
      <c r="N86" s="35"/>
    </row>
    <row r="87" spans="1:15" s="36" customFormat="1" ht="12" customHeight="1" x14ac:dyDescent="0.25">
      <c r="A87" s="12" t="s">
        <v>94</v>
      </c>
      <c r="B87" s="7" t="s">
        <v>95</v>
      </c>
      <c r="C87" s="14">
        <v>399267</v>
      </c>
      <c r="D87" s="7" t="s">
        <v>51</v>
      </c>
      <c r="E87" s="34" t="s">
        <v>53</v>
      </c>
      <c r="F87" s="34" t="s">
        <v>91</v>
      </c>
      <c r="G87" s="15">
        <v>1020.0110000075131</v>
      </c>
      <c r="H87" s="15">
        <v>1020.452536222627</v>
      </c>
      <c r="I87" s="16">
        <f t="shared" si="3"/>
        <v>407256731.9399997</v>
      </c>
      <c r="J87" s="16">
        <f t="shared" si="4"/>
        <v>407433022.77999961</v>
      </c>
      <c r="K87" s="18">
        <v>0.157999</v>
      </c>
      <c r="L87" s="17"/>
      <c r="M87" s="17">
        <v>407256731.94</v>
      </c>
      <c r="N87" s="35"/>
    </row>
    <row r="88" spans="1:15" s="36" customFormat="1" ht="12" customHeight="1" x14ac:dyDescent="0.25">
      <c r="A88" s="12" t="s">
        <v>60</v>
      </c>
      <c r="B88" s="7" t="s">
        <v>61</v>
      </c>
      <c r="C88" s="14">
        <v>340996</v>
      </c>
      <c r="D88" s="7" t="s">
        <v>51</v>
      </c>
      <c r="E88" s="34" t="s">
        <v>53</v>
      </c>
      <c r="F88" s="34" t="s">
        <v>96</v>
      </c>
      <c r="G88" s="15">
        <v>956.06500000000005</v>
      </c>
      <c r="H88" s="15">
        <v>958.99867889945904</v>
      </c>
      <c r="I88" s="16">
        <f t="shared" si="3"/>
        <v>326014340.74000001</v>
      </c>
      <c r="J88" s="16">
        <f t="shared" si="4"/>
        <v>327014713.50999993</v>
      </c>
      <c r="K88" s="18">
        <v>0.16</v>
      </c>
      <c r="L88" s="17"/>
      <c r="M88" s="17">
        <v>326014340.74000001</v>
      </c>
      <c r="N88" s="35"/>
    </row>
    <row r="89" spans="1:15" s="36" customFormat="1" ht="12" customHeight="1" x14ac:dyDescent="0.25">
      <c r="A89" s="12" t="s">
        <v>97</v>
      </c>
      <c r="B89" s="7" t="s">
        <v>98</v>
      </c>
      <c r="C89" s="14">
        <v>1221445</v>
      </c>
      <c r="D89" s="7" t="s">
        <v>51</v>
      </c>
      <c r="E89" s="34" t="s">
        <v>53</v>
      </c>
      <c r="F89" s="34" t="s">
        <v>96</v>
      </c>
      <c r="G89" s="15">
        <v>1047.699000004093</v>
      </c>
      <c r="H89" s="15">
        <v>1050.9138572101072</v>
      </c>
      <c r="I89" s="16">
        <f t="shared" si="3"/>
        <v>1279706705.0599995</v>
      </c>
      <c r="J89" s="16">
        <f t="shared" si="4"/>
        <v>1283633476.3199992</v>
      </c>
      <c r="K89" s="18">
        <v>0.16</v>
      </c>
      <c r="L89" s="17"/>
      <c r="M89" s="17">
        <v>1279706705.0599999</v>
      </c>
      <c r="N89" s="35"/>
    </row>
    <row r="90" spans="1:15" s="36" customFormat="1" ht="12" customHeight="1" x14ac:dyDescent="0.25">
      <c r="A90" s="12" t="s">
        <v>99</v>
      </c>
      <c r="B90" s="7" t="s">
        <v>100</v>
      </c>
      <c r="C90" s="14">
        <v>1149984</v>
      </c>
      <c r="D90" s="7" t="s">
        <v>51</v>
      </c>
      <c r="E90" s="34" t="s">
        <v>53</v>
      </c>
      <c r="F90" s="34" t="s">
        <v>91</v>
      </c>
      <c r="G90" s="15">
        <v>751.76499999999999</v>
      </c>
      <c r="H90" s="15">
        <v>752.07394452444601</v>
      </c>
      <c r="I90" s="16">
        <f t="shared" si="3"/>
        <v>864517721.75999999</v>
      </c>
      <c r="J90" s="16">
        <f t="shared" si="4"/>
        <v>864873003.02000046</v>
      </c>
      <c r="K90" s="18">
        <v>0.15</v>
      </c>
      <c r="L90" s="17"/>
      <c r="M90" s="17">
        <v>864517721.75999999</v>
      </c>
      <c r="N90" s="35"/>
    </row>
    <row r="91" spans="1:15" s="36" customFormat="1" ht="12" customHeight="1" x14ac:dyDescent="0.25">
      <c r="A91" s="12" t="s">
        <v>60</v>
      </c>
      <c r="B91" s="7" t="s">
        <v>61</v>
      </c>
      <c r="C91" s="14">
        <v>10460</v>
      </c>
      <c r="D91" s="7" t="s">
        <v>51</v>
      </c>
      <c r="E91" s="34" t="s">
        <v>53</v>
      </c>
      <c r="F91" s="34" t="s">
        <v>96</v>
      </c>
      <c r="G91" s="15">
        <v>956.06500000000005</v>
      </c>
      <c r="H91" s="15">
        <v>958.99867877629106</v>
      </c>
      <c r="I91" s="16">
        <f t="shared" si="3"/>
        <v>10000439.9</v>
      </c>
      <c r="J91" s="16">
        <f t="shared" si="4"/>
        <v>10031126.180000005</v>
      </c>
      <c r="K91" s="18">
        <v>0.16</v>
      </c>
      <c r="L91" s="17"/>
      <c r="M91" s="17">
        <v>10000439.9</v>
      </c>
      <c r="N91" s="35"/>
    </row>
    <row r="92" spans="1:15" s="36" customFormat="1" ht="11.25" hidden="1" x14ac:dyDescent="0.25">
      <c r="A92" s="7"/>
      <c r="B92" s="7"/>
      <c r="C92" s="7"/>
      <c r="D92" s="7"/>
      <c r="E92" s="37"/>
      <c r="F92" s="37"/>
      <c r="G92" s="7"/>
      <c r="H92" s="7"/>
      <c r="I92" s="8"/>
      <c r="J92" s="8"/>
      <c r="K92" s="7"/>
      <c r="L92" s="9"/>
      <c r="M92" s="9"/>
      <c r="N92" s="35"/>
    </row>
    <row r="93" spans="1:15" x14ac:dyDescent="0.25">
      <c r="A93" s="1" t="s">
        <v>5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2">
        <f>SUM(M32:M92)</f>
        <v>3231569710.2400002</v>
      </c>
      <c r="N93" s="38">
        <v>3231569710.2400002</v>
      </c>
      <c r="O93" s="29">
        <f>M93-N93</f>
        <v>0</v>
      </c>
    </row>
    <row r="95" spans="1:15" x14ac:dyDescent="0.25">
      <c r="A95" s="39" t="s">
        <v>28</v>
      </c>
      <c r="B95" s="33"/>
      <c r="D95" s="33"/>
      <c r="F95" s="28"/>
      <c r="G95" s="28"/>
    </row>
    <row r="96" spans="1:15" ht="22.5" x14ac:dyDescent="0.25">
      <c r="A96" s="19" t="s">
        <v>6</v>
      </c>
      <c r="B96" s="19" t="s">
        <v>29</v>
      </c>
      <c r="C96" s="19" t="s">
        <v>17</v>
      </c>
      <c r="D96" s="19" t="s">
        <v>30</v>
      </c>
      <c r="E96" s="19" t="s">
        <v>16</v>
      </c>
      <c r="F96" s="19" t="s">
        <v>31</v>
      </c>
      <c r="G96" s="19" t="s">
        <v>32</v>
      </c>
    </row>
    <row r="97" spans="1:8" hidden="1" x14ac:dyDescent="0.25">
      <c r="B97" s="41"/>
      <c r="C97" s="42"/>
      <c r="D97" s="43"/>
      <c r="G97" s="44"/>
      <c r="H97" s="33"/>
    </row>
    <row r="98" spans="1:8" x14ac:dyDescent="0.25">
      <c r="G98" s="45">
        <f>SUM(G97:G97)</f>
        <v>0</v>
      </c>
    </row>
    <row r="100" spans="1:8" x14ac:dyDescent="0.25">
      <c r="A100" s="46" t="s">
        <v>13</v>
      </c>
      <c r="B100" s="47">
        <f>+L24+B27+M93+G98</f>
        <v>32569632064.826389</v>
      </c>
      <c r="C100" s="32">
        <v>32569632064.826412</v>
      </c>
      <c r="D100" s="29">
        <f>B100-C100</f>
        <v>0</v>
      </c>
    </row>
    <row r="103" spans="1:8" x14ac:dyDescent="0.25">
      <c r="A103" s="24" t="s">
        <v>46</v>
      </c>
      <c r="B103" s="33"/>
    </row>
    <row r="104" spans="1:8" x14ac:dyDescent="0.25">
      <c r="A104" s="48" t="s">
        <v>35</v>
      </c>
      <c r="B104" s="49"/>
    </row>
    <row r="105" spans="1:8" x14ac:dyDescent="0.25">
      <c r="A105" s="48" t="s">
        <v>36</v>
      </c>
      <c r="B105" s="40"/>
    </row>
    <row r="106" spans="1:8" x14ac:dyDescent="0.25">
      <c r="A106" s="48" t="s">
        <v>37</v>
      </c>
      <c r="B106" s="40">
        <v>144232.60999999999</v>
      </c>
    </row>
    <row r="107" spans="1:8" x14ac:dyDescent="0.25">
      <c r="A107" s="48" t="s">
        <v>38</v>
      </c>
      <c r="B107" s="40"/>
    </row>
    <row r="108" spans="1:8" x14ac:dyDescent="0.25">
      <c r="A108" s="48" t="s">
        <v>39</v>
      </c>
      <c r="B108" s="49"/>
    </row>
    <row r="109" spans="1:8" x14ac:dyDescent="0.25">
      <c r="A109" s="48" t="s">
        <v>40</v>
      </c>
      <c r="B109" s="50">
        <v>33018.39</v>
      </c>
    </row>
    <row r="110" spans="1:8" x14ac:dyDescent="0.25">
      <c r="A110" s="48" t="s">
        <v>41</v>
      </c>
      <c r="B110" s="50">
        <v>16165.45</v>
      </c>
    </row>
    <row r="111" spans="1:8" x14ac:dyDescent="0.25">
      <c r="A111" s="48" t="s">
        <v>42</v>
      </c>
      <c r="B111" s="40"/>
    </row>
    <row r="112" spans="1:8" x14ac:dyDescent="0.25">
      <c r="A112" s="48" t="s">
        <v>43</v>
      </c>
      <c r="B112" s="40"/>
    </row>
    <row r="113" spans="1:2" x14ac:dyDescent="0.25">
      <c r="A113" s="48" t="s">
        <v>44</v>
      </c>
      <c r="B113" s="50"/>
    </row>
    <row r="114" spans="1:2" x14ac:dyDescent="0.25">
      <c r="A114" s="48" t="s">
        <v>45</v>
      </c>
      <c r="B114" s="49">
        <f>SUM(B104:B113)</f>
        <v>193416.45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2025-10-07T05:12:33Z</dcterms:created>
  <dcterms:modified xsi:type="dcterms:W3CDTF">2025-10-07T06:46:10Z</dcterms:modified>
</cp:coreProperties>
</file>