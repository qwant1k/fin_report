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04D2DCC8-04C2-4FAF-BC2E-271A65081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7" i="1" l="1"/>
  <c r="O50" i="1"/>
  <c r="O24" i="1"/>
  <c r="D27" i="1"/>
  <c r="B71" i="1"/>
  <c r="G55" i="1"/>
  <c r="M50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9" i="1"/>
  <c r="M18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  <c r="M22" i="1"/>
  <c r="M17" i="1"/>
  <c r="B57" i="1"/>
</calcChain>
</file>

<file path=xl/sharedStrings.xml><?xml version="1.0" encoding="utf-8"?>
<sst xmlns="http://schemas.openxmlformats.org/spreadsheetml/2006/main" count="215" uniqueCount="142">
  <si>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</si>
  <si>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</si>
  <si>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</si>
  <si>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</si>
  <si>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</si>
  <si>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</si>
  <si>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</si>
  <si>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</si>
  <si>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</si>
  <si>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</si>
  <si>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</si>
  <si>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</si>
  <si>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</si>
  <si>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</si>
  <si>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</si>
  <si>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</si>
  <si>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</si>
  <si>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</si>
  <si>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</si>
  <si>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</si>
  <si>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</si>
  <si>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</si>
  <si>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</si>
  <si>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</si>
  <si>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</si>
  <si>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</si>
  <si>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</si>
  <si>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</si>
  <si>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</si>
  <si>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</si>
  <si>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</si>
  <si>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</si>
  <si>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</si>
  <si>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</si>
  <si>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</si>
  <si>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</si>
  <si>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</si>
  <si>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</si>
  <si>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</si>
  <si>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</si>
  <si>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</si>
  <si>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</si>
  <si>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</si>
  <si>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</si>
  <si>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</si>
  <si>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</si>
  <si>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</si>
  <si>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</si>
  <si>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</si>
  <si>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KFUSb10</t>
  </si>
  <si>
    <t>KZ2C00007326</t>
  </si>
  <si>
    <t>KZT</t>
  </si>
  <si>
    <t>06.10.2025</t>
  </si>
  <si>
    <t>13.10.2025</t>
  </si>
  <si>
    <t>МИНИСТЕРСТВО ФИНАНСОВ РК, ГЦБ, MUM072_0014</t>
  </si>
  <si>
    <t>KZKD00001210</t>
  </si>
  <si>
    <t>МИНИСТЕРСТВО ФИНАНСОВ РК, ГЦБ, MOM048_0053</t>
  </si>
  <si>
    <t>KZK200000711</t>
  </si>
  <si>
    <t>10.10.2025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</si>
  <si>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</si>
  <si>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</si>
  <si>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KFUSb49</t>
  </si>
  <si>
    <t>KZ2C00008951</t>
  </si>
  <si>
    <t>АКЦИОНЕРНОЕ ОБЩЕСТВО КАЗАХСТАНСКИЙ ФОНД УСТОЙЧИВОСТИ, ОБЛИГАЦИИ, KFUSb5</t>
  </si>
  <si>
    <t>KZ2C00007110</t>
  </si>
  <si>
    <t>ЕВРАЗИЙСКИЙ БАНК РАЗВИТИЯ, ОБЛИГАЦИИ, EABRb40</t>
  </si>
  <si>
    <t>KZ2D00009628</t>
  </si>
  <si>
    <t>МИНИСТЕРСТВО ФИНАНСОВ РК, ГЦБ, MUM216_0001</t>
  </si>
  <si>
    <t>KZKD00000972</t>
  </si>
  <si>
    <t>АКЦИОНЕРНОЕ ОБЩЕСТВО КАЗАХСТАНСКИЙ ФОНД УСТОЙЧИВОСТИ, ОБЛИГАЦИИ, KFUSb44</t>
  </si>
  <si>
    <t>KZ2C00008902</t>
  </si>
  <si>
    <t>МИНИСТЕРСТВО ФИНАНСОВ РК, ГЦБ, MUM180_0015</t>
  </si>
  <si>
    <t>KZKD00001186</t>
  </si>
  <si>
    <t>МИНИСТЕРСТВО ФИНАНСОВ РК, ГЦБ, MUM180_0014</t>
  </si>
  <si>
    <t>KZKD00000956</t>
  </si>
  <si>
    <t>АКЦИОНЕРНОЕ ОБЩЕСТВО КАЗАХСТАНСКИЙ ФОНД УСТОЙЧИВОСТИ, ОБЛИГАЦИИ, KFUSb48</t>
  </si>
  <si>
    <t>KZ2C00008944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</si>
  <si>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</si>
  <si>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</si>
  <si>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MUM096_0015</t>
  </si>
  <si>
    <t>KZKD00001301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</si>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</sst>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topLeftCell="A19" zoomScale="90" zoomScaleNormal="90" workbookViewId="0">
      <selection activeCell="D58" sqref="D5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141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81</v>
      </c>
      <c r="B4" s="13" t="s">
        <v>82</v>
      </c>
      <c r="C4" s="10">
        <v>3020000</v>
      </c>
      <c r="D4" s="11">
        <v>3020000000</v>
      </c>
      <c r="E4" s="3">
        <v>0.1067</v>
      </c>
      <c r="F4" s="4" t="s">
        <v>83</v>
      </c>
      <c r="G4" s="4" t="s">
        <v>84</v>
      </c>
      <c r="H4" s="11">
        <v>2930617060.0000029</v>
      </c>
      <c r="I4" s="11">
        <v>98.385500000000008</v>
      </c>
      <c r="J4" s="11">
        <v>100.756611111111</v>
      </c>
      <c r="K4" s="11">
        <v>71607555.555555552</v>
      </c>
      <c r="L4" s="11">
        <v>3042849655.5555549</v>
      </c>
      <c r="M4" s="6">
        <f t="shared" ref="M4:M22" si="0">L4/$L$24</f>
        <v>0.10350278825896123</v>
      </c>
    </row>
    <row r="5" spans="1:13" x14ac:dyDescent="0.25">
      <c r="A5" s="1" t="s">
        <v>85</v>
      </c>
      <c r="B5" s="13" t="s">
        <v>86</v>
      </c>
      <c r="C5" s="10">
        <v>2265000</v>
      </c>
      <c r="D5" s="11">
        <v>2265000000</v>
      </c>
      <c r="E5" s="3">
        <v>0.10550000000000001</v>
      </c>
      <c r="F5" s="4" t="s">
        <v>83</v>
      </c>
      <c r="G5" s="4" t="s">
        <v>87</v>
      </c>
      <c r="H5" s="11">
        <v>2039188560.0000031</v>
      </c>
      <c r="I5" s="11">
        <v>83.0321</v>
      </c>
      <c r="J5" s="11">
        <v>85.171405555555552</v>
      </c>
      <c r="K5" s="11">
        <v>48455270.833333328</v>
      </c>
      <c r="L5" s="11">
        <v>1929132335.833333</v>
      </c>
      <c r="M5" s="6">
        <f t="shared" si="0"/>
        <v>6.561959948126897E-2</v>
      </c>
    </row>
    <row r="6" spans="1:13" x14ac:dyDescent="0.25">
      <c r="A6" s="1" t="s">
        <v>85</v>
      </c>
      <c r="B6" s="13" t="s">
        <v>86</v>
      </c>
      <c r="C6" s="10">
        <v>1551646</v>
      </c>
      <c r="D6" s="11">
        <v>1551646000</v>
      </c>
      <c r="E6" s="3">
        <v>0.10550000000000001</v>
      </c>
      <c r="F6" s="4" t="s">
        <v>88</v>
      </c>
      <c r="G6" s="4" t="s">
        <v>87</v>
      </c>
      <c r="H6" s="11">
        <v>1395452658.7</v>
      </c>
      <c r="I6" s="11">
        <v>83.0321</v>
      </c>
      <c r="J6" s="11">
        <v>85.171405555555808</v>
      </c>
      <c r="K6" s="11">
        <v>33194449.080555551</v>
      </c>
      <c r="L6" s="11">
        <v>1321558707.446559</v>
      </c>
      <c r="M6" s="6">
        <f t="shared" si="0"/>
        <v>4.4952931150866821E-2</v>
      </c>
    </row>
    <row r="7" spans="1:13" x14ac:dyDescent="0.25">
      <c r="A7" s="1" t="s">
        <v>85</v>
      </c>
      <c r="B7" s="13" t="s">
        <v>86</v>
      </c>
      <c r="C7" s="10">
        <v>545692</v>
      </c>
      <c r="D7" s="11">
        <v>545692000</v>
      </c>
      <c r="E7" s="3">
        <v>0.10550000000000001</v>
      </c>
      <c r="F7" s="4" t="s">
        <v>89</v>
      </c>
      <c r="G7" s="4" t="s">
        <v>87</v>
      </c>
      <c r="H7" s="11">
        <v>449784993.92000002</v>
      </c>
      <c r="I7" s="11">
        <v>83.0321</v>
      </c>
      <c r="J7" s="11">
        <v>85.171405555555552</v>
      </c>
      <c r="K7" s="11">
        <v>11674019.272222221</v>
      </c>
      <c r="L7" s="11">
        <v>464773546.40422201</v>
      </c>
      <c r="M7" s="6">
        <f t="shared" si="0"/>
        <v>1.5809311470257225E-2</v>
      </c>
    </row>
    <row r="8" spans="1:13" x14ac:dyDescent="0.25">
      <c r="A8" s="1" t="s">
        <v>90</v>
      </c>
      <c r="B8" s="13" t="s">
        <v>91</v>
      </c>
      <c r="C8" s="10">
        <v>2265000</v>
      </c>
      <c r="D8" s="11">
        <v>2265000000</v>
      </c>
      <c r="E8" s="3">
        <v>0.10400000000000001</v>
      </c>
      <c r="F8" s="4" t="s">
        <v>83</v>
      </c>
      <c r="G8" s="4" t="s">
        <v>92</v>
      </c>
      <c r="H8" s="11">
        <v>2073109200</v>
      </c>
      <c r="I8" s="11">
        <v>87.227699999999999</v>
      </c>
      <c r="J8" s="11">
        <v>92.398811111111101</v>
      </c>
      <c r="K8" s="11">
        <v>117125666.666667</v>
      </c>
      <c r="L8" s="11">
        <v>2092833071.666666</v>
      </c>
      <c r="M8" s="6">
        <f t="shared" si="0"/>
        <v>7.1187893848970854E-2</v>
      </c>
    </row>
    <row r="9" spans="1:13" x14ac:dyDescent="0.25">
      <c r="A9" s="1" t="s">
        <v>93</v>
      </c>
      <c r="B9" s="13" t="s">
        <v>94</v>
      </c>
      <c r="C9" s="10">
        <v>2265000</v>
      </c>
      <c r="D9" s="11">
        <v>2265000000</v>
      </c>
      <c r="E9" s="3">
        <v>0.11</v>
      </c>
      <c r="F9" s="4" t="s">
        <v>83</v>
      </c>
      <c r="G9" s="4" t="s">
        <v>95</v>
      </c>
      <c r="H9" s="11">
        <v>2080889475</v>
      </c>
      <c r="I9" s="11">
        <v>85.107799999999997</v>
      </c>
      <c r="J9" s="11">
        <v>90.943911111111106</v>
      </c>
      <c r="K9" s="11">
        <v>132187916.666667</v>
      </c>
      <c r="L9" s="11">
        <v>2059879586.666666</v>
      </c>
      <c r="M9" s="6">
        <f t="shared" si="0"/>
        <v>7.006697827099527E-2</v>
      </c>
    </row>
    <row r="10" spans="1:13" x14ac:dyDescent="0.25">
      <c r="A10" s="1" t="s">
        <v>96</v>
      </c>
      <c r="B10" s="13" t="s">
        <v>97</v>
      </c>
      <c r="C10" s="10">
        <v>2265000</v>
      </c>
      <c r="D10" s="11">
        <v>2265000000</v>
      </c>
      <c r="E10" s="3">
        <v>0.10300000000000001</v>
      </c>
      <c r="F10" s="4" t="s">
        <v>83</v>
      </c>
      <c r="G10" s="4" t="s">
        <v>98</v>
      </c>
      <c r="H10" s="11">
        <v>1963990560.0000031</v>
      </c>
      <c r="I10" s="11">
        <v>77.51230000000001</v>
      </c>
      <c r="J10" s="11">
        <v>83.348966666666655</v>
      </c>
      <c r="K10" s="11">
        <v>132200500</v>
      </c>
      <c r="L10" s="11">
        <v>1887854095</v>
      </c>
      <c r="M10" s="6">
        <f t="shared" si="0"/>
        <v>6.4215516629894956E-2</v>
      </c>
    </row>
    <row r="11" spans="1:13" x14ac:dyDescent="0.25">
      <c r="A11" s="1" t="s">
        <v>99</v>
      </c>
      <c r="B11" s="13" t="s">
        <v>100</v>
      </c>
      <c r="C11" s="10">
        <v>2265000</v>
      </c>
      <c r="D11" s="11">
        <v>2265000000</v>
      </c>
      <c r="E11" s="3">
        <v>8.4500000000000006E-2</v>
      </c>
      <c r="F11" s="4" t="s">
        <v>83</v>
      </c>
      <c r="G11" s="4" t="s">
        <v>101</v>
      </c>
      <c r="H11" s="11">
        <v>1740247065.0000031</v>
      </c>
      <c r="I11" s="11">
        <v>67.9602</v>
      </c>
      <c r="J11" s="11">
        <v>72.067838888888872</v>
      </c>
      <c r="K11" s="11">
        <v>93038020.833333328</v>
      </c>
      <c r="L11" s="11">
        <v>1632336550.833333</v>
      </c>
      <c r="M11" s="6">
        <f t="shared" si="0"/>
        <v>5.5524065765062879E-2</v>
      </c>
    </row>
    <row r="12" spans="1:13" x14ac:dyDescent="0.25">
      <c r="A12" s="1" t="s">
        <v>102</v>
      </c>
      <c r="B12" s="13" t="s">
        <v>103</v>
      </c>
      <c r="C12" s="10">
        <v>2265000</v>
      </c>
      <c r="D12" s="11">
        <v>2265000000</v>
      </c>
      <c r="E12" s="3">
        <v>0.10650000000000001</v>
      </c>
      <c r="F12" s="4" t="s">
        <v>83</v>
      </c>
      <c r="G12" s="4" t="s">
        <v>104</v>
      </c>
      <c r="H12" s="11">
        <v>1967775375</v>
      </c>
      <c r="I12" s="11">
        <v>75.7547</v>
      </c>
      <c r="J12" s="11">
        <v>77.97345</v>
      </c>
      <c r="K12" s="11">
        <v>50254687.5</v>
      </c>
      <c r="L12" s="11">
        <v>1766098642.5</v>
      </c>
      <c r="M12" s="6">
        <f t="shared" si="0"/>
        <v>6.0073994620592569E-2</v>
      </c>
    </row>
    <row r="13" spans="1:13" x14ac:dyDescent="0.25">
      <c r="A13" s="1" t="s">
        <v>105</v>
      </c>
      <c r="B13" s="13" t="s">
        <v>106</v>
      </c>
      <c r="C13" s="10">
        <v>2265000</v>
      </c>
      <c r="D13" s="11">
        <v>2265000000</v>
      </c>
      <c r="E13" s="3">
        <v>8.0700000000000008E-2</v>
      </c>
      <c r="F13" s="4" t="s">
        <v>83</v>
      </c>
      <c r="G13" s="4" t="s">
        <v>107</v>
      </c>
      <c r="H13" s="11">
        <v>1622351550</v>
      </c>
      <c r="I13" s="11">
        <v>61.370400000000004</v>
      </c>
      <c r="J13" s="11">
        <v>64.710483333333329</v>
      </c>
      <c r="K13" s="11">
        <v>75652887.5</v>
      </c>
      <c r="L13" s="11">
        <v>1465692447.5</v>
      </c>
      <c r="M13" s="6">
        <f t="shared" si="0"/>
        <v>4.9855652503032914E-2</v>
      </c>
    </row>
    <row r="14" spans="1:13" x14ac:dyDescent="0.25">
      <c r="A14" s="1" t="s">
        <v>108</v>
      </c>
      <c r="B14" s="13" t="s">
        <v>109</v>
      </c>
      <c r="C14" s="10">
        <v>2265000</v>
      </c>
      <c r="D14" s="11">
        <v>2265000000</v>
      </c>
      <c r="E14" s="3">
        <v>8.0700000000000008E-2</v>
      </c>
      <c r="F14" s="4" t="s">
        <v>83</v>
      </c>
      <c r="G14" s="4" t="s">
        <v>110</v>
      </c>
      <c r="H14" s="11">
        <v>1597764975</v>
      </c>
      <c r="I14" s="11">
        <v>59.923500000000004</v>
      </c>
      <c r="J14" s="11">
        <v>65.572500000000005</v>
      </c>
      <c r="K14" s="11">
        <v>127949850</v>
      </c>
      <c r="L14" s="11">
        <v>1485217125</v>
      </c>
      <c r="M14" s="6">
        <f t="shared" si="0"/>
        <v>5.0519786058700826E-2</v>
      </c>
    </row>
    <row r="15" spans="1:13" x14ac:dyDescent="0.25">
      <c r="A15" s="1" t="s">
        <v>111</v>
      </c>
      <c r="B15" s="13" t="s">
        <v>112</v>
      </c>
      <c r="C15" s="10">
        <v>3775000</v>
      </c>
      <c r="D15" s="11">
        <v>3775000000</v>
      </c>
      <c r="E15" s="3">
        <v>5.4900000000000004E-2</v>
      </c>
      <c r="F15" s="4" t="s">
        <v>83</v>
      </c>
      <c r="G15" s="4" t="s">
        <v>113</v>
      </c>
      <c r="H15" s="11">
        <v>3136670150</v>
      </c>
      <c r="I15" s="11">
        <v>85.9816</v>
      </c>
      <c r="J15" s="11">
        <v>88.940100000000001</v>
      </c>
      <c r="K15" s="11">
        <v>111683375</v>
      </c>
      <c r="L15" s="11">
        <v>3357488775</v>
      </c>
      <c r="M15" s="6">
        <f t="shared" si="0"/>
        <v>0.11420526450466932</v>
      </c>
    </row>
    <row r="16" spans="1:13" x14ac:dyDescent="0.25">
      <c r="A16" s="1" t="s">
        <v>114</v>
      </c>
      <c r="B16" s="13" t="s">
        <v>115</v>
      </c>
      <c r="C16" s="10">
        <v>2803860</v>
      </c>
      <c r="D16" s="11">
        <v>2803860000</v>
      </c>
      <c r="E16" s="3">
        <v>5.5E-2</v>
      </c>
      <c r="F16" s="4" t="s">
        <v>116</v>
      </c>
      <c r="G16" s="4" t="s">
        <v>117</v>
      </c>
      <c r="H16" s="11">
        <v>1773018067.1400001</v>
      </c>
      <c r="I16" s="11">
        <v>56.797200000000004</v>
      </c>
      <c r="J16" s="11">
        <v>59.348588888888877</v>
      </c>
      <c r="K16" s="11">
        <v>71537372.5</v>
      </c>
      <c r="L16" s="11">
        <v>1664051344.4200001</v>
      </c>
      <c r="M16" s="6">
        <f t="shared" si="0"/>
        <v>5.6602847149901998E-2</v>
      </c>
    </row>
    <row r="17" spans="1:15" x14ac:dyDescent="0.25">
      <c r="A17" s="1" t="s">
        <v>118</v>
      </c>
      <c r="B17" s="13" t="s">
        <v>119</v>
      </c>
      <c r="C17" s="10">
        <v>1038480</v>
      </c>
      <c r="D17" s="11">
        <v>1038480000</v>
      </c>
      <c r="E17" s="3">
        <v>0.12</v>
      </c>
      <c r="F17" s="4" t="s">
        <v>116</v>
      </c>
      <c r="G17" s="4" t="s">
        <v>120</v>
      </c>
      <c r="H17" s="11">
        <v>979029096.96000004</v>
      </c>
      <c r="I17" s="11">
        <v>85.349100000000007</v>
      </c>
      <c r="J17" s="11">
        <v>92.482433333333333</v>
      </c>
      <c r="K17" s="11">
        <v>74078240</v>
      </c>
      <c r="L17" s="11">
        <v>960411573.67999995</v>
      </c>
      <c r="M17" s="6">
        <f t="shared" si="0"/>
        <v>3.2668480866468452E-2</v>
      </c>
    </row>
    <row r="18" spans="1:15" x14ac:dyDescent="0.25">
      <c r="A18" s="1" t="s">
        <v>121</v>
      </c>
      <c r="B18" s="13" t="s">
        <v>122</v>
      </c>
      <c r="C18" s="10">
        <v>506989</v>
      </c>
      <c r="D18" s="11">
        <v>506989000</v>
      </c>
      <c r="E18" s="3">
        <v>0.1535</v>
      </c>
      <c r="F18" s="4" t="s">
        <v>123</v>
      </c>
      <c r="G18" s="4" t="s">
        <v>124</v>
      </c>
      <c r="H18" s="11">
        <v>492216861.50999999</v>
      </c>
      <c r="I18" s="11">
        <v>98.261499999999998</v>
      </c>
      <c r="J18" s="11">
        <v>104.35886111111101</v>
      </c>
      <c r="K18" s="11">
        <v>30912950.123611111</v>
      </c>
      <c r="L18" s="11">
        <v>529087946.35861099</v>
      </c>
      <c r="M18" s="6">
        <f t="shared" si="0"/>
        <v>1.7996971221480095E-2</v>
      </c>
    </row>
    <row r="19" spans="1:15" x14ac:dyDescent="0.25">
      <c r="A19" s="1" t="s">
        <v>125</v>
      </c>
      <c r="B19" s="13" t="s">
        <v>126</v>
      </c>
      <c r="C19" s="10">
        <v>2100000</v>
      </c>
      <c r="D19" s="11">
        <v>2100000000</v>
      </c>
      <c r="E19" s="3">
        <v>0.14300000000000002</v>
      </c>
      <c r="F19" s="4" t="s">
        <v>127</v>
      </c>
      <c r="G19" s="4" t="s">
        <v>128</v>
      </c>
      <c r="H19" s="11">
        <v>2100000000</v>
      </c>
      <c r="I19" s="11">
        <v>94.625098957423489</v>
      </c>
      <c r="J19" s="11">
        <v>96.13454340186793</v>
      </c>
      <c r="K19" s="11">
        <v>31698333.333333328</v>
      </c>
      <c r="L19" s="11">
        <v>2018825411.4392259</v>
      </c>
      <c r="M19" s="6">
        <f t="shared" si="0"/>
        <v>6.8670517030146941E-2</v>
      </c>
    </row>
    <row r="20" spans="1:15" x14ac:dyDescent="0.25">
      <c r="A20" s="1" t="s">
        <v>129</v>
      </c>
      <c r="B20" s="13" t="s">
        <v>130</v>
      </c>
      <c r="C20" s="10">
        <v>1000000</v>
      </c>
      <c r="D20" s="11">
        <v>1000000000</v>
      </c>
      <c r="E20" s="3">
        <v>0.1389</v>
      </c>
      <c r="F20" s="4" t="s">
        <v>131</v>
      </c>
      <c r="G20" s="4" t="s">
        <v>132</v>
      </c>
      <c r="H20" s="11">
        <v>1000000000</v>
      </c>
      <c r="I20" s="11">
        <v>98.322278255535693</v>
      </c>
      <c r="J20" s="11">
        <v>103.453861588869</v>
      </c>
      <c r="K20" s="11">
        <v>51315833.333333328</v>
      </c>
      <c r="L20" s="11">
        <v>1034538615.88869</v>
      </c>
      <c r="M20" s="6">
        <f t="shared" si="0"/>
        <v>3.518991847347646E-2</v>
      </c>
    </row>
    <row r="21" spans="1:15" x14ac:dyDescent="0.25">
      <c r="A21" s="1" t="s">
        <v>133</v>
      </c>
      <c r="B21" s="13" t="s">
        <v>134</v>
      </c>
      <c r="C21" s="10">
        <v>165739</v>
      </c>
      <c r="D21" s="11">
        <v>165739000</v>
      </c>
      <c r="E21" s="3">
        <v>0.125</v>
      </c>
      <c r="F21" s="4" t="s">
        <v>135</v>
      </c>
      <c r="G21" s="4" t="s">
        <v>136</v>
      </c>
      <c r="H21" s="11">
        <v>159596381.18279999</v>
      </c>
      <c r="I21" s="11">
        <v>96.277243917336889</v>
      </c>
      <c r="J21" s="11">
        <v>100.409188361768</v>
      </c>
      <c r="K21" s="11">
        <v>6848243.4027555604</v>
      </c>
      <c r="L21" s="11">
        <v>166417184.69891101</v>
      </c>
      <c r="M21" s="6">
        <f t="shared" si="0"/>
        <v>5.6606946054976884E-3</v>
      </c>
    </row>
    <row r="22" spans="1:15" x14ac:dyDescent="0.25">
      <c r="A22" s="1" t="s">
        <v>137</v>
      </c>
      <c r="B22" s="13" t="s">
        <v>138</v>
      </c>
      <c r="C22" s="10">
        <v>494987</v>
      </c>
      <c r="D22" s="11">
        <v>494987000</v>
      </c>
      <c r="E22" s="3">
        <v>0.1701</v>
      </c>
      <c r="F22" s="4" t="s">
        <v>139</v>
      </c>
      <c r="G22" s="4" t="s">
        <v>140</v>
      </c>
      <c r="H22" s="11">
        <v>495088472.34249997</v>
      </c>
      <c r="I22" s="11">
        <v>101.9636</v>
      </c>
      <c r="J22" s="11">
        <v>104.9876</v>
      </c>
      <c r="K22" s="11">
        <v>14968406.880000001</v>
      </c>
      <c r="L22" s="11">
        <v>519674971.61199999</v>
      </c>
      <c r="M22" s="6">
        <f t="shared" si="0"/>
        <v>1.7676788089754664E-2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1286383578.4813673</v>
      </c>
      <c r="L24" s="22">
        <f>SUM(L4:L23)</f>
        <v>29398721587.503769</v>
      </c>
      <c r="M24" s="23"/>
      <c r="N24" s="26">
        <v>29398721587.503796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9065093.3599999994</v>
      </c>
      <c r="C27" s="51">
        <v>9065093.3599999994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340996</v>
      </c>
      <c r="D32" s="7" t="s">
        <v>51</v>
      </c>
      <c r="E32" s="34" t="s">
        <v>52</v>
      </c>
      <c r="F32" s="34" t="s">
        <v>53</v>
      </c>
      <c r="G32" s="15">
        <v>956.06500000000005</v>
      </c>
      <c r="H32" s="15">
        <v>958.99867889945904</v>
      </c>
      <c r="I32" s="16">
        <f t="shared" ref="I32:I48" si="1">+C32*G32</f>
        <v>326014340.74000001</v>
      </c>
      <c r="J32" s="16">
        <f t="shared" ref="J32:J48" si="2">+C32*H32</f>
        <v>327014713.50999993</v>
      </c>
      <c r="K32" s="18">
        <v>0.16</v>
      </c>
      <c r="L32" s="17">
        <v>142910.3957142857</v>
      </c>
      <c r="M32" s="17">
        <v>326728892.71857101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1221445</v>
      </c>
      <c r="D33" s="7" t="s">
        <v>51</v>
      </c>
      <c r="E33" s="34" t="s">
        <v>52</v>
      </c>
      <c r="F33" s="34" t="s">
        <v>53</v>
      </c>
      <c r="G33" s="15">
        <v>1047.699000004093</v>
      </c>
      <c r="H33" s="15">
        <v>1050.9138572101072</v>
      </c>
      <c r="I33" s="16">
        <f t="shared" si="1"/>
        <v>1279706705.0599995</v>
      </c>
      <c r="J33" s="16">
        <f t="shared" si="2"/>
        <v>1283633476.3199992</v>
      </c>
      <c r="K33" s="18">
        <v>0.16</v>
      </c>
      <c r="L33" s="17">
        <v>560967.32285714278</v>
      </c>
      <c r="M33" s="17">
        <v>1282511541.6742849</v>
      </c>
      <c r="N33" s="35"/>
    </row>
    <row r="34" spans="1:14" s="36" customFormat="1" ht="12" customHeight="1" x14ac:dyDescent="0.25">
      <c r="A34" s="12" t="s">
        <v>49</v>
      </c>
      <c r="B34" s="7" t="s">
        <v>50</v>
      </c>
      <c r="C34" s="14">
        <v>10460</v>
      </c>
      <c r="D34" s="7" t="s">
        <v>51</v>
      </c>
      <c r="E34" s="34" t="s">
        <v>52</v>
      </c>
      <c r="F34" s="34" t="s">
        <v>53</v>
      </c>
      <c r="G34" s="15">
        <v>956.06500000000005</v>
      </c>
      <c r="H34" s="15">
        <v>958.99867877629106</v>
      </c>
      <c r="I34" s="16">
        <f t="shared" si="1"/>
        <v>10000439.9</v>
      </c>
      <c r="J34" s="16">
        <f t="shared" si="2"/>
        <v>10031126.180000005</v>
      </c>
      <c r="K34" s="18">
        <v>0.16</v>
      </c>
      <c r="L34" s="17">
        <v>4383.7542857142853</v>
      </c>
      <c r="M34" s="17">
        <v>10022358.671428571</v>
      </c>
      <c r="N34" s="35"/>
    </row>
    <row r="35" spans="1:14" s="36" customFormat="1" ht="12" customHeight="1" x14ac:dyDescent="0.25">
      <c r="A35" s="12" t="s">
        <v>56</v>
      </c>
      <c r="B35" s="7" t="s">
        <v>57</v>
      </c>
      <c r="C35" s="14">
        <v>9790</v>
      </c>
      <c r="D35" s="7" t="s">
        <v>51</v>
      </c>
      <c r="E35" s="34" t="s">
        <v>58</v>
      </c>
      <c r="F35" s="34" t="s">
        <v>53</v>
      </c>
      <c r="G35" s="15">
        <v>1022.01</v>
      </c>
      <c r="H35" s="15">
        <v>1023.337204290091</v>
      </c>
      <c r="I35" s="16">
        <f t="shared" si="1"/>
        <v>10005477.9</v>
      </c>
      <c r="J35" s="16">
        <f t="shared" si="2"/>
        <v>10018471.229999991</v>
      </c>
      <c r="K35" s="18">
        <v>0.157999</v>
      </c>
      <c r="L35" s="17">
        <v>4331.1099999999997</v>
      </c>
      <c r="M35" s="17">
        <v>10009809.01</v>
      </c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199716</v>
      </c>
      <c r="D36" s="7" t="s">
        <v>51</v>
      </c>
      <c r="E36" s="34" t="s">
        <v>58</v>
      </c>
      <c r="F36" s="34" t="s">
        <v>53</v>
      </c>
      <c r="G36" s="15">
        <v>1022.01</v>
      </c>
      <c r="H36" s="15">
        <v>1023.337204580504</v>
      </c>
      <c r="I36" s="16">
        <f t="shared" si="1"/>
        <v>204111749.16</v>
      </c>
      <c r="J36" s="16">
        <f t="shared" si="2"/>
        <v>204376813.14999995</v>
      </c>
      <c r="K36" s="18">
        <v>0.157999</v>
      </c>
      <c r="L36" s="17">
        <v>88354.663333333301</v>
      </c>
      <c r="M36" s="17">
        <v>204200103.823333</v>
      </c>
      <c r="N36" s="35"/>
    </row>
    <row r="37" spans="1:14" s="36" customFormat="1" ht="12" customHeight="1" x14ac:dyDescent="0.25">
      <c r="A37" s="12" t="s">
        <v>59</v>
      </c>
      <c r="B37" s="7" t="s">
        <v>60</v>
      </c>
      <c r="C37" s="14">
        <v>249599</v>
      </c>
      <c r="D37" s="7" t="s">
        <v>51</v>
      </c>
      <c r="E37" s="34" t="s">
        <v>58</v>
      </c>
      <c r="F37" s="34" t="s">
        <v>53</v>
      </c>
      <c r="G37" s="15">
        <v>789.63100000400607</v>
      </c>
      <c r="H37" s="15">
        <v>790.65643211711608</v>
      </c>
      <c r="I37" s="16">
        <f t="shared" si="1"/>
        <v>197091107.96999991</v>
      </c>
      <c r="J37" s="16">
        <f t="shared" si="2"/>
        <v>197347054.80000007</v>
      </c>
      <c r="K37" s="18">
        <v>0.157999</v>
      </c>
      <c r="L37" s="17">
        <v>85315.61</v>
      </c>
      <c r="M37" s="17">
        <v>197176423.58000001</v>
      </c>
      <c r="N37" s="35"/>
    </row>
    <row r="38" spans="1:14" s="36" customFormat="1" ht="12" customHeight="1" x14ac:dyDescent="0.25">
      <c r="A38" s="12" t="s">
        <v>61</v>
      </c>
      <c r="B38" s="7" t="s">
        <v>62</v>
      </c>
      <c r="C38" s="14">
        <v>180455</v>
      </c>
      <c r="D38" s="7" t="s">
        <v>51</v>
      </c>
      <c r="E38" s="34" t="s">
        <v>58</v>
      </c>
      <c r="F38" s="34" t="s">
        <v>53</v>
      </c>
      <c r="G38" s="15">
        <v>1070.2850000277072</v>
      </c>
      <c r="H38" s="15">
        <v>1071.6748955695321</v>
      </c>
      <c r="I38" s="16">
        <f t="shared" si="1"/>
        <v>193138279.67999989</v>
      </c>
      <c r="J38" s="16">
        <f t="shared" si="2"/>
        <v>193389093.27999991</v>
      </c>
      <c r="K38" s="18">
        <v>0.157999</v>
      </c>
      <c r="L38" s="17">
        <v>83604.533333333296</v>
      </c>
      <c r="M38" s="17">
        <v>193221884.21333301</v>
      </c>
      <c r="N38" s="35"/>
    </row>
    <row r="39" spans="1:14" s="36" customFormat="1" ht="12" customHeight="1" x14ac:dyDescent="0.25">
      <c r="A39" s="12" t="s">
        <v>63</v>
      </c>
      <c r="B39" s="7" t="s">
        <v>64</v>
      </c>
      <c r="C39" s="14">
        <v>71364</v>
      </c>
      <c r="D39" s="7" t="s">
        <v>51</v>
      </c>
      <c r="E39" s="34" t="s">
        <v>58</v>
      </c>
      <c r="F39" s="34" t="s">
        <v>53</v>
      </c>
      <c r="G39" s="15">
        <v>1065.075</v>
      </c>
      <c r="H39" s="15">
        <v>1066.458129729275</v>
      </c>
      <c r="I39" s="16">
        <f t="shared" si="1"/>
        <v>76008012.299999997</v>
      </c>
      <c r="J39" s="16">
        <f t="shared" si="2"/>
        <v>76106717.969999984</v>
      </c>
      <c r="K39" s="18">
        <v>0.157999</v>
      </c>
      <c r="L39" s="17">
        <v>32901.89</v>
      </c>
      <c r="M39" s="17">
        <v>76040914.189999998</v>
      </c>
      <c r="N39" s="35"/>
    </row>
    <row r="40" spans="1:14" s="36" customFormat="1" ht="12" customHeight="1" x14ac:dyDescent="0.25">
      <c r="A40" s="12" t="s">
        <v>59</v>
      </c>
      <c r="B40" s="7" t="s">
        <v>60</v>
      </c>
      <c r="C40" s="14">
        <v>98826</v>
      </c>
      <c r="D40" s="7" t="s">
        <v>51</v>
      </c>
      <c r="E40" s="34" t="s">
        <v>58</v>
      </c>
      <c r="F40" s="34" t="s">
        <v>53</v>
      </c>
      <c r="G40" s="15">
        <v>789.63100004047499</v>
      </c>
      <c r="H40" s="15">
        <v>790.65643221419509</v>
      </c>
      <c r="I40" s="16">
        <f t="shared" si="1"/>
        <v>78036073.209999979</v>
      </c>
      <c r="J40" s="16">
        <f t="shared" si="2"/>
        <v>78137412.570000038</v>
      </c>
      <c r="K40" s="18">
        <v>0.157999</v>
      </c>
      <c r="L40" s="17">
        <v>33779.786666666703</v>
      </c>
      <c r="M40" s="17">
        <v>78069852.996666655</v>
      </c>
      <c r="N40" s="35"/>
    </row>
    <row r="41" spans="1:14" s="36" customFormat="1" ht="12" customHeight="1" x14ac:dyDescent="0.25">
      <c r="A41" s="12" t="s">
        <v>65</v>
      </c>
      <c r="B41" s="7" t="s">
        <v>66</v>
      </c>
      <c r="C41" s="14">
        <v>160950</v>
      </c>
      <c r="D41" s="7" t="s">
        <v>51</v>
      </c>
      <c r="E41" s="34" t="s">
        <v>58</v>
      </c>
      <c r="F41" s="34" t="s">
        <v>53</v>
      </c>
      <c r="G41" s="15">
        <v>540.55259999999998</v>
      </c>
      <c r="H41" s="15">
        <v>541.25457347002202</v>
      </c>
      <c r="I41" s="16">
        <f t="shared" si="1"/>
        <v>87001940.969999999</v>
      </c>
      <c r="J41" s="16">
        <f t="shared" si="2"/>
        <v>87114923.600000039</v>
      </c>
      <c r="K41" s="18">
        <v>0.157999</v>
      </c>
      <c r="L41" s="17">
        <v>37660.8766666667</v>
      </c>
      <c r="M41" s="17">
        <v>87039601.846666664</v>
      </c>
      <c r="N41" s="35"/>
    </row>
    <row r="42" spans="1:14" s="36" customFormat="1" ht="12" customHeight="1" x14ac:dyDescent="0.25">
      <c r="A42" s="12" t="s">
        <v>67</v>
      </c>
      <c r="B42" s="7" t="s">
        <v>68</v>
      </c>
      <c r="C42" s="14">
        <v>158886</v>
      </c>
      <c r="D42" s="7" t="s">
        <v>51</v>
      </c>
      <c r="E42" s="34" t="s">
        <v>58</v>
      </c>
      <c r="F42" s="34" t="s">
        <v>53</v>
      </c>
      <c r="G42" s="15">
        <v>610.70000000000005</v>
      </c>
      <c r="H42" s="15">
        <v>611.49306842641909</v>
      </c>
      <c r="I42" s="16">
        <f t="shared" si="1"/>
        <v>97031680.200000003</v>
      </c>
      <c r="J42" s="16">
        <f t="shared" si="2"/>
        <v>97157687.670000017</v>
      </c>
      <c r="K42" s="18">
        <v>0.157999</v>
      </c>
      <c r="L42" s="17">
        <v>42002.49</v>
      </c>
      <c r="M42" s="17">
        <v>97073682.689999998</v>
      </c>
      <c r="N42" s="35"/>
    </row>
    <row r="43" spans="1:14" s="36" customFormat="1" ht="12" customHeight="1" x14ac:dyDescent="0.25">
      <c r="A43" s="12" t="s">
        <v>69</v>
      </c>
      <c r="B43" s="7" t="s">
        <v>70</v>
      </c>
      <c r="C43" s="14">
        <v>92961</v>
      </c>
      <c r="D43" s="7" t="s">
        <v>51</v>
      </c>
      <c r="E43" s="34" t="s">
        <v>58</v>
      </c>
      <c r="F43" s="34" t="s">
        <v>53</v>
      </c>
      <c r="G43" s="15">
        <v>1065.320999989242</v>
      </c>
      <c r="H43" s="15">
        <v>1066.7044491776121</v>
      </c>
      <c r="I43" s="16">
        <f t="shared" si="1"/>
        <v>99033305.479999915</v>
      </c>
      <c r="J43" s="16">
        <f t="shared" si="2"/>
        <v>99161912.299999997</v>
      </c>
      <c r="K43" s="18">
        <v>0.157999</v>
      </c>
      <c r="L43" s="17">
        <v>42868.94</v>
      </c>
      <c r="M43" s="17">
        <v>99076174.420000002</v>
      </c>
      <c r="N43" s="35"/>
    </row>
    <row r="44" spans="1:14" s="36" customFormat="1" ht="12" customHeight="1" x14ac:dyDescent="0.25">
      <c r="A44" s="12" t="s">
        <v>71</v>
      </c>
      <c r="B44" s="7" t="s">
        <v>72</v>
      </c>
      <c r="C44" s="14">
        <v>125370</v>
      </c>
      <c r="D44" s="7" t="s">
        <v>51</v>
      </c>
      <c r="E44" s="34" t="s">
        <v>58</v>
      </c>
      <c r="F44" s="34" t="s">
        <v>53</v>
      </c>
      <c r="G44" s="15">
        <v>717.89300000000003</v>
      </c>
      <c r="H44" s="15">
        <v>718.82527159607605</v>
      </c>
      <c r="I44" s="16">
        <f t="shared" si="1"/>
        <v>90002245.409999996</v>
      </c>
      <c r="J44" s="16">
        <f t="shared" si="2"/>
        <v>90119124.300000057</v>
      </c>
      <c r="K44" s="18">
        <v>0.157999</v>
      </c>
      <c r="L44" s="17">
        <v>38959.629999999997</v>
      </c>
      <c r="M44" s="17">
        <v>90041205.040000007</v>
      </c>
      <c r="N44" s="35"/>
    </row>
    <row r="45" spans="1:14" s="36" customFormat="1" ht="12" customHeight="1" x14ac:dyDescent="0.25">
      <c r="A45" s="12" t="s">
        <v>73</v>
      </c>
      <c r="B45" s="7" t="s">
        <v>74</v>
      </c>
      <c r="C45" s="14">
        <v>199272</v>
      </c>
      <c r="D45" s="7" t="s">
        <v>51</v>
      </c>
      <c r="E45" s="34" t="s">
        <v>58</v>
      </c>
      <c r="F45" s="34" t="s">
        <v>53</v>
      </c>
      <c r="G45" s="15">
        <v>692.94</v>
      </c>
      <c r="H45" s="15">
        <v>693.83986706612109</v>
      </c>
      <c r="I45" s="16">
        <f t="shared" si="1"/>
        <v>138083539.68000001</v>
      </c>
      <c r="J45" s="16">
        <f t="shared" si="2"/>
        <v>138262857.99000007</v>
      </c>
      <c r="K45" s="18">
        <v>0.157999</v>
      </c>
      <c r="L45" s="17">
        <v>59772.77</v>
      </c>
      <c r="M45" s="17">
        <v>138143312.44999999</v>
      </c>
      <c r="N45" s="35"/>
    </row>
    <row r="46" spans="1:14" s="36" customFormat="1" ht="12" customHeight="1" x14ac:dyDescent="0.25">
      <c r="A46" s="12" t="s">
        <v>75</v>
      </c>
      <c r="B46" s="7" t="s">
        <v>76</v>
      </c>
      <c r="C46" s="14">
        <v>153600</v>
      </c>
      <c r="D46" s="7" t="s">
        <v>51</v>
      </c>
      <c r="E46" s="34" t="s">
        <v>58</v>
      </c>
      <c r="F46" s="34" t="s">
        <v>53</v>
      </c>
      <c r="G46" s="15">
        <v>1042.0330000000001</v>
      </c>
      <c r="H46" s="15">
        <v>1043.3862069010411</v>
      </c>
      <c r="I46" s="16">
        <f t="shared" si="1"/>
        <v>160056268.80000001</v>
      </c>
      <c r="J46" s="16">
        <f t="shared" si="2"/>
        <v>160264121.37999991</v>
      </c>
      <c r="K46" s="18">
        <v>0.157999</v>
      </c>
      <c r="L46" s="17">
        <v>69284.1933333333</v>
      </c>
      <c r="M46" s="17">
        <v>160125552.99333301</v>
      </c>
      <c r="N46" s="35"/>
    </row>
    <row r="47" spans="1:14" s="36" customFormat="1" ht="12" customHeight="1" x14ac:dyDescent="0.25">
      <c r="A47" s="12" t="s">
        <v>77</v>
      </c>
      <c r="B47" s="7" t="s">
        <v>78</v>
      </c>
      <c r="C47" s="14">
        <v>116050</v>
      </c>
      <c r="D47" s="7" t="s">
        <v>51</v>
      </c>
      <c r="E47" s="34" t="s">
        <v>58</v>
      </c>
      <c r="F47" s="34" t="s">
        <v>53</v>
      </c>
      <c r="G47" s="15">
        <v>948.11900000000003</v>
      </c>
      <c r="H47" s="15">
        <v>949.35024808272306</v>
      </c>
      <c r="I47" s="16">
        <f t="shared" si="1"/>
        <v>110029209.95</v>
      </c>
      <c r="J47" s="16">
        <f t="shared" si="2"/>
        <v>110172096.29000001</v>
      </c>
      <c r="K47" s="18">
        <v>0.157999</v>
      </c>
      <c r="L47" s="17">
        <v>47628.78</v>
      </c>
      <c r="M47" s="17">
        <v>110076838.73</v>
      </c>
      <c r="N47" s="35"/>
    </row>
    <row r="48" spans="1:14" s="36" customFormat="1" ht="12" customHeight="1" x14ac:dyDescent="0.25">
      <c r="A48" s="12" t="s">
        <v>79</v>
      </c>
      <c r="B48" s="7" t="s">
        <v>80</v>
      </c>
      <c r="C48" s="14">
        <v>82368</v>
      </c>
      <c r="D48" s="7" t="s">
        <v>51</v>
      </c>
      <c r="E48" s="34" t="s">
        <v>58</v>
      </c>
      <c r="F48" s="34" t="s">
        <v>53</v>
      </c>
      <c r="G48" s="15">
        <v>947.14899997571899</v>
      </c>
      <c r="H48" s="15">
        <v>948.37898844211304</v>
      </c>
      <c r="I48" s="16">
        <f t="shared" si="1"/>
        <v>78014768.830000028</v>
      </c>
      <c r="J48" s="16">
        <f t="shared" si="2"/>
        <v>78116080.519999966</v>
      </c>
      <c r="K48" s="18">
        <v>0.157999</v>
      </c>
      <c r="L48" s="17">
        <v>33770.563333333303</v>
      </c>
      <c r="M48" s="17">
        <v>78048539.393333331</v>
      </c>
      <c r="N48" s="35"/>
    </row>
    <row r="49" spans="1:15" s="36" customFormat="1" ht="11.25" hidden="1" x14ac:dyDescent="0.25">
      <c r="A49" s="7"/>
      <c r="B49" s="7"/>
      <c r="C49" s="7"/>
      <c r="D49" s="7"/>
      <c r="E49" s="37"/>
      <c r="F49" s="37"/>
      <c r="G49" s="7"/>
      <c r="H49" s="7"/>
      <c r="I49" s="8"/>
      <c r="J49" s="8"/>
      <c r="K49" s="7"/>
      <c r="L49" s="9"/>
      <c r="M49" s="9"/>
      <c r="N49" s="35"/>
    </row>
    <row r="50" spans="1:15" x14ac:dyDescent="0.25">
      <c r="A50" s="1" t="s">
        <v>5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2">
        <f>SUM(M32:M49)</f>
        <v>3237606688.4409499</v>
      </c>
      <c r="N50" s="38">
        <v>3237606688.4409523</v>
      </c>
      <c r="O50" s="29">
        <f>M50-N50</f>
        <v>0</v>
      </c>
    </row>
    <row r="52" spans="1:15" x14ac:dyDescent="0.25">
      <c r="A52" s="39" t="s">
        <v>28</v>
      </c>
      <c r="B52" s="33"/>
      <c r="D52" s="33"/>
      <c r="F52" s="28"/>
      <c r="G52" s="28"/>
    </row>
    <row r="53" spans="1:15" ht="22.5" x14ac:dyDescent="0.25">
      <c r="A53" s="19" t="s">
        <v>6</v>
      </c>
      <c r="B53" s="19" t="s">
        <v>29</v>
      </c>
      <c r="C53" s="19" t="s">
        <v>17</v>
      </c>
      <c r="D53" s="19" t="s">
        <v>30</v>
      </c>
      <c r="E53" s="19" t="s">
        <v>16</v>
      </c>
      <c r="F53" s="19" t="s">
        <v>31</v>
      </c>
      <c r="G53" s="19" t="s">
        <v>32</v>
      </c>
    </row>
    <row r="54" spans="1:15" hidden="1" x14ac:dyDescent="0.25">
      <c r="B54" s="41"/>
      <c r="C54" s="42"/>
      <c r="D54" s="43"/>
      <c r="G54" s="44"/>
      <c r="H54" s="33"/>
    </row>
    <row r="55" spans="1:15" x14ac:dyDescent="0.25">
      <c r="G55" s="45">
        <f>SUM(G54:G54)</f>
        <v>0</v>
      </c>
    </row>
    <row r="57" spans="1:15" x14ac:dyDescent="0.25">
      <c r="A57" s="46" t="s">
        <v>13</v>
      </c>
      <c r="B57" s="47">
        <f>+L24+B27+M50+G55</f>
        <v>32645393369.304718</v>
      </c>
      <c r="C57" s="32">
        <v>32645393369.304749</v>
      </c>
      <c r="D57" s="29">
        <f>B57-C57</f>
        <v>-3.0517578125E-5</v>
      </c>
    </row>
    <row r="60" spans="1:15" x14ac:dyDescent="0.25">
      <c r="A60" s="24" t="s">
        <v>46</v>
      </c>
      <c r="B60" s="33"/>
    </row>
    <row r="61" spans="1:15" x14ac:dyDescent="0.25">
      <c r="A61" s="48" t="s">
        <v>35</v>
      </c>
      <c r="B61" s="49"/>
    </row>
    <row r="62" spans="1:15" x14ac:dyDescent="0.25">
      <c r="A62" s="48" t="s">
        <v>36</v>
      </c>
      <c r="B62" s="40"/>
    </row>
    <row r="63" spans="1:15" x14ac:dyDescent="0.25">
      <c r="A63" s="48" t="s">
        <v>37</v>
      </c>
      <c r="B63" s="40">
        <v>224256.84000000003</v>
      </c>
    </row>
    <row r="64" spans="1:15" x14ac:dyDescent="0.25">
      <c r="A64" s="48" t="s">
        <v>38</v>
      </c>
      <c r="B64" s="40"/>
    </row>
    <row r="65" spans="1:2" x14ac:dyDescent="0.25">
      <c r="A65" s="48" t="s">
        <v>39</v>
      </c>
      <c r="B65" s="49"/>
    </row>
    <row r="66" spans="1:2" x14ac:dyDescent="0.25">
      <c r="A66" s="48" t="s">
        <v>40</v>
      </c>
      <c r="B66" s="50">
        <v>47645.73</v>
      </c>
    </row>
    <row r="67" spans="1:2" x14ac:dyDescent="0.25">
      <c r="A67" s="48" t="s">
        <v>41</v>
      </c>
      <c r="B67" s="50">
        <v>23442.63</v>
      </c>
    </row>
    <row r="68" spans="1:2" x14ac:dyDescent="0.25">
      <c r="A68" s="48" t="s">
        <v>42</v>
      </c>
      <c r="B68" s="40"/>
    </row>
    <row r="69" spans="1:2" x14ac:dyDescent="0.25">
      <c r="A69" s="48" t="s">
        <v>43</v>
      </c>
      <c r="B69" s="40"/>
    </row>
    <row r="70" spans="1:2" x14ac:dyDescent="0.25">
      <c r="A70" s="48" t="s">
        <v>44</v>
      </c>
      <c r="B70" s="50"/>
    </row>
    <row r="71" spans="1:2" x14ac:dyDescent="0.25">
      <c r="A71" s="48" t="s">
        <v>45</v>
      </c>
      <c r="B71" s="49">
        <f>SUM(B61:B70)</f>
        <v>295345.2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2025-10-13T06:15:29Z</dcterms:created>
  <dcterms:modified xsi:type="dcterms:W3CDTF">2025-10-13T10:46:10Z</dcterms:modified>
</cp:coreProperties>
</file>