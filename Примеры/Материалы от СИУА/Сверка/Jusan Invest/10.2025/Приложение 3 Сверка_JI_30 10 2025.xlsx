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perations\Asset Management Operations\КФГД\Отчеты в КФГД\30.10.2025\"/>
    </mc:Choice>
  </mc:AlternateContent>
  <xr:revisionPtr revIDLastSave="0" documentId="8_{34C49A0D-2945-4CD1-B4E5-BCCF2FCD874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4" i="1" l="1"/>
  <c r="G48" i="1"/>
  <c r="B50" i="1" s="1"/>
  <c r="M43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1" i="1" s="1"/>
  <c r="K24" i="1"/>
  <c r="M22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<sst xmlns="http://schemas.openxmlformats.org/spreadsheetml/2006/main" count="180" uniqueCount="124">
  <si>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</si>
  <si>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</si>
  <si>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</si>
  <si>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</si>
  <si>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</si>
  <si>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</si>
  <si>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</si>
  <si>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</si>
  <si>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</si>
  <si>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</si>
  <si>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</si>
  <si>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</si>
  <si>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</si>
  <si>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</si>
  <si>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</si>
  <si>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</si>
  <si>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</si>
  <si>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</si>
  <si>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</si>
  <si>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</si>
  <si>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</si>
  <si>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</si>
  <si>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</si>
  <si>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</si>
  <si>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</si>
  <si>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</si>
  <si>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</si>
  <si>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</si>
  <si>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</si>
  <si>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</si>
  <si>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</si>
  <si>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</si>
  <si>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</si>
  <si>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</si>
  <si>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</si>
  <si>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</si>
  <si>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</si>
  <si>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</si>
  <si>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</si>
  <si>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</si>
  <si>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</si>
  <si>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</si>
  <si>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</si>
  <si>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</si>
  <si>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</si>
  <si>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</si>
  <si>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</si>
  <si>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</si>
  <si>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</si>
  <si>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MOM048_0053</t>
  </si>
  <si>
    <t>KZK200000711</t>
  </si>
  <si>
    <t>KZT</t>
  </si>
  <si>
    <t>30.10.2025</t>
  </si>
  <si>
    <t>31.10.2025</t>
  </si>
  <si>
    <t>МИНИСТЕРСТВО ФИНАНСОВ РК, ГЦБ, MUM072_0014</t>
  </si>
  <si>
    <t>KZKD00001210</t>
  </si>
  <si>
    <t>МИНИСТЕРСТВО ФИНАНСОВ РК, ГЦБ, MUM084_0018</t>
  </si>
  <si>
    <t>KZKD00001137</t>
  </si>
  <si>
    <t>МИНИСТЕРСТВО ФИНАНСОВ РК, ГЦБ, MKM012_0161</t>
  </si>
  <si>
    <t>KZK100000423</t>
  </si>
  <si>
    <t>АКЦИОНЕРНОЕ ОБЩЕСТВО КАЗАХСТАНСКИЙ ФОНД УСТОЙЧИВОСТИ, ОБЛИГАЦИИ, KFUSb10</t>
  </si>
  <si>
    <t>KZ2C00007326</t>
  </si>
  <si>
    <t>29.10.2025</t>
  </si>
  <si>
    <t>АКЦИОНЕРНОЕ ОБЩЕСТВО КАЗАХСТАНСКИЙ ФОНД УСТОЙЧИВОСТИ, ОБЛИГАЦИИ, KFUSb9</t>
  </si>
  <si>
    <t>KZ2C00007318</t>
  </si>
  <si>
    <t>05.11.2025</t>
  </si>
  <si>
    <t>МИНИСТЕРСТВО ФИНАНСОВ РК, ГЦБ, MUM240_0001</t>
  </si>
  <si>
    <t>KZKD00000550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</si>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</sst>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3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1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"/>
  <sheetViews>
    <sheetView tabSelected="1" topLeftCell="A27" zoomScale="90" zoomScaleNormal="90" workbookViewId="0">
      <selection activeCell="F64" sqref="F64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52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68</v>
      </c>
      <c r="B4" s="13" t="s">
        <v>69</v>
      </c>
      <c r="C4" s="10">
        <v>3020000</v>
      </c>
      <c r="D4" s="11">
        <v>3020000000</v>
      </c>
      <c r="E4" s="3">
        <v>0.1067</v>
      </c>
      <c r="F4" s="4" t="s">
        <v>70</v>
      </c>
      <c r="G4" s="4" t="s">
        <v>71</v>
      </c>
      <c r="H4" s="11">
        <v>2930617060.0000029</v>
      </c>
      <c r="I4" s="11">
        <v>98.604200000000006</v>
      </c>
      <c r="J4" s="11">
        <v>101.53845000000001</v>
      </c>
      <c r="K4" s="11">
        <v>88614349.999999985</v>
      </c>
      <c r="L4" s="11">
        <v>3066461189.999999</v>
      </c>
      <c r="M4" s="6">
        <f t="shared" ref="M4:M22" si="0">L4/$L$24</f>
        <v>0.10381472150566656</v>
      </c>
    </row>
    <row r="5" spans="1:13" x14ac:dyDescent="0.25">
      <c r="A5" s="1" t="s">
        <v>72</v>
      </c>
      <c r="B5" s="13" t="s">
        <v>73</v>
      </c>
      <c r="C5" s="10">
        <v>2265000</v>
      </c>
      <c r="D5" s="11">
        <v>2265000000</v>
      </c>
      <c r="E5" s="3">
        <v>0.10550000000000001</v>
      </c>
      <c r="F5" s="4" t="s">
        <v>70</v>
      </c>
      <c r="G5" s="4" t="s">
        <v>74</v>
      </c>
      <c r="H5" s="11">
        <v>2039188560.0000031</v>
      </c>
      <c r="I5" s="11">
        <v>82.863500000000002</v>
      </c>
      <c r="J5" s="11">
        <v>85.55961111111111</v>
      </c>
      <c r="K5" s="11">
        <v>61066916.666666657</v>
      </c>
      <c r="L5" s="11">
        <v>1937925191.666666</v>
      </c>
      <c r="M5" s="6">
        <f t="shared" si="0"/>
        <v>6.5608253816409945E-2</v>
      </c>
    </row>
    <row r="6" spans="1:13" x14ac:dyDescent="0.25">
      <c r="A6" s="1" t="s">
        <v>72</v>
      </c>
      <c r="B6" s="13" t="s">
        <v>73</v>
      </c>
      <c r="C6" s="10">
        <v>1551646</v>
      </c>
      <c r="D6" s="11">
        <v>1551646000</v>
      </c>
      <c r="E6" s="3">
        <v>0.10550000000000001</v>
      </c>
      <c r="F6" s="4" t="s">
        <v>75</v>
      </c>
      <c r="G6" s="4" t="s">
        <v>74</v>
      </c>
      <c r="H6" s="11">
        <v>1395452658.7</v>
      </c>
      <c r="I6" s="11">
        <v>82.863500000000002</v>
      </c>
      <c r="J6" s="11">
        <v>85.559611111111352</v>
      </c>
      <c r="K6" s="11">
        <v>41834100.211111113</v>
      </c>
      <c r="L6" s="11">
        <v>1327582283.4211149</v>
      </c>
      <c r="M6" s="6">
        <f t="shared" si="0"/>
        <v>4.4945158764334463E-2</v>
      </c>
    </row>
    <row r="7" spans="1:13" x14ac:dyDescent="0.25">
      <c r="A7" s="1" t="s">
        <v>72</v>
      </c>
      <c r="B7" s="13" t="s">
        <v>73</v>
      </c>
      <c r="C7" s="10">
        <v>545692</v>
      </c>
      <c r="D7" s="11">
        <v>545692000</v>
      </c>
      <c r="E7" s="3">
        <v>0.10550000000000001</v>
      </c>
      <c r="F7" s="4" t="s">
        <v>76</v>
      </c>
      <c r="G7" s="4" t="s">
        <v>74</v>
      </c>
      <c r="H7" s="11">
        <v>449784993.92000002</v>
      </c>
      <c r="I7" s="11">
        <v>82.863500000000002</v>
      </c>
      <c r="J7" s="11">
        <v>85.55961111111111</v>
      </c>
      <c r="K7" s="11">
        <v>14712462.64444444</v>
      </c>
      <c r="L7" s="11">
        <v>466891953.06444401</v>
      </c>
      <c r="M7" s="6">
        <f t="shared" si="0"/>
        <v>1.5806578031604571E-2</v>
      </c>
    </row>
    <row r="8" spans="1:13" x14ac:dyDescent="0.25">
      <c r="A8" s="1" t="s">
        <v>56</v>
      </c>
      <c r="B8" s="13" t="s">
        <v>57</v>
      </c>
      <c r="C8" s="10">
        <v>2265000</v>
      </c>
      <c r="D8" s="11">
        <v>2265000000</v>
      </c>
      <c r="E8" s="3">
        <v>0.10400000000000001</v>
      </c>
      <c r="F8" s="4" t="s">
        <v>70</v>
      </c>
      <c r="G8" s="4" t="s">
        <v>77</v>
      </c>
      <c r="H8" s="11">
        <v>2073109200</v>
      </c>
      <c r="I8" s="11">
        <v>87.189400000000006</v>
      </c>
      <c r="J8" s="11">
        <v>92.909399999999991</v>
      </c>
      <c r="K8" s="11">
        <v>129558000</v>
      </c>
      <c r="L8" s="11">
        <v>2104397909.999999</v>
      </c>
      <c r="M8" s="6">
        <f t="shared" si="0"/>
        <v>7.1244170210338367E-2</v>
      </c>
    </row>
    <row r="9" spans="1:13" x14ac:dyDescent="0.25">
      <c r="A9" s="1" t="s">
        <v>78</v>
      </c>
      <c r="B9" s="13" t="s">
        <v>79</v>
      </c>
      <c r="C9" s="10">
        <v>2265000</v>
      </c>
      <c r="D9" s="11">
        <v>2265000000</v>
      </c>
      <c r="E9" s="3">
        <v>0.11</v>
      </c>
      <c r="F9" s="4" t="s">
        <v>70</v>
      </c>
      <c r="G9" s="4" t="s">
        <v>80</v>
      </c>
      <c r="H9" s="11">
        <v>2080889475</v>
      </c>
      <c r="I9" s="11">
        <v>84.973700000000008</v>
      </c>
      <c r="J9" s="11">
        <v>91.390366666666651</v>
      </c>
      <c r="K9" s="11">
        <v>145337500</v>
      </c>
      <c r="L9" s="11">
        <v>2069991804.999999</v>
      </c>
      <c r="M9" s="6">
        <f t="shared" si="0"/>
        <v>7.0079355139364086E-2</v>
      </c>
    </row>
    <row r="10" spans="1:13" x14ac:dyDescent="0.25">
      <c r="A10" s="1" t="s">
        <v>81</v>
      </c>
      <c r="B10" s="13" t="s">
        <v>82</v>
      </c>
      <c r="C10" s="10">
        <v>2265000</v>
      </c>
      <c r="D10" s="11">
        <v>2265000000</v>
      </c>
      <c r="E10" s="3">
        <v>0.10300000000000001</v>
      </c>
      <c r="F10" s="4" t="s">
        <v>70</v>
      </c>
      <c r="G10" s="4" t="s">
        <v>83</v>
      </c>
      <c r="H10" s="11">
        <v>1963990560.0000031</v>
      </c>
      <c r="I10" s="11">
        <v>77.290199999999999</v>
      </c>
      <c r="J10" s="11">
        <v>83.670477777777762</v>
      </c>
      <c r="K10" s="11">
        <v>144513291.66666701</v>
      </c>
      <c r="L10" s="11">
        <v>1895136321.666666</v>
      </c>
      <c r="M10" s="6">
        <f t="shared" si="0"/>
        <v>6.4159641116833546E-2</v>
      </c>
    </row>
    <row r="11" spans="1:13" x14ac:dyDescent="0.25">
      <c r="A11" s="1" t="s">
        <v>84</v>
      </c>
      <c r="B11" s="13" t="s">
        <v>85</v>
      </c>
      <c r="C11" s="10">
        <v>2265000</v>
      </c>
      <c r="D11" s="11">
        <v>2265000000</v>
      </c>
      <c r="E11" s="3">
        <v>8.4500000000000006E-2</v>
      </c>
      <c r="F11" s="4" t="s">
        <v>70</v>
      </c>
      <c r="G11" s="4" t="s">
        <v>86</v>
      </c>
      <c r="H11" s="11">
        <v>1740247065.0000031</v>
      </c>
      <c r="I11" s="11">
        <v>67.745400000000004</v>
      </c>
      <c r="J11" s="11">
        <v>72.299011111111113</v>
      </c>
      <c r="K11" s="11">
        <v>103139291.666667</v>
      </c>
      <c r="L11" s="11">
        <v>1637572601.666666</v>
      </c>
      <c r="M11" s="6">
        <f t="shared" si="0"/>
        <v>5.5439848429105619E-2</v>
      </c>
    </row>
    <row r="12" spans="1:13" x14ac:dyDescent="0.25">
      <c r="A12" s="1" t="s">
        <v>87</v>
      </c>
      <c r="B12" s="13" t="s">
        <v>88</v>
      </c>
      <c r="C12" s="10">
        <v>2265000</v>
      </c>
      <c r="D12" s="11">
        <v>2265000000</v>
      </c>
      <c r="E12" s="3">
        <v>0.10650000000000001</v>
      </c>
      <c r="F12" s="4" t="s">
        <v>70</v>
      </c>
      <c r="G12" s="4" t="s">
        <v>89</v>
      </c>
      <c r="H12" s="11">
        <v>1967775375</v>
      </c>
      <c r="I12" s="11">
        <v>75.432200000000009</v>
      </c>
      <c r="J12" s="11">
        <v>78.213033333333328</v>
      </c>
      <c r="K12" s="11">
        <v>62985875</v>
      </c>
      <c r="L12" s="11">
        <v>1771525205</v>
      </c>
      <c r="M12" s="6">
        <f t="shared" si="0"/>
        <v>5.9974799745417265E-2</v>
      </c>
    </row>
    <row r="13" spans="1:13" x14ac:dyDescent="0.25">
      <c r="A13" s="1" t="s">
        <v>90</v>
      </c>
      <c r="B13" s="13" t="s">
        <v>91</v>
      </c>
      <c r="C13" s="10">
        <v>2265000</v>
      </c>
      <c r="D13" s="11">
        <v>2265000000</v>
      </c>
      <c r="E13" s="3">
        <v>8.0700000000000008E-2</v>
      </c>
      <c r="F13" s="4" t="s">
        <v>70</v>
      </c>
      <c r="G13" s="4" t="s">
        <v>92</v>
      </c>
      <c r="H13" s="11">
        <v>1622351550</v>
      </c>
      <c r="I13" s="11">
        <v>61.097700000000003</v>
      </c>
      <c r="J13" s="11">
        <v>64.863700000000009</v>
      </c>
      <c r="K13" s="11">
        <v>85299900</v>
      </c>
      <c r="L13" s="11">
        <v>1469162805</v>
      </c>
      <c r="M13" s="6">
        <f t="shared" si="0"/>
        <v>4.9738352451660722E-2</v>
      </c>
    </row>
    <row r="14" spans="1:13" x14ac:dyDescent="0.25">
      <c r="A14" s="1" t="s">
        <v>93</v>
      </c>
      <c r="B14" s="13" t="s">
        <v>94</v>
      </c>
      <c r="C14" s="10">
        <v>2265000</v>
      </c>
      <c r="D14" s="11">
        <v>2265000000</v>
      </c>
      <c r="E14" s="3">
        <v>8.0700000000000008E-2</v>
      </c>
      <c r="F14" s="4" t="s">
        <v>70</v>
      </c>
      <c r="G14" s="4" t="s">
        <v>95</v>
      </c>
      <c r="H14" s="11">
        <v>1597764975</v>
      </c>
      <c r="I14" s="11">
        <v>59.653100000000002</v>
      </c>
      <c r="J14" s="11">
        <v>65.728016666666662</v>
      </c>
      <c r="K14" s="11">
        <v>137596862.5</v>
      </c>
      <c r="L14" s="11">
        <v>1488739577.5</v>
      </c>
      <c r="M14" s="6">
        <f t="shared" si="0"/>
        <v>5.0401122028427253E-2</v>
      </c>
    </row>
    <row r="15" spans="1:13" x14ac:dyDescent="0.25">
      <c r="A15" s="1" t="s">
        <v>96</v>
      </c>
      <c r="B15" s="13" t="s">
        <v>97</v>
      </c>
      <c r="C15" s="10">
        <v>3775000</v>
      </c>
      <c r="D15" s="11">
        <v>3775000000</v>
      </c>
      <c r="E15" s="3">
        <v>5.4900000000000004E-2</v>
      </c>
      <c r="F15" s="4" t="s">
        <v>70</v>
      </c>
      <c r="G15" s="4" t="s">
        <v>98</v>
      </c>
      <c r="H15" s="11">
        <v>3136670150</v>
      </c>
      <c r="I15" s="11">
        <v>86.263600000000011</v>
      </c>
      <c r="J15" s="11">
        <v>89.511849999999995</v>
      </c>
      <c r="K15" s="11">
        <v>122621437.5</v>
      </c>
      <c r="L15" s="11">
        <v>3379072337.5</v>
      </c>
      <c r="M15" s="6">
        <f t="shared" si="0"/>
        <v>0.11439813906957171</v>
      </c>
    </row>
    <row r="16" spans="1:13" x14ac:dyDescent="0.25">
      <c r="A16" s="1" t="s">
        <v>66</v>
      </c>
      <c r="B16" s="13" t="s">
        <v>67</v>
      </c>
      <c r="C16" s="10">
        <v>2803860</v>
      </c>
      <c r="D16" s="11">
        <v>2803860000</v>
      </c>
      <c r="E16" s="3">
        <v>5.5E-2</v>
      </c>
      <c r="F16" s="4" t="s">
        <v>99</v>
      </c>
      <c r="G16" s="4" t="s">
        <v>100</v>
      </c>
      <c r="H16" s="11">
        <v>1773018067.1400001</v>
      </c>
      <c r="I16" s="11">
        <v>56.6785</v>
      </c>
      <c r="J16" s="11">
        <v>59.520166666666654</v>
      </c>
      <c r="K16" s="11">
        <v>79676355</v>
      </c>
      <c r="L16" s="11">
        <v>1668862145.0999999</v>
      </c>
      <c r="M16" s="6">
        <f t="shared" si="0"/>
        <v>5.6499152635584422E-2</v>
      </c>
    </row>
    <row r="17" spans="1:15" x14ac:dyDescent="0.25">
      <c r="A17" s="1" t="s">
        <v>101</v>
      </c>
      <c r="B17" s="13" t="s">
        <v>102</v>
      </c>
      <c r="C17" s="10">
        <v>1038480</v>
      </c>
      <c r="D17" s="11">
        <v>1038480000</v>
      </c>
      <c r="E17" s="3">
        <v>0.12</v>
      </c>
      <c r="F17" s="4" t="s">
        <v>99</v>
      </c>
      <c r="G17" s="4" t="s">
        <v>103</v>
      </c>
      <c r="H17" s="11">
        <v>979029096.96000004</v>
      </c>
      <c r="I17" s="11">
        <v>85.126400000000004</v>
      </c>
      <c r="J17" s="11">
        <v>92.893066666666655</v>
      </c>
      <c r="K17" s="11">
        <v>80655280</v>
      </c>
      <c r="L17" s="11">
        <v>964675918.72000003</v>
      </c>
      <c r="M17" s="6">
        <f t="shared" si="0"/>
        <v>3.2659001904778669E-2</v>
      </c>
    </row>
    <row r="18" spans="1:15" x14ac:dyDescent="0.25">
      <c r="A18" s="1" t="s">
        <v>104</v>
      </c>
      <c r="B18" s="13" t="s">
        <v>105</v>
      </c>
      <c r="C18" s="10">
        <v>506989</v>
      </c>
      <c r="D18" s="11">
        <v>506989000</v>
      </c>
      <c r="E18" s="3">
        <v>0.1535</v>
      </c>
      <c r="F18" s="4" t="s">
        <v>106</v>
      </c>
      <c r="G18" s="4" t="s">
        <v>107</v>
      </c>
      <c r="H18" s="11">
        <v>492216861.50999999</v>
      </c>
      <c r="I18" s="11">
        <v>98.061599999999999</v>
      </c>
      <c r="J18" s="11">
        <v>104.96910000000001</v>
      </c>
      <c r="K18" s="11">
        <v>35020265.174999997</v>
      </c>
      <c r="L18" s="11">
        <v>532181790.39899999</v>
      </c>
      <c r="M18" s="6">
        <f t="shared" si="0"/>
        <v>1.801695861693238E-2</v>
      </c>
    </row>
    <row r="19" spans="1:15" x14ac:dyDescent="0.25">
      <c r="A19" s="1" t="s">
        <v>108</v>
      </c>
      <c r="B19" s="13" t="s">
        <v>109</v>
      </c>
      <c r="C19" s="10">
        <v>2100000</v>
      </c>
      <c r="D19" s="11">
        <v>2100000000</v>
      </c>
      <c r="E19" s="3">
        <v>0.14300000000000002</v>
      </c>
      <c r="F19" s="4" t="s">
        <v>110</v>
      </c>
      <c r="G19" s="4" t="s">
        <v>111</v>
      </c>
      <c r="H19" s="11">
        <v>2100000000</v>
      </c>
      <c r="I19" s="11">
        <v>94.351341142982292</v>
      </c>
      <c r="J19" s="11">
        <v>96.61550780964896</v>
      </c>
      <c r="K19" s="11">
        <v>47547500</v>
      </c>
      <c r="L19" s="11">
        <v>2028925664.0026281</v>
      </c>
      <c r="M19" s="6">
        <f t="shared" si="0"/>
        <v>6.8689065249227077E-2</v>
      </c>
    </row>
    <row r="20" spans="1:15" x14ac:dyDescent="0.25">
      <c r="A20" s="1" t="s">
        <v>112</v>
      </c>
      <c r="B20" s="13" t="s">
        <v>113</v>
      </c>
      <c r="C20" s="10">
        <v>1000000</v>
      </c>
      <c r="D20" s="11">
        <v>1000000000</v>
      </c>
      <c r="E20" s="3">
        <v>0.1389</v>
      </c>
      <c r="F20" s="4" t="s">
        <v>114</v>
      </c>
      <c r="G20" s="4" t="s">
        <v>115</v>
      </c>
      <c r="H20" s="11">
        <v>1000000000</v>
      </c>
      <c r="I20" s="11">
        <v>98.043331307686103</v>
      </c>
      <c r="J20" s="11">
        <v>103.90799797435301</v>
      </c>
      <c r="K20" s="11">
        <v>58646666.666666657</v>
      </c>
      <c r="L20" s="11">
        <v>1039079979.7435271</v>
      </c>
      <c r="M20" s="6">
        <f t="shared" si="0"/>
        <v>3.51779435757959E-2</v>
      </c>
    </row>
    <row r="21" spans="1:15" x14ac:dyDescent="0.25">
      <c r="A21" s="1" t="s">
        <v>116</v>
      </c>
      <c r="B21" s="13" t="s">
        <v>117</v>
      </c>
      <c r="C21" s="10">
        <v>165739</v>
      </c>
      <c r="D21" s="11">
        <v>165739000</v>
      </c>
      <c r="E21" s="3">
        <v>0.125</v>
      </c>
      <c r="F21" s="4" t="s">
        <v>118</v>
      </c>
      <c r="G21" s="4" t="s">
        <v>119</v>
      </c>
      <c r="H21" s="11">
        <v>159596381.18279999</v>
      </c>
      <c r="I21" s="11">
        <v>96.265276527544302</v>
      </c>
      <c r="J21" s="11">
        <v>101.056943194198</v>
      </c>
      <c r="K21" s="11">
        <v>7941660.41664444</v>
      </c>
      <c r="L21" s="11">
        <v>167490767.08063099</v>
      </c>
      <c r="M21" s="6">
        <f t="shared" si="0"/>
        <v>5.6703823273387575E-3</v>
      </c>
    </row>
    <row r="22" spans="1:15" x14ac:dyDescent="0.25">
      <c r="A22" s="1" t="s">
        <v>120</v>
      </c>
      <c r="B22" s="13" t="s">
        <v>121</v>
      </c>
      <c r="C22" s="10">
        <v>494987</v>
      </c>
      <c r="D22" s="11">
        <v>494987000</v>
      </c>
      <c r="E22" s="3">
        <v>0.1701</v>
      </c>
      <c r="F22" s="4" t="s">
        <v>122</v>
      </c>
      <c r="G22" s="4" t="s">
        <v>123</v>
      </c>
      <c r="H22" s="11">
        <v>495088472.34249997</v>
      </c>
      <c r="I22" s="11">
        <v>101.566</v>
      </c>
      <c r="J22" s="11">
        <v>105.48775000000001</v>
      </c>
      <c r="K22" s="11">
        <v>19412152.672499999</v>
      </c>
      <c r="L22" s="11">
        <v>522150649.09249997</v>
      </c>
      <c r="M22" s="6">
        <f t="shared" si="0"/>
        <v>1.7677355381608771E-2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1466179867.7863669</v>
      </c>
      <c r="L24" s="22">
        <f>SUM(L4:L23)</f>
        <v>29537826095.623837</v>
      </c>
      <c r="M24" s="23"/>
      <c r="O24" s="29"/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2081411.08</v>
      </c>
      <c r="C27" s="32"/>
      <c r="D27" s="29"/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321732</v>
      </c>
      <c r="D32" s="7" t="s">
        <v>51</v>
      </c>
      <c r="E32" s="34" t="s">
        <v>52</v>
      </c>
      <c r="F32" s="34" t="s">
        <v>53</v>
      </c>
      <c r="G32" s="15">
        <v>1029.795999993783</v>
      </c>
      <c r="H32" s="15">
        <v>1030.2798630537211</v>
      </c>
      <c r="I32" s="16">
        <f t="shared" ref="I32:I41" si="1">+C32*G32</f>
        <v>331318326.66999978</v>
      </c>
      <c r="J32" s="16">
        <f t="shared" ref="J32:J41" si="2">+C32*H32</f>
        <v>331474000.8999998</v>
      </c>
      <c r="K32" s="18">
        <v>0.17150000000000001</v>
      </c>
      <c r="L32" s="17"/>
      <c r="M32" s="17">
        <v>331318326.67000002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659808</v>
      </c>
      <c r="D33" s="7" t="s">
        <v>51</v>
      </c>
      <c r="E33" s="34" t="s">
        <v>52</v>
      </c>
      <c r="F33" s="34" t="s">
        <v>53</v>
      </c>
      <c r="G33" s="15">
        <v>1055.53</v>
      </c>
      <c r="H33" s="15">
        <v>1056.025954504946</v>
      </c>
      <c r="I33" s="16">
        <f t="shared" si="1"/>
        <v>696447138.24000001</v>
      </c>
      <c r="J33" s="16">
        <f t="shared" si="2"/>
        <v>696774372.98999941</v>
      </c>
      <c r="K33" s="18">
        <v>0.17150000000000001</v>
      </c>
      <c r="L33" s="17"/>
      <c r="M33" s="17">
        <v>696447138.24000001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683895</v>
      </c>
      <c r="D34" s="7" t="s">
        <v>51</v>
      </c>
      <c r="E34" s="34" t="s">
        <v>52</v>
      </c>
      <c r="F34" s="34" t="s">
        <v>53</v>
      </c>
      <c r="G34" s="15">
        <v>929.09400000000005</v>
      </c>
      <c r="H34" s="15">
        <v>929.53054691144109</v>
      </c>
      <c r="I34" s="16">
        <f t="shared" si="1"/>
        <v>635402741.13</v>
      </c>
      <c r="J34" s="16">
        <f t="shared" si="2"/>
        <v>635701293.38</v>
      </c>
      <c r="K34" s="18">
        <v>0.17150000000000001</v>
      </c>
      <c r="L34" s="17"/>
      <c r="M34" s="17">
        <v>635402741.13</v>
      </c>
      <c r="N34" s="35"/>
    </row>
    <row r="35" spans="1:15" s="36" customFormat="1" ht="12" customHeight="1" x14ac:dyDescent="0.25">
      <c r="A35" s="12" t="s">
        <v>58</v>
      </c>
      <c r="B35" s="7" t="s">
        <v>59</v>
      </c>
      <c r="C35" s="14">
        <v>98190</v>
      </c>
      <c r="D35" s="7" t="s">
        <v>51</v>
      </c>
      <c r="E35" s="34" t="s">
        <v>52</v>
      </c>
      <c r="F35" s="34" t="s">
        <v>53</v>
      </c>
      <c r="G35" s="15">
        <v>91.662899989815656</v>
      </c>
      <c r="H35" s="15">
        <v>91.705969039617059</v>
      </c>
      <c r="I35" s="16">
        <f t="shared" si="1"/>
        <v>9000380.1499999985</v>
      </c>
      <c r="J35" s="16">
        <f t="shared" si="2"/>
        <v>9004609.0999999996</v>
      </c>
      <c r="K35" s="18">
        <v>0.17150000000000001</v>
      </c>
      <c r="L35" s="17"/>
      <c r="M35" s="17">
        <v>9000380.1500000004</v>
      </c>
      <c r="N35" s="35"/>
    </row>
    <row r="36" spans="1:15" s="36" customFormat="1" ht="12" customHeight="1" x14ac:dyDescent="0.25">
      <c r="A36" s="12" t="s">
        <v>60</v>
      </c>
      <c r="B36" s="7" t="s">
        <v>61</v>
      </c>
      <c r="C36" s="14">
        <v>1720796</v>
      </c>
      <c r="D36" s="7" t="s">
        <v>51</v>
      </c>
      <c r="E36" s="34" t="s">
        <v>62</v>
      </c>
      <c r="F36" s="34" t="s">
        <v>52</v>
      </c>
      <c r="G36" s="15">
        <v>965.39300000116202</v>
      </c>
      <c r="H36" s="15">
        <v>965.84528000994908</v>
      </c>
      <c r="I36" s="16">
        <f t="shared" si="1"/>
        <v>1661244412.8299997</v>
      </c>
      <c r="J36" s="16">
        <f t="shared" si="2"/>
        <v>1662022694.4600003</v>
      </c>
      <c r="K36" s="18">
        <v>0.17100000000000001</v>
      </c>
      <c r="L36" s="17">
        <v>778281.63</v>
      </c>
      <c r="M36" s="17"/>
      <c r="N36" s="35"/>
    </row>
    <row r="37" spans="1:15" s="36" customFormat="1" ht="12" customHeight="1" x14ac:dyDescent="0.25">
      <c r="A37" s="12" t="s">
        <v>60</v>
      </c>
      <c r="B37" s="7" t="s">
        <v>61</v>
      </c>
      <c r="C37" s="14">
        <v>1720796</v>
      </c>
      <c r="D37" s="7" t="s">
        <v>51</v>
      </c>
      <c r="E37" s="34" t="s">
        <v>52</v>
      </c>
      <c r="F37" s="34" t="s">
        <v>52</v>
      </c>
      <c r="G37" s="15">
        <v>965.39300000116202</v>
      </c>
      <c r="H37" s="15">
        <v>965.84528000994908</v>
      </c>
      <c r="I37" s="16">
        <f t="shared" si="1"/>
        <v>1661244412.8299997</v>
      </c>
      <c r="J37" s="16">
        <f t="shared" si="2"/>
        <v>1662022694.4600003</v>
      </c>
      <c r="K37" s="18">
        <v>0.17100000000000001</v>
      </c>
      <c r="L37" s="17"/>
      <c r="M37" s="17"/>
      <c r="N37" s="35"/>
    </row>
    <row r="38" spans="1:15" s="36" customFormat="1" ht="12" customHeight="1" x14ac:dyDescent="0.25">
      <c r="A38" s="12" t="s">
        <v>63</v>
      </c>
      <c r="B38" s="7" t="s">
        <v>64</v>
      </c>
      <c r="C38" s="14">
        <v>1511139</v>
      </c>
      <c r="D38" s="7" t="s">
        <v>51</v>
      </c>
      <c r="E38" s="34" t="s">
        <v>62</v>
      </c>
      <c r="F38" s="34" t="s">
        <v>65</v>
      </c>
      <c r="G38" s="15">
        <v>1051.7669999980139</v>
      </c>
      <c r="H38" s="15">
        <v>1055.236390318825</v>
      </c>
      <c r="I38" s="16">
        <f t="shared" si="1"/>
        <v>1589366132.6099987</v>
      </c>
      <c r="J38" s="16">
        <f t="shared" si="2"/>
        <v>1594608863.6299989</v>
      </c>
      <c r="K38" s="18">
        <v>0.17200000000000001</v>
      </c>
      <c r="L38" s="17">
        <v>748961.57428571419</v>
      </c>
      <c r="M38" s="17">
        <v>1590115094.1842849</v>
      </c>
      <c r="N38" s="35"/>
    </row>
    <row r="39" spans="1:15" s="36" customFormat="1" ht="12" customHeight="1" x14ac:dyDescent="0.25">
      <c r="A39" s="12" t="s">
        <v>56</v>
      </c>
      <c r="B39" s="7" t="s">
        <v>57</v>
      </c>
      <c r="C39" s="14">
        <v>11858</v>
      </c>
      <c r="D39" s="7" t="s">
        <v>51</v>
      </c>
      <c r="E39" s="34" t="s">
        <v>62</v>
      </c>
      <c r="F39" s="34" t="s">
        <v>52</v>
      </c>
      <c r="G39" s="15">
        <v>927.82399983133701</v>
      </c>
      <c r="H39" s="15">
        <v>928.25867684263801</v>
      </c>
      <c r="I39" s="16">
        <f t="shared" si="1"/>
        <v>11002136.989999995</v>
      </c>
      <c r="J39" s="16">
        <f t="shared" si="2"/>
        <v>11007291.390000001</v>
      </c>
      <c r="K39" s="18">
        <v>0.17099899999999998</v>
      </c>
      <c r="L39" s="17">
        <v>5154.4000000000005</v>
      </c>
      <c r="M39" s="17"/>
      <c r="N39" s="35"/>
    </row>
    <row r="40" spans="1:15" s="36" customFormat="1" ht="12" customHeight="1" x14ac:dyDescent="0.25">
      <c r="A40" s="12" t="s">
        <v>56</v>
      </c>
      <c r="B40" s="7" t="s">
        <v>57</v>
      </c>
      <c r="C40" s="14">
        <v>11858</v>
      </c>
      <c r="D40" s="7" t="s">
        <v>51</v>
      </c>
      <c r="E40" s="34" t="s">
        <v>52</v>
      </c>
      <c r="F40" s="34" t="s">
        <v>52</v>
      </c>
      <c r="G40" s="15">
        <v>927.82399983133701</v>
      </c>
      <c r="H40" s="15">
        <v>928.25867684263801</v>
      </c>
      <c r="I40" s="16">
        <f t="shared" si="1"/>
        <v>11002136.989999995</v>
      </c>
      <c r="J40" s="16">
        <f t="shared" si="2"/>
        <v>11007291.390000001</v>
      </c>
      <c r="K40" s="18">
        <v>0.17099899999999998</v>
      </c>
      <c r="L40" s="17"/>
      <c r="M40" s="17"/>
      <c r="N40" s="35"/>
    </row>
    <row r="41" spans="1:15" s="36" customFormat="1" ht="12" customHeight="1" x14ac:dyDescent="0.25">
      <c r="A41" s="12" t="s">
        <v>66</v>
      </c>
      <c r="B41" s="7" t="s">
        <v>67</v>
      </c>
      <c r="C41" s="14">
        <v>18502</v>
      </c>
      <c r="D41" s="7" t="s">
        <v>51</v>
      </c>
      <c r="E41" s="34" t="s">
        <v>62</v>
      </c>
      <c r="F41" s="34" t="s">
        <v>65</v>
      </c>
      <c r="G41" s="15">
        <v>594.62800021619307</v>
      </c>
      <c r="H41" s="15">
        <v>596.58945789644406</v>
      </c>
      <c r="I41" s="16">
        <f t="shared" si="1"/>
        <v>11001807.260000004</v>
      </c>
      <c r="J41" s="16">
        <f t="shared" si="2"/>
        <v>11038098.150000008</v>
      </c>
      <c r="K41" s="18">
        <v>0.17200000000000001</v>
      </c>
      <c r="L41" s="17">
        <v>5184.4128571428573</v>
      </c>
      <c r="M41" s="17">
        <v>11006991.672857139</v>
      </c>
      <c r="N41" s="35"/>
    </row>
    <row r="42" spans="1:15" s="36" customFormat="1" ht="11.25" hidden="1" x14ac:dyDescent="0.25">
      <c r="A42" s="7"/>
      <c r="B42" s="7"/>
      <c r="C42" s="7"/>
      <c r="D42" s="7"/>
      <c r="E42" s="37"/>
      <c r="F42" s="37"/>
      <c r="G42" s="7"/>
      <c r="H42" s="7"/>
      <c r="I42" s="8"/>
      <c r="J42" s="8"/>
      <c r="K42" s="7"/>
      <c r="L42" s="9"/>
      <c r="M42" s="9"/>
      <c r="N42" s="35"/>
    </row>
    <row r="43" spans="1:15" x14ac:dyDescent="0.25">
      <c r="A43" s="1" t="s">
        <v>5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2">
        <f>SUM(M32:M42)</f>
        <v>3273290672.047142</v>
      </c>
      <c r="N43" s="38"/>
      <c r="O43" s="29"/>
    </row>
    <row r="45" spans="1:15" x14ac:dyDescent="0.25">
      <c r="A45" s="39" t="s">
        <v>28</v>
      </c>
      <c r="B45" s="33"/>
      <c r="D45" s="33"/>
      <c r="F45" s="28"/>
      <c r="G45" s="28"/>
    </row>
    <row r="46" spans="1:15" ht="22.5" x14ac:dyDescent="0.25">
      <c r="A46" s="19" t="s">
        <v>6</v>
      </c>
      <c r="B46" s="19" t="s">
        <v>29</v>
      </c>
      <c r="C46" s="19" t="s">
        <v>17</v>
      </c>
      <c r="D46" s="19" t="s">
        <v>30</v>
      </c>
      <c r="E46" s="19" t="s">
        <v>16</v>
      </c>
      <c r="F46" s="19" t="s">
        <v>31</v>
      </c>
      <c r="G46" s="19" t="s">
        <v>32</v>
      </c>
    </row>
    <row r="47" spans="1:15" hidden="1" x14ac:dyDescent="0.25">
      <c r="B47" s="41"/>
      <c r="C47" s="42"/>
      <c r="D47" s="43"/>
      <c r="G47" s="44"/>
      <c r="H47" s="33"/>
    </row>
    <row r="48" spans="1:15" x14ac:dyDescent="0.25">
      <c r="G48" s="45">
        <f>SUM(G47:G47)</f>
        <v>0</v>
      </c>
    </row>
    <row r="50" spans="1:4" x14ac:dyDescent="0.25">
      <c r="A50" s="46" t="s">
        <v>13</v>
      </c>
      <c r="B50" s="47">
        <f>+L24+B27+M43+G48</f>
        <v>32813198178.75098</v>
      </c>
      <c r="C50" s="32"/>
      <c r="D50" s="29"/>
    </row>
    <row r="53" spans="1:4" x14ac:dyDescent="0.25">
      <c r="A53" s="24" t="s">
        <v>46</v>
      </c>
      <c r="B53" s="33"/>
    </row>
    <row r="54" spans="1:4" x14ac:dyDescent="0.25">
      <c r="A54" s="48" t="s">
        <v>35</v>
      </c>
      <c r="B54" s="49"/>
    </row>
    <row r="55" spans="1:4" x14ac:dyDescent="0.25">
      <c r="A55" s="48" t="s">
        <v>36</v>
      </c>
      <c r="B55" s="40"/>
    </row>
    <row r="56" spans="1:4" x14ac:dyDescent="0.25">
      <c r="A56" s="48" t="s">
        <v>37</v>
      </c>
      <c r="B56" s="40">
        <v>596474.17000000016</v>
      </c>
    </row>
    <row r="57" spans="1:4" x14ac:dyDescent="0.25">
      <c r="A57" s="48" t="s">
        <v>38</v>
      </c>
      <c r="B57" s="40"/>
    </row>
    <row r="58" spans="1:4" x14ac:dyDescent="0.25">
      <c r="A58" s="48" t="s">
        <v>39</v>
      </c>
      <c r="B58" s="49"/>
    </row>
    <row r="59" spans="1:4" x14ac:dyDescent="0.25">
      <c r="A59" s="48" t="s">
        <v>40</v>
      </c>
      <c r="B59" s="50">
        <v>148115.65999999997</v>
      </c>
    </row>
    <row r="60" spans="1:4" x14ac:dyDescent="0.25">
      <c r="A60" s="48" t="s">
        <v>41</v>
      </c>
      <c r="B60" s="50">
        <v>73413.87000000001</v>
      </c>
    </row>
    <row r="61" spans="1:4" x14ac:dyDescent="0.25">
      <c r="A61" s="48" t="s">
        <v>42</v>
      </c>
      <c r="B61" s="40"/>
    </row>
    <row r="62" spans="1:4" x14ac:dyDescent="0.25">
      <c r="A62" s="48" t="s">
        <v>43</v>
      </c>
      <c r="B62" s="40"/>
    </row>
    <row r="63" spans="1:4" x14ac:dyDescent="0.25">
      <c r="A63" s="48" t="s">
        <v>44</v>
      </c>
      <c r="B63" s="50"/>
    </row>
    <row r="64" spans="1:4" x14ac:dyDescent="0.25">
      <c r="A64" s="48" t="s">
        <v>45</v>
      </c>
      <c r="B64" s="49">
        <f>SUM(B54:B63)</f>
        <v>818003.70000000007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Kamila GULAMOVA</cp:lastModifiedBy>
  <dcterms:created xsi:type="dcterms:W3CDTF">2025-10-31T05:04:00Z</dcterms:created>
  <dcterms:modified xsi:type="dcterms:W3CDTF">2025-10-31T05:04:39Z</dcterms:modified>
</cp:coreProperties>
</file>