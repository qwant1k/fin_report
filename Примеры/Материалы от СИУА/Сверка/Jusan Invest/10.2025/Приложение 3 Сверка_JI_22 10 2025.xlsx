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F0D41B81-18F8-4DB3-BC19-12593CB12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O46" i="1"/>
  <c r="O24" i="1"/>
  <c r="D27" i="1"/>
  <c r="B67" i="1"/>
  <c r="G51" i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8" i="1"/>
  <c r="M16" i="1"/>
  <c r="M15" i="1"/>
  <c r="M14" i="1"/>
  <c r="M12" i="1"/>
  <c r="M11" i="1"/>
  <c r="M10" i="1"/>
  <c r="M8" i="1"/>
  <c r="M7" i="1"/>
  <c r="M6" i="1"/>
  <c r="M4" i="1"/>
  <c r="M5" i="1" l="1"/>
  <c r="M9" i="1"/>
  <c r="M13" i="1"/>
  <c r="M17" i="1"/>
  <c r="M21" i="1"/>
  <c r="B53" i="1"/>
</calcChain>
</file>

<file path=xl/sharedStrings.xml><?xml version="1.0" encoding="utf-8"?>
<sst xmlns="http://schemas.openxmlformats.org/spreadsheetml/2006/main" count="195" uniqueCount="132">
  <si>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</si>
  <si>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</si>
  <si>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</si>
  <si>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</si>
  <si>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</si>
  <si>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</si>
  <si>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</si>
  <si>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</si>
  <si>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</si>
  <si>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</si>
  <si>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</si>
  <si>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</si>
  <si>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</si>
  <si>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</si>
  <si>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</si>
  <si>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</si>
  <si>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</si>
  <si>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</si>
  <si>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</si>
  <si>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</si>
  <si>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</si>
  <si>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</si>
  <si>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</si>
  <si>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</si>
  <si>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</si>
  <si>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</si>
  <si>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</si>
  <si>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</si>
  <si>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</si>
  <si>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</si>
  <si>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</si>
  <si>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</si>
  <si>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</si>
  <si>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</si>
  <si>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</si>
  <si>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</si>
  <si>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</si>
  <si>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</si>
  <si>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</si>
  <si>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</si>
  <si>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</si>
  <si>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</si>
  <si>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</si>
  <si>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</si>
  <si>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</si>
  <si>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</si>
  <si>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</si>
  <si>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</si>
  <si>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</si>
  <si>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ЕВРАЗИЙСКИЙ БАНК РАЗВИТИЯ, ОБЛИГАЦИИ, EABRb40</t>
  </si>
  <si>
    <t>KZ2D00009628</t>
  </si>
  <si>
    <t>KZT</t>
  </si>
  <si>
    <t>21.10.2025</t>
  </si>
  <si>
    <t>22.10.2025</t>
  </si>
  <si>
    <t>МИНИСТЕРСТВО ФИНАНСОВ РК, ГЦБ, KZ_06_4410</t>
  </si>
  <si>
    <t>XS1120709826</t>
  </si>
  <si>
    <t>МИНИСТЕРСТВО ФИНАНСОВ РК, ГЦБ, MUM096_0014</t>
  </si>
  <si>
    <t>KZKD00001228</t>
  </si>
  <si>
    <t>28.10.2025</t>
  </si>
  <si>
    <t>ЕВРАЗИЙСКИЙ БАНК РАЗВИТИЯ, ОБЛИГАЦИИ, EABRb42</t>
  </si>
  <si>
    <t>KZ2D00009222</t>
  </si>
  <si>
    <t>МИНИСТЕРСТВО ФИНАНСОВ РК, ГЦБ, MUM180_0015</t>
  </si>
  <si>
    <t>KZKD00001186</t>
  </si>
  <si>
    <t>МИНИСТЕРСТВО ФИНАНСОВ РК, ГЦБ, MUM096_0011</t>
  </si>
  <si>
    <t>KZKD00001095</t>
  </si>
  <si>
    <t>МИНИСТЕРСТВО ФИНАНСОВ РК, ГЦБ, MUM108_0014</t>
  </si>
  <si>
    <t>KZKD00001236</t>
  </si>
  <si>
    <t>МИНИСТЕРСТВО ФИНАНСОВ РК, ГЦБ, KZ_25_3707</t>
  </si>
  <si>
    <t>XS3093658014</t>
  </si>
  <si>
    <t>23.10.2025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</si>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</sst>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5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  <font>
      <sz val="1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DDEBF7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0" fontId="13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4" fillId="3" borderId="1" xfId="7" applyNumberFormat="1" applyFont="1" applyFill="1" applyBorder="1" applyAlignment="1">
      <alignment horizontal="right"/>
    </xf>
  </cellXfs>
  <cellStyles count="8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DVII02 2" xfId="7" xr:uid="{7348576F-DCA0-428C-8058-38071AE00F9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22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5" width="16.42578125" style="26" bestFit="1" customWidth="1"/>
    <col min="16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72</v>
      </c>
      <c r="B4" s="13" t="s">
        <v>73</v>
      </c>
      <c r="C4" s="10">
        <v>3020000</v>
      </c>
      <c r="D4" s="11">
        <v>3020000000</v>
      </c>
      <c r="E4" s="3">
        <v>0.1067</v>
      </c>
      <c r="F4" s="4" t="s">
        <v>74</v>
      </c>
      <c r="G4" s="4" t="s">
        <v>75</v>
      </c>
      <c r="H4" s="11">
        <v>2930617060.0000029</v>
      </c>
      <c r="I4" s="11">
        <v>98.515900000000002</v>
      </c>
      <c r="J4" s="11">
        <v>101.213038888889</v>
      </c>
      <c r="K4" s="11">
        <v>81453594.444444433</v>
      </c>
      <c r="L4" s="11">
        <v>3056633774.4444442</v>
      </c>
      <c r="M4" s="6">
        <f t="shared" ref="M4:M22" si="0">L4/$L$24</f>
        <v>0.10412288343818223</v>
      </c>
    </row>
    <row r="5" spans="1:13" x14ac:dyDescent="0.25">
      <c r="A5" s="1" t="s">
        <v>76</v>
      </c>
      <c r="B5" s="13" t="s">
        <v>77</v>
      </c>
      <c r="C5" s="10">
        <v>2265000</v>
      </c>
      <c r="D5" s="11">
        <v>2265000000</v>
      </c>
      <c r="E5" s="3">
        <v>0.10550000000000001</v>
      </c>
      <c r="F5" s="4" t="s">
        <v>74</v>
      </c>
      <c r="G5" s="4" t="s">
        <v>78</v>
      </c>
      <c r="H5" s="11">
        <v>2039188560.0000031</v>
      </c>
      <c r="I5" s="11">
        <v>82.169499999999999</v>
      </c>
      <c r="J5" s="11">
        <v>84.631166666666658</v>
      </c>
      <c r="K5" s="11">
        <v>55756749.999999993</v>
      </c>
      <c r="L5" s="11">
        <v>1916895924.999999</v>
      </c>
      <c r="M5" s="6">
        <f t="shared" si="0"/>
        <v>6.5298215517551883E-2</v>
      </c>
    </row>
    <row r="6" spans="1:13" x14ac:dyDescent="0.25">
      <c r="A6" s="1" t="s">
        <v>76</v>
      </c>
      <c r="B6" s="13" t="s">
        <v>77</v>
      </c>
      <c r="C6" s="10">
        <v>1551646</v>
      </c>
      <c r="D6" s="11">
        <v>1551646000</v>
      </c>
      <c r="E6" s="3">
        <v>0.10550000000000001</v>
      </c>
      <c r="F6" s="4" t="s">
        <v>79</v>
      </c>
      <c r="G6" s="4" t="s">
        <v>78</v>
      </c>
      <c r="H6" s="11">
        <v>1395452658.7</v>
      </c>
      <c r="I6" s="11">
        <v>82.169499999999999</v>
      </c>
      <c r="J6" s="11">
        <v>84.631166666666914</v>
      </c>
      <c r="K6" s="11">
        <v>38196352.36666666</v>
      </c>
      <c r="L6" s="11">
        <v>1313176112.3366699</v>
      </c>
      <c r="M6" s="6">
        <f t="shared" si="0"/>
        <v>4.4732765966864291E-2</v>
      </c>
    </row>
    <row r="7" spans="1:13" x14ac:dyDescent="0.25">
      <c r="A7" s="1" t="s">
        <v>76</v>
      </c>
      <c r="B7" s="13" t="s">
        <v>77</v>
      </c>
      <c r="C7" s="10">
        <v>545692</v>
      </c>
      <c r="D7" s="11">
        <v>545692000</v>
      </c>
      <c r="E7" s="3">
        <v>0.10550000000000001</v>
      </c>
      <c r="F7" s="4" t="s">
        <v>80</v>
      </c>
      <c r="G7" s="4" t="s">
        <v>78</v>
      </c>
      <c r="H7" s="11">
        <v>449784993.92000002</v>
      </c>
      <c r="I7" s="11">
        <v>82.169499999999999</v>
      </c>
      <c r="J7" s="11">
        <v>84.631166666666658</v>
      </c>
      <c r="K7" s="11">
        <v>13433118.066666661</v>
      </c>
      <c r="L7" s="11">
        <v>461825506.00666702</v>
      </c>
      <c r="M7" s="6">
        <f t="shared" si="0"/>
        <v>1.5731882482209258E-2</v>
      </c>
    </row>
    <row r="8" spans="1:13" x14ac:dyDescent="0.25">
      <c r="A8" s="1" t="s">
        <v>81</v>
      </c>
      <c r="B8" s="13" t="s">
        <v>82</v>
      </c>
      <c r="C8" s="10">
        <v>2265000</v>
      </c>
      <c r="D8" s="11">
        <v>2265000000</v>
      </c>
      <c r="E8" s="3">
        <v>0.10400000000000001</v>
      </c>
      <c r="F8" s="4" t="s">
        <v>74</v>
      </c>
      <c r="G8" s="4" t="s">
        <v>83</v>
      </c>
      <c r="H8" s="11">
        <v>2073109200</v>
      </c>
      <c r="I8" s="11">
        <v>86.368499999999997</v>
      </c>
      <c r="J8" s="11">
        <v>91.857388888888877</v>
      </c>
      <c r="K8" s="11">
        <v>124323333.333333</v>
      </c>
      <c r="L8" s="11">
        <v>2080569858.333333</v>
      </c>
      <c r="M8" s="6">
        <f t="shared" si="0"/>
        <v>7.0873695977402867E-2</v>
      </c>
    </row>
    <row r="9" spans="1:13" x14ac:dyDescent="0.25">
      <c r="A9" s="1" t="s">
        <v>84</v>
      </c>
      <c r="B9" s="13" t="s">
        <v>85</v>
      </c>
      <c r="C9" s="10">
        <v>2265000</v>
      </c>
      <c r="D9" s="11">
        <v>2265000000</v>
      </c>
      <c r="E9" s="3">
        <v>0.11</v>
      </c>
      <c r="F9" s="4" t="s">
        <v>74</v>
      </c>
      <c r="G9" s="4" t="s">
        <v>86</v>
      </c>
      <c r="H9" s="11">
        <v>2080889475</v>
      </c>
      <c r="I9" s="11">
        <v>84.216200000000001</v>
      </c>
      <c r="J9" s="11">
        <v>90.388422222222218</v>
      </c>
      <c r="K9" s="11">
        <v>139800833.33333299</v>
      </c>
      <c r="L9" s="11">
        <v>2047297763.333333</v>
      </c>
      <c r="M9" s="6">
        <f t="shared" si="0"/>
        <v>6.9740296713678901E-2</v>
      </c>
    </row>
    <row r="10" spans="1:13" x14ac:dyDescent="0.25">
      <c r="A10" s="1" t="s">
        <v>87</v>
      </c>
      <c r="B10" s="13" t="s">
        <v>88</v>
      </c>
      <c r="C10" s="10">
        <v>2265000</v>
      </c>
      <c r="D10" s="11">
        <v>2265000000</v>
      </c>
      <c r="E10" s="3">
        <v>0.10300000000000001</v>
      </c>
      <c r="F10" s="4" t="s">
        <v>74</v>
      </c>
      <c r="G10" s="4" t="s">
        <v>89</v>
      </c>
      <c r="H10" s="11">
        <v>1963990560.0000031</v>
      </c>
      <c r="I10" s="11">
        <v>76.919499999999999</v>
      </c>
      <c r="J10" s="11">
        <v>83.070888888888874</v>
      </c>
      <c r="K10" s="11">
        <v>139328958.33333299</v>
      </c>
      <c r="L10" s="11">
        <v>1881555633.333333</v>
      </c>
      <c r="M10" s="6">
        <f t="shared" si="0"/>
        <v>6.4094364045175739E-2</v>
      </c>
    </row>
    <row r="11" spans="1:13" x14ac:dyDescent="0.25">
      <c r="A11" s="1" t="s">
        <v>90</v>
      </c>
      <c r="B11" s="13" t="s">
        <v>91</v>
      </c>
      <c r="C11" s="10">
        <v>2265000</v>
      </c>
      <c r="D11" s="11">
        <v>2265000000</v>
      </c>
      <c r="E11" s="3">
        <v>8.4500000000000006E-2</v>
      </c>
      <c r="F11" s="4" t="s">
        <v>74</v>
      </c>
      <c r="G11" s="4" t="s">
        <v>92</v>
      </c>
      <c r="H11" s="11">
        <v>1740247065.0000031</v>
      </c>
      <c r="I11" s="11">
        <v>67.607700000000008</v>
      </c>
      <c r="J11" s="11">
        <v>71.973533333333322</v>
      </c>
      <c r="K11" s="11">
        <v>98886124.999999985</v>
      </c>
      <c r="L11" s="11">
        <v>1630200529.999999</v>
      </c>
      <c r="M11" s="6">
        <f t="shared" si="0"/>
        <v>5.5532063142534616E-2</v>
      </c>
    </row>
    <row r="12" spans="1:13" x14ac:dyDescent="0.25">
      <c r="A12" s="1" t="s">
        <v>93</v>
      </c>
      <c r="B12" s="13" t="s">
        <v>94</v>
      </c>
      <c r="C12" s="10">
        <v>2265000</v>
      </c>
      <c r="D12" s="11">
        <v>2265000000</v>
      </c>
      <c r="E12" s="3">
        <v>0.10650000000000001</v>
      </c>
      <c r="F12" s="4" t="s">
        <v>74</v>
      </c>
      <c r="G12" s="4" t="s">
        <v>95</v>
      </c>
      <c r="H12" s="11">
        <v>1967775375</v>
      </c>
      <c r="I12" s="11">
        <v>75.325000000000003</v>
      </c>
      <c r="J12" s="11">
        <v>77.869166666666658</v>
      </c>
      <c r="K12" s="11">
        <v>57625375</v>
      </c>
      <c r="L12" s="11">
        <v>1763736625</v>
      </c>
      <c r="M12" s="6">
        <f t="shared" si="0"/>
        <v>6.0080911411739608E-2</v>
      </c>
    </row>
    <row r="13" spans="1:13" x14ac:dyDescent="0.25">
      <c r="A13" s="1" t="s">
        <v>96</v>
      </c>
      <c r="B13" s="13" t="s">
        <v>97</v>
      </c>
      <c r="C13" s="10">
        <v>2265000</v>
      </c>
      <c r="D13" s="11">
        <v>2265000000</v>
      </c>
      <c r="E13" s="3">
        <v>8.0700000000000008E-2</v>
      </c>
      <c r="F13" s="4" t="s">
        <v>74</v>
      </c>
      <c r="G13" s="4" t="s">
        <v>98</v>
      </c>
      <c r="H13" s="11">
        <v>1622351550</v>
      </c>
      <c r="I13" s="11">
        <v>61.266500000000001</v>
      </c>
      <c r="J13" s="11">
        <v>64.853166666666652</v>
      </c>
      <c r="K13" s="11">
        <v>81238000</v>
      </c>
      <c r="L13" s="11">
        <v>1468924225</v>
      </c>
      <c r="M13" s="6">
        <f t="shared" si="0"/>
        <v>5.0038256835984944E-2</v>
      </c>
    </row>
    <row r="14" spans="1:13" x14ac:dyDescent="0.25">
      <c r="A14" s="1" t="s">
        <v>99</v>
      </c>
      <c r="B14" s="13" t="s">
        <v>100</v>
      </c>
      <c r="C14" s="10">
        <v>2265000</v>
      </c>
      <c r="D14" s="11">
        <v>2265000000</v>
      </c>
      <c r="E14" s="3">
        <v>8.0700000000000008E-2</v>
      </c>
      <c r="F14" s="4" t="s">
        <v>74</v>
      </c>
      <c r="G14" s="4" t="s">
        <v>101</v>
      </c>
      <c r="H14" s="11">
        <v>1597764975</v>
      </c>
      <c r="I14" s="11">
        <v>59.889300000000006</v>
      </c>
      <c r="J14" s="11">
        <v>65.784883333333326</v>
      </c>
      <c r="K14" s="11">
        <v>133534962.5</v>
      </c>
      <c r="L14" s="11">
        <v>1490027607.5</v>
      </c>
      <c r="M14" s="6">
        <f t="shared" si="0"/>
        <v>5.0757134267285411E-2</v>
      </c>
    </row>
    <row r="15" spans="1:13" x14ac:dyDescent="0.25">
      <c r="A15" s="1" t="s">
        <v>102</v>
      </c>
      <c r="B15" s="13" t="s">
        <v>103</v>
      </c>
      <c r="C15" s="10">
        <v>3775000</v>
      </c>
      <c r="D15" s="11">
        <v>3775000000</v>
      </c>
      <c r="E15" s="3">
        <v>5.4900000000000004E-2</v>
      </c>
      <c r="F15" s="4" t="s">
        <v>74</v>
      </c>
      <c r="G15" s="4" t="s">
        <v>104</v>
      </c>
      <c r="H15" s="11">
        <v>3136670150</v>
      </c>
      <c r="I15" s="11">
        <v>85.615499999999997</v>
      </c>
      <c r="J15" s="11">
        <v>88.741749999999996</v>
      </c>
      <c r="K15" s="11">
        <v>118015937.5</v>
      </c>
      <c r="L15" s="11">
        <v>3350001062.5</v>
      </c>
      <c r="M15" s="6">
        <f t="shared" si="0"/>
        <v>0.11411631091195153</v>
      </c>
    </row>
    <row r="16" spans="1:13" x14ac:dyDescent="0.25">
      <c r="A16" s="1" t="s">
        <v>105</v>
      </c>
      <c r="B16" s="13" t="s">
        <v>106</v>
      </c>
      <c r="C16" s="10">
        <v>2803860</v>
      </c>
      <c r="D16" s="11">
        <v>2803860000</v>
      </c>
      <c r="E16" s="3">
        <v>5.5E-2</v>
      </c>
      <c r="F16" s="4" t="s">
        <v>107</v>
      </c>
      <c r="G16" s="4" t="s">
        <v>108</v>
      </c>
      <c r="H16" s="11">
        <v>1773018067.1400001</v>
      </c>
      <c r="I16" s="11">
        <v>56.578800000000001</v>
      </c>
      <c r="J16" s="11">
        <v>59.298244444444435</v>
      </c>
      <c r="K16" s="11">
        <v>76249415</v>
      </c>
      <c r="L16" s="11">
        <v>1662639756.6800001</v>
      </c>
      <c r="M16" s="6">
        <f t="shared" si="0"/>
        <v>5.6637091113718514E-2</v>
      </c>
    </row>
    <row r="17" spans="1:15" x14ac:dyDescent="0.25">
      <c r="A17" s="1" t="s">
        <v>109</v>
      </c>
      <c r="B17" s="13" t="s">
        <v>110</v>
      </c>
      <c r="C17" s="10">
        <v>1038480</v>
      </c>
      <c r="D17" s="11">
        <v>1038480000</v>
      </c>
      <c r="E17" s="3">
        <v>0.12</v>
      </c>
      <c r="F17" s="4" t="s">
        <v>107</v>
      </c>
      <c r="G17" s="4" t="s">
        <v>111</v>
      </c>
      <c r="H17" s="11">
        <v>979029096.96000004</v>
      </c>
      <c r="I17" s="11">
        <v>84.525900000000007</v>
      </c>
      <c r="J17" s="11">
        <v>92.025900000000007</v>
      </c>
      <c r="K17" s="11">
        <v>77886000</v>
      </c>
      <c r="L17" s="11">
        <v>955670566.32000005</v>
      </c>
      <c r="M17" s="6">
        <f t="shared" si="0"/>
        <v>3.2554496981021155E-2</v>
      </c>
    </row>
    <row r="18" spans="1:15" x14ac:dyDescent="0.25">
      <c r="A18" s="1" t="s">
        <v>112</v>
      </c>
      <c r="B18" s="13" t="s">
        <v>113</v>
      </c>
      <c r="C18" s="10">
        <v>506989</v>
      </c>
      <c r="D18" s="11">
        <v>506989000</v>
      </c>
      <c r="E18" s="3">
        <v>0.1535</v>
      </c>
      <c r="F18" s="4" t="s">
        <v>114</v>
      </c>
      <c r="G18" s="4" t="s">
        <v>115</v>
      </c>
      <c r="H18" s="11">
        <v>492216861.50999999</v>
      </c>
      <c r="I18" s="11">
        <v>97.33420000000001</v>
      </c>
      <c r="J18" s="11">
        <v>103.900588888889</v>
      </c>
      <c r="K18" s="11">
        <v>33290869.363888878</v>
      </c>
      <c r="L18" s="11">
        <v>526764556.60188901</v>
      </c>
      <c r="M18" s="6">
        <f t="shared" si="0"/>
        <v>1.7944002642708852E-2</v>
      </c>
    </row>
    <row r="19" spans="1:15" x14ac:dyDescent="0.25">
      <c r="A19" s="1" t="s">
        <v>116</v>
      </c>
      <c r="B19" s="13" t="s">
        <v>117</v>
      </c>
      <c r="C19" s="10">
        <v>2100000</v>
      </c>
      <c r="D19" s="11">
        <v>2100000000</v>
      </c>
      <c r="E19" s="3">
        <v>0.14300000000000002</v>
      </c>
      <c r="F19" s="4" t="s">
        <v>118</v>
      </c>
      <c r="G19" s="4" t="s">
        <v>119</v>
      </c>
      <c r="H19" s="11">
        <v>2100000000</v>
      </c>
      <c r="I19" s="11">
        <v>94.552525670913695</v>
      </c>
      <c r="J19" s="11">
        <v>96.498914559802571</v>
      </c>
      <c r="K19" s="11">
        <v>40874166.666666657</v>
      </c>
      <c r="L19" s="11">
        <v>2026477205.7558539</v>
      </c>
      <c r="M19" s="6">
        <f t="shared" si="0"/>
        <v>6.9031053588812938E-2</v>
      </c>
    </row>
    <row r="20" spans="1:15" x14ac:dyDescent="0.25">
      <c r="A20" s="1" t="s">
        <v>120</v>
      </c>
      <c r="B20" s="13" t="s">
        <v>121</v>
      </c>
      <c r="C20" s="10">
        <v>1000000</v>
      </c>
      <c r="D20" s="11">
        <v>1000000000</v>
      </c>
      <c r="E20" s="3">
        <v>0.1389</v>
      </c>
      <c r="F20" s="4" t="s">
        <v>122</v>
      </c>
      <c r="G20" s="4" t="s">
        <v>123</v>
      </c>
      <c r="H20" s="11">
        <v>1000000000</v>
      </c>
      <c r="I20" s="11">
        <v>98.45514187698609</v>
      </c>
      <c r="J20" s="11">
        <v>104.011141876986</v>
      </c>
      <c r="K20" s="11">
        <v>55559999.999999993</v>
      </c>
      <c r="L20" s="11">
        <v>1040111418.76986</v>
      </c>
      <c r="M20" s="6">
        <f t="shared" si="0"/>
        <v>3.5430937433445178E-2</v>
      </c>
    </row>
    <row r="21" spans="1:15" x14ac:dyDescent="0.25">
      <c r="A21" s="1" t="s">
        <v>124</v>
      </c>
      <c r="B21" s="13" t="s">
        <v>125</v>
      </c>
      <c r="C21" s="10">
        <v>165739</v>
      </c>
      <c r="D21" s="11">
        <v>165739000</v>
      </c>
      <c r="E21" s="3">
        <v>0.125</v>
      </c>
      <c r="F21" s="4" t="s">
        <v>126</v>
      </c>
      <c r="G21" s="4" t="s">
        <v>127</v>
      </c>
      <c r="H21" s="11">
        <v>159596381.18279999</v>
      </c>
      <c r="I21" s="11">
        <v>96.090616716911796</v>
      </c>
      <c r="J21" s="11">
        <v>100.60450560578701</v>
      </c>
      <c r="K21" s="11">
        <v>7481274.30553333</v>
      </c>
      <c r="L21" s="11">
        <v>166740901.54597601</v>
      </c>
      <c r="M21" s="6">
        <f t="shared" si="0"/>
        <v>5.6799553813752556E-3</v>
      </c>
    </row>
    <row r="22" spans="1:15" x14ac:dyDescent="0.25">
      <c r="A22" s="1" t="s">
        <v>128</v>
      </c>
      <c r="B22" s="13" t="s">
        <v>129</v>
      </c>
      <c r="C22" s="10">
        <v>494987</v>
      </c>
      <c r="D22" s="11">
        <v>494987000</v>
      </c>
      <c r="E22" s="3">
        <v>0.1701</v>
      </c>
      <c r="F22" s="4" t="s">
        <v>130</v>
      </c>
      <c r="G22" s="4" t="s">
        <v>131</v>
      </c>
      <c r="H22" s="11">
        <v>495088472.34249997</v>
      </c>
      <c r="I22" s="11">
        <v>100.85780000000001</v>
      </c>
      <c r="J22" s="11">
        <v>104.40155</v>
      </c>
      <c r="K22" s="11">
        <v>17541101.8125</v>
      </c>
      <c r="L22" s="11">
        <v>516774100.2985</v>
      </c>
      <c r="M22" s="6">
        <f t="shared" si="0"/>
        <v>1.7603682148356826E-2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1390476167.0263658</v>
      </c>
      <c r="L24" s="22">
        <f>SUM(L4:L23)</f>
        <v>29356023128.759857</v>
      </c>
      <c r="M24" s="23"/>
      <c r="N24" s="26">
        <v>29356023128.759884</v>
      </c>
      <c r="O24" s="29">
        <f>L24-N24</f>
        <v>0</v>
      </c>
    </row>
    <row r="26" spans="1:15" x14ac:dyDescent="0.25">
      <c r="A26" s="30" t="s">
        <v>26</v>
      </c>
    </row>
    <row r="27" spans="1:15" x14ac:dyDescent="0.2">
      <c r="A27" s="19" t="s">
        <v>51</v>
      </c>
      <c r="B27" s="31">
        <v>5233609.49</v>
      </c>
      <c r="C27" s="51">
        <v>5233609.49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509772</v>
      </c>
      <c r="D32" s="7" t="s">
        <v>51</v>
      </c>
      <c r="E32" s="34" t="s">
        <v>52</v>
      </c>
      <c r="F32" s="34" t="s">
        <v>53</v>
      </c>
      <c r="G32" s="15">
        <v>541.43069999921499</v>
      </c>
      <c r="H32" s="15">
        <v>541.68361339971602</v>
      </c>
      <c r="I32" s="16">
        <f t="shared" ref="I32:I44" si="1">+C32*G32</f>
        <v>276006210.79999983</v>
      </c>
      <c r="J32" s="16">
        <f t="shared" ref="J32:J44" si="2">+C32*H32</f>
        <v>276135138.97000003</v>
      </c>
      <c r="K32" s="18">
        <v>0.17049899999999998</v>
      </c>
      <c r="L32" s="17">
        <v>128928.17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509772</v>
      </c>
      <c r="D33" s="7" t="s">
        <v>51</v>
      </c>
      <c r="E33" s="34" t="s">
        <v>53</v>
      </c>
      <c r="F33" s="34" t="s">
        <v>53</v>
      </c>
      <c r="G33" s="15">
        <v>541.43069999921499</v>
      </c>
      <c r="H33" s="15">
        <v>541.68361339971602</v>
      </c>
      <c r="I33" s="16">
        <f t="shared" si="1"/>
        <v>276006210.79999983</v>
      </c>
      <c r="J33" s="16">
        <f t="shared" si="2"/>
        <v>276135138.97000003</v>
      </c>
      <c r="K33" s="18">
        <v>0.17049899999999998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244528</v>
      </c>
      <c r="D34" s="7" t="s">
        <v>51</v>
      </c>
      <c r="E34" s="34" t="s">
        <v>52</v>
      </c>
      <c r="F34" s="34" t="s">
        <v>53</v>
      </c>
      <c r="G34" s="15">
        <v>507.34899999182102</v>
      </c>
      <c r="H34" s="15">
        <v>507.58599313780002</v>
      </c>
      <c r="I34" s="16">
        <f t="shared" si="1"/>
        <v>124061036.27000001</v>
      </c>
      <c r="J34" s="16">
        <f t="shared" si="2"/>
        <v>124118987.72999996</v>
      </c>
      <c r="K34" s="18">
        <v>0.17049899999999998</v>
      </c>
      <c r="L34" s="17">
        <v>57951.46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244528</v>
      </c>
      <c r="D35" s="7" t="s">
        <v>51</v>
      </c>
      <c r="E35" s="34" t="s">
        <v>53</v>
      </c>
      <c r="F35" s="34" t="s">
        <v>53</v>
      </c>
      <c r="G35" s="15">
        <v>507.34899999182102</v>
      </c>
      <c r="H35" s="15">
        <v>507.58599313780002</v>
      </c>
      <c r="I35" s="16">
        <f t="shared" si="1"/>
        <v>124061036.27000001</v>
      </c>
      <c r="J35" s="16">
        <f t="shared" si="2"/>
        <v>124118987.72999996</v>
      </c>
      <c r="K35" s="18">
        <v>0.17049899999999998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1419204</v>
      </c>
      <c r="D36" s="7" t="s">
        <v>51</v>
      </c>
      <c r="E36" s="34" t="s">
        <v>52</v>
      </c>
      <c r="F36" s="34" t="s">
        <v>58</v>
      </c>
      <c r="G36" s="15">
        <v>960.17</v>
      </c>
      <c r="H36" s="15">
        <v>963.328038590647</v>
      </c>
      <c r="I36" s="16">
        <f t="shared" si="1"/>
        <v>1362677104.6799998</v>
      </c>
      <c r="J36" s="16">
        <f t="shared" si="2"/>
        <v>1367159005.6800005</v>
      </c>
      <c r="K36" s="18">
        <v>0.17150000000000001</v>
      </c>
      <c r="L36" s="17">
        <v>640271.57142857136</v>
      </c>
      <c r="M36" s="17">
        <v>1363317376.2514279</v>
      </c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9870</v>
      </c>
      <c r="D37" s="7" t="s">
        <v>51</v>
      </c>
      <c r="E37" s="34" t="s">
        <v>52</v>
      </c>
      <c r="F37" s="34" t="s">
        <v>58</v>
      </c>
      <c r="G37" s="15">
        <v>1013.8610000000001</v>
      </c>
      <c r="H37" s="15">
        <v>1017.1801337386011</v>
      </c>
      <c r="I37" s="16">
        <f t="shared" si="1"/>
        <v>10006808.07</v>
      </c>
      <c r="J37" s="16">
        <f t="shared" si="2"/>
        <v>10039567.919999992</v>
      </c>
      <c r="K37" s="18">
        <v>0.17070299999999999</v>
      </c>
      <c r="L37" s="17">
        <v>4679.9785714285708</v>
      </c>
      <c r="M37" s="17">
        <v>10011488.048571421</v>
      </c>
      <c r="N37" s="35"/>
    </row>
    <row r="38" spans="1:15" s="36" customFormat="1" ht="12" customHeight="1" x14ac:dyDescent="0.25">
      <c r="A38" s="12" t="s">
        <v>61</v>
      </c>
      <c r="B38" s="7" t="s">
        <v>62</v>
      </c>
      <c r="C38" s="14">
        <v>12555</v>
      </c>
      <c r="D38" s="7" t="s">
        <v>51</v>
      </c>
      <c r="E38" s="34" t="s">
        <v>52</v>
      </c>
      <c r="F38" s="34" t="s">
        <v>53</v>
      </c>
      <c r="G38" s="15">
        <v>716.9</v>
      </c>
      <c r="H38" s="15">
        <v>717.23487853444806</v>
      </c>
      <c r="I38" s="16">
        <f t="shared" si="1"/>
        <v>9000679.5</v>
      </c>
      <c r="J38" s="16">
        <f t="shared" si="2"/>
        <v>9004883.8999999948</v>
      </c>
      <c r="K38" s="18">
        <v>0.17049899999999998</v>
      </c>
      <c r="L38" s="17">
        <v>4204.3999999999996</v>
      </c>
      <c r="M38" s="17"/>
      <c r="N38" s="35"/>
    </row>
    <row r="39" spans="1:15" s="36" customFormat="1" ht="12" customHeight="1" x14ac:dyDescent="0.25">
      <c r="A39" s="12" t="s">
        <v>61</v>
      </c>
      <c r="B39" s="7" t="s">
        <v>62</v>
      </c>
      <c r="C39" s="14">
        <v>12555</v>
      </c>
      <c r="D39" s="7" t="s">
        <v>51</v>
      </c>
      <c r="E39" s="34" t="s">
        <v>53</v>
      </c>
      <c r="F39" s="34" t="s">
        <v>53</v>
      </c>
      <c r="G39" s="15">
        <v>716.9</v>
      </c>
      <c r="H39" s="15">
        <v>717.23487853444806</v>
      </c>
      <c r="I39" s="16">
        <f t="shared" si="1"/>
        <v>9000679.5</v>
      </c>
      <c r="J39" s="16">
        <f t="shared" si="2"/>
        <v>9004883.8999999948</v>
      </c>
      <c r="K39" s="18">
        <v>0.17049899999999998</v>
      </c>
      <c r="L39" s="17"/>
      <c r="M39" s="17"/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1237600</v>
      </c>
      <c r="D40" s="7" t="s">
        <v>51</v>
      </c>
      <c r="E40" s="34" t="s">
        <v>52</v>
      </c>
      <c r="F40" s="34" t="s">
        <v>53</v>
      </c>
      <c r="G40" s="15">
        <v>962.29100000000005</v>
      </c>
      <c r="H40" s="15">
        <v>962.74050589851299</v>
      </c>
      <c r="I40" s="16">
        <f t="shared" si="1"/>
        <v>1190931341.6000001</v>
      </c>
      <c r="J40" s="16">
        <f t="shared" si="2"/>
        <v>1191487650.0999997</v>
      </c>
      <c r="K40" s="18">
        <v>0.17049899999999998</v>
      </c>
      <c r="L40" s="17">
        <v>556308.5</v>
      </c>
      <c r="M40" s="17"/>
      <c r="N40" s="35"/>
    </row>
    <row r="41" spans="1:15" s="36" customFormat="1" ht="12" customHeight="1" x14ac:dyDescent="0.25">
      <c r="A41" s="12" t="s">
        <v>63</v>
      </c>
      <c r="B41" s="7" t="s">
        <v>64</v>
      </c>
      <c r="C41" s="14">
        <v>1237600</v>
      </c>
      <c r="D41" s="7" t="s">
        <v>51</v>
      </c>
      <c r="E41" s="34" t="s">
        <v>53</v>
      </c>
      <c r="F41" s="34" t="s">
        <v>53</v>
      </c>
      <c r="G41" s="15">
        <v>962.29100000000005</v>
      </c>
      <c r="H41" s="15">
        <v>962.74050589851299</v>
      </c>
      <c r="I41" s="16">
        <f t="shared" si="1"/>
        <v>1190931341.6000001</v>
      </c>
      <c r="J41" s="16">
        <f t="shared" si="2"/>
        <v>1191487650.0999997</v>
      </c>
      <c r="K41" s="18">
        <v>0.17049899999999998</v>
      </c>
      <c r="L41" s="17"/>
      <c r="M41" s="17"/>
      <c r="N41" s="35"/>
    </row>
    <row r="42" spans="1:15" s="36" customFormat="1" ht="12" customHeight="1" x14ac:dyDescent="0.25">
      <c r="A42" s="12" t="s">
        <v>65</v>
      </c>
      <c r="B42" s="7" t="s">
        <v>66</v>
      </c>
      <c r="C42" s="14">
        <v>300472</v>
      </c>
      <c r="D42" s="7" t="s">
        <v>51</v>
      </c>
      <c r="E42" s="34" t="s">
        <v>52</v>
      </c>
      <c r="F42" s="34" t="s">
        <v>58</v>
      </c>
      <c r="G42" s="15">
        <v>945.80699998668808</v>
      </c>
      <c r="H42" s="15">
        <v>948.9177980643791</v>
      </c>
      <c r="I42" s="16">
        <f t="shared" si="1"/>
        <v>284188520.90000015</v>
      </c>
      <c r="J42" s="16">
        <f t="shared" si="2"/>
        <v>285123228.62000012</v>
      </c>
      <c r="K42" s="18">
        <v>0.17150000000000001</v>
      </c>
      <c r="L42" s="17">
        <v>133529.67428571419</v>
      </c>
      <c r="M42" s="17">
        <v>284322050.57428598</v>
      </c>
      <c r="N42" s="35"/>
    </row>
    <row r="43" spans="1:15" s="36" customFormat="1" ht="12" customHeight="1" x14ac:dyDescent="0.25">
      <c r="A43" s="12" t="s">
        <v>67</v>
      </c>
      <c r="B43" s="7" t="s">
        <v>68</v>
      </c>
      <c r="C43" s="14">
        <v>2827020</v>
      </c>
      <c r="D43" s="7" t="s">
        <v>51</v>
      </c>
      <c r="E43" s="34" t="s">
        <v>53</v>
      </c>
      <c r="F43" s="34" t="s">
        <v>69</v>
      </c>
      <c r="G43" s="15">
        <v>562.51909999929308</v>
      </c>
      <c r="H43" s="15">
        <v>562.78417440980297</v>
      </c>
      <c r="I43" s="16">
        <f t="shared" si="1"/>
        <v>1590252746.0800016</v>
      </c>
      <c r="J43" s="16">
        <f t="shared" si="2"/>
        <v>1591002116.7400012</v>
      </c>
      <c r="K43" s="18">
        <v>0.17199799999999998</v>
      </c>
      <c r="L43" s="17"/>
      <c r="M43" s="17">
        <v>1590252746.0799999</v>
      </c>
      <c r="N43" s="35"/>
    </row>
    <row r="44" spans="1:15" s="36" customFormat="1" ht="12" customHeight="1" x14ac:dyDescent="0.25">
      <c r="A44" s="12" t="s">
        <v>70</v>
      </c>
      <c r="B44" s="7" t="s">
        <v>71</v>
      </c>
      <c r="C44" s="14">
        <v>104820</v>
      </c>
      <c r="D44" s="7" t="s">
        <v>51</v>
      </c>
      <c r="E44" s="34" t="s">
        <v>53</v>
      </c>
      <c r="F44" s="34" t="s">
        <v>69</v>
      </c>
      <c r="G44" s="15">
        <v>95.406699961839337</v>
      </c>
      <c r="H44" s="15">
        <v>95.451658175920613</v>
      </c>
      <c r="I44" s="16">
        <f t="shared" si="1"/>
        <v>10000530.289999999</v>
      </c>
      <c r="J44" s="16">
        <f t="shared" si="2"/>
        <v>10005242.809999999</v>
      </c>
      <c r="K44" s="18">
        <v>0.17199799999999998</v>
      </c>
      <c r="L44" s="17"/>
      <c r="M44" s="17">
        <v>10000530.289999999</v>
      </c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3257904191.2442851</v>
      </c>
      <c r="N46" s="38">
        <v>3257904191.2442856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8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8" hidden="1" x14ac:dyDescent="0.25">
      <c r="B50" s="41"/>
      <c r="C50" s="42"/>
      <c r="D50" s="43"/>
      <c r="G50" s="44"/>
      <c r="H50" s="33"/>
    </row>
    <row r="51" spans="1:8" x14ac:dyDescent="0.25">
      <c r="G51" s="45">
        <f>SUM(G50:G50)</f>
        <v>0</v>
      </c>
    </row>
    <row r="53" spans="1:8" x14ac:dyDescent="0.25">
      <c r="A53" s="46" t="s">
        <v>13</v>
      </c>
      <c r="B53" s="47">
        <f>+L24+B27+M46+G51</f>
        <v>32619160929.494144</v>
      </c>
      <c r="C53" s="32">
        <v>32619160929.494171</v>
      </c>
      <c r="D53" s="29">
        <f>B53-C53</f>
        <v>0</v>
      </c>
    </row>
    <row r="56" spans="1:8" x14ac:dyDescent="0.25">
      <c r="A56" s="24" t="s">
        <v>46</v>
      </c>
      <c r="B56" s="33"/>
    </row>
    <row r="57" spans="1:8" x14ac:dyDescent="0.25">
      <c r="A57" s="48" t="s">
        <v>35</v>
      </c>
      <c r="B57" s="49"/>
    </row>
    <row r="58" spans="1:8" x14ac:dyDescent="0.25">
      <c r="A58" s="48" t="s">
        <v>36</v>
      </c>
      <c r="B58" s="40"/>
    </row>
    <row r="59" spans="1:8" x14ac:dyDescent="0.25">
      <c r="A59" s="48" t="s">
        <v>37</v>
      </c>
      <c r="B59" s="40">
        <v>468957.07</v>
      </c>
    </row>
    <row r="60" spans="1:8" x14ac:dyDescent="0.25">
      <c r="A60" s="48" t="s">
        <v>38</v>
      </c>
      <c r="B60" s="40"/>
    </row>
    <row r="61" spans="1:8" x14ac:dyDescent="0.25">
      <c r="A61" s="48" t="s">
        <v>39</v>
      </c>
      <c r="B61" s="49"/>
    </row>
    <row r="62" spans="1:8" x14ac:dyDescent="0.25">
      <c r="A62" s="48" t="s">
        <v>40</v>
      </c>
      <c r="B62" s="50">
        <v>109315.44999999998</v>
      </c>
    </row>
    <row r="63" spans="1:8" x14ac:dyDescent="0.25">
      <c r="A63" s="48" t="s">
        <v>41</v>
      </c>
      <c r="B63" s="50">
        <v>54050.23</v>
      </c>
    </row>
    <row r="64" spans="1:8" x14ac:dyDescent="0.25">
      <c r="A64" s="48" t="s">
        <v>42</v>
      </c>
      <c r="B64" s="40"/>
    </row>
    <row r="65" spans="1:2" x14ac:dyDescent="0.25">
      <c r="A65" s="48" t="s">
        <v>43</v>
      </c>
      <c r="B65" s="40"/>
    </row>
    <row r="66" spans="1:2" x14ac:dyDescent="0.25">
      <c r="A66" s="48" t="s">
        <v>44</v>
      </c>
      <c r="B66" s="50"/>
    </row>
    <row r="67" spans="1:2" x14ac:dyDescent="0.25">
      <c r="A67" s="48" t="s">
        <v>45</v>
      </c>
      <c r="B67" s="49">
        <f>SUM(B57:B66)</f>
        <v>632322.75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2025-10-23T06:42:42Z</dcterms:created>
  <dcterms:modified xsi:type="dcterms:W3CDTF">2025-10-23T07:05:27Z</dcterms:modified>
</cp:coreProperties>
</file>