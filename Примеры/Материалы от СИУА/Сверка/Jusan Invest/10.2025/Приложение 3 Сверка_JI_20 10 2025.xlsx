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F72D3B5B-7B92-4364-97C5-6488E31368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O43" i="1"/>
  <c r="O24" i="1"/>
  <c r="D27" i="1"/>
  <c r="B64" i="1"/>
  <c r="G48" i="1"/>
  <c r="M43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0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<sst xmlns="http://schemas.openxmlformats.org/spreadsheetml/2006/main" count="180" uniqueCount="125">
  <si>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</si>
  <si>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</si>
  <si>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</si>
  <si>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</si>
  <si>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</si>
  <si>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</si>
  <si>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</si>
  <si>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</si>
  <si>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</si>
  <si>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</si>
  <si>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</si>
  <si>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</si>
  <si>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</si>
  <si>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</si>
  <si>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</si>
  <si>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</si>
  <si>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</si>
  <si>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</si>
  <si>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</si>
  <si>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</si>
  <si>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</si>
  <si>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</si>
  <si>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</si>
  <si>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</si>
  <si>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</si>
  <si>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</si>
  <si>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</si>
  <si>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</si>
  <si>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</si>
  <si>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</si>
  <si>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</si>
  <si>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</si>
  <si>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</si>
  <si>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</si>
  <si>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</si>
  <si>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</si>
  <si>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</si>
  <si>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</si>
  <si>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</si>
  <si>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</si>
  <si>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</si>
  <si>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</si>
  <si>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</si>
  <si>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</si>
  <si>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</si>
  <si>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</si>
  <si>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</si>
  <si>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</si>
  <si>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</si>
  <si>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KFUSb1</t>
  </si>
  <si>
    <t>KZ2C00006906</t>
  </si>
  <si>
    <t>KZT</t>
  </si>
  <si>
    <t>17.10.2025</t>
  </si>
  <si>
    <t>20.10.2025</t>
  </si>
  <si>
    <t>МИНИСТЕРСТВО ФИНАНСОВ РК, ГЦБ, MKM012_0160</t>
  </si>
  <si>
    <t>KZK100000373</t>
  </si>
  <si>
    <t>МИНИСТЕРСТВО ФИНАНСОВ РК, ГЦБ, MUM180_0015</t>
  </si>
  <si>
    <t>KZKD00001186</t>
  </si>
  <si>
    <t>21.10.2025</t>
  </si>
  <si>
    <t>МИНИСТЕРСТВО ФИНАНСОВ РК, ГЦБ, MUM096_0014</t>
  </si>
  <si>
    <t>KZKD00001228</t>
  </si>
  <si>
    <t>МИНИСТЕРСТВО ФИНАНСОВ РК, ГЦБ, MOM048_0053</t>
  </si>
  <si>
    <t>KZK200000711</t>
  </si>
  <si>
    <t>Европейский банк реконструкции и развития, ОБЛИГАЦИИ, EBRDe27</t>
  </si>
  <si>
    <t>XS3004202225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</si>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</sst>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A19" zoomScale="90" zoomScaleNormal="90" workbookViewId="0">
      <selection activeCell="D51" sqref="D5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98.584699999999998</v>
      </c>
      <c r="J4" s="11">
        <v>101.22256111111101</v>
      </c>
      <c r="K4" s="11">
        <v>79663405.555555552</v>
      </c>
      <c r="L4" s="11">
        <v>3056921345.5555549</v>
      </c>
      <c r="M4" s="6">
        <f t="shared" ref="M4:M22" si="0">L4/$L$24</f>
        <v>0.10368839454737949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83.111000000000004</v>
      </c>
      <c r="J5" s="11">
        <v>85.514055555555544</v>
      </c>
      <c r="K5" s="11">
        <v>54429208.333333328</v>
      </c>
      <c r="L5" s="11">
        <v>1936893358.333333</v>
      </c>
      <c r="M5" s="6">
        <f t="shared" si="0"/>
        <v>6.5697916312781907E-2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83.111000000000004</v>
      </c>
      <c r="J6" s="11">
        <v>85.5140555555558</v>
      </c>
      <c r="K6" s="11">
        <v>37286915.405555546</v>
      </c>
      <c r="L6" s="11">
        <v>1326875422.465559</v>
      </c>
      <c r="M6" s="6">
        <f t="shared" si="0"/>
        <v>4.5006582364266259E-2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83.111000000000004</v>
      </c>
      <c r="J7" s="11">
        <v>85.514055555555544</v>
      </c>
      <c r="K7" s="11">
        <v>13113281.922222219</v>
      </c>
      <c r="L7" s="11">
        <v>466643360.04222202</v>
      </c>
      <c r="M7" s="6">
        <f t="shared" si="0"/>
        <v>1.5828179844836459E-2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87.546700000000001</v>
      </c>
      <c r="J8" s="11">
        <v>92.977811111111109</v>
      </c>
      <c r="K8" s="11">
        <v>123014666.666667</v>
      </c>
      <c r="L8" s="11">
        <v>2105947421.666666</v>
      </c>
      <c r="M8" s="6">
        <f t="shared" si="0"/>
        <v>7.1432098660728013E-2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85.257800000000003</v>
      </c>
      <c r="J9" s="11">
        <v>91.368911111111103</v>
      </c>
      <c r="K9" s="11">
        <v>138416666.66666701</v>
      </c>
      <c r="L9" s="11">
        <v>2069505836.666666</v>
      </c>
      <c r="M9" s="6">
        <f t="shared" si="0"/>
        <v>7.0196028439652322E-2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77.3249</v>
      </c>
      <c r="J10" s="11">
        <v>83.419066666666652</v>
      </c>
      <c r="K10" s="11">
        <v>138032875</v>
      </c>
      <c r="L10" s="11">
        <v>1889441860</v>
      </c>
      <c r="M10" s="6">
        <f t="shared" si="0"/>
        <v>6.4088398394303456E-2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67.637700000000009</v>
      </c>
      <c r="J11" s="11">
        <v>71.956588888888874</v>
      </c>
      <c r="K11" s="11">
        <v>97822833.333333328</v>
      </c>
      <c r="L11" s="11">
        <v>1629816738.333333</v>
      </c>
      <c r="M11" s="6">
        <f t="shared" si="0"/>
        <v>5.5282116188539863E-2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75.357399999999998</v>
      </c>
      <c r="J12" s="11">
        <v>77.842399999999998</v>
      </c>
      <c r="K12" s="11">
        <v>56285250</v>
      </c>
      <c r="L12" s="11">
        <v>1763130360</v>
      </c>
      <c r="M12" s="6">
        <f t="shared" si="0"/>
        <v>5.9804010551968857E-2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60.849700000000006</v>
      </c>
      <c r="J13" s="11">
        <v>64.391533333333328</v>
      </c>
      <c r="K13" s="11">
        <v>80222525</v>
      </c>
      <c r="L13" s="11">
        <v>1458468230</v>
      </c>
      <c r="M13" s="6">
        <f t="shared" si="0"/>
        <v>4.9470108050678308E-2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59.360200000000006</v>
      </c>
      <c r="J14" s="11">
        <v>65.210949999999997</v>
      </c>
      <c r="K14" s="11">
        <v>132519487.5</v>
      </c>
      <c r="L14" s="11">
        <v>1477028017.5</v>
      </c>
      <c r="M14" s="6">
        <f t="shared" si="0"/>
        <v>5.0099641607965754E-2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86.48660000000001</v>
      </c>
      <c r="J15" s="11">
        <v>89.582349999999991</v>
      </c>
      <c r="K15" s="11">
        <v>116864562.5</v>
      </c>
      <c r="L15" s="11">
        <v>3381733712.5</v>
      </c>
      <c r="M15" s="6">
        <f t="shared" si="0"/>
        <v>0.11470577741415491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56.507200000000005</v>
      </c>
      <c r="J16" s="11">
        <v>59.19608888888888</v>
      </c>
      <c r="K16" s="11">
        <v>75392680</v>
      </c>
      <c r="L16" s="11">
        <v>1659775457.9200001</v>
      </c>
      <c r="M16" s="6">
        <f t="shared" si="0"/>
        <v>5.6298292656787229E-2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85.3215</v>
      </c>
      <c r="J17" s="11">
        <v>92.754833333333323</v>
      </c>
      <c r="K17" s="11">
        <v>77193680</v>
      </c>
      <c r="L17" s="11">
        <v>963240393.20000005</v>
      </c>
      <c r="M17" s="6">
        <f t="shared" si="0"/>
        <v>3.2672364985545051E-2</v>
      </c>
    </row>
    <row r="18" spans="1:15" x14ac:dyDescent="0.25">
      <c r="A18" s="1" t="s">
        <v>105</v>
      </c>
      <c r="B18" s="13" t="s">
        <v>106</v>
      </c>
      <c r="C18" s="10">
        <v>506989</v>
      </c>
      <c r="D18" s="11">
        <v>506989000</v>
      </c>
      <c r="E18" s="3">
        <v>0.1535</v>
      </c>
      <c r="F18" s="4" t="s">
        <v>107</v>
      </c>
      <c r="G18" s="4" t="s">
        <v>108</v>
      </c>
      <c r="H18" s="11">
        <v>492216861.50999999</v>
      </c>
      <c r="I18" s="11">
        <v>98.551900000000003</v>
      </c>
      <c r="J18" s="11">
        <v>105.03301111111101</v>
      </c>
      <c r="K18" s="11">
        <v>32858520.411111109</v>
      </c>
      <c r="L18" s="11">
        <v>532505812.70211101</v>
      </c>
      <c r="M18" s="6">
        <f t="shared" si="0"/>
        <v>1.8062183015112847E-2</v>
      </c>
    </row>
    <row r="19" spans="1:15" x14ac:dyDescent="0.25">
      <c r="A19" s="1" t="s">
        <v>109</v>
      </c>
      <c r="B19" s="13" t="s">
        <v>110</v>
      </c>
      <c r="C19" s="10">
        <v>2100000</v>
      </c>
      <c r="D19" s="11">
        <v>2100000000</v>
      </c>
      <c r="E19" s="3">
        <v>0.14300000000000002</v>
      </c>
      <c r="F19" s="4" t="s">
        <v>111</v>
      </c>
      <c r="G19" s="4" t="s">
        <v>112</v>
      </c>
      <c r="H19" s="11">
        <v>2100000000</v>
      </c>
      <c r="I19" s="11">
        <v>95.0384290313945</v>
      </c>
      <c r="J19" s="11">
        <v>96.905373475838942</v>
      </c>
      <c r="K19" s="11">
        <v>39205833.333333328</v>
      </c>
      <c r="L19" s="11">
        <v>2035012842.9926169</v>
      </c>
      <c r="M19" s="6">
        <f t="shared" si="0"/>
        <v>6.9026052920852995E-2</v>
      </c>
    </row>
    <row r="20" spans="1:15" x14ac:dyDescent="0.25">
      <c r="A20" s="1" t="s">
        <v>113</v>
      </c>
      <c r="B20" s="13" t="s">
        <v>114</v>
      </c>
      <c r="C20" s="10">
        <v>1000000</v>
      </c>
      <c r="D20" s="11">
        <v>1000000000</v>
      </c>
      <c r="E20" s="3">
        <v>0.1389</v>
      </c>
      <c r="F20" s="4" t="s">
        <v>115</v>
      </c>
      <c r="G20" s="4" t="s">
        <v>116</v>
      </c>
      <c r="H20" s="11">
        <v>1000000000</v>
      </c>
      <c r="I20" s="11">
        <v>98.515840081678093</v>
      </c>
      <c r="J20" s="11">
        <v>103.99467341501101</v>
      </c>
      <c r="K20" s="11">
        <v>54788333.333333328</v>
      </c>
      <c r="L20" s="11">
        <v>1039946734.1501141</v>
      </c>
      <c r="M20" s="6">
        <f t="shared" si="0"/>
        <v>3.5274184412886503E-2</v>
      </c>
    </row>
    <row r="21" spans="1:15" x14ac:dyDescent="0.25">
      <c r="A21" s="1" t="s">
        <v>117</v>
      </c>
      <c r="B21" s="13" t="s">
        <v>118</v>
      </c>
      <c r="C21" s="10">
        <v>165739</v>
      </c>
      <c r="D21" s="11">
        <v>165739000</v>
      </c>
      <c r="E21" s="3">
        <v>0.125</v>
      </c>
      <c r="F21" s="4" t="s">
        <v>119</v>
      </c>
      <c r="G21" s="4" t="s">
        <v>120</v>
      </c>
      <c r="H21" s="11">
        <v>159596381.18279999</v>
      </c>
      <c r="I21" s="11">
        <v>96.356516041011005</v>
      </c>
      <c r="J21" s="11">
        <v>100.800960485442</v>
      </c>
      <c r="K21" s="11">
        <v>7366177.7777555604</v>
      </c>
      <c r="L21" s="11">
        <v>167066503.898967</v>
      </c>
      <c r="M21" s="6">
        <f t="shared" si="0"/>
        <v>5.6667658777393914E-3</v>
      </c>
    </row>
    <row r="22" spans="1:15" x14ac:dyDescent="0.25">
      <c r="A22" s="1" t="s">
        <v>121</v>
      </c>
      <c r="B22" s="13" t="s">
        <v>122</v>
      </c>
      <c r="C22" s="10">
        <v>494987</v>
      </c>
      <c r="D22" s="11">
        <v>494987000</v>
      </c>
      <c r="E22" s="3">
        <v>0.1701</v>
      </c>
      <c r="F22" s="4" t="s">
        <v>123</v>
      </c>
      <c r="G22" s="4" t="s">
        <v>124</v>
      </c>
      <c r="H22" s="11">
        <v>495088472.34249997</v>
      </c>
      <c r="I22" s="11">
        <v>101.9787</v>
      </c>
      <c r="J22" s="11">
        <v>105.42795</v>
      </c>
      <c r="K22" s="11">
        <v>17073339.0975</v>
      </c>
      <c r="L22" s="11">
        <v>521854646.86650002</v>
      </c>
      <c r="M22" s="6">
        <f t="shared" si="0"/>
        <v>1.770090375382008E-2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1371550241.8363674</v>
      </c>
      <c r="L24" s="22">
        <f>SUM(L4:L23)</f>
        <v>29481808054.793652</v>
      </c>
      <c r="M24" s="23"/>
      <c r="N24" s="26">
        <v>29481808054.793667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3945344.68</v>
      </c>
      <c r="C27" s="51">
        <v>3945344.68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3672015</v>
      </c>
      <c r="D32" s="7" t="s">
        <v>51</v>
      </c>
      <c r="E32" s="34" t="s">
        <v>52</v>
      </c>
      <c r="F32" s="34" t="s">
        <v>53</v>
      </c>
      <c r="G32" s="15">
        <v>873.39200000000005</v>
      </c>
      <c r="H32" s="15">
        <v>874.61593804763902</v>
      </c>
      <c r="I32" s="16">
        <f t="shared" ref="I32:I41" si="1">+C32*G32</f>
        <v>3207108524.8800001</v>
      </c>
      <c r="J32" s="16">
        <f t="shared" ref="J32:J41" si="2">+C32*H32</f>
        <v>3211602843.7500014</v>
      </c>
      <c r="K32" s="18">
        <v>0.17049899999999998</v>
      </c>
      <c r="L32" s="17">
        <v>1498106.29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3672015</v>
      </c>
      <c r="D33" s="7" t="s">
        <v>51</v>
      </c>
      <c r="E33" s="34" t="s">
        <v>53</v>
      </c>
      <c r="F33" s="34" t="s">
        <v>53</v>
      </c>
      <c r="G33" s="15">
        <v>873.39200000000005</v>
      </c>
      <c r="H33" s="15">
        <v>874.61593804763902</v>
      </c>
      <c r="I33" s="16">
        <f t="shared" si="1"/>
        <v>3207108524.8800001</v>
      </c>
      <c r="J33" s="16">
        <f t="shared" si="2"/>
        <v>3211602843.7500014</v>
      </c>
      <c r="K33" s="18">
        <v>0.17049899999999998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472275</v>
      </c>
      <c r="D34" s="7" t="s">
        <v>51</v>
      </c>
      <c r="E34" s="34" t="s">
        <v>52</v>
      </c>
      <c r="F34" s="34" t="s">
        <v>53</v>
      </c>
      <c r="G34" s="15">
        <v>95.290400000000005</v>
      </c>
      <c r="H34" s="15">
        <v>95.423937091736789</v>
      </c>
      <c r="I34" s="16">
        <f t="shared" si="1"/>
        <v>45003273.660000004</v>
      </c>
      <c r="J34" s="16">
        <f t="shared" si="2"/>
        <v>45066339.889999993</v>
      </c>
      <c r="K34" s="18">
        <v>0.17050000000000001</v>
      </c>
      <c r="L34" s="17">
        <v>21022.0766666667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472275</v>
      </c>
      <c r="D35" s="7" t="s">
        <v>51</v>
      </c>
      <c r="E35" s="34" t="s">
        <v>53</v>
      </c>
      <c r="F35" s="34" t="s">
        <v>53</v>
      </c>
      <c r="G35" s="15">
        <v>95.290400000000005</v>
      </c>
      <c r="H35" s="15">
        <v>95.423937091736789</v>
      </c>
      <c r="I35" s="16">
        <f t="shared" si="1"/>
        <v>45003273.660000004</v>
      </c>
      <c r="J35" s="16">
        <f t="shared" si="2"/>
        <v>45066339.889999993</v>
      </c>
      <c r="K35" s="18">
        <v>0.17050000000000001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950556</v>
      </c>
      <c r="D36" s="7" t="s">
        <v>51</v>
      </c>
      <c r="E36" s="34" t="s">
        <v>53</v>
      </c>
      <c r="F36" s="34" t="s">
        <v>58</v>
      </c>
      <c r="G36" s="15">
        <v>713.49699999789607</v>
      </c>
      <c r="H36" s="15">
        <v>713.82931562159399</v>
      </c>
      <c r="I36" s="16">
        <f t="shared" si="1"/>
        <v>678218854.33000004</v>
      </c>
      <c r="J36" s="16">
        <f t="shared" si="2"/>
        <v>678534738.93999994</v>
      </c>
      <c r="K36" s="18">
        <v>0.17000099999999999</v>
      </c>
      <c r="L36" s="17"/>
      <c r="M36" s="17">
        <v>678218854.33000004</v>
      </c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565886</v>
      </c>
      <c r="D37" s="7" t="s">
        <v>51</v>
      </c>
      <c r="E37" s="34" t="s">
        <v>53</v>
      </c>
      <c r="F37" s="34" t="s">
        <v>58</v>
      </c>
      <c r="G37" s="15">
        <v>956.776000007069</v>
      </c>
      <c r="H37" s="15">
        <v>957.22162432009304</v>
      </c>
      <c r="I37" s="16">
        <f t="shared" si="1"/>
        <v>541426143.5400002</v>
      </c>
      <c r="J37" s="16">
        <f t="shared" si="2"/>
        <v>541678316.10000014</v>
      </c>
      <c r="K37" s="18">
        <v>0.17000099999999999</v>
      </c>
      <c r="L37" s="17"/>
      <c r="M37" s="17">
        <v>541426143.53999996</v>
      </c>
      <c r="N37" s="35"/>
    </row>
    <row r="38" spans="1:15" s="36" customFormat="1" ht="12" customHeight="1" x14ac:dyDescent="0.25">
      <c r="A38" s="12" t="s">
        <v>56</v>
      </c>
      <c r="B38" s="7" t="s">
        <v>57</v>
      </c>
      <c r="C38" s="14">
        <v>9814</v>
      </c>
      <c r="D38" s="7" t="s">
        <v>51</v>
      </c>
      <c r="E38" s="34" t="s">
        <v>53</v>
      </c>
      <c r="F38" s="34" t="s">
        <v>58</v>
      </c>
      <c r="G38" s="15">
        <v>713.497000203791</v>
      </c>
      <c r="H38" s="15">
        <v>713.82931628286099</v>
      </c>
      <c r="I38" s="16">
        <f t="shared" si="1"/>
        <v>7002259.5600000052</v>
      </c>
      <c r="J38" s="16">
        <f t="shared" si="2"/>
        <v>7005520.9099999974</v>
      </c>
      <c r="K38" s="18">
        <v>0.17000099999999999</v>
      </c>
      <c r="L38" s="17"/>
      <c r="M38" s="17">
        <v>7002259.5599999996</v>
      </c>
      <c r="N38" s="35"/>
    </row>
    <row r="39" spans="1:15" s="36" customFormat="1" ht="12" customHeight="1" x14ac:dyDescent="0.25">
      <c r="A39" s="12" t="s">
        <v>59</v>
      </c>
      <c r="B39" s="7" t="s">
        <v>60</v>
      </c>
      <c r="C39" s="14">
        <v>639106</v>
      </c>
      <c r="D39" s="7" t="s">
        <v>51</v>
      </c>
      <c r="E39" s="34" t="s">
        <v>53</v>
      </c>
      <c r="F39" s="34" t="s">
        <v>58</v>
      </c>
      <c r="G39" s="15">
        <v>956.7760000062591</v>
      </c>
      <c r="H39" s="15">
        <v>957.22424039204805</v>
      </c>
      <c r="I39" s="16">
        <f t="shared" si="1"/>
        <v>611481282.26000023</v>
      </c>
      <c r="J39" s="16">
        <f t="shared" si="2"/>
        <v>611767755.38000023</v>
      </c>
      <c r="K39" s="18">
        <v>0.17099899999999998</v>
      </c>
      <c r="L39" s="17"/>
      <c r="M39" s="17">
        <v>611481282.25999999</v>
      </c>
      <c r="N39" s="35"/>
    </row>
    <row r="40" spans="1:15" s="36" customFormat="1" ht="12" customHeight="1" x14ac:dyDescent="0.25">
      <c r="A40" s="12" t="s">
        <v>61</v>
      </c>
      <c r="B40" s="7" t="s">
        <v>62</v>
      </c>
      <c r="C40" s="14">
        <v>889380</v>
      </c>
      <c r="D40" s="7" t="s">
        <v>51</v>
      </c>
      <c r="E40" s="34" t="s">
        <v>53</v>
      </c>
      <c r="F40" s="34" t="s">
        <v>58</v>
      </c>
      <c r="G40" s="15">
        <v>1028.8240000000001</v>
      </c>
      <c r="H40" s="15">
        <v>1029.3059941757172</v>
      </c>
      <c r="I40" s="16">
        <f t="shared" si="1"/>
        <v>915015489.12</v>
      </c>
      <c r="J40" s="16">
        <f t="shared" si="2"/>
        <v>915444165.09999931</v>
      </c>
      <c r="K40" s="18">
        <v>0.17099899999999998</v>
      </c>
      <c r="L40" s="17"/>
      <c r="M40" s="17">
        <v>915015489.12</v>
      </c>
      <c r="N40" s="35"/>
    </row>
    <row r="41" spans="1:15" s="36" customFormat="1" ht="12" customHeight="1" x14ac:dyDescent="0.25">
      <c r="A41" s="12" t="s">
        <v>63</v>
      </c>
      <c r="B41" s="7" t="s">
        <v>64</v>
      </c>
      <c r="C41" s="14">
        <v>490827903</v>
      </c>
      <c r="D41" s="7" t="s">
        <v>51</v>
      </c>
      <c r="E41" s="34" t="s">
        <v>53</v>
      </c>
      <c r="F41" s="34" t="s">
        <v>58</v>
      </c>
      <c r="G41" s="15">
        <v>1.02479999999104</v>
      </c>
      <c r="H41" s="15">
        <v>1.02528010896316</v>
      </c>
      <c r="I41" s="16">
        <f t="shared" si="1"/>
        <v>503000434.99000216</v>
      </c>
      <c r="J41" s="16">
        <f t="shared" si="2"/>
        <v>503236085.86999935</v>
      </c>
      <c r="K41" s="18">
        <v>0.17099899999999998</v>
      </c>
      <c r="L41" s="17"/>
      <c r="M41" s="17">
        <v>503000434.99000001</v>
      </c>
      <c r="N41" s="35"/>
    </row>
    <row r="42" spans="1:15" s="36" customFormat="1" ht="11.25" hidden="1" x14ac:dyDescent="0.25">
      <c r="A42" s="7"/>
      <c r="B42" s="7"/>
      <c r="C42" s="7"/>
      <c r="D42" s="7"/>
      <c r="E42" s="37"/>
      <c r="F42" s="37"/>
      <c r="G42" s="7"/>
      <c r="H42" s="7"/>
      <c r="I42" s="8"/>
      <c r="J42" s="8"/>
      <c r="K42" s="7"/>
      <c r="L42" s="9"/>
      <c r="M42" s="9"/>
      <c r="N42" s="35"/>
    </row>
    <row r="43" spans="1:15" x14ac:dyDescent="0.25">
      <c r="A43" s="1" t="s">
        <v>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2">
        <f>SUM(M32:M42)</f>
        <v>3256144463.8000002</v>
      </c>
      <c r="N43" s="38">
        <v>3256144463.7999997</v>
      </c>
      <c r="O43" s="29">
        <f>M43-N43</f>
        <v>0</v>
      </c>
    </row>
    <row r="45" spans="1:15" x14ac:dyDescent="0.25">
      <c r="A45" s="39" t="s">
        <v>28</v>
      </c>
      <c r="B45" s="33"/>
      <c r="D45" s="33"/>
      <c r="F45" s="28"/>
      <c r="G45" s="28"/>
    </row>
    <row r="46" spans="1:15" ht="22.5" x14ac:dyDescent="0.25">
      <c r="A46" s="19" t="s">
        <v>6</v>
      </c>
      <c r="B46" s="19" t="s">
        <v>29</v>
      </c>
      <c r="C46" s="19" t="s">
        <v>17</v>
      </c>
      <c r="D46" s="19" t="s">
        <v>30</v>
      </c>
      <c r="E46" s="19" t="s">
        <v>16</v>
      </c>
      <c r="F46" s="19" t="s">
        <v>31</v>
      </c>
      <c r="G46" s="19" t="s">
        <v>32</v>
      </c>
    </row>
    <row r="47" spans="1:15" hidden="1" x14ac:dyDescent="0.25">
      <c r="B47" s="41"/>
      <c r="C47" s="42"/>
      <c r="D47" s="43"/>
      <c r="G47" s="44"/>
      <c r="H47" s="33"/>
    </row>
    <row r="48" spans="1:15" x14ac:dyDescent="0.25">
      <c r="G48" s="45">
        <f>SUM(G47:G47)</f>
        <v>0</v>
      </c>
    </row>
    <row r="50" spans="1:4" x14ac:dyDescent="0.25">
      <c r="A50" s="46" t="s">
        <v>13</v>
      </c>
      <c r="B50" s="47">
        <f>+L24+B27+M43+G48</f>
        <v>32741897863.273651</v>
      </c>
      <c r="C50" s="32">
        <v>32741897863.273666</v>
      </c>
      <c r="D50" s="29">
        <f>B50-C50</f>
        <v>0</v>
      </c>
    </row>
    <row r="53" spans="1:4" x14ac:dyDescent="0.25">
      <c r="A53" s="24" t="s">
        <v>46</v>
      </c>
      <c r="B53" s="33"/>
    </row>
    <row r="54" spans="1:4" x14ac:dyDescent="0.25">
      <c r="A54" s="48" t="s">
        <v>35</v>
      </c>
      <c r="B54" s="49"/>
    </row>
    <row r="55" spans="1:4" x14ac:dyDescent="0.25">
      <c r="A55" s="48" t="s">
        <v>36</v>
      </c>
      <c r="B55" s="40"/>
    </row>
    <row r="56" spans="1:4" x14ac:dyDescent="0.25">
      <c r="A56" s="48" t="s">
        <v>37</v>
      </c>
      <c r="B56" s="40">
        <v>432063.53</v>
      </c>
    </row>
    <row r="57" spans="1:4" x14ac:dyDescent="0.25">
      <c r="A57" s="48" t="s">
        <v>38</v>
      </c>
      <c r="B57" s="40"/>
    </row>
    <row r="58" spans="1:4" x14ac:dyDescent="0.25">
      <c r="A58" s="48" t="s">
        <v>39</v>
      </c>
      <c r="B58" s="49"/>
    </row>
    <row r="59" spans="1:4" x14ac:dyDescent="0.25">
      <c r="A59" s="48" t="s">
        <v>40</v>
      </c>
      <c r="B59" s="50"/>
    </row>
    <row r="60" spans="1:4" x14ac:dyDescent="0.25">
      <c r="A60" s="48" t="s">
        <v>41</v>
      </c>
      <c r="B60" s="50">
        <v>87067.76999999999</v>
      </c>
    </row>
    <row r="61" spans="1:4" x14ac:dyDescent="0.25">
      <c r="A61" s="48" t="s">
        <v>42</v>
      </c>
      <c r="B61" s="40">
        <v>42951.46</v>
      </c>
    </row>
    <row r="62" spans="1:4" x14ac:dyDescent="0.25">
      <c r="A62" s="48" t="s">
        <v>43</v>
      </c>
      <c r="B62" s="40"/>
    </row>
    <row r="63" spans="1:4" x14ac:dyDescent="0.25">
      <c r="A63" s="48" t="s">
        <v>44</v>
      </c>
      <c r="B63" s="50"/>
    </row>
    <row r="64" spans="1:4" x14ac:dyDescent="0.25">
      <c r="A64" s="48" t="s">
        <v>45</v>
      </c>
      <c r="B64" s="49">
        <f>SUM(B54:B63)</f>
        <v>562082.76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2025-10-21T05:45:25Z</dcterms:created>
  <dcterms:modified xsi:type="dcterms:W3CDTF">2025-10-21T07:01:40Z</dcterms:modified>
</cp:coreProperties>
</file>