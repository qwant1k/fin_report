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10.2025\"/>
    </mc:Choice>
  </mc:AlternateContent>
  <xr:revisionPtr revIDLastSave="0" documentId="13_ncr:1_{F714E00C-ECA2-43CF-B120-2CEAF6F9E8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6" i="1" l="1"/>
  <c r="O49" i="1"/>
  <c r="O24" i="1"/>
  <c r="D27" i="1"/>
  <c r="B70" i="1"/>
  <c r="B56" i="1"/>
  <c r="G54" i="1"/>
  <c r="M49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M21" i="1" s="1"/>
  <c r="K24" i="1"/>
  <c r="M22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20" i="1" l="1"/>
</calcChain>
</file>

<file path=xl/sharedStrings.xml><?xml version="1.0" encoding="utf-8"?>
<sst xmlns="http://schemas.openxmlformats.org/spreadsheetml/2006/main" count="210" uniqueCount="132">
  <si>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</si>
  <si>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</si>
  <si>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</si>
  <si>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</si>
  <si>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</si>
  <si>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</si>
  <si>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</si>
  <si>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</si>
  <si>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</si>
  <si>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</si>
  <si>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</si>
  <si>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</si>
  <si>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</si>
  <si>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</si>
  <si>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</si>
  <si>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</si>
  <si>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</si>
  <si>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</si>
  <si>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</si>
  <si>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</si>
  <si>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</si>
  <si>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</si>
  <si>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</si>
  <si>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</si>
  <si>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</si>
  <si>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</si>
  <si>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</si>
  <si>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</si>
  <si>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</si>
  <si>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</si>
  <si>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</si>
  <si>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</si>
  <si>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</si>
  <si>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</si>
  <si>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</si>
  <si>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</si>
  <si>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</si>
  <si>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</si>
  <si>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</si>
  <si>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</si>
  <si>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</si>
  <si>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</si>
  <si>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</si>
  <si>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</si>
  <si>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</si>
  <si>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</si>
  <si>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</si>
  <si>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</si>
  <si>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</si>
  <si>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MUM180_0014</t>
  </si>
  <si>
    <t>KZKD00000956</t>
  </si>
  <si>
    <t>KZT</t>
  </si>
  <si>
    <t>06.10.2025</t>
  </si>
  <si>
    <t>07.10.2025</t>
  </si>
  <si>
    <t>МИНИСТЕРСТВО ФИНАНСОВ РК, ОБЛИГАЦИИ, MFKZ.0435</t>
  </si>
  <si>
    <t>XS2914770545</t>
  </si>
  <si>
    <t>МИНИСТЕРСТВО ФИНАНСОВ РК, ГЦБ, MUM096_0014</t>
  </si>
  <si>
    <t>KZKD00001228</t>
  </si>
  <si>
    <t>МИНИСТЕРСТВО ФИНАНСОВ РК, ГЦБ, MOM048_0053</t>
  </si>
  <si>
    <t>KZK200000711</t>
  </si>
  <si>
    <t>АКЦИОНЕРНОЕ ОБЩЕСТВО КАЗАХСТАНСКИЙ ФОНД УСТОЙЧИВОСТИ, ОБЛИГАЦИИ, KFUSb10</t>
  </si>
  <si>
    <t>KZ2C00007326</t>
  </si>
  <si>
    <t>13.10.2025</t>
  </si>
  <si>
    <t>МИНИСТЕРСТВО ФИНАНСОВ РК, ГЦБ, MUM072_0014</t>
  </si>
  <si>
    <t>KZKD00001210</t>
  </si>
  <si>
    <t>МИНИСТЕРСТВО ФИНАНСОВ РК, ГЦБ, MUM192_0003</t>
  </si>
  <si>
    <t>KZKD00000626</t>
  </si>
  <si>
    <t>REPUBLIC OF KAZAKHSTAN, ЕВРО ОБЛИГАЦИИ, KZ_22_4507</t>
  </si>
  <si>
    <t>XS1263139856</t>
  </si>
  <si>
    <t>08.10.2025</t>
  </si>
  <si>
    <t>АКЦИОНЕРНОЕ ОБЩЕСТВО КАЗАХСТАНСКИЙ ФОНД УСТОЙЧИВОСТИ, ОБЛИГАЦИИ, KFUSb9</t>
  </si>
  <si>
    <t>KZ2C00007318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</si>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</sst>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0"/>
  <sheetViews>
    <sheetView tabSelected="1" topLeftCell="A22" zoomScale="90" zoomScaleNormal="90" workbookViewId="0">
      <selection activeCell="D57" sqref="D57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53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72</v>
      </c>
      <c r="B4" s="13" t="s">
        <v>73</v>
      </c>
      <c r="C4" s="10">
        <v>3020000</v>
      </c>
      <c r="D4" s="11">
        <v>3020000000</v>
      </c>
      <c r="E4" s="3">
        <v>0.1067</v>
      </c>
      <c r="F4" s="4" t="s">
        <v>74</v>
      </c>
      <c r="G4" s="4" t="s">
        <v>75</v>
      </c>
      <c r="H4" s="11">
        <v>2930617060.0000029</v>
      </c>
      <c r="I4" s="11">
        <v>98.319299999999998</v>
      </c>
      <c r="J4" s="11">
        <v>100.571855555556</v>
      </c>
      <c r="K4" s="11">
        <v>68027177.777777776</v>
      </c>
      <c r="L4" s="11">
        <v>3037270037.7777772</v>
      </c>
      <c r="M4" s="6">
        <f t="shared" ref="M4:M22" si="0">L4/$L$24</f>
        <v>0.1035038804965881</v>
      </c>
    </row>
    <row r="5" spans="1:13" x14ac:dyDescent="0.25">
      <c r="A5" s="1" t="s">
        <v>76</v>
      </c>
      <c r="B5" s="13" t="s">
        <v>77</v>
      </c>
      <c r="C5" s="10">
        <v>2265000</v>
      </c>
      <c r="D5" s="11">
        <v>2265000000</v>
      </c>
      <c r="E5" s="3">
        <v>0.10550000000000001</v>
      </c>
      <c r="F5" s="4" t="s">
        <v>74</v>
      </c>
      <c r="G5" s="4" t="s">
        <v>78</v>
      </c>
      <c r="H5" s="11">
        <v>2039188560.0000031</v>
      </c>
      <c r="I5" s="11">
        <v>82.990800000000007</v>
      </c>
      <c r="J5" s="11">
        <v>85.01288333333332</v>
      </c>
      <c r="K5" s="11">
        <v>45800187.499999993</v>
      </c>
      <c r="L5" s="11">
        <v>1925541807.499999</v>
      </c>
      <c r="M5" s="6">
        <f t="shared" si="0"/>
        <v>6.5618481944556703E-2</v>
      </c>
    </row>
    <row r="6" spans="1:13" x14ac:dyDescent="0.25">
      <c r="A6" s="1" t="s">
        <v>76</v>
      </c>
      <c r="B6" s="13" t="s">
        <v>77</v>
      </c>
      <c r="C6" s="10">
        <v>1551646</v>
      </c>
      <c r="D6" s="11">
        <v>1551646000</v>
      </c>
      <c r="E6" s="3">
        <v>0.10550000000000001</v>
      </c>
      <c r="F6" s="4" t="s">
        <v>79</v>
      </c>
      <c r="G6" s="4" t="s">
        <v>78</v>
      </c>
      <c r="H6" s="11">
        <v>1395452658.7</v>
      </c>
      <c r="I6" s="11">
        <v>82.990800000000007</v>
      </c>
      <c r="J6" s="11">
        <v>85.01288333333359</v>
      </c>
      <c r="K6" s="11">
        <v>31375575.158333331</v>
      </c>
      <c r="L6" s="11">
        <v>1319099003.726337</v>
      </c>
      <c r="M6" s="6">
        <f t="shared" si="0"/>
        <v>4.4952165578518305E-2</v>
      </c>
    </row>
    <row r="7" spans="1:13" x14ac:dyDescent="0.25">
      <c r="A7" s="1" t="s">
        <v>76</v>
      </c>
      <c r="B7" s="13" t="s">
        <v>77</v>
      </c>
      <c r="C7" s="10">
        <v>545692</v>
      </c>
      <c r="D7" s="11">
        <v>545692000</v>
      </c>
      <c r="E7" s="3">
        <v>0.10550000000000001</v>
      </c>
      <c r="F7" s="4" t="s">
        <v>80</v>
      </c>
      <c r="G7" s="4" t="s">
        <v>78</v>
      </c>
      <c r="H7" s="11">
        <v>449784993.92000002</v>
      </c>
      <c r="I7" s="11">
        <v>82.990800000000007</v>
      </c>
      <c r="J7" s="11">
        <v>85.01288333333332</v>
      </c>
      <c r="K7" s="11">
        <v>11034346.983333331</v>
      </c>
      <c r="L7" s="11">
        <v>463908503.31933302</v>
      </c>
      <c r="M7" s="6">
        <f t="shared" si="0"/>
        <v>1.5809042229266681E-2</v>
      </c>
    </row>
    <row r="8" spans="1:13" x14ac:dyDescent="0.25">
      <c r="A8" s="1" t="s">
        <v>81</v>
      </c>
      <c r="B8" s="13" t="s">
        <v>82</v>
      </c>
      <c r="C8" s="10">
        <v>2265000</v>
      </c>
      <c r="D8" s="11">
        <v>2265000000</v>
      </c>
      <c r="E8" s="3">
        <v>0.10400000000000001</v>
      </c>
      <c r="F8" s="4" t="s">
        <v>74</v>
      </c>
      <c r="G8" s="4" t="s">
        <v>83</v>
      </c>
      <c r="H8" s="11">
        <v>2073109200</v>
      </c>
      <c r="I8" s="11">
        <v>87.177000000000007</v>
      </c>
      <c r="J8" s="11">
        <v>92.23255555555555</v>
      </c>
      <c r="K8" s="11">
        <v>114508333.333333</v>
      </c>
      <c r="L8" s="11">
        <v>2089067383.333333</v>
      </c>
      <c r="M8" s="6">
        <f t="shared" si="0"/>
        <v>7.1191095327189202E-2</v>
      </c>
    </row>
    <row r="9" spans="1:13" x14ac:dyDescent="0.25">
      <c r="A9" s="1" t="s">
        <v>84</v>
      </c>
      <c r="B9" s="13" t="s">
        <v>85</v>
      </c>
      <c r="C9" s="10">
        <v>2265000</v>
      </c>
      <c r="D9" s="11">
        <v>2265000000</v>
      </c>
      <c r="E9" s="3">
        <v>0.11</v>
      </c>
      <c r="F9" s="4" t="s">
        <v>74</v>
      </c>
      <c r="G9" s="4" t="s">
        <v>86</v>
      </c>
      <c r="H9" s="11">
        <v>2080889475</v>
      </c>
      <c r="I9" s="11">
        <v>85.061900000000009</v>
      </c>
      <c r="J9" s="11">
        <v>90.775788888888883</v>
      </c>
      <c r="K9" s="11">
        <v>129419583.333333</v>
      </c>
      <c r="L9" s="11">
        <v>2056071618.333333</v>
      </c>
      <c r="M9" s="6">
        <f t="shared" si="0"/>
        <v>7.0066667905532537E-2</v>
      </c>
    </row>
    <row r="10" spans="1:13" x14ac:dyDescent="0.25">
      <c r="A10" s="1" t="s">
        <v>87</v>
      </c>
      <c r="B10" s="13" t="s">
        <v>88</v>
      </c>
      <c r="C10" s="10">
        <v>2265000</v>
      </c>
      <c r="D10" s="11">
        <v>2265000000</v>
      </c>
      <c r="E10" s="3">
        <v>0.10300000000000001</v>
      </c>
      <c r="F10" s="4" t="s">
        <v>74</v>
      </c>
      <c r="G10" s="4" t="s">
        <v>89</v>
      </c>
      <c r="H10" s="11">
        <v>1963990560.0000031</v>
      </c>
      <c r="I10" s="11">
        <v>77.468299999999999</v>
      </c>
      <c r="J10" s="11">
        <v>83.190522222222214</v>
      </c>
      <c r="K10" s="11">
        <v>129608333.333333</v>
      </c>
      <c r="L10" s="11">
        <v>1884265328.333333</v>
      </c>
      <c r="M10" s="6">
        <f t="shared" si="0"/>
        <v>6.4211864912206054E-2</v>
      </c>
    </row>
    <row r="11" spans="1:13" x14ac:dyDescent="0.25">
      <c r="A11" s="1" t="s">
        <v>90</v>
      </c>
      <c r="B11" s="13" t="s">
        <v>91</v>
      </c>
      <c r="C11" s="10">
        <v>2265000</v>
      </c>
      <c r="D11" s="11">
        <v>2265000000</v>
      </c>
      <c r="E11" s="3">
        <v>8.4500000000000006E-2</v>
      </c>
      <c r="F11" s="4" t="s">
        <v>74</v>
      </c>
      <c r="G11" s="4" t="s">
        <v>92</v>
      </c>
      <c r="H11" s="11">
        <v>1740247065.0000031</v>
      </c>
      <c r="I11" s="11">
        <v>67.916499999999999</v>
      </c>
      <c r="J11" s="11">
        <v>71.930249999999987</v>
      </c>
      <c r="K11" s="11">
        <v>90911437.499999985</v>
      </c>
      <c r="L11" s="11">
        <v>1629220162.499999</v>
      </c>
      <c r="M11" s="6">
        <f t="shared" si="0"/>
        <v>5.5520453204552914E-2</v>
      </c>
    </row>
    <row r="12" spans="1:13" x14ac:dyDescent="0.25">
      <c r="A12" s="1" t="s">
        <v>93</v>
      </c>
      <c r="B12" s="13" t="s">
        <v>94</v>
      </c>
      <c r="C12" s="10">
        <v>2265000</v>
      </c>
      <c r="D12" s="11">
        <v>2265000000</v>
      </c>
      <c r="E12" s="3">
        <v>0.10650000000000001</v>
      </c>
      <c r="F12" s="4" t="s">
        <v>74</v>
      </c>
      <c r="G12" s="4" t="s">
        <v>95</v>
      </c>
      <c r="H12" s="11">
        <v>1967775375</v>
      </c>
      <c r="I12" s="11">
        <v>75.720399999999998</v>
      </c>
      <c r="J12" s="11">
        <v>77.820816666666659</v>
      </c>
      <c r="K12" s="11">
        <v>47574437.5</v>
      </c>
      <c r="L12" s="11">
        <v>1762641497.5</v>
      </c>
      <c r="M12" s="6">
        <f t="shared" si="0"/>
        <v>6.0067176328203513E-2</v>
      </c>
    </row>
    <row r="13" spans="1:13" x14ac:dyDescent="0.25">
      <c r="A13" s="1" t="s">
        <v>96</v>
      </c>
      <c r="B13" s="13" t="s">
        <v>97</v>
      </c>
      <c r="C13" s="10">
        <v>2265000</v>
      </c>
      <c r="D13" s="11">
        <v>2265000000</v>
      </c>
      <c r="E13" s="3">
        <v>8.0700000000000008E-2</v>
      </c>
      <c r="F13" s="4" t="s">
        <v>74</v>
      </c>
      <c r="G13" s="4" t="s">
        <v>98</v>
      </c>
      <c r="H13" s="11">
        <v>1622351550</v>
      </c>
      <c r="I13" s="11">
        <v>61.333100000000002</v>
      </c>
      <c r="J13" s="11">
        <v>64.583516666666654</v>
      </c>
      <c r="K13" s="11">
        <v>73621937.5</v>
      </c>
      <c r="L13" s="11">
        <v>1462816652.5</v>
      </c>
      <c r="M13" s="6">
        <f t="shared" si="0"/>
        <v>4.9849765778335706E-2</v>
      </c>
    </row>
    <row r="14" spans="1:13" x14ac:dyDescent="0.25">
      <c r="A14" s="1" t="s">
        <v>99</v>
      </c>
      <c r="B14" s="13" t="s">
        <v>100</v>
      </c>
      <c r="C14" s="10">
        <v>2265000</v>
      </c>
      <c r="D14" s="11">
        <v>2265000000</v>
      </c>
      <c r="E14" s="3">
        <v>8.0700000000000008E-2</v>
      </c>
      <c r="F14" s="4" t="s">
        <v>74</v>
      </c>
      <c r="G14" s="4" t="s">
        <v>101</v>
      </c>
      <c r="H14" s="11">
        <v>1597764975</v>
      </c>
      <c r="I14" s="11">
        <v>59.884500000000003</v>
      </c>
      <c r="J14" s="11">
        <v>65.44383333333333</v>
      </c>
      <c r="K14" s="11">
        <v>125918900</v>
      </c>
      <c r="L14" s="11">
        <v>1482302825</v>
      </c>
      <c r="M14" s="6">
        <f t="shared" si="0"/>
        <v>5.0513814231285106E-2</v>
      </c>
    </row>
    <row r="15" spans="1:13" x14ac:dyDescent="0.25">
      <c r="A15" s="1" t="s">
        <v>102</v>
      </c>
      <c r="B15" s="13" t="s">
        <v>103</v>
      </c>
      <c r="C15" s="10">
        <v>3775000</v>
      </c>
      <c r="D15" s="11">
        <v>3775000000</v>
      </c>
      <c r="E15" s="3">
        <v>5.4900000000000004E-2</v>
      </c>
      <c r="F15" s="4" t="s">
        <v>74</v>
      </c>
      <c r="G15" s="4" t="s">
        <v>104</v>
      </c>
      <c r="H15" s="11">
        <v>3136670150</v>
      </c>
      <c r="I15" s="11">
        <v>85.898099999999999</v>
      </c>
      <c r="J15" s="11">
        <v>88.795600000000007</v>
      </c>
      <c r="K15" s="11">
        <v>109380625</v>
      </c>
      <c r="L15" s="11">
        <v>3352033900</v>
      </c>
      <c r="M15" s="6">
        <f t="shared" si="0"/>
        <v>0.11423038185302664</v>
      </c>
    </row>
    <row r="16" spans="1:13" x14ac:dyDescent="0.25">
      <c r="A16" s="1" t="s">
        <v>105</v>
      </c>
      <c r="B16" s="13" t="s">
        <v>106</v>
      </c>
      <c r="C16" s="10">
        <v>2803860</v>
      </c>
      <c r="D16" s="11">
        <v>2803860000</v>
      </c>
      <c r="E16" s="3">
        <v>5.5E-2</v>
      </c>
      <c r="F16" s="4" t="s">
        <v>107</v>
      </c>
      <c r="G16" s="4" t="s">
        <v>108</v>
      </c>
      <c r="H16" s="11">
        <v>1773018067.1400001</v>
      </c>
      <c r="I16" s="11">
        <v>56.748400000000004</v>
      </c>
      <c r="J16" s="11">
        <v>59.238677777777767</v>
      </c>
      <c r="K16" s="11">
        <v>69823902.5</v>
      </c>
      <c r="L16" s="11">
        <v>1660969590.74</v>
      </c>
      <c r="M16" s="6">
        <f t="shared" si="0"/>
        <v>5.6602408047393429E-2</v>
      </c>
    </row>
    <row r="17" spans="1:15" x14ac:dyDescent="0.25">
      <c r="A17" s="1" t="s">
        <v>109</v>
      </c>
      <c r="B17" s="13" t="s">
        <v>110</v>
      </c>
      <c r="C17" s="10">
        <v>1038480</v>
      </c>
      <c r="D17" s="11">
        <v>1038480000</v>
      </c>
      <c r="E17" s="3">
        <v>0.12</v>
      </c>
      <c r="F17" s="4" t="s">
        <v>107</v>
      </c>
      <c r="G17" s="4" t="s">
        <v>111</v>
      </c>
      <c r="H17" s="11">
        <v>979029096.96000004</v>
      </c>
      <c r="I17" s="11">
        <v>85.307100000000005</v>
      </c>
      <c r="J17" s="11">
        <v>92.307100000000005</v>
      </c>
      <c r="K17" s="11">
        <v>72693600</v>
      </c>
      <c r="L17" s="11">
        <v>958590772.08000004</v>
      </c>
      <c r="M17" s="6">
        <f t="shared" si="0"/>
        <v>3.2666790731288857E-2</v>
      </c>
    </row>
    <row r="18" spans="1:15" x14ac:dyDescent="0.25">
      <c r="A18" s="1" t="s">
        <v>112</v>
      </c>
      <c r="B18" s="13" t="s">
        <v>113</v>
      </c>
      <c r="C18" s="10">
        <v>506989</v>
      </c>
      <c r="D18" s="11">
        <v>506989000</v>
      </c>
      <c r="E18" s="3">
        <v>0.1535</v>
      </c>
      <c r="F18" s="4" t="s">
        <v>114</v>
      </c>
      <c r="G18" s="4" t="s">
        <v>115</v>
      </c>
      <c r="H18" s="11">
        <v>492216861.50999999</v>
      </c>
      <c r="I18" s="11">
        <v>98.236699999999999</v>
      </c>
      <c r="J18" s="11">
        <v>104.163505555556</v>
      </c>
      <c r="K18" s="11">
        <v>30048252.21805555</v>
      </c>
      <c r="L18" s="11">
        <v>528097515.18105602</v>
      </c>
      <c r="M18" s="6">
        <f t="shared" si="0"/>
        <v>1.7996470982816301E-2</v>
      </c>
    </row>
    <row r="19" spans="1:15" x14ac:dyDescent="0.25">
      <c r="A19" s="1" t="s">
        <v>116</v>
      </c>
      <c r="B19" s="13" t="s">
        <v>117</v>
      </c>
      <c r="C19" s="10">
        <v>2100000</v>
      </c>
      <c r="D19" s="11">
        <v>2100000000</v>
      </c>
      <c r="E19" s="3">
        <v>0.14300000000000002</v>
      </c>
      <c r="F19" s="4" t="s">
        <v>118</v>
      </c>
      <c r="G19" s="4" t="s">
        <v>119</v>
      </c>
      <c r="H19" s="11">
        <v>2100000000</v>
      </c>
      <c r="I19" s="11">
        <v>94.612490240416591</v>
      </c>
      <c r="J19" s="11">
        <v>95.96304579597215</v>
      </c>
      <c r="K19" s="11">
        <v>28361666.66666666</v>
      </c>
      <c r="L19" s="11">
        <v>2015223961.715415</v>
      </c>
      <c r="M19" s="6">
        <f t="shared" si="0"/>
        <v>6.8674664258652332E-2</v>
      </c>
    </row>
    <row r="20" spans="1:15" x14ac:dyDescent="0.25">
      <c r="A20" s="1" t="s">
        <v>120</v>
      </c>
      <c r="B20" s="13" t="s">
        <v>121</v>
      </c>
      <c r="C20" s="10">
        <v>1000000</v>
      </c>
      <c r="D20" s="11">
        <v>1000000000</v>
      </c>
      <c r="E20" s="3">
        <v>0.1389</v>
      </c>
      <c r="F20" s="4" t="s">
        <v>122</v>
      </c>
      <c r="G20" s="4" t="s">
        <v>123</v>
      </c>
      <c r="H20" s="11">
        <v>1000000000</v>
      </c>
      <c r="I20" s="11">
        <v>98.276713055405793</v>
      </c>
      <c r="J20" s="11">
        <v>103.253963055406</v>
      </c>
      <c r="K20" s="11">
        <v>49772499.999999993</v>
      </c>
      <c r="L20" s="11">
        <v>1032539630.554057</v>
      </c>
      <c r="M20" s="6">
        <f t="shared" si="0"/>
        <v>3.5186814869793824E-2</v>
      </c>
    </row>
    <row r="21" spans="1:15" x14ac:dyDescent="0.25">
      <c r="A21" s="1" t="s">
        <v>124</v>
      </c>
      <c r="B21" s="13" t="s">
        <v>125</v>
      </c>
      <c r="C21" s="10">
        <v>165739</v>
      </c>
      <c r="D21" s="11">
        <v>165739000</v>
      </c>
      <c r="E21" s="3">
        <v>0.125</v>
      </c>
      <c r="F21" s="4" t="s">
        <v>126</v>
      </c>
      <c r="G21" s="4" t="s">
        <v>127</v>
      </c>
      <c r="H21" s="11">
        <v>159596381.18279999</v>
      </c>
      <c r="I21" s="11">
        <v>96.2787730018687</v>
      </c>
      <c r="J21" s="11">
        <v>100.271828557411</v>
      </c>
      <c r="K21" s="11">
        <v>6618050.3471999997</v>
      </c>
      <c r="L21" s="11">
        <v>166189525.932767</v>
      </c>
      <c r="M21" s="6">
        <f t="shared" si="0"/>
        <v>5.6633952918177374E-3</v>
      </c>
    </row>
    <row r="22" spans="1:15" x14ac:dyDescent="0.25">
      <c r="A22" s="1" t="s">
        <v>128</v>
      </c>
      <c r="B22" s="13" t="s">
        <v>129</v>
      </c>
      <c r="C22" s="10">
        <v>494987</v>
      </c>
      <c r="D22" s="11">
        <v>494987000</v>
      </c>
      <c r="E22" s="3">
        <v>0.1701</v>
      </c>
      <c r="F22" s="4" t="s">
        <v>130</v>
      </c>
      <c r="G22" s="4" t="s">
        <v>131</v>
      </c>
      <c r="H22" s="11">
        <v>495088472.34249997</v>
      </c>
      <c r="I22" s="11">
        <v>101.94640000000001</v>
      </c>
      <c r="J22" s="11">
        <v>104.7814</v>
      </c>
      <c r="K22" s="11">
        <v>14032881.449999999</v>
      </c>
      <c r="L22" s="11">
        <v>518654308.41799998</v>
      </c>
      <c r="M22" s="6">
        <f t="shared" si="0"/>
        <v>1.7674666028975897E-2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1248531728.1013656</v>
      </c>
      <c r="L24" s="22">
        <f>SUM(L4:L23)</f>
        <v>29344504024.444744</v>
      </c>
      <c r="M24" s="23"/>
      <c r="N24" s="26">
        <v>29344504024.444767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8340278.5099999998</v>
      </c>
      <c r="C27" s="51">
        <v>8340278.5099999998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14470</v>
      </c>
      <c r="D32" s="7" t="s">
        <v>51</v>
      </c>
      <c r="E32" s="34" t="s">
        <v>52</v>
      </c>
      <c r="F32" s="34" t="s">
        <v>53</v>
      </c>
      <c r="G32" s="15">
        <v>691.505</v>
      </c>
      <c r="H32" s="15">
        <v>691.77971112646901</v>
      </c>
      <c r="I32" s="16">
        <f t="shared" ref="I32:I47" si="1">+C32*G32</f>
        <v>10006077.35</v>
      </c>
      <c r="J32" s="16">
        <f t="shared" ref="J32:J47" si="2">+C32*H32</f>
        <v>10010052.420000007</v>
      </c>
      <c r="K32" s="18">
        <v>0.14500199999999999</v>
      </c>
      <c r="L32" s="17">
        <v>3975.07</v>
      </c>
      <c r="M32" s="17"/>
      <c r="N32" s="35"/>
    </row>
    <row r="33" spans="1:14" s="36" customFormat="1" ht="12" customHeight="1" x14ac:dyDescent="0.25">
      <c r="A33" s="12" t="s">
        <v>49</v>
      </c>
      <c r="B33" s="7" t="s">
        <v>50</v>
      </c>
      <c r="C33" s="14">
        <v>14470</v>
      </c>
      <c r="D33" s="7" t="s">
        <v>51</v>
      </c>
      <c r="E33" s="34" t="s">
        <v>53</v>
      </c>
      <c r="F33" s="34" t="s">
        <v>53</v>
      </c>
      <c r="G33" s="15">
        <v>691.505</v>
      </c>
      <c r="H33" s="15">
        <v>691.77971112646901</v>
      </c>
      <c r="I33" s="16">
        <f t="shared" si="1"/>
        <v>10006077.35</v>
      </c>
      <c r="J33" s="16">
        <f t="shared" si="2"/>
        <v>10010052.420000007</v>
      </c>
      <c r="K33" s="18">
        <v>0.14500199999999999</v>
      </c>
      <c r="L33" s="17"/>
      <c r="M33" s="17"/>
      <c r="N33" s="35"/>
    </row>
    <row r="34" spans="1:14" s="36" customFormat="1" ht="12" customHeight="1" x14ac:dyDescent="0.25">
      <c r="A34" s="12" t="s">
        <v>54</v>
      </c>
      <c r="B34" s="7" t="s">
        <v>55</v>
      </c>
      <c r="C34" s="14">
        <v>1797</v>
      </c>
      <c r="D34" s="7" t="s">
        <v>51</v>
      </c>
      <c r="E34" s="34" t="s">
        <v>52</v>
      </c>
      <c r="F34" s="34" t="s">
        <v>53</v>
      </c>
      <c r="G34" s="15">
        <v>556.60639955481406</v>
      </c>
      <c r="H34" s="15">
        <v>556.84581524763507</v>
      </c>
      <c r="I34" s="16">
        <f t="shared" si="1"/>
        <v>1000221.7000000009</v>
      </c>
      <c r="J34" s="16">
        <f t="shared" si="2"/>
        <v>1000651.9300000003</v>
      </c>
      <c r="K34" s="18">
        <v>0.156999</v>
      </c>
      <c r="L34" s="17">
        <v>430.23</v>
      </c>
      <c r="M34" s="17"/>
      <c r="N34" s="35"/>
    </row>
    <row r="35" spans="1:14" s="36" customFormat="1" ht="12" customHeight="1" x14ac:dyDescent="0.25">
      <c r="A35" s="12" t="s">
        <v>54</v>
      </c>
      <c r="B35" s="7" t="s">
        <v>55</v>
      </c>
      <c r="C35" s="14">
        <v>1797</v>
      </c>
      <c r="D35" s="7" t="s">
        <v>51</v>
      </c>
      <c r="E35" s="34" t="s">
        <v>53</v>
      </c>
      <c r="F35" s="34" t="s">
        <v>53</v>
      </c>
      <c r="G35" s="15">
        <v>556.60639955481406</v>
      </c>
      <c r="H35" s="15">
        <v>556.84581524763507</v>
      </c>
      <c r="I35" s="16">
        <f t="shared" si="1"/>
        <v>1000221.7000000009</v>
      </c>
      <c r="J35" s="16">
        <f t="shared" si="2"/>
        <v>1000651.9300000003</v>
      </c>
      <c r="K35" s="18">
        <v>0.156999</v>
      </c>
      <c r="L35" s="17"/>
      <c r="M35" s="17"/>
      <c r="N35" s="35"/>
    </row>
    <row r="36" spans="1:14" s="36" customFormat="1" ht="12" customHeight="1" x14ac:dyDescent="0.25">
      <c r="A36" s="12" t="s">
        <v>56</v>
      </c>
      <c r="B36" s="7" t="s">
        <v>57</v>
      </c>
      <c r="C36" s="14">
        <v>349317</v>
      </c>
      <c r="D36" s="7" t="s">
        <v>51</v>
      </c>
      <c r="E36" s="34" t="s">
        <v>52</v>
      </c>
      <c r="F36" s="34" t="s">
        <v>53</v>
      </c>
      <c r="G36" s="15">
        <v>953.48199998854909</v>
      </c>
      <c r="H36" s="15">
        <v>953.89473753066704</v>
      </c>
      <c r="I36" s="16">
        <f t="shared" si="1"/>
        <v>333067471.79000002</v>
      </c>
      <c r="J36" s="16">
        <f t="shared" si="2"/>
        <v>333211648.03000003</v>
      </c>
      <c r="K36" s="18">
        <v>0.157999</v>
      </c>
      <c r="L36" s="17">
        <v>144176.24</v>
      </c>
      <c r="M36" s="17"/>
      <c r="N36" s="35"/>
    </row>
    <row r="37" spans="1:14" s="36" customFormat="1" ht="12" customHeight="1" x14ac:dyDescent="0.25">
      <c r="A37" s="12" t="s">
        <v>56</v>
      </c>
      <c r="B37" s="7" t="s">
        <v>57</v>
      </c>
      <c r="C37" s="14">
        <v>349317</v>
      </c>
      <c r="D37" s="7" t="s">
        <v>51</v>
      </c>
      <c r="E37" s="34" t="s">
        <v>53</v>
      </c>
      <c r="F37" s="34" t="s">
        <v>53</v>
      </c>
      <c r="G37" s="15">
        <v>953.48199998854909</v>
      </c>
      <c r="H37" s="15">
        <v>953.89473753066704</v>
      </c>
      <c r="I37" s="16">
        <f t="shared" si="1"/>
        <v>333067471.79000002</v>
      </c>
      <c r="J37" s="16">
        <f t="shared" si="2"/>
        <v>333211648.03000003</v>
      </c>
      <c r="K37" s="18">
        <v>0.157999</v>
      </c>
      <c r="L37" s="17"/>
      <c r="M37" s="17"/>
      <c r="N37" s="35"/>
    </row>
    <row r="38" spans="1:14" s="36" customFormat="1" ht="12" customHeight="1" x14ac:dyDescent="0.25">
      <c r="A38" s="12" t="s">
        <v>58</v>
      </c>
      <c r="B38" s="7" t="s">
        <v>59</v>
      </c>
      <c r="C38" s="14">
        <v>399267</v>
      </c>
      <c r="D38" s="7" t="s">
        <v>51</v>
      </c>
      <c r="E38" s="34" t="s">
        <v>52</v>
      </c>
      <c r="F38" s="34" t="s">
        <v>53</v>
      </c>
      <c r="G38" s="15">
        <v>1020.0110000075131</v>
      </c>
      <c r="H38" s="15">
        <v>1020.452536222627</v>
      </c>
      <c r="I38" s="16">
        <f t="shared" si="1"/>
        <v>407256731.9399997</v>
      </c>
      <c r="J38" s="16">
        <f t="shared" si="2"/>
        <v>407433022.77999961</v>
      </c>
      <c r="K38" s="18">
        <v>0.157999</v>
      </c>
      <c r="L38" s="17">
        <v>176290.84</v>
      </c>
      <c r="M38" s="17"/>
      <c r="N38" s="35"/>
    </row>
    <row r="39" spans="1:14" s="36" customFormat="1" ht="12" customHeight="1" x14ac:dyDescent="0.25">
      <c r="A39" s="12" t="s">
        <v>58</v>
      </c>
      <c r="B39" s="7" t="s">
        <v>59</v>
      </c>
      <c r="C39" s="14">
        <v>399267</v>
      </c>
      <c r="D39" s="7" t="s">
        <v>51</v>
      </c>
      <c r="E39" s="34" t="s">
        <v>53</v>
      </c>
      <c r="F39" s="34" t="s">
        <v>53</v>
      </c>
      <c r="G39" s="15">
        <v>1020.0110000075131</v>
      </c>
      <c r="H39" s="15">
        <v>1020.452536222627</v>
      </c>
      <c r="I39" s="16">
        <f t="shared" si="1"/>
        <v>407256731.9399997</v>
      </c>
      <c r="J39" s="16">
        <f t="shared" si="2"/>
        <v>407433022.77999961</v>
      </c>
      <c r="K39" s="18">
        <v>0.157999</v>
      </c>
      <c r="L39" s="17"/>
      <c r="M39" s="17"/>
      <c r="N39" s="35"/>
    </row>
    <row r="40" spans="1:14" s="36" customFormat="1" ht="12" customHeight="1" x14ac:dyDescent="0.25">
      <c r="A40" s="12" t="s">
        <v>60</v>
      </c>
      <c r="B40" s="7" t="s">
        <v>61</v>
      </c>
      <c r="C40" s="14">
        <v>340996</v>
      </c>
      <c r="D40" s="7" t="s">
        <v>51</v>
      </c>
      <c r="E40" s="34" t="s">
        <v>52</v>
      </c>
      <c r="F40" s="34" t="s">
        <v>62</v>
      </c>
      <c r="G40" s="15">
        <v>956.06500000000005</v>
      </c>
      <c r="H40" s="15">
        <v>958.99867889945904</v>
      </c>
      <c r="I40" s="16">
        <f t="shared" si="1"/>
        <v>326014340.74000001</v>
      </c>
      <c r="J40" s="16">
        <f t="shared" si="2"/>
        <v>327014713.50999993</v>
      </c>
      <c r="K40" s="18">
        <v>0.16</v>
      </c>
      <c r="L40" s="17">
        <v>142910.3957142857</v>
      </c>
      <c r="M40" s="17">
        <v>326157251.13571399</v>
      </c>
      <c r="N40" s="35"/>
    </row>
    <row r="41" spans="1:14" s="36" customFormat="1" ht="12" customHeight="1" x14ac:dyDescent="0.25">
      <c r="A41" s="12" t="s">
        <v>63</v>
      </c>
      <c r="B41" s="7" t="s">
        <v>64</v>
      </c>
      <c r="C41" s="14">
        <v>1221445</v>
      </c>
      <c r="D41" s="7" t="s">
        <v>51</v>
      </c>
      <c r="E41" s="34" t="s">
        <v>52</v>
      </c>
      <c r="F41" s="34" t="s">
        <v>62</v>
      </c>
      <c r="G41" s="15">
        <v>1047.699000004093</v>
      </c>
      <c r="H41" s="15">
        <v>1050.9138572101072</v>
      </c>
      <c r="I41" s="16">
        <f t="shared" si="1"/>
        <v>1279706705.0599995</v>
      </c>
      <c r="J41" s="16">
        <f t="shared" si="2"/>
        <v>1283633476.3199992</v>
      </c>
      <c r="K41" s="18">
        <v>0.16</v>
      </c>
      <c r="L41" s="17">
        <v>560967.32285714278</v>
      </c>
      <c r="M41" s="17">
        <v>1280267672.3828571</v>
      </c>
      <c r="N41" s="35"/>
    </row>
    <row r="42" spans="1:14" s="36" customFormat="1" ht="12" customHeight="1" x14ac:dyDescent="0.25">
      <c r="A42" s="12" t="s">
        <v>65</v>
      </c>
      <c r="B42" s="7" t="s">
        <v>66</v>
      </c>
      <c r="C42" s="14">
        <v>1149984</v>
      </c>
      <c r="D42" s="7" t="s">
        <v>51</v>
      </c>
      <c r="E42" s="34" t="s">
        <v>52</v>
      </c>
      <c r="F42" s="34" t="s">
        <v>53</v>
      </c>
      <c r="G42" s="15">
        <v>751.76499999999999</v>
      </c>
      <c r="H42" s="15">
        <v>752.07394452444601</v>
      </c>
      <c r="I42" s="16">
        <f t="shared" si="1"/>
        <v>864517721.75999999</v>
      </c>
      <c r="J42" s="16">
        <f t="shared" si="2"/>
        <v>864873003.02000046</v>
      </c>
      <c r="K42" s="18">
        <v>0.15</v>
      </c>
      <c r="L42" s="17">
        <v>355281.26</v>
      </c>
      <c r="M42" s="17"/>
      <c r="N42" s="35"/>
    </row>
    <row r="43" spans="1:14" s="36" customFormat="1" ht="12" customHeight="1" x14ac:dyDescent="0.25">
      <c r="A43" s="12" t="s">
        <v>65</v>
      </c>
      <c r="B43" s="7" t="s">
        <v>66</v>
      </c>
      <c r="C43" s="14">
        <v>1149984</v>
      </c>
      <c r="D43" s="7" t="s">
        <v>51</v>
      </c>
      <c r="E43" s="34" t="s">
        <v>53</v>
      </c>
      <c r="F43" s="34" t="s">
        <v>53</v>
      </c>
      <c r="G43" s="15">
        <v>751.76499999999999</v>
      </c>
      <c r="H43" s="15">
        <v>752.07394452444601</v>
      </c>
      <c r="I43" s="16">
        <f t="shared" si="1"/>
        <v>864517721.75999999</v>
      </c>
      <c r="J43" s="16">
        <f t="shared" si="2"/>
        <v>864873003.02000046</v>
      </c>
      <c r="K43" s="18">
        <v>0.15</v>
      </c>
      <c r="L43" s="17"/>
      <c r="M43" s="17"/>
      <c r="N43" s="35"/>
    </row>
    <row r="44" spans="1:14" s="36" customFormat="1" ht="12" customHeight="1" x14ac:dyDescent="0.25">
      <c r="A44" s="12" t="s">
        <v>60</v>
      </c>
      <c r="B44" s="7" t="s">
        <v>61</v>
      </c>
      <c r="C44" s="14">
        <v>10460</v>
      </c>
      <c r="D44" s="7" t="s">
        <v>51</v>
      </c>
      <c r="E44" s="34" t="s">
        <v>52</v>
      </c>
      <c r="F44" s="34" t="s">
        <v>62</v>
      </c>
      <c r="G44" s="15">
        <v>956.06500000000005</v>
      </c>
      <c r="H44" s="15">
        <v>958.99867877629106</v>
      </c>
      <c r="I44" s="16">
        <f t="shared" si="1"/>
        <v>10000439.9</v>
      </c>
      <c r="J44" s="16">
        <f t="shared" si="2"/>
        <v>10031126.180000005</v>
      </c>
      <c r="K44" s="18">
        <v>0.16</v>
      </c>
      <c r="L44" s="17">
        <v>4383.7542857142853</v>
      </c>
      <c r="M44" s="17">
        <v>10004823.65428571</v>
      </c>
      <c r="N44" s="35"/>
    </row>
    <row r="45" spans="1:14" s="36" customFormat="1" ht="12" customHeight="1" x14ac:dyDescent="0.25">
      <c r="A45" s="12" t="s">
        <v>67</v>
      </c>
      <c r="B45" s="7" t="s">
        <v>68</v>
      </c>
      <c r="C45" s="14">
        <v>1698599</v>
      </c>
      <c r="D45" s="7" t="s">
        <v>51</v>
      </c>
      <c r="E45" s="34" t="s">
        <v>53</v>
      </c>
      <c r="F45" s="34" t="s">
        <v>69</v>
      </c>
      <c r="G45" s="15">
        <v>622.40280000164807</v>
      </c>
      <c r="H45" s="15">
        <v>622.66796064874598</v>
      </c>
      <c r="I45" s="16">
        <f t="shared" si="1"/>
        <v>1057212773.6799995</v>
      </c>
      <c r="J45" s="16">
        <f t="shared" si="2"/>
        <v>1057663175.2899992</v>
      </c>
      <c r="K45" s="18">
        <v>0.1555</v>
      </c>
      <c r="L45" s="17"/>
      <c r="M45" s="17">
        <v>1057212773.6799999</v>
      </c>
      <c r="N45" s="35"/>
    </row>
    <row r="46" spans="1:14" s="36" customFormat="1" ht="12" customHeight="1" x14ac:dyDescent="0.25">
      <c r="A46" s="12" t="s">
        <v>70</v>
      </c>
      <c r="B46" s="7" t="s">
        <v>71</v>
      </c>
      <c r="C46" s="14">
        <v>527040</v>
      </c>
      <c r="D46" s="7" t="s">
        <v>51</v>
      </c>
      <c r="E46" s="34" t="s">
        <v>53</v>
      </c>
      <c r="F46" s="34" t="s">
        <v>69</v>
      </c>
      <c r="G46" s="15">
        <v>1041.8399999999999</v>
      </c>
      <c r="H46" s="15">
        <v>1042.2838523831201</v>
      </c>
      <c r="I46" s="16">
        <f t="shared" si="1"/>
        <v>549091353.5999999</v>
      </c>
      <c r="J46" s="16">
        <f t="shared" si="2"/>
        <v>549325281.55999959</v>
      </c>
      <c r="K46" s="18">
        <v>0.1555</v>
      </c>
      <c r="L46" s="17"/>
      <c r="M46" s="17">
        <v>549091353.60000002</v>
      </c>
      <c r="N46" s="35"/>
    </row>
    <row r="47" spans="1:14" s="36" customFormat="1" ht="12" customHeight="1" x14ac:dyDescent="0.25">
      <c r="A47" s="12" t="s">
        <v>70</v>
      </c>
      <c r="B47" s="7" t="s">
        <v>71</v>
      </c>
      <c r="C47" s="14">
        <v>9600</v>
      </c>
      <c r="D47" s="7" t="s">
        <v>51</v>
      </c>
      <c r="E47" s="34" t="s">
        <v>53</v>
      </c>
      <c r="F47" s="34" t="s">
        <v>69</v>
      </c>
      <c r="G47" s="15">
        <v>1041.8399999999999</v>
      </c>
      <c r="H47" s="15">
        <v>1042.2838520833332</v>
      </c>
      <c r="I47" s="16">
        <f t="shared" si="1"/>
        <v>10001664</v>
      </c>
      <c r="J47" s="16">
        <f t="shared" si="2"/>
        <v>10005924.979999999</v>
      </c>
      <c r="K47" s="18">
        <v>0.1555</v>
      </c>
      <c r="L47" s="17"/>
      <c r="M47" s="17">
        <v>10001664</v>
      </c>
      <c r="N47" s="35"/>
    </row>
    <row r="48" spans="1:14" s="36" customFormat="1" ht="11.25" hidden="1" x14ac:dyDescent="0.25">
      <c r="A48" s="7"/>
      <c r="B48" s="7"/>
      <c r="C48" s="7"/>
      <c r="D48" s="7"/>
      <c r="E48" s="37"/>
      <c r="F48" s="37"/>
      <c r="G48" s="7"/>
      <c r="H48" s="7"/>
      <c r="I48" s="8"/>
      <c r="J48" s="8"/>
      <c r="K48" s="7"/>
      <c r="L48" s="9"/>
      <c r="M48" s="9"/>
      <c r="N48" s="35"/>
    </row>
    <row r="49" spans="1:15" x14ac:dyDescent="0.25">
      <c r="A49" s="1" t="s">
        <v>5</v>
      </c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2">
        <f>SUM(M32:M48)</f>
        <v>3232735538.4528565</v>
      </c>
      <c r="N49" s="38">
        <v>3232735538.452857</v>
      </c>
      <c r="O49" s="29">
        <f>M49-N49</f>
        <v>0</v>
      </c>
    </row>
    <row r="51" spans="1:15" x14ac:dyDescent="0.25">
      <c r="A51" s="39" t="s">
        <v>28</v>
      </c>
      <c r="B51" s="33"/>
      <c r="D51" s="33"/>
      <c r="F51" s="28"/>
      <c r="G51" s="28"/>
    </row>
    <row r="52" spans="1:15" ht="22.5" x14ac:dyDescent="0.25">
      <c r="A52" s="19" t="s">
        <v>6</v>
      </c>
      <c r="B52" s="19" t="s">
        <v>29</v>
      </c>
      <c r="C52" s="19" t="s">
        <v>17</v>
      </c>
      <c r="D52" s="19" t="s">
        <v>30</v>
      </c>
      <c r="E52" s="19" t="s">
        <v>16</v>
      </c>
      <c r="F52" s="19" t="s">
        <v>31</v>
      </c>
      <c r="G52" s="19" t="s">
        <v>32</v>
      </c>
    </row>
    <row r="53" spans="1:15" hidden="1" x14ac:dyDescent="0.25">
      <c r="B53" s="41"/>
      <c r="C53" s="42"/>
      <c r="D53" s="43"/>
      <c r="G53" s="44"/>
      <c r="H53" s="33"/>
    </row>
    <row r="54" spans="1:15" x14ac:dyDescent="0.25">
      <c r="G54" s="45">
        <f>SUM(G53:G53)</f>
        <v>0</v>
      </c>
    </row>
    <row r="56" spans="1:15" x14ac:dyDescent="0.25">
      <c r="A56" s="46" t="s">
        <v>13</v>
      </c>
      <c r="B56" s="47">
        <f>+L24+B27+M49+G54</f>
        <v>32585579841.4076</v>
      </c>
      <c r="C56" s="32">
        <v>32585579841.407623</v>
      </c>
      <c r="D56" s="29">
        <f>B56-C56</f>
        <v>0</v>
      </c>
    </row>
    <row r="59" spans="1:15" x14ac:dyDescent="0.25">
      <c r="A59" s="24" t="s">
        <v>46</v>
      </c>
      <c r="B59" s="33"/>
    </row>
    <row r="60" spans="1:15" x14ac:dyDescent="0.25">
      <c r="A60" s="48" t="s">
        <v>35</v>
      </c>
      <c r="B60" s="49"/>
    </row>
    <row r="61" spans="1:15" x14ac:dyDescent="0.25">
      <c r="A61" s="48" t="s">
        <v>36</v>
      </c>
      <c r="B61" s="40"/>
    </row>
    <row r="62" spans="1:15" x14ac:dyDescent="0.25">
      <c r="A62" s="48" t="s">
        <v>37</v>
      </c>
      <c r="B62" s="40">
        <v>162623.94</v>
      </c>
    </row>
    <row r="63" spans="1:15" x14ac:dyDescent="0.25">
      <c r="A63" s="48" t="s">
        <v>38</v>
      </c>
      <c r="B63" s="40"/>
    </row>
    <row r="64" spans="1:15" x14ac:dyDescent="0.25">
      <c r="A64" s="48" t="s">
        <v>39</v>
      </c>
      <c r="B64" s="49"/>
    </row>
    <row r="65" spans="1:2" x14ac:dyDescent="0.25">
      <c r="A65" s="48" t="s">
        <v>40</v>
      </c>
      <c r="B65" s="50">
        <v>35467.17</v>
      </c>
    </row>
    <row r="66" spans="1:2" x14ac:dyDescent="0.25">
      <c r="A66" s="48" t="s">
        <v>41</v>
      </c>
      <c r="B66" s="50">
        <v>17377.68</v>
      </c>
    </row>
    <row r="67" spans="1:2" x14ac:dyDescent="0.25">
      <c r="A67" s="48" t="s">
        <v>42</v>
      </c>
      <c r="B67" s="40"/>
    </row>
    <row r="68" spans="1:2" x14ac:dyDescent="0.25">
      <c r="A68" s="48" t="s">
        <v>43</v>
      </c>
      <c r="B68" s="40"/>
    </row>
    <row r="69" spans="1:2" x14ac:dyDescent="0.25">
      <c r="A69" s="48" t="s">
        <v>44</v>
      </c>
      <c r="B69" s="50"/>
    </row>
    <row r="70" spans="1:2" x14ac:dyDescent="0.25">
      <c r="A70" s="48" t="s">
        <v>45</v>
      </c>
      <c r="B70" s="49">
        <f>SUM(B60:B69)</f>
        <v>215468.78999999998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2025-10-08T05:25:03Z</dcterms:created>
  <dcterms:modified xsi:type="dcterms:W3CDTF">2025-10-08T10:30:29Z</dcterms:modified>
</cp:coreProperties>
</file>