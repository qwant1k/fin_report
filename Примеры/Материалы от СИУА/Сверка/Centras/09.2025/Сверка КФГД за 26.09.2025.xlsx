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37D30BB4-89FA-456D-84F5-5D6F54B98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09.25" sheetId="2" r:id="rId2"/>
    <sheet name="Риск цены за 26.09.25" sheetId="4" r:id="rId3"/>
  </sheets>
  <definedNames>
    <definedName name="_xlnm._FilterDatabase" localSheetId="1" hidden="1">'KASE за 26.09.25'!#REF!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9" i="1" l="1"/>
  <c r="O91" i="1"/>
  <c r="O62" i="1"/>
  <c r="D65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B110" i="1"/>
  <c r="B109" i="1"/>
  <c r="B106" i="1"/>
  <c r="J91" i="1"/>
  <c r="I91" i="1"/>
  <c r="C91" i="1"/>
  <c r="L69" i="1"/>
  <c r="M69" i="1" s="1"/>
  <c r="M91" i="1" l="1"/>
  <c r="L91" i="1"/>
  <c r="J60" i="1"/>
  <c r="I60" i="1"/>
  <c r="I25" i="1"/>
  <c r="J25" i="1"/>
  <c r="J24" i="1"/>
  <c r="I24" i="1"/>
  <c r="I61" i="1"/>
  <c r="J61" i="1"/>
  <c r="B108" i="1"/>
  <c r="B104" i="1"/>
  <c r="K62" i="1"/>
  <c r="D61" i="1" l="1"/>
  <c r="N61" i="1" s="1"/>
  <c r="O61" i="1" s="1"/>
  <c r="C24" i="1"/>
  <c r="D60" i="1"/>
  <c r="N60" i="1" s="1"/>
  <c r="J37" i="1"/>
  <c r="I37" i="1"/>
  <c r="J36" i="1"/>
  <c r="I36" i="1"/>
  <c r="J23" i="1"/>
  <c r="I23" i="1"/>
  <c r="L61" i="1" l="1"/>
  <c r="O60" i="1"/>
  <c r="L60" i="1"/>
  <c r="G97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14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99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<sst xmlns="http://schemas.openxmlformats.org/spreadsheetml/2006/main" count="6675" uniqueCount="2911">
  <si>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</si>
  <si>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</si>
  <si>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</si>
  <si>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</si>
  <si>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</si>
  <si>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</si>
  <si>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</si>
  <si>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</si>
  <si>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</si>
  <si>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</si>
  <si>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</si>
  <si>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</si>
  <si>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</si>
  <si>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</si>
  <si>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</si>
  <si>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</si>
  <si>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</si>
  <si>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</si>
  <si>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</si>
  <si>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</si>
  <si>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</si>
  <si>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</si>
  <si>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</si>
  <si>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</si>
  <si>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</si>
  <si>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</si>
  <si>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</si>
  <si>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</si>
  <si>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</si>
  <si>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</si>
  <si>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</si>
  <si>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</si>
  <si>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</si>
  <si>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</si>
  <si>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</si>
  <si>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</si>
  <si>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</si>
  <si>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</si>
  <si>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</si>
  <si>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</si>
  <si>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</si>
  <si>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</si>
  <si>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</si>
  <si>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</si>
  <si>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</si>
  <si>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</si>
  <si>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</si>
  <si>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</si>
  <si>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</si>
  <si>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</si>
  <si>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</si>
  <si>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</si>
  <si>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</si>
  <si>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</si>
  <si>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</si>
  <si>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</si>
  <si>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</si>
  <si>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</si>
  <si>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</si>
  <si>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</si>
  <si>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</si>
  <si>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</si>
  <si>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</si>
  <si>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</si>
  <si>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</si>
  <si>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</si>
  <si>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</si>
  <si>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</si>
  <si>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</si>
  <si>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</si>
  <si>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</si>
  <si>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</si>
  <si>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</si>
  <si>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</si>
  <si>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</si>
  <si>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</si>
  <si>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</si>
  <si>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</si>
  <si>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</si>
  <si>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</si>
  <si>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</si>
  <si>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</si>
  <si>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</si>
  <si>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</si>
  <si>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</si>
  <si>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</si>
  <si>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</si>
  <si>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</si>
  <si>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</si>
  <si>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</si>
  <si>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</si>
  <si>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</si>
  <si>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</si>
  <si>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</si>
  <si>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</si>
  <si>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</si>
  <si>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</si>
  <si>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</si>
  <si>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</si>
  <si>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</si>
  <si>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</si>
  <si>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</si>
  <si>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</si>
  <si>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</si>
  <si>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</si>
  <si>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</si>
  <si>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</si>
  <si>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</si>
  <si>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</si>
  <si>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</si>
  <si>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</si>
  <si>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</si>
  <si>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</si>
  <si>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</si>
  <si>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</si>
  <si>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</si>
  <si>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</si>
  <si>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</si>
  <si>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</si>
  <si>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</si>
  <si>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</si>
  <si>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</si>
  <si>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</si>
  <si>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</si>
  <si>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</si>
  <si>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</si>
  <si>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</si>
  <si>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</si>
  <si>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</si>
  <si>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</si>
  <si>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</si>
  <si>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</si>
  <si>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</si>
  <si>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</si>
  <si>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</si>
  <si>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</si>
  <si>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</si>
  <si>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</si>
  <si>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</si>
  <si>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</si>
  <si>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</si>
  <si>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</si>
  <si>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</si>
  <si>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</si>
  <si>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</si>
  <si>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</si>
  <si>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</si>
  <si>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</si>
  <si>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</si>
  <si>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</si>
  <si>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</si>
  <si>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</si>
  <si>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</si>
  <si>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</si>
  <si>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</si>
  <si>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</si>
  <si>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</si>
  <si>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</si>
  <si>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</si>
  <si>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</si>
  <si>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</si>
  <si>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</si>
  <si>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</si>
  <si>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</si>
  <si>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</si>
  <si>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</si>
  <si>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</si>
  <si>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</si>
  <si>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</si>
  <si>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</si>
  <si>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</si>
  <si>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</si>
  <si>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</si>
  <si>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</si>
  <si>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</si>
  <si>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</si>
  <si>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</si>
  <si>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</si>
  <si>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</si>
  <si>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</si>
  <si>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</si>
  <si>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</si>
  <si>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</si>
  <si>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</si>
  <si>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</si>
  <si>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</si>
  <si>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</si>
  <si>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</si>
  <si>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</si>
  <si>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</si>
  <si>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</si>
  <si>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</si>
  <si>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</si>
  <si>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</si>
  <si>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</si>
  <si>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</si>
  <si>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</si>
  <si>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</si>
  <si>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</si>
  <si>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</si>
  <si>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</si>
  <si>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</si>
  <si>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</si>
  <si>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</si>
  <si>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</si>
  <si>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</si>
  <si>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</si>
  <si>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</si>
  <si>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</si>
  <si>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</si>
  <si>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</si>
  <si>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</si>
  <si>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</si>
  <si>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</si>
  <si>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</si>
  <si>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</si>
  <si>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</si>
  <si>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</si>
  <si>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</si>
  <si>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</si>
  <si>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</si>
  <si>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</si>
  <si>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</si>
  <si>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</si>
  <si>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</si>
  <si>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</si>
  <si>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</si>
  <si>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</si>
  <si>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</si>
  <si>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</si>
  <si>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</si>
  <si>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</si>
  <si>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</si>
  <si>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</si>
  <si>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</si>
  <si>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</si>
  <si>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</si>
  <si>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</si>
  <si>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</si>
  <si>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</si>
  <si>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</si>
  <si>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</si>
  <si>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</si>
  <si>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</si>
  <si>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</si>
  <si>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</si>
  <si>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</si>
  <si>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</si>
  <si>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</si>
  <si>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</si>
  <si>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</si>
  <si>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</si>
  <si>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</si>
  <si>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</si>
  <si>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</si>
  <si>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</si>
  <si>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</si>
  <si>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</si>
  <si>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</si>
  <si>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</si>
  <si>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</si>
  <si>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</si>
  <si>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</si>
  <si>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</si>
  <si>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</si>
  <si>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</si>
  <si>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</si>
  <si>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</si>
  <si>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</si>
  <si>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</si>
  <si>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</si>
  <si>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</si>
  <si>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</si>
  <si>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</si>
  <si>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</si>
  <si>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</si>
  <si>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</si>
  <si>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</si>
  <si>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</si>
  <si>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</si>
  <si>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</si>
  <si>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</si>
  <si>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</si>
  <si>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</si>
  <si>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</si>
  <si>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</si>
  <si>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</si>
  <si>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</si>
  <si>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</si>
  <si>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</si>
  <si>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</si>
  <si>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</si>
  <si>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</si>
  <si>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</si>
  <si>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</si>
  <si>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</si>
  <si>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</si>
  <si>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</si>
  <si>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</si>
  <si>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</si>
  <si>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</si>
  <si>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</si>
  <si>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</si>
  <si>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</si>
  <si>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</si>
  <si>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</si>
  <si>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</si>
  <si>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</si>
  <si>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</si>
  <si>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</si>
  <si>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</si>
  <si>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</si>
  <si>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</si>
  <si>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</si>
  <si>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</si>
  <si>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</si>
  <si>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</si>
  <si>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</si>
  <si>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</si>
  <si>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</si>
  <si>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</si>
  <si>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</si>
  <si>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</si>
  <si>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</si>
  <si>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</si>
  <si>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</si>
  <si>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</si>
  <si>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</si>
  <si>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</si>
  <si>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</si>
  <si>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</si>
  <si>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</si>
  <si>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</si>
  <si>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</si>
  <si>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</si>
  <si>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</si>
  <si>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</si>
  <si>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</si>
  <si>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</si>
  <si>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</si>
  <si>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</si>
  <si>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</si>
  <si>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</si>
  <si>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</si>
  <si>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</si>
  <si>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</si>
  <si>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</si>
  <si>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</si>
  <si>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</si>
  <si>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</si>
  <si>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</si>
  <si>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</si>
  <si>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</si>
  <si>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</si>
  <si>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</si>
  <si>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</si>
  <si>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</si>
  <si>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</si>
  <si>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</si>
  <si>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</si>
  <si>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</si>
  <si>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</si>
  <si>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</si>
  <si>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</si>
  <si>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</si>
  <si>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</si>
  <si>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</si>
  <si>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</si>
  <si>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</si>
  <si>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</si>
  <si>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</si>
  <si>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</si>
  <si>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</si>
  <si>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</si>
  <si>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</si>
  <si>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</si>
  <si>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</si>
  <si>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</si>
  <si>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</si>
  <si>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</si>
  <si>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</si>
  <si>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</si>
  <si>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</si>
  <si>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</si>
  <si>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</si>
  <si>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</si>
  <si>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</si>
  <si>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</si>
  <si>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</si>
  <si>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</si>
  <si>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</si>
  <si>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</si>
  <si>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</si>
  <si>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</si>
  <si>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</si>
  <si>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</si>
  <si>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</si>
  <si>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</si>
  <si>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</si>
  <si>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</si>
  <si>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</si>
  <si>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</si>
  <si>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</si>
  <si>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</si>
  <si>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</si>
  <si>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</si>
  <si>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</si>
  <si>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</si>
  <si>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</si>
  <si>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</si>
  <si>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</si>
  <si>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</si>
  <si>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</si>
  <si>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</si>
  <si>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</si>
  <si>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</si>
  <si>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</si>
  <si>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</si>
  <si>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</si>
  <si>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</si>
  <si>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</si>
  <si>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</si>
  <si>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</si>
  <si>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</si>
  <si>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</si>
  <si>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</si>
  <si>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</si>
  <si>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</si>
  <si>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</si>
  <si>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</si>
  <si>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</si>
  <si>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</si>
  <si>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</si>
  <si>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</si>
  <si>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</si>
  <si>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</si>
  <si>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</si>
  <si>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</si>
  <si>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</si>
  <si>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</si>
  <si>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</si>
  <si>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</si>
  <si>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</si>
  <si>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</si>
  <si>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</si>
  <si>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</si>
  <si>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</si>
  <si>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</si>
  <si>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</si>
  <si>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</si>
  <si>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</si>
  <si>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</si>
  <si>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</si>
  <si>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</si>
  <si>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</si>
  <si>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</si>
  <si>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</si>
  <si>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</si>
  <si>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</si>
  <si>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</si>
  <si>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</si>
  <si>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</si>
  <si>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</si>
  <si>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</si>
  <si>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</si>
  <si>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</si>
  <si>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</si>
  <si>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</si>
  <si>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</si>
  <si>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</si>
  <si>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</si>
  <si>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</si>
  <si>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</si>
  <si>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</si>
  <si>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</si>
  <si>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</si>
  <si>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</si>
  <si>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</si>
  <si>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</si>
  <si>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</si>
  <si>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</si>
  <si>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</si>
  <si>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</si>
  <si>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</si>
  <si>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</si>
  <si>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</si>
  <si>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</si>
  <si>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</si>
  <si>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</si>
  <si>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</si>
  <si>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</si>
  <si>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</si>
  <si>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</si>
  <si>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</si>
  <si>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</si>
  <si>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</si>
  <si>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</si>
  <si>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</si>
  <si>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</si>
  <si>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</si>
  <si>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</si>
  <si>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</si>
  <si>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</si>
  <si>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</si>
  <si>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</si>
  <si>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</si>
  <si>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</si>
  <si>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</si>
  <si>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</si>
  <si>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</si>
  <si>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</si>
  <si>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</si>
  <si>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</si>
  <si>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</si>
  <si>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</si>
  <si>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</si>
  <si>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</si>
  <si>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</si>
  <si>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</si>
  <si>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</si>
  <si>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</si>
  <si>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</si>
  <si>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</si>
  <si>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</si>
  <si>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</si>
  <si>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</si>
  <si>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</si>
  <si>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</si>
  <si>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</si>
  <si>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</si>
  <si>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</si>
  <si>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</si>
  <si>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</si>
  <si>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</si>
  <si>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</si>
  <si>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</si>
  <si>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</si>
  <si>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</si>
  <si>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</si>
  <si>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</si>
  <si>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</si>
  <si>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</si>
  <si>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</si>
  <si>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</si>
  <si>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</si>
  <si>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</si>
  <si>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</si>
  <si>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</si>
  <si>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</si>
  <si>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</si>
  <si>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</si>
  <si>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</si>
  <si>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</si>
  <si>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</si>
  <si>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</si>
  <si>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</si>
  <si>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</si>
  <si>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</si>
  <si>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</si>
  <si>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</si>
  <si>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</si>
  <si>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</si>
  <si>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</si>
  <si>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</si>
  <si>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</si>
  <si>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</si>
  <si>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</si>
  <si>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</si>
  <si>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</si>
  <si>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</si>
  <si>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</si>
  <si>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</si>
  <si>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</si>
  <si>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</si>
  <si>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</si>
  <si>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</si>
  <si>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</si>
  <si>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</si>
  <si>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</si>
  <si>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</si>
  <si>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</si>
  <si>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</si>
  <si>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</si>
  <si>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</si>
  <si>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</si>
  <si>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</si>
  <si>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</si>
  <si>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</si>
  <si>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</si>
  <si>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</si>
  <si>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</si>
  <si>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</si>
  <si>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</si>
  <si>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</si>
  <si>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</si>
  <si>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</si>
  <si>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</si>
  <si>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</si>
  <si>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</si>
  <si>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</si>
  <si>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</si>
  <si>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</si>
  <si>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</si>
  <si>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</si>
  <si>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</si>
  <si>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</si>
  <si>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</si>
  <si>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</si>
  <si>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</si>
  <si>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</si>
  <si>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</si>
  <si>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</si>
  <si>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</si>
  <si>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</si>
  <si>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</si>
  <si>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</si>
  <si>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</si>
  <si>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</si>
  <si>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</si>
  <si>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</si>
  <si>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</si>
  <si>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</si>
  <si>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</si>
  <si>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</si>
  <si>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</si>
  <si>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</si>
  <si>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</si>
  <si>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</si>
  <si>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</si>
  <si>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</si>
  <si>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</si>
  <si>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</si>
  <si>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</si>
  <si>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</si>
  <si>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</si>
  <si>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</si>
  <si>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</si>
  <si>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</si>
  <si>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</si>
  <si>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</si>
  <si>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</si>
  <si>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</si>
  <si>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</si>
  <si>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</si>
  <si>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</si>
  <si>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</si>
  <si>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</si>
  <si>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</si>
  <si>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</si>
  <si>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</si>
  <si>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</si>
  <si>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</si>
  <si>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</si>
  <si>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</si>
  <si>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</si>
  <si>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</si>
  <si>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</si>
  <si>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</si>
  <si>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</si>
  <si>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</si>
  <si>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</si>
  <si>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</si>
  <si>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</si>
  <si>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</si>
  <si>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</si>
  <si>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</si>
  <si>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</si>
  <si>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</si>
  <si>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</si>
  <si>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</si>
  <si>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</si>
  <si>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</si>
  <si>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</si>
  <si>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</si>
  <si>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</si>
  <si>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</si>
  <si>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</si>
  <si>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</si>
  <si>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</si>
  <si>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</si>
  <si>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</si>
  <si>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</si>
  <si>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</si>
  <si>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</si>
  <si>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</si>
  <si>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</si>
  <si>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</si>
  <si>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</si>
  <si>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</si>
  <si>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</si>
  <si>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</si>
  <si>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</si>
  <si>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</si>
  <si>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</si>
  <si>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</si>
  <si>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</si>
  <si>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</si>
  <si>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</si>
  <si>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</si>
  <si>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</si>
  <si>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</si>
  <si>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</si>
  <si>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</si>
  <si>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</si>
  <si>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</si>
  <si>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</si>
  <si>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</si>
  <si>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</si>
  <si>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</si>
  <si>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</si>
  <si>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</si>
  <si>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</si>
  <si>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</si>
  <si>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</si>
  <si>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</si>
  <si>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</si>
  <si>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</si>
  <si>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</si>
  <si>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</si>
  <si>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</si>
  <si>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</si>
  <si>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</si>
  <si>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</si>
  <si>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</si>
  <si>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</si>
  <si>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</si>
  <si>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</si>
  <si>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</si>
  <si>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</si>
  <si>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</si>
  <si>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</si>
  <si>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</si>
  <si>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</si>
  <si>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</si>
  <si>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</si>
  <si>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</si>
  <si>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</si>
  <si>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</si>
  <si>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</si>
  <si>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</si>
  <si>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</si>
  <si>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</si>
  <si>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</si>
  <si>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</si>
  <si>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</si>
  <si>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</si>
  <si>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</si>
  <si>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</si>
  <si>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</si>
  <si>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</si>
  <si>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</si>
  <si>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</si>
  <si>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</si>
  <si>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</si>
  <si>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</si>
  <si>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</si>
  <si>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</si>
  <si>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</si>
  <si>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</si>
  <si>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</si>
  <si>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</si>
  <si>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</si>
  <si>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</si>
  <si>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</si>
  <si>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</si>
  <si>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</si>
  <si>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</si>
  <si>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</si>
  <si>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</si>
  <si>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</si>
  <si>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</si>
  <si>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</si>
  <si>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</si>
  <si>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</si>
  <si>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</si>
  <si>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</si>
  <si>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</si>
  <si>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</si>
  <si>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</si>
  <si>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</si>
  <si>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</si>
  <si>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</si>
  <si>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</si>
  <si>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</si>
  <si>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</si>
  <si>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</si>
  <si>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</si>
  <si>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</si>
  <si>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</si>
  <si>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</si>
  <si>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</si>
  <si>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</si>
  <si>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</si>
  <si>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</si>
  <si>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</si>
  <si>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</si>
  <si>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</si>
  <si>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</si>
  <si>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</si>
  <si>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</si>
  <si>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</si>
  <si>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</si>
  <si>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</si>
  <si>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</si>
  <si>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</si>
  <si>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</si>
  <si>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</si>
  <si>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</si>
  <si>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</si>
  <si>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</si>
  <si>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</si>
  <si>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</si>
  <si>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</si>
  <si>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</si>
  <si>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</si>
  <si>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</si>
  <si>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</si>
  <si>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</si>
  <si>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</si>
  <si>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</si>
  <si>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</si>
  <si>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</si>
  <si>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</si>
  <si>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</si>
  <si>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</si>
  <si>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</si>
  <si>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</si>
  <si>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</si>
  <si>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</si>
  <si>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</si>
  <si>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</si>
  <si>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</si>
  <si>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</si>
  <si>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</si>
  <si>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</si>
  <si>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</si>
  <si>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</si>
  <si>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</si>
  <si>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</si>
  <si>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</si>
  <si>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</si>
  <si>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</si>
  <si>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</si>
  <si>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</si>
  <si>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</si>
  <si>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</si>
  <si>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</si>
  <si>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</si>
  <si>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</si>
  <si>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</si>
  <si>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</si>
  <si>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</si>
  <si>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</si>
  <si>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</si>
  <si>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</si>
  <si>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</si>
  <si>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</si>
  <si>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</si>
  <si>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</si>
  <si>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</si>
  <si>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</si>
  <si>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</si>
  <si>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</si>
  <si>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</si>
  <si>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</si>
  <si>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</si>
  <si>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</si>
  <si>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</si>
  <si>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</si>
  <si>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</si>
  <si>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</si>
  <si>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</si>
  <si>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</si>
  <si>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</si>
  <si>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</si>
  <si>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</si>
  <si>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</si>
  <si>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</si>
  <si>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</si>
  <si>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</si>
  <si>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</si>
  <si>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</si>
  <si>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</si>
  <si>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</si>
  <si>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</si>
  <si>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</si>
  <si>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</si>
  <si>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</si>
  <si>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</si>
  <si>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</si>
  <si>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</si>
  <si>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</si>
  <si>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</si>
  <si>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</si>
  <si>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</si>
  <si>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</si>
  <si>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</si>
  <si>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</si>
  <si>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</si>
  <si>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</si>
  <si>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</si>
  <si>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</si>
  <si>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</si>
  <si>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</si>
  <si>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</si>
  <si>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</si>
  <si>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</si>
  <si>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</si>
  <si>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</si>
  <si>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</si>
  <si>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</si>
  <si>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</si>
  <si>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</si>
  <si>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</si>
  <si>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</si>
  <si>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</si>
  <si>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</si>
  <si>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</si>
  <si>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</si>
  <si>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</si>
  <si>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</si>
  <si>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</si>
  <si>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</si>
  <si>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</si>
  <si>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</si>
  <si>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</si>
  <si>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</si>
  <si>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</si>
  <si>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</si>
  <si>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</si>
  <si>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</si>
  <si>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</si>
  <si>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</si>
  <si>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</si>
  <si>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</si>
  <si>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</si>
  <si>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</si>
  <si>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</si>
  <si>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</si>
  <si>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</si>
  <si>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</si>
  <si>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</si>
  <si>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</si>
  <si>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</si>
  <si>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</si>
  <si>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</si>
  <si>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</si>
  <si>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</si>
  <si>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</si>
  <si>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</si>
  <si>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</si>
  <si>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</si>
  <si>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</si>
  <si>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</si>
  <si>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</si>
  <si>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</si>
  <si>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</si>
  <si>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</si>
  <si>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</si>
  <si>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</si>
  <si>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</si>
  <si>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</si>
  <si>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</si>
  <si>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</si>
  <si>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</si>
  <si>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</si>
  <si>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</si>
  <si>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</si>
  <si>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</si>
  <si>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</si>
  <si>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</si>
  <si>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</si>
  <si>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</si>
  <si>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</si>
  <si>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</si>
  <si>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</si>
  <si>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</si>
  <si>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</si>
  <si>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</si>
  <si>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</si>
  <si>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</si>
  <si>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</si>
  <si>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</si>
  <si>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</si>
  <si>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</si>
  <si>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</si>
  <si>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</si>
  <si>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</si>
  <si>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</si>
  <si>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</si>
  <si>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</si>
  <si>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</si>
  <si>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</si>
  <si>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</si>
  <si>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</si>
  <si>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</si>
  <si>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</si>
  <si>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</si>
  <si>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</si>
  <si>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</si>
  <si>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</si>
  <si>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</si>
  <si>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</si>
  <si>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</si>
  <si>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</si>
  <si>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</si>
  <si>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</si>
  <si>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</si>
  <si>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</si>
  <si>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</si>
  <si>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</si>
  <si>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</si>
  <si>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</si>
  <si>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</si>
  <si>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</si>
  <si>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</si>
  <si>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</si>
  <si>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</si>
  <si>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</si>
  <si>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</si>
  <si>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</si>
  <si>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</si>
  <si>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</si>
  <si>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</si>
  <si>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</si>
  <si>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</si>
  <si>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</si>
  <si>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</si>
  <si>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</si>
  <si>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</si>
  <si>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</si>
  <si>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</si>
  <si>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</si>
  <si>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</si>
  <si>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</si>
  <si>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</si>
  <si>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</si>
  <si>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</si>
  <si>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</si>
  <si>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</si>
  <si>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</si>
  <si>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</si>
  <si>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</si>
  <si>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</si>
  <si>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</si>
  <si>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</si>
  <si>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</si>
  <si>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</si>
  <si>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</si>
  <si>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</si>
  <si>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</si>
  <si>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</si>
  <si>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</si>
  <si>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</si>
  <si>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</si>
  <si>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</si>
  <si>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</si>
  <si>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</si>
  <si>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</si>
  <si>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</si>
  <si>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</si>
  <si>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</si>
  <si>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</si>
  <si>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</si>
  <si>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</si>
  <si>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</si>
  <si>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</si>
  <si>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</si>
  <si>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</si>
  <si>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</si>
  <si>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</si>
  <si>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</si>
  <si>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</si>
  <si>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</si>
  <si>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</si>
  <si>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</si>
  <si>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</si>
  <si>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</si>
  <si>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</si>
  <si>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</si>
  <si>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</si>
  <si>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</si>
  <si>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</si>
  <si>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</si>
  <si>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</si>
  <si>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</si>
  <si>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</si>
  <si>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</si>
  <si>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</si>
  <si>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</si>
  <si>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</si>
  <si>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</si>
  <si>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</si>
  <si>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</si>
  <si>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</si>
  <si>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</si>
  <si>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</si>
  <si>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</si>
  <si>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</si>
  <si>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</si>
  <si>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</si>
  <si>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</si>
  <si>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</si>
  <si>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</si>
  <si>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</si>
  <si>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</si>
  <si>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</si>
  <si>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</si>
  <si>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</si>
  <si>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</si>
  <si>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</si>
  <si>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</si>
  <si>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</si>
  <si>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</si>
  <si>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</si>
  <si>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</si>
  <si>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</si>
  <si>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</si>
  <si>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</si>
  <si>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</si>
  <si>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</si>
  <si>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</si>
  <si>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</si>
  <si>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</si>
  <si>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</si>
  <si>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</si>
  <si>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</si>
  <si>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</si>
  <si>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</si>
  <si>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</si>
  <si>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</si>
  <si>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</si>
  <si>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</si>
  <si>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</si>
  <si>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</si>
  <si>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</si>
  <si>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</si>
  <si>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</si>
  <si>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</si>
  <si>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</si>
  <si>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</si>
  <si>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</si>
  <si>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</si>
  <si>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</si>
  <si>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</si>
  <si>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</si>
  <si>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</si>
  <si>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</si>
  <si>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</si>
  <si>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</si>
  <si>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</si>
  <si>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</si>
  <si>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</si>
  <si>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</si>
  <si>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</si>
  <si>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</si>
  <si>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</si>
  <si>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</si>
  <si>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</si>
  <si>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</si>
  <si>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</si>
  <si>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</si>
  <si>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</si>
  <si>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</si>
  <si>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</si>
  <si>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</si>
  <si>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</si>
  <si>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</si>
  <si>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</si>
  <si>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</si>
  <si>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</si>
  <si>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</si>
  <si>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</si>
  <si>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</si>
  <si>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</si>
  <si>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</si>
  <si>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</si>
  <si>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</si>
  <si>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</si>
  <si>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</si>
  <si>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</si>
  <si>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</si>
  <si>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</si>
  <si>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</si>
  <si>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</si>
  <si>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</si>
  <si>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</si>
  <si>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</si>
  <si>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</si>
  <si>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</si>
  <si>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</si>
  <si>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</si>
  <si>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</si>
  <si>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</si>
  <si>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</si>
  <si>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</si>
  <si>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</si>
  <si>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</si>
  <si>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</si>
  <si>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</si>
  <si>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</si>
  <si>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</si>
  <si>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</si>
  <si>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</si>
  <si>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</si>
  <si>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</si>
  <si>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</si>
  <si>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</si>
  <si>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</si>
  <si>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</si>
  <si>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</si>
  <si>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</si>
  <si>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</si>
  <si>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</si>
  <si>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</si>
  <si>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</si>
  <si>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</si>
  <si>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</si>
  <si>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</si>
  <si>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</si>
  <si>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</si>
  <si>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</si>
  <si>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</si>
  <si>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</si>
  <si>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</si>
  <si>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</si>
  <si>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</si>
  <si>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</si>
  <si>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</si>
  <si>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</si>
  <si>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</si>
  <si>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</si>
  <si>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</si>
  <si>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</si>
  <si>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</si>
  <si>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</si>
  <si>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</si>
  <si>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</si>
  <si>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</si>
  <si>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</si>
  <si>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</si>
  <si>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</si>
  <si>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</si>
  <si>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</si>
  <si>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</si>
  <si>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</si>
  <si>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</si>
  <si>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</si>
  <si>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</si>
  <si>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</si>
  <si>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</si>
  <si>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</si>
  <si>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</si>
  <si>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</si>
  <si>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</si>
  <si>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</si>
  <si>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</si>
  <si>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</si>
  <si>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</si>
  <si>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</si>
  <si>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</si>
  <si>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</si>
  <si>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</si>
  <si>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</si>
  <si>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</si>
  <si>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</si>
  <si>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</si>
  <si>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</si>
  <si>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</si>
  <si>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</si>
  <si>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</si>
  <si>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</si>
  <si>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</si>
  <si>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</si>
  <si>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</si>
  <si>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</si>
  <si>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</si>
  <si>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</si>
  <si>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</si>
  <si>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</si>
  <si>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</si>
  <si>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</si>
  <si>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</si>
  <si>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</si>
  <si>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</si>
  <si>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</si>
  <si>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</si>
  <si>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</si>
  <si>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</si>
  <si>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</si>
  <si>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</si>
  <si>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</si>
  <si>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</si>
  <si>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</si>
  <si>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</si>
  <si>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</si>
  <si>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</si>
  <si>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</si>
  <si>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</si>
  <si>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</si>
  <si>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</si>
  <si>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</si>
  <si>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</si>
  <si>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</si>
  <si>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</si>
  <si>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</si>
  <si>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</si>
  <si>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</si>
  <si>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</si>
  <si>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</si>
  <si>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</si>
  <si>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</si>
  <si>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</si>
  <si>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</si>
  <si>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</si>
  <si>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</si>
  <si>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</si>
  <si>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</si>
  <si>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</si>
  <si>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</si>
  <si>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</si>
  <si>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</si>
  <si>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</si>
  <si>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</si>
  <si>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</si>
  <si>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</si>
  <si>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</si>
  <si>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</si>
  <si>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</si>
  <si>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</si>
  <si>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</si>
  <si>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</si>
  <si>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</si>
  <si>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</si>
  <si>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</si>
  <si>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</si>
  <si>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</si>
  <si>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</si>
  <si>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</si>
  <si>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</si>
  <si>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</si>
  <si>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</si>
  <si>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</si>
  <si>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</si>
  <si>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</si>
  <si>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</si>
  <si>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</si>
  <si>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</si>
  <si>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</si>
  <si>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</si>
  <si>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</si>
  <si>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</si>
  <si>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</si>
  <si>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</si>
  <si>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</si>
  <si>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</si>
  <si>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</si>
  <si>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</si>
  <si>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</si>
  <si>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</si>
  <si>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</si>
  <si>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</si>
  <si>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</si>
  <si>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</si>
  <si>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</si>
  <si>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</si>
  <si>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</si>
  <si>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</si>
  <si>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</si>
  <si>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</si>
  <si>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</si>
  <si>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</si>
  <si>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</si>
  <si>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</si>
  <si>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</si>
  <si>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</si>
  <si>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</si>
  <si>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</si>
  <si>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</si>
  <si>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</si>
  <si>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</si>
  <si>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</si>
  <si>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</si>
  <si>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</si>
  <si>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</si>
  <si>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</si>
  <si>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</si>
  <si>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</si>
  <si>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</si>
  <si>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</si>
  <si>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</si>
  <si>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</si>
  <si>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</si>
  <si>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</si>
  <si>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</si>
  <si>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</si>
  <si>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</si>
  <si>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</si>
  <si>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</si>
  <si>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</si>
  <si>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</si>
  <si>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</si>
  <si>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</si>
  <si>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</si>
  <si>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</si>
  <si>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</si>
  <si>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</si>
  <si>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</si>
  <si>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</si>
  <si>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</si>
  <si>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</si>
  <si>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</si>
  <si>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</si>
  <si>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</si>
  <si>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</si>
  <si>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</si>
  <si>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</si>
  <si>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</si>
  <si>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</si>
  <si>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</si>
  <si>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</si>
  <si>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</si>
  <si>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</si>
  <si>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</si>
  <si>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</si>
  <si>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</si>
  <si>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</si>
  <si>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</si>
  <si>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</si>
  <si>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</si>
  <si>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</si>
  <si>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</si>
  <si>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</si>
  <si>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</si>
  <si>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</si>
  <si>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</si>
  <si>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</si>
  <si>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</si>
  <si>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</si>
  <si>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</si>
  <si>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</si>
  <si>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</si>
  <si>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</si>
  <si>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</si>
  <si>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</si>
  <si>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</si>
  <si>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</si>
  <si>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</si>
  <si>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</si>
  <si>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</si>
  <si>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</si>
  <si>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</si>
  <si>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</si>
  <si>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</si>
  <si>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</si>
  <si>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</si>
  <si>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</si>
  <si>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</si>
  <si>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</si>
  <si>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</si>
  <si>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</si>
  <si>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</si>
  <si>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</si>
  <si>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</si>
  <si>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</si>
  <si>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</si>
  <si>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</si>
  <si>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</si>
  <si>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</si>
  <si>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</si>
  <si>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</si>
  <si>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</si>
  <si>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</si>
  <si>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</si>
  <si>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</si>
  <si>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</si>
  <si>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</si>
  <si>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</si>
  <si>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</si>
  <si>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</si>
  <si>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</si>
  <si>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</si>
  <si>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</si>
  <si>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</si>
  <si>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</si>
  <si>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</si>
  <si>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</si>
  <si>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</si>
  <si>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</si>
  <si>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</si>
  <si>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</si>
  <si>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</si>
  <si>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</si>
  <si>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</si>
  <si>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</si>
  <si>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</si>
  <si>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</si>
  <si>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</si>
  <si>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</si>
  <si>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</si>
  <si>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</si>
  <si>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</si>
  <si>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</si>
  <si>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</si>
  <si>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</si>
  <si>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</si>
  <si>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</si>
  <si>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</si>
  <si>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</si>
  <si>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</si>
  <si>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</si>
  <si>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</si>
  <si>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</si>
  <si>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</si>
  <si>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</si>
  <si>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</si>
  <si>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</si>
  <si>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</si>
  <si>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</si>
  <si>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</si>
  <si>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</si>
  <si>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</si>
  <si>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</si>
  <si>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</si>
  <si>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</si>
  <si>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</si>
  <si>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</si>
  <si>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</si>
  <si>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</si>
  <si>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</si>
  <si>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</si>
  <si>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</si>
  <si>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</si>
  <si>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</si>
  <si>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</si>
  <si>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</si>
  <si>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</si>
  <si>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</si>
  <si>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</si>
  <si>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</si>
  <si>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</si>
  <si>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</si>
  <si>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</si>
  <si>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</si>
  <si>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</si>
  <si>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</si>
  <si>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</si>
  <si>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</si>
  <si>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</si>
  <si>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</si>
  <si>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</si>
  <si>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</si>
  <si>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</si>
  <si>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</si>
  <si>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</si>
  <si>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</si>
  <si>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</si>
  <si>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</si>
  <si>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</si>
  <si>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</si>
  <si>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</si>
  <si>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</si>
  <si>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</si>
  <si>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</si>
  <si>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</si>
  <si>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</si>
  <si>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</si>
  <si>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</si>
  <si>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</si>
  <si>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</si>
  <si>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</si>
  <si>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</si>
  <si>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</si>
  <si>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</si>
  <si>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</si>
  <si>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</si>
  <si>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</si>
  <si>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</si>
  <si>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</si>
  <si>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</si>
  <si>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</si>
  <si>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</si>
  <si>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</si>
  <si>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</si>
  <si>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</si>
  <si>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</si>
  <si>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</si>
  <si>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</si>
  <si>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</si>
  <si>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</si>
  <si>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</si>
  <si>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</si>
  <si>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</si>
  <si>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</si>
  <si>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</si>
  <si>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</si>
  <si>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</si>
  <si>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</si>
  <si>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</si>
  <si>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</si>
  <si>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</si>
  <si>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</si>
  <si>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</si>
  <si>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</si>
  <si>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</si>
  <si>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</si>
  <si>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</si>
  <si>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</si>
  <si>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</si>
  <si>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</si>
  <si>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</si>
  <si>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</si>
  <si>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</si>
  <si>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</si>
  <si>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</si>
  <si>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</si>
  <si>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</si>
  <si>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</si>
  <si>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</si>
  <si>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</si>
  <si>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</si>
  <si>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</si>
  <si>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</si>
  <si>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</si>
  <si>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</si>
  <si>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</si>
  <si>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</si>
  <si>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</si>
  <si>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</si>
  <si>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</si>
  <si>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</si>
  <si>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</si>
  <si>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</si>
  <si>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</si>
  <si>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</si>
  <si>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</si>
  <si>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</si>
  <si>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</si>
  <si>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</si>
  <si>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</si>
  <si>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</si>
  <si>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</si>
  <si>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</si>
  <si>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</si>
  <si>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</si>
  <si>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</si>
  <si>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</si>
  <si>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</si>
  <si>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</si>
  <si>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</si>
  <si>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</si>
  <si>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</si>
  <si>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</si>
  <si>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</si>
  <si>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</si>
  <si>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</si>
  <si>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</si>
  <si>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</si>
  <si>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</si>
  <si>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</si>
  <si>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</si>
  <si>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</si>
  <si>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</si>
  <si>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</si>
  <si>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</si>
  <si>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</si>
  <si>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</si>
  <si>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</si>
  <si>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</si>
  <si>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</si>
  <si>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</si>
  <si>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</si>
  <si>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</si>
  <si>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</si>
  <si>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</si>
  <si>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</si>
  <si>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</si>
  <si>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</si>
  <si>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</si>
  <si>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</si>
  <si>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</si>
  <si>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</si>
  <si>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</si>
  <si>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</si>
  <si>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</si>
  <si>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</si>
  <si>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</si>
  <si>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</si>
  <si>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</si>
  <si>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</si>
  <si>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</si>
  <si>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</si>
  <si>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</si>
  <si>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</si>
  <si>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</si>
  <si>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</si>
  <si>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</si>
  <si>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</si>
  <si>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</si>
  <si>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</si>
  <si>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</si>
  <si>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</si>
  <si>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</si>
  <si>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</si>
  <si>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</si>
  <si>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</si>
  <si>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</si>
  <si>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</si>
  <si>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</si>
  <si>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</si>
  <si>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</si>
  <si>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</si>
  <si>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</si>
  <si>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</si>
  <si>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</si>
  <si>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</si>
  <si>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</si>
  <si>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</si>
  <si>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</si>
  <si>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</si>
  <si>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</si>
  <si>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</si>
  <si>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</si>
  <si>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</si>
  <si>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</si>
  <si>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</si>
  <si>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</si>
  <si>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</si>
  <si>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</si>
  <si>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</si>
  <si>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</si>
  <si>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</si>
  <si>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</si>
  <si>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</si>
  <si>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</si>
  <si>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</si>
  <si>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</si>
  <si>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</si>
  <si>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</si>
  <si>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</si>
  <si>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</si>
  <si>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</si>
  <si>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</si>
  <si>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</si>
  <si>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</si>
  <si>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</si>
  <si>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</si>
  <si>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</si>
  <si>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</si>
  <si>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</si>
  <si>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</si>
  <si>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</si>
  <si>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</si>
  <si>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</si>
  <si>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</si>
  <si>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</si>
  <si>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</si>
  <si>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</si>
  <si>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</si>
  <si>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</si>
  <si>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</si>
  <si>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</si>
  <si>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</si>
  <si>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</si>
  <si>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</si>
  <si>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</si>
  <si>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</si>
  <si>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</si>
  <si>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</si>
  <si>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</si>
  <si>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</si>
  <si>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</si>
  <si>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</si>
  <si>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</si>
  <si>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</si>
  <si>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</si>
  <si>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</si>
  <si>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</si>
  <si>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</si>
  <si>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</si>
  <si>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</si>
  <si>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</si>
  <si>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</si>
  <si>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</si>
  <si>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</si>
  <si>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</si>
  <si>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</si>
  <si>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</si>
  <si>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</si>
  <si>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</si>
  <si>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</si>
  <si>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</si>
  <si>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</si>
  <si>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</si>
  <si>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</si>
  <si>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</si>
  <si>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</si>
  <si>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</si>
  <si>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</si>
  <si>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</si>
  <si>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</si>
  <si>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</si>
  <si>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</si>
  <si>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</si>
  <si>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</si>
  <si>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</si>
  <si>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</si>
  <si>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</si>
  <si>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</si>
  <si>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</si>
  <si>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</si>
  <si>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</si>
  <si>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</si>
  <si>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</si>
  <si>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</si>
  <si>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</si>
  <si>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</si>
  <si>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</si>
  <si>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</si>
  <si>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</si>
  <si>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</si>
  <si>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</si>
  <si>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</si>
  <si>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</si>
  <si>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</si>
  <si>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</si>
  <si>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</si>
  <si>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</si>
  <si>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</si>
  <si>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</si>
  <si>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</si>
  <si>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</si>
  <si>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</si>
  <si>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</si>
  <si>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</si>
  <si>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</si>
  <si>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</si>
  <si>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</si>
  <si>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</si>
  <si>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</si>
  <si>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</si>
  <si>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</si>
  <si>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</si>
  <si>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</si>
  <si>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</si>
  <si>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</si>
  <si>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</si>
  <si>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</si>
  <si>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</si>
  <si>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</si>
  <si>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</si>
  <si>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</si>
  <si>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</si>
  <si>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</si>
  <si>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</si>
  <si>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</si>
  <si>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</si>
  <si>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</si>
  <si>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</si>
  <si>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</si>
  <si>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</si>
  <si>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</si>
  <si>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</si>
  <si>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</si>
  <si>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</si>
  <si>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</si>
  <si>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</si>
  <si>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</si>
  <si>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</si>
  <si>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</si>
  <si>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</si>
  <si>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</si>
  <si>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</si>
  <si>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</si>
  <si>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</si>
  <si>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</si>
  <si>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</si>
  <si>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</si>
  <si>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</si>
  <si>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</si>
  <si>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</si>
  <si>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</si>
  <si>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</si>
  <si>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</si>
  <si>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</si>
  <si>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</si>
  <si>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</si>
  <si>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</si>
  <si>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</si>
  <si>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</si>
  <si>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</si>
  <si>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</si>
  <si>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</si>
  <si>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</si>
  <si>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</si>
  <si>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</si>
  <si>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</si>
  <si>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</si>
  <si>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</si>
  <si>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</si>
  <si>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</si>
  <si>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</si>
  <si>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</si>
  <si>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</si>
  <si>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</si>
  <si>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</si>
  <si>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</si>
  <si>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</si>
  <si>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</si>
  <si>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</si>
  <si>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</si>
  <si>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</si>
  <si>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</si>
  <si>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</si>
  <si>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</si>
  <si>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</si>
  <si>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</si>
  <si>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</si>
  <si>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</si>
  <si>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</si>
  <si>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</si>
  <si>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</si>
  <si>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</si>
  <si>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</si>
  <si>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</si>
  <si>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</si>
  <si>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</si>
  <si>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</si>
  <si>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</si>
  <si>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</si>
  <si>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</si>
  <si>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</si>
  <si>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</si>
  <si>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</si>
  <si>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</si>
  <si>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</si>
  <si>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</si>
  <si>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</si>
  <si>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</si>
  <si>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</si>
  <si>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</si>
  <si>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</si>
  <si>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</si>
  <si>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</si>
  <si>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</si>
  <si>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</si>
  <si>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</si>
  <si>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</si>
  <si>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</si>
  <si>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</si>
  <si>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</si>
  <si>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</si>
  <si>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</si>
  <si>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</si>
  <si>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</si>
  <si>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</si>
  <si>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</si>
  <si>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</si>
  <si>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</si>
  <si>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</si>
  <si>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</si>
  <si>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</si>
  <si>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</si>
  <si>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</si>
  <si>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</si>
  <si>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</si>
  <si>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</si>
  <si>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</si>
  <si>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</si>
  <si>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</si>
  <si>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</si>
  <si>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</si>
  <si>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</si>
  <si>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</si>
  <si>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</si>
  <si>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</si>
  <si>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</si>
  <si>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</si>
  <si>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</si>
  <si>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</si>
  <si>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</si>
  <si>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</si>
  <si>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</si>
  <si>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</si>
  <si>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</si>
  <si>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</si>
  <si>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</si>
  <si>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</si>
  <si>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</si>
  <si>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</si>
  <si>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</si>
  <si>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</si>
  <si>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</si>
  <si>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</si>
  <si>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</si>
  <si>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</si>
  <si>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</si>
  <si>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</si>
  <si>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</si>
  <si>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</si>
  <si>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</si>
  <si>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</si>
  <si>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</si>
  <si>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</si>
  <si>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</si>
  <si>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</si>
  <si>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</si>
  <si>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</si>
  <si>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</si>
  <si>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</si>
  <si>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</si>
  <si>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</si>
  <si>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</si>
  <si>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</si>
  <si>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</si>
  <si>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</si>
  <si>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</si>
  <si>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</si>
  <si>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</si>
  <si>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</si>
  <si>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</si>
  <si>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</si>
  <si>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</si>
  <si>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</si>
  <si>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</si>
  <si>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</si>
  <si>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</si>
  <si>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</si>
  <si>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</si>
  <si>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</si>
  <si>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</si>
  <si>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</si>
  <si>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</si>
  <si>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</si>
  <si>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</si>
  <si>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</si>
  <si>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</si>
  <si>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</si>
  <si>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</si>
  <si>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</si>
  <si>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</si>
  <si>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</si>
  <si>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</si>
  <si>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</si>
  <si>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</si>
  <si>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</si>
  <si>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</si>
  <si>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</si>
  <si>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</si>
  <si>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</si>
  <si>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</si>
  <si>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</si>
  <si>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</si>
  <si>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</si>
  <si>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</si>
  <si>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</si>
  <si>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</si>
  <si>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</si>
  <si>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</si>
  <si>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</si>
  <si>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</si>
  <si>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</si>
  <si>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</si>
  <si>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</si>
  <si>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</si>
  <si>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</si>
  <si>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</si>
  <si>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</si>
  <si>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</si>
  <si>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</si>
  <si>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</si>
  <si>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</si>
  <si>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</si>
  <si>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</si>
  <si>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</si>
  <si>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</si>
  <si>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</si>
  <si>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</si>
  <si>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</si>
  <si>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</si>
  <si>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</si>
  <si>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</si>
  <si>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</si>
  <si>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</si>
  <si>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</si>
  <si>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</si>
  <si>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</si>
  <si>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</si>
  <si>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</si>
  <si>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</si>
  <si>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</si>
  <si>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</si>
  <si>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</si>
  <si>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</si>
  <si>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</si>
  <si>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</si>
  <si>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</si>
  <si>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</si>
  <si>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</si>
  <si>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</si>
  <si>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</si>
  <si>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</si>
  <si>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</si>
  <si>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</si>
  <si>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</si>
  <si>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</si>
  <si>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</si>
  <si>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</si>
  <si>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</si>
  <si>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</si>
  <si>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</si>
  <si>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</si>
  <si>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</si>
  <si>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</si>
  <si>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</si>
  <si>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</si>
  <si>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</si>
  <si>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</si>
  <si>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</si>
  <si>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</si>
  <si>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</si>
  <si>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</si>
  <si>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</si>
  <si>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</si>
  <si>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</si>
  <si>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</si>
  <si>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</si>
  <si>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</si>
  <si>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</si>
  <si>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</si>
  <si>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</si>
  <si>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</si>
  <si>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</si>
  <si>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</si>
  <si>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</si>
  <si>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</si>
  <si>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</si>
  <si>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</si>
  <si>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</si>
  <si>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</si>
  <si>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</si>
  <si>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</si>
  <si>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</si>
  <si>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</si>
  <si>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</si>
  <si>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</si>
  <si>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</si>
  <si>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</si>
  <si>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</si>
  <si>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</si>
  <si>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</si>
  <si>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</si>
  <si>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</si>
  <si>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</si>
  <si>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</si>
  <si>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</si>
  <si>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</si>
  <si>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</si>
  <si>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</si>
  <si>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</si>
  <si>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</si>
  <si>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</si>
  <si>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</si>
  <si>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</si>
  <si>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</si>
  <si>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</si>
  <si>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</si>
  <si>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</si>
  <si>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</si>
  <si>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</si>
  <si>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</si>
  <si>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</si>
  <si>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</si>
  <si>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</si>
  <si>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</si>
  <si>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</si>
  <si>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</si>
  <si>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</si>
  <si>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</si>
  <si>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</si>
  <si>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</si>
  <si>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</si>
  <si>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</si>
  <si>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</si>
  <si>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</si>
  <si>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</si>
  <si>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</si>
  <si>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</si>
  <si>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</si>
  <si>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</si>
  <si>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</si>
  <si>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</si>
  <si>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</si>
  <si>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</si>
  <si>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</si>
  <si>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</si>
  <si>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</si>
  <si>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</si>
  <si>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</si>
  <si>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</si>
  <si>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</si>
  <si>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</si>
  <si>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</si>
  <si>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</si>
  <si>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</si>
  <si>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</si>
  <si>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</si>
  <si>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</si>
  <si>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</si>
  <si>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</si>
  <si>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</si>
  <si>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</si>
  <si>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</si>
  <si>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</si>
  <si>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</si>
  <si>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</si>
  <si>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</si>
  <si>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</si>
  <si>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</si>
  <si>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</si>
  <si>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</si>
  <si>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</si>
  <si>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</si>
  <si>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</si>
  <si>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</si>
  <si>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</si>
  <si>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</si>
  <si>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</si>
  <si>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</si>
  <si>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</si>
  <si>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</si>
  <si>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</si>
  <si>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</si>
  <si>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</si>
  <si>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</si>
  <si>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</si>
  <si>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</si>
  <si>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</si>
  <si>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</si>
  <si>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</si>
  <si>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</si>
  <si>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</si>
  <si>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</si>
  <si>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</si>
  <si>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</si>
  <si>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</si>
  <si>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</si>
  <si>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</si>
  <si>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</si>
  <si>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</si>
  <si>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</si>
  <si>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</si>
  <si>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</si>
  <si>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</si>
  <si>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</si>
  <si>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</si>
  <si>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</si>
  <si>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</si>
  <si>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</si>
  <si>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</si>
  <si>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</si>
  <si>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</si>
  <si>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</si>
  <si>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</si>
  <si>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</si>
  <si>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</si>
  <si>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</si>
  <si>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</si>
  <si>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</si>
  <si>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</si>
  <si>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</si>
  <si>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</si>
  <si>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</si>
  <si>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</si>
  <si>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</si>
  <si>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</si>
  <si>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</si>
  <si>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</si>
  <si>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</si>
  <si>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</si>
  <si>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</si>
  <si>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</si>
  <si>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</si>
  <si>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</si>
  <si>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</si>
  <si>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</si>
  <si>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</si>
  <si>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</si>
  <si>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</si>
  <si>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</si>
  <si>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</si>
  <si>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</si>
  <si>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</si>
  <si>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</si>
  <si>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</si>
  <si>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</si>
  <si>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</si>
  <si>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</si>
  <si>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</si>
  <si>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</si>
  <si>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</si>
  <si>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</si>
  <si>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</si>
  <si>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</si>
  <si>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</si>
  <si>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</si>
  <si>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</si>
  <si>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</si>
  <si>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</si>
  <si>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</si>
  <si>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</si>
  <si>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</si>
  <si>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</si>
  <si>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</si>
  <si>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</si>
  <si>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</si>
  <si>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</si>
  <si>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</si>
  <si>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</si>
  <si>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</si>
  <si>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</si>
  <si>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</si>
  <si>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</si>
  <si>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</si>
  <si>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</si>
  <si>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</si>
  <si>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</si>
  <si>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</si>
  <si>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</si>
  <si>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</si>
  <si>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</si>
  <si>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</si>
  <si>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</si>
  <si>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</si>
  <si>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</si>
  <si>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</si>
  <si>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</si>
  <si>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</si>
  <si>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</si>
  <si>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</si>
  <si>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</si>
  <si>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</si>
  <si>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</si>
  <si>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</si>
  <si>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</si>
  <si>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</si>
  <si>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</si>
  <si>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</si>
  <si>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</si>
  <si>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</si>
  <si>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</si>
  <si>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</si>
  <si>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</si>
  <si>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</si>
  <si>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</si>
  <si>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</si>
  <si>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</si>
  <si>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</si>
  <si>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</si>
  <si>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</si>
  <si>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</si>
  <si>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</si>
  <si>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</si>
  <si>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</si>
  <si>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</si>
  <si>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</si>
  <si>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</si>
  <si>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</si>
  <si>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</si>
  <si>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</si>
  <si>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</si>
  <si>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</si>
  <si>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</si>
  <si>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</si>
  <si>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</si>
  <si>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</si>
  <si>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</si>
  <si>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</si>
  <si>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</si>
  <si>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</si>
  <si>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</si>
  <si>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</si>
  <si>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</si>
  <si>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</si>
  <si>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</si>
  <si>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</si>
  <si>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</si>
  <si>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</si>
  <si>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</si>
  <si>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</si>
  <si>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</si>
  <si>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</si>
  <si>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</si>
  <si>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</si>
  <si>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</si>
  <si>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</si>
  <si>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</si>
  <si>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</si>
  <si>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</si>
  <si>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</si>
  <si>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</si>
  <si>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</si>
  <si>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</si>
  <si>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</si>
  <si>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</si>
  <si>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</si>
  <si>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</si>
  <si>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</si>
  <si>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</si>
  <si>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</si>
  <si>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</si>
  <si>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</si>
  <si>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</si>
  <si>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</si>
  <si>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</si>
  <si>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</si>
  <si>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</si>
  <si>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</si>
  <si>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</si>
  <si>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</si>
  <si>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</si>
  <si>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</si>
  <si>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</si>
  <si>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</si>
  <si>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</si>
  <si>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</si>
  <si>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</si>
  <si>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</si>
  <si>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</si>
  <si>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</si>
  <si>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</si>
  <si>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</si>
  <si>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</si>
  <si>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</si>
  <si>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</si>
  <si>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</si>
  <si>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</si>
  <si>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</si>
  <si>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</si>
  <si>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</si>
  <si>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</si>
  <si>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</si>
  <si>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</si>
  <si>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</si>
  <si>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</si>
  <si>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</si>
  <si>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</si>
  <si>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</si>
  <si>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</si>
  <si>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</si>
  <si>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</si>
  <si>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</si>
  <si>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</si>
  <si>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</si>
  <si>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</si>
  <si>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</si>
  <si>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</si>
  <si>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</si>
  <si>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</si>
  <si>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</si>
  <si>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</si>
  <si>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</si>
  <si>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</si>
  <si>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</si>
  <si>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</si>
  <si>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</si>
  <si>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</si>
  <si>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</si>
  <si>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</si>
  <si>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</si>
  <si>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</si>
  <si>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</si>
  <si>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</si>
  <si>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</si>
  <si>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</si>
  <si>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21,51</t>
  </si>
  <si>
    <t>ZKK180_259</t>
  </si>
  <si>
    <t>KZMJ00002590</t>
  </si>
  <si>
    <t>KFUSb76</t>
  </si>
  <si>
    <t>KZ2C00012029</t>
  </si>
  <si>
    <t xml:space="preserve"> 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</si>
  <si>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</si>
  <si>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</si>
  <si>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</si>
  <si>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</si>
  <si>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</si>
  <si>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</si>
  <si>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</si>
  <si>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</si>
  <si>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</si>
  <si>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</si>
  <si>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</si>
  <si>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</si>
  <si>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</si>
  <si>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</si>
  <si>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</si>
  <si>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12,22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</si>
  <si>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</si>
  <si>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</si>
  <si>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</si>
  <si>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</si>
  <si>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</si>
  <si>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</si>
  <si>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16,23</t>
  </si>
  <si>
    <t>12,12</t>
  </si>
  <si>
    <t>16,87</t>
  </si>
  <si>
    <t>16,86</t>
  </si>
  <si>
    <t>18,47</t>
  </si>
  <si>
    <t>17,29</t>
  </si>
  <si>
    <t>17,48</t>
  </si>
  <si>
    <t>17,60</t>
  </si>
  <si>
    <t>11,88</t>
  </si>
  <si>
    <t>11,59</t>
  </si>
  <si>
    <t>12,00</t>
  </si>
  <si>
    <t>4ALMSb1</t>
  </si>
  <si>
    <t>АК Алтыналмас</t>
  </si>
  <si>
    <t>7,99</t>
  </si>
  <si>
    <t>5BCCI_cc</t>
  </si>
  <si>
    <t>6BCCIbe</t>
  </si>
  <si>
    <t>19,19</t>
  </si>
  <si>
    <t>17,50</t>
  </si>
  <si>
    <t>МФО "ФинТехЛаб"</t>
  </si>
  <si>
    <t>17,13</t>
  </si>
  <si>
    <t>11,64</t>
  </si>
  <si>
    <t>16,69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</si>
  <si>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</si>
  <si>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</si>
  <si>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</si>
  <si>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</si>
  <si>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</si>
  <si>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</si>
  <si>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</si>
  <si>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</si>
  <si>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7BIGDb5</t>
  </si>
  <si>
    <t>8BRKZe4</t>
  </si>
  <si>
    <t>9BTRKe1</t>
  </si>
  <si>
    <t>10CCBN</t>
  </si>
  <si>
    <t>11CCBNp</t>
  </si>
  <si>
    <t>12CSECfe</t>
  </si>
  <si>
    <t>13CSECtf</t>
  </si>
  <si>
    <t>14EABRb40</t>
  </si>
  <si>
    <t>6,00</t>
  </si>
  <si>
    <t>15EABRb42</t>
  </si>
  <si>
    <t>16EABRb53</t>
  </si>
  <si>
    <t>17FFIN_or</t>
  </si>
  <si>
    <t>18FFINgw</t>
  </si>
  <si>
    <t>6,49</t>
  </si>
  <si>
    <t>16,70</t>
  </si>
  <si>
    <t>16,81</t>
  </si>
  <si>
    <t>16,83</t>
  </si>
  <si>
    <t>17,00</t>
  </si>
  <si>
    <t>16,74</t>
  </si>
  <si>
    <t>16,77</t>
  </si>
  <si>
    <t>17,59</t>
  </si>
  <si>
    <t>16,73</t>
  </si>
  <si>
    <t>5,00</t>
  </si>
  <si>
    <t>19HFINhl</t>
  </si>
  <si>
    <t>20HFINhp</t>
  </si>
  <si>
    <t>21HFINhs</t>
  </si>
  <si>
    <t>22HFINhv</t>
  </si>
  <si>
    <t>23HSBK</t>
  </si>
  <si>
    <t>24HSBKb22</t>
  </si>
  <si>
    <t>17,96</t>
  </si>
  <si>
    <t>25HSBKd</t>
  </si>
  <si>
    <t>26IFDR</t>
  </si>
  <si>
    <t>27KCEL</t>
  </si>
  <si>
    <t>28KEGC</t>
  </si>
  <si>
    <t>29KMGZ</t>
  </si>
  <si>
    <t>30KMGZe12</t>
  </si>
  <si>
    <t>31KMGZe15</t>
  </si>
  <si>
    <t>32KSPI</t>
  </si>
  <si>
    <t>33KSPId</t>
  </si>
  <si>
    <t>34KZAP</t>
  </si>
  <si>
    <t>35KZTCb3</t>
  </si>
  <si>
    <t>36KZTK</t>
  </si>
  <si>
    <t>37KZTKp</t>
  </si>
  <si>
    <t>38KZTO</t>
  </si>
  <si>
    <t>39KZ_23_3504</t>
  </si>
  <si>
    <t>4,73</t>
  </si>
  <si>
    <t>40MFDFb1</t>
  </si>
  <si>
    <t>41MFDFb3</t>
  </si>
  <si>
    <t>42MFLGb14</t>
  </si>
  <si>
    <t>43MFMOb10</t>
  </si>
  <si>
    <t>44MFMOb17</t>
  </si>
  <si>
    <t>45MFMOb20</t>
  </si>
  <si>
    <t>46MFMOb25</t>
  </si>
  <si>
    <t>47MFMOb26</t>
  </si>
  <si>
    <t>48MFMOb32</t>
  </si>
  <si>
    <t>49MFOKb16</t>
  </si>
  <si>
    <t>50MFOKb18</t>
  </si>
  <si>
    <t>51MFOKb19</t>
  </si>
  <si>
    <t>52MFOKb20</t>
  </si>
  <si>
    <t>22,55</t>
  </si>
  <si>
    <t>53MFOKb21</t>
  </si>
  <si>
    <t>20,87</t>
  </si>
  <si>
    <t>54MFOKb22</t>
  </si>
  <si>
    <t>55MFOKb24</t>
  </si>
  <si>
    <t>21,03</t>
  </si>
  <si>
    <t>56MFOKb25</t>
  </si>
  <si>
    <t>57MFOKb26</t>
  </si>
  <si>
    <t>16,80</t>
  </si>
  <si>
    <t>17,68</t>
  </si>
  <si>
    <t>33 (0)</t>
  </si>
  <si>
    <t>1 353 (4)</t>
  </si>
  <si>
    <t>16,92</t>
  </si>
  <si>
    <t>16,96</t>
  </si>
  <si>
    <t>16,94</t>
  </si>
  <si>
    <t>17,65</t>
  </si>
  <si>
    <t>Евразийский Банк Развития</t>
  </si>
  <si>
    <t>Расчетная цена на 26.09.25</t>
  </si>
  <si>
    <t>Расчетная грязная цена 26.09.25</t>
  </si>
  <si>
    <t>KFUSb117</t>
  </si>
  <si>
    <t>KZ2C00015220</t>
  </si>
  <si>
    <t>MFUCb9</t>
  </si>
  <si>
    <t>KZ2P00015431</t>
  </si>
  <si>
    <t>810 (2)</t>
  </si>
  <si>
    <t>603 (2)</t>
  </si>
  <si>
    <t>5,32</t>
  </si>
  <si>
    <t>177 (0)</t>
  </si>
  <si>
    <t>4,69</t>
  </si>
  <si>
    <t>942 (3)</t>
  </si>
  <si>
    <t>174 (0)</t>
  </si>
  <si>
    <t>882 (2)</t>
  </si>
  <si>
    <t>913 (3)</t>
  </si>
  <si>
    <t>798 (2)</t>
  </si>
  <si>
    <t>6,27</t>
  </si>
  <si>
    <t>7 763 (22)</t>
  </si>
  <si>
    <t>8 308 (23)</t>
  </si>
  <si>
    <t>891 (2)</t>
  </si>
  <si>
    <t>3 433 (10)</t>
  </si>
  <si>
    <t>117 (0)</t>
  </si>
  <si>
    <t>22,01</t>
  </si>
  <si>
    <t>630 (2)</t>
  </si>
  <si>
    <t>697 (2)</t>
  </si>
  <si>
    <t>37,97</t>
  </si>
  <si>
    <t>406 (1)</t>
  </si>
  <si>
    <t>11,32</t>
  </si>
  <si>
    <t>145 (0)</t>
  </si>
  <si>
    <t>10,65</t>
  </si>
  <si>
    <t>151 (0)</t>
  </si>
  <si>
    <t>675 (2)</t>
  </si>
  <si>
    <t>11,70</t>
  </si>
  <si>
    <t>590 (2)</t>
  </si>
  <si>
    <t>684 (2)</t>
  </si>
  <si>
    <t>22,07</t>
  </si>
  <si>
    <t>48 (0)</t>
  </si>
  <si>
    <t>21,58</t>
  </si>
  <si>
    <t>210 (1)</t>
  </si>
  <si>
    <t>10,99</t>
  </si>
  <si>
    <t>532 (1)</t>
  </si>
  <si>
    <t>679 (2)</t>
  </si>
  <si>
    <t>842 (2)</t>
  </si>
  <si>
    <t>22,89</t>
  </si>
  <si>
    <t>385 (1)</t>
  </si>
  <si>
    <t>886 (2)</t>
  </si>
  <si>
    <t>21,90</t>
  </si>
  <si>
    <t>905 (3)</t>
  </si>
  <si>
    <t>21,52</t>
  </si>
  <si>
    <t>984 (3)</t>
  </si>
  <si>
    <t>58MFRFb12</t>
  </si>
  <si>
    <t>497,08</t>
  </si>
  <si>
    <t>23 (0)</t>
  </si>
  <si>
    <t>59MFRFb13</t>
  </si>
  <si>
    <t>38,28</t>
  </si>
  <si>
    <t>639 (2)</t>
  </si>
  <si>
    <t>60MFRFb14</t>
  </si>
  <si>
    <t>49,30</t>
  </si>
  <si>
    <t>394 (1)</t>
  </si>
  <si>
    <t>61MFRFb16</t>
  </si>
  <si>
    <t>34,32</t>
  </si>
  <si>
    <t>902 (3)</t>
  </si>
  <si>
    <t>62MFRFb19</t>
  </si>
  <si>
    <t>22,10</t>
  </si>
  <si>
    <t>990 (3)</t>
  </si>
  <si>
    <t>63MFRFb21</t>
  </si>
  <si>
    <t>672 (2)</t>
  </si>
  <si>
    <t>64MFTSb1</t>
  </si>
  <si>
    <t>21,46</t>
  </si>
  <si>
    <t>78 (0)</t>
  </si>
  <si>
    <t>65MFTSb2</t>
  </si>
  <si>
    <t>293 (1)</t>
  </si>
  <si>
    <t>66MFTSb3</t>
  </si>
  <si>
    <t>21,69</t>
  </si>
  <si>
    <t>649 (2)</t>
  </si>
  <si>
    <t>67MKM012_0159</t>
  </si>
  <si>
    <t>15,22</t>
  </si>
  <si>
    <t>28 (0)</t>
  </si>
  <si>
    <t>68MKM012_0160</t>
  </si>
  <si>
    <t>16,21</t>
  </si>
  <si>
    <t>133 (0)</t>
  </si>
  <si>
    <t>69MKM012_0161</t>
  </si>
  <si>
    <t>231 (1)</t>
  </si>
  <si>
    <t>70MOM048_0052</t>
  </si>
  <si>
    <t>16,37</t>
  </si>
  <si>
    <t>115 (0)</t>
  </si>
  <si>
    <t>71MOM048_0053</t>
  </si>
  <si>
    <t>268 (1)</t>
  </si>
  <si>
    <t>72MOM048_0054</t>
  </si>
  <si>
    <t>350 (1)</t>
  </si>
  <si>
    <t>73MOM048_0056</t>
  </si>
  <si>
    <t>16,54</t>
  </si>
  <si>
    <t>1 391 (4)</t>
  </si>
  <si>
    <t>74MOM060_0052</t>
  </si>
  <si>
    <t>308 (1)</t>
  </si>
  <si>
    <t>75MOM060_0054</t>
  </si>
  <si>
    <t>772 (2)</t>
  </si>
  <si>
    <t>76MTC048_0001</t>
  </si>
  <si>
    <t>1 403 (4)</t>
  </si>
  <si>
    <t>77MTM048_0001</t>
  </si>
  <si>
    <t>343 (1)</t>
  </si>
  <si>
    <t>78MTM060_0001</t>
  </si>
  <si>
    <t>738 (2)</t>
  </si>
  <si>
    <t>79MTM072_0001</t>
  </si>
  <si>
    <t>1 132 (3)</t>
  </si>
  <si>
    <t>80MTM084_0001</t>
  </si>
  <si>
    <t>1 597 (4)</t>
  </si>
  <si>
    <t>81MTM096_0001</t>
  </si>
  <si>
    <t>1 907 (5)</t>
  </si>
  <si>
    <t>82MUJ144_0005</t>
  </si>
  <si>
    <t>61 (0)</t>
  </si>
  <si>
    <t>83MUJ156_0004</t>
  </si>
  <si>
    <t>364 (1)</t>
  </si>
  <si>
    <t>84MUJ168_0004</t>
  </si>
  <si>
    <t>183 (1)</t>
  </si>
  <si>
    <t>85MUJ168_0005</t>
  </si>
  <si>
    <t>332 (1)</t>
  </si>
  <si>
    <t>86MUJ180_0007</t>
  </si>
  <si>
    <t>11,58</t>
  </si>
  <si>
    <t>32 (0)</t>
  </si>
  <si>
    <t>87MUJ180_0008</t>
  </si>
  <si>
    <t>1 157 (3)</t>
  </si>
  <si>
    <t>88MUJ192_0002</t>
  </si>
  <si>
    <t>89MUJ192_0003</t>
  </si>
  <si>
    <t>242 (1)</t>
  </si>
  <si>
    <t>90MUJ192_0004</t>
  </si>
  <si>
    <t>1 588 (4)</t>
  </si>
  <si>
    <t>91MUJ204_0001</t>
  </si>
  <si>
    <t>92MUJ204_0002</t>
  </si>
  <si>
    <t>304 (1)</t>
  </si>
  <si>
    <t>93MUJ204_0003</t>
  </si>
  <si>
    <t>573 (2)</t>
  </si>
  <si>
    <t>94MUJ204_0004</t>
  </si>
  <si>
    <t>663 (2)</t>
  </si>
  <si>
    <t>95MUJ204_0005</t>
  </si>
  <si>
    <t>1 232 (3)</t>
  </si>
  <si>
    <t>96MUJ204_0006</t>
  </si>
  <si>
    <t>1 352 (4)</t>
  </si>
  <si>
    <t>97MUJ216_0001</t>
  </si>
  <si>
    <t>633 (2)</t>
  </si>
  <si>
    <t>98MUJ216_0002</t>
  </si>
  <si>
    <t>780 (2)</t>
  </si>
  <si>
    <t>99MUJ216_0003</t>
  </si>
  <si>
    <t>869 (2)</t>
  </si>
  <si>
    <t>100MUJ216_0004</t>
  </si>
  <si>
    <t>1 411 (4)</t>
  </si>
  <si>
    <t>101MUJ216_0005</t>
  </si>
  <si>
    <t>1 684 (5)</t>
  </si>
  <si>
    <t>102MUJ228_0001</t>
  </si>
  <si>
    <t>1 051 (3)</t>
  </si>
  <si>
    <t>103MUJ228_0002</t>
  </si>
  <si>
    <t>1 174 (3)</t>
  </si>
  <si>
    <t>104MUJ228_0003</t>
  </si>
  <si>
    <t>105MUJ228_0004</t>
  </si>
  <si>
    <t>1 562 (4)</t>
  </si>
  <si>
    <t>106MUJ228_0005</t>
  </si>
  <si>
    <t>1 803 (5)</t>
  </si>
  <si>
    <t>107MUJ228_0006</t>
  </si>
  <si>
    <t>2 161 (6)</t>
  </si>
  <si>
    <t>108MUJ240_0001</t>
  </si>
  <si>
    <t>2 253 (6)</t>
  </si>
  <si>
    <t>109MUM072_0013</t>
  </si>
  <si>
    <t>17,64</t>
  </si>
  <si>
    <t>593 (2)</t>
  </si>
  <si>
    <t>110MUM072_0014</t>
  </si>
  <si>
    <t>17,27</t>
  </si>
  <si>
    <t>1 237 (3)</t>
  </si>
  <si>
    <t>111MUM072_0015</t>
  </si>
  <si>
    <t>17,09</t>
  </si>
  <si>
    <t>1 601 (4)</t>
  </si>
  <si>
    <t>112MUM084_0018</t>
  </si>
  <si>
    <t>916 (3)</t>
  </si>
  <si>
    <t>113MUM084_0019</t>
  </si>
  <si>
    <t>1 946 (5)</t>
  </si>
  <si>
    <t>114MUM084_0020</t>
  </si>
  <si>
    <t>2 320 (6)</t>
  </si>
  <si>
    <t>115MUM096_0011</t>
  </si>
  <si>
    <t>17,35</t>
  </si>
  <si>
    <t>1 111 (3)</t>
  </si>
  <si>
    <t>116MUM096_0012</t>
  </si>
  <si>
    <t>17,18</t>
  </si>
  <si>
    <t>1 382 (4)</t>
  </si>
  <si>
    <t>117MUM096_0013</t>
  </si>
  <si>
    <t>1 568 (4)</t>
  </si>
  <si>
    <t>118MUM096_0014</t>
  </si>
  <si>
    <t>2 026 (6)</t>
  </si>
  <si>
    <t>119MUM096_0015</t>
  </si>
  <si>
    <t>16,84</t>
  </si>
  <si>
    <t>2 769 (8)</t>
  </si>
  <si>
    <t>120MUM108_0012</t>
  </si>
  <si>
    <t>277 (1)</t>
  </si>
  <si>
    <t>121MUM108_0013</t>
  </si>
  <si>
    <t>17,26</t>
  </si>
  <si>
    <t>1 265 (4)</t>
  </si>
  <si>
    <t>122MUM108_0014</t>
  </si>
  <si>
    <t>16,89</t>
  </si>
  <si>
    <t>2 393 (7)</t>
  </si>
  <si>
    <t>123MUM108_0015</t>
  </si>
  <si>
    <t>3 040 (8)</t>
  </si>
  <si>
    <t>124MUM120_0017</t>
  </si>
  <si>
    <t>17,66</t>
  </si>
  <si>
    <t>520 (1)</t>
  </si>
  <si>
    <t>125MUM120_0018</t>
  </si>
  <si>
    <t>637 (2)</t>
  </si>
  <si>
    <t>126MUM120_0019</t>
  </si>
  <si>
    <t>16,95</t>
  </si>
  <si>
    <t>1 971 (5)</t>
  </si>
  <si>
    <t>127MUM120_0020</t>
  </si>
  <si>
    <t>16,79</t>
  </si>
  <si>
    <t>3 377 (9)</t>
  </si>
  <si>
    <t>128MUM132_0007</t>
  </si>
  <si>
    <t>2 460 (7)</t>
  </si>
  <si>
    <t>129MUM144_0009</t>
  </si>
  <si>
    <t>2 847 (8)</t>
  </si>
  <si>
    <t>130MUM156_0005</t>
  </si>
  <si>
    <t>624 (2)</t>
  </si>
  <si>
    <t>131MUM156_0006</t>
  </si>
  <si>
    <t>16,93</t>
  </si>
  <si>
    <t>2 024 (6)</t>
  </si>
  <si>
    <t>132MUM156_0007</t>
  </si>
  <si>
    <t>3 021 (8)</t>
  </si>
  <si>
    <t>133MUM156_0008</t>
  </si>
  <si>
    <t>4 556 (13)</t>
  </si>
  <si>
    <t>134MUM168_0001</t>
  </si>
  <si>
    <t>15,90</t>
  </si>
  <si>
    <t>7 (0)</t>
  </si>
  <si>
    <t>135MUM168_0002</t>
  </si>
  <si>
    <t>16,64</t>
  </si>
  <si>
    <t>50 (0)</t>
  </si>
  <si>
    <t>136MUM168_0003</t>
  </si>
  <si>
    <t>2 360 (7)</t>
  </si>
  <si>
    <t>137MUM168_0005</t>
  </si>
  <si>
    <t>3 404 (9)</t>
  </si>
  <si>
    <t>138MUM180_0003</t>
  </si>
  <si>
    <t>16,65</t>
  </si>
  <si>
    <t>58 (0)</t>
  </si>
  <si>
    <t>139MUM180_0004</t>
  </si>
  <si>
    <t>322 (1)</t>
  </si>
  <si>
    <t>140MUM180_0005</t>
  </si>
  <si>
    <t>17,71</t>
  </si>
  <si>
    <t>417 (1)</t>
  </si>
  <si>
    <t>141MUM180_0006</t>
  </si>
  <si>
    <t>541 (2)</t>
  </si>
  <si>
    <t>142MUM180_0007</t>
  </si>
  <si>
    <t>17,63</t>
  </si>
  <si>
    <t>712 (2)</t>
  </si>
  <si>
    <t>143MUM180_0008</t>
  </si>
  <si>
    <t>748 (2)</t>
  </si>
  <si>
    <t>144MUM180_0009</t>
  </si>
  <si>
    <t>17,32</t>
  </si>
  <si>
    <t>1 154 (3)</t>
  </si>
  <si>
    <t>145MUM180_0011</t>
  </si>
  <si>
    <t>17,17</t>
  </si>
  <si>
    <t>1 397 (4)</t>
  </si>
  <si>
    <t>146MUM180_0012</t>
  </si>
  <si>
    <t>17,11</t>
  </si>
  <si>
    <t>147MUM180_0013</t>
  </si>
  <si>
    <t>2 708 (8)</t>
  </si>
  <si>
    <t>148MUM180_0014</t>
  </si>
  <si>
    <t>2 727 (8)</t>
  </si>
  <si>
    <t>149MUM180_0015</t>
  </si>
  <si>
    <t>16,71</t>
  </si>
  <si>
    <t>3 929 (11)</t>
  </si>
  <si>
    <t>150MUM180_0016</t>
  </si>
  <si>
    <t>4 082 (11)</t>
  </si>
  <si>
    <t>151MUM192_0001</t>
  </si>
  <si>
    <t>743 (2)</t>
  </si>
  <si>
    <t>152MUM192_0002</t>
  </si>
  <si>
    <t>17,47</t>
  </si>
  <si>
    <t>922 (3)</t>
  </si>
  <si>
    <t>153MUM192_0003</t>
  </si>
  <si>
    <t>17,38</t>
  </si>
  <si>
    <t>1 074 (3)</t>
  </si>
  <si>
    <t>154MUM216_0001</t>
  </si>
  <si>
    <t>3 904 (11)</t>
  </si>
  <si>
    <t>155MUM216_0002</t>
  </si>
  <si>
    <t>4 095 (11)</t>
  </si>
  <si>
    <t>156MUM240_0001</t>
  </si>
  <si>
    <t>2 368 (7)</t>
  </si>
  <si>
    <t>157MUM240_0002</t>
  </si>
  <si>
    <t>3 106 (9)</t>
  </si>
  <si>
    <t>158MUM240_0004</t>
  </si>
  <si>
    <t>3 363 (9)</t>
  </si>
  <si>
    <t>159MUM300_0001</t>
  </si>
  <si>
    <t>4 764 (13)</t>
  </si>
  <si>
    <t>160MUM300_0002</t>
  </si>
  <si>
    <t>4 979 (14)</t>
  </si>
  <si>
    <t>161MUM300_0003</t>
  </si>
  <si>
    <t>16,66</t>
  </si>
  <si>
    <t>5 190 (14)</t>
  </si>
  <si>
    <t>162MUM360_0001</t>
  </si>
  <si>
    <t>16,63</t>
  </si>
  <si>
    <t>6 840 (19)</t>
  </si>
  <si>
    <t>163MUX072_0003</t>
  </si>
  <si>
    <t>1 985 (6)</t>
  </si>
  <si>
    <t>164NTK028_2867</t>
  </si>
  <si>
    <t>15,12</t>
  </si>
  <si>
    <t>19 (0)</t>
  </si>
  <si>
    <t>165PRKRe1</t>
  </si>
  <si>
    <t>181 (1)</t>
  </si>
  <si>
    <t>166SKKZe1</t>
  </si>
  <si>
    <t>392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</si>
</sst>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29" fillId="0" borderId="0" xfId="0" applyNumberFormat="1" applyFont="1" applyAlignment="1">
      <alignment horizontal="left" vertical="center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3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SPI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TS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mifs/HFINhv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CEL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RFb1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KSPId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shares/HSBK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gsecs/NTK028_2867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KEGC" TargetMode="External"/><Relationship Id="rId77" Type="http://schemas.openxmlformats.org/officeDocument/2006/relationships/hyperlink" Target="https://kase.kz/ru/investors/gsecs/KZ_23_3504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ZA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B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5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4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19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PRKRe1" TargetMode="External"/><Relationship Id="rId47" Type="http://schemas.openxmlformats.org/officeDocument/2006/relationships/hyperlink" Target="https://kase.kz/ru/investors/bonds/HSBKb22" TargetMode="External"/><Relationship Id="rId68" Type="http://schemas.openxmlformats.org/officeDocument/2006/relationships/hyperlink" Target="https://kase.kz/ru/listing/issuers/KZAP" TargetMode="External"/><Relationship Id="rId89" Type="http://schemas.openxmlformats.org/officeDocument/2006/relationships/hyperlink" Target="https://kase.kz/ru/investors/bonds/MFMOb20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l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bonds/MFDFb1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PRKR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bonds/KZTCb3" TargetMode="External"/><Relationship Id="rId113" Type="http://schemas.openxmlformats.org/officeDocument/2006/relationships/hyperlink" Target="https://kase.kz/ru/investors/bonds/MFOKb26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DF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0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TC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depts/HSBKd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3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HFINhp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shares/KZTK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2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5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1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IFDR" TargetMode="External"/><Relationship Id="rId72" Type="http://schemas.openxmlformats.org/officeDocument/2006/relationships/hyperlink" Target="https://kase.kz/ru/listing/issuers/KZTK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s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TCIB" TargetMode="External"/><Relationship Id="rId73" Type="http://schemas.openxmlformats.org/officeDocument/2006/relationships/hyperlink" Target="https://kase.kz/ru/investors/shares/KZTKp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2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KCEL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3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SPI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O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EGC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5"/>
  <sheetViews>
    <sheetView tabSelected="1" zoomScale="90" zoomScaleNormal="90" workbookViewId="0">
      <pane ySplit="5" topLeftCell="A77" activePane="bottomLeft" state="frozen"/>
      <selection pane="bottomLeft" activeCell="D100" sqref="D10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45926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2609</v>
      </c>
      <c r="J5" s="2" t="s">
        <v>2610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26.09.25'!$C$5:$F$162,4,0)</f>
        <v>84.954800000000006</v>
      </c>
      <c r="J6" s="32">
        <f>VLOOKUP(B6,'KASE за 26.09.25'!$C$5:$G$162,5,0)</f>
        <v>87.684600000000003</v>
      </c>
      <c r="K6" s="63">
        <v>47770625</v>
      </c>
      <c r="L6" s="29">
        <f>D6*I6/100+K6</f>
        <v>1534479625</v>
      </c>
      <c r="M6" s="33">
        <f t="shared" ref="M6:M49" si="0">L6/$L$62</f>
        <v>5.8240051855479015E-2</v>
      </c>
      <c r="N6" s="13">
        <f>D6*E6%/360</f>
        <v>266875.00000000006</v>
      </c>
      <c r="O6" s="12">
        <f>K6+N6</f>
        <v>48037500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26.09.25'!$C$5:$F$162,4,0)</f>
        <v>86.174700000000001</v>
      </c>
      <c r="J7" s="32">
        <f>VLOOKUP(B7,'KASE за 26.09.25'!$C$5:$G$162,5,0)</f>
        <v>90.912499999999994</v>
      </c>
      <c r="K7" s="63">
        <v>92386666.666666567</v>
      </c>
      <c r="L7" s="29">
        <f>D7*I7/100+K7</f>
        <v>1772793316.6666665</v>
      </c>
      <c r="M7" s="33">
        <f t="shared" si="0"/>
        <v>6.7285073721140662E-2</v>
      </c>
      <c r="N7" s="13">
        <f t="shared" ref="N7:N15" si="1">D7*E7%/360</f>
        <v>563333.33333333337</v>
      </c>
      <c r="O7" s="12">
        <f t="shared" ref="O7:O41" si="2">K7+N7</f>
        <v>92949999.999999896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26.09.25'!$C$5:$F$162,4,0)</f>
        <v>84.261300000000006</v>
      </c>
      <c r="J8" s="32">
        <f>VLOOKUP(B8,'KASE за 26.09.25'!$C$5:$G$162,5,0)</f>
        <v>89.639099999999999</v>
      </c>
      <c r="K8" s="63">
        <v>74124600</v>
      </c>
      <c r="L8" s="29">
        <f>D8*I8/100+K8</f>
        <v>1235540228.5500002</v>
      </c>
      <c r="M8" s="33">
        <f t="shared" si="0"/>
        <v>4.6894025706129792E-2</v>
      </c>
      <c r="N8" s="13">
        <f>D8*E8%/360</f>
        <v>421162.5</v>
      </c>
      <c r="O8" s="12">
        <f t="shared" si="2"/>
        <v>74545762.5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26.09.25'!$C$5:$F$162,4,0)</f>
        <v>82.290199999999999</v>
      </c>
      <c r="J9" s="32">
        <f>VLOOKUP(B9,'KASE за 26.09.25'!$C$5:$G$162,5,0)</f>
        <v>83.989900000000006</v>
      </c>
      <c r="K9" s="63">
        <v>14311661.111111121</v>
      </c>
      <c r="L9" s="29">
        <f>D9*I9/100+K9</f>
        <v>707195145.11111116</v>
      </c>
      <c r="M9" s="33">
        <f t="shared" si="0"/>
        <v>2.6841074493389978E-2</v>
      </c>
      <c r="N9" s="13">
        <f>D9*E9%/360</f>
        <v>246752.77777777781</v>
      </c>
      <c r="O9" s="12">
        <f>K9+N9</f>
        <v>14558413.888888899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26.09.25'!$C$5:$F$162,4,0)</f>
        <v>77.2102</v>
      </c>
      <c r="J10" s="32">
        <f>VLOOKUP(B10,'KASE за 26.09.25'!$C$5:$G$162,5,0)</f>
        <v>82.617699999999999</v>
      </c>
      <c r="K10" s="63">
        <v>78408749.999999925</v>
      </c>
      <c r="L10" s="29">
        <f t="shared" ref="L10:L15" si="3">D10*I10/100+K10</f>
        <v>1197956650</v>
      </c>
      <c r="M10" s="33">
        <f t="shared" si="0"/>
        <v>4.5467568470722391E-2</v>
      </c>
      <c r="N10" s="13">
        <f>D10*E10%/360</f>
        <v>414861.11111111112</v>
      </c>
      <c r="O10" s="12">
        <f t="shared" si="2"/>
        <v>78823611.11111103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26.09.25'!$C$5:$F$162,4,0)</f>
        <v>67.921700000000001</v>
      </c>
      <c r="J11" s="32">
        <f>VLOOKUP(B11,'KASE за 26.09.25'!$C$5:$G$162,5,0)</f>
        <v>71.677300000000002</v>
      </c>
      <c r="K11" s="63">
        <v>73233333.333333403</v>
      </c>
      <c r="L11" s="29">
        <f t="shared" si="3"/>
        <v>1397706483.3333335</v>
      </c>
      <c r="M11" s="33">
        <f t="shared" si="0"/>
        <v>5.3048927298772412E-2</v>
      </c>
      <c r="N11" s="13">
        <f t="shared" si="1"/>
        <v>457708.33333333326</v>
      </c>
      <c r="O11" s="12">
        <f t="shared" si="2"/>
        <v>73691041.666666731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26.09.25'!$C$5:$F$162,4,0)</f>
        <v>75.770600000000002</v>
      </c>
      <c r="J12" s="32">
        <f>VLOOKUP(B12,'KASE за 26.09.25'!$C$5:$G$162,5,0)</f>
        <v>77.545599999999993</v>
      </c>
      <c r="K12" s="63">
        <v>17430500.000000011</v>
      </c>
      <c r="L12" s="29">
        <f>D12*I12/100+K12</f>
        <v>761497792</v>
      </c>
      <c r="M12" s="33">
        <f t="shared" si="0"/>
        <v>2.89020917393496E-2</v>
      </c>
      <c r="N12" s="13">
        <f>D12*E12%/360</f>
        <v>290508.33333333331</v>
      </c>
      <c r="O12" s="12">
        <f t="shared" si="2"/>
        <v>17721008.333333343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26.09.25'!$C$5:$F$162,4,0)</f>
        <v>75.770600000000002</v>
      </c>
      <c r="J13" s="32">
        <f>VLOOKUP(B13,'KASE за 26.09.25'!$C$5:$G$162,5,0)</f>
        <v>77.545599999999993</v>
      </c>
      <c r="K13" s="63">
        <v>4437500.0000000028</v>
      </c>
      <c r="L13" s="29">
        <f>D13*I13/100+K13</f>
        <v>193864000</v>
      </c>
      <c r="M13" s="33">
        <f t="shared" si="0"/>
        <v>7.3579663287549899E-3</v>
      </c>
      <c r="N13" s="13">
        <f>D13*E13%/360</f>
        <v>73958.333333333328</v>
      </c>
      <c r="O13" s="12">
        <f>K13+N13</f>
        <v>4511458.3333333358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26.09.25'!$C$5:$F$170,4,0)</f>
        <v>61.674700000000001</v>
      </c>
      <c r="J14" s="32">
        <f>VLOOKUP(B14,'KASE за 26.09.25'!$C$5:$G$170,5,0)</f>
        <v>64.6785</v>
      </c>
      <c r="K14" s="63">
        <v>58574750.000000007</v>
      </c>
      <c r="L14" s="29">
        <f t="shared" si="3"/>
        <v>1261231400</v>
      </c>
      <c r="M14" s="33">
        <f t="shared" si="0"/>
        <v>4.786911532810896E-2</v>
      </c>
      <c r="N14" s="13">
        <f t="shared" si="1"/>
        <v>437125.00000000006</v>
      </c>
      <c r="O14" s="12">
        <f t="shared" si="2"/>
        <v>59011875.000000007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26.09.25'!$C$5:$F$170,4,0)</f>
        <v>60.298699999999997</v>
      </c>
      <c r="J15" s="32">
        <f>VLOOKUP(B15,'KASE за 26.09.25'!$C$5:$G$170,5,0)</f>
        <v>65.611500000000007</v>
      </c>
      <c r="K15" s="63">
        <v>103598625</v>
      </c>
      <c r="L15" s="29">
        <f t="shared" si="3"/>
        <v>1279423275</v>
      </c>
      <c r="M15" s="33">
        <f t="shared" si="0"/>
        <v>4.8559574638279597E-2</v>
      </c>
      <c r="N15" s="13">
        <f t="shared" si="1"/>
        <v>437125.00000000006</v>
      </c>
      <c r="O15" s="12">
        <f t="shared" si="2"/>
        <v>104035750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26.09.25'!$C$5:$F$170,4,0)</f>
        <v>56.7806</v>
      </c>
      <c r="J16" s="32">
        <f>VLOOKUP(B16,'KASE за 26.09.25'!$C$5:$G$170,5,0)</f>
        <v>59.102800000000002</v>
      </c>
      <c r="K16" s="63">
        <v>7245310.1111111231</v>
      </c>
      <c r="L16" s="29">
        <f t="shared" ref="L16:L30" si="4">D16*I16/100+K16</f>
        <v>184400214.30511114</v>
      </c>
      <c r="M16" s="33">
        <f t="shared" si="0"/>
        <v>6.9987752644751575E-3</v>
      </c>
      <c r="N16" s="13">
        <f>D16*E16%/360</f>
        <v>47666.513888888891</v>
      </c>
      <c r="O16" s="12">
        <f t="shared" si="2"/>
        <v>7292976.6250000121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26.09.25'!$C$5:$F$170,4,0)</f>
        <v>56.7806</v>
      </c>
      <c r="J17" s="32">
        <f>VLOOKUP(B17,'KASE за 26.09.25'!$C$5:$G$170,5,0)</f>
        <v>59.102800000000002</v>
      </c>
      <c r="K17" s="63">
        <v>11611111.111111086</v>
      </c>
      <c r="L17" s="29">
        <f t="shared" si="4"/>
        <v>295514111.1111111</v>
      </c>
      <c r="M17" s="33">
        <f t="shared" si="0"/>
        <v>1.1216021949549768E-2</v>
      </c>
      <c r="N17" s="13">
        <f t="shared" ref="N17:N27" si="5">D17*E17%/360</f>
        <v>76388.888888888891</v>
      </c>
      <c r="O17" s="12">
        <f t="shared" si="2"/>
        <v>11687499.999999974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26.09.25'!$C$5:$F$170,4,0)</f>
        <v>56.7806</v>
      </c>
      <c r="J18" s="32">
        <f>VLOOKUP(B18,'KASE за 26.09.25'!$C$5:$G$170,5,0)</f>
        <v>59.102800000000002</v>
      </c>
      <c r="K18" s="63">
        <v>11611111.111111086</v>
      </c>
      <c r="L18" s="29">
        <f>D18*I18/100+K18</f>
        <v>295514111.1111111</v>
      </c>
      <c r="M18" s="33">
        <f t="shared" si="0"/>
        <v>1.1216021949549768E-2</v>
      </c>
      <c r="N18" s="13">
        <f>D18*E18%/360</f>
        <v>76388.888888888891</v>
      </c>
      <c r="O18" s="12">
        <f t="shared" si="2"/>
        <v>11687499.999999974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26.09.25'!$C$5:$F$170,4,0)</f>
        <v>56.7806</v>
      </c>
      <c r="J19" s="32">
        <f>VLOOKUP(B19,'KASE за 26.09.25'!$C$5:$G$170,5,0)</f>
        <v>59.102800000000002</v>
      </c>
      <c r="K19" s="63">
        <v>6966666.6666666539</v>
      </c>
      <c r="L19" s="29">
        <f>D19*I19/100+K19</f>
        <v>177308466.66666666</v>
      </c>
      <c r="M19" s="33">
        <f t="shared" si="0"/>
        <v>6.729613169729861E-3</v>
      </c>
      <c r="N19" s="13">
        <f>D19*E19%/360</f>
        <v>45833.333333333336</v>
      </c>
      <c r="O19" s="12">
        <f t="shared" si="2"/>
        <v>7012499.999999987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26.09.25'!$C$5:$F$170,4,0)</f>
        <v>56.7806</v>
      </c>
      <c r="J20" s="32">
        <f>VLOOKUP(B20,'KASE за 26.09.25'!$C$5:$G$170,5,0)</f>
        <v>59.102800000000002</v>
      </c>
      <c r="K20" s="63">
        <v>6966666.6666666539</v>
      </c>
      <c r="L20" s="29">
        <f>D20*I20/100+K20</f>
        <v>177308466.66666666</v>
      </c>
      <c r="M20" s="33">
        <f t="shared" si="0"/>
        <v>6.729613169729861E-3</v>
      </c>
      <c r="N20" s="13">
        <f>D20*E20%/360</f>
        <v>45833.333333333336</v>
      </c>
      <c r="O20" s="12">
        <f t="shared" si="2"/>
        <v>7012499.999999987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26.09.25'!$C$5:$F$162,4,0)</f>
        <v>82.290199999999999</v>
      </c>
      <c r="J21" s="32">
        <f>VLOOKUP(B21,'KASE за 26.09.25'!$C$5:$G$162,5,0)</f>
        <v>83.989900000000006</v>
      </c>
      <c r="K21" s="63">
        <v>8498611.1111111194</v>
      </c>
      <c r="L21" s="29">
        <f t="shared" si="4"/>
        <v>419949611.1111111</v>
      </c>
      <c r="M21" s="33">
        <f t="shared" si="0"/>
        <v>1.5938880340492859E-2</v>
      </c>
      <c r="N21" s="13">
        <f>D21*E21%/360</f>
        <v>146527.77777777781</v>
      </c>
      <c r="O21" s="12">
        <f t="shared" si="2"/>
        <v>8645138.8888888974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26.09.25'!$C$5:$F$162,4,0)</f>
        <v>82.290199999999999</v>
      </c>
      <c r="J22" s="32">
        <f>VLOOKUP(B22,'KASE за 26.09.25'!$C$5:$G$162,5,0)</f>
        <v>83.989900000000006</v>
      </c>
      <c r="K22" s="63">
        <v>9406772.6944444459</v>
      </c>
      <c r="L22" s="29">
        <f t="shared" si="4"/>
        <v>464825426.55444443</v>
      </c>
      <c r="M22" s="33">
        <f t="shared" si="0"/>
        <v>1.7642109093677926E-2</v>
      </c>
      <c r="N22" s="13">
        <f t="shared" si="5"/>
        <v>162185.73611111112</v>
      </c>
      <c r="O22" s="12">
        <f t="shared" si="2"/>
        <v>9568958.4305555578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26.09.25'!$C$5:$F$170,4,0)</f>
        <v>75.783000000000001</v>
      </c>
      <c r="J23" s="32">
        <f>VLOOKUP(B23,'KASE за 26.09.25'!$C$5:$G$170,5,0)</f>
        <v>77.977400000000003</v>
      </c>
      <c r="K23" s="63">
        <v>13957873.611111084</v>
      </c>
      <c r="L23" s="29">
        <f t="shared" si="4"/>
        <v>495979434.26111108</v>
      </c>
      <c r="M23" s="33">
        <f t="shared" si="0"/>
        <v>1.8824536670285379E-2</v>
      </c>
      <c r="N23" s="13">
        <f t="shared" si="5"/>
        <v>88340.972222222219</v>
      </c>
      <c r="O23" s="12">
        <f t="shared" si="2"/>
        <v>14046214.583333306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26.09.25'!$C$5:$F$171,4,0)</f>
        <v>55.998199999999997</v>
      </c>
      <c r="J24" s="32">
        <f>VLOOKUP(B24,'KASE за 26.09.25'!$C$5:$G$171,5,0)</f>
        <v>57.4131</v>
      </c>
      <c r="K24" s="63">
        <v>9891095.9472222216</v>
      </c>
      <c r="L24" s="29">
        <f>D24*I24/100+K24</f>
        <v>401366672.3992222</v>
      </c>
      <c r="M24" s="33">
        <f t="shared" si="0"/>
        <v>1.5233578493159698E-2</v>
      </c>
      <c r="N24" s="13">
        <f t="shared" si="5"/>
        <v>162149.11388888888</v>
      </c>
      <c r="O24" s="12">
        <f t="shared" si="2"/>
        <v>10053245.061111111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26.09.25'!$C$5:$F$171,4,0)</f>
        <v>55.998199999999997</v>
      </c>
      <c r="J25" s="32">
        <f>VLOOKUP(B25,'KASE за 26.09.25'!$C$5:$G$171,5,0)</f>
        <v>57.4131</v>
      </c>
      <c r="K25" s="63">
        <v>4019238.4041666687</v>
      </c>
      <c r="L25" s="29">
        <f>D25*I25/100+K25</f>
        <v>163095005.09016666</v>
      </c>
      <c r="M25" s="33">
        <f t="shared" si="0"/>
        <v>6.1901516312547452E-3</v>
      </c>
      <c r="N25" s="13">
        <f>D25*E25%/360</f>
        <v>65889.15416666666</v>
      </c>
      <c r="O25" s="12">
        <f t="shared" si="2"/>
        <v>4085127.5583333354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26.09.25'!$C$5:$F$162,4,0)</f>
        <v>72.447699999999998</v>
      </c>
      <c r="J26" s="32">
        <f>VLOOKUP(B26,'KASE за 26.09.25'!$C$5:$G$162,5,0)</f>
        <v>77.397000000000006</v>
      </c>
      <c r="K26" s="63">
        <v>24746666.666666344</v>
      </c>
      <c r="L26" s="29">
        <f t="shared" si="4"/>
        <v>386985166.66666633</v>
      </c>
      <c r="M26" s="33">
        <f t="shared" si="0"/>
        <v>1.4687738961648211E-2</v>
      </c>
      <c r="N26" s="13">
        <f t="shared" si="5"/>
        <v>106666.66666666667</v>
      </c>
      <c r="O26" s="12">
        <f t="shared" si="2"/>
        <v>24853333.333333012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26.09.25'!$C$5:$F$162,4,0)</f>
        <v>72.447699999999998</v>
      </c>
      <c r="J27" s="32">
        <f>VLOOKUP(B27,'KASE за 26.09.25'!$C$5:$G$162,5,0)</f>
        <v>77.397000000000006</v>
      </c>
      <c r="K27" s="63">
        <v>24746666.666666344</v>
      </c>
      <c r="L27" s="29">
        <f t="shared" si="4"/>
        <v>386985166.66666633</v>
      </c>
      <c r="M27" s="33">
        <f t="shared" si="0"/>
        <v>1.4687738961648211E-2</v>
      </c>
      <c r="N27" s="13">
        <f t="shared" si="5"/>
        <v>106666.66666666667</v>
      </c>
      <c r="O27" s="12">
        <f t="shared" si="2"/>
        <v>24853333.333333012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26.09.25'!$C$5:$F$162,4,0)</f>
        <v>72.447699999999998</v>
      </c>
      <c r="J28" s="32">
        <f>VLOOKUP(B28,'KASE за 26.09.25'!$C$5:$G$162,5,0)</f>
        <v>77.397000000000006</v>
      </c>
      <c r="K28" s="63">
        <v>24746666.666666344</v>
      </c>
      <c r="L28" s="29">
        <f>D28*I28/100+K28</f>
        <v>386985166.66666633</v>
      </c>
      <c r="M28" s="33">
        <f t="shared" si="0"/>
        <v>1.4687738961648211E-2</v>
      </c>
      <c r="N28" s="13">
        <f>D28*E28%/360</f>
        <v>106666.66666666667</v>
      </c>
      <c r="O28" s="12">
        <f t="shared" si="2"/>
        <v>24853333.333333012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26.09.25'!$C$4:$G$963,4,0)</f>
        <v>94.483923752674542</v>
      </c>
      <c r="J29" s="32">
        <f>VLOOKUP(B29,'Риск цены за 26.09.25'!$C$4:$G$963,5,0)</f>
        <v>95.397523752674545</v>
      </c>
      <c r="K29" s="63">
        <v>15531388.888888892</v>
      </c>
      <c r="L29" s="29">
        <f>D29*I29/100+K29</f>
        <v>1621758092.684356</v>
      </c>
      <c r="M29" s="33">
        <f t="shared" si="0"/>
        <v>6.1552642261365725E-2</v>
      </c>
      <c r="N29" s="13">
        <f t="shared" ref="N29:N35" si="7">D29*E29%/360</f>
        <v>675277.77777777787</v>
      </c>
      <c r="O29" s="12">
        <f t="shared" si="2"/>
        <v>16206666.66666667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26.09.25'!$C$5:$F$162,4,0)</f>
        <v>82.957599999999999</v>
      </c>
      <c r="J30" s="32">
        <f>VLOOKUP(B30,'KASE за 26.09.25'!$C$5:$G$162,5,0)</f>
        <v>90.090900000000005</v>
      </c>
      <c r="K30" s="63">
        <v>35666666.666666418</v>
      </c>
      <c r="L30" s="29">
        <f t="shared" si="4"/>
        <v>450454666.66666639</v>
      </c>
      <c r="M30" s="33">
        <f t="shared" si="0"/>
        <v>1.7096677412845519E-2</v>
      </c>
      <c r="N30" s="13">
        <f t="shared" si="7"/>
        <v>166666.66666666666</v>
      </c>
      <c r="O30" s="12">
        <f t="shared" si="2"/>
        <v>35833333.333333082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26.09.25'!$C$5:$F$162,4,0)</f>
        <v>84.760099999999994</v>
      </c>
      <c r="J31" s="32">
        <f>VLOOKUP(B31,'KASE за 26.09.25'!$C$5:$G$162,5,0)</f>
        <v>91.3934</v>
      </c>
      <c r="K31" s="63">
        <v>19900000</v>
      </c>
      <c r="L31" s="29">
        <f t="shared" ref="L31:L46" si="9">D31*I31/100+K31</f>
        <v>274180300</v>
      </c>
      <c r="M31" s="33">
        <f t="shared" si="0"/>
        <v>1.0406312752279647E-2</v>
      </c>
      <c r="N31" s="13">
        <f t="shared" si="7"/>
        <v>100000</v>
      </c>
      <c r="O31" s="12">
        <f t="shared" si="2"/>
        <v>20000000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26.09.25'!$C$5:$F$162,4,0)</f>
        <v>84.760099999999994</v>
      </c>
      <c r="J32" s="32">
        <f>VLOOKUP(B32,'KASE за 26.09.25'!$C$5:$G$162,5,0)</f>
        <v>91.3934</v>
      </c>
      <c r="K32" s="63">
        <v>19142407</v>
      </c>
      <c r="L32" s="29">
        <f t="shared" si="9"/>
        <v>263742255.97899997</v>
      </c>
      <c r="M32" s="33">
        <f t="shared" si="0"/>
        <v>1.0010144425800361E-2</v>
      </c>
      <c r="N32" s="13">
        <f t="shared" si="7"/>
        <v>96193</v>
      </c>
      <c r="O32" s="12">
        <f t="shared" si="2"/>
        <v>19238600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26.09.25'!$C$4:$G$963,4,0)</f>
        <v>98.24530980047092</v>
      </c>
      <c r="J33" s="32">
        <f>VLOOKUP(B33,'Риск цены за 26.09.25'!$C$4:$G$963,5,0)</f>
        <v>102.79810980047093</v>
      </c>
      <c r="K33" s="63">
        <v>13658500</v>
      </c>
      <c r="L33" s="29">
        <f t="shared" si="9"/>
        <v>308394429.40141279</v>
      </c>
      <c r="M33" s="33">
        <f t="shared" si="0"/>
        <v>1.1704885009652144E-2</v>
      </c>
      <c r="N33" s="13">
        <f t="shared" si="7"/>
        <v>115750</v>
      </c>
      <c r="O33" s="12">
        <f t="shared" si="2"/>
        <v>13774250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26.09.25'!$C$5:$F$162,4,0)</f>
        <v>70.518600000000006</v>
      </c>
      <c r="J34" s="32">
        <f>VLOOKUP(B34,'KASE за 26.09.25'!$C$5:$G$162,5,0)</f>
        <v>73.706999999999994</v>
      </c>
      <c r="K34" s="63">
        <v>223191.11111111174</v>
      </c>
      <c r="L34" s="29">
        <f t="shared" si="9"/>
        <v>5159493.1111111129</v>
      </c>
      <c r="M34" s="33">
        <f t="shared" si="0"/>
        <v>1.9582478740250329E-4</v>
      </c>
      <c r="N34" s="13">
        <f t="shared" si="7"/>
        <v>1641.1111111111109</v>
      </c>
      <c r="O34" s="12">
        <f t="shared" si="2"/>
        <v>224832.22222222286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26.09.25'!$C$5:$F$162,4,0)</f>
        <v>88.711100000000002</v>
      </c>
      <c r="J35" s="32">
        <f>VLOOKUP(B35,'KASE за 26.09.25'!$C$5:$G$162,5,0)</f>
        <v>93.65</v>
      </c>
      <c r="K35" s="63">
        <v>493888.88888888771</v>
      </c>
      <c r="L35" s="29">
        <f t="shared" si="9"/>
        <v>9364998.8888888881</v>
      </c>
      <c r="M35" s="33">
        <f t="shared" si="0"/>
        <v>3.5544168331032235E-4</v>
      </c>
      <c r="N35" s="13">
        <f t="shared" si="7"/>
        <v>3888.8888888888896</v>
      </c>
      <c r="O35" s="12">
        <f t="shared" si="2"/>
        <v>497777.77777777659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26.09.25'!$C$5:$F$170,4,0)</f>
        <v>60.215800000000002</v>
      </c>
      <c r="J36" s="32">
        <f>VLOOKUP(B36,'KASE за 26.09.25'!$C$5:$G$170,5,0)</f>
        <v>65.653300000000002</v>
      </c>
      <c r="K36" s="63">
        <v>16312500</v>
      </c>
      <c r="L36" s="29">
        <f t="shared" si="9"/>
        <v>196959900</v>
      </c>
      <c r="M36" s="33">
        <f t="shared" si="0"/>
        <v>7.4754689489278563E-3</v>
      </c>
      <c r="N36" s="13">
        <f t="shared" ref="N36:N60" si="10">D36*E36%/360</f>
        <v>72500</v>
      </c>
      <c r="O36" s="12">
        <f t="shared" si="2"/>
        <v>16385000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26.09.25'!$C$5:$F$170,4,0)</f>
        <v>60.215800000000002</v>
      </c>
      <c r="J37" s="32">
        <f>VLOOKUP(B37,'KASE за 26.09.25'!$C$5:$G$170,5,0)</f>
        <v>65.653300000000002</v>
      </c>
      <c r="K37" s="63">
        <v>10874999.999999663</v>
      </c>
      <c r="L37" s="29">
        <f t="shared" si="9"/>
        <v>131306599.99999966</v>
      </c>
      <c r="M37" s="33">
        <f t="shared" si="0"/>
        <v>4.9836459659518915E-3</v>
      </c>
      <c r="N37" s="13">
        <f t="shared" si="10"/>
        <v>48333.333333333336</v>
      </c>
      <c r="O37" s="12">
        <f t="shared" si="2"/>
        <v>10923333.333332997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26.09.25'!$C$5:$F$162,4,0)</f>
        <v>81.991399999999999</v>
      </c>
      <c r="J38" s="32">
        <f>VLOOKUP(B38,'KASE за 26.09.25'!$C$5:$G$162,5,0)</f>
        <v>89.080299999999994</v>
      </c>
      <c r="K38" s="63">
        <v>18643777.777778</v>
      </c>
      <c r="L38" s="29">
        <f t="shared" si="9"/>
        <v>234281159.777778</v>
      </c>
      <c r="M38" s="33">
        <f t="shared" si="0"/>
        <v>8.8919700671943134E-3</v>
      </c>
      <c r="N38" s="13">
        <f t="shared" si="10"/>
        <v>80361.111111111109</v>
      </c>
      <c r="O38" s="12">
        <f t="shared" si="2"/>
        <v>18724138.888889112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26.09.25'!$C$5:$F$162,4,0)</f>
        <v>94.892799999999994</v>
      </c>
      <c r="J39" s="32">
        <f>VLOOKUP(B39,'KASE за 26.09.25'!$C$5:$G$162,5,0)</f>
        <v>103.52030000000001</v>
      </c>
      <c r="K39" s="63">
        <v>29419775</v>
      </c>
      <c r="L39" s="29">
        <f t="shared" si="9"/>
        <v>353004222.99999994</v>
      </c>
      <c r="M39" s="33">
        <f t="shared" si="0"/>
        <v>1.3398017098287033E-2</v>
      </c>
      <c r="N39" s="13">
        <f t="shared" si="10"/>
        <v>144925</v>
      </c>
      <c r="O39" s="12">
        <f t="shared" si="2"/>
        <v>29564700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26.09.25'!$C$5:$F$162,4,0)</f>
        <v>84.483099999999993</v>
      </c>
      <c r="J40" s="32">
        <f>VLOOKUP(B40,'KASE за 26.09.25'!$C$5:$G$162,5,0)</f>
        <v>94.051500000000004</v>
      </c>
      <c r="K40" s="63">
        <v>7915664.0558333723</v>
      </c>
      <c r="L40" s="29">
        <f t="shared" si="9"/>
        <v>77805998.192833364</v>
      </c>
      <c r="M40" s="33">
        <f t="shared" si="0"/>
        <v>2.9530697544569362E-3</v>
      </c>
      <c r="N40" s="13">
        <f t="shared" si="10"/>
        <v>24059.769166666669</v>
      </c>
      <c r="O40" s="12">
        <f t="shared" si="2"/>
        <v>7939723.8250000393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26.09.25'!$C$5:$F$162,4,0)</f>
        <v>74.543300000000002</v>
      </c>
      <c r="J41" s="32">
        <f>VLOOKUP(B41,'KASE за 26.09.25'!$C$5:$G$162,5,0)</f>
        <v>75.460599999999999</v>
      </c>
      <c r="K41" s="105">
        <v>2086933.3333333321</v>
      </c>
      <c r="L41" s="29">
        <f t="shared" si="9"/>
        <v>171672940.83333334</v>
      </c>
      <c r="M41" s="33">
        <f t="shared" si="0"/>
        <v>6.515720908523575E-3</v>
      </c>
      <c r="N41" s="13">
        <f t="shared" si="10"/>
        <v>48533.333333333336</v>
      </c>
      <c r="O41" s="12">
        <f t="shared" si="2"/>
        <v>2135466.6666666656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26.09.25'!$C$5:$F$162,4,0)</f>
        <v>76.539699999999996</v>
      </c>
      <c r="J42" s="32">
        <f>VLOOKUP(B42,'KASE за 26.09.25'!$C$5:$G$162,5,0)</f>
        <v>82.275599999999997</v>
      </c>
      <c r="K42" s="63">
        <v>28679444.444433153</v>
      </c>
      <c r="L42" s="29">
        <f t="shared" si="9"/>
        <v>411377944.44443315</v>
      </c>
      <c r="M42" s="33">
        <f t="shared" si="0"/>
        <v>1.5613549001436987E-2</v>
      </c>
      <c r="N42" s="13">
        <f t="shared" si="10"/>
        <v>100277.77777777778</v>
      </c>
      <c r="O42" s="12">
        <f t="shared" ref="O42:O60" si="11">K42+N42</f>
        <v>28779722.222210929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26.09.25'!$C$5:$F$162,4,0)</f>
        <v>94.892799999999994</v>
      </c>
      <c r="J43" s="32">
        <f>VLOOKUP(B43,'KASE за 26.09.25'!$C$5:$G$162,5,0)</f>
        <v>103.52030000000001</v>
      </c>
      <c r="K43" s="63">
        <v>22345225</v>
      </c>
      <c r="L43" s="29">
        <f t="shared" si="9"/>
        <v>268117577</v>
      </c>
      <c r="M43" s="33">
        <f t="shared" si="0"/>
        <v>1.0176206535062586E-2</v>
      </c>
      <c r="N43" s="13">
        <f t="shared" si="10"/>
        <v>110075</v>
      </c>
      <c r="O43" s="12">
        <f t="shared" si="11"/>
        <v>22455300</v>
      </c>
      <c r="Q43" s="8"/>
      <c r="R43" s="12"/>
    </row>
    <row r="44" spans="1:19" x14ac:dyDescent="0.25">
      <c r="A44" s="27" t="s">
        <v>391</v>
      </c>
      <c r="B44" s="28" t="s">
        <v>2119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26.09.25'!$C$4:$G$963,4,0)</f>
        <v>99.443595289682634</v>
      </c>
      <c r="J44" s="32">
        <f>VLOOKUP(B44,'Риск цены за 26.09.25'!$C$4:$G$963,5,0)</f>
        <v>107.14419528968263</v>
      </c>
      <c r="K44" s="63">
        <v>15401111.11111114</v>
      </c>
      <c r="L44" s="29">
        <f t="shared" si="9"/>
        <v>214288301.69047642</v>
      </c>
      <c r="M44" s="33">
        <f t="shared" si="0"/>
        <v>8.1331557611759604E-3</v>
      </c>
      <c r="N44" s="13">
        <f t="shared" si="10"/>
        <v>92777.777777777766</v>
      </c>
      <c r="O44" s="12">
        <f t="shared" si="11"/>
        <v>15493888.888888918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26.09.25'!$C$5:$F$162,4,0)</f>
        <v>80.109399999999994</v>
      </c>
      <c r="J45" s="83">
        <f>VLOOKUP(B45,'KASE за 26.09.25'!$C$5:$G$162,5,0)</f>
        <v>85.070800000000006</v>
      </c>
      <c r="K45" s="101">
        <v>24806944.444444612</v>
      </c>
      <c r="L45" s="29">
        <f t="shared" si="9"/>
        <v>425353944.4444446</v>
      </c>
      <c r="M45" s="84">
        <f t="shared" si="0"/>
        <v>1.6143997859454792E-2</v>
      </c>
      <c r="N45" s="13">
        <f t="shared" si="10"/>
        <v>73611.111111111109</v>
      </c>
      <c r="O45" s="12">
        <f t="shared" si="11"/>
        <v>24880555.555555724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26.09.25'!$C$5:$F$162,4,0)</f>
        <v>81.991399999999999</v>
      </c>
      <c r="J46" s="83">
        <f>VLOOKUP(B46,'KASE за 26.09.25'!$C$5:$G$162,5,0)</f>
        <v>89.080299999999994</v>
      </c>
      <c r="K46" s="101">
        <v>52245111.111111358</v>
      </c>
      <c r="L46" s="73">
        <f t="shared" si="9"/>
        <v>656521729.1111114</v>
      </c>
      <c r="M46" s="84">
        <f t="shared" si="0"/>
        <v>2.4917802051415232E-2</v>
      </c>
      <c r="N46" s="13">
        <f t="shared" si="10"/>
        <v>225194.44444444444</v>
      </c>
      <c r="O46" s="12">
        <f t="shared" si="11"/>
        <v>52470305.555555806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26.09.25'!$C$5:$F$162,4,0)</f>
        <v>77.2102</v>
      </c>
      <c r="J47" s="83">
        <f>VLOOKUP(B47,'KASE за 26.09.25'!$C$5:$G$162,5,0)</f>
        <v>82.617699999999999</v>
      </c>
      <c r="K47" s="63">
        <v>324450.00000000017</v>
      </c>
      <c r="L47" s="73">
        <f t="shared" ref="L47:L60" si="12">D47*I47/100+K47</f>
        <v>4957062</v>
      </c>
      <c r="M47" s="84">
        <f t="shared" si="0"/>
        <v>1.8814166263747198E-4</v>
      </c>
      <c r="N47" s="13">
        <f t="shared" si="10"/>
        <v>1716.6666666666667</v>
      </c>
      <c r="O47" s="12">
        <f t="shared" si="11"/>
        <v>326166.66666666686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26.09.25'!$C$5:$F$162,4,0)</f>
        <v>77.2102</v>
      </c>
      <c r="J48" s="83">
        <f>VLOOKUP(B48,'KASE за 26.09.25'!$C$5:$G$162,5,0)</f>
        <v>82.617699999999999</v>
      </c>
      <c r="K48" s="101">
        <v>324450.00000000017</v>
      </c>
      <c r="L48" s="73">
        <f t="shared" si="12"/>
        <v>4957062</v>
      </c>
      <c r="M48" s="84">
        <f t="shared" si="0"/>
        <v>1.8814166263747198E-4</v>
      </c>
      <c r="N48" s="13">
        <f t="shared" si="10"/>
        <v>1716.6666666666667</v>
      </c>
      <c r="O48" s="12">
        <f t="shared" si="11"/>
        <v>326166.66666666686</v>
      </c>
      <c r="Q48" s="8"/>
      <c r="R48" s="12"/>
    </row>
    <row r="49" spans="1:18" x14ac:dyDescent="0.25">
      <c r="A49" s="55" t="s">
        <v>29</v>
      </c>
      <c r="B49" s="56" t="s">
        <v>2142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33291666.66666675</v>
      </c>
      <c r="L49" s="73">
        <f t="shared" si="12"/>
        <v>533291666.66666675</v>
      </c>
      <c r="M49" s="84">
        <f t="shared" si="0"/>
        <v>2.0240695161241714E-2</v>
      </c>
      <c r="N49" s="13">
        <f t="shared" si="10"/>
        <v>236111.11111111112</v>
      </c>
      <c r="O49" s="12">
        <f t="shared" si="11"/>
        <v>33527777.777777862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26.09.25'!$C$5:$F$165,4,0)</f>
        <v>70.518600000000006</v>
      </c>
      <c r="J50" s="83">
        <f>VLOOKUP(B50,'KASE за 26.09.25'!$C$5:$G$165,5,0)</f>
        <v>73.706999999999994</v>
      </c>
      <c r="K50" s="103">
        <v>15942222.222222202</v>
      </c>
      <c r="L50" s="73">
        <f t="shared" si="12"/>
        <v>368535222.22222221</v>
      </c>
      <c r="M50" s="84">
        <f t="shared" ref="M50:M61" si="13">L50/$L$62</f>
        <v>1.3987484814464515E-2</v>
      </c>
      <c r="N50" s="13">
        <f>D50*E50%/360</f>
        <v>117222.2222222222</v>
      </c>
      <c r="O50" s="12">
        <f>K50+N50</f>
        <v>16059444.444444424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26.09.25'!$C$5:$F$165,4,0)</f>
        <v>74.543300000000002</v>
      </c>
      <c r="J51" s="83">
        <f>VLOOKUP(B51,'KASE за 26.09.25'!$C$5:$G$165,5,0)</f>
        <v>75.460599999999999</v>
      </c>
      <c r="K51" s="106">
        <v>4586666.6666666651</v>
      </c>
      <c r="L51" s="73">
        <f t="shared" si="12"/>
        <v>377303166.66666669</v>
      </c>
      <c r="M51" s="84">
        <f t="shared" si="13"/>
        <v>1.4320265733018846E-2</v>
      </c>
      <c r="N51" s="13">
        <f t="shared" si="10"/>
        <v>106666.66666666667</v>
      </c>
      <c r="O51" s="12">
        <f t="shared" si="11"/>
        <v>4693333.3333333321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26.09.25'!$C$5:$F$165,4,0)</f>
        <v>75.783000000000001</v>
      </c>
      <c r="J52" s="83">
        <f>VLOOKUP(B52,'KASE за 26.09.25'!$C$5:$G$165,5,0)</f>
        <v>77.977400000000003</v>
      </c>
      <c r="K52" s="103">
        <v>10972222.222222183</v>
      </c>
      <c r="L52" s="73">
        <f t="shared" si="12"/>
        <v>389887222.22222221</v>
      </c>
      <c r="M52" s="84">
        <f t="shared" si="13"/>
        <v>1.4797884357709143E-2</v>
      </c>
      <c r="N52" s="13">
        <f t="shared" si="10"/>
        <v>69444.444444444438</v>
      </c>
      <c r="O52" s="12">
        <f t="shared" si="11"/>
        <v>11041666.666666627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26.09.25'!$C$5:$F$165,4,0)</f>
        <v>82.290199999999999</v>
      </c>
      <c r="J53" s="83">
        <f>VLOOKUP(B53,'KASE за 26.09.25'!$C$5:$G$165,5,0)</f>
        <v>83.989900000000006</v>
      </c>
      <c r="K53" s="103">
        <v>3399444.4444444408</v>
      </c>
      <c r="L53" s="73">
        <f t="shared" si="12"/>
        <v>167979844.44444445</v>
      </c>
      <c r="M53" s="84">
        <f t="shared" si="13"/>
        <v>6.3755521361971443E-3</v>
      </c>
      <c r="N53" s="13">
        <f t="shared" si="10"/>
        <v>58611.111111111124</v>
      </c>
      <c r="O53" s="12">
        <f t="shared" si="11"/>
        <v>3458055.5555555518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26.09.25'!$C$5:$F$165,4,0)</f>
        <v>84.760099999999994</v>
      </c>
      <c r="J54" s="83">
        <f>VLOOKUP(B54,'KASE за 26.09.25'!$C$5:$G$165,5,0)</f>
        <v>91.3934</v>
      </c>
      <c r="K54" s="103">
        <v>33166666.66666678</v>
      </c>
      <c r="L54" s="73">
        <f>D54*I54/100+K54</f>
        <v>456967166.66666681</v>
      </c>
      <c r="M54" s="84">
        <f t="shared" si="13"/>
        <v>1.7343854587132751E-2</v>
      </c>
      <c r="N54" s="13">
        <f t="shared" si="10"/>
        <v>166666.66666666666</v>
      </c>
      <c r="O54" s="12">
        <f t="shared" si="11"/>
        <v>33333333.333333448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26.09.25'!$C$5:$F$165,4,0)</f>
        <v>84.760099999999994</v>
      </c>
      <c r="J55" s="83">
        <f>VLOOKUP(B55,'KASE за 26.09.25'!$C$5:$G$165,5,0)</f>
        <v>91.3934</v>
      </c>
      <c r="K55" s="103">
        <v>33166666.66666678</v>
      </c>
      <c r="L55" s="73">
        <f t="shared" si="12"/>
        <v>456967166.66666681</v>
      </c>
      <c r="M55" s="84">
        <f t="shared" si="13"/>
        <v>1.7343854587132751E-2</v>
      </c>
      <c r="N55" s="13">
        <f t="shared" si="10"/>
        <v>166666.66666666666</v>
      </c>
      <c r="O55" s="12">
        <f t="shared" si="11"/>
        <v>33333333.333333448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26.09.25'!$C$5:$F$165,4,0)</f>
        <v>84.760099999999994</v>
      </c>
      <c r="J56" s="32">
        <f>VLOOKUP(B56,'KASE за 26.09.25'!$C$5:$G$165,5,0)</f>
        <v>91.3934</v>
      </c>
      <c r="K56" s="102">
        <v>27290926.33333325</v>
      </c>
      <c r="L56" s="73">
        <f t="shared" si="12"/>
        <v>376011777.35433322</v>
      </c>
      <c r="M56" s="84">
        <f t="shared" si="13"/>
        <v>1.427125199618548E-2</v>
      </c>
      <c r="N56" s="13">
        <f t="shared" si="10"/>
        <v>137140.33333333334</v>
      </c>
      <c r="O56" s="12">
        <f t="shared" si="11"/>
        <v>27428066.666666582</v>
      </c>
      <c r="Q56" s="3"/>
      <c r="R56" s="12"/>
    </row>
    <row r="57" spans="1:18" x14ac:dyDescent="0.25">
      <c r="A57" s="55" t="s">
        <v>400</v>
      </c>
      <c r="B57" s="56" t="s">
        <v>2225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26.09.25'!$C$5:$F$170,4,0)</f>
        <v>89.851399999999998</v>
      </c>
      <c r="J57" s="32">
        <f>VLOOKUP(B57,'KASE за 26.09.25'!$C$5:$G$170,5,0)</f>
        <v>94.306799999999996</v>
      </c>
      <c r="K57" s="102">
        <v>10191275.529166657</v>
      </c>
      <c r="L57" s="73">
        <f>D57*I57/100+K57</f>
        <v>215716469.37516665</v>
      </c>
      <c r="M57" s="84">
        <f t="shared" si="13"/>
        <v>8.1873608210930506E-3</v>
      </c>
      <c r="N57" s="13">
        <f t="shared" si="10"/>
        <v>91813.29305555555</v>
      </c>
      <c r="O57" s="12">
        <f t="shared" si="11"/>
        <v>10283088.822222212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26.09.25'!$C$5:$F$170,4,0)</f>
        <v>70.518600000000006</v>
      </c>
      <c r="J58" s="83">
        <f>VLOOKUP(B58,'KASE за 26.09.25'!$C$5:$G$170,5,0)</f>
        <v>73.706999999999994</v>
      </c>
      <c r="K58" s="103">
        <v>15942222.222222209</v>
      </c>
      <c r="L58" s="73">
        <f t="shared" si="12"/>
        <v>368535222.22222221</v>
      </c>
      <c r="M58" s="84">
        <f t="shared" si="13"/>
        <v>1.3987484814464515E-2</v>
      </c>
      <c r="N58" s="13">
        <f t="shared" si="10"/>
        <v>117222.2222222222</v>
      </c>
      <c r="O58" s="12">
        <f t="shared" si="11"/>
        <v>16059444.444444431</v>
      </c>
      <c r="Q58" s="3"/>
      <c r="R58" s="12"/>
    </row>
    <row r="59" spans="1:18" x14ac:dyDescent="0.25">
      <c r="A59" s="82" t="s">
        <v>400</v>
      </c>
      <c r="B59" s="81" t="s">
        <v>2225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26.09.25'!$C$5:$F$170,4,0)</f>
        <v>89.851399999999998</v>
      </c>
      <c r="J59" s="83">
        <f>VLOOKUP(B59,'KASE за 26.09.25'!$C$5:$G$170,5,0)</f>
        <v>94.306799999999996</v>
      </c>
      <c r="K59" s="103">
        <v>22277083.333333317</v>
      </c>
      <c r="L59" s="73">
        <f t="shared" si="12"/>
        <v>471534083.33333331</v>
      </c>
      <c r="M59" s="84">
        <f t="shared" si="13"/>
        <v>1.7896731255039697E-2</v>
      </c>
      <c r="N59" s="13">
        <f t="shared" si="10"/>
        <v>200694.44444444444</v>
      </c>
      <c r="O59" s="12">
        <f t="shared" si="11"/>
        <v>22477777.777777761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26.09.25'!$C$5:$F$171,4,0)</f>
        <v>55.998199999999997</v>
      </c>
      <c r="J60" s="83">
        <f>VLOOKUP(B60,'KASE за 26.09.25'!$C$5:$G$171,5,0)</f>
        <v>57.4131</v>
      </c>
      <c r="K60" s="103">
        <v>238276.75972222196</v>
      </c>
      <c r="L60" s="73">
        <f t="shared" si="12"/>
        <v>9668933.6217222214</v>
      </c>
      <c r="M60" s="84">
        <f t="shared" si="13"/>
        <v>3.6697730379853477E-4</v>
      </c>
      <c r="N60" s="13">
        <f t="shared" si="10"/>
        <v>3906.1763888888881</v>
      </c>
      <c r="O60" s="12">
        <f t="shared" si="11"/>
        <v>242182.93611111084</v>
      </c>
      <c r="Q60" s="3"/>
      <c r="R60" s="12"/>
    </row>
    <row r="61" spans="1:18" ht="15.75" thickBot="1" x14ac:dyDescent="0.3">
      <c r="A61" s="82" t="s">
        <v>822</v>
      </c>
      <c r="B61" s="81" t="s">
        <v>2405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26.09.25'!$C$4:$G$963,4,0)</f>
        <v>97.200814882519452</v>
      </c>
      <c r="J61" s="32">
        <f>VLOOKUP(B61,'Риск цены за 26.09.25'!$C$4:$G$963,5,0)</f>
        <v>98.707214882519452</v>
      </c>
      <c r="K61" s="103">
        <v>7531944.4444444403</v>
      </c>
      <c r="L61" s="73">
        <f>D61*I61/100+K61</f>
        <v>493536018.85704172</v>
      </c>
      <c r="M61" s="84">
        <f t="shared" si="13"/>
        <v>1.8731798625726801E-2</v>
      </c>
      <c r="N61" s="13">
        <f t="shared" ref="N61" si="15">D61*E61%/360</f>
        <v>259722.22222222222</v>
      </c>
      <c r="O61" s="12">
        <f t="shared" ref="O61" si="16">K61+N61</f>
        <v>7791666.6666666623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1280685181.55721</v>
      </c>
      <c r="L62" s="107">
        <f>SUM(L6:L61)</f>
        <v>26347497574.483044</v>
      </c>
      <c r="M62" s="104">
        <f>SUM(M6:M61)</f>
        <v>1.0000000000000004</v>
      </c>
      <c r="N62" s="13">
        <v>26347497574.483059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1029874.69</v>
      </c>
      <c r="C65" s="8">
        <v>1029874.69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192</v>
      </c>
      <c r="C69" s="57">
        <v>21200</v>
      </c>
      <c r="D69" s="58" t="s">
        <v>240</v>
      </c>
      <c r="E69" s="46">
        <v>45925</v>
      </c>
      <c r="F69" s="46">
        <v>45926</v>
      </c>
      <c r="G69" s="59">
        <v>754.71900000000005</v>
      </c>
      <c r="H69" s="59">
        <v>755.053971226415</v>
      </c>
      <c r="I69" s="57">
        <v>16000042.800000001</v>
      </c>
      <c r="J69" s="57">
        <v>16007144.189999999</v>
      </c>
      <c r="K69" s="60">
        <v>16.200002602493001</v>
      </c>
      <c r="L69" s="18">
        <f t="shared" ref="L69:L89" si="17">IF(($B$1-E69)=0,0,(J69-I69)/(F69-E69)*($B$1-E69))</f>
        <v>7101.3899999987334</v>
      </c>
      <c r="M69" s="18">
        <f t="shared" ref="M69:M89" si="18">IF((F69=$B$1),0,(I69+L69))</f>
        <v>0</v>
      </c>
      <c r="N69" s="16"/>
    </row>
    <row r="70" spans="1:17" s="17" customFormat="1" ht="15" customHeight="1" x14ac:dyDescent="0.25">
      <c r="A70" s="55" t="s">
        <v>25</v>
      </c>
      <c r="B70" s="56" t="s">
        <v>404</v>
      </c>
      <c r="C70" s="57">
        <v>71820</v>
      </c>
      <c r="D70" s="58" t="s">
        <v>240</v>
      </c>
      <c r="E70" s="46">
        <v>45925</v>
      </c>
      <c r="F70" s="46">
        <v>45926</v>
      </c>
      <c r="G70" s="59">
        <v>1058.6099999999999</v>
      </c>
      <c r="H70" s="59">
        <v>1059.07984878864</v>
      </c>
      <c r="I70" s="57">
        <v>76029370.200000003</v>
      </c>
      <c r="J70" s="57">
        <v>76063114.739999995</v>
      </c>
      <c r="K70" s="60">
        <v>16.199998852548699</v>
      </c>
      <c r="L70" s="18">
        <f t="shared" si="17"/>
        <v>33744.539999991655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202</v>
      </c>
      <c r="C71" s="57">
        <v>98904</v>
      </c>
      <c r="D71" s="58" t="s">
        <v>240</v>
      </c>
      <c r="E71" s="46">
        <v>45925</v>
      </c>
      <c r="F71" s="46">
        <v>45926</v>
      </c>
      <c r="G71" s="59">
        <v>789.122000020222</v>
      </c>
      <c r="H71" s="59">
        <v>789.47224045539099</v>
      </c>
      <c r="I71" s="57">
        <v>78047322.290000007</v>
      </c>
      <c r="J71" s="57">
        <v>78081962.469999999</v>
      </c>
      <c r="K71" s="60">
        <v>16.1999993452946</v>
      </c>
      <c r="L71" s="18">
        <f t="shared" si="17"/>
        <v>34640.179999992251</v>
      </c>
      <c r="M71" s="18">
        <f t="shared" si="18"/>
        <v>0</v>
      </c>
      <c r="N71" s="16"/>
    </row>
    <row r="72" spans="1:17" s="17" customFormat="1" ht="15" customHeight="1" x14ac:dyDescent="0.25">
      <c r="A72" s="55" t="s">
        <v>400</v>
      </c>
      <c r="B72" s="56" t="s">
        <v>200</v>
      </c>
      <c r="C72" s="57">
        <v>125460</v>
      </c>
      <c r="D72" s="58" t="s">
        <v>240</v>
      </c>
      <c r="E72" s="46">
        <v>45925</v>
      </c>
      <c r="F72" s="46">
        <v>45926</v>
      </c>
      <c r="G72" s="59">
        <v>717.49</v>
      </c>
      <c r="H72" s="59">
        <v>717.80844763271205</v>
      </c>
      <c r="I72" s="57">
        <v>90016295.400000006</v>
      </c>
      <c r="J72" s="57">
        <v>90056247.840000004</v>
      </c>
      <c r="K72" s="60">
        <v>16.200000827850101</v>
      </c>
      <c r="L72" s="18">
        <f t="shared" si="17"/>
        <v>39952.439999997616</v>
      </c>
      <c r="M72" s="18">
        <f t="shared" si="18"/>
        <v>0</v>
      </c>
      <c r="N72" s="16"/>
    </row>
    <row r="73" spans="1:17" s="17" customFormat="1" ht="15" customHeight="1" x14ac:dyDescent="0.25">
      <c r="A73" s="55" t="s">
        <v>2608</v>
      </c>
      <c r="B73" s="56" t="s">
        <v>44</v>
      </c>
      <c r="C73" s="57">
        <v>169372</v>
      </c>
      <c r="D73" s="58" t="s">
        <v>240</v>
      </c>
      <c r="E73" s="46">
        <v>45925</v>
      </c>
      <c r="F73" s="46">
        <v>45926</v>
      </c>
      <c r="G73" s="59">
        <v>543.37750000000005</v>
      </c>
      <c r="H73" s="59">
        <v>543.61867026427001</v>
      </c>
      <c r="I73" s="57">
        <v>92032933.930000007</v>
      </c>
      <c r="J73" s="57">
        <v>92073781.420000002</v>
      </c>
      <c r="K73" s="60">
        <v>16.199998428106198</v>
      </c>
      <c r="L73" s="18">
        <f t="shared" si="17"/>
        <v>40847.489999994636</v>
      </c>
      <c r="M73" s="18">
        <f t="shared" si="18"/>
        <v>0</v>
      </c>
      <c r="N73" s="16"/>
    </row>
    <row r="74" spans="1:17" s="17" customFormat="1" ht="15" customHeight="1" x14ac:dyDescent="0.25">
      <c r="A74" s="55" t="s">
        <v>400</v>
      </c>
      <c r="B74" s="56" t="s">
        <v>210</v>
      </c>
      <c r="C74" s="57">
        <v>158789</v>
      </c>
      <c r="D74" s="58" t="s">
        <v>240</v>
      </c>
      <c r="E74" s="46">
        <v>45925</v>
      </c>
      <c r="F74" s="46">
        <v>45926</v>
      </c>
      <c r="G74" s="59">
        <v>611.01500003148794</v>
      </c>
      <c r="H74" s="59">
        <v>611.28619022728299</v>
      </c>
      <c r="I74" s="57">
        <v>97022460.840000004</v>
      </c>
      <c r="J74" s="57">
        <v>97065522.859999999</v>
      </c>
      <c r="K74" s="60">
        <v>16.199998602303001</v>
      </c>
      <c r="L74" s="18">
        <f t="shared" si="17"/>
        <v>43062.019999995828</v>
      </c>
      <c r="M74" s="18">
        <f t="shared" si="18"/>
        <v>0</v>
      </c>
      <c r="N74" s="16"/>
    </row>
    <row r="75" spans="1:17" s="17" customFormat="1" ht="15" customHeight="1" x14ac:dyDescent="0.25">
      <c r="A75" s="55" t="s">
        <v>25</v>
      </c>
      <c r="B75" s="56" t="s">
        <v>273</v>
      </c>
      <c r="C75" s="57">
        <v>92708</v>
      </c>
      <c r="D75" s="58" t="s">
        <v>240</v>
      </c>
      <c r="E75" s="46">
        <v>45925</v>
      </c>
      <c r="F75" s="46">
        <v>45926</v>
      </c>
      <c r="G75" s="59">
        <v>1057.53200004315</v>
      </c>
      <c r="H75" s="59">
        <v>1058.0013704318901</v>
      </c>
      <c r="I75" s="57">
        <v>98041676.659999996</v>
      </c>
      <c r="J75" s="57">
        <v>98085191.049999997</v>
      </c>
      <c r="K75" s="60">
        <v>16.2000007456829</v>
      </c>
      <c r="L75" s="18">
        <f t="shared" si="17"/>
        <v>43514.390000000596</v>
      </c>
      <c r="M75" s="18">
        <f t="shared" si="18"/>
        <v>0</v>
      </c>
      <c r="N75" s="16"/>
    </row>
    <row r="76" spans="1:17" s="17" customFormat="1" ht="15" customHeight="1" x14ac:dyDescent="0.25">
      <c r="A76" s="55" t="s">
        <v>25</v>
      </c>
      <c r="B76" s="56" t="s">
        <v>396</v>
      </c>
      <c r="C76" s="57">
        <v>116494</v>
      </c>
      <c r="D76" s="58" t="s">
        <v>240</v>
      </c>
      <c r="E76" s="46">
        <v>45925</v>
      </c>
      <c r="F76" s="46">
        <v>45926</v>
      </c>
      <c r="G76" s="59">
        <v>910.60400003433699</v>
      </c>
      <c r="H76" s="59">
        <v>911.00815853177005</v>
      </c>
      <c r="I76" s="57">
        <v>106079902.38</v>
      </c>
      <c r="J76" s="57">
        <v>106126984.42</v>
      </c>
      <c r="K76" s="60">
        <v>16.200000390686601</v>
      </c>
      <c r="L76" s="18">
        <f t="shared" si="17"/>
        <v>47082.040000006557</v>
      </c>
      <c r="M76" s="18">
        <f t="shared" si="18"/>
        <v>0</v>
      </c>
      <c r="N76" s="16"/>
    </row>
    <row r="77" spans="1:17" s="17" customFormat="1" ht="15" customHeight="1" x14ac:dyDescent="0.25">
      <c r="A77" s="55" t="s">
        <v>400</v>
      </c>
      <c r="B77" s="56" t="s">
        <v>198</v>
      </c>
      <c r="C77" s="57">
        <v>198650</v>
      </c>
      <c r="D77" s="58" t="s">
        <v>240</v>
      </c>
      <c r="E77" s="46">
        <v>45925</v>
      </c>
      <c r="F77" s="46">
        <v>45926</v>
      </c>
      <c r="G77" s="59">
        <v>689.99599999999998</v>
      </c>
      <c r="H77" s="59">
        <v>690.302244802416</v>
      </c>
      <c r="I77" s="57">
        <v>137067705.40000001</v>
      </c>
      <c r="J77" s="57">
        <v>137128540.93000001</v>
      </c>
      <c r="K77" s="60">
        <v>16.200000127820001</v>
      </c>
      <c r="L77" s="18">
        <f t="shared" si="17"/>
        <v>60835.530000001192</v>
      </c>
      <c r="M77" s="18">
        <f t="shared" si="18"/>
        <v>0</v>
      </c>
      <c r="N77" s="16"/>
    </row>
    <row r="78" spans="1:17" s="17" customFormat="1" ht="15" customHeight="1" x14ac:dyDescent="0.25">
      <c r="A78" s="55" t="s">
        <v>25</v>
      </c>
      <c r="B78" s="56" t="s">
        <v>269</v>
      </c>
      <c r="C78" s="57">
        <v>153753</v>
      </c>
      <c r="D78" s="58" t="s">
        <v>240</v>
      </c>
      <c r="E78" s="46">
        <v>45925</v>
      </c>
      <c r="F78" s="46">
        <v>45926</v>
      </c>
      <c r="G78" s="59">
        <v>1034.1790000195101</v>
      </c>
      <c r="H78" s="59">
        <v>1034.6380055023301</v>
      </c>
      <c r="I78" s="57">
        <v>159008123.78999999</v>
      </c>
      <c r="J78" s="57">
        <v>159078697.25999999</v>
      </c>
      <c r="K78" s="60">
        <v>16.200000311946301</v>
      </c>
      <c r="L78" s="18">
        <f t="shared" si="17"/>
        <v>70573.469999998808</v>
      </c>
      <c r="M78" s="18">
        <f t="shared" si="18"/>
        <v>0</v>
      </c>
      <c r="N78" s="16"/>
    </row>
    <row r="79" spans="1:17" s="17" customFormat="1" ht="15" customHeight="1" x14ac:dyDescent="0.25">
      <c r="A79" s="55" t="s">
        <v>25</v>
      </c>
      <c r="B79" s="56" t="s">
        <v>282</v>
      </c>
      <c r="C79" s="57">
        <v>180864</v>
      </c>
      <c r="D79" s="58" t="s">
        <v>240</v>
      </c>
      <c r="E79" s="46">
        <v>45925</v>
      </c>
      <c r="F79" s="46">
        <v>45926</v>
      </c>
      <c r="G79" s="59">
        <v>1062.34200001106</v>
      </c>
      <c r="H79" s="59">
        <v>1062.8135052304499</v>
      </c>
      <c r="I79" s="57">
        <v>192139423.49000001</v>
      </c>
      <c r="J79" s="57">
        <v>192224701.81</v>
      </c>
      <c r="K79" s="60">
        <v>16.200000101291</v>
      </c>
      <c r="L79" s="18">
        <f t="shared" si="17"/>
        <v>85278.319999992847</v>
      </c>
      <c r="M79" s="18">
        <f t="shared" si="18"/>
        <v>0</v>
      </c>
      <c r="N79" s="16"/>
    </row>
    <row r="80" spans="1:17" s="17" customFormat="1" ht="15" customHeight="1" x14ac:dyDescent="0.25">
      <c r="A80" s="55" t="s">
        <v>25</v>
      </c>
      <c r="B80" s="56" t="s">
        <v>421</v>
      </c>
      <c r="C80" s="57">
        <v>271512</v>
      </c>
      <c r="D80" s="58" t="s">
        <v>240</v>
      </c>
      <c r="E80" s="46">
        <v>45925</v>
      </c>
      <c r="F80" s="46">
        <v>45926</v>
      </c>
      <c r="G80" s="59">
        <v>796.14800001473202</v>
      </c>
      <c r="H80" s="59">
        <v>796.50135883496898</v>
      </c>
      <c r="I80" s="57">
        <v>216163735.78</v>
      </c>
      <c r="J80" s="57">
        <v>216259676.94</v>
      </c>
      <c r="K80" s="60">
        <v>16.199999168981801</v>
      </c>
      <c r="L80" s="18">
        <f t="shared" si="17"/>
        <v>95941.159999996424</v>
      </c>
      <c r="M80" s="18">
        <f t="shared" si="18"/>
        <v>0</v>
      </c>
      <c r="N80" s="16"/>
    </row>
    <row r="81" spans="1:15" s="17" customFormat="1" ht="15" customHeight="1" x14ac:dyDescent="0.25">
      <c r="A81" s="55" t="s">
        <v>400</v>
      </c>
      <c r="B81" s="56" t="s">
        <v>2048</v>
      </c>
      <c r="C81" s="57">
        <v>50500</v>
      </c>
      <c r="D81" s="58" t="s">
        <v>240</v>
      </c>
      <c r="E81" s="46">
        <v>45925</v>
      </c>
      <c r="F81" s="46">
        <v>45926</v>
      </c>
      <c r="G81" s="59">
        <v>990.93600000000004</v>
      </c>
      <c r="H81" s="59">
        <v>991.37581267326698</v>
      </c>
      <c r="I81" s="57">
        <v>50042268</v>
      </c>
      <c r="J81" s="57">
        <v>50064478.539999999</v>
      </c>
      <c r="K81" s="60">
        <v>16.199999368533799</v>
      </c>
      <c r="L81" s="18">
        <f t="shared" si="17"/>
        <v>22210.539999999106</v>
      </c>
      <c r="M81" s="18">
        <f t="shared" si="18"/>
        <v>0</v>
      </c>
      <c r="N81" s="16"/>
    </row>
    <row r="82" spans="1:15" s="17" customFormat="1" ht="15" customHeight="1" x14ac:dyDescent="0.25">
      <c r="A82" s="55" t="s">
        <v>25</v>
      </c>
      <c r="B82" s="56" t="s">
        <v>279</v>
      </c>
      <c r="C82" s="57">
        <v>7744</v>
      </c>
      <c r="D82" s="58" t="s">
        <v>240</v>
      </c>
      <c r="E82" s="46">
        <v>45925</v>
      </c>
      <c r="F82" s="46">
        <v>45926</v>
      </c>
      <c r="G82" s="59">
        <v>1033.81200025826</v>
      </c>
      <c r="H82" s="59">
        <v>1034.27084323347</v>
      </c>
      <c r="I82" s="57">
        <v>8005840.1299999999</v>
      </c>
      <c r="J82" s="57">
        <v>8009393.4100000001</v>
      </c>
      <c r="K82" s="60">
        <v>16.200013726729299</v>
      </c>
      <c r="L82" s="18">
        <f t="shared" si="17"/>
        <v>3553.2800000002608</v>
      </c>
      <c r="M82" s="18">
        <f t="shared" si="18"/>
        <v>0</v>
      </c>
      <c r="N82" s="16"/>
    </row>
    <row r="83" spans="1:15" s="17" customFormat="1" ht="15" customHeight="1" x14ac:dyDescent="0.25">
      <c r="A83" s="55" t="s">
        <v>400</v>
      </c>
      <c r="B83" s="56" t="s">
        <v>181</v>
      </c>
      <c r="C83" s="57">
        <v>1543168</v>
      </c>
      <c r="D83" s="58" t="s">
        <v>240</v>
      </c>
      <c r="E83" s="46">
        <v>45926</v>
      </c>
      <c r="F83" s="46">
        <v>45929</v>
      </c>
      <c r="G83" s="59">
        <v>912.58100000129605</v>
      </c>
      <c r="H83" s="59">
        <v>913.78110652242697</v>
      </c>
      <c r="I83" s="57">
        <v>1408265796.6099999</v>
      </c>
      <c r="J83" s="57">
        <v>1410117762.5899999</v>
      </c>
      <c r="K83" s="60">
        <v>16.000000007744699</v>
      </c>
      <c r="L83" s="18">
        <f t="shared" si="17"/>
        <v>0</v>
      </c>
      <c r="M83" s="18">
        <f t="shared" si="18"/>
        <v>1408265796.6099999</v>
      </c>
      <c r="N83" s="16"/>
    </row>
    <row r="84" spans="1:15" s="17" customFormat="1" ht="15" customHeight="1" x14ac:dyDescent="0.25">
      <c r="A84" s="55" t="s">
        <v>400</v>
      </c>
      <c r="B84" s="56" t="s">
        <v>206</v>
      </c>
      <c r="C84" s="57">
        <v>1283</v>
      </c>
      <c r="D84" s="58" t="s">
        <v>240</v>
      </c>
      <c r="E84" s="46">
        <v>45926</v>
      </c>
      <c r="F84" s="46">
        <v>45929</v>
      </c>
      <c r="G84" s="59">
        <v>779.77399844115303</v>
      </c>
      <c r="H84" s="59">
        <v>780.79945440374104</v>
      </c>
      <c r="I84" s="57">
        <v>1000450.04</v>
      </c>
      <c r="J84" s="57">
        <v>1001765.7</v>
      </c>
      <c r="K84" s="60">
        <v>15.999996028453999</v>
      </c>
      <c r="L84" s="18">
        <f t="shared" si="17"/>
        <v>0</v>
      </c>
      <c r="M84" s="18">
        <f t="shared" si="18"/>
        <v>1000450.04</v>
      </c>
      <c r="N84" s="16"/>
    </row>
    <row r="85" spans="1:15" s="17" customFormat="1" ht="15" customHeight="1" x14ac:dyDescent="0.25">
      <c r="A85" s="55" t="s">
        <v>400</v>
      </c>
      <c r="B85" s="56" t="s">
        <v>210</v>
      </c>
      <c r="C85" s="57">
        <v>1633</v>
      </c>
      <c r="D85" s="58" t="s">
        <v>240</v>
      </c>
      <c r="E85" s="46">
        <v>45926</v>
      </c>
      <c r="F85" s="46">
        <v>45929</v>
      </c>
      <c r="G85" s="59">
        <v>612.71699938763004</v>
      </c>
      <c r="H85" s="59">
        <v>613.52276178811996</v>
      </c>
      <c r="I85" s="57">
        <v>1000566.86</v>
      </c>
      <c r="J85" s="57">
        <v>1001882.67</v>
      </c>
      <c r="K85" s="60">
        <v>15.999951933913399</v>
      </c>
      <c r="L85" s="18">
        <f t="shared" si="17"/>
        <v>0</v>
      </c>
      <c r="M85" s="18">
        <f t="shared" si="18"/>
        <v>1000566.86</v>
      </c>
      <c r="N85" s="16"/>
    </row>
    <row r="86" spans="1:15" s="17" customFormat="1" ht="15" customHeight="1" x14ac:dyDescent="0.25">
      <c r="A86" s="55" t="s">
        <v>25</v>
      </c>
      <c r="B86" s="56" t="s">
        <v>421</v>
      </c>
      <c r="C86" s="57">
        <v>1257</v>
      </c>
      <c r="D86" s="58" t="s">
        <v>240</v>
      </c>
      <c r="E86" s="46">
        <v>45926</v>
      </c>
      <c r="F86" s="46">
        <v>45929</v>
      </c>
      <c r="G86" s="59">
        <v>795.99400159108995</v>
      </c>
      <c r="H86" s="59">
        <v>797.04078758949902</v>
      </c>
      <c r="I86" s="57">
        <v>1000564.46</v>
      </c>
      <c r="J86" s="57">
        <v>1001880.27</v>
      </c>
      <c r="K86" s="60">
        <v>15.9999903121351</v>
      </c>
      <c r="L86" s="18">
        <f t="shared" si="17"/>
        <v>0</v>
      </c>
      <c r="M86" s="18">
        <f t="shared" si="18"/>
        <v>1000564.46</v>
      </c>
      <c r="N86" s="16"/>
    </row>
    <row r="87" spans="1:15" s="17" customFormat="1" ht="15" customHeight="1" x14ac:dyDescent="0.25">
      <c r="A87" s="55" t="s">
        <v>25</v>
      </c>
      <c r="B87" s="56" t="s">
        <v>404</v>
      </c>
      <c r="C87" s="57">
        <v>945</v>
      </c>
      <c r="D87" s="58" t="s">
        <v>240</v>
      </c>
      <c r="E87" s="46">
        <v>45926</v>
      </c>
      <c r="F87" s="46">
        <v>45929</v>
      </c>
      <c r="G87" s="59">
        <v>1058.58</v>
      </c>
      <c r="H87" s="59">
        <v>1059.9721058201101</v>
      </c>
      <c r="I87" s="57">
        <v>1000358.1</v>
      </c>
      <c r="J87" s="57">
        <v>1001673.64</v>
      </c>
      <c r="K87" s="60">
        <v>16.000007064137002</v>
      </c>
      <c r="L87" s="18">
        <f t="shared" si="17"/>
        <v>0</v>
      </c>
      <c r="M87" s="18">
        <f t="shared" si="18"/>
        <v>1000358.1</v>
      </c>
      <c r="N87" s="16"/>
    </row>
    <row r="88" spans="1:15" s="17" customFormat="1" ht="15" customHeight="1" x14ac:dyDescent="0.25">
      <c r="A88" s="55" t="s">
        <v>400</v>
      </c>
      <c r="B88" s="56" t="s">
        <v>149</v>
      </c>
      <c r="C88" s="57">
        <v>2246</v>
      </c>
      <c r="D88" s="58" t="s">
        <v>240</v>
      </c>
      <c r="E88" s="46">
        <v>45926</v>
      </c>
      <c r="F88" s="46">
        <v>45929</v>
      </c>
      <c r="G88" s="59">
        <v>890.80300089047205</v>
      </c>
      <c r="H88" s="59">
        <v>891.97446571682997</v>
      </c>
      <c r="I88" s="57">
        <v>2000743.54</v>
      </c>
      <c r="J88" s="57">
        <v>2003374.65</v>
      </c>
      <c r="K88" s="60">
        <v>15.999970857500999</v>
      </c>
      <c r="L88" s="18">
        <f t="shared" si="17"/>
        <v>0</v>
      </c>
      <c r="M88" s="18">
        <f t="shared" si="18"/>
        <v>2000743.54</v>
      </c>
      <c r="N88" s="16"/>
    </row>
    <row r="89" spans="1:15" s="17" customFormat="1" ht="15" customHeight="1" x14ac:dyDescent="0.25">
      <c r="A89" s="55" t="s">
        <v>25</v>
      </c>
      <c r="B89" s="56" t="s">
        <v>396</v>
      </c>
      <c r="C89" s="57">
        <v>2198</v>
      </c>
      <c r="D89" s="58" t="s">
        <v>240</v>
      </c>
      <c r="E89" s="46">
        <v>45926</v>
      </c>
      <c r="F89" s="46">
        <v>45929</v>
      </c>
      <c r="G89" s="59">
        <v>910.47500000000002</v>
      </c>
      <c r="H89" s="59">
        <v>911.67233848953595</v>
      </c>
      <c r="I89" s="57">
        <v>2001224.05</v>
      </c>
      <c r="J89" s="57">
        <v>2003855.8</v>
      </c>
      <c r="K89" s="60">
        <v>16.000020087705799</v>
      </c>
      <c r="L89" s="18">
        <f t="shared" si="17"/>
        <v>0</v>
      </c>
      <c r="M89" s="18">
        <f t="shared" si="18"/>
        <v>2001224.05</v>
      </c>
      <c r="N89" s="16"/>
    </row>
    <row r="90" spans="1:15" s="17" customFormat="1" ht="12" customHeight="1" thickBot="1" x14ac:dyDescent="0.3">
      <c r="A90" s="55"/>
      <c r="B90" s="56"/>
      <c r="C90" s="57"/>
      <c r="D90" s="58"/>
      <c r="E90" s="46"/>
      <c r="F90" s="46"/>
      <c r="G90" s="59"/>
      <c r="H90" s="59"/>
      <c r="I90" s="57"/>
      <c r="J90" s="57"/>
      <c r="K90" s="60"/>
      <c r="L90" s="18"/>
      <c r="M90" s="18"/>
      <c r="N90" s="16"/>
    </row>
    <row r="91" spans="1:15" ht="15.75" thickBot="1" x14ac:dyDescent="0.3">
      <c r="A91" s="80" t="s">
        <v>14</v>
      </c>
      <c r="B91" s="69"/>
      <c r="C91" s="68">
        <f>SUM(C69:C89)</f>
        <v>3270500</v>
      </c>
      <c r="D91" s="79"/>
      <c r="E91" s="78"/>
      <c r="F91" s="79"/>
      <c r="G91" s="77"/>
      <c r="H91" s="79"/>
      <c r="I91" s="68">
        <f>SUM(I69:I89)</f>
        <v>2831966804.75</v>
      </c>
      <c r="J91" s="68">
        <f>SUM(J69:J89)</f>
        <v>2834457633.1999998</v>
      </c>
      <c r="K91" s="76"/>
      <c r="L91" s="68">
        <f>SUM(L69:L89)</f>
        <v>628336.78999996651</v>
      </c>
      <c r="M91" s="68">
        <f>SUM(M69:M89)</f>
        <v>1416269703.6599996</v>
      </c>
      <c r="N91" s="128">
        <v>1416269703.6599996</v>
      </c>
      <c r="O91" s="8">
        <f>M91-N91</f>
        <v>0</v>
      </c>
    </row>
    <row r="92" spans="1:15" x14ac:dyDescent="0.25">
      <c r="A92" s="7"/>
      <c r="B92" s="47"/>
      <c r="C92" s="48"/>
      <c r="D92" s="49"/>
      <c r="E92" s="50"/>
      <c r="F92" s="51"/>
      <c r="G92" s="51"/>
      <c r="H92" s="52"/>
      <c r="I92" s="52"/>
      <c r="J92" s="49"/>
      <c r="K92" s="49"/>
      <c r="L92" s="53"/>
      <c r="M92" s="54"/>
      <c r="N92" s="54"/>
    </row>
    <row r="94" spans="1:15" ht="15.75" thickBot="1" x14ac:dyDescent="0.3">
      <c r="A94" s="5" t="s">
        <v>381</v>
      </c>
      <c r="L94" s="10"/>
      <c r="M94" s="11"/>
    </row>
    <row r="95" spans="1:15" ht="22.5" x14ac:dyDescent="0.25">
      <c r="A95" s="98" t="s">
        <v>16</v>
      </c>
      <c r="B95" s="98" t="s">
        <v>251</v>
      </c>
      <c r="C95" s="98" t="s">
        <v>245</v>
      </c>
      <c r="D95" s="98" t="s">
        <v>252</v>
      </c>
      <c r="E95" s="98" t="s">
        <v>244</v>
      </c>
      <c r="F95" s="98" t="s">
        <v>253</v>
      </c>
      <c r="G95" s="98" t="s">
        <v>254</v>
      </c>
      <c r="L95" s="10"/>
      <c r="M95" s="11"/>
    </row>
    <row r="96" spans="1:15" x14ac:dyDescent="0.25">
      <c r="A96" s="28"/>
      <c r="B96" s="28"/>
      <c r="C96" s="97"/>
      <c r="D96" s="31"/>
      <c r="E96" s="29"/>
      <c r="F96" s="29"/>
      <c r="G96" s="29"/>
      <c r="L96" s="10"/>
      <c r="M96" s="11"/>
    </row>
    <row r="97" spans="1:14" ht="15.75" x14ac:dyDescent="0.25">
      <c r="A97" s="9" t="s">
        <v>14</v>
      </c>
      <c r="B97" s="99"/>
      <c r="C97" s="99"/>
      <c r="D97" s="99"/>
      <c r="E97" s="99"/>
      <c r="F97" s="99"/>
      <c r="G97" s="100">
        <f>SUM(G96:G96)</f>
        <v>0</v>
      </c>
      <c r="L97" s="10"/>
      <c r="M97" s="11"/>
    </row>
    <row r="98" spans="1:14" ht="15.75" thickBot="1" x14ac:dyDescent="0.3">
      <c r="L98" s="10"/>
      <c r="M98" s="11"/>
    </row>
    <row r="99" spans="1:14" ht="15.75" thickBot="1" x14ac:dyDescent="0.3">
      <c r="A99" s="34" t="s">
        <v>255</v>
      </c>
      <c r="B99" s="35">
        <f>L62+B65+M91+G97</f>
        <v>27764797152.833042</v>
      </c>
      <c r="C99" s="128">
        <v>27764797152.833057</v>
      </c>
      <c r="D99" s="3">
        <f>B99-C99</f>
        <v>0</v>
      </c>
      <c r="L99" s="10"/>
      <c r="M99" s="10"/>
    </row>
    <row r="100" spans="1:14" x14ac:dyDescent="0.25">
      <c r="B100" s="38"/>
      <c r="C100" s="110"/>
      <c r="L100" s="10"/>
    </row>
    <row r="101" spans="1:14" x14ac:dyDescent="0.25">
      <c r="B101" s="38"/>
      <c r="G101" s="8"/>
    </row>
    <row r="102" spans="1:14" ht="15.75" x14ac:dyDescent="0.25">
      <c r="A102" s="19"/>
      <c r="B102" s="94"/>
    </row>
    <row r="103" spans="1:14" x14ac:dyDescent="0.25">
      <c r="A103" s="6" t="s">
        <v>379</v>
      </c>
      <c r="L103" s="13"/>
      <c r="N103"/>
    </row>
    <row r="104" spans="1:14" ht="15.75" x14ac:dyDescent="0.25">
      <c r="A104" s="20" t="s">
        <v>256</v>
      </c>
      <c r="B104" s="21">
        <f>4004726.44-4004726.44</f>
        <v>0</v>
      </c>
      <c r="K104" s="13"/>
      <c r="N104"/>
    </row>
    <row r="105" spans="1:14" ht="15.75" x14ac:dyDescent="0.25">
      <c r="A105" s="20" t="s">
        <v>257</v>
      </c>
      <c r="B105" s="22"/>
      <c r="K105" s="13"/>
      <c r="N105"/>
    </row>
    <row r="106" spans="1:14" ht="15.75" x14ac:dyDescent="0.25">
      <c r="A106" s="20" t="s">
        <v>258</v>
      </c>
      <c r="B106" s="23">
        <f>2000+2000+12000+2000+2000+2000+2000+3000+12000+3000+2000+5000+3000+3000+4000+2000+2000+2000+5000+4000+3000+343830.79+2000+2000+2000+2000+2000+2000+4000+3000+8000+2000+2000+2000+2000+2000+17000+2000+2000-420830.79+14000+7000</f>
        <v>79000</v>
      </c>
      <c r="C106" s="8"/>
      <c r="F106" s="8"/>
      <c r="K106" s="13"/>
      <c r="N106"/>
    </row>
    <row r="107" spans="1:14" ht="15.75" x14ac:dyDescent="0.25">
      <c r="A107" s="20" t="s">
        <v>259</v>
      </c>
      <c r="B107" s="22"/>
      <c r="K107" s="13"/>
      <c r="N107"/>
    </row>
    <row r="108" spans="1:14" ht="15.75" x14ac:dyDescent="0.25">
      <c r="A108" s="24" t="s">
        <v>382</v>
      </c>
      <c r="B108" s="21">
        <f>365028.49+27951.61</f>
        <v>392980.1</v>
      </c>
      <c r="C108" s="8"/>
      <c r="D108" s="8"/>
      <c r="K108" s="13"/>
      <c r="N108"/>
    </row>
    <row r="109" spans="1:14" ht="15.75" x14ac:dyDescent="0.25">
      <c r="A109" s="20" t="s">
        <v>260</v>
      </c>
      <c r="B109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+2171.93+2150.01+2150.85+2166.16+6573.12</f>
        <v>143970.65</v>
      </c>
      <c r="K109" s="13"/>
      <c r="N109"/>
    </row>
    <row r="110" spans="1:14" ht="15.75" x14ac:dyDescent="0.25">
      <c r="A110" s="20" t="s">
        <v>261</v>
      </c>
      <c r="B110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+1060.9+1061.35+1061.76+1061.76+3186.6</f>
        <v>26908.240000000013</v>
      </c>
      <c r="K110" s="13"/>
      <c r="N110"/>
    </row>
    <row r="111" spans="1:14" ht="15.75" x14ac:dyDescent="0.25">
      <c r="A111" s="20" t="s">
        <v>262</v>
      </c>
      <c r="B111" s="22"/>
      <c r="K111" s="13"/>
      <c r="N111"/>
    </row>
    <row r="112" spans="1:14" ht="17.25" customHeight="1" x14ac:dyDescent="0.25">
      <c r="A112" s="24" t="s">
        <v>263</v>
      </c>
      <c r="B112" s="22"/>
      <c r="K112" s="13"/>
      <c r="N112"/>
    </row>
    <row r="113" spans="1:14" ht="15.75" x14ac:dyDescent="0.25">
      <c r="A113" s="24" t="s">
        <v>264</v>
      </c>
      <c r="B113" s="22"/>
      <c r="K113" s="13"/>
      <c r="N113"/>
    </row>
    <row r="114" spans="1:14" ht="15.75" x14ac:dyDescent="0.25">
      <c r="A114" s="26" t="s">
        <v>380</v>
      </c>
      <c r="B114" s="25">
        <f>SUM(B104:B113)</f>
        <v>642858.99</v>
      </c>
      <c r="L114" s="13"/>
      <c r="N114"/>
    </row>
    <row r="115" spans="1:14" x14ac:dyDescent="0.25">
      <c r="L115" s="13"/>
      <c r="N115"/>
    </row>
  </sheetData>
  <autoFilter ref="A68:T68" xr:uid="{00000000-0009-0000-0000-000000000000}"/>
  <conditionalFormatting sqref="F69:F9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3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45926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2088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2252</v>
      </c>
      <c r="C5" s="62" t="s">
        <v>21</v>
      </c>
      <c r="D5" s="62" t="s">
        <v>19</v>
      </c>
      <c r="E5" s="62" t="s">
        <v>2319</v>
      </c>
      <c r="F5" s="62">
        <v>803.22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2284</v>
      </c>
      <c r="C6" s="62" t="s">
        <v>525</v>
      </c>
      <c r="D6" s="62" t="s">
        <v>2320</v>
      </c>
      <c r="E6" s="62" t="s">
        <v>2319</v>
      </c>
      <c r="F6" s="62">
        <v>5.9</v>
      </c>
      <c r="G6" s="62" t="s">
        <v>343</v>
      </c>
      <c r="H6" s="62" t="s">
        <v>343</v>
      </c>
      <c r="I6" s="62" t="s">
        <v>343</v>
      </c>
      <c r="J6" s="62" t="s">
        <v>1991</v>
      </c>
    </row>
    <row r="7" spans="1:10" ht="15" x14ac:dyDescent="0.25">
      <c r="A7" s="40">
        <v>3</v>
      </c>
      <c r="B7" s="62" t="s">
        <v>2285</v>
      </c>
      <c r="C7" s="62" t="s">
        <v>24</v>
      </c>
      <c r="D7" s="62" t="s">
        <v>19</v>
      </c>
      <c r="E7" s="62" t="s">
        <v>2321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2514</v>
      </c>
      <c r="C8" s="62" t="s">
        <v>435</v>
      </c>
      <c r="D8" s="62" t="s">
        <v>2322</v>
      </c>
      <c r="E8" s="62" t="s">
        <v>2515</v>
      </c>
      <c r="F8" s="62">
        <v>100.024</v>
      </c>
      <c r="G8" s="62">
        <v>100.024</v>
      </c>
      <c r="H8" s="62" t="s">
        <v>2516</v>
      </c>
      <c r="I8" s="62" t="s">
        <v>2615</v>
      </c>
      <c r="J8" s="62" t="s">
        <v>271</v>
      </c>
    </row>
    <row r="9" spans="1:10" ht="15" x14ac:dyDescent="0.25">
      <c r="A9" s="40">
        <v>5</v>
      </c>
      <c r="B9" s="62" t="s">
        <v>2517</v>
      </c>
      <c r="C9" s="62" t="s">
        <v>738</v>
      </c>
      <c r="D9" s="62" t="s">
        <v>2323</v>
      </c>
      <c r="E9" s="62" t="s">
        <v>2324</v>
      </c>
      <c r="F9" s="62">
        <v>132.91</v>
      </c>
      <c r="G9" s="62" t="s">
        <v>343</v>
      </c>
      <c r="H9" s="62" t="s">
        <v>343</v>
      </c>
      <c r="I9" s="62" t="s">
        <v>343</v>
      </c>
      <c r="J9" s="62" t="s">
        <v>1991</v>
      </c>
    </row>
    <row r="10" spans="1:10" ht="15" x14ac:dyDescent="0.25">
      <c r="A10" s="40">
        <v>6</v>
      </c>
      <c r="B10" s="62" t="s">
        <v>2518</v>
      </c>
      <c r="C10" s="62" t="s">
        <v>27</v>
      </c>
      <c r="D10" s="62" t="s">
        <v>2323</v>
      </c>
      <c r="E10" s="62" t="s">
        <v>2324</v>
      </c>
      <c r="F10" s="115">
        <v>1485.32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2533</v>
      </c>
      <c r="C11" s="62" t="s">
        <v>2210</v>
      </c>
      <c r="D11" s="62" t="s">
        <v>2322</v>
      </c>
      <c r="E11" s="62" t="s">
        <v>2223</v>
      </c>
      <c r="F11" s="62">
        <v>100.3203</v>
      </c>
      <c r="G11" s="62">
        <v>106.65779999999999</v>
      </c>
      <c r="H11" s="62" t="s">
        <v>2519</v>
      </c>
      <c r="I11" s="62" t="s">
        <v>2616</v>
      </c>
      <c r="J11" s="62" t="s">
        <v>271</v>
      </c>
    </row>
    <row r="12" spans="1:10" ht="15" x14ac:dyDescent="0.25">
      <c r="A12" s="40">
        <v>8</v>
      </c>
      <c r="B12" s="62" t="s">
        <v>2534</v>
      </c>
      <c r="C12" s="62" t="s">
        <v>31</v>
      </c>
      <c r="D12" s="62" t="s">
        <v>2322</v>
      </c>
      <c r="E12" s="62" t="s">
        <v>2325</v>
      </c>
      <c r="F12" s="62">
        <v>100.3258</v>
      </c>
      <c r="G12" s="62">
        <v>100.3758</v>
      </c>
      <c r="H12" s="62" t="s">
        <v>2617</v>
      </c>
      <c r="I12" s="62" t="s">
        <v>2618</v>
      </c>
      <c r="J12" s="62" t="s">
        <v>271</v>
      </c>
    </row>
    <row r="13" spans="1:10" ht="15.75" customHeight="1" x14ac:dyDescent="0.25">
      <c r="A13" s="40">
        <v>9</v>
      </c>
      <c r="B13" s="62" t="s">
        <v>2535</v>
      </c>
      <c r="C13" s="62" t="s">
        <v>2189</v>
      </c>
      <c r="D13" s="62" t="s">
        <v>2322</v>
      </c>
      <c r="E13" s="62" t="s">
        <v>2326</v>
      </c>
      <c r="F13" s="62">
        <v>101.8587</v>
      </c>
      <c r="G13" s="62">
        <v>103.9479</v>
      </c>
      <c r="H13" s="62" t="s">
        <v>2619</v>
      </c>
      <c r="I13" s="62" t="s">
        <v>2620</v>
      </c>
      <c r="J13" s="62" t="s">
        <v>271</v>
      </c>
    </row>
    <row r="14" spans="1:10" ht="15.75" customHeight="1" x14ac:dyDescent="0.25">
      <c r="A14" s="40">
        <v>10</v>
      </c>
      <c r="B14" s="62" t="s">
        <v>2536</v>
      </c>
      <c r="C14" s="62" t="s">
        <v>33</v>
      </c>
      <c r="D14" s="62" t="s">
        <v>19</v>
      </c>
      <c r="E14" s="62" t="s">
        <v>2327</v>
      </c>
      <c r="F14" s="115">
        <v>5162.57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2537</v>
      </c>
      <c r="C15" s="62" t="s">
        <v>36</v>
      </c>
      <c r="D15" s="62" t="s">
        <v>19</v>
      </c>
      <c r="E15" s="62" t="s">
        <v>2327</v>
      </c>
      <c r="F15" s="115">
        <v>9829.2999999999993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2538</v>
      </c>
      <c r="C16" s="62" t="s">
        <v>38</v>
      </c>
      <c r="D16" s="62" t="s">
        <v>2323</v>
      </c>
      <c r="E16" s="62" t="s">
        <v>237</v>
      </c>
      <c r="F16" s="115">
        <v>6029780.9900000002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2539</v>
      </c>
      <c r="C17" s="62" t="s">
        <v>41</v>
      </c>
      <c r="D17" s="62" t="s">
        <v>2323</v>
      </c>
      <c r="E17" s="62" t="s">
        <v>237</v>
      </c>
      <c r="F17" s="115">
        <v>1776002.28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2540</v>
      </c>
      <c r="C18" s="62" t="s">
        <v>44</v>
      </c>
      <c r="D18" s="62" t="s">
        <v>2328</v>
      </c>
      <c r="E18" s="62" t="s">
        <v>42</v>
      </c>
      <c r="F18" s="62">
        <v>99.867199999999997</v>
      </c>
      <c r="G18" s="62">
        <v>99.962500000000006</v>
      </c>
      <c r="H18" s="62" t="s">
        <v>2541</v>
      </c>
      <c r="I18" s="62" t="s">
        <v>2621</v>
      </c>
      <c r="J18" s="62" t="s">
        <v>271</v>
      </c>
    </row>
    <row r="19" spans="1:10" ht="15" x14ac:dyDescent="0.25">
      <c r="A19" s="40">
        <v>15</v>
      </c>
      <c r="B19" s="62" t="s">
        <v>2542</v>
      </c>
      <c r="C19" s="62" t="s">
        <v>2034</v>
      </c>
      <c r="D19" s="62" t="s">
        <v>2328</v>
      </c>
      <c r="E19" s="62" t="s">
        <v>42</v>
      </c>
      <c r="F19" s="62">
        <v>100</v>
      </c>
      <c r="G19" s="62">
        <v>101.4247</v>
      </c>
      <c r="H19" s="62" t="s">
        <v>2503</v>
      </c>
      <c r="I19" s="62" t="s">
        <v>2622</v>
      </c>
      <c r="J19" s="62" t="s">
        <v>271</v>
      </c>
    </row>
    <row r="20" spans="1:10" ht="15" x14ac:dyDescent="0.25">
      <c r="A20" s="40">
        <v>16</v>
      </c>
      <c r="B20" s="62" t="s">
        <v>2543</v>
      </c>
      <c r="C20" s="62" t="s">
        <v>2085</v>
      </c>
      <c r="D20" s="62" t="s">
        <v>2328</v>
      </c>
      <c r="E20" s="62" t="s">
        <v>42</v>
      </c>
      <c r="F20" s="62">
        <v>100</v>
      </c>
      <c r="G20" s="62">
        <v>108.774</v>
      </c>
      <c r="H20" s="62" t="s">
        <v>2520</v>
      </c>
      <c r="I20" s="62" t="s">
        <v>2623</v>
      </c>
      <c r="J20" s="62" t="s">
        <v>271</v>
      </c>
    </row>
    <row r="21" spans="1:10" ht="15" x14ac:dyDescent="0.25">
      <c r="A21" s="40">
        <v>17</v>
      </c>
      <c r="B21" s="62" t="s">
        <v>2544</v>
      </c>
      <c r="C21" s="62" t="s">
        <v>49</v>
      </c>
      <c r="D21" s="62" t="s">
        <v>2323</v>
      </c>
      <c r="E21" s="62" t="s">
        <v>2329</v>
      </c>
      <c r="F21" s="62">
        <v>167.64</v>
      </c>
      <c r="G21" s="62" t="s">
        <v>343</v>
      </c>
      <c r="H21" s="62" t="s">
        <v>343</v>
      </c>
      <c r="I21" s="62" t="s">
        <v>343</v>
      </c>
      <c r="J21" s="62" t="s">
        <v>1991</v>
      </c>
    </row>
    <row r="22" spans="1:10" ht="15" x14ac:dyDescent="0.25">
      <c r="A22" s="40">
        <v>18</v>
      </c>
      <c r="B22" s="62" t="s">
        <v>2545</v>
      </c>
      <c r="C22" s="62" t="s">
        <v>46</v>
      </c>
      <c r="D22" s="62" t="s">
        <v>2323</v>
      </c>
      <c r="E22" s="62" t="s">
        <v>2329</v>
      </c>
      <c r="F22" s="115">
        <v>5513.88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2556</v>
      </c>
      <c r="C23" s="62" t="s">
        <v>56</v>
      </c>
      <c r="D23" s="62" t="s">
        <v>2323</v>
      </c>
      <c r="E23" s="62" t="s">
        <v>2330</v>
      </c>
      <c r="F23" s="115">
        <v>53958.36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2557</v>
      </c>
      <c r="C24" s="62" t="s">
        <v>58</v>
      </c>
      <c r="D24" s="62" t="s">
        <v>2323</v>
      </c>
      <c r="E24" s="62" t="s">
        <v>2330</v>
      </c>
      <c r="F24" s="115">
        <v>75542.05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2558</v>
      </c>
      <c r="C25" s="62" t="s">
        <v>60</v>
      </c>
      <c r="D25" s="62" t="s">
        <v>2323</v>
      </c>
      <c r="E25" s="62" t="s">
        <v>2330</v>
      </c>
      <c r="F25" s="115">
        <v>74657.66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2559</v>
      </c>
      <c r="C26" s="62" t="s">
        <v>62</v>
      </c>
      <c r="D26" s="62" t="s">
        <v>2323</v>
      </c>
      <c r="E26" s="62" t="s">
        <v>2330</v>
      </c>
      <c r="F26" s="115">
        <v>594330.92000000004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2560</v>
      </c>
      <c r="C27" s="62" t="s">
        <v>64</v>
      </c>
      <c r="D27" s="62" t="s">
        <v>19</v>
      </c>
      <c r="E27" s="62" t="s">
        <v>2331</v>
      </c>
      <c r="F27" s="62">
        <v>357.09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2561</v>
      </c>
      <c r="C28" s="62" t="s">
        <v>440</v>
      </c>
      <c r="D28" s="62" t="s">
        <v>2322</v>
      </c>
      <c r="E28" s="62" t="s">
        <v>2331</v>
      </c>
      <c r="F28" s="62">
        <v>98.629800000000003</v>
      </c>
      <c r="G28" s="62">
        <v>104.0553</v>
      </c>
      <c r="H28" s="62" t="s">
        <v>2562</v>
      </c>
      <c r="I28" s="62" t="s">
        <v>2624</v>
      </c>
      <c r="J28" s="62" t="s">
        <v>271</v>
      </c>
    </row>
    <row r="29" spans="1:10" ht="15" x14ac:dyDescent="0.25">
      <c r="A29" s="40">
        <v>25</v>
      </c>
      <c r="B29" s="62" t="s">
        <v>2563</v>
      </c>
      <c r="C29" s="62" t="s">
        <v>370</v>
      </c>
      <c r="D29" s="62" t="s">
        <v>2320</v>
      </c>
      <c r="E29" s="62" t="s">
        <v>2331</v>
      </c>
      <c r="F29" s="62">
        <v>25.83</v>
      </c>
      <c r="G29" s="62" t="s">
        <v>343</v>
      </c>
      <c r="H29" s="62" t="s">
        <v>343</v>
      </c>
      <c r="I29" s="62" t="s">
        <v>343</v>
      </c>
      <c r="J29" s="62" t="s">
        <v>1991</v>
      </c>
    </row>
    <row r="30" spans="1:10" ht="15" x14ac:dyDescent="0.25">
      <c r="A30" s="40">
        <v>26</v>
      </c>
      <c r="B30" s="62" t="s">
        <v>2564</v>
      </c>
      <c r="C30" s="62" t="s">
        <v>67</v>
      </c>
      <c r="D30" s="62" t="s">
        <v>19</v>
      </c>
      <c r="E30" s="62" t="s">
        <v>2332</v>
      </c>
      <c r="F30" s="115">
        <v>9490.25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2565</v>
      </c>
      <c r="C31" s="62" t="s">
        <v>80</v>
      </c>
      <c r="D31" s="62" t="s">
        <v>19</v>
      </c>
      <c r="E31" s="62" t="s">
        <v>2333</v>
      </c>
      <c r="F31" s="115">
        <v>3320.81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2566</v>
      </c>
      <c r="C32" s="62" t="s">
        <v>83</v>
      </c>
      <c r="D32" s="62" t="s">
        <v>19</v>
      </c>
      <c r="E32" s="62" t="s">
        <v>2334</v>
      </c>
      <c r="F32" s="115">
        <v>1456.76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2567</v>
      </c>
      <c r="C33" s="62" t="s">
        <v>86</v>
      </c>
      <c r="D33" s="62" t="s">
        <v>19</v>
      </c>
      <c r="E33" s="62" t="s">
        <v>2335</v>
      </c>
      <c r="F33" s="115">
        <v>21762.76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2568</v>
      </c>
      <c r="C34" s="62" t="s">
        <v>89</v>
      </c>
      <c r="D34" s="62" t="s">
        <v>2322</v>
      </c>
      <c r="E34" s="62" t="s">
        <v>2335</v>
      </c>
      <c r="F34" s="62">
        <v>93.892300000000006</v>
      </c>
      <c r="G34" s="62">
        <v>96.399900000000002</v>
      </c>
      <c r="H34" s="62" t="s">
        <v>2625</v>
      </c>
      <c r="I34" s="62" t="s">
        <v>2626</v>
      </c>
      <c r="J34" s="62" t="s">
        <v>271</v>
      </c>
    </row>
    <row r="35" spans="1:10" ht="15" x14ac:dyDescent="0.25">
      <c r="A35" s="40">
        <v>31</v>
      </c>
      <c r="B35" s="62" t="s">
        <v>2569</v>
      </c>
      <c r="C35" s="62" t="s">
        <v>93</v>
      </c>
      <c r="D35" s="62" t="s">
        <v>2322</v>
      </c>
      <c r="E35" s="62" t="s">
        <v>2335</v>
      </c>
      <c r="F35" s="62">
        <v>98.670400000000001</v>
      </c>
      <c r="G35" s="62">
        <v>101.3621</v>
      </c>
      <c r="H35" s="62" t="s">
        <v>2546</v>
      </c>
      <c r="I35" s="62" t="s">
        <v>2627</v>
      </c>
      <c r="J35" s="62" t="s">
        <v>271</v>
      </c>
    </row>
    <row r="36" spans="1:10" ht="15" x14ac:dyDescent="0.25">
      <c r="A36" s="40">
        <v>32</v>
      </c>
      <c r="B36" s="62" t="s">
        <v>2570</v>
      </c>
      <c r="C36" s="62" t="s">
        <v>97</v>
      </c>
      <c r="D36" s="62" t="s">
        <v>19</v>
      </c>
      <c r="E36" s="62" t="s">
        <v>2336</v>
      </c>
      <c r="F36" s="115">
        <v>48342.03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2571</v>
      </c>
      <c r="C37" s="62" t="s">
        <v>100</v>
      </c>
      <c r="D37" s="62" t="s">
        <v>2320</v>
      </c>
      <c r="E37" s="62" t="s">
        <v>2336</v>
      </c>
      <c r="F37" s="62">
        <v>87.84</v>
      </c>
      <c r="G37" s="62" t="s">
        <v>343</v>
      </c>
      <c r="H37" s="62" t="s">
        <v>343</v>
      </c>
      <c r="I37" s="62" t="s">
        <v>343</v>
      </c>
      <c r="J37" s="62" t="s">
        <v>1991</v>
      </c>
    </row>
    <row r="38" spans="1:10" ht="15" x14ac:dyDescent="0.25">
      <c r="A38" s="40">
        <v>34</v>
      </c>
      <c r="B38" s="62" t="s">
        <v>2572</v>
      </c>
      <c r="C38" s="62" t="s">
        <v>102</v>
      </c>
      <c r="D38" s="62" t="s">
        <v>19</v>
      </c>
      <c r="E38" s="62" t="s">
        <v>2337</v>
      </c>
      <c r="F38" s="115">
        <v>27640.73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2573</v>
      </c>
      <c r="C39" s="62" t="s">
        <v>2068</v>
      </c>
      <c r="D39" s="62" t="s">
        <v>2322</v>
      </c>
      <c r="E39" s="62" t="s">
        <v>2338</v>
      </c>
      <c r="F39" s="62">
        <v>106.7407</v>
      </c>
      <c r="G39" s="62">
        <v>107.2907</v>
      </c>
      <c r="H39" s="62" t="s">
        <v>2507</v>
      </c>
      <c r="I39" s="62" t="s">
        <v>2628</v>
      </c>
      <c r="J39" s="62" t="s">
        <v>271</v>
      </c>
    </row>
    <row r="40" spans="1:10" ht="15" x14ac:dyDescent="0.25">
      <c r="A40" s="40">
        <v>36</v>
      </c>
      <c r="B40" s="62" t="s">
        <v>2574</v>
      </c>
      <c r="C40" s="62" t="s">
        <v>104</v>
      </c>
      <c r="D40" s="62" t="s">
        <v>19</v>
      </c>
      <c r="E40" s="62" t="s">
        <v>2339</v>
      </c>
      <c r="F40" s="115">
        <v>39721.870000000003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2575</v>
      </c>
      <c r="C41" s="62" t="s">
        <v>107</v>
      </c>
      <c r="D41" s="62" t="s">
        <v>19</v>
      </c>
      <c r="E41" s="62" t="s">
        <v>2339</v>
      </c>
      <c r="F41" s="115">
        <v>32560.11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2576</v>
      </c>
      <c r="C42" s="62" t="s">
        <v>109</v>
      </c>
      <c r="D42" s="62" t="s">
        <v>19</v>
      </c>
      <c r="E42" s="62" t="s">
        <v>2340</v>
      </c>
      <c r="F42" s="62">
        <v>834.28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2577</v>
      </c>
      <c r="C43" s="62" t="s">
        <v>1263</v>
      </c>
      <c r="D43" s="62" t="s">
        <v>2341</v>
      </c>
      <c r="E43" s="62" t="s">
        <v>2342</v>
      </c>
      <c r="F43" s="62">
        <v>99.875</v>
      </c>
      <c r="G43" s="62">
        <v>102.06180000000001</v>
      </c>
      <c r="H43" s="62" t="s">
        <v>2578</v>
      </c>
      <c r="I43" s="62" t="s">
        <v>2629</v>
      </c>
      <c r="J43" s="62" t="s">
        <v>271</v>
      </c>
    </row>
    <row r="44" spans="1:10" ht="15" x14ac:dyDescent="0.25">
      <c r="A44" s="40">
        <v>40</v>
      </c>
      <c r="B44" s="62" t="s">
        <v>2579</v>
      </c>
      <c r="C44" s="62" t="s">
        <v>1359</v>
      </c>
      <c r="D44" s="62" t="s">
        <v>2322</v>
      </c>
      <c r="E44" s="62" t="s">
        <v>2521</v>
      </c>
      <c r="F44" s="62">
        <v>99.968299999999999</v>
      </c>
      <c r="G44" s="62">
        <v>103.7308</v>
      </c>
      <c r="H44" s="62" t="s">
        <v>2475</v>
      </c>
      <c r="I44" s="62" t="s">
        <v>2630</v>
      </c>
      <c r="J44" s="62" t="s">
        <v>271</v>
      </c>
    </row>
    <row r="45" spans="1:10" ht="15" x14ac:dyDescent="0.25">
      <c r="A45" s="40">
        <v>41</v>
      </c>
      <c r="B45" s="62" t="s">
        <v>2580</v>
      </c>
      <c r="C45" s="62" t="s">
        <v>2254</v>
      </c>
      <c r="D45" s="62" t="s">
        <v>2322</v>
      </c>
      <c r="E45" s="62" t="s">
        <v>2521</v>
      </c>
      <c r="F45" s="62">
        <v>98.550600000000003</v>
      </c>
      <c r="G45" s="62">
        <v>98.550600000000003</v>
      </c>
      <c r="H45" s="62" t="s">
        <v>2631</v>
      </c>
      <c r="I45" s="62" t="s">
        <v>2632</v>
      </c>
      <c r="J45" s="62" t="s">
        <v>271</v>
      </c>
    </row>
    <row r="46" spans="1:10" ht="15" x14ac:dyDescent="0.25">
      <c r="A46" s="40">
        <v>42</v>
      </c>
      <c r="B46" s="62" t="s">
        <v>2581</v>
      </c>
      <c r="C46" s="62" t="s">
        <v>2443</v>
      </c>
      <c r="D46" s="62" t="s">
        <v>2322</v>
      </c>
      <c r="E46" s="62" t="s">
        <v>2487</v>
      </c>
      <c r="F46" s="62">
        <v>99.2166</v>
      </c>
      <c r="G46" s="62">
        <v>100.62220000000001</v>
      </c>
      <c r="H46" s="62" t="s">
        <v>2488</v>
      </c>
      <c r="I46" s="62" t="s">
        <v>2633</v>
      </c>
      <c r="J46" s="62" t="s">
        <v>271</v>
      </c>
    </row>
    <row r="47" spans="1:10" ht="15" x14ac:dyDescent="0.25">
      <c r="A47" s="40">
        <v>43</v>
      </c>
      <c r="B47" s="62" t="s">
        <v>2582</v>
      </c>
      <c r="C47" s="62" t="s">
        <v>425</v>
      </c>
      <c r="D47" s="62" t="s">
        <v>2322</v>
      </c>
      <c r="E47" s="62" t="s">
        <v>2343</v>
      </c>
      <c r="F47" s="62">
        <v>77.004999999999995</v>
      </c>
      <c r="G47" s="62">
        <v>78.471699999999998</v>
      </c>
      <c r="H47" s="62" t="s">
        <v>2634</v>
      </c>
      <c r="I47" s="62" t="s">
        <v>2635</v>
      </c>
      <c r="J47" s="62" t="s">
        <v>271</v>
      </c>
    </row>
    <row r="48" spans="1:10" ht="15" x14ac:dyDescent="0.25">
      <c r="A48" s="40">
        <v>44</v>
      </c>
      <c r="B48" s="62" t="s">
        <v>2583</v>
      </c>
      <c r="C48" s="62" t="s">
        <v>2026</v>
      </c>
      <c r="D48" s="62" t="s">
        <v>2322</v>
      </c>
      <c r="E48" s="62" t="s">
        <v>2343</v>
      </c>
      <c r="F48" s="62">
        <v>100.2647</v>
      </c>
      <c r="G48" s="62">
        <v>100.4314</v>
      </c>
      <c r="H48" s="62" t="s">
        <v>2636</v>
      </c>
      <c r="I48" s="62" t="s">
        <v>2637</v>
      </c>
      <c r="J48" s="62" t="s">
        <v>271</v>
      </c>
    </row>
    <row r="49" spans="1:10" ht="15" x14ac:dyDescent="0.25">
      <c r="A49" s="40">
        <v>45</v>
      </c>
      <c r="B49" s="62" t="s">
        <v>2584</v>
      </c>
      <c r="C49" s="62" t="s">
        <v>2040</v>
      </c>
      <c r="D49" s="62" t="s">
        <v>2322</v>
      </c>
      <c r="E49" s="62" t="s">
        <v>2343</v>
      </c>
      <c r="F49" s="62">
        <v>100.55</v>
      </c>
      <c r="G49" s="62">
        <v>101.5167</v>
      </c>
      <c r="H49" s="62" t="s">
        <v>2638</v>
      </c>
      <c r="I49" s="62" t="s">
        <v>2639</v>
      </c>
      <c r="J49" s="62" t="s">
        <v>271</v>
      </c>
    </row>
    <row r="50" spans="1:10" ht="15" x14ac:dyDescent="0.25">
      <c r="A50" s="40">
        <v>46</v>
      </c>
      <c r="B50" s="62" t="s">
        <v>2585</v>
      </c>
      <c r="C50" s="62" t="s">
        <v>2232</v>
      </c>
      <c r="D50" s="62" t="s">
        <v>2322</v>
      </c>
      <c r="E50" s="62" t="s">
        <v>2343</v>
      </c>
      <c r="F50" s="62">
        <v>99.998999999999995</v>
      </c>
      <c r="G50" s="62">
        <v>100.9157</v>
      </c>
      <c r="H50" s="62" t="s">
        <v>2384</v>
      </c>
      <c r="I50" s="62" t="s">
        <v>2640</v>
      </c>
      <c r="J50" s="62" t="s">
        <v>271</v>
      </c>
    </row>
    <row r="51" spans="1:10" ht="15" x14ac:dyDescent="0.25">
      <c r="A51" s="40">
        <v>47</v>
      </c>
      <c r="B51" s="62" t="s">
        <v>2586</v>
      </c>
      <c r="C51" s="62" t="s">
        <v>2171</v>
      </c>
      <c r="D51" s="62" t="s">
        <v>2322</v>
      </c>
      <c r="E51" s="62" t="s">
        <v>2343</v>
      </c>
      <c r="F51" s="62">
        <v>100.4406</v>
      </c>
      <c r="G51" s="62">
        <v>100.7739</v>
      </c>
      <c r="H51" s="62" t="s">
        <v>2641</v>
      </c>
      <c r="I51" s="62" t="s">
        <v>2642</v>
      </c>
      <c r="J51" s="62" t="s">
        <v>271</v>
      </c>
    </row>
    <row r="52" spans="1:10" ht="15" x14ac:dyDescent="0.25">
      <c r="A52" s="40">
        <v>48</v>
      </c>
      <c r="B52" s="62" t="s">
        <v>2587</v>
      </c>
      <c r="C52" s="62" t="s">
        <v>2393</v>
      </c>
      <c r="D52" s="62" t="s">
        <v>2322</v>
      </c>
      <c r="E52" s="62" t="s">
        <v>2343</v>
      </c>
      <c r="F52" s="62">
        <v>99.998699999999999</v>
      </c>
      <c r="G52" s="62">
        <v>100.182</v>
      </c>
      <c r="H52" s="62" t="s">
        <v>2376</v>
      </c>
      <c r="I52" s="62" t="s">
        <v>2643</v>
      </c>
      <c r="J52" s="62" t="s">
        <v>271</v>
      </c>
    </row>
    <row r="53" spans="1:10" ht="15" x14ac:dyDescent="0.25">
      <c r="A53" s="40">
        <v>49</v>
      </c>
      <c r="B53" s="62" t="s">
        <v>2588</v>
      </c>
      <c r="C53" s="62" t="s">
        <v>114</v>
      </c>
      <c r="D53" s="62" t="s">
        <v>2322</v>
      </c>
      <c r="E53" s="62" t="s">
        <v>2344</v>
      </c>
      <c r="F53" s="62">
        <v>100.14579999999999</v>
      </c>
      <c r="G53" s="62">
        <v>100.9198</v>
      </c>
      <c r="H53" s="62" t="s">
        <v>2644</v>
      </c>
      <c r="I53" s="62" t="s">
        <v>2645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116</v>
      </c>
      <c r="D54" s="62" t="s">
        <v>2322</v>
      </c>
      <c r="E54" s="62" t="s">
        <v>2344</v>
      </c>
      <c r="F54" s="62">
        <v>99.143000000000001</v>
      </c>
      <c r="G54" s="62">
        <v>99.143000000000001</v>
      </c>
      <c r="H54" s="62" t="s">
        <v>2646</v>
      </c>
      <c r="I54" s="62" t="s">
        <v>2647</v>
      </c>
      <c r="J54" s="62" t="s">
        <v>271</v>
      </c>
    </row>
    <row r="55" spans="1:10" ht="15" x14ac:dyDescent="0.25">
      <c r="A55" s="40">
        <v>51</v>
      </c>
      <c r="B55" s="62" t="s">
        <v>2590</v>
      </c>
      <c r="C55" s="62" t="s">
        <v>1403</v>
      </c>
      <c r="D55" s="62" t="s">
        <v>2322</v>
      </c>
      <c r="E55" s="62" t="s">
        <v>2344</v>
      </c>
      <c r="F55" s="62">
        <v>98.652100000000004</v>
      </c>
      <c r="G55" s="62">
        <v>98.874300000000005</v>
      </c>
      <c r="H55" s="62" t="s">
        <v>2648</v>
      </c>
      <c r="I55" s="62" t="s">
        <v>2649</v>
      </c>
      <c r="J55" s="62" t="s">
        <v>271</v>
      </c>
    </row>
    <row r="56" spans="1:10" ht="15" x14ac:dyDescent="0.25">
      <c r="A56" s="40">
        <v>52</v>
      </c>
      <c r="B56" s="62" t="s">
        <v>2591</v>
      </c>
      <c r="C56" s="62" t="s">
        <v>357</v>
      </c>
      <c r="D56" s="62" t="s">
        <v>2322</v>
      </c>
      <c r="E56" s="62" t="s">
        <v>2344</v>
      </c>
      <c r="F56" s="62">
        <v>99.900700000000001</v>
      </c>
      <c r="G56" s="62">
        <v>100.5879</v>
      </c>
      <c r="H56" s="62" t="s">
        <v>2592</v>
      </c>
      <c r="I56" s="62" t="s">
        <v>2650</v>
      </c>
      <c r="J56" s="62" t="s">
        <v>271</v>
      </c>
    </row>
    <row r="57" spans="1:10" ht="15" x14ac:dyDescent="0.25">
      <c r="A57" s="40">
        <v>53</v>
      </c>
      <c r="B57" s="62" t="s">
        <v>2593</v>
      </c>
      <c r="C57" s="62" t="s">
        <v>1405</v>
      </c>
      <c r="D57" s="62" t="s">
        <v>2322</v>
      </c>
      <c r="E57" s="62" t="s">
        <v>2344</v>
      </c>
      <c r="F57" s="62">
        <v>96.557199999999995</v>
      </c>
      <c r="G57" s="62">
        <v>98.034999999999997</v>
      </c>
      <c r="H57" s="62" t="s">
        <v>2594</v>
      </c>
      <c r="I57" s="62" t="s">
        <v>2651</v>
      </c>
      <c r="J57" s="62" t="s">
        <v>271</v>
      </c>
    </row>
    <row r="58" spans="1:10" ht="15" x14ac:dyDescent="0.25">
      <c r="A58" s="40">
        <v>54</v>
      </c>
      <c r="B58" s="62" t="s">
        <v>2595</v>
      </c>
      <c r="C58" s="62" t="s">
        <v>390</v>
      </c>
      <c r="D58" s="62" t="s">
        <v>2322</v>
      </c>
      <c r="E58" s="62" t="s">
        <v>2344</v>
      </c>
      <c r="F58" s="62">
        <v>96.337699999999998</v>
      </c>
      <c r="G58" s="62">
        <v>96.601600000000005</v>
      </c>
      <c r="H58" s="62" t="s">
        <v>2652</v>
      </c>
      <c r="I58" s="62" t="s">
        <v>2653</v>
      </c>
      <c r="J58" s="62" t="s">
        <v>271</v>
      </c>
    </row>
    <row r="59" spans="1:10" ht="15" x14ac:dyDescent="0.25">
      <c r="A59" s="40">
        <v>55</v>
      </c>
      <c r="B59" s="62" t="s">
        <v>2596</v>
      </c>
      <c r="C59" s="62" t="s">
        <v>2056</v>
      </c>
      <c r="D59" s="62" t="s">
        <v>2322</v>
      </c>
      <c r="E59" s="62" t="s">
        <v>2344</v>
      </c>
      <c r="F59" s="62">
        <v>99.930800000000005</v>
      </c>
      <c r="G59" s="62">
        <v>100.7475</v>
      </c>
      <c r="H59" s="62" t="s">
        <v>2597</v>
      </c>
      <c r="I59" s="62" t="s">
        <v>2654</v>
      </c>
      <c r="J59" s="62" t="s">
        <v>271</v>
      </c>
    </row>
    <row r="60" spans="1:10" ht="15" x14ac:dyDescent="0.25">
      <c r="A60" s="40">
        <v>56</v>
      </c>
      <c r="B60" s="62" t="s">
        <v>2598</v>
      </c>
      <c r="C60" s="62" t="s">
        <v>2101</v>
      </c>
      <c r="D60" s="62" t="s">
        <v>2322</v>
      </c>
      <c r="E60" s="62" t="s">
        <v>2344</v>
      </c>
      <c r="F60" s="62">
        <v>100.9593</v>
      </c>
      <c r="G60" s="62">
        <v>102.5771</v>
      </c>
      <c r="H60" s="62" t="s">
        <v>2655</v>
      </c>
      <c r="I60" s="62" t="s">
        <v>2656</v>
      </c>
      <c r="J60" s="62" t="s">
        <v>271</v>
      </c>
    </row>
    <row r="61" spans="1:10" ht="15" x14ac:dyDescent="0.25">
      <c r="A61" s="40">
        <v>57</v>
      </c>
      <c r="B61" s="62" t="s">
        <v>2599</v>
      </c>
      <c r="C61" s="62" t="s">
        <v>2103</v>
      </c>
      <c r="D61" s="62" t="s">
        <v>2322</v>
      </c>
      <c r="E61" s="62" t="s">
        <v>2344</v>
      </c>
      <c r="F61" s="62">
        <v>100.41589999999999</v>
      </c>
      <c r="G61" s="62">
        <v>100.7779</v>
      </c>
      <c r="H61" s="62" t="s">
        <v>2657</v>
      </c>
      <c r="I61" s="62" t="s">
        <v>2658</v>
      </c>
      <c r="J61" s="62" t="s">
        <v>271</v>
      </c>
    </row>
    <row r="62" spans="1:10" ht="15" x14ac:dyDescent="0.25">
      <c r="A62" s="40">
        <v>58</v>
      </c>
      <c r="B62" s="62" t="s">
        <v>2659</v>
      </c>
      <c r="C62" s="62" t="s">
        <v>385</v>
      </c>
      <c r="D62" s="62" t="s">
        <v>2322</v>
      </c>
      <c r="E62" s="62" t="s">
        <v>2345</v>
      </c>
      <c r="F62" s="62">
        <v>77.599100000000007</v>
      </c>
      <c r="G62" s="62">
        <v>78.007400000000004</v>
      </c>
      <c r="H62" s="62" t="s">
        <v>2660</v>
      </c>
      <c r="I62" s="62" t="s">
        <v>2661</v>
      </c>
      <c r="J62" s="62" t="s">
        <v>271</v>
      </c>
    </row>
    <row r="63" spans="1:10" ht="15" x14ac:dyDescent="0.25">
      <c r="A63" s="40">
        <v>59</v>
      </c>
      <c r="B63" s="62" t="s">
        <v>2662</v>
      </c>
      <c r="C63" s="62" t="s">
        <v>402</v>
      </c>
      <c r="D63" s="62" t="s">
        <v>2322</v>
      </c>
      <c r="E63" s="62" t="s">
        <v>2345</v>
      </c>
      <c r="F63" s="62">
        <v>79.249600000000001</v>
      </c>
      <c r="G63" s="62">
        <v>80.532899999999998</v>
      </c>
      <c r="H63" s="62" t="s">
        <v>2663</v>
      </c>
      <c r="I63" s="62" t="s">
        <v>2664</v>
      </c>
      <c r="J63" s="62" t="s">
        <v>271</v>
      </c>
    </row>
    <row r="64" spans="1:10" ht="15" x14ac:dyDescent="0.25">
      <c r="A64" s="40">
        <v>60</v>
      </c>
      <c r="B64" s="62" t="s">
        <v>2665</v>
      </c>
      <c r="C64" s="62" t="s">
        <v>394</v>
      </c>
      <c r="D64" s="62" t="s">
        <v>2322</v>
      </c>
      <c r="E64" s="62" t="s">
        <v>2345</v>
      </c>
      <c r="F64" s="62">
        <v>76.418999999999997</v>
      </c>
      <c r="G64" s="62">
        <v>77.935699999999997</v>
      </c>
      <c r="H64" s="62" t="s">
        <v>2666</v>
      </c>
      <c r="I64" s="62" t="s">
        <v>2667</v>
      </c>
      <c r="J64" s="62" t="s">
        <v>271</v>
      </c>
    </row>
    <row r="65" spans="1:10" ht="15" x14ac:dyDescent="0.25">
      <c r="A65" s="40">
        <v>61</v>
      </c>
      <c r="B65" s="62" t="s">
        <v>2668</v>
      </c>
      <c r="C65" s="62" t="s">
        <v>2087</v>
      </c>
      <c r="D65" s="62" t="s">
        <v>2322</v>
      </c>
      <c r="E65" s="62" t="s">
        <v>2345</v>
      </c>
      <c r="F65" s="62">
        <v>77.807000000000002</v>
      </c>
      <c r="G65" s="62">
        <v>79.440299999999993</v>
      </c>
      <c r="H65" s="62" t="s">
        <v>2669</v>
      </c>
      <c r="I65" s="62" t="s">
        <v>2670</v>
      </c>
      <c r="J65" s="62" t="s">
        <v>271</v>
      </c>
    </row>
    <row r="66" spans="1:10" ht="15" x14ac:dyDescent="0.25">
      <c r="A66" s="40">
        <v>62</v>
      </c>
      <c r="B66" s="62" t="s">
        <v>2671</v>
      </c>
      <c r="C66" s="62" t="s">
        <v>2259</v>
      </c>
      <c r="D66" s="62" t="s">
        <v>2322</v>
      </c>
      <c r="E66" s="62" t="s">
        <v>2345</v>
      </c>
      <c r="F66" s="62">
        <v>97.753399999999999</v>
      </c>
      <c r="G66" s="62">
        <v>97.753399999999999</v>
      </c>
      <c r="H66" s="62" t="s">
        <v>2672</v>
      </c>
      <c r="I66" s="62" t="s">
        <v>2673</v>
      </c>
      <c r="J66" s="62" t="s">
        <v>271</v>
      </c>
    </row>
    <row r="67" spans="1:10" ht="15" x14ac:dyDescent="0.25">
      <c r="A67" s="40">
        <v>63</v>
      </c>
      <c r="B67" s="62" t="s">
        <v>2674</v>
      </c>
      <c r="C67" s="62" t="s">
        <v>2388</v>
      </c>
      <c r="D67" s="62" t="s">
        <v>2322</v>
      </c>
      <c r="E67" s="62" t="s">
        <v>2345</v>
      </c>
      <c r="F67" s="62">
        <v>100.0034</v>
      </c>
      <c r="G67" s="62">
        <v>101.10339999999999</v>
      </c>
      <c r="H67" s="62" t="s">
        <v>2384</v>
      </c>
      <c r="I67" s="62" t="s">
        <v>2675</v>
      </c>
      <c r="J67" s="62" t="s">
        <v>271</v>
      </c>
    </row>
    <row r="68" spans="1:10" ht="15" x14ac:dyDescent="0.25">
      <c r="A68" s="40">
        <v>64</v>
      </c>
      <c r="B68" s="62" t="s">
        <v>2676</v>
      </c>
      <c r="C68" s="62" t="s">
        <v>1435</v>
      </c>
      <c r="D68" s="62" t="s">
        <v>2322</v>
      </c>
      <c r="E68" s="62" t="s">
        <v>2398</v>
      </c>
      <c r="F68" s="62">
        <v>100.0958</v>
      </c>
      <c r="G68" s="62">
        <v>100.8291</v>
      </c>
      <c r="H68" s="62" t="s">
        <v>2677</v>
      </c>
      <c r="I68" s="62" t="s">
        <v>2678</v>
      </c>
      <c r="J68" s="62" t="s">
        <v>271</v>
      </c>
    </row>
    <row r="69" spans="1:10" ht="15" x14ac:dyDescent="0.25">
      <c r="A69" s="40">
        <v>65</v>
      </c>
      <c r="B69" s="62" t="s">
        <v>2679</v>
      </c>
      <c r="C69" s="62" t="s">
        <v>1438</v>
      </c>
      <c r="D69" s="62" t="s">
        <v>2322</v>
      </c>
      <c r="E69" s="62" t="s">
        <v>2398</v>
      </c>
      <c r="F69" s="62">
        <v>99.239199999999997</v>
      </c>
      <c r="G69" s="62">
        <v>103.0545</v>
      </c>
      <c r="H69" s="62" t="s">
        <v>2475</v>
      </c>
      <c r="I69" s="62" t="s">
        <v>2680</v>
      </c>
      <c r="J69" s="62" t="s">
        <v>271</v>
      </c>
    </row>
    <row r="70" spans="1:10" ht="15" x14ac:dyDescent="0.25">
      <c r="A70" s="40">
        <v>66</v>
      </c>
      <c r="B70" s="62" t="s">
        <v>2681</v>
      </c>
      <c r="C70" s="62" t="s">
        <v>2294</v>
      </c>
      <c r="D70" s="62" t="s">
        <v>2322</v>
      </c>
      <c r="E70" s="62" t="s">
        <v>2398</v>
      </c>
      <c r="F70" s="62">
        <v>98.969399999999993</v>
      </c>
      <c r="G70" s="62">
        <v>103.11109999999999</v>
      </c>
      <c r="H70" s="62" t="s">
        <v>2682</v>
      </c>
      <c r="I70" s="62" t="s">
        <v>2683</v>
      </c>
      <c r="J70" s="62" t="s">
        <v>271</v>
      </c>
    </row>
    <row r="71" spans="1:10" ht="15" x14ac:dyDescent="0.25">
      <c r="A71" s="40">
        <v>67</v>
      </c>
      <c r="B71" s="62" t="s">
        <v>2684</v>
      </c>
      <c r="C71" s="62" t="s">
        <v>388</v>
      </c>
      <c r="D71" s="62" t="s">
        <v>2341</v>
      </c>
      <c r="E71" s="62" t="s">
        <v>2342</v>
      </c>
      <c r="F71" s="62">
        <v>98.8459</v>
      </c>
      <c r="G71" s="62">
        <v>98.8459</v>
      </c>
      <c r="H71" s="62" t="s">
        <v>2685</v>
      </c>
      <c r="I71" s="62" t="s">
        <v>2686</v>
      </c>
      <c r="J71" s="62" t="s">
        <v>271</v>
      </c>
    </row>
    <row r="72" spans="1:10" ht="15" x14ac:dyDescent="0.25">
      <c r="A72" s="40">
        <v>68</v>
      </c>
      <c r="B72" s="62" t="s">
        <v>2687</v>
      </c>
      <c r="C72" s="62" t="s">
        <v>2014</v>
      </c>
      <c r="D72" s="62" t="s">
        <v>2341</v>
      </c>
      <c r="E72" s="62" t="s">
        <v>2342</v>
      </c>
      <c r="F72" s="62">
        <v>94.423000000000002</v>
      </c>
      <c r="G72" s="62">
        <v>94.423000000000002</v>
      </c>
      <c r="H72" s="62" t="s">
        <v>2688</v>
      </c>
      <c r="I72" s="62" t="s">
        <v>2689</v>
      </c>
      <c r="J72" s="62" t="s">
        <v>271</v>
      </c>
    </row>
    <row r="73" spans="1:10" ht="15" x14ac:dyDescent="0.25">
      <c r="A73" s="40">
        <v>69</v>
      </c>
      <c r="B73" s="62" t="s">
        <v>2690</v>
      </c>
      <c r="C73" s="62" t="s">
        <v>2167</v>
      </c>
      <c r="D73" s="62" t="s">
        <v>2341</v>
      </c>
      <c r="E73" s="62" t="s">
        <v>2342</v>
      </c>
      <c r="F73" s="62">
        <v>90.328299999999999</v>
      </c>
      <c r="G73" s="62">
        <v>90.328299999999999</v>
      </c>
      <c r="H73" s="62" t="s">
        <v>2604</v>
      </c>
      <c r="I73" s="62" t="s">
        <v>2691</v>
      </c>
      <c r="J73" s="62" t="s">
        <v>271</v>
      </c>
    </row>
    <row r="74" spans="1:10" ht="15" x14ac:dyDescent="0.25">
      <c r="A74" s="40">
        <v>70</v>
      </c>
      <c r="B74" s="62" t="s">
        <v>2692</v>
      </c>
      <c r="C74" s="62" t="s">
        <v>4</v>
      </c>
      <c r="D74" s="62" t="s">
        <v>2341</v>
      </c>
      <c r="E74" s="62" t="s">
        <v>2342</v>
      </c>
      <c r="F74" s="62">
        <v>98.246399999999994</v>
      </c>
      <c r="G74" s="62">
        <v>100.1729</v>
      </c>
      <c r="H74" s="62" t="s">
        <v>2693</v>
      </c>
      <c r="I74" s="62" t="s">
        <v>2694</v>
      </c>
      <c r="J74" s="62" t="s">
        <v>271</v>
      </c>
    </row>
    <row r="75" spans="1:10" ht="15" x14ac:dyDescent="0.25">
      <c r="A75" s="40">
        <v>71</v>
      </c>
      <c r="B75" s="62" t="s">
        <v>2695</v>
      </c>
      <c r="C75" s="62" t="s">
        <v>119</v>
      </c>
      <c r="D75" s="62" t="s">
        <v>2341</v>
      </c>
      <c r="E75" s="62" t="s">
        <v>2342</v>
      </c>
      <c r="F75" s="62">
        <v>97.899699999999996</v>
      </c>
      <c r="G75" s="62">
        <v>101.4136</v>
      </c>
      <c r="H75" s="62" t="s">
        <v>2552</v>
      </c>
      <c r="I75" s="62" t="s">
        <v>2696</v>
      </c>
      <c r="J75" s="62" t="s">
        <v>271</v>
      </c>
    </row>
    <row r="76" spans="1:10" ht="15" x14ac:dyDescent="0.25">
      <c r="A76" s="40">
        <v>72</v>
      </c>
      <c r="B76" s="62" t="s">
        <v>2697</v>
      </c>
      <c r="C76" s="62" t="s">
        <v>121</v>
      </c>
      <c r="D76" s="62" t="s">
        <v>2341</v>
      </c>
      <c r="E76" s="62" t="s">
        <v>2342</v>
      </c>
      <c r="F76" s="62">
        <v>97.365499999999997</v>
      </c>
      <c r="G76" s="62">
        <v>97.751599999999996</v>
      </c>
      <c r="H76" s="62" t="s">
        <v>2606</v>
      </c>
      <c r="I76" s="62" t="s">
        <v>2698</v>
      </c>
      <c r="J76" s="62" t="s">
        <v>271</v>
      </c>
    </row>
    <row r="77" spans="1:10" ht="15" x14ac:dyDescent="0.25">
      <c r="A77" s="40">
        <v>73</v>
      </c>
      <c r="B77" s="62" t="s">
        <v>2699</v>
      </c>
      <c r="C77" s="62" t="s">
        <v>2379</v>
      </c>
      <c r="D77" s="62" t="s">
        <v>2341</v>
      </c>
      <c r="E77" s="62" t="s">
        <v>2342</v>
      </c>
      <c r="F77" s="62">
        <v>101.2432</v>
      </c>
      <c r="G77" s="62">
        <v>103.5585</v>
      </c>
      <c r="H77" s="62" t="s">
        <v>2700</v>
      </c>
      <c r="I77" s="62" t="s">
        <v>2701</v>
      </c>
      <c r="J77" s="62" t="s">
        <v>271</v>
      </c>
    </row>
    <row r="78" spans="1:10" ht="15" x14ac:dyDescent="0.25">
      <c r="A78" s="40">
        <v>74</v>
      </c>
      <c r="B78" s="62" t="s">
        <v>2702</v>
      </c>
      <c r="C78" s="62" t="s">
        <v>123</v>
      </c>
      <c r="D78" s="62" t="s">
        <v>2341</v>
      </c>
      <c r="E78" s="62" t="s">
        <v>2342</v>
      </c>
      <c r="F78" s="62">
        <v>95.069100000000006</v>
      </c>
      <c r="G78" s="62">
        <v>96.585800000000006</v>
      </c>
      <c r="H78" s="62" t="s">
        <v>2505</v>
      </c>
      <c r="I78" s="62" t="s">
        <v>2703</v>
      </c>
      <c r="J78" s="62" t="s">
        <v>271</v>
      </c>
    </row>
    <row r="79" spans="1:10" ht="15" x14ac:dyDescent="0.25">
      <c r="A79" s="40">
        <v>75</v>
      </c>
      <c r="B79" s="62" t="s">
        <v>2704</v>
      </c>
      <c r="C79" s="62" t="s">
        <v>125</v>
      </c>
      <c r="D79" s="62" t="s">
        <v>2341</v>
      </c>
      <c r="E79" s="62" t="s">
        <v>2342</v>
      </c>
      <c r="F79" s="62">
        <v>97.287899999999993</v>
      </c>
      <c r="G79" s="62">
        <v>102.7457</v>
      </c>
      <c r="H79" s="62" t="s">
        <v>2505</v>
      </c>
      <c r="I79" s="62" t="s">
        <v>2705</v>
      </c>
      <c r="J79" s="62" t="s">
        <v>271</v>
      </c>
    </row>
    <row r="80" spans="1:10" ht="15" x14ac:dyDescent="0.25">
      <c r="A80" s="40">
        <v>76</v>
      </c>
      <c r="B80" s="62" t="s">
        <v>2706</v>
      </c>
      <c r="C80" s="62" t="s">
        <v>2351</v>
      </c>
      <c r="D80" s="62" t="s">
        <v>2341</v>
      </c>
      <c r="E80" s="62" t="s">
        <v>2342</v>
      </c>
      <c r="F80" s="62">
        <v>100</v>
      </c>
      <c r="G80" s="62">
        <v>102.6755</v>
      </c>
      <c r="H80" s="62" t="s">
        <v>2548</v>
      </c>
      <c r="I80" s="62" t="s">
        <v>2707</v>
      </c>
      <c r="J80" s="62" t="s">
        <v>271</v>
      </c>
    </row>
    <row r="81" spans="1:10" ht="15" x14ac:dyDescent="0.25">
      <c r="A81" s="40">
        <v>77</v>
      </c>
      <c r="B81" s="62" t="s">
        <v>2708</v>
      </c>
      <c r="C81" s="62" t="s">
        <v>127</v>
      </c>
      <c r="D81" s="62" t="s">
        <v>2341</v>
      </c>
      <c r="E81" s="62" t="s">
        <v>2342</v>
      </c>
      <c r="F81" s="62">
        <v>100</v>
      </c>
      <c r="G81" s="62">
        <v>100.8103</v>
      </c>
      <c r="H81" s="62" t="s">
        <v>2522</v>
      </c>
      <c r="I81" s="62" t="s">
        <v>2709</v>
      </c>
      <c r="J81" s="62" t="s">
        <v>271</v>
      </c>
    </row>
    <row r="82" spans="1:10" ht="15" x14ac:dyDescent="0.25">
      <c r="A82" s="40">
        <v>78</v>
      </c>
      <c r="B82" s="62" t="s">
        <v>2710</v>
      </c>
      <c r="C82" s="62" t="s">
        <v>129</v>
      </c>
      <c r="D82" s="62" t="s">
        <v>2341</v>
      </c>
      <c r="E82" s="62" t="s">
        <v>2342</v>
      </c>
      <c r="F82" s="62">
        <v>100</v>
      </c>
      <c r="G82" s="62">
        <v>107.7895</v>
      </c>
      <c r="H82" s="62" t="s">
        <v>2508</v>
      </c>
      <c r="I82" s="62" t="s">
        <v>2711</v>
      </c>
      <c r="J82" s="62" t="s">
        <v>271</v>
      </c>
    </row>
    <row r="83" spans="1:10" ht="15" x14ac:dyDescent="0.25">
      <c r="A83" s="40">
        <v>79</v>
      </c>
      <c r="B83" s="62" t="s">
        <v>2712</v>
      </c>
      <c r="C83" s="62" t="s">
        <v>131</v>
      </c>
      <c r="D83" s="62" t="s">
        <v>2341</v>
      </c>
      <c r="E83" s="62" t="s">
        <v>2342</v>
      </c>
      <c r="F83" s="62">
        <v>100</v>
      </c>
      <c r="G83" s="62">
        <v>106.22580000000001</v>
      </c>
      <c r="H83" s="62" t="s">
        <v>2509</v>
      </c>
      <c r="I83" s="62" t="s">
        <v>2713</v>
      </c>
      <c r="J83" s="62" t="s">
        <v>271</v>
      </c>
    </row>
    <row r="84" spans="1:10" ht="15" x14ac:dyDescent="0.25">
      <c r="A84" s="40">
        <v>80</v>
      </c>
      <c r="B84" s="62" t="s">
        <v>2714</v>
      </c>
      <c r="C84" s="62" t="s">
        <v>133</v>
      </c>
      <c r="D84" s="62" t="s">
        <v>2341</v>
      </c>
      <c r="E84" s="62" t="s">
        <v>2342</v>
      </c>
      <c r="F84" s="62">
        <v>100</v>
      </c>
      <c r="G84" s="62">
        <v>101.1251</v>
      </c>
      <c r="H84" s="62" t="s">
        <v>2510</v>
      </c>
      <c r="I84" s="62" t="s">
        <v>2715</v>
      </c>
      <c r="J84" s="62" t="s">
        <v>271</v>
      </c>
    </row>
    <row r="85" spans="1:10" ht="15" x14ac:dyDescent="0.25">
      <c r="A85" s="40">
        <v>81</v>
      </c>
      <c r="B85" s="62" t="s">
        <v>2716</v>
      </c>
      <c r="C85" s="62" t="s">
        <v>135</v>
      </c>
      <c r="D85" s="62" t="s">
        <v>2341</v>
      </c>
      <c r="E85" s="62" t="s">
        <v>2342</v>
      </c>
      <c r="F85" s="62">
        <v>100</v>
      </c>
      <c r="G85" s="62">
        <v>103.5912</v>
      </c>
      <c r="H85" s="62" t="s">
        <v>2601</v>
      </c>
      <c r="I85" s="62" t="s">
        <v>2717</v>
      </c>
      <c r="J85" s="62" t="s">
        <v>271</v>
      </c>
    </row>
    <row r="86" spans="1:10" ht="15" x14ac:dyDescent="0.25">
      <c r="A86" s="40">
        <v>82</v>
      </c>
      <c r="B86" s="62" t="s">
        <v>2718</v>
      </c>
      <c r="C86" s="62" t="s">
        <v>286</v>
      </c>
      <c r="D86" s="62" t="s">
        <v>2341</v>
      </c>
      <c r="E86" s="62" t="s">
        <v>2342</v>
      </c>
      <c r="F86" s="62">
        <v>100</v>
      </c>
      <c r="G86" s="62">
        <v>110.1677</v>
      </c>
      <c r="H86" s="62" t="s">
        <v>2523</v>
      </c>
      <c r="I86" s="62" t="s">
        <v>2719</v>
      </c>
      <c r="J86" s="62" t="s">
        <v>271</v>
      </c>
    </row>
    <row r="87" spans="1:10" ht="15" x14ac:dyDescent="0.25">
      <c r="A87" s="40">
        <v>83</v>
      </c>
      <c r="B87" s="62" t="s">
        <v>2720</v>
      </c>
      <c r="C87" s="62" t="s">
        <v>288</v>
      </c>
      <c r="D87" s="62" t="s">
        <v>2341</v>
      </c>
      <c r="E87" s="62" t="s">
        <v>2342</v>
      </c>
      <c r="F87" s="62">
        <v>100</v>
      </c>
      <c r="G87" s="62">
        <v>112.10599999999999</v>
      </c>
      <c r="H87" s="62" t="s">
        <v>2447</v>
      </c>
      <c r="I87" s="62" t="s">
        <v>2721</v>
      </c>
      <c r="J87" s="62" t="s">
        <v>271</v>
      </c>
    </row>
    <row r="88" spans="1:10" ht="15" x14ac:dyDescent="0.25">
      <c r="A88" s="40">
        <v>84</v>
      </c>
      <c r="B88" s="62" t="s">
        <v>2722</v>
      </c>
      <c r="C88" s="62" t="s">
        <v>290</v>
      </c>
      <c r="D88" s="62" t="s">
        <v>2341</v>
      </c>
      <c r="E88" s="62" t="s">
        <v>2342</v>
      </c>
      <c r="F88" s="62">
        <v>100</v>
      </c>
      <c r="G88" s="62">
        <v>106.01900000000001</v>
      </c>
      <c r="H88" s="62" t="s">
        <v>2511</v>
      </c>
      <c r="I88" s="62" t="s">
        <v>2723</v>
      </c>
      <c r="J88" s="62" t="s">
        <v>271</v>
      </c>
    </row>
    <row r="89" spans="1:10" ht="15" x14ac:dyDescent="0.25">
      <c r="A89" s="40">
        <v>85</v>
      </c>
      <c r="B89" s="62" t="s">
        <v>2724</v>
      </c>
      <c r="C89" s="62" t="s">
        <v>292</v>
      </c>
      <c r="D89" s="62" t="s">
        <v>2341</v>
      </c>
      <c r="E89" s="62" t="s">
        <v>2342</v>
      </c>
      <c r="F89" s="62">
        <v>100</v>
      </c>
      <c r="G89" s="62">
        <v>100.9522</v>
      </c>
      <c r="H89" s="62" t="s">
        <v>2450</v>
      </c>
      <c r="I89" s="62" t="s">
        <v>2725</v>
      </c>
      <c r="J89" s="62" t="s">
        <v>271</v>
      </c>
    </row>
    <row r="90" spans="1:10" ht="15" x14ac:dyDescent="0.25">
      <c r="A90" s="40">
        <v>86</v>
      </c>
      <c r="B90" s="62" t="s">
        <v>2726</v>
      </c>
      <c r="C90" s="62" t="s">
        <v>294</v>
      </c>
      <c r="D90" s="62" t="s">
        <v>2341</v>
      </c>
      <c r="E90" s="62" t="s">
        <v>2342</v>
      </c>
      <c r="F90" s="62">
        <v>100</v>
      </c>
      <c r="G90" s="62">
        <v>111.1538</v>
      </c>
      <c r="H90" s="62" t="s">
        <v>2727</v>
      </c>
      <c r="I90" s="62" t="s">
        <v>2728</v>
      </c>
      <c r="J90" s="62" t="s">
        <v>271</v>
      </c>
    </row>
    <row r="91" spans="1:10" ht="15" x14ac:dyDescent="0.25">
      <c r="A91" s="40">
        <v>87</v>
      </c>
      <c r="B91" s="62" t="s">
        <v>2729</v>
      </c>
      <c r="C91" s="62" t="s">
        <v>296</v>
      </c>
      <c r="D91" s="62" t="s">
        <v>2341</v>
      </c>
      <c r="E91" s="62" t="s">
        <v>2342</v>
      </c>
      <c r="F91" s="62">
        <v>100</v>
      </c>
      <c r="G91" s="62">
        <v>109.6943</v>
      </c>
      <c r="H91" s="62" t="s">
        <v>2448</v>
      </c>
      <c r="I91" s="62" t="s">
        <v>2730</v>
      </c>
      <c r="J91" s="62" t="s">
        <v>271</v>
      </c>
    </row>
    <row r="92" spans="1:10" ht="15" x14ac:dyDescent="0.25">
      <c r="A92" s="40">
        <v>88</v>
      </c>
      <c r="B92" s="62" t="s">
        <v>2731</v>
      </c>
      <c r="C92" s="62" t="s">
        <v>298</v>
      </c>
      <c r="D92" s="62" t="s">
        <v>2341</v>
      </c>
      <c r="E92" s="62" t="s">
        <v>2342</v>
      </c>
      <c r="F92" s="62">
        <v>100</v>
      </c>
      <c r="G92" s="62">
        <v>111.1198</v>
      </c>
      <c r="H92" s="62" t="s">
        <v>2512</v>
      </c>
      <c r="I92" s="62" t="s">
        <v>2602</v>
      </c>
      <c r="J92" s="62" t="s">
        <v>271</v>
      </c>
    </row>
    <row r="93" spans="1:10" ht="15" x14ac:dyDescent="0.25">
      <c r="A93" s="40">
        <v>89</v>
      </c>
      <c r="B93" s="62" t="s">
        <v>2732</v>
      </c>
      <c r="C93" s="62" t="s">
        <v>300</v>
      </c>
      <c r="D93" s="62" t="s">
        <v>2341</v>
      </c>
      <c r="E93" s="62" t="s">
        <v>2342</v>
      </c>
      <c r="F93" s="62">
        <v>100</v>
      </c>
      <c r="G93" s="62">
        <v>104.0127</v>
      </c>
      <c r="H93" s="62" t="s">
        <v>2513</v>
      </c>
      <c r="I93" s="62" t="s">
        <v>2733</v>
      </c>
      <c r="J93" s="62" t="s">
        <v>271</v>
      </c>
    </row>
    <row r="94" spans="1:10" ht="15" x14ac:dyDescent="0.25">
      <c r="A94" s="40">
        <v>90</v>
      </c>
      <c r="B94" s="62" t="s">
        <v>2734</v>
      </c>
      <c r="C94" s="62" t="s">
        <v>302</v>
      </c>
      <c r="D94" s="62" t="s">
        <v>2341</v>
      </c>
      <c r="E94" s="62" t="s">
        <v>2342</v>
      </c>
      <c r="F94" s="62">
        <v>100</v>
      </c>
      <c r="G94" s="62">
        <v>107.26220000000001</v>
      </c>
      <c r="H94" s="62" t="s">
        <v>2448</v>
      </c>
      <c r="I94" s="62" t="s">
        <v>2735</v>
      </c>
      <c r="J94" s="62" t="s">
        <v>271</v>
      </c>
    </row>
    <row r="95" spans="1:10" ht="15" x14ac:dyDescent="0.25">
      <c r="A95" s="40">
        <v>91</v>
      </c>
      <c r="B95" s="62" t="s">
        <v>2736</v>
      </c>
      <c r="C95" s="62" t="s">
        <v>304</v>
      </c>
      <c r="D95" s="62" t="s">
        <v>2341</v>
      </c>
      <c r="E95" s="62" t="s">
        <v>2342</v>
      </c>
      <c r="F95" s="62">
        <v>100</v>
      </c>
      <c r="G95" s="62">
        <v>104.0127</v>
      </c>
      <c r="H95" s="62" t="s">
        <v>2513</v>
      </c>
      <c r="I95" s="62" t="s">
        <v>2733</v>
      </c>
      <c r="J95" s="62" t="s">
        <v>271</v>
      </c>
    </row>
    <row r="96" spans="1:10" ht="15" x14ac:dyDescent="0.25">
      <c r="A96" s="40">
        <v>92</v>
      </c>
      <c r="B96" s="62" t="s">
        <v>2737</v>
      </c>
      <c r="C96" s="62" t="s">
        <v>306</v>
      </c>
      <c r="D96" s="62" t="s">
        <v>2341</v>
      </c>
      <c r="E96" s="62" t="s">
        <v>2342</v>
      </c>
      <c r="F96" s="62">
        <v>100</v>
      </c>
      <c r="G96" s="62">
        <v>101.90430000000001</v>
      </c>
      <c r="H96" s="62" t="s">
        <v>2504</v>
      </c>
      <c r="I96" s="62" t="s">
        <v>2738</v>
      </c>
      <c r="J96" s="62" t="s">
        <v>271</v>
      </c>
    </row>
    <row r="97" spans="1:10" ht="15" x14ac:dyDescent="0.25">
      <c r="A97" s="40">
        <v>93</v>
      </c>
      <c r="B97" s="62" t="s">
        <v>2739</v>
      </c>
      <c r="C97" s="62" t="s">
        <v>308</v>
      </c>
      <c r="D97" s="62" t="s">
        <v>2341</v>
      </c>
      <c r="E97" s="62" t="s">
        <v>2342</v>
      </c>
      <c r="F97" s="62">
        <v>100</v>
      </c>
      <c r="G97" s="62">
        <v>104.9988</v>
      </c>
      <c r="H97" s="62" t="s">
        <v>2504</v>
      </c>
      <c r="I97" s="62" t="s">
        <v>2740</v>
      </c>
      <c r="J97" s="62" t="s">
        <v>271</v>
      </c>
    </row>
    <row r="98" spans="1:10" ht="15" x14ac:dyDescent="0.25">
      <c r="A98" s="40">
        <v>94</v>
      </c>
      <c r="B98" s="62" t="s">
        <v>2741</v>
      </c>
      <c r="C98" s="62" t="s">
        <v>310</v>
      </c>
      <c r="D98" s="62" t="s">
        <v>2341</v>
      </c>
      <c r="E98" s="62" t="s">
        <v>2342</v>
      </c>
      <c r="F98" s="62">
        <v>100</v>
      </c>
      <c r="G98" s="62">
        <v>101.9383</v>
      </c>
      <c r="H98" s="62" t="s">
        <v>2450</v>
      </c>
      <c r="I98" s="62" t="s">
        <v>2742</v>
      </c>
      <c r="J98" s="62" t="s">
        <v>271</v>
      </c>
    </row>
    <row r="99" spans="1:10" ht="15" x14ac:dyDescent="0.25">
      <c r="A99" s="40">
        <v>95</v>
      </c>
      <c r="B99" s="62" t="s">
        <v>2743</v>
      </c>
      <c r="C99" s="62" t="s">
        <v>312</v>
      </c>
      <c r="D99" s="62" t="s">
        <v>2341</v>
      </c>
      <c r="E99" s="62" t="s">
        <v>2342</v>
      </c>
      <c r="F99" s="62">
        <v>100</v>
      </c>
      <c r="G99" s="62">
        <v>107.0732</v>
      </c>
      <c r="H99" s="62" t="s">
        <v>2450</v>
      </c>
      <c r="I99" s="62" t="s">
        <v>2744</v>
      </c>
      <c r="J99" s="62" t="s">
        <v>271</v>
      </c>
    </row>
    <row r="100" spans="1:10" ht="15" x14ac:dyDescent="0.25">
      <c r="A100" s="40">
        <v>96</v>
      </c>
      <c r="B100" s="62" t="s">
        <v>2745</v>
      </c>
      <c r="C100" s="62" t="s">
        <v>314</v>
      </c>
      <c r="D100" s="62" t="s">
        <v>2341</v>
      </c>
      <c r="E100" s="62" t="s">
        <v>2342</v>
      </c>
      <c r="F100" s="62">
        <v>100</v>
      </c>
      <c r="G100" s="62">
        <v>102.99250000000001</v>
      </c>
      <c r="H100" s="62" t="s">
        <v>2452</v>
      </c>
      <c r="I100" s="62" t="s">
        <v>2746</v>
      </c>
      <c r="J100" s="62" t="s">
        <v>271</v>
      </c>
    </row>
    <row r="101" spans="1:10" ht="15" x14ac:dyDescent="0.25">
      <c r="A101" s="40">
        <v>97</v>
      </c>
      <c r="B101" s="62" t="s">
        <v>2747</v>
      </c>
      <c r="C101" s="62" t="s">
        <v>316</v>
      </c>
      <c r="D101" s="62" t="s">
        <v>2341</v>
      </c>
      <c r="E101" s="62" t="s">
        <v>2342</v>
      </c>
      <c r="F101" s="62">
        <v>100</v>
      </c>
      <c r="G101" s="62">
        <v>102.9585</v>
      </c>
      <c r="H101" s="62" t="s">
        <v>2451</v>
      </c>
      <c r="I101" s="62" t="s">
        <v>2748</v>
      </c>
      <c r="J101" s="62" t="s">
        <v>271</v>
      </c>
    </row>
    <row r="102" spans="1:10" ht="15" x14ac:dyDescent="0.25">
      <c r="A102" s="40">
        <v>98</v>
      </c>
      <c r="B102" s="62" t="s">
        <v>2749</v>
      </c>
      <c r="C102" s="62" t="s">
        <v>318</v>
      </c>
      <c r="D102" s="62" t="s">
        <v>2341</v>
      </c>
      <c r="E102" s="62" t="s">
        <v>2342</v>
      </c>
      <c r="F102" s="62">
        <v>100</v>
      </c>
      <c r="G102" s="62">
        <v>110.2017</v>
      </c>
      <c r="H102" s="62" t="s">
        <v>2446</v>
      </c>
      <c r="I102" s="62" t="s">
        <v>2750</v>
      </c>
      <c r="J102" s="62" t="s">
        <v>271</v>
      </c>
    </row>
    <row r="103" spans="1:10" ht="15" x14ac:dyDescent="0.25">
      <c r="A103" s="40">
        <v>99</v>
      </c>
      <c r="B103" s="62" t="s">
        <v>2751</v>
      </c>
      <c r="C103" s="62" t="s">
        <v>320</v>
      </c>
      <c r="D103" s="62" t="s">
        <v>2341</v>
      </c>
      <c r="E103" s="62" t="s">
        <v>2342</v>
      </c>
      <c r="F103" s="62">
        <v>100</v>
      </c>
      <c r="G103" s="62">
        <v>107.1752</v>
      </c>
      <c r="H103" s="62" t="s">
        <v>2451</v>
      </c>
      <c r="I103" s="62" t="s">
        <v>2752</v>
      </c>
      <c r="J103" s="62" t="s">
        <v>271</v>
      </c>
    </row>
    <row r="104" spans="1:10" ht="15" x14ac:dyDescent="0.25">
      <c r="A104" s="40">
        <v>100</v>
      </c>
      <c r="B104" s="62" t="s">
        <v>2753</v>
      </c>
      <c r="C104" s="62" t="s">
        <v>322</v>
      </c>
      <c r="D104" s="62" t="s">
        <v>2341</v>
      </c>
      <c r="E104" s="62" t="s">
        <v>2342</v>
      </c>
      <c r="F104" s="62">
        <v>100</v>
      </c>
      <c r="G104" s="62">
        <v>100.9862</v>
      </c>
      <c r="H104" s="62" t="s">
        <v>2447</v>
      </c>
      <c r="I104" s="62" t="s">
        <v>2754</v>
      </c>
      <c r="J104" s="62" t="s">
        <v>271</v>
      </c>
    </row>
    <row r="105" spans="1:10" ht="15" x14ac:dyDescent="0.25">
      <c r="A105" s="40">
        <v>101</v>
      </c>
      <c r="B105" s="62" t="s">
        <v>2755</v>
      </c>
      <c r="C105" s="62" t="s">
        <v>324</v>
      </c>
      <c r="D105" s="62" t="s">
        <v>2341</v>
      </c>
      <c r="E105" s="62" t="s">
        <v>2342</v>
      </c>
      <c r="F105" s="62">
        <v>100</v>
      </c>
      <c r="G105" s="62">
        <v>103.94459999999999</v>
      </c>
      <c r="H105" s="62" t="s">
        <v>2452</v>
      </c>
      <c r="I105" s="62" t="s">
        <v>2756</v>
      </c>
      <c r="J105" s="62" t="s">
        <v>271</v>
      </c>
    </row>
    <row r="106" spans="1:10" ht="15" x14ac:dyDescent="0.25">
      <c r="A106" s="40">
        <v>102</v>
      </c>
      <c r="B106" s="62" t="s">
        <v>2757</v>
      </c>
      <c r="C106" s="62" t="s">
        <v>326</v>
      </c>
      <c r="D106" s="62" t="s">
        <v>2341</v>
      </c>
      <c r="E106" s="62" t="s">
        <v>2342</v>
      </c>
      <c r="F106" s="62">
        <v>100</v>
      </c>
      <c r="G106" s="62">
        <v>100.9862</v>
      </c>
      <c r="H106" s="62" t="s">
        <v>2496</v>
      </c>
      <c r="I106" s="62" t="s">
        <v>2758</v>
      </c>
      <c r="J106" s="62" t="s">
        <v>271</v>
      </c>
    </row>
    <row r="107" spans="1:10" ht="15" x14ac:dyDescent="0.25">
      <c r="A107" s="40">
        <v>103</v>
      </c>
      <c r="B107" s="62" t="s">
        <v>2759</v>
      </c>
      <c r="C107" s="62" t="s">
        <v>328</v>
      </c>
      <c r="D107" s="62" t="s">
        <v>2341</v>
      </c>
      <c r="E107" s="62" t="s">
        <v>2342</v>
      </c>
      <c r="F107" s="62">
        <v>100</v>
      </c>
      <c r="G107" s="62">
        <v>109.0455</v>
      </c>
      <c r="H107" s="62" t="s">
        <v>2446</v>
      </c>
      <c r="I107" s="62" t="s">
        <v>2760</v>
      </c>
      <c r="J107" s="62" t="s">
        <v>271</v>
      </c>
    </row>
    <row r="108" spans="1:10" ht="15" x14ac:dyDescent="0.25">
      <c r="A108" s="40">
        <v>104</v>
      </c>
      <c r="B108" s="62" t="s">
        <v>2761</v>
      </c>
      <c r="C108" s="62" t="s">
        <v>330</v>
      </c>
      <c r="D108" s="62" t="s">
        <v>2341</v>
      </c>
      <c r="E108" s="62" t="s">
        <v>2342</v>
      </c>
      <c r="F108" s="62">
        <v>100</v>
      </c>
      <c r="G108" s="62">
        <v>102.9585</v>
      </c>
      <c r="H108" s="62" t="s">
        <v>2452</v>
      </c>
      <c r="I108" s="62" t="s">
        <v>2603</v>
      </c>
      <c r="J108" s="62" t="s">
        <v>271</v>
      </c>
    </row>
    <row r="109" spans="1:10" ht="15" x14ac:dyDescent="0.25">
      <c r="A109" s="40">
        <v>105</v>
      </c>
      <c r="B109" s="62" t="s">
        <v>2762</v>
      </c>
      <c r="C109" s="62" t="s">
        <v>332</v>
      </c>
      <c r="D109" s="62" t="s">
        <v>2341</v>
      </c>
      <c r="E109" s="62" t="s">
        <v>2342</v>
      </c>
      <c r="F109" s="62">
        <v>100</v>
      </c>
      <c r="G109" s="62">
        <v>108.0933</v>
      </c>
      <c r="H109" s="62" t="s">
        <v>2446</v>
      </c>
      <c r="I109" s="62" t="s">
        <v>2763</v>
      </c>
      <c r="J109" s="62" t="s">
        <v>271</v>
      </c>
    </row>
    <row r="110" spans="1:10" ht="15" x14ac:dyDescent="0.25">
      <c r="A110" s="40">
        <v>106</v>
      </c>
      <c r="B110" s="62" t="s">
        <v>2764</v>
      </c>
      <c r="C110" s="62" t="s">
        <v>334</v>
      </c>
      <c r="D110" s="62" t="s">
        <v>2341</v>
      </c>
      <c r="E110" s="62" t="s">
        <v>2342</v>
      </c>
      <c r="F110" s="62">
        <v>100</v>
      </c>
      <c r="G110" s="62">
        <v>112.14</v>
      </c>
      <c r="H110" s="62" t="s">
        <v>2481</v>
      </c>
      <c r="I110" s="62" t="s">
        <v>2765</v>
      </c>
      <c r="J110" s="62" t="s">
        <v>271</v>
      </c>
    </row>
    <row r="111" spans="1:10" ht="15" x14ac:dyDescent="0.25">
      <c r="A111" s="40">
        <v>107</v>
      </c>
      <c r="B111" s="62" t="s">
        <v>2766</v>
      </c>
      <c r="C111" s="62" t="s">
        <v>336</v>
      </c>
      <c r="D111" s="62" t="s">
        <v>2341</v>
      </c>
      <c r="E111" s="62" t="s">
        <v>2342</v>
      </c>
      <c r="F111" s="62">
        <v>100</v>
      </c>
      <c r="G111" s="62">
        <v>112.208</v>
      </c>
      <c r="H111" s="62" t="s">
        <v>2481</v>
      </c>
      <c r="I111" s="62" t="s">
        <v>2767</v>
      </c>
      <c r="J111" s="62" t="s">
        <v>271</v>
      </c>
    </row>
    <row r="112" spans="1:10" ht="15" x14ac:dyDescent="0.25">
      <c r="A112" s="40">
        <v>108</v>
      </c>
      <c r="B112" s="62" t="s">
        <v>2768</v>
      </c>
      <c r="C112" s="62" t="s">
        <v>338</v>
      </c>
      <c r="D112" s="62" t="s">
        <v>2341</v>
      </c>
      <c r="E112" s="62" t="s">
        <v>2342</v>
      </c>
      <c r="F112" s="62">
        <v>100</v>
      </c>
      <c r="G112" s="62">
        <v>109.0795</v>
      </c>
      <c r="H112" s="62" t="s">
        <v>2449</v>
      </c>
      <c r="I112" s="62" t="s">
        <v>2769</v>
      </c>
      <c r="J112" s="62" t="s">
        <v>271</v>
      </c>
    </row>
    <row r="113" spans="1:10" ht="15" x14ac:dyDescent="0.25">
      <c r="A113" s="40">
        <v>109</v>
      </c>
      <c r="B113" s="62" t="s">
        <v>2770</v>
      </c>
      <c r="C113" s="62" t="s">
        <v>137</v>
      </c>
      <c r="D113" s="62" t="s">
        <v>2341</v>
      </c>
      <c r="E113" s="62" t="s">
        <v>2342</v>
      </c>
      <c r="F113" s="62">
        <v>90.166899999999998</v>
      </c>
      <c r="G113" s="62">
        <v>93.835800000000006</v>
      </c>
      <c r="H113" s="62" t="s">
        <v>2771</v>
      </c>
      <c r="I113" s="62" t="s">
        <v>2772</v>
      </c>
      <c r="J113" s="62" t="s">
        <v>271</v>
      </c>
    </row>
    <row r="114" spans="1:10" ht="15" x14ac:dyDescent="0.25">
      <c r="A114" s="40">
        <v>110</v>
      </c>
      <c r="B114" s="62" t="s">
        <v>2773</v>
      </c>
      <c r="C114" s="62" t="s">
        <v>139</v>
      </c>
      <c r="D114" s="62" t="s">
        <v>2341</v>
      </c>
      <c r="E114" s="62" t="s">
        <v>2342</v>
      </c>
      <c r="F114" s="62">
        <v>94.892799999999994</v>
      </c>
      <c r="G114" s="62">
        <v>103.52030000000001</v>
      </c>
      <c r="H114" s="62" t="s">
        <v>2774</v>
      </c>
      <c r="I114" s="62" t="s">
        <v>2775</v>
      </c>
      <c r="J114" s="62" t="s">
        <v>271</v>
      </c>
    </row>
    <row r="115" spans="1:10" ht="15" x14ac:dyDescent="0.25">
      <c r="A115" s="40">
        <v>111</v>
      </c>
      <c r="B115" s="62" t="s">
        <v>2776</v>
      </c>
      <c r="C115" s="62" t="s">
        <v>141</v>
      </c>
      <c r="D115" s="62" t="s">
        <v>2341</v>
      </c>
      <c r="E115" s="62" t="s">
        <v>2342</v>
      </c>
      <c r="F115" s="62">
        <v>84.760099999999994</v>
      </c>
      <c r="G115" s="62">
        <v>91.3934</v>
      </c>
      <c r="H115" s="62" t="s">
        <v>2777</v>
      </c>
      <c r="I115" s="62" t="s">
        <v>2778</v>
      </c>
      <c r="J115" s="62" t="s">
        <v>271</v>
      </c>
    </row>
    <row r="116" spans="1:10" ht="15" x14ac:dyDescent="0.25">
      <c r="A116" s="40">
        <v>112</v>
      </c>
      <c r="B116" s="62" t="s">
        <v>2779</v>
      </c>
      <c r="C116" s="62" t="s">
        <v>6</v>
      </c>
      <c r="D116" s="62" t="s">
        <v>2341</v>
      </c>
      <c r="E116" s="62" t="s">
        <v>2342</v>
      </c>
      <c r="F116" s="62">
        <v>86.174700000000001</v>
      </c>
      <c r="G116" s="62">
        <v>90.912499999999994</v>
      </c>
      <c r="H116" s="62" t="s">
        <v>2509</v>
      </c>
      <c r="I116" s="62" t="s">
        <v>2780</v>
      </c>
      <c r="J116" s="62" t="s">
        <v>271</v>
      </c>
    </row>
    <row r="117" spans="1:10" ht="15" x14ac:dyDescent="0.25">
      <c r="A117" s="40">
        <v>113</v>
      </c>
      <c r="B117" s="62" t="s">
        <v>2781</v>
      </c>
      <c r="C117" s="62" t="s">
        <v>144</v>
      </c>
      <c r="D117" s="62" t="s">
        <v>2341</v>
      </c>
      <c r="E117" s="62" t="s">
        <v>2342</v>
      </c>
      <c r="F117" s="62">
        <v>82.957599999999999</v>
      </c>
      <c r="G117" s="62">
        <v>90.090900000000005</v>
      </c>
      <c r="H117" s="62" t="s">
        <v>2550</v>
      </c>
      <c r="I117" s="62" t="s">
        <v>2782</v>
      </c>
      <c r="J117" s="62" t="s">
        <v>271</v>
      </c>
    </row>
    <row r="118" spans="1:10" ht="15" x14ac:dyDescent="0.25">
      <c r="A118" s="40">
        <v>114</v>
      </c>
      <c r="B118" s="62" t="s">
        <v>2783</v>
      </c>
      <c r="C118" s="62" t="s">
        <v>2048</v>
      </c>
      <c r="D118" s="62" t="s">
        <v>2341</v>
      </c>
      <c r="E118" s="62" t="s">
        <v>2342</v>
      </c>
      <c r="F118" s="62">
        <v>91.069900000000004</v>
      </c>
      <c r="G118" s="62">
        <v>99.180999999999997</v>
      </c>
      <c r="H118" s="62" t="s">
        <v>2489</v>
      </c>
      <c r="I118" s="62" t="s">
        <v>2784</v>
      </c>
      <c r="J118" s="62" t="s">
        <v>271</v>
      </c>
    </row>
    <row r="119" spans="1:10" ht="15" x14ac:dyDescent="0.25">
      <c r="A119" s="40">
        <v>115</v>
      </c>
      <c r="B119" s="62" t="s">
        <v>2785</v>
      </c>
      <c r="C119" s="62" t="s">
        <v>146</v>
      </c>
      <c r="D119" s="62" t="s">
        <v>2341</v>
      </c>
      <c r="E119" s="62" t="s">
        <v>2342</v>
      </c>
      <c r="F119" s="62">
        <v>84.483099999999993</v>
      </c>
      <c r="G119" s="62">
        <v>94.051500000000004</v>
      </c>
      <c r="H119" s="62" t="s">
        <v>2786</v>
      </c>
      <c r="I119" s="62" t="s">
        <v>2787</v>
      </c>
      <c r="J119" s="62" t="s">
        <v>271</v>
      </c>
    </row>
    <row r="120" spans="1:10" ht="15" x14ac:dyDescent="0.25">
      <c r="A120" s="40">
        <v>116</v>
      </c>
      <c r="B120" s="62" t="s">
        <v>2788</v>
      </c>
      <c r="C120" s="62" t="s">
        <v>8</v>
      </c>
      <c r="D120" s="62" t="s">
        <v>2341</v>
      </c>
      <c r="E120" s="62" t="s">
        <v>2342</v>
      </c>
      <c r="F120" s="62">
        <v>82.290199999999999</v>
      </c>
      <c r="G120" s="62">
        <v>83.989900000000006</v>
      </c>
      <c r="H120" s="62" t="s">
        <v>2789</v>
      </c>
      <c r="I120" s="62" t="s">
        <v>2790</v>
      </c>
      <c r="J120" s="62" t="s">
        <v>271</v>
      </c>
    </row>
    <row r="121" spans="1:10" ht="15" x14ac:dyDescent="0.25">
      <c r="A121" s="40">
        <v>117</v>
      </c>
      <c r="B121" s="62" t="s">
        <v>2791</v>
      </c>
      <c r="C121" s="62" t="s">
        <v>149</v>
      </c>
      <c r="D121" s="62" t="s">
        <v>2341</v>
      </c>
      <c r="E121" s="62" t="s">
        <v>2342</v>
      </c>
      <c r="F121" s="62">
        <v>81.991399999999999</v>
      </c>
      <c r="G121" s="62">
        <v>89.080299999999994</v>
      </c>
      <c r="H121" s="62" t="s">
        <v>2522</v>
      </c>
      <c r="I121" s="62" t="s">
        <v>2792</v>
      </c>
      <c r="J121" s="62" t="s">
        <v>271</v>
      </c>
    </row>
    <row r="122" spans="1:10" ht="15" x14ac:dyDescent="0.25">
      <c r="A122" s="40">
        <v>118</v>
      </c>
      <c r="B122" s="62" t="s">
        <v>2793</v>
      </c>
      <c r="C122" s="62" t="s">
        <v>151</v>
      </c>
      <c r="D122" s="62" t="s">
        <v>2341</v>
      </c>
      <c r="E122" s="62" t="s">
        <v>2342</v>
      </c>
      <c r="F122" s="62">
        <v>89.509799999999998</v>
      </c>
      <c r="G122" s="62">
        <v>94.7209</v>
      </c>
      <c r="H122" s="62" t="s">
        <v>2605</v>
      </c>
      <c r="I122" s="62" t="s">
        <v>2794</v>
      </c>
      <c r="J122" s="62" t="s">
        <v>271</v>
      </c>
    </row>
    <row r="123" spans="1:10" ht="15" x14ac:dyDescent="0.25">
      <c r="A123" s="40">
        <v>119</v>
      </c>
      <c r="B123" s="62" t="s">
        <v>2795</v>
      </c>
      <c r="C123" s="62" t="s">
        <v>2225</v>
      </c>
      <c r="D123" s="62" t="s">
        <v>2341</v>
      </c>
      <c r="E123" s="62" t="s">
        <v>2342</v>
      </c>
      <c r="F123" s="62">
        <v>89.851399999999998</v>
      </c>
      <c r="G123" s="62">
        <v>94.306799999999996</v>
      </c>
      <c r="H123" s="62" t="s">
        <v>2796</v>
      </c>
      <c r="I123" s="62" t="s">
        <v>2797</v>
      </c>
      <c r="J123" s="62" t="s">
        <v>271</v>
      </c>
    </row>
    <row r="124" spans="1:10" ht="15" x14ac:dyDescent="0.25">
      <c r="A124" s="40">
        <v>120</v>
      </c>
      <c r="B124" s="62" t="s">
        <v>2798</v>
      </c>
      <c r="C124" s="62" t="s">
        <v>153</v>
      </c>
      <c r="D124" s="62" t="s">
        <v>2341</v>
      </c>
      <c r="E124" s="62" t="s">
        <v>2342</v>
      </c>
      <c r="F124" s="62">
        <v>94.273099999999999</v>
      </c>
      <c r="G124" s="62">
        <v>96.371200000000002</v>
      </c>
      <c r="H124" s="62" t="s">
        <v>2520</v>
      </c>
      <c r="I124" s="62" t="s">
        <v>2799</v>
      </c>
      <c r="J124" s="62" t="s">
        <v>271</v>
      </c>
    </row>
    <row r="125" spans="1:10" ht="15" x14ac:dyDescent="0.25">
      <c r="A125" s="40">
        <v>121</v>
      </c>
      <c r="B125" s="62" t="s">
        <v>2800</v>
      </c>
      <c r="C125" s="62" t="s">
        <v>7</v>
      </c>
      <c r="D125" s="62" t="s">
        <v>2341</v>
      </c>
      <c r="E125" s="62" t="s">
        <v>2342</v>
      </c>
      <c r="F125" s="62">
        <v>84.261300000000006</v>
      </c>
      <c r="G125" s="62">
        <v>89.639099999999999</v>
      </c>
      <c r="H125" s="62" t="s">
        <v>2801</v>
      </c>
      <c r="I125" s="62" t="s">
        <v>2802</v>
      </c>
      <c r="J125" s="62" t="s">
        <v>271</v>
      </c>
    </row>
    <row r="126" spans="1:10" ht="15" x14ac:dyDescent="0.25">
      <c r="A126" s="40">
        <v>122</v>
      </c>
      <c r="B126" s="62" t="s">
        <v>2803</v>
      </c>
      <c r="C126" s="62" t="s">
        <v>156</v>
      </c>
      <c r="D126" s="62" t="s">
        <v>2341</v>
      </c>
      <c r="E126" s="62" t="s">
        <v>2342</v>
      </c>
      <c r="F126" s="62">
        <v>88.711100000000002</v>
      </c>
      <c r="G126" s="62">
        <v>93.65</v>
      </c>
      <c r="H126" s="62" t="s">
        <v>2804</v>
      </c>
      <c r="I126" s="62" t="s">
        <v>2805</v>
      </c>
      <c r="J126" s="62" t="s">
        <v>271</v>
      </c>
    </row>
    <row r="127" spans="1:10" ht="15" x14ac:dyDescent="0.25">
      <c r="A127" s="40">
        <v>123</v>
      </c>
      <c r="B127" s="62" t="s">
        <v>2806</v>
      </c>
      <c r="C127" s="62" t="s">
        <v>2050</v>
      </c>
      <c r="D127" s="62" t="s">
        <v>2341</v>
      </c>
      <c r="E127" s="62" t="s">
        <v>2342</v>
      </c>
      <c r="F127" s="62">
        <v>89.718699999999998</v>
      </c>
      <c r="G127" s="62">
        <v>97.774299999999997</v>
      </c>
      <c r="H127" s="62" t="s">
        <v>2600</v>
      </c>
      <c r="I127" s="62" t="s">
        <v>2807</v>
      </c>
      <c r="J127" s="62" t="s">
        <v>271</v>
      </c>
    </row>
    <row r="128" spans="1:10" ht="15" x14ac:dyDescent="0.25">
      <c r="A128" s="40">
        <v>124</v>
      </c>
      <c r="B128" s="62" t="s">
        <v>2808</v>
      </c>
      <c r="C128" s="62" t="s">
        <v>158</v>
      </c>
      <c r="D128" s="62" t="s">
        <v>2341</v>
      </c>
      <c r="E128" s="62" t="s">
        <v>2342</v>
      </c>
      <c r="F128" s="62">
        <v>89.554299999999998</v>
      </c>
      <c r="G128" s="62">
        <v>94.554299999999998</v>
      </c>
      <c r="H128" s="62" t="s">
        <v>2809</v>
      </c>
      <c r="I128" s="62" t="s">
        <v>2810</v>
      </c>
      <c r="J128" s="62" t="s">
        <v>271</v>
      </c>
    </row>
    <row r="129" spans="1:10" ht="15" x14ac:dyDescent="0.25">
      <c r="A129" s="40">
        <v>125</v>
      </c>
      <c r="B129" s="62" t="s">
        <v>2811</v>
      </c>
      <c r="C129" s="62" t="s">
        <v>160</v>
      </c>
      <c r="D129" s="62" t="s">
        <v>2341</v>
      </c>
      <c r="E129" s="62" t="s">
        <v>2342</v>
      </c>
      <c r="F129" s="62">
        <v>87.632800000000003</v>
      </c>
      <c r="G129" s="62">
        <v>89.707800000000006</v>
      </c>
      <c r="H129" s="62" t="s">
        <v>2771</v>
      </c>
      <c r="I129" s="62" t="s">
        <v>2812</v>
      </c>
      <c r="J129" s="62" t="s">
        <v>271</v>
      </c>
    </row>
    <row r="130" spans="1:10" ht="15" x14ac:dyDescent="0.25">
      <c r="A130" s="40">
        <v>126</v>
      </c>
      <c r="B130" s="62" t="s">
        <v>2813</v>
      </c>
      <c r="C130" s="62" t="s">
        <v>9</v>
      </c>
      <c r="D130" s="62" t="s">
        <v>2341</v>
      </c>
      <c r="E130" s="62" t="s">
        <v>2342</v>
      </c>
      <c r="F130" s="62">
        <v>77.2102</v>
      </c>
      <c r="G130" s="62">
        <v>82.617699999999999</v>
      </c>
      <c r="H130" s="62" t="s">
        <v>2814</v>
      </c>
      <c r="I130" s="62" t="s">
        <v>2815</v>
      </c>
      <c r="J130" s="62" t="s">
        <v>271</v>
      </c>
    </row>
    <row r="131" spans="1:10" ht="15" x14ac:dyDescent="0.25">
      <c r="A131" s="40">
        <v>127</v>
      </c>
      <c r="B131" s="62" t="s">
        <v>2816</v>
      </c>
      <c r="C131" s="62" t="s">
        <v>2023</v>
      </c>
      <c r="D131" s="62" t="s">
        <v>2341</v>
      </c>
      <c r="E131" s="62" t="s">
        <v>2342</v>
      </c>
      <c r="F131" s="62">
        <v>87.015299999999996</v>
      </c>
      <c r="G131" s="62">
        <v>95.6875</v>
      </c>
      <c r="H131" s="62" t="s">
        <v>2817</v>
      </c>
      <c r="I131" s="62" t="s">
        <v>2818</v>
      </c>
      <c r="J131" s="62" t="s">
        <v>271</v>
      </c>
    </row>
    <row r="132" spans="1:10" ht="15" x14ac:dyDescent="0.25">
      <c r="A132" s="40">
        <v>128</v>
      </c>
      <c r="B132" s="62" t="s">
        <v>2819</v>
      </c>
      <c r="C132" s="62" t="s">
        <v>11</v>
      </c>
      <c r="D132" s="62" t="s">
        <v>2341</v>
      </c>
      <c r="E132" s="62" t="s">
        <v>2342</v>
      </c>
      <c r="F132" s="62">
        <v>75.770600000000002</v>
      </c>
      <c r="G132" s="62">
        <v>77.545599999999993</v>
      </c>
      <c r="H132" s="62" t="s">
        <v>2506</v>
      </c>
      <c r="I132" s="62" t="s">
        <v>2820</v>
      </c>
      <c r="J132" s="62" t="s">
        <v>271</v>
      </c>
    </row>
    <row r="133" spans="1:10" ht="15" x14ac:dyDescent="0.25">
      <c r="A133" s="40">
        <v>129</v>
      </c>
      <c r="B133" s="62" t="s">
        <v>2821</v>
      </c>
      <c r="C133" s="62" t="s">
        <v>164</v>
      </c>
      <c r="D133" s="62" t="s">
        <v>2341</v>
      </c>
      <c r="E133" s="62" t="s">
        <v>2342</v>
      </c>
      <c r="F133" s="62">
        <v>74.2012</v>
      </c>
      <c r="G133" s="62">
        <v>75.181100000000001</v>
      </c>
      <c r="H133" s="62" t="s">
        <v>2600</v>
      </c>
      <c r="I133" s="62" t="s">
        <v>2822</v>
      </c>
      <c r="J133" s="62" t="s">
        <v>271</v>
      </c>
    </row>
    <row r="134" spans="1:10" ht="15" x14ac:dyDescent="0.25">
      <c r="A134" s="40">
        <v>130</v>
      </c>
      <c r="B134" s="62" t="s">
        <v>2823</v>
      </c>
      <c r="C134" s="62" t="s">
        <v>166</v>
      </c>
      <c r="D134" s="62" t="s">
        <v>2341</v>
      </c>
      <c r="E134" s="62" t="s">
        <v>2342</v>
      </c>
      <c r="F134" s="62">
        <v>85.715900000000005</v>
      </c>
      <c r="G134" s="62">
        <v>87.707899999999995</v>
      </c>
      <c r="H134" s="62" t="s">
        <v>2607</v>
      </c>
      <c r="I134" s="62" t="s">
        <v>2824</v>
      </c>
      <c r="J134" s="62" t="s">
        <v>271</v>
      </c>
    </row>
    <row r="135" spans="1:10" ht="15" x14ac:dyDescent="0.25">
      <c r="A135" s="40">
        <v>131</v>
      </c>
      <c r="B135" s="62" t="s">
        <v>2825</v>
      </c>
      <c r="C135" s="62" t="s">
        <v>168</v>
      </c>
      <c r="D135" s="62" t="s">
        <v>2341</v>
      </c>
      <c r="E135" s="62" t="s">
        <v>2342</v>
      </c>
      <c r="F135" s="62">
        <v>70.518600000000006</v>
      </c>
      <c r="G135" s="62">
        <v>73.706999999999994</v>
      </c>
      <c r="H135" s="62" t="s">
        <v>2826</v>
      </c>
      <c r="I135" s="62" t="s">
        <v>2827</v>
      </c>
      <c r="J135" s="62" t="s">
        <v>271</v>
      </c>
    </row>
    <row r="136" spans="1:10" ht="15" x14ac:dyDescent="0.25">
      <c r="A136" s="40">
        <v>132</v>
      </c>
      <c r="B136" s="62" t="s">
        <v>2828</v>
      </c>
      <c r="C136" s="62" t="s">
        <v>170</v>
      </c>
      <c r="D136" s="62" t="s">
        <v>2341</v>
      </c>
      <c r="E136" s="62" t="s">
        <v>2342</v>
      </c>
      <c r="F136" s="62">
        <v>70.884399999999999</v>
      </c>
      <c r="G136" s="62">
        <v>77.040700000000001</v>
      </c>
      <c r="H136" s="62" t="s">
        <v>2817</v>
      </c>
      <c r="I136" s="62" t="s">
        <v>2829</v>
      </c>
      <c r="J136" s="62" t="s">
        <v>271</v>
      </c>
    </row>
    <row r="137" spans="1:10" ht="15" x14ac:dyDescent="0.25">
      <c r="A137" s="40">
        <v>133</v>
      </c>
      <c r="B137" s="62" t="s">
        <v>2830</v>
      </c>
      <c r="C137" s="62" t="s">
        <v>2197</v>
      </c>
      <c r="D137" s="62" t="s">
        <v>2341</v>
      </c>
      <c r="E137" s="62" t="s">
        <v>2342</v>
      </c>
      <c r="F137" s="62">
        <v>86.381600000000006</v>
      </c>
      <c r="G137" s="62">
        <v>91.238299999999995</v>
      </c>
      <c r="H137" s="62" t="s">
        <v>2547</v>
      </c>
      <c r="I137" s="62" t="s">
        <v>2831</v>
      </c>
      <c r="J137" s="62" t="s">
        <v>271</v>
      </c>
    </row>
    <row r="138" spans="1:10" ht="15" x14ac:dyDescent="0.25">
      <c r="A138" s="40">
        <v>134</v>
      </c>
      <c r="B138" s="62" t="s">
        <v>2832</v>
      </c>
      <c r="C138" s="62" t="s">
        <v>172</v>
      </c>
      <c r="D138" s="62" t="s">
        <v>2341</v>
      </c>
      <c r="E138" s="62" t="s">
        <v>2342</v>
      </c>
      <c r="F138" s="62">
        <v>99.7988</v>
      </c>
      <c r="G138" s="62">
        <v>104.84869999999999</v>
      </c>
      <c r="H138" s="62" t="s">
        <v>2833</v>
      </c>
      <c r="I138" s="62" t="s">
        <v>2834</v>
      </c>
      <c r="J138" s="62" t="s">
        <v>271</v>
      </c>
    </row>
    <row r="139" spans="1:10" ht="15" x14ac:dyDescent="0.25">
      <c r="A139" s="40">
        <v>135</v>
      </c>
      <c r="B139" s="62" t="s">
        <v>2835</v>
      </c>
      <c r="C139" s="62" t="s">
        <v>174</v>
      </c>
      <c r="D139" s="62" t="s">
        <v>2341</v>
      </c>
      <c r="E139" s="62" t="s">
        <v>2342</v>
      </c>
      <c r="F139" s="62">
        <v>98.4739</v>
      </c>
      <c r="G139" s="62">
        <v>102.7795</v>
      </c>
      <c r="H139" s="62" t="s">
        <v>2836</v>
      </c>
      <c r="I139" s="62" t="s">
        <v>2837</v>
      </c>
      <c r="J139" s="62" t="s">
        <v>271</v>
      </c>
    </row>
    <row r="140" spans="1:10" ht="15" x14ac:dyDescent="0.25">
      <c r="A140" s="40">
        <v>136</v>
      </c>
      <c r="B140" s="62" t="s">
        <v>2838</v>
      </c>
      <c r="C140" s="62" t="s">
        <v>10</v>
      </c>
      <c r="D140" s="62" t="s">
        <v>2341</v>
      </c>
      <c r="E140" s="62" t="s">
        <v>2342</v>
      </c>
      <c r="F140" s="62">
        <v>67.921700000000001</v>
      </c>
      <c r="G140" s="62">
        <v>71.677300000000002</v>
      </c>
      <c r="H140" s="62" t="s">
        <v>2506</v>
      </c>
      <c r="I140" s="62" t="s">
        <v>2839</v>
      </c>
      <c r="J140" s="62" t="s">
        <v>271</v>
      </c>
    </row>
    <row r="141" spans="1:10" ht="15" x14ac:dyDescent="0.25">
      <c r="A141" s="40">
        <v>137</v>
      </c>
      <c r="B141" s="62" t="s">
        <v>2840</v>
      </c>
      <c r="C141" s="62" t="s">
        <v>177</v>
      </c>
      <c r="D141" s="62" t="s">
        <v>2341</v>
      </c>
      <c r="E141" s="62" t="s">
        <v>2342</v>
      </c>
      <c r="F141" s="62">
        <v>70.022300000000001</v>
      </c>
      <c r="G141" s="62">
        <v>75.602900000000005</v>
      </c>
      <c r="H141" s="62" t="s">
        <v>2551</v>
      </c>
      <c r="I141" s="62" t="s">
        <v>2841</v>
      </c>
      <c r="J141" s="62" t="s">
        <v>271</v>
      </c>
    </row>
    <row r="142" spans="1:10" ht="15" x14ac:dyDescent="0.25">
      <c r="A142" s="40">
        <v>138</v>
      </c>
      <c r="B142" s="62" t="s">
        <v>2842</v>
      </c>
      <c r="C142" s="62" t="s">
        <v>179</v>
      </c>
      <c r="D142" s="62" t="s">
        <v>2341</v>
      </c>
      <c r="E142" s="62" t="s">
        <v>2342</v>
      </c>
      <c r="F142" s="62">
        <v>98.314099999999996</v>
      </c>
      <c r="G142" s="62">
        <v>103.0119</v>
      </c>
      <c r="H142" s="62" t="s">
        <v>2843</v>
      </c>
      <c r="I142" s="62" t="s">
        <v>2844</v>
      </c>
      <c r="J142" s="62" t="s">
        <v>271</v>
      </c>
    </row>
    <row r="143" spans="1:10" ht="15" x14ac:dyDescent="0.25">
      <c r="A143" s="40">
        <v>139</v>
      </c>
      <c r="B143" s="62" t="s">
        <v>2845</v>
      </c>
      <c r="C143" s="62" t="s">
        <v>181</v>
      </c>
      <c r="D143" s="62" t="s">
        <v>2341</v>
      </c>
      <c r="E143" s="62" t="s">
        <v>2342</v>
      </c>
      <c r="F143" s="62">
        <v>90.677499999999995</v>
      </c>
      <c r="G143" s="62">
        <v>91.258099999999999</v>
      </c>
      <c r="H143" s="62" t="s">
        <v>2510</v>
      </c>
      <c r="I143" s="62" t="s">
        <v>2846</v>
      </c>
      <c r="J143" s="62" t="s">
        <v>271</v>
      </c>
    </row>
    <row r="144" spans="1:10" ht="15" x14ac:dyDescent="0.25">
      <c r="A144" s="40">
        <v>140</v>
      </c>
      <c r="B144" s="62" t="s">
        <v>2847</v>
      </c>
      <c r="C144" s="62" t="s">
        <v>183</v>
      </c>
      <c r="D144" s="62" t="s">
        <v>2341</v>
      </c>
      <c r="E144" s="62" t="s">
        <v>2342</v>
      </c>
      <c r="F144" s="62">
        <v>87.590199999999996</v>
      </c>
      <c r="G144" s="62">
        <v>91.798500000000004</v>
      </c>
      <c r="H144" s="62" t="s">
        <v>2848</v>
      </c>
      <c r="I144" s="62" t="s">
        <v>2849</v>
      </c>
      <c r="J144" s="62" t="s">
        <v>271</v>
      </c>
    </row>
    <row r="145" spans="1:10" ht="15" x14ac:dyDescent="0.25">
      <c r="A145" s="40">
        <v>141</v>
      </c>
      <c r="B145" s="62" t="s">
        <v>2850</v>
      </c>
      <c r="C145" s="62" t="s">
        <v>5</v>
      </c>
      <c r="D145" s="62" t="s">
        <v>2341</v>
      </c>
      <c r="E145" s="62" t="s">
        <v>2342</v>
      </c>
      <c r="F145" s="62">
        <v>84.954800000000006</v>
      </c>
      <c r="G145" s="62">
        <v>87.684600000000003</v>
      </c>
      <c r="H145" s="62" t="s">
        <v>2607</v>
      </c>
      <c r="I145" s="62" t="s">
        <v>2851</v>
      </c>
      <c r="J145" s="62" t="s">
        <v>271</v>
      </c>
    </row>
    <row r="146" spans="1:10" ht="15" x14ac:dyDescent="0.25">
      <c r="A146" s="40">
        <v>142</v>
      </c>
      <c r="B146" s="62" t="s">
        <v>2852</v>
      </c>
      <c r="C146" s="62" t="s">
        <v>186</v>
      </c>
      <c r="D146" s="62" t="s">
        <v>2341</v>
      </c>
      <c r="E146" s="62" t="s">
        <v>2342</v>
      </c>
      <c r="F146" s="62">
        <v>81.078400000000002</v>
      </c>
      <c r="G146" s="62">
        <v>81.200400000000002</v>
      </c>
      <c r="H146" s="62" t="s">
        <v>2853</v>
      </c>
      <c r="I146" s="62" t="s">
        <v>2854</v>
      </c>
      <c r="J146" s="62" t="s">
        <v>271</v>
      </c>
    </row>
    <row r="147" spans="1:10" ht="15" x14ac:dyDescent="0.25">
      <c r="A147" s="40">
        <v>143</v>
      </c>
      <c r="B147" s="62" t="s">
        <v>2855</v>
      </c>
      <c r="C147" s="62" t="s">
        <v>188</v>
      </c>
      <c r="D147" s="62" t="s">
        <v>2341</v>
      </c>
      <c r="E147" s="62" t="s">
        <v>2342</v>
      </c>
      <c r="F147" s="62">
        <v>81.943100000000001</v>
      </c>
      <c r="G147" s="62">
        <v>87.9375</v>
      </c>
      <c r="H147" s="62" t="s">
        <v>2553</v>
      </c>
      <c r="I147" s="62" t="s">
        <v>2856</v>
      </c>
      <c r="J147" s="62" t="s">
        <v>271</v>
      </c>
    </row>
    <row r="148" spans="1:10" ht="15" x14ac:dyDescent="0.25">
      <c r="A148" s="40">
        <v>144</v>
      </c>
      <c r="B148" s="62" t="s">
        <v>2857</v>
      </c>
      <c r="C148" s="62" t="s">
        <v>190</v>
      </c>
      <c r="D148" s="62" t="s">
        <v>2341</v>
      </c>
      <c r="E148" s="62" t="s">
        <v>2342</v>
      </c>
      <c r="F148" s="62">
        <v>76.539699999999996</v>
      </c>
      <c r="G148" s="62">
        <v>82.275599999999997</v>
      </c>
      <c r="H148" s="62" t="s">
        <v>2858</v>
      </c>
      <c r="I148" s="62" t="s">
        <v>2859</v>
      </c>
      <c r="J148" s="62" t="s">
        <v>271</v>
      </c>
    </row>
    <row r="149" spans="1:10" ht="15" x14ac:dyDescent="0.25">
      <c r="A149" s="40">
        <v>145</v>
      </c>
      <c r="B149" s="62" t="s">
        <v>2860</v>
      </c>
      <c r="C149" s="62" t="s">
        <v>192</v>
      </c>
      <c r="D149" s="62" t="s">
        <v>2341</v>
      </c>
      <c r="E149" s="62" t="s">
        <v>2342</v>
      </c>
      <c r="F149" s="62">
        <v>74.543300000000002</v>
      </c>
      <c r="G149" s="62">
        <v>75.460599999999999</v>
      </c>
      <c r="H149" s="62" t="s">
        <v>2861</v>
      </c>
      <c r="I149" s="62" t="s">
        <v>2862</v>
      </c>
      <c r="J149" s="62" t="s">
        <v>271</v>
      </c>
    </row>
    <row r="150" spans="1:10" ht="15" x14ac:dyDescent="0.25">
      <c r="A150" s="40">
        <v>146</v>
      </c>
      <c r="B150" s="62" t="s">
        <v>2863</v>
      </c>
      <c r="C150" s="62" t="s">
        <v>194</v>
      </c>
      <c r="D150" s="62" t="s">
        <v>2341</v>
      </c>
      <c r="E150" s="62" t="s">
        <v>2342</v>
      </c>
      <c r="F150" s="62">
        <v>72.447699999999998</v>
      </c>
      <c r="G150" s="62">
        <v>77.397000000000006</v>
      </c>
      <c r="H150" s="62" t="s">
        <v>2864</v>
      </c>
      <c r="I150" s="62" t="s">
        <v>2792</v>
      </c>
      <c r="J150" s="62" t="s">
        <v>271</v>
      </c>
    </row>
    <row r="151" spans="1:10" ht="15" x14ac:dyDescent="0.25">
      <c r="A151" s="40">
        <v>147</v>
      </c>
      <c r="B151" s="62" t="s">
        <v>2865</v>
      </c>
      <c r="C151" s="62" t="s">
        <v>196</v>
      </c>
      <c r="D151" s="62" t="s">
        <v>2341</v>
      </c>
      <c r="E151" s="62" t="s">
        <v>2342</v>
      </c>
      <c r="F151" s="62">
        <v>66.436300000000003</v>
      </c>
      <c r="G151" s="62">
        <v>70.573899999999995</v>
      </c>
      <c r="H151" s="62" t="s">
        <v>2600</v>
      </c>
      <c r="I151" s="62" t="s">
        <v>2866</v>
      </c>
      <c r="J151" s="62" t="s">
        <v>271</v>
      </c>
    </row>
    <row r="152" spans="1:10" ht="15" x14ac:dyDescent="0.25">
      <c r="A152" s="40">
        <v>148</v>
      </c>
      <c r="B152" s="62" t="s">
        <v>2867</v>
      </c>
      <c r="C152" s="62" t="s">
        <v>198</v>
      </c>
      <c r="D152" s="62" t="s">
        <v>2341</v>
      </c>
      <c r="E152" s="62" t="s">
        <v>2342</v>
      </c>
      <c r="F152" s="62">
        <v>65.518799999999999</v>
      </c>
      <c r="G152" s="62">
        <v>69.1143</v>
      </c>
      <c r="H152" s="62" t="s">
        <v>2600</v>
      </c>
      <c r="I152" s="62" t="s">
        <v>2868</v>
      </c>
      <c r="J152" s="62" t="s">
        <v>271</v>
      </c>
    </row>
    <row r="153" spans="1:10" ht="15" x14ac:dyDescent="0.25">
      <c r="A153" s="40">
        <v>149</v>
      </c>
      <c r="B153" s="62" t="s">
        <v>2869</v>
      </c>
      <c r="C153" s="62" t="s">
        <v>200</v>
      </c>
      <c r="D153" s="62" t="s">
        <v>2341</v>
      </c>
      <c r="E153" s="62" t="s">
        <v>2342</v>
      </c>
      <c r="F153" s="62">
        <v>71.0047</v>
      </c>
      <c r="G153" s="62">
        <v>71.933000000000007</v>
      </c>
      <c r="H153" s="62" t="s">
        <v>2870</v>
      </c>
      <c r="I153" s="62" t="s">
        <v>2871</v>
      </c>
      <c r="J153" s="62" t="s">
        <v>271</v>
      </c>
    </row>
    <row r="154" spans="1:10" ht="15" x14ac:dyDescent="0.25">
      <c r="A154" s="40">
        <v>150</v>
      </c>
      <c r="B154" s="62" t="s">
        <v>2872</v>
      </c>
      <c r="C154" s="62" t="s">
        <v>202</v>
      </c>
      <c r="D154" s="62" t="s">
        <v>2341</v>
      </c>
      <c r="E154" s="62" t="s">
        <v>2342</v>
      </c>
      <c r="F154" s="62">
        <v>71.799000000000007</v>
      </c>
      <c r="G154" s="62">
        <v>79.104299999999995</v>
      </c>
      <c r="H154" s="62" t="s">
        <v>2870</v>
      </c>
      <c r="I154" s="62" t="s">
        <v>2873</v>
      </c>
      <c r="J154" s="62" t="s">
        <v>271</v>
      </c>
    </row>
    <row r="155" spans="1:10" ht="15" x14ac:dyDescent="0.25">
      <c r="A155" s="40">
        <v>151</v>
      </c>
      <c r="B155" s="62" t="s">
        <v>2874</v>
      </c>
      <c r="C155" s="62" t="s">
        <v>204</v>
      </c>
      <c r="D155" s="62" t="s">
        <v>2341</v>
      </c>
      <c r="E155" s="62" t="s">
        <v>2342</v>
      </c>
      <c r="F155" s="62">
        <v>80.109399999999994</v>
      </c>
      <c r="G155" s="62">
        <v>85.070800000000006</v>
      </c>
      <c r="H155" s="62" t="s">
        <v>2553</v>
      </c>
      <c r="I155" s="62" t="s">
        <v>2875</v>
      </c>
      <c r="J155" s="62" t="s">
        <v>271</v>
      </c>
    </row>
    <row r="156" spans="1:10" ht="15" x14ac:dyDescent="0.25">
      <c r="A156" s="40">
        <v>152</v>
      </c>
      <c r="B156" s="62" t="s">
        <v>2876</v>
      </c>
      <c r="C156" s="62" t="s">
        <v>206</v>
      </c>
      <c r="D156" s="62" t="s">
        <v>2341</v>
      </c>
      <c r="E156" s="62" t="s">
        <v>2342</v>
      </c>
      <c r="F156" s="62">
        <v>75.783000000000001</v>
      </c>
      <c r="G156" s="62">
        <v>77.977400000000003</v>
      </c>
      <c r="H156" s="62" t="s">
        <v>2877</v>
      </c>
      <c r="I156" s="62" t="s">
        <v>2878</v>
      </c>
      <c r="J156" s="62" t="s">
        <v>271</v>
      </c>
    </row>
    <row r="157" spans="1:10" ht="15" x14ac:dyDescent="0.25">
      <c r="A157" s="40">
        <v>153</v>
      </c>
      <c r="B157" s="62" t="s">
        <v>2879</v>
      </c>
      <c r="C157" s="62" t="s">
        <v>208</v>
      </c>
      <c r="D157" s="62" t="s">
        <v>2341</v>
      </c>
      <c r="E157" s="62" t="s">
        <v>2342</v>
      </c>
      <c r="F157" s="62">
        <v>74.025400000000005</v>
      </c>
      <c r="G157" s="62">
        <v>74.117099999999994</v>
      </c>
      <c r="H157" s="62" t="s">
        <v>2880</v>
      </c>
      <c r="I157" s="62" t="s">
        <v>2881</v>
      </c>
      <c r="J157" s="62" t="s">
        <v>271</v>
      </c>
    </row>
    <row r="158" spans="1:10" ht="15" x14ac:dyDescent="0.25">
      <c r="A158" s="40">
        <v>154</v>
      </c>
      <c r="B158" s="62" t="s">
        <v>2882</v>
      </c>
      <c r="C158" s="62" t="s">
        <v>210</v>
      </c>
      <c r="D158" s="62" t="s">
        <v>2341</v>
      </c>
      <c r="E158" s="62" t="s">
        <v>2342</v>
      </c>
      <c r="F158" s="62">
        <v>59.952599999999997</v>
      </c>
      <c r="G158" s="62">
        <v>61.271700000000003</v>
      </c>
      <c r="H158" s="62" t="s">
        <v>2524</v>
      </c>
      <c r="I158" s="62" t="s">
        <v>2883</v>
      </c>
      <c r="J158" s="62" t="s">
        <v>271</v>
      </c>
    </row>
    <row r="159" spans="1:10" ht="15" x14ac:dyDescent="0.25">
      <c r="A159" s="40">
        <v>155</v>
      </c>
      <c r="B159" s="62" t="s">
        <v>2884</v>
      </c>
      <c r="C159" s="62" t="s">
        <v>212</v>
      </c>
      <c r="D159" s="62" t="s">
        <v>2341</v>
      </c>
      <c r="E159" s="62" t="s">
        <v>2342</v>
      </c>
      <c r="F159" s="62">
        <v>60.215800000000002</v>
      </c>
      <c r="G159" s="62">
        <v>65.653300000000002</v>
      </c>
      <c r="H159" s="62" t="s">
        <v>2547</v>
      </c>
      <c r="I159" s="62" t="s">
        <v>2885</v>
      </c>
      <c r="J159" s="62" t="s">
        <v>271</v>
      </c>
    </row>
    <row r="160" spans="1:10" ht="15" x14ac:dyDescent="0.25">
      <c r="A160" s="40">
        <v>156</v>
      </c>
      <c r="B160" s="62" t="s">
        <v>2886</v>
      </c>
      <c r="C160" s="62" t="s">
        <v>214</v>
      </c>
      <c r="D160" s="62" t="s">
        <v>2341</v>
      </c>
      <c r="E160" s="62" t="s">
        <v>2342</v>
      </c>
      <c r="F160" s="62">
        <v>56.7806</v>
      </c>
      <c r="G160" s="62">
        <v>59.102800000000002</v>
      </c>
      <c r="H160" s="62" t="s">
        <v>2549</v>
      </c>
      <c r="I160" s="62" t="s">
        <v>2887</v>
      </c>
      <c r="J160" s="62" t="s">
        <v>271</v>
      </c>
    </row>
    <row r="161" spans="1:10" ht="15" x14ac:dyDescent="0.25">
      <c r="A161" s="40">
        <v>157</v>
      </c>
      <c r="B161" s="62" t="s">
        <v>2888</v>
      </c>
      <c r="C161" s="62" t="s">
        <v>12</v>
      </c>
      <c r="D161" s="62" t="s">
        <v>2341</v>
      </c>
      <c r="E161" s="62" t="s">
        <v>2342</v>
      </c>
      <c r="F161" s="62">
        <v>61.674700000000001</v>
      </c>
      <c r="G161" s="62">
        <v>64.6785</v>
      </c>
      <c r="H161" s="62" t="s">
        <v>2551</v>
      </c>
      <c r="I161" s="62" t="s">
        <v>2889</v>
      </c>
      <c r="J161" s="62" t="s">
        <v>271</v>
      </c>
    </row>
    <row r="162" spans="1:10" ht="15" x14ac:dyDescent="0.25">
      <c r="A162" s="40">
        <v>158</v>
      </c>
      <c r="B162" s="62" t="s">
        <v>2890</v>
      </c>
      <c r="C162" s="62" t="s">
        <v>13</v>
      </c>
      <c r="D162" s="62" t="s">
        <v>2341</v>
      </c>
      <c r="E162" s="62" t="s">
        <v>2342</v>
      </c>
      <c r="F162" s="62">
        <v>60.298699999999997</v>
      </c>
      <c r="G162" s="62">
        <v>65.611500000000007</v>
      </c>
      <c r="H162" s="62" t="s">
        <v>2554</v>
      </c>
      <c r="I162" s="62" t="s">
        <v>2891</v>
      </c>
      <c r="J162" s="62" t="s">
        <v>271</v>
      </c>
    </row>
    <row r="163" spans="1:10" ht="17.25" customHeight="1" x14ac:dyDescent="0.25">
      <c r="A163" s="40">
        <v>159</v>
      </c>
      <c r="B163" s="62" t="s">
        <v>2892</v>
      </c>
      <c r="C163" s="62" t="s">
        <v>218</v>
      </c>
      <c r="D163" s="62" t="s">
        <v>2341</v>
      </c>
      <c r="E163" s="62" t="s">
        <v>2342</v>
      </c>
      <c r="F163" s="62">
        <v>54.178899999999999</v>
      </c>
      <c r="G163" s="62">
        <v>60.235599999999998</v>
      </c>
      <c r="H163" s="62" t="s">
        <v>2843</v>
      </c>
      <c r="I163" s="62" t="s">
        <v>2893</v>
      </c>
      <c r="J163" s="62" t="s">
        <v>271</v>
      </c>
    </row>
    <row r="164" spans="1:10" ht="17.25" customHeight="1" x14ac:dyDescent="0.25">
      <c r="A164" s="40">
        <v>160</v>
      </c>
      <c r="B164" s="62" t="s">
        <v>2894</v>
      </c>
      <c r="C164" s="62" t="s">
        <v>220</v>
      </c>
      <c r="D164" s="62" t="s">
        <v>2341</v>
      </c>
      <c r="E164" s="62" t="s">
        <v>2342</v>
      </c>
      <c r="F164" s="62">
        <v>55.998199999999997</v>
      </c>
      <c r="G164" s="62">
        <v>57.4131</v>
      </c>
      <c r="H164" s="62" t="s">
        <v>2843</v>
      </c>
      <c r="I164" s="62" t="s">
        <v>2895</v>
      </c>
      <c r="J164" s="62" t="s">
        <v>271</v>
      </c>
    </row>
    <row r="165" spans="1:10" ht="17.25" customHeight="1" x14ac:dyDescent="0.25">
      <c r="A165" s="15">
        <v>161</v>
      </c>
      <c r="B165" s="62" t="s">
        <v>2896</v>
      </c>
      <c r="C165" s="62" t="s">
        <v>222</v>
      </c>
      <c r="D165" s="62" t="s">
        <v>2341</v>
      </c>
      <c r="E165" s="62" t="s">
        <v>2342</v>
      </c>
      <c r="F165" s="62">
        <v>55.497900000000001</v>
      </c>
      <c r="G165" s="62">
        <v>60.380400000000002</v>
      </c>
      <c r="H165" s="62" t="s">
        <v>2897</v>
      </c>
      <c r="I165" s="62" t="s">
        <v>2898</v>
      </c>
      <c r="J165" s="62" t="s">
        <v>271</v>
      </c>
    </row>
    <row r="166" spans="1:10" ht="17.25" customHeight="1" x14ac:dyDescent="0.25">
      <c r="A166" s="15">
        <v>162</v>
      </c>
      <c r="B166" s="62" t="s">
        <v>2899</v>
      </c>
      <c r="C166" s="62" t="s">
        <v>224</v>
      </c>
      <c r="D166" s="62" t="s">
        <v>2341</v>
      </c>
      <c r="E166" s="62" t="s">
        <v>2342</v>
      </c>
      <c r="F166" s="62">
        <v>54.583799999999997</v>
      </c>
      <c r="G166" s="62">
        <v>54.583799999999997</v>
      </c>
      <c r="H166" s="62" t="s">
        <v>2900</v>
      </c>
      <c r="I166" s="62" t="s">
        <v>2901</v>
      </c>
      <c r="J166" s="62" t="s">
        <v>271</v>
      </c>
    </row>
    <row r="167" spans="1:10" ht="17.25" customHeight="1" x14ac:dyDescent="0.25">
      <c r="A167" s="15">
        <v>163</v>
      </c>
      <c r="B167" s="62" t="s">
        <v>2902</v>
      </c>
      <c r="C167" s="62" t="s">
        <v>2083</v>
      </c>
      <c r="D167" s="62" t="s">
        <v>2341</v>
      </c>
      <c r="E167" s="62" t="s">
        <v>2342</v>
      </c>
      <c r="F167" s="62">
        <v>100</v>
      </c>
      <c r="G167" s="62">
        <v>107.20229999999999</v>
      </c>
      <c r="H167" s="62" t="s">
        <v>2453</v>
      </c>
      <c r="I167" s="62" t="s">
        <v>2903</v>
      </c>
      <c r="J167" s="62" t="s">
        <v>271</v>
      </c>
    </row>
    <row r="168" spans="1:10" ht="17.25" customHeight="1" x14ac:dyDescent="0.25">
      <c r="A168" s="15">
        <v>164</v>
      </c>
      <c r="B168" s="62" t="s">
        <v>2904</v>
      </c>
      <c r="C168" s="62" t="s">
        <v>2495</v>
      </c>
      <c r="D168" s="62" t="s">
        <v>2341</v>
      </c>
      <c r="E168" s="62" t="s">
        <v>2346</v>
      </c>
      <c r="F168" s="62">
        <v>99.218999999999994</v>
      </c>
      <c r="G168" s="62">
        <v>99.218999999999994</v>
      </c>
      <c r="H168" s="62" t="s">
        <v>2905</v>
      </c>
      <c r="I168" s="62" t="s">
        <v>2906</v>
      </c>
      <c r="J168" s="62" t="s">
        <v>271</v>
      </c>
    </row>
    <row r="169" spans="1:10" ht="17.25" customHeight="1" x14ac:dyDescent="0.25">
      <c r="A169" s="15">
        <v>165</v>
      </c>
      <c r="B169" s="62" t="s">
        <v>2907</v>
      </c>
      <c r="C169" s="62" t="s">
        <v>1577</v>
      </c>
      <c r="D169" s="62" t="s">
        <v>2322</v>
      </c>
      <c r="E169" s="62" t="s">
        <v>2347</v>
      </c>
      <c r="F169" s="115">
        <v>3371.5360000000001</v>
      </c>
      <c r="G169" s="115">
        <v>3371.5360000000001</v>
      </c>
      <c r="H169" s="62" t="s">
        <v>343</v>
      </c>
      <c r="I169" s="62" t="s">
        <v>2908</v>
      </c>
      <c r="J169" s="62" t="s">
        <v>2358</v>
      </c>
    </row>
    <row r="170" spans="1:10" ht="17.25" customHeight="1" x14ac:dyDescent="0.25">
      <c r="A170" s="15">
        <v>166</v>
      </c>
      <c r="B170" s="62" t="s">
        <v>2909</v>
      </c>
      <c r="C170" s="62" t="s">
        <v>429</v>
      </c>
      <c r="D170" s="62" t="s">
        <v>2322</v>
      </c>
      <c r="E170" s="62" t="s">
        <v>2348</v>
      </c>
      <c r="F170" s="62">
        <v>96.860100000000003</v>
      </c>
      <c r="G170" s="62">
        <v>97.682299999999998</v>
      </c>
      <c r="H170" s="62" t="s">
        <v>2555</v>
      </c>
      <c r="I170" s="62" t="s">
        <v>2910</v>
      </c>
      <c r="J170" s="62" t="s">
        <v>271</v>
      </c>
    </row>
    <row r="1048563" spans="6:6" ht="17.25" customHeight="1" x14ac:dyDescent="0.25">
      <c r="F1048563" t="s">
        <v>2480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D7DA12D0-76AE-43AD-A9A5-34768691F04E}"/>
    <hyperlink ref="E5" r:id="rId2" display="https://kase.kz/ru/listing/issuers/AIRA" xr:uid="{C6E201B3-329C-4531-B68D-34DD77239F7C}"/>
    <hyperlink ref="B6" r:id="rId3" display="https://kase.kz/ru/investors/depts/AIRAd" xr:uid="{73756404-A529-426E-B404-3D1D6738D99C}"/>
    <hyperlink ref="E6" r:id="rId4" display="https://kase.kz/ru/listing/issuers/AIRA" xr:uid="{97364567-9A1C-4568-BE0D-3D35401D3C1F}"/>
    <hyperlink ref="B7" r:id="rId5" display="https://kase.kz/ru/investors/shares/AKZM" xr:uid="{922F604C-BBF7-43D0-89C3-B60BF79C0E4D}"/>
    <hyperlink ref="E7" r:id="rId6" display="https://kase.kz/ru/listing/issuers/AKZM" xr:uid="{0999B121-20A9-41AB-BB16-4ED0AE6AD2F5}"/>
    <hyperlink ref="B8" r:id="rId7" display="https://kase.kz/ru/investors/bonds/ALMSb1" xr:uid="{E6057446-073D-4B50-8117-B2533AFB28D5}"/>
    <hyperlink ref="E8" r:id="rId8" display="https://kase.kz/ru/listing/issuers/ALMS" xr:uid="{00FDA099-9EC8-49A3-A140-E9EE1C2A5B45}"/>
    <hyperlink ref="B9" r:id="rId9" display="https://kase.kz/ru/investors/mifs/BCCI_cc" xr:uid="{A8916BD5-581F-4779-9750-F147197D096D}"/>
    <hyperlink ref="E9" r:id="rId10" display="https://kase.kz/ru/listing/issuers/BCCI" xr:uid="{DAE464CF-E450-4ED0-AB4D-967D6458D91E}"/>
    <hyperlink ref="B10" r:id="rId11" display="https://kase.kz/ru/investors/mifs/BCCIbe" xr:uid="{91255683-DDAA-45AB-BE23-764A678A56C2}"/>
    <hyperlink ref="E10" r:id="rId12" display="https://kase.kz/ru/listing/issuers/BCCI" xr:uid="{5223FA22-6E1B-49CE-BB3A-6E0ADF1883A9}"/>
    <hyperlink ref="B11" r:id="rId13" display="https://kase.kz/ru/investors/bonds/BIGDb5" xr:uid="{60C213C8-EDD9-480B-A956-FF8F7B1106A3}"/>
    <hyperlink ref="E11" r:id="rId14" display="https://kase.kz/ru/listing/issuers/BIGD" xr:uid="{099126A7-7B8D-4C9F-A1E3-7B9B380E5B25}"/>
    <hyperlink ref="B12" r:id="rId15" display="https://kase.kz/ru/investors/bonds/BRKZe4" xr:uid="{48323CC4-F486-4C1A-B434-87290BE08AB2}"/>
    <hyperlink ref="E12" r:id="rId16" display="https://kase.kz/ru/listing/issuers/BRKZ" xr:uid="{B59EEBB2-BDAB-4532-B6DA-8594BCA7455F}"/>
    <hyperlink ref="B13" r:id="rId17" display="https://kase.kz/ru/investors/bonds/BTRKe1" xr:uid="{B1979D8A-5991-40B5-B26E-E65528899F5A}"/>
    <hyperlink ref="E13" r:id="rId18" display="https://kase.kz/ru/listing/issuers/BTRK" xr:uid="{DFE380D0-4ACE-4A97-A33E-DA6DF3766088}"/>
    <hyperlink ref="B14" r:id="rId19" display="https://kase.kz/ru/investors/shares/CCBN" xr:uid="{D9FC42E3-1901-4544-AC5D-A865B9E22CE1}"/>
    <hyperlink ref="E14" r:id="rId20" display="https://kase.kz/ru/listing/issuers/CCBN" xr:uid="{BE6B9D06-B4F6-4023-987D-018CDB43816E}"/>
    <hyperlink ref="B15" r:id="rId21" display="https://kase.kz/ru/investors/shares/CCBNp" xr:uid="{AF9D3D13-C122-4C89-A480-96BE6778EFC2}"/>
    <hyperlink ref="E15" r:id="rId22" display="https://kase.kz/ru/listing/issuers/CCBN" xr:uid="{887B2145-7C95-4854-85F8-A1A94C858779}"/>
    <hyperlink ref="B16" r:id="rId23" display="https://kase.kz/ru/investors/mifs/CSECfe" xr:uid="{3FB231FA-C3A3-4ADE-81F1-F3BE548C136F}"/>
    <hyperlink ref="E16" r:id="rId24" display="https://kase.kz/ru/listing/issuers/CSEC" xr:uid="{660F565C-42E2-47A5-AECB-B1CB83129362}"/>
    <hyperlink ref="B17" r:id="rId25" display="https://kase.kz/ru/investors/mifs/CSECtf" xr:uid="{A6438D45-DD97-4867-9EFA-93B4A0187E30}"/>
    <hyperlink ref="E17" r:id="rId26" display="https://kase.kz/ru/listing/issuers/CSEC" xr:uid="{DA0FFB5D-C76D-4126-8B49-2101ABB9143F}"/>
    <hyperlink ref="B18" r:id="rId27" display="https://kase.kz/ru/investors/bonds/EABRb40" xr:uid="{B2992374-4854-444B-8966-F9F99E1F4643}"/>
    <hyperlink ref="E18" r:id="rId28" display="https://kase.kz/ru/listing/issuers/EABR" xr:uid="{9620B922-B2F1-4A2C-9E0D-119641FAF17F}"/>
    <hyperlink ref="B19" r:id="rId29" display="https://kase.kz/ru/investors/bonds/EABRb42" xr:uid="{C79CB580-9956-4C2C-894A-0FA06DA6522B}"/>
    <hyperlink ref="E19" r:id="rId30" display="https://kase.kz/ru/listing/issuers/EABR" xr:uid="{5DA63CDD-12CF-435E-A8D6-61CEFD3AE036}"/>
    <hyperlink ref="B20" r:id="rId31" display="https://kase.kz/ru/investors/bonds/EABRb53" xr:uid="{4F4A1A06-A50C-4E8F-A5D0-B25DC91CC84B}"/>
    <hyperlink ref="E20" r:id="rId32" display="https://kase.kz/ru/listing/issuers/EABR" xr:uid="{212E08B1-BF7D-4D0A-B6A2-9D5E7319B3EF}"/>
    <hyperlink ref="B21" r:id="rId33" display="https://kase.kz/ru/investors/mifs/FFIN_or" xr:uid="{C290A42E-28D0-4464-8439-2F8C59CF74C9}"/>
    <hyperlink ref="E21" r:id="rId34" display="https://kase.kz/ru/listing/issuers/FFIN" xr:uid="{094E9070-C54A-49C0-98B0-78C8AF0F96D4}"/>
    <hyperlink ref="B22" r:id="rId35" display="https://kase.kz/ru/investors/mifs/FFINgw" xr:uid="{87D1257C-0101-4280-AE31-F17521FE50A7}"/>
    <hyperlink ref="E22" r:id="rId36" display="https://kase.kz/ru/listing/issuers/FFIN" xr:uid="{955736AD-7E03-4BEA-8D53-2160E10AD161}"/>
    <hyperlink ref="B23" r:id="rId37" display="https://kase.kz/ru/investors/mifs/HFINhl" xr:uid="{C52481BA-4C23-4F3B-A03B-7BA8A0CA6B1C}"/>
    <hyperlink ref="E23" r:id="rId38" display="https://kase.kz/ru/listing/issuers/HFIN" xr:uid="{16DEFCC1-7D78-4165-8817-F189310E7342}"/>
    <hyperlink ref="B24" r:id="rId39" display="https://kase.kz/ru/investors/mifs/HFINhp" xr:uid="{78BAF7CE-0907-4466-A506-25AB4B169FD7}"/>
    <hyperlink ref="E24" r:id="rId40" display="https://kase.kz/ru/listing/issuers/HFIN" xr:uid="{00B099CA-AC2C-45FB-9FD9-79FACE9B3B19}"/>
    <hyperlink ref="B25" r:id="rId41" display="https://kase.kz/ru/investors/mifs/HFINhs" xr:uid="{F8D7DE53-C24D-42B4-9889-092B07B7B8B5}"/>
    <hyperlink ref="E25" r:id="rId42" display="https://kase.kz/ru/listing/issuers/HFIN" xr:uid="{EC13CB53-62BB-4FDE-BBAD-DAEADB93C279}"/>
    <hyperlink ref="B26" r:id="rId43" display="https://kase.kz/ru/investors/mifs/HFINhv" xr:uid="{87C3775E-641F-4AD5-845B-F81485370F13}"/>
    <hyperlink ref="E26" r:id="rId44" display="https://kase.kz/ru/listing/issuers/HFIN" xr:uid="{0D8C8A00-39F4-4EA1-8F08-ED0DA744E693}"/>
    <hyperlink ref="B27" r:id="rId45" display="https://kase.kz/ru/investors/shares/HSBK" xr:uid="{64A67778-DD0D-4DDB-A4C1-D7F935129E95}"/>
    <hyperlink ref="E27" r:id="rId46" display="https://kase.kz/ru/listing/issuers/HSBK" xr:uid="{318EA52B-B677-4BB5-8596-D75BAA9A8652}"/>
    <hyperlink ref="B28" r:id="rId47" display="https://kase.kz/ru/investors/bonds/HSBKb22" xr:uid="{71016A38-0A26-4E7F-9A28-671CB7CC0ADD}"/>
    <hyperlink ref="E28" r:id="rId48" display="https://kase.kz/ru/listing/issuers/HSBK" xr:uid="{BCD234A7-F642-49C9-BD46-8991FCC90261}"/>
    <hyperlink ref="B29" r:id="rId49" display="https://kase.kz/ru/investors/depts/HSBKd" xr:uid="{4098FB02-C711-406E-B252-04B3779C5D2C}"/>
    <hyperlink ref="E29" r:id="rId50" display="https://kase.kz/ru/listing/issuers/HSBK" xr:uid="{97006820-20D1-40A2-85F4-8091798F9E42}"/>
    <hyperlink ref="B30" r:id="rId51" display="https://kase.kz/ru/investors/shares/IFDR" xr:uid="{266E47D2-DF87-4AC3-9BF5-C2E327EE6E41}"/>
    <hyperlink ref="E30" r:id="rId52" display="https://kase.kz/ru/listing/issuers/TCIB" xr:uid="{C0CC3435-85F9-4C91-9E1D-FEDE5F47948C}"/>
    <hyperlink ref="B31" r:id="rId53" display="https://kase.kz/ru/investors/shares/KCEL" xr:uid="{17D251B0-854D-412E-813B-9EA15B0990BB}"/>
    <hyperlink ref="E31" r:id="rId54" display="https://kase.kz/ru/listing/issuers/KCEL" xr:uid="{E79FC04F-5841-469D-8BA7-5297A6CB07F9}"/>
    <hyperlink ref="B32" r:id="rId55" display="https://kase.kz/ru/investors/shares/KEGC" xr:uid="{F908B226-4E84-4E1A-8FA7-650667179273}"/>
    <hyperlink ref="E32" r:id="rId56" display="https://kase.kz/ru/listing/issuers/KEGC" xr:uid="{33608B6F-A806-48E7-81BD-0CF6DB2287D1}"/>
    <hyperlink ref="B33" r:id="rId57" display="https://kase.kz/ru/investors/shares/KMGZ" xr:uid="{141C1C78-3B52-418E-8368-464C8F43F7D3}"/>
    <hyperlink ref="E33" r:id="rId58" display="https://kase.kz/ru/listing/issuers/KMGZ" xr:uid="{7617870A-C0AC-46A5-B776-1328A68A2E39}"/>
    <hyperlink ref="B34" r:id="rId59" display="https://kase.kz/ru/investors/bonds/KMGZe12" xr:uid="{30483A3F-2CDB-4E00-A5ED-4FB0A3D4B935}"/>
    <hyperlink ref="E34" r:id="rId60" display="https://kase.kz/ru/listing/issuers/KMGZ" xr:uid="{729E7613-973E-42F5-A716-3CC4F7025DFD}"/>
    <hyperlink ref="B35" r:id="rId61" display="https://kase.kz/ru/investors/bonds/KMGZe15" xr:uid="{7A00B960-A8AD-45C0-94EF-8F16CCEEDB8B}"/>
    <hyperlink ref="E35" r:id="rId62" display="https://kase.kz/ru/listing/issuers/KMGZ" xr:uid="{7B6C35B8-3162-4621-A662-64261DF07630}"/>
    <hyperlink ref="B36" r:id="rId63" display="https://kase.kz/ru/investors/shares/KSPI" xr:uid="{D13B8978-CA94-40BA-A0B4-7806C00E3E90}"/>
    <hyperlink ref="E36" r:id="rId64" display="https://kase.kz/ru/listing/issuers/KSPI" xr:uid="{73037589-EFD8-4205-B7B2-3F1BF17AC1D0}"/>
    <hyperlink ref="B37" r:id="rId65" display="https://kase.kz/ru/investors/depts/KSPId" xr:uid="{75AE6F62-6588-4D9C-B23E-3CF3445D60B4}"/>
    <hyperlink ref="E37" r:id="rId66" display="https://kase.kz/ru/listing/issuers/KSPI" xr:uid="{4EE9953C-4898-49DC-93CB-679818A0AFC3}"/>
    <hyperlink ref="B38" r:id="rId67" display="https://kase.kz/ru/investors/shares/KZAP" xr:uid="{C03CF980-DB2B-40DC-BE7D-3558DA43C124}"/>
    <hyperlink ref="E38" r:id="rId68" display="https://kase.kz/ru/listing/issuers/KZAP" xr:uid="{76425541-CAEB-46F4-926B-99AAA7380BD7}"/>
    <hyperlink ref="B39" r:id="rId69" display="https://kase.kz/ru/investors/bonds/KZTCb3" xr:uid="{5CF25808-423E-4A6D-AE2F-67B4004EAF7A}"/>
    <hyperlink ref="E39" r:id="rId70" display="https://kase.kz/ru/listing/issuers/KZTC" xr:uid="{46B1C86C-766C-415D-9215-88B7930544D5}"/>
    <hyperlink ref="B40" r:id="rId71" display="https://kase.kz/ru/investors/shares/KZTK" xr:uid="{06D3DF60-8190-4075-9254-4CBEADAACE33}"/>
    <hyperlink ref="E40" r:id="rId72" display="https://kase.kz/ru/listing/issuers/KZTK" xr:uid="{82D3A1C7-FAE5-47E5-BB7C-322BCDCDC287}"/>
    <hyperlink ref="B41" r:id="rId73" display="https://kase.kz/ru/investors/shares/KZTKp" xr:uid="{98BA9BCA-40FC-46CF-B44C-F06FF20CB325}"/>
    <hyperlink ref="E41" r:id="rId74" display="https://kase.kz/ru/listing/issuers/KZTK" xr:uid="{B6267775-9607-4CD8-BA4B-38CB58420BBE}"/>
    <hyperlink ref="B42" r:id="rId75" display="https://kase.kz/ru/investors/shares/KZTO" xr:uid="{2E9852E3-7F5A-48D7-9836-673BB9BE7BB1}"/>
    <hyperlink ref="E42" r:id="rId76" display="https://kase.kz/ru/listing/issuers/KZTO" xr:uid="{8E02492E-01B5-41C8-9ABC-F4C111D1F752}"/>
    <hyperlink ref="B43" r:id="rId77" display="https://kase.kz/ru/investors/gsecs/KZ_23_3504" xr:uid="{22882ACD-F2AB-4497-9B62-6EB5A1CB7092}"/>
    <hyperlink ref="E43" r:id="rId78" display="https://kase.kz/ru/listing/issuers/MFRK" xr:uid="{CB8C8FC8-F50D-4FEE-BD70-74C874133A5E}"/>
    <hyperlink ref="B44" r:id="rId79" display="https://kase.kz/ru/investors/bonds/MFDFb1" xr:uid="{572A5A50-8965-4B86-B6CF-F92EE8EFAC6C}"/>
    <hyperlink ref="E44" r:id="rId80" display="https://kase.kz/ru/listing/issuers/MFDF" xr:uid="{E3C0E616-F543-4857-B617-BE7482FA257F}"/>
    <hyperlink ref="B45" r:id="rId81" display="https://kase.kz/ru/investors/bonds/MFDFb3" xr:uid="{88044EDA-ECB0-4C4D-82AB-162181D32F2C}"/>
    <hyperlink ref="E45" r:id="rId82" display="https://kase.kz/ru/listing/issuers/MFDF" xr:uid="{2EFEBF5E-89E6-41C1-AFA2-0E2D3DBBB343}"/>
    <hyperlink ref="B46" r:id="rId83" display="https://kase.kz/ru/investors/bonds/MFLGb14" xr:uid="{38B858EE-670C-4673-95ED-B3FBE3099C64}"/>
    <hyperlink ref="E46" r:id="rId84" display="https://kase.kz/ru/listing/issuers/MFLG" xr:uid="{D7627275-B34D-4E59-9EC0-C76C925A19EA}"/>
    <hyperlink ref="B47" r:id="rId85" display="https://kase.kz/ru/investors/bonds/MFMOb10" xr:uid="{D420729C-71E0-4606-946C-080E48F32FCC}"/>
    <hyperlink ref="E47" r:id="rId86" display="https://kase.kz/ru/listing/issuers/MFMO" xr:uid="{2BA0F789-7073-4A7B-82D4-1C07F7AF72D7}"/>
    <hyperlink ref="B48" r:id="rId87" display="https://kase.kz/ru/investors/bonds/MFMOb17" xr:uid="{3E611A54-9606-4D0C-BC7A-1A24AFF9BFF1}"/>
    <hyperlink ref="E48" r:id="rId88" display="https://kase.kz/ru/listing/issuers/MFMO" xr:uid="{CDDB9F5E-413B-41F2-ACD4-C64800A11628}"/>
    <hyperlink ref="B49" r:id="rId89" display="https://kase.kz/ru/investors/bonds/MFMOb20" xr:uid="{8F155383-1161-4B64-B458-5E20E20F837F}"/>
    <hyperlink ref="E49" r:id="rId90" display="https://kase.kz/ru/listing/issuers/MFMO" xr:uid="{3889F0A0-89B6-4935-8DAC-07E45CBCC019}"/>
    <hyperlink ref="B50" r:id="rId91" display="https://kase.kz/ru/investors/bonds/MFMOb25" xr:uid="{46959D86-29FE-4A0E-9FF1-0D1C44E139BE}"/>
    <hyperlink ref="E50" r:id="rId92" display="https://kase.kz/ru/listing/issuers/MFMO" xr:uid="{96B616A9-B749-4A73-AB6F-0C41EEC68C1D}"/>
    <hyperlink ref="B51" r:id="rId93" display="https://kase.kz/ru/investors/bonds/MFMOb26" xr:uid="{57485736-BCF5-40FB-9C86-0CFA2B174C1A}"/>
    <hyperlink ref="E51" r:id="rId94" display="https://kase.kz/ru/listing/issuers/MFMO" xr:uid="{5BD48940-D1AE-41C6-B3DD-40CCE194B12D}"/>
    <hyperlink ref="B52" r:id="rId95" display="https://kase.kz/ru/investors/bonds/MFMOb32" xr:uid="{7A213E16-F4F0-4B43-A3B0-BEF092B119F0}"/>
    <hyperlink ref="E52" r:id="rId96" display="https://kase.kz/ru/listing/issuers/MFMO" xr:uid="{F0A6A517-9D5F-459A-AF03-C98F1357F34D}"/>
    <hyperlink ref="B53" r:id="rId97" display="https://kase.kz/ru/investors/bonds/MFOKb16" xr:uid="{B287454B-5ED9-41AC-B038-F442AAED2435}"/>
    <hyperlink ref="E53" r:id="rId98" display="https://kase.kz/ru/listing/issuers/MFOK" xr:uid="{B49D37A1-6193-4E40-9182-AEE964CE1DBF}"/>
    <hyperlink ref="B54" r:id="rId99" display="https://kase.kz/ru/investors/bonds/MFOKb18" xr:uid="{7325E266-5C19-4191-A46F-8C1A3A3D58AB}"/>
    <hyperlink ref="E54" r:id="rId100" display="https://kase.kz/ru/listing/issuers/MFOK" xr:uid="{AD8BE56F-91D5-46F2-AAEB-E4E4CE271500}"/>
    <hyperlink ref="B55" r:id="rId101" display="https://kase.kz/ru/investors/bonds/MFOKb19" xr:uid="{0CB89A71-E300-4FA7-9A9C-719C81038D17}"/>
    <hyperlink ref="E55" r:id="rId102" display="https://kase.kz/ru/listing/issuers/MFOK" xr:uid="{5198C8E5-ED39-435E-BD72-B37B52D5C47C}"/>
    <hyperlink ref="B56" r:id="rId103" display="https://kase.kz/ru/investors/bonds/MFOKb20" xr:uid="{A1BDA815-BFAD-4C93-9409-DF5955F836B1}"/>
    <hyperlink ref="E56" r:id="rId104" display="https://kase.kz/ru/listing/issuers/MFOK" xr:uid="{6D348767-181E-4BB4-9191-299815F7E822}"/>
    <hyperlink ref="B57" r:id="rId105" display="https://kase.kz/ru/investors/bonds/MFOKb21" xr:uid="{8BEE0387-4AE6-4372-B93C-777C42AD8B25}"/>
    <hyperlink ref="E57" r:id="rId106" display="https://kase.kz/ru/listing/issuers/MFOK" xr:uid="{3F0E457A-C779-4CB4-B8F5-BC4DE3161FA0}"/>
    <hyperlink ref="B58" r:id="rId107" display="https://kase.kz/ru/investors/bonds/MFOKb22" xr:uid="{7D96C243-9AD4-4270-AB49-50AC4E596C1D}"/>
    <hyperlink ref="E58" r:id="rId108" display="https://kase.kz/ru/listing/issuers/MFOK" xr:uid="{975FC1D4-BB44-48A7-A458-0F10E05C21C7}"/>
    <hyperlink ref="B59" r:id="rId109" display="https://kase.kz/ru/investors/bonds/MFOKb24" xr:uid="{4DB66927-60F2-4B8D-9D08-A44C12011F72}"/>
    <hyperlink ref="E59" r:id="rId110" display="https://kase.kz/ru/listing/issuers/MFOK" xr:uid="{1CE6E7A1-A4B9-466E-AAAE-1D39AC2B07ED}"/>
    <hyperlink ref="B60" r:id="rId111" display="https://kase.kz/ru/investors/bonds/MFOKb25" xr:uid="{29AD2E7B-7315-4B93-B889-8B1A5B613CA0}"/>
    <hyperlink ref="E60" r:id="rId112" display="https://kase.kz/ru/listing/issuers/MFOK" xr:uid="{7D6A2F45-15E5-4CDE-9AD8-85C9C6EA85CF}"/>
    <hyperlink ref="B61" r:id="rId113" display="https://kase.kz/ru/investors/bonds/MFOKb26" xr:uid="{A1ED4A01-E2ED-4021-8263-060EB4F6CDBB}"/>
    <hyperlink ref="E61" r:id="rId114" display="https://kase.kz/ru/listing/issuers/MFOK" xr:uid="{B894BE2D-DED6-4C4E-BA99-8CBE15BFE1A7}"/>
    <hyperlink ref="B62" r:id="rId115" display="https://kase.kz/ru/investors/bonds/MFRFb12" xr:uid="{2D009047-6F2D-45DB-9B45-505A8B55302E}"/>
    <hyperlink ref="E62" r:id="rId116" display="https://kase.kz/ru/listing/issuers/MFRF" xr:uid="{2C454C74-26E2-4528-BC32-C711ED8CB80D}"/>
    <hyperlink ref="B63" r:id="rId117" display="https://kase.kz/ru/investors/bonds/MFRFb13" xr:uid="{B078B087-F19D-4AA4-A53B-70EF9F84A4DE}"/>
    <hyperlink ref="E63" r:id="rId118" display="https://kase.kz/ru/listing/issuers/MFRF" xr:uid="{D6D8BAA9-A9B5-46B5-A162-15669734BCA0}"/>
    <hyperlink ref="B64" r:id="rId119" display="https://kase.kz/ru/investors/bonds/MFRFb14" xr:uid="{727FD80E-2728-4EA1-AC4E-A108E405D6E3}"/>
    <hyperlink ref="E64" r:id="rId120" display="https://kase.kz/ru/listing/issuers/MFRF" xr:uid="{80A767EF-9D74-46D2-84E1-1AC7AF967C24}"/>
    <hyperlink ref="B65" r:id="rId121" display="https://kase.kz/ru/investors/bonds/MFRFb16" xr:uid="{12967691-644D-4517-BD81-BA63AFB4A1C8}"/>
    <hyperlink ref="E65" r:id="rId122" display="https://kase.kz/ru/listing/issuers/MFRF" xr:uid="{729F1EB7-3763-4631-96E8-6D1FF95980F0}"/>
    <hyperlink ref="B66" r:id="rId123" display="https://kase.kz/ru/investors/bonds/MFRFb19" xr:uid="{32A3A880-3CED-4111-A0F6-08A60303867C}"/>
    <hyperlink ref="E66" r:id="rId124" display="https://kase.kz/ru/listing/issuers/MFRF" xr:uid="{43714D97-334E-4E3D-B65F-1CCEE941F9FA}"/>
    <hyperlink ref="B67" r:id="rId125" display="https://kase.kz/ru/investors/bonds/MFRFb21" xr:uid="{39CB211F-BBBC-4580-AA65-AEA2F5AE5539}"/>
    <hyperlink ref="E67" r:id="rId126" display="https://kase.kz/ru/listing/issuers/MFRF" xr:uid="{12FB0B66-B092-4B40-9AB1-A6C6A79BEE7F}"/>
    <hyperlink ref="B68" r:id="rId127" display="https://kase.kz/ru/investors/bonds/MFTSb1" xr:uid="{4D6F730A-3C0B-464D-AA47-CB12AE8D65B0}"/>
    <hyperlink ref="E68" r:id="rId128" display="https://kase.kz/ru/listing/issuers/MFTS" xr:uid="{364F169D-BDE9-40AD-93FD-AF7300F9392D}"/>
    <hyperlink ref="B69" r:id="rId129" display="https://kase.kz/ru/investors/bonds/MFTSb2" xr:uid="{61E1501A-AE26-4E04-B95B-CB75DA594053}"/>
    <hyperlink ref="E69" r:id="rId130" display="https://kase.kz/ru/listing/issuers/MFTS" xr:uid="{EED2661A-D8F9-45C7-B7E9-47B546D017F3}"/>
    <hyperlink ref="B70" r:id="rId131" display="https://kase.kz/ru/investors/bonds/MFTSb3" xr:uid="{7DBD6C0B-8F5E-4E17-9F59-3FD887DB8195}"/>
    <hyperlink ref="E70" r:id="rId132" display="https://kase.kz/ru/listing/issuers/MFTS" xr:uid="{32C77978-D40E-4F32-967D-54C1909417F9}"/>
    <hyperlink ref="B71" r:id="rId133" display="https://kase.kz/ru/investors/gsecs/MKM012_0159" xr:uid="{51FBC7B4-E16E-4251-9160-9A9B3837EBB3}"/>
    <hyperlink ref="E71" r:id="rId134" display="https://kase.kz/ru/listing/issuers/MFRK" xr:uid="{2EF342BA-D91A-4D22-9500-69FD0D540779}"/>
    <hyperlink ref="B72" r:id="rId135" display="https://kase.kz/ru/investors/gsecs/MKM012_0160" xr:uid="{26D62AC2-3BE8-4153-977A-0E2EB9DB2EFB}"/>
    <hyperlink ref="E72" r:id="rId136" display="https://kase.kz/ru/listing/issuers/MFRK" xr:uid="{1F83F63E-1773-43AE-9D81-C0C17F473654}"/>
    <hyperlink ref="B73" r:id="rId137" display="https://kase.kz/ru/investors/gsecs/MKM012_0161" xr:uid="{C8150929-EA5F-45FC-BD08-0B239F602047}"/>
    <hyperlink ref="E73" r:id="rId138" display="https://kase.kz/ru/listing/issuers/MFRK" xr:uid="{2C0FFCA7-5F05-4611-9DE5-18772DAA81A8}"/>
    <hyperlink ref="B74" r:id="rId139" display="https://kase.kz/ru/investors/gsecs/MOM048_0052" xr:uid="{344E1933-739A-4FDB-98EF-038587B7225D}"/>
    <hyperlink ref="E74" r:id="rId140" display="https://kase.kz/ru/listing/issuers/MFRK" xr:uid="{9B72313A-2EBB-477B-8495-EE9303F6D638}"/>
    <hyperlink ref="B75" r:id="rId141" display="https://kase.kz/ru/investors/gsecs/MOM048_0053" xr:uid="{340983A9-84A3-4BBB-B783-55ED6BF867BF}"/>
    <hyperlink ref="E75" r:id="rId142" display="https://kase.kz/ru/listing/issuers/MFRK" xr:uid="{2868C8B0-D11D-4462-9D4D-4FC9E0A955FE}"/>
    <hyperlink ref="B76" r:id="rId143" display="https://kase.kz/ru/investors/gsecs/MOM048_0054" xr:uid="{8DE8BE93-324E-4552-917D-9DC1D66B8358}"/>
    <hyperlink ref="E76" r:id="rId144" display="https://kase.kz/ru/listing/issuers/MFRK" xr:uid="{4F878C78-0D4D-4A3F-89B1-43BA11EFF965}"/>
    <hyperlink ref="B77" r:id="rId145" display="https://kase.kz/ru/investors/gsecs/MOM048_0056" xr:uid="{B2604D77-554C-4AF4-8994-4FDCE4F5B18C}"/>
    <hyperlink ref="E77" r:id="rId146" display="https://kase.kz/ru/listing/issuers/MFRK" xr:uid="{BB6DBDAF-EDEB-4FD7-94AA-133852F3B37C}"/>
    <hyperlink ref="B78" r:id="rId147" display="https://kase.kz/ru/investors/gsecs/MOM060_0052" xr:uid="{B42128AE-FC88-4D26-B8E4-912C834F47C4}"/>
    <hyperlink ref="E78" r:id="rId148" display="https://kase.kz/ru/listing/issuers/MFRK" xr:uid="{68B8AA43-AA88-460F-A8D9-1EF00B0E034B}"/>
    <hyperlink ref="B79" r:id="rId149" display="https://kase.kz/ru/investors/gsecs/MOM060_0054" xr:uid="{5A2D016D-8084-4C83-A183-8A76E8864217}"/>
    <hyperlink ref="E79" r:id="rId150" display="https://kase.kz/ru/listing/issuers/MFRK" xr:uid="{05A32C5C-9E5D-4C55-B9C8-6542631441E9}"/>
    <hyperlink ref="B80" r:id="rId151" display="https://kase.kz/ru/investors/gsecs/MTC048_0001" xr:uid="{18EAB212-6A7B-405C-ACA9-7BF3610E0813}"/>
    <hyperlink ref="E80" r:id="rId152" display="https://kase.kz/ru/listing/issuers/MFRK" xr:uid="{3C0B99F0-D9F3-4FEF-A06D-EED966DCA952}"/>
    <hyperlink ref="B81" r:id="rId153" display="https://kase.kz/ru/investors/gsecs/MTM048_0001" xr:uid="{B9E83DDA-8835-4CF7-9CDB-624F0FDD0957}"/>
    <hyperlink ref="E81" r:id="rId154" display="https://kase.kz/ru/listing/issuers/MFRK" xr:uid="{6AEA0C1C-3E20-49CF-92E9-6CDAF06D5547}"/>
    <hyperlink ref="B82" r:id="rId155" display="https://kase.kz/ru/investors/gsecs/MTM060_0001" xr:uid="{6F1E6487-2E0E-446B-9ABB-D639F268D513}"/>
    <hyperlink ref="E82" r:id="rId156" display="https://kase.kz/ru/listing/issuers/MFRK" xr:uid="{DBB06F62-5EB5-4553-BC71-21F7C88FF2CF}"/>
    <hyperlink ref="B83" r:id="rId157" display="https://kase.kz/ru/investors/gsecs/MTM072_0001" xr:uid="{EB8EF247-F7E1-405B-8443-CEC87109E390}"/>
    <hyperlink ref="E83" r:id="rId158" display="https://kase.kz/ru/listing/issuers/MFRK" xr:uid="{EC3C352C-AD20-4E0B-938C-EC9D1FC5E6D6}"/>
    <hyperlink ref="B84" r:id="rId159" display="https://kase.kz/ru/investors/gsecs/MTM084_0001" xr:uid="{DABB1EC5-B790-4584-BD76-93B1C352D4D3}"/>
    <hyperlink ref="E84" r:id="rId160" display="https://kase.kz/ru/listing/issuers/MFRK" xr:uid="{74C2AE2B-7E76-4516-8FE7-5DE8FC2ACF78}"/>
    <hyperlink ref="B85" r:id="rId161" display="https://kase.kz/ru/investors/gsecs/MTM096_0001" xr:uid="{0A13C087-4AA6-4CB8-B31C-B8D271A6E431}"/>
    <hyperlink ref="E85" r:id="rId162" display="https://kase.kz/ru/listing/issuers/MFRK" xr:uid="{4176629F-C2BF-4C26-9FFC-D8C4BF0FA79B}"/>
    <hyperlink ref="B86" r:id="rId163" display="https://kase.kz/ru/investors/gsecs/MUJ144_0005" xr:uid="{25E53961-0FC1-4590-9DCE-1FC32F2BB984}"/>
    <hyperlink ref="E86" r:id="rId164" display="https://kase.kz/ru/listing/issuers/MFRK" xr:uid="{C1309685-F251-4E87-A505-60105D0CC307}"/>
    <hyperlink ref="B87" r:id="rId165" display="https://kase.kz/ru/investors/gsecs/MUJ156_0004" xr:uid="{ED4921DB-F4CA-4F1D-AA13-12DD945016DC}"/>
    <hyperlink ref="E87" r:id="rId166" display="https://kase.kz/ru/listing/issuers/MFRK" xr:uid="{8075D345-5BC0-42A2-BD24-6D2D96C2060E}"/>
    <hyperlink ref="B88" r:id="rId167" display="https://kase.kz/ru/investors/gsecs/MUJ168_0004" xr:uid="{FFAB462E-19D5-4AE2-87E7-6B4BAB40D4BC}"/>
    <hyperlink ref="E88" r:id="rId168" display="https://kase.kz/ru/listing/issuers/MFRK" xr:uid="{775A1FC6-D8FD-4AEF-8B71-7DD4116DA920}"/>
    <hyperlink ref="B89" r:id="rId169" display="https://kase.kz/ru/investors/gsecs/MUJ168_0005" xr:uid="{5EA83C2A-BD3C-4E28-83D7-E3BC62EC5C05}"/>
    <hyperlink ref="E89" r:id="rId170" display="https://kase.kz/ru/listing/issuers/MFRK" xr:uid="{FA52A1C0-14A1-4A82-B5F8-EFD051EBC30B}"/>
    <hyperlink ref="B90" r:id="rId171" display="https://kase.kz/ru/investors/gsecs/MUJ180_0007" xr:uid="{2768B116-7798-42E9-97A2-27DA660744D9}"/>
    <hyperlink ref="E90" r:id="rId172" display="https://kase.kz/ru/listing/issuers/MFRK" xr:uid="{1105B1CC-0439-4110-8F6B-F73237C31545}"/>
    <hyperlink ref="B91" r:id="rId173" display="https://kase.kz/ru/investors/gsecs/MUJ180_0008" xr:uid="{3D093B5F-1735-4020-878B-C0252F5988D7}"/>
    <hyperlink ref="E91" r:id="rId174" display="https://kase.kz/ru/listing/issuers/MFRK" xr:uid="{CFE43904-E915-459B-9FC6-456C9105B8C7}"/>
    <hyperlink ref="B92" r:id="rId175" display="https://kase.kz/ru/investors/gsecs/MUJ192_0002" xr:uid="{A7EC2604-0AE2-4D11-829E-143E6A1FC8AF}"/>
    <hyperlink ref="E92" r:id="rId176" display="https://kase.kz/ru/listing/issuers/MFRK" xr:uid="{9479BDF3-FFAF-40C7-8055-7BEBCE8061EA}"/>
    <hyperlink ref="B93" r:id="rId177" display="https://kase.kz/ru/investors/gsecs/MUJ192_0003" xr:uid="{AE3AD79C-4082-4699-98F4-4A6370F1A3A6}"/>
    <hyperlink ref="E93" r:id="rId178" display="https://kase.kz/ru/listing/issuers/MFRK" xr:uid="{0B6A7A8E-4D36-4835-B3B3-26B57804E526}"/>
    <hyperlink ref="B94" r:id="rId179" display="https://kase.kz/ru/investors/gsecs/MUJ192_0004" xr:uid="{711D0043-D778-4D65-8EE5-23A8FC136069}"/>
    <hyperlink ref="E94" r:id="rId180" display="https://kase.kz/ru/listing/issuers/MFRK" xr:uid="{A1883DEB-21FE-4D99-BC0C-A2B1A377DC3A}"/>
    <hyperlink ref="B95" r:id="rId181" display="https://kase.kz/ru/investors/gsecs/MUJ204_0001" xr:uid="{8080D97B-8056-4D74-9218-A39BE669C094}"/>
    <hyperlink ref="E95" r:id="rId182" display="https://kase.kz/ru/listing/issuers/MFRK" xr:uid="{593AA599-59A3-43EE-AF1D-F74EA7B96DE5}"/>
    <hyperlink ref="B96" r:id="rId183" display="https://kase.kz/ru/investors/gsecs/MUJ204_0002" xr:uid="{2D821257-AC26-4410-BF16-8B9324266E0C}"/>
    <hyperlink ref="E96" r:id="rId184" display="https://kase.kz/ru/listing/issuers/MFRK" xr:uid="{80E356B9-8EB9-49D5-8146-7CE69C1D7538}"/>
    <hyperlink ref="B97" r:id="rId185" display="https://kase.kz/ru/investors/gsecs/MUJ204_0003" xr:uid="{C0190166-8AB2-4639-A5C4-BBD4B9C34AE3}"/>
    <hyperlink ref="E97" r:id="rId186" display="https://kase.kz/ru/listing/issuers/MFRK" xr:uid="{A979906F-4F0B-4227-B0EA-6B6628E7CB4B}"/>
    <hyperlink ref="B98" r:id="rId187" display="https://kase.kz/ru/investors/gsecs/MUJ204_0004" xr:uid="{647B3EA7-EE5D-4662-BBCA-A0D6C3D0C207}"/>
    <hyperlink ref="E98" r:id="rId188" display="https://kase.kz/ru/listing/issuers/MFRK" xr:uid="{E5733CEB-51A4-4690-8477-21BE6C1AF3FD}"/>
    <hyperlink ref="B99" r:id="rId189" display="https://kase.kz/ru/investors/gsecs/MUJ204_0005" xr:uid="{EC72A66E-AADB-4EA8-87E9-2E9F42614C02}"/>
    <hyperlink ref="E99" r:id="rId190" display="https://kase.kz/ru/listing/issuers/MFRK" xr:uid="{21829E97-97C3-445C-981D-9C4E7B2FCD28}"/>
    <hyperlink ref="B100" r:id="rId191" display="https://kase.kz/ru/investors/gsecs/MUJ204_0006" xr:uid="{ED11E71F-0DA0-4436-9DE8-8BF06A83D2D2}"/>
    <hyperlink ref="E100" r:id="rId192" display="https://kase.kz/ru/listing/issuers/MFRK" xr:uid="{BCB1F8D4-D5B7-4C97-95E9-9A2524526DD5}"/>
    <hyperlink ref="B101" r:id="rId193" display="https://kase.kz/ru/investors/gsecs/MUJ216_0001" xr:uid="{52593537-EE59-4BDB-BB7E-65076CC043C6}"/>
    <hyperlink ref="E101" r:id="rId194" display="https://kase.kz/ru/listing/issuers/MFRK" xr:uid="{33724DFA-F9AC-4B3E-ABC3-6271D60F7F45}"/>
    <hyperlink ref="B102" r:id="rId195" display="https://kase.kz/ru/investors/gsecs/MUJ216_0002" xr:uid="{2D515FCA-CC7E-4673-B67D-4208970875D7}"/>
    <hyperlink ref="E102" r:id="rId196" display="https://kase.kz/ru/listing/issuers/MFRK" xr:uid="{76A9C14D-2939-4EBE-8B6B-D592A470B456}"/>
    <hyperlink ref="B103" r:id="rId197" display="https://kase.kz/ru/investors/gsecs/MUJ216_0003" xr:uid="{FBE881F4-D6E1-425C-B827-DC405B2B257C}"/>
    <hyperlink ref="E103" r:id="rId198" display="https://kase.kz/ru/listing/issuers/MFRK" xr:uid="{A52F7F35-926A-43E3-B43E-B66643D09F12}"/>
    <hyperlink ref="B104" r:id="rId199" display="https://kase.kz/ru/investors/gsecs/MUJ216_0004" xr:uid="{48E2411A-205D-44EF-B036-2B0027F3BD7D}"/>
    <hyperlink ref="E104" r:id="rId200" display="https://kase.kz/ru/listing/issuers/MFRK" xr:uid="{FD7AA7B0-4211-492E-9D34-DB57084DADB5}"/>
    <hyperlink ref="B105" r:id="rId201" display="https://kase.kz/ru/investors/gsecs/MUJ216_0005" xr:uid="{F2C3F3F8-D7D4-421E-8A92-CCAF11444E8A}"/>
    <hyperlink ref="E105" r:id="rId202" display="https://kase.kz/ru/listing/issuers/MFRK" xr:uid="{D645F467-2CD1-459F-9BD3-B89CB912B3DF}"/>
    <hyperlink ref="B106" r:id="rId203" display="https://kase.kz/ru/investors/gsecs/MUJ228_0001" xr:uid="{C183D29B-071C-4B52-A614-1AC4A7BB0D06}"/>
    <hyperlink ref="E106" r:id="rId204" display="https://kase.kz/ru/listing/issuers/MFRK" xr:uid="{33AB0E0B-6478-43B3-ADD7-A26BA0E740AE}"/>
    <hyperlink ref="B107" r:id="rId205" display="https://kase.kz/ru/investors/gsecs/MUJ228_0002" xr:uid="{E5438C88-AE74-4CC9-9F8D-46545DFC8921}"/>
    <hyperlink ref="E107" r:id="rId206" display="https://kase.kz/ru/listing/issuers/MFRK" xr:uid="{F4481EC2-1F22-4400-901D-0034DFB85DA5}"/>
    <hyperlink ref="B108" r:id="rId207" display="https://kase.kz/ru/investors/gsecs/MUJ228_0003" xr:uid="{2D559B3B-3E39-4B0E-8460-C289ED097648}"/>
    <hyperlink ref="E108" r:id="rId208" display="https://kase.kz/ru/listing/issuers/MFRK" xr:uid="{F29F056F-6356-4C13-BDED-37C5258C265E}"/>
    <hyperlink ref="B109" r:id="rId209" display="https://kase.kz/ru/investors/gsecs/MUJ228_0004" xr:uid="{03C2E015-9CDA-4E70-A029-20A439D0C25D}"/>
    <hyperlink ref="E109" r:id="rId210" display="https://kase.kz/ru/listing/issuers/MFRK" xr:uid="{DEA5E40A-26F3-42AD-BD9E-067C8D91CECF}"/>
    <hyperlink ref="B110" r:id="rId211" display="https://kase.kz/ru/investors/gsecs/MUJ228_0005" xr:uid="{45DC82C1-8EF0-4D55-A6CC-27F13C553303}"/>
    <hyperlink ref="E110" r:id="rId212" display="https://kase.kz/ru/listing/issuers/MFRK" xr:uid="{DB5AE795-527E-4123-A37B-B6A1924F5D23}"/>
    <hyperlink ref="B111" r:id="rId213" display="https://kase.kz/ru/investors/gsecs/MUJ228_0006" xr:uid="{71677FF1-C744-4080-93C3-B2E19972AB76}"/>
    <hyperlink ref="E111" r:id="rId214" display="https://kase.kz/ru/listing/issuers/MFRK" xr:uid="{900D1467-B03D-4A35-A3AE-EF573A512F93}"/>
    <hyperlink ref="B112" r:id="rId215" display="https://kase.kz/ru/investors/gsecs/MUJ240_0001" xr:uid="{A0EACCB2-1D58-46B0-8237-5857C5D151BB}"/>
    <hyperlink ref="E112" r:id="rId216" display="https://kase.kz/ru/listing/issuers/MFRK" xr:uid="{D167AE65-CF15-4B56-ACAD-2BAEDCF58B22}"/>
    <hyperlink ref="B113" r:id="rId217" display="https://kase.kz/ru/investors/gsecs/MUM072_0013" xr:uid="{926D0239-1DAF-4E11-9CF3-77AAB231EA75}"/>
    <hyperlink ref="E113" r:id="rId218" display="https://kase.kz/ru/listing/issuers/MFRK" xr:uid="{EA15B0E9-FEBE-49B2-A2DD-538BEB68AF34}"/>
    <hyperlink ref="B114" r:id="rId219" display="https://kase.kz/ru/investors/gsecs/MUM072_0014" xr:uid="{3FF8CAEE-DEAE-495A-86E1-9F9AF8C69FEA}"/>
    <hyperlink ref="E114" r:id="rId220" display="https://kase.kz/ru/listing/issuers/MFRK" xr:uid="{22B3DC1D-6F6E-4005-9380-2A0EDE92A06D}"/>
    <hyperlink ref="B115" r:id="rId221" display="https://kase.kz/ru/investors/gsecs/MUM072_0015" xr:uid="{0FD2E222-4479-4C0E-B0F5-40B54B0DD539}"/>
    <hyperlink ref="E115" r:id="rId222" display="https://kase.kz/ru/listing/issuers/MFRK" xr:uid="{B4B35BEE-2409-4571-9473-05F34488692D}"/>
    <hyperlink ref="B116" r:id="rId223" display="https://kase.kz/ru/investors/gsecs/MUM084_0018" xr:uid="{AF7442D5-4178-4662-BD28-90275086CFFE}"/>
    <hyperlink ref="E116" r:id="rId224" display="https://kase.kz/ru/listing/issuers/MFRK" xr:uid="{BCE19EDF-26E1-41B7-84B3-6025E0FECDCF}"/>
    <hyperlink ref="B117" r:id="rId225" display="https://kase.kz/ru/investors/gsecs/MUM084_0019" xr:uid="{BBA78A09-5285-495D-B988-1543F7AD4CC8}"/>
    <hyperlink ref="E117" r:id="rId226" display="https://kase.kz/ru/listing/issuers/MFRK" xr:uid="{F76C4DBE-415D-45EB-B863-30F7B94F9B87}"/>
    <hyperlink ref="B118" r:id="rId227" display="https://kase.kz/ru/investors/gsecs/MUM084_0020" xr:uid="{6CA81ED3-C338-4933-9956-0D9777427C9D}"/>
    <hyperlink ref="E118" r:id="rId228" display="https://kase.kz/ru/listing/issuers/MFRK" xr:uid="{58AFB970-E882-47CD-A75D-DEF6E564C460}"/>
    <hyperlink ref="B119" r:id="rId229" display="https://kase.kz/ru/investors/gsecs/MUM096_0011" xr:uid="{4377A440-C075-4E60-9ED8-3AE09AE96BC6}"/>
    <hyperlink ref="E119" r:id="rId230" display="https://kase.kz/ru/listing/issuers/MFRK" xr:uid="{074EAF30-CE32-4E2A-A18E-28DCE7B25445}"/>
    <hyperlink ref="B120" r:id="rId231" display="https://kase.kz/ru/investors/gsecs/MUM096_0012" xr:uid="{6F6057F3-E92E-42F2-AECD-2D8727AD9B40}"/>
    <hyperlink ref="E120" r:id="rId232" display="https://kase.kz/ru/listing/issuers/MFRK" xr:uid="{1149BCE0-1456-4697-96A8-DE2A78E5320A}"/>
    <hyperlink ref="B121" r:id="rId233" display="https://kase.kz/ru/investors/gsecs/MUM096_0013" xr:uid="{43979424-24A9-4472-8F3E-2AEBD8CC65A9}"/>
    <hyperlink ref="E121" r:id="rId234" display="https://kase.kz/ru/listing/issuers/MFRK" xr:uid="{BC2447E3-63E3-4872-8172-C34E85859594}"/>
    <hyperlink ref="B122" r:id="rId235" display="https://kase.kz/ru/investors/gsecs/MUM096_0014" xr:uid="{60DF911C-8B03-4C8D-A776-76F6D73A45DB}"/>
    <hyperlink ref="E122" r:id="rId236" display="https://kase.kz/ru/listing/issuers/MFRK" xr:uid="{960A1B3B-4AED-46E1-9A31-422E8C8E5E3D}"/>
    <hyperlink ref="B123" r:id="rId237" display="https://kase.kz/ru/investors/gsecs/MUM096_0015" xr:uid="{83168132-AACF-44C3-9B1A-1CBD86837FE1}"/>
    <hyperlink ref="E123" r:id="rId238" display="https://kase.kz/ru/listing/issuers/MFRK" xr:uid="{81036642-7DA1-400D-B56B-96FB5E5FB747}"/>
    <hyperlink ref="B124" r:id="rId239" display="https://kase.kz/ru/investors/gsecs/MUM108_0012" xr:uid="{82AEE4A2-698F-40B1-96F5-D685A8D859C3}"/>
    <hyperlink ref="E124" r:id="rId240" display="https://kase.kz/ru/listing/issuers/MFRK" xr:uid="{4EE0688C-B647-48CB-96D8-D7EF24E40023}"/>
    <hyperlink ref="B125" r:id="rId241" display="https://kase.kz/ru/investors/gsecs/MUM108_0013" xr:uid="{AE3C6ABF-1365-4501-A9C1-2B2E2183DA78}"/>
    <hyperlink ref="E125" r:id="rId242" display="https://kase.kz/ru/listing/issuers/MFRK" xr:uid="{F0A216C0-3487-4102-8DF2-7733344A0270}"/>
    <hyperlink ref="B126" r:id="rId243" display="https://kase.kz/ru/investors/gsecs/MUM108_0014" xr:uid="{1FA401DE-B2A9-4D84-90A8-0E8FAB7B4AF8}"/>
    <hyperlink ref="E126" r:id="rId244" display="https://kase.kz/ru/listing/issuers/MFRK" xr:uid="{5F0D355D-0EB2-425F-A59B-E842703DB083}"/>
    <hyperlink ref="B127" r:id="rId245" display="https://kase.kz/ru/investors/gsecs/MUM108_0015" xr:uid="{CFD3DE08-B0EF-42A5-ABE8-A99D5327783A}"/>
    <hyperlink ref="E127" r:id="rId246" display="https://kase.kz/ru/listing/issuers/MFRK" xr:uid="{20563741-DE55-45CC-8299-4ABD2AA04028}"/>
    <hyperlink ref="B128" r:id="rId247" display="https://kase.kz/ru/investors/gsecs/MUM120_0017" xr:uid="{E7DFE820-CC5D-41B7-B3F5-4CE7BFB34DBC}"/>
    <hyperlink ref="E128" r:id="rId248" display="https://kase.kz/ru/listing/issuers/MFRK" xr:uid="{6569E40C-A597-49B2-98EF-9F35D70A6775}"/>
    <hyperlink ref="B129" r:id="rId249" display="https://kase.kz/ru/investors/gsecs/MUM120_0018" xr:uid="{49147F88-BC3D-4E7D-A3CD-57D514DBD43D}"/>
    <hyperlink ref="E129" r:id="rId250" display="https://kase.kz/ru/listing/issuers/MFRK" xr:uid="{4012B8E3-FD6D-40FD-A9E5-03AAE05AA7D9}"/>
    <hyperlink ref="B130" r:id="rId251" display="https://kase.kz/ru/investors/gsecs/MUM120_0019" xr:uid="{9EDFA1FB-0021-4FD1-8139-3CDC7D81EB54}"/>
    <hyperlink ref="E130" r:id="rId252" display="https://kase.kz/ru/listing/issuers/MFRK" xr:uid="{84985520-01E9-4E9D-A24F-50033427529E}"/>
    <hyperlink ref="B131" r:id="rId253" display="https://kase.kz/ru/investors/gsecs/MUM120_0020" xr:uid="{74C003EA-F442-4EAA-BA72-82B091BEE328}"/>
    <hyperlink ref="E131" r:id="rId254" display="https://kase.kz/ru/listing/issuers/MFRK" xr:uid="{77E490C2-C000-4A63-BA96-65A24A100888}"/>
    <hyperlink ref="B132" r:id="rId255" display="https://kase.kz/ru/investors/gsecs/MUM132_0007" xr:uid="{53382F39-23F2-42AB-B153-F36338B5A1CF}"/>
    <hyperlink ref="E132" r:id="rId256" display="https://kase.kz/ru/listing/issuers/MFRK" xr:uid="{63BC6C68-B0D4-4BEA-8DB0-BABB8C7A1788}"/>
    <hyperlink ref="B133" r:id="rId257" display="https://kase.kz/ru/investors/gsecs/MUM144_0009" xr:uid="{504226B2-CA98-465A-AD2E-8E49A643453F}"/>
    <hyperlink ref="E133" r:id="rId258" display="https://kase.kz/ru/listing/issuers/MFRK" xr:uid="{FA041150-6CB0-4A8C-BD4F-771660DC89ED}"/>
    <hyperlink ref="B134" r:id="rId259" display="https://kase.kz/ru/investors/gsecs/MUM156_0005" xr:uid="{15C31A34-8E0A-4748-9914-A34C2FB013A0}"/>
    <hyperlink ref="E134" r:id="rId260" display="https://kase.kz/ru/listing/issuers/MFRK" xr:uid="{98AFE5A9-74F3-42D5-A369-72EDA654D1AE}"/>
    <hyperlink ref="B135" r:id="rId261" display="https://kase.kz/ru/investors/gsecs/MUM156_0006" xr:uid="{649CEA51-B4C0-4274-B854-F799A9A2ECED}"/>
    <hyperlink ref="E135" r:id="rId262" display="https://kase.kz/ru/listing/issuers/MFRK" xr:uid="{0AD445B0-822E-4A3B-B305-AF68E516D989}"/>
    <hyperlink ref="B136" r:id="rId263" display="https://kase.kz/ru/investors/gsecs/MUM156_0007" xr:uid="{8494B151-8AB8-4C50-8593-024417563D41}"/>
    <hyperlink ref="E136" r:id="rId264" display="https://kase.kz/ru/listing/issuers/MFRK" xr:uid="{AB51250B-44C9-4491-92B1-F08914BC4BD5}"/>
    <hyperlink ref="B137" r:id="rId265" display="https://kase.kz/ru/investors/gsecs/MUM156_0008" xr:uid="{D0E7AE0B-3AC5-4242-BC02-FC0D15769FCB}"/>
    <hyperlink ref="E137" r:id="rId266" display="https://kase.kz/ru/listing/issuers/MFRK" xr:uid="{EB67993C-E870-421D-98F3-87B9E3566308}"/>
    <hyperlink ref="B138" r:id="rId267" display="https://kase.kz/ru/investors/gsecs/MUM168_0001" xr:uid="{F1E3A6FF-C526-49BB-893B-4261DE57F08F}"/>
    <hyperlink ref="E138" r:id="rId268" display="https://kase.kz/ru/listing/issuers/MFRK" xr:uid="{86CE0822-D40D-44C5-AD7A-DA5AF1958F9A}"/>
    <hyperlink ref="B139" r:id="rId269" display="https://kase.kz/ru/investors/gsecs/MUM168_0002" xr:uid="{CBBA1317-0450-49AE-BDFC-FB6DF11245C3}"/>
    <hyperlink ref="E139" r:id="rId270" display="https://kase.kz/ru/listing/issuers/MFRK" xr:uid="{2DD40FF9-2FC0-48BC-9049-79C683605C98}"/>
    <hyperlink ref="B140" r:id="rId271" display="https://kase.kz/ru/investors/gsecs/MUM168_0003" xr:uid="{6E3A5EFE-D4A2-4746-B732-5BFC5F213041}"/>
    <hyperlink ref="E140" r:id="rId272" display="https://kase.kz/ru/listing/issuers/MFRK" xr:uid="{31C8B7AC-DC13-4485-B7CB-805E65BA151A}"/>
    <hyperlink ref="B141" r:id="rId273" display="https://kase.kz/ru/investors/gsecs/MUM168_0005" xr:uid="{16D0DCB3-B943-4AD1-8888-3C39C191458B}"/>
    <hyperlink ref="E141" r:id="rId274" display="https://kase.kz/ru/listing/issuers/MFRK" xr:uid="{D39165DB-552F-4851-87BA-17655BA93A0F}"/>
    <hyperlink ref="B142" r:id="rId275" display="https://kase.kz/ru/investors/gsecs/MUM180_0003" xr:uid="{B1AD9099-D2C2-47A3-91E3-05B8EDBD813F}"/>
    <hyperlink ref="E142" r:id="rId276" display="https://kase.kz/ru/listing/issuers/MFRK" xr:uid="{023D514A-0BCB-4D68-8A17-DDE4D03A7E98}"/>
    <hyperlink ref="B143" r:id="rId277" display="https://kase.kz/ru/investors/gsecs/MUM180_0004" xr:uid="{96FF7832-E18C-453D-9F5C-6BA04FA31367}"/>
    <hyperlink ref="E143" r:id="rId278" display="https://kase.kz/ru/listing/issuers/MFRK" xr:uid="{82BCC865-01E8-47BC-853C-548CFAFCF9A1}"/>
    <hyperlink ref="B144" r:id="rId279" display="https://kase.kz/ru/investors/gsecs/MUM180_0005" xr:uid="{4401C024-6761-4147-A4AB-3B77F61FBC0A}"/>
    <hyperlink ref="E144" r:id="rId280" display="https://kase.kz/ru/listing/issuers/MFRK" xr:uid="{F44D6D50-AB60-4B38-B624-F7F1E480ABD0}"/>
    <hyperlink ref="B145" r:id="rId281" display="https://kase.kz/ru/investors/gsecs/MUM180_0006" xr:uid="{C8E5F33D-003E-4E35-8672-BAF9628E0FD1}"/>
    <hyperlink ref="E145" r:id="rId282" display="https://kase.kz/ru/listing/issuers/MFRK" xr:uid="{957EB4CA-AD5C-4CD5-AD97-7DDC5DC1D78B}"/>
    <hyperlink ref="B146" r:id="rId283" display="https://kase.kz/ru/investors/gsecs/MUM180_0007" xr:uid="{EC17E3EE-074E-4461-9879-1D258F7FEA51}"/>
    <hyperlink ref="E146" r:id="rId284" display="https://kase.kz/ru/listing/issuers/MFRK" xr:uid="{855A7486-B579-4BE8-86F7-2485CF32457D}"/>
    <hyperlink ref="B147" r:id="rId285" display="https://kase.kz/ru/investors/gsecs/MUM180_0008" xr:uid="{FAAB176E-3284-417D-A8A3-4E981C2F71DE}"/>
    <hyperlink ref="E147" r:id="rId286" display="https://kase.kz/ru/listing/issuers/MFRK" xr:uid="{7D057A76-E87F-4A69-B2B1-71D7D5B2A180}"/>
    <hyperlink ref="B148" r:id="rId287" display="https://kase.kz/ru/investors/gsecs/MUM180_0009" xr:uid="{40A5B8E4-7BE4-4020-8AAC-A611057A7D54}"/>
    <hyperlink ref="E148" r:id="rId288" display="https://kase.kz/ru/listing/issuers/MFRK" xr:uid="{EF468F33-5558-4BF1-8E09-F0F388717F58}"/>
    <hyperlink ref="B149" r:id="rId289" display="https://kase.kz/ru/investors/gsecs/MUM180_0011" xr:uid="{CA9440B7-F9E8-4975-AFD4-E67B095F134C}"/>
    <hyperlink ref="E149" r:id="rId290" display="https://kase.kz/ru/listing/issuers/MFRK" xr:uid="{E11B2DC6-737F-45DD-A11F-0A642AC4E97C}"/>
    <hyperlink ref="B150" r:id="rId291" display="https://kase.kz/ru/investors/gsecs/MUM180_0012" xr:uid="{C1DECBB5-9092-4D0B-8FB1-747C1E14ADDC}"/>
    <hyperlink ref="E150" r:id="rId292" display="https://kase.kz/ru/listing/issuers/MFRK" xr:uid="{FC07F905-B07F-4381-9BB5-CDE8F4CB4AFF}"/>
    <hyperlink ref="B151" r:id="rId293" display="https://kase.kz/ru/investors/gsecs/MUM180_0013" xr:uid="{3F30DCFA-B12A-4FA0-A8BE-DB650376AD00}"/>
    <hyperlink ref="E151" r:id="rId294" display="https://kase.kz/ru/listing/issuers/MFRK" xr:uid="{BCEE44A3-5A4F-4A82-9187-33AB8CE09E62}"/>
    <hyperlink ref="B152" r:id="rId295" display="https://kase.kz/ru/investors/gsecs/MUM180_0014" xr:uid="{94CC3910-0BDF-46FF-8828-EEF97E6521C9}"/>
    <hyperlink ref="E152" r:id="rId296" display="https://kase.kz/ru/listing/issuers/MFRK" xr:uid="{017ECA7E-6CAA-44EB-B644-78858F48A85A}"/>
    <hyperlink ref="B153" r:id="rId297" display="https://kase.kz/ru/investors/gsecs/MUM180_0015" xr:uid="{6E489B6B-6F9B-4829-9630-E758779EA458}"/>
    <hyperlink ref="E153" r:id="rId298" display="https://kase.kz/ru/listing/issuers/MFRK" xr:uid="{E0251FC4-855B-4594-83FC-2D85ACB0BFBD}"/>
    <hyperlink ref="B154" r:id="rId299" display="https://kase.kz/ru/investors/gsecs/MUM180_0016" xr:uid="{3EEF1C8F-A053-4BE6-94F5-90C703D61B8A}"/>
    <hyperlink ref="E154" r:id="rId300" display="https://kase.kz/ru/listing/issuers/MFRK" xr:uid="{5D467E44-632A-457A-BE3D-FC23E524CD69}"/>
    <hyperlink ref="B155" r:id="rId301" display="https://kase.kz/ru/investors/gsecs/MUM192_0001" xr:uid="{703E7F26-5CBF-4494-AC7D-1F9ADA0D226B}"/>
    <hyperlink ref="E155" r:id="rId302" display="https://kase.kz/ru/listing/issuers/MFRK" xr:uid="{11C41492-F2AC-4230-9A6D-8BDF91E012B5}"/>
    <hyperlink ref="B156" r:id="rId303" display="https://kase.kz/ru/investors/gsecs/MUM192_0002" xr:uid="{82820976-4A5B-412D-8D7D-7B6F9BBF5AF2}"/>
    <hyperlink ref="E156" r:id="rId304" display="https://kase.kz/ru/listing/issuers/MFRK" xr:uid="{8DB888DD-0AE3-4509-A9A1-04222E2626DE}"/>
    <hyperlink ref="B157" r:id="rId305" display="https://kase.kz/ru/investors/gsecs/MUM192_0003" xr:uid="{58FC7F36-D6D5-42D4-B76F-D04021B36E94}"/>
    <hyperlink ref="E157" r:id="rId306" display="https://kase.kz/ru/listing/issuers/MFRK" xr:uid="{B17419AA-D465-4ECC-AA90-9A63278B0EE3}"/>
    <hyperlink ref="B158" r:id="rId307" display="https://kase.kz/ru/investors/gsecs/MUM216_0001" xr:uid="{12581420-3A09-4B1C-B3D4-CB6953108FD1}"/>
    <hyperlink ref="E158" r:id="rId308" display="https://kase.kz/ru/listing/issuers/MFRK" xr:uid="{5314E168-6145-4099-8697-8A042AFA2592}"/>
    <hyperlink ref="B159" r:id="rId309" display="https://kase.kz/ru/investors/gsecs/MUM216_0002" xr:uid="{F8C533EB-05EB-4C1D-89A6-6656CFBD28F8}"/>
    <hyperlink ref="E159" r:id="rId310" display="https://kase.kz/ru/listing/issuers/MFRK" xr:uid="{F0AEFF62-1296-4E83-B75A-621A05A954A8}"/>
    <hyperlink ref="B160" r:id="rId311" display="https://kase.kz/ru/investors/gsecs/MUM240_0001" xr:uid="{A5CA32F1-A51A-49A2-A3B4-EF37EDBACC79}"/>
    <hyperlink ref="E160" r:id="rId312" display="https://kase.kz/ru/listing/issuers/MFRK" xr:uid="{72C07686-735D-42E8-B739-226B6E05E828}"/>
    <hyperlink ref="B161" r:id="rId313" display="https://kase.kz/ru/investors/gsecs/MUM240_0002" xr:uid="{AAE7145A-68A0-43B6-8986-2630B3BEF905}"/>
    <hyperlink ref="E161" r:id="rId314" display="https://kase.kz/ru/listing/issuers/MFRK" xr:uid="{582B3834-9909-43D6-AAEF-4F9591FD3E0A}"/>
    <hyperlink ref="B162" r:id="rId315" display="https://kase.kz/ru/investors/gsecs/MUM240_0004" xr:uid="{11B073B6-59AB-4B7A-9B69-052893864A46}"/>
    <hyperlink ref="E162" r:id="rId316" display="https://kase.kz/ru/listing/issuers/MFRK" xr:uid="{FA68DA18-5A79-4399-A338-AC626CED47AF}"/>
    <hyperlink ref="B163" r:id="rId317" display="https://kase.kz/ru/investors/gsecs/MUM300_0001" xr:uid="{F4408D9D-4385-401F-A7AF-E79BB2819E37}"/>
    <hyperlink ref="E163" r:id="rId318" display="https://kase.kz/ru/listing/issuers/MFRK" xr:uid="{F911C6E1-9033-40C3-A99C-23D041BD1339}"/>
    <hyperlink ref="B164" r:id="rId319" display="https://kase.kz/ru/investors/gsecs/MUM300_0002" xr:uid="{A6D6C89A-E4E1-4E93-B036-8383DDCD1D4B}"/>
    <hyperlink ref="E164" r:id="rId320" display="https://kase.kz/ru/listing/issuers/MFRK" xr:uid="{A7A906C6-2EEB-4F5C-A366-B31AE5445E56}"/>
    <hyperlink ref="B165" r:id="rId321" display="https://kase.kz/ru/investors/gsecs/MUM300_0003" xr:uid="{1EB19697-35BD-461C-A706-FBDD5D5FECF7}"/>
    <hyperlink ref="E165" r:id="rId322" display="https://kase.kz/ru/listing/issuers/MFRK" xr:uid="{999D6AEE-4208-4115-B0A7-9C9D613022B1}"/>
    <hyperlink ref="B166" r:id="rId323" display="https://kase.kz/ru/investors/gsecs/MUM360_0001" xr:uid="{28D13CE9-DCF8-420B-8591-89538D9E66A8}"/>
    <hyperlink ref="E166" r:id="rId324" display="https://kase.kz/ru/listing/issuers/MFRK" xr:uid="{E563D257-7530-442F-B430-21B706309CE3}"/>
    <hyperlink ref="B167" r:id="rId325" display="https://kase.kz/ru/investors/gsecs/MUX072_0003" xr:uid="{8F4F201C-AF30-460F-B204-A05E7385BF0D}"/>
    <hyperlink ref="E167" r:id="rId326" display="https://kase.kz/ru/listing/issuers/MFRK" xr:uid="{F338607E-B441-4A57-B5C9-707AFC7C44A0}"/>
    <hyperlink ref="B168" r:id="rId327" display="https://kase.kz/ru/investors/gsecs/NTK028_2867" xr:uid="{3A420A0A-C1D4-463F-9B56-B9B3F7F97F4D}"/>
    <hyperlink ref="E168" r:id="rId328" display="https://kase.kz/ru/listing/issuers/NBRK" xr:uid="{9BFFB875-C11A-411D-A292-653CFB6383BC}"/>
    <hyperlink ref="B169" r:id="rId329" display="https://kase.kz/ru/investors/bonds/PRKRe1" xr:uid="{4F315401-CA4B-45FB-9878-CB408706A0CB}"/>
    <hyperlink ref="E169" r:id="rId330" display="https://kase.kz/ru/listing/issuers/PRKR" xr:uid="{1EC94432-4380-4069-9E9D-00FB86955724}"/>
    <hyperlink ref="B170" r:id="rId331" display="https://kase.kz/ru/investors/bonds/SKKZe1" xr:uid="{2C92AD20-4340-4054-9662-C5145C062C2B}"/>
    <hyperlink ref="E170" r:id="rId332" display="https://kase.kz/ru/listing/issuers/SKKZ" xr:uid="{1BD09E57-0F19-4C02-A7F6-4D3B6E7AE3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7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45926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2" t="s">
        <v>442</v>
      </c>
      <c r="C3" s="112" t="s">
        <v>0</v>
      </c>
      <c r="D3" s="112" t="s">
        <v>2187</v>
      </c>
      <c r="E3" s="112" t="s">
        <v>443</v>
      </c>
      <c r="F3" s="112" t="s">
        <v>444</v>
      </c>
      <c r="G3" s="112" t="s">
        <v>445</v>
      </c>
      <c r="H3" s="112" t="s">
        <v>2024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6306.2137499999999</v>
      </c>
      <c r="G5" s="120">
        <v>6306.2137499999999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137765.68119999999</v>
      </c>
      <c r="G6" s="124">
        <v>137765.68119999999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101.5583</v>
      </c>
      <c r="H7" s="120">
        <v>4.24</v>
      </c>
      <c r="I7" s="117">
        <v>348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100.1147</v>
      </c>
      <c r="H8" s="120">
        <v>0.35</v>
      </c>
      <c r="I8" s="117">
        <v>242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</v>
      </c>
      <c r="H9" s="122">
        <v>0.02</v>
      </c>
      <c r="I9" s="125">
        <v>3064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101.5419</v>
      </c>
      <c r="H10" s="122">
        <v>6.08</v>
      </c>
      <c r="I10" s="125">
        <v>1679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106.48860000000001</v>
      </c>
      <c r="H11" s="122">
        <v>7.08</v>
      </c>
      <c r="I11" s="125">
        <v>2161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100.71169999999999</v>
      </c>
      <c r="H12" s="122">
        <v>6.09</v>
      </c>
      <c r="I12" s="125">
        <v>2088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105.65940000000001</v>
      </c>
      <c r="H13" s="122">
        <v>6.09</v>
      </c>
      <c r="I13" s="125">
        <v>2516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105.65940000000001</v>
      </c>
      <c r="H14" s="122">
        <v>6.09</v>
      </c>
      <c r="I14" s="125">
        <v>2516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71616.8894</v>
      </c>
      <c r="G15" s="120">
        <v>71616.8894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97.731399999999994</v>
      </c>
      <c r="G16" s="120">
        <v>101.79389999999999</v>
      </c>
      <c r="H16" s="120">
        <v>21</v>
      </c>
      <c r="I16" s="117">
        <v>645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2089</v>
      </c>
      <c r="F19" s="122">
        <v>59414.026749999997</v>
      </c>
      <c r="G19" s="120">
        <v>59414.026749999997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97.218999999999994</v>
      </c>
      <c r="G20" s="124">
        <v>98.607900000000001</v>
      </c>
      <c r="H20" s="122">
        <v>3.8</v>
      </c>
      <c r="I20" s="125">
        <v>1640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95.125</v>
      </c>
      <c r="G21" s="124">
        <v>96.347200000000001</v>
      </c>
      <c r="H21" s="122">
        <v>3.82</v>
      </c>
      <c r="I21" s="125">
        <v>1444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95.305859083060128</v>
      </c>
      <c r="G22" s="124">
        <v>99.107259083060129</v>
      </c>
      <c r="H22" s="122">
        <v>19.2</v>
      </c>
      <c r="I22" s="125">
        <v>241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92.104304978354591</v>
      </c>
      <c r="G23" s="124">
        <v>97.061204978354581</v>
      </c>
      <c r="H23" s="122">
        <v>19.489999999999998</v>
      </c>
      <c r="I23" s="125">
        <v>374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74.582861056491851</v>
      </c>
      <c r="G24" s="124">
        <v>75.478661056491845</v>
      </c>
      <c r="H24" s="122">
        <v>18.899999999999999</v>
      </c>
      <c r="I24" s="125">
        <v>1770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86.285410320889611</v>
      </c>
      <c r="G25" s="124">
        <v>90.702110320889602</v>
      </c>
      <c r="H25" s="122">
        <v>18.809999999999999</v>
      </c>
      <c r="I25" s="125">
        <v>2234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57.525841823660272</v>
      </c>
      <c r="G26" s="124">
        <v>64.014441823660277</v>
      </c>
      <c r="H26" s="122">
        <v>19.649999999999999</v>
      </c>
      <c r="I26" s="125">
        <v>2191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73.797346410738712</v>
      </c>
      <c r="G27" s="124">
        <v>76.832046410738698</v>
      </c>
      <c r="H27" s="122">
        <v>18.79</v>
      </c>
      <c r="I27" s="125">
        <v>2245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96.423707065212682</v>
      </c>
      <c r="G28" s="124">
        <v>100.07930706521267</v>
      </c>
      <c r="H28" s="122">
        <v>19.3</v>
      </c>
      <c r="I28" s="125">
        <v>266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100.3188</v>
      </c>
      <c r="H30" s="122">
        <v>4.24</v>
      </c>
      <c r="I30" s="125">
        <v>273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100.14579999999999</v>
      </c>
      <c r="H31" s="122">
        <v>0.35</v>
      </c>
      <c r="I31" s="125">
        <v>30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100.10599999999999</v>
      </c>
      <c r="H32" s="122">
        <v>0.35</v>
      </c>
      <c r="I32" s="125">
        <v>251</v>
      </c>
      <c r="J32" s="119" t="s">
        <v>271</v>
      </c>
    </row>
    <row r="33" spans="1:10" x14ac:dyDescent="0.25">
      <c r="A33" s="121">
        <v>30</v>
      </c>
      <c r="B33" s="118" t="s">
        <v>2198</v>
      </c>
      <c r="C33" s="119" t="s">
        <v>2199</v>
      </c>
      <c r="D33" s="119" t="s">
        <v>459</v>
      </c>
      <c r="E33" s="119" t="s">
        <v>514</v>
      </c>
      <c r="F33" s="123">
        <v>100</v>
      </c>
      <c r="G33" s="124">
        <v>100.1157</v>
      </c>
      <c r="H33" s="122">
        <v>0.35</v>
      </c>
      <c r="I33" s="125">
        <v>601</v>
      </c>
      <c r="J33" s="119" t="s">
        <v>271</v>
      </c>
    </row>
    <row r="34" spans="1:10" x14ac:dyDescent="0.25">
      <c r="A34" s="121">
        <v>31</v>
      </c>
      <c r="B34" s="118" t="s">
        <v>1958</v>
      </c>
      <c r="C34" s="119" t="s">
        <v>1959</v>
      </c>
      <c r="D34" s="119" t="s">
        <v>459</v>
      </c>
      <c r="E34" s="119" t="s">
        <v>514</v>
      </c>
      <c r="F34" s="123">
        <v>100</v>
      </c>
      <c r="G34" s="124">
        <v>100.0155</v>
      </c>
      <c r="H34" s="122">
        <v>0.02</v>
      </c>
      <c r="I34" s="125">
        <v>3064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100.00539999999999</v>
      </c>
      <c r="H35" s="122">
        <v>0.02</v>
      </c>
      <c r="I35" s="125">
        <v>3064</v>
      </c>
      <c r="J35" s="119" t="s">
        <v>271</v>
      </c>
    </row>
    <row r="36" spans="1:10" x14ac:dyDescent="0.25">
      <c r="A36" s="121">
        <v>33</v>
      </c>
      <c r="B36" s="118" t="s">
        <v>2406</v>
      </c>
      <c r="C36" s="119" t="s">
        <v>2407</v>
      </c>
      <c r="D36" s="119" t="s">
        <v>459</v>
      </c>
      <c r="E36" s="119" t="s">
        <v>514</v>
      </c>
      <c r="F36" s="123">
        <v>93.779675840159854</v>
      </c>
      <c r="G36" s="124">
        <v>95.197175840159844</v>
      </c>
      <c r="H36" s="122">
        <v>20.38</v>
      </c>
      <c r="I36" s="125">
        <v>3573</v>
      </c>
      <c r="J36" s="119" t="s">
        <v>271</v>
      </c>
    </row>
    <row r="37" spans="1:10" x14ac:dyDescent="0.25">
      <c r="A37" s="121">
        <v>34</v>
      </c>
      <c r="B37" s="118" t="s">
        <v>2408</v>
      </c>
      <c r="C37" s="119" t="s">
        <v>2409</v>
      </c>
      <c r="D37" s="119" t="s">
        <v>459</v>
      </c>
      <c r="E37" s="119" t="s">
        <v>514</v>
      </c>
      <c r="F37" s="123">
        <v>93.779675840159854</v>
      </c>
      <c r="G37" s="124">
        <v>95.197175840159844</v>
      </c>
      <c r="H37" s="122">
        <v>20.38</v>
      </c>
      <c r="I37" s="125">
        <v>3573</v>
      </c>
      <c r="J37" s="119" t="s">
        <v>271</v>
      </c>
    </row>
    <row r="38" spans="1:10" x14ac:dyDescent="0.25">
      <c r="A38" s="121">
        <v>35</v>
      </c>
      <c r="B38" s="118" t="s">
        <v>2454</v>
      </c>
      <c r="C38" s="119" t="s">
        <v>2455</v>
      </c>
      <c r="D38" s="119" t="s">
        <v>459</v>
      </c>
      <c r="E38" s="119" t="s">
        <v>514</v>
      </c>
      <c r="F38" s="123">
        <v>93.749796632952638</v>
      </c>
      <c r="G38" s="124">
        <v>94.957296632952634</v>
      </c>
      <c r="H38" s="122">
        <v>20.39</v>
      </c>
      <c r="I38" s="125">
        <v>3577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806.66709581184284</v>
      </c>
      <c r="G39" s="124">
        <v>806.66709581184284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3260.2447000000002</v>
      </c>
      <c r="G40" s="120">
        <v>3260.2447000000002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123089.1805</v>
      </c>
      <c r="G41" s="120">
        <v>123089.1805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100.3188</v>
      </c>
      <c r="H43" s="122">
        <v>4.24</v>
      </c>
      <c r="I43" s="125">
        <v>273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100.1138</v>
      </c>
      <c r="H44" s="122">
        <v>0.35</v>
      </c>
      <c r="I44" s="125">
        <v>63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100.1147</v>
      </c>
      <c r="H45" s="122">
        <v>0.35</v>
      </c>
      <c r="I45" s="125">
        <v>242</v>
      </c>
      <c r="J45" s="119" t="s">
        <v>271</v>
      </c>
    </row>
    <row r="46" spans="1:10" x14ac:dyDescent="0.25">
      <c r="A46" s="121">
        <v>43</v>
      </c>
      <c r="B46" s="118" t="s">
        <v>2260</v>
      </c>
      <c r="C46" s="119" t="s">
        <v>2261</v>
      </c>
      <c r="D46" s="119" t="s">
        <v>459</v>
      </c>
      <c r="E46" s="119" t="s">
        <v>532</v>
      </c>
      <c r="F46" s="123">
        <v>100</v>
      </c>
      <c r="G46" s="124">
        <v>100.0836</v>
      </c>
      <c r="H46" s="122">
        <v>0.35</v>
      </c>
      <c r="I46" s="125">
        <v>634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100.00279999999999</v>
      </c>
      <c r="H47" s="120">
        <v>0.02</v>
      </c>
      <c r="I47" s="117">
        <v>3064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101.5419</v>
      </c>
      <c r="H48" s="120">
        <v>6.08</v>
      </c>
      <c r="I48" s="117">
        <v>1679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106.48860000000001</v>
      </c>
      <c r="H49" s="120">
        <v>7.08</v>
      </c>
      <c r="I49" s="117">
        <v>2161</v>
      </c>
      <c r="J49" s="119" t="s">
        <v>271</v>
      </c>
    </row>
    <row r="50" spans="1:10" x14ac:dyDescent="0.25">
      <c r="A50" s="121">
        <v>47</v>
      </c>
      <c r="B50" s="118" t="s">
        <v>2410</v>
      </c>
      <c r="C50" s="119" t="s">
        <v>2411</v>
      </c>
      <c r="D50" s="119" t="s">
        <v>459</v>
      </c>
      <c r="E50" s="119" t="s">
        <v>532</v>
      </c>
      <c r="F50" s="122">
        <v>93.779675840159854</v>
      </c>
      <c r="G50" s="120">
        <v>95.197175840159844</v>
      </c>
      <c r="H50" s="120">
        <v>20.38</v>
      </c>
      <c r="I50" s="117">
        <v>3573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100.71169999999999</v>
      </c>
      <c r="H51" s="120">
        <v>6.09</v>
      </c>
      <c r="I51" s="117">
        <v>2088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105.65940000000001</v>
      </c>
      <c r="H52" s="122">
        <v>6.09</v>
      </c>
      <c r="I52" s="125">
        <v>2516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105.65940000000001</v>
      </c>
      <c r="H53" s="120">
        <v>6.09</v>
      </c>
      <c r="I53" s="117">
        <v>2516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104.52419999999999</v>
      </c>
      <c r="H54" s="122">
        <v>6.08</v>
      </c>
      <c r="I54" s="125">
        <v>2583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2957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1358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2139</v>
      </c>
      <c r="C58" s="119" t="s">
        <v>2140</v>
      </c>
      <c r="D58" s="119" t="s">
        <v>459</v>
      </c>
      <c r="E58" s="119" t="s">
        <v>2141</v>
      </c>
      <c r="F58" s="123">
        <v>98.290493382977232</v>
      </c>
      <c r="G58" s="124">
        <v>102.47939338297724</v>
      </c>
      <c r="H58" s="122">
        <v>26.91</v>
      </c>
      <c r="I58" s="125">
        <v>932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92.674106878915509</v>
      </c>
      <c r="G60" s="120">
        <v>97.18310687891551</v>
      </c>
      <c r="H60" s="120">
        <v>18.5</v>
      </c>
      <c r="I60" s="117">
        <v>389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100</v>
      </c>
      <c r="H61" s="120">
        <v>4.24</v>
      </c>
      <c r="I61" s="117">
        <v>300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100.0016</v>
      </c>
      <c r="H62" s="122">
        <v>0.02</v>
      </c>
      <c r="I62" s="125">
        <v>3064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105.3644</v>
      </c>
      <c r="H63" s="122">
        <v>7.05</v>
      </c>
      <c r="I63" s="125">
        <v>2161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101.5419</v>
      </c>
      <c r="H64" s="122">
        <v>6.08</v>
      </c>
      <c r="I64" s="125">
        <v>1679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106.48860000000001</v>
      </c>
      <c r="H65" s="122">
        <v>7.08</v>
      </c>
      <c r="I65" s="125">
        <v>2161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100.71169999999999</v>
      </c>
      <c r="H66" s="122">
        <v>6.09</v>
      </c>
      <c r="I66" s="125">
        <v>2088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105.65940000000001</v>
      </c>
      <c r="H67" s="122">
        <v>6.09</v>
      </c>
      <c r="I67" s="125">
        <v>2516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105.65940000000001</v>
      </c>
      <c r="H68" s="122">
        <v>6.09</v>
      </c>
      <c r="I68" s="125">
        <v>2516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104.52419999999999</v>
      </c>
      <c r="H69" s="122">
        <v>6.08</v>
      </c>
      <c r="I69" s="125">
        <v>2583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1999</v>
      </c>
      <c r="F70" s="123">
        <v>88.528668019384739</v>
      </c>
      <c r="G70" s="124">
        <v>92.211968019384742</v>
      </c>
      <c r="H70" s="122">
        <v>29.42</v>
      </c>
      <c r="I70" s="125">
        <v>2468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101.27186556668487</v>
      </c>
      <c r="G72" s="124">
        <v>101.27186556668487</v>
      </c>
      <c r="H72" s="122">
        <v>7.38</v>
      </c>
      <c r="I72" s="125">
        <v>810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2090</v>
      </c>
      <c r="F75" s="123">
        <v>85976.070300000007</v>
      </c>
      <c r="G75" s="124">
        <v>85976.070300000007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2091</v>
      </c>
      <c r="F79" s="123">
        <v>119210.49485</v>
      </c>
      <c r="G79" s="124">
        <v>119210.49485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94.07540288778965</v>
      </c>
      <c r="G81" s="124">
        <v>105.55040288778966</v>
      </c>
      <c r="H81" s="122">
        <v>27.47</v>
      </c>
      <c r="I81" s="125">
        <v>2358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95.334954761437729</v>
      </c>
      <c r="G82" s="120">
        <v>102.26825476143773</v>
      </c>
      <c r="H82" s="120">
        <v>27.45</v>
      </c>
      <c r="I82" s="117">
        <v>2604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95.405322473455954</v>
      </c>
      <c r="G83" s="120">
        <v>106.09422247345596</v>
      </c>
      <c r="H83" s="120">
        <v>27.43</v>
      </c>
      <c r="I83" s="117">
        <v>2732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100.0039</v>
      </c>
      <c r="H84" s="120">
        <v>0.02</v>
      </c>
      <c r="I84" s="117">
        <v>3064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101.5419</v>
      </c>
      <c r="H85" s="122">
        <v>6.08</v>
      </c>
      <c r="I85" s="125">
        <v>1679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106.48860000000001</v>
      </c>
      <c r="H86" s="120">
        <v>7.08</v>
      </c>
      <c r="I86" s="117">
        <v>2161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100.71169999999999</v>
      </c>
      <c r="H87" s="120">
        <v>6.09</v>
      </c>
      <c r="I87" s="117">
        <v>2088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105.65940000000001</v>
      </c>
      <c r="H88" s="120">
        <v>6.09</v>
      </c>
      <c r="I88" s="117">
        <v>2516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105.65940000000001</v>
      </c>
      <c r="H89" s="122">
        <v>6.09</v>
      </c>
      <c r="I89" s="125">
        <v>2516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104.52419999999999</v>
      </c>
      <c r="H90" s="122">
        <v>6.08</v>
      </c>
      <c r="I90" s="125">
        <v>2583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86.990027760547264</v>
      </c>
      <c r="G91" s="124">
        <v>96.645627760547256</v>
      </c>
      <c r="H91" s="122">
        <v>25.07</v>
      </c>
      <c r="I91" s="125">
        <v>1445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99.82808075319582</v>
      </c>
      <c r="G92" s="124">
        <v>100.02478075319583</v>
      </c>
      <c r="H92" s="122">
        <v>0.61</v>
      </c>
      <c r="I92" s="125">
        <v>4922</v>
      </c>
      <c r="J92" s="119" t="s">
        <v>271</v>
      </c>
    </row>
    <row r="93" spans="1:10" x14ac:dyDescent="0.25">
      <c r="A93" s="121">
        <v>90</v>
      </c>
      <c r="B93" s="118" t="s">
        <v>2290</v>
      </c>
      <c r="C93" s="119" t="s">
        <v>2291</v>
      </c>
      <c r="D93" s="119" t="s">
        <v>459</v>
      </c>
      <c r="E93" s="119" t="s">
        <v>2292</v>
      </c>
      <c r="F93" s="123">
        <v>99.8</v>
      </c>
      <c r="G93" s="124">
        <v>103.4563</v>
      </c>
      <c r="H93" s="122">
        <v>20.329999999999998</v>
      </c>
      <c r="I93" s="125">
        <v>1015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18.715203969190458</v>
      </c>
      <c r="G94" s="124">
        <v>18.715203969190458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87.119323726265549</v>
      </c>
      <c r="G96" s="124">
        <v>87.471823726265541</v>
      </c>
      <c r="H96" s="122">
        <v>17.75</v>
      </c>
      <c r="I96" s="125">
        <v>1881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100.072</v>
      </c>
      <c r="G97" s="124">
        <v>101.64490000000001</v>
      </c>
      <c r="H97" s="122">
        <v>3.72</v>
      </c>
      <c r="I97" s="125">
        <v>929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101.997</v>
      </c>
      <c r="G98" s="124">
        <v>102.2401</v>
      </c>
      <c r="H98" s="122">
        <v>3.75</v>
      </c>
      <c r="I98" s="125">
        <v>1240</v>
      </c>
      <c r="J98" s="119" t="s">
        <v>271</v>
      </c>
    </row>
    <row r="99" spans="1:10" x14ac:dyDescent="0.25">
      <c r="A99" s="121">
        <v>96</v>
      </c>
      <c r="B99" s="118" t="s">
        <v>1997</v>
      </c>
      <c r="C99" s="119" t="s">
        <v>1998</v>
      </c>
      <c r="D99" s="119" t="s">
        <v>459</v>
      </c>
      <c r="E99" s="119" t="s">
        <v>640</v>
      </c>
      <c r="F99" s="123">
        <v>95.268933421107633</v>
      </c>
      <c r="G99" s="124">
        <v>97.824633421107634</v>
      </c>
      <c r="H99" s="122">
        <v>17.98</v>
      </c>
      <c r="I99" s="125">
        <v>475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98.495135722274412</v>
      </c>
      <c r="G100" s="124">
        <v>100.32903572227441</v>
      </c>
      <c r="H100" s="122">
        <v>15.85</v>
      </c>
      <c r="I100" s="125">
        <v>124</v>
      </c>
      <c r="J100" s="119" t="s">
        <v>271</v>
      </c>
    </row>
    <row r="101" spans="1:10" x14ac:dyDescent="0.25">
      <c r="A101" s="121">
        <v>98</v>
      </c>
      <c r="B101" s="118" t="s">
        <v>2065</v>
      </c>
      <c r="C101" s="119" t="s">
        <v>2066</v>
      </c>
      <c r="D101" s="119" t="s">
        <v>459</v>
      </c>
      <c r="E101" s="119" t="s">
        <v>640</v>
      </c>
      <c r="F101" s="123">
        <v>91.816045412150601</v>
      </c>
      <c r="G101" s="124">
        <v>92.157145412150598</v>
      </c>
      <c r="H101" s="122">
        <v>18.09</v>
      </c>
      <c r="I101" s="125">
        <v>1612</v>
      </c>
      <c r="J101" s="119" t="s">
        <v>271</v>
      </c>
    </row>
    <row r="102" spans="1:10" x14ac:dyDescent="0.25">
      <c r="A102" s="121">
        <v>99</v>
      </c>
      <c r="B102" s="118" t="s">
        <v>2482</v>
      </c>
      <c r="C102" s="119" t="s">
        <v>2483</v>
      </c>
      <c r="D102" s="119" t="s">
        <v>459</v>
      </c>
      <c r="E102" s="119" t="s">
        <v>640</v>
      </c>
      <c r="F102" s="123">
        <v>100</v>
      </c>
      <c r="G102" s="124">
        <v>100.7867</v>
      </c>
      <c r="H102" s="122">
        <v>16.91</v>
      </c>
      <c r="I102" s="125">
        <v>1335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76.722999999999999</v>
      </c>
      <c r="G103" s="124">
        <v>76.976799999999997</v>
      </c>
      <c r="H103" s="122">
        <v>16.8</v>
      </c>
      <c r="I103" s="125">
        <v>1881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0.97837249999999998</v>
      </c>
      <c r="G104" s="124">
        <v>0.97837249999999998</v>
      </c>
      <c r="H104" s="122">
        <v>0</v>
      </c>
      <c r="I104" s="125">
        <v>171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0.83514250000000001</v>
      </c>
      <c r="G105" s="124">
        <v>0.83514250000000001</v>
      </c>
      <c r="H105" s="122">
        <v>0</v>
      </c>
      <c r="I105" s="125">
        <v>1432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79.584999999999994</v>
      </c>
      <c r="G106" s="124">
        <v>79.86</v>
      </c>
      <c r="H106" s="122">
        <v>16.809999999999999</v>
      </c>
      <c r="I106" s="125">
        <v>1881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100.8972</v>
      </c>
      <c r="H107" s="122">
        <v>4.2300000000000004</v>
      </c>
      <c r="I107" s="125">
        <v>224</v>
      </c>
      <c r="J107" s="119" t="s">
        <v>271</v>
      </c>
    </row>
    <row r="108" spans="1:10" x14ac:dyDescent="0.25">
      <c r="A108" s="121">
        <v>105</v>
      </c>
      <c r="B108" s="118" t="s">
        <v>2286</v>
      </c>
      <c r="C108" s="119" t="s">
        <v>2287</v>
      </c>
      <c r="D108" s="119" t="s">
        <v>459</v>
      </c>
      <c r="E108" s="119" t="s">
        <v>659</v>
      </c>
      <c r="F108" s="123">
        <v>100</v>
      </c>
      <c r="G108" s="124">
        <v>100.85</v>
      </c>
      <c r="H108" s="122">
        <v>4.24</v>
      </c>
      <c r="I108" s="125">
        <v>588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100.1254</v>
      </c>
      <c r="H109" s="122">
        <v>0.35</v>
      </c>
      <c r="I109" s="125">
        <v>231</v>
      </c>
      <c r="J109" s="119" t="s">
        <v>271</v>
      </c>
    </row>
    <row r="110" spans="1:10" x14ac:dyDescent="0.25">
      <c r="A110" s="121">
        <v>107</v>
      </c>
      <c r="B110" s="118" t="s">
        <v>2355</v>
      </c>
      <c r="C110" s="119" t="s">
        <v>2356</v>
      </c>
      <c r="D110" s="119" t="s">
        <v>459</v>
      </c>
      <c r="E110" s="119" t="s">
        <v>659</v>
      </c>
      <c r="F110" s="123">
        <v>100</v>
      </c>
      <c r="G110" s="124">
        <v>100.0544</v>
      </c>
      <c r="H110" s="122">
        <v>0.35</v>
      </c>
      <c r="I110" s="125">
        <v>664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100.00279999999999</v>
      </c>
      <c r="H111" s="122">
        <v>0.02</v>
      </c>
      <c r="I111" s="125">
        <v>3064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101.5419</v>
      </c>
      <c r="H112" s="122">
        <v>6.08</v>
      </c>
      <c r="I112" s="125">
        <v>1679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94.091978763994717</v>
      </c>
      <c r="G114" s="124">
        <v>96.966978763994717</v>
      </c>
      <c r="H114" s="122">
        <v>14.59</v>
      </c>
      <c r="I114" s="125">
        <v>425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92.986021111590233</v>
      </c>
      <c r="G117" s="124">
        <v>94.936021111590222</v>
      </c>
      <c r="H117" s="122">
        <v>28.29</v>
      </c>
      <c r="I117" s="125">
        <v>2583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89.53740574773488</v>
      </c>
      <c r="G118" s="124">
        <v>93.843005747734878</v>
      </c>
      <c r="H118" s="122">
        <v>28.26</v>
      </c>
      <c r="I118" s="125">
        <v>3088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2251</v>
      </c>
      <c r="F121" s="123">
        <v>96.761919314885404</v>
      </c>
      <c r="G121" s="124">
        <v>97.126919314885399</v>
      </c>
      <c r="H121" s="122">
        <v>18.47</v>
      </c>
      <c r="I121" s="125">
        <v>168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2251</v>
      </c>
      <c r="F122" s="123">
        <v>8.0483009363101967</v>
      </c>
      <c r="G122" s="124">
        <v>8.1422009363101964</v>
      </c>
      <c r="H122" s="122">
        <v>17.190000000000001</v>
      </c>
      <c r="I122" s="125">
        <v>5435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100.4132</v>
      </c>
      <c r="H123" s="122">
        <v>4.24</v>
      </c>
      <c r="I123" s="125">
        <v>265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100.10599999999999</v>
      </c>
      <c r="H124" s="122">
        <v>0.35</v>
      </c>
      <c r="I124" s="125">
        <v>251</v>
      </c>
      <c r="J124" s="119" t="s">
        <v>271</v>
      </c>
    </row>
    <row r="125" spans="1:10" x14ac:dyDescent="0.25">
      <c r="A125" s="121">
        <v>122</v>
      </c>
      <c r="B125" s="118" t="s">
        <v>2262</v>
      </c>
      <c r="C125" s="119" t="s">
        <v>2263</v>
      </c>
      <c r="D125" s="119" t="s">
        <v>459</v>
      </c>
      <c r="E125" s="119" t="s">
        <v>696</v>
      </c>
      <c r="F125" s="123">
        <v>100</v>
      </c>
      <c r="G125" s="124">
        <v>100.0836</v>
      </c>
      <c r="H125" s="122">
        <v>0.35</v>
      </c>
      <c r="I125" s="125">
        <v>634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</v>
      </c>
      <c r="H126" s="122">
        <v>0.02</v>
      </c>
      <c r="I126" s="125">
        <v>3064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100.00279999999999</v>
      </c>
      <c r="H127" s="122">
        <v>0.02</v>
      </c>
      <c r="I127" s="125">
        <v>3064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101.5419</v>
      </c>
      <c r="H128" s="122">
        <v>6.08</v>
      </c>
      <c r="I128" s="125">
        <v>1679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106.48860000000001</v>
      </c>
      <c r="H129" s="122">
        <v>7.08</v>
      </c>
      <c r="I129" s="125">
        <v>2161</v>
      </c>
      <c r="J129" s="119" t="s">
        <v>271</v>
      </c>
    </row>
    <row r="130" spans="1:10" x14ac:dyDescent="0.25">
      <c r="A130" s="121">
        <v>127</v>
      </c>
      <c r="B130" s="118" t="s">
        <v>2359</v>
      </c>
      <c r="C130" s="119" t="s">
        <v>2360</v>
      </c>
      <c r="D130" s="119" t="s">
        <v>459</v>
      </c>
      <c r="E130" s="119" t="s">
        <v>696</v>
      </c>
      <c r="F130" s="123">
        <v>90.801101472639161</v>
      </c>
      <c r="G130" s="124">
        <v>93.632201472639167</v>
      </c>
      <c r="H130" s="122">
        <v>20.38</v>
      </c>
      <c r="I130" s="125">
        <v>3544</v>
      </c>
      <c r="J130" s="119" t="s">
        <v>271</v>
      </c>
    </row>
    <row r="131" spans="1:10" x14ac:dyDescent="0.25">
      <c r="A131" s="121">
        <v>128</v>
      </c>
      <c r="B131" s="118" t="s">
        <v>2412</v>
      </c>
      <c r="C131" s="119" t="s">
        <v>2413</v>
      </c>
      <c r="D131" s="119" t="s">
        <v>459</v>
      </c>
      <c r="E131" s="119" t="s">
        <v>696</v>
      </c>
      <c r="F131" s="123">
        <v>93.779675840159854</v>
      </c>
      <c r="G131" s="124">
        <v>95.197175840159844</v>
      </c>
      <c r="H131" s="122">
        <v>20.38</v>
      </c>
      <c r="I131" s="125">
        <v>3573</v>
      </c>
      <c r="J131" s="119" t="s">
        <v>271</v>
      </c>
    </row>
    <row r="132" spans="1:10" x14ac:dyDescent="0.25">
      <c r="A132" s="121">
        <v>129</v>
      </c>
      <c r="B132" s="118" t="s">
        <v>2414</v>
      </c>
      <c r="C132" s="119" t="s">
        <v>2415</v>
      </c>
      <c r="D132" s="119" t="s">
        <v>459</v>
      </c>
      <c r="E132" s="119" t="s">
        <v>696</v>
      </c>
      <c r="F132" s="123">
        <v>93.779675840159854</v>
      </c>
      <c r="G132" s="124">
        <v>95.197175840159844</v>
      </c>
      <c r="H132" s="122">
        <v>20.38</v>
      </c>
      <c r="I132" s="125">
        <v>3573</v>
      </c>
      <c r="J132" s="119" t="s">
        <v>271</v>
      </c>
    </row>
    <row r="133" spans="1:10" x14ac:dyDescent="0.25">
      <c r="A133" s="121">
        <v>130</v>
      </c>
      <c r="B133" s="118" t="s">
        <v>2456</v>
      </c>
      <c r="C133" s="119" t="s">
        <v>2457</v>
      </c>
      <c r="D133" s="119" t="s">
        <v>459</v>
      </c>
      <c r="E133" s="119" t="s">
        <v>696</v>
      </c>
      <c r="F133" s="123">
        <v>93.749796632952638</v>
      </c>
      <c r="G133" s="124">
        <v>94.957296632952634</v>
      </c>
      <c r="H133" s="122">
        <v>20.39</v>
      </c>
      <c r="I133" s="125">
        <v>3577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100.71169999999999</v>
      </c>
      <c r="H134" s="122">
        <v>6.09</v>
      </c>
      <c r="I134" s="125">
        <v>2088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105.65940000000001</v>
      </c>
      <c r="H135" s="122">
        <v>6.09</v>
      </c>
      <c r="I135" s="125">
        <v>2516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105.65940000000001</v>
      </c>
      <c r="H136" s="122">
        <v>6.09</v>
      </c>
      <c r="I136" s="125">
        <v>2516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104.52419999999999</v>
      </c>
      <c r="H137" s="122">
        <v>6.08</v>
      </c>
      <c r="I137" s="125">
        <v>2583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30.593</v>
      </c>
      <c r="G139" s="124">
        <v>30.797899999999998</v>
      </c>
      <c r="H139" s="122">
        <v>3.17</v>
      </c>
      <c r="I139" s="125">
        <v>34610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92.265807531012925</v>
      </c>
      <c r="G140" s="124">
        <v>95.154707531012917</v>
      </c>
      <c r="H140" s="122">
        <v>28.58</v>
      </c>
      <c r="I140" s="125">
        <v>2480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88.769483979882025</v>
      </c>
      <c r="G141" s="124">
        <v>93.561183979882017</v>
      </c>
      <c r="H141" s="122">
        <v>28.53</v>
      </c>
      <c r="I141" s="125">
        <v>3081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28262.687000000002</v>
      </c>
      <c r="G144" s="124">
        <v>28262.687000000002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116292.00625000001</v>
      </c>
      <c r="G146" s="124">
        <v>116292.00625000001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72066.88156962693</v>
      </c>
      <c r="G147" s="124">
        <v>72066.88156962693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1484.6</v>
      </c>
      <c r="G148" s="124">
        <v>1484.6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7.1520538224426469</v>
      </c>
      <c r="G149" s="124">
        <v>7.1520538224426469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2077</v>
      </c>
      <c r="C150" s="119" t="s">
        <v>2078</v>
      </c>
      <c r="D150" s="119" t="s">
        <v>739</v>
      </c>
      <c r="E150" s="119" t="s">
        <v>28</v>
      </c>
      <c r="F150" s="123">
        <v>55005.872247971674</v>
      </c>
      <c r="G150" s="124">
        <v>55005.872247971674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2071</v>
      </c>
      <c r="F152" s="123">
        <v>29.241785078693081</v>
      </c>
      <c r="G152" s="124">
        <v>29.242785078693082</v>
      </c>
      <c r="H152" s="122">
        <v>17.52</v>
      </c>
      <c r="I152" s="125">
        <v>2637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2071</v>
      </c>
      <c r="F153" s="123">
        <v>97.935470228564881</v>
      </c>
      <c r="G153" s="124">
        <v>99.262870228564879</v>
      </c>
      <c r="H153" s="122">
        <v>18.63</v>
      </c>
      <c r="I153" s="125">
        <v>335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2071</v>
      </c>
      <c r="F154" s="123">
        <v>96.153419530648193</v>
      </c>
      <c r="G154" s="124">
        <v>97.484919530648199</v>
      </c>
      <c r="H154" s="122">
        <v>18.64</v>
      </c>
      <c r="I154" s="125">
        <v>700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98.118227513512423</v>
      </c>
      <c r="G155" s="124">
        <v>105.11402751351243</v>
      </c>
      <c r="H155" s="122">
        <v>19.170000000000002</v>
      </c>
      <c r="I155" s="125">
        <v>394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101.64095753361468</v>
      </c>
      <c r="G156" s="124">
        <v>104.68265753361469</v>
      </c>
      <c r="H156" s="122">
        <v>5.92</v>
      </c>
      <c r="I156" s="125">
        <v>394</v>
      </c>
      <c r="J156" s="119" t="s">
        <v>271</v>
      </c>
    </row>
    <row r="157" spans="1:10" x14ac:dyDescent="0.25">
      <c r="A157" s="121">
        <v>154</v>
      </c>
      <c r="B157" s="118" t="s">
        <v>2209</v>
      </c>
      <c r="C157" s="119" t="s">
        <v>2210</v>
      </c>
      <c r="D157" s="119" t="s">
        <v>459</v>
      </c>
      <c r="E157" s="119" t="s">
        <v>751</v>
      </c>
      <c r="F157" s="123">
        <v>99.710936383220172</v>
      </c>
      <c r="G157" s="124">
        <v>106.04843638322016</v>
      </c>
      <c r="H157" s="122">
        <v>19.63</v>
      </c>
      <c r="I157" s="125">
        <v>603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75435.878200000006</v>
      </c>
      <c r="G158" s="124">
        <v>75435.878200000006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2112</v>
      </c>
      <c r="C159" s="119" t="s">
        <v>1862</v>
      </c>
      <c r="D159" s="119" t="s">
        <v>759</v>
      </c>
      <c r="E159" s="119" t="s">
        <v>1863</v>
      </c>
      <c r="F159" s="123">
        <v>49752.636050000001</v>
      </c>
      <c r="G159" s="124">
        <v>49752.636050000001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10399.1499</v>
      </c>
      <c r="G160" s="124">
        <v>10399.1499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96.133022097969032</v>
      </c>
      <c r="G161" s="124">
        <v>103.83722209796903</v>
      </c>
      <c r="H161" s="122">
        <v>25.47</v>
      </c>
      <c r="I161" s="125">
        <v>411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18924.06595</v>
      </c>
      <c r="G162" s="124">
        <v>18924.06595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91.050518774715314</v>
      </c>
      <c r="G163" s="124">
        <v>92.815818774715311</v>
      </c>
      <c r="H163" s="122">
        <v>24.96</v>
      </c>
      <c r="I163" s="125">
        <v>1049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71.485044166043295</v>
      </c>
      <c r="G164" s="124">
        <v>72.547544166043295</v>
      </c>
      <c r="H164" s="122">
        <v>18.78</v>
      </c>
      <c r="I164" s="125">
        <v>2486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76.096392522790936</v>
      </c>
      <c r="G165" s="124">
        <v>77.127692522790937</v>
      </c>
      <c r="H165" s="122">
        <v>18.93</v>
      </c>
      <c r="I165" s="125">
        <v>1767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82.196375615225307</v>
      </c>
      <c r="G166" s="124">
        <v>83.174175615225309</v>
      </c>
      <c r="H166" s="122">
        <v>19.25</v>
      </c>
      <c r="I166" s="125">
        <v>1048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77.479886826242364</v>
      </c>
      <c r="G167" s="124">
        <v>80.932686826242374</v>
      </c>
      <c r="H167" s="122">
        <v>19.02</v>
      </c>
      <c r="I167" s="125">
        <v>1507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79.998002681166852</v>
      </c>
      <c r="G168" s="124">
        <v>82.992402681166851</v>
      </c>
      <c r="H168" s="122">
        <v>17.350000000000001</v>
      </c>
      <c r="I168" s="125">
        <v>1702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93.873093143059009</v>
      </c>
      <c r="G169" s="124">
        <v>96.59529314305901</v>
      </c>
      <c r="H169" s="122">
        <v>19.34</v>
      </c>
      <c r="I169" s="125">
        <v>262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9.219937069492353</v>
      </c>
      <c r="G170" s="124">
        <v>9.2903370694923542</v>
      </c>
      <c r="H170" s="122">
        <v>18.39</v>
      </c>
      <c r="I170" s="125">
        <v>5051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8.3845330020405893</v>
      </c>
      <c r="G171" s="124">
        <v>8.439533002040589</v>
      </c>
      <c r="H171" s="122">
        <v>18.38</v>
      </c>
      <c r="I171" s="125">
        <v>5268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77.050352373488522</v>
      </c>
      <c r="G172" s="124">
        <v>80.557552373488519</v>
      </c>
      <c r="H172" s="122">
        <v>18.899999999999999</v>
      </c>
      <c r="I172" s="125">
        <v>1873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86.801193735007431</v>
      </c>
      <c r="G173" s="124">
        <v>90.308393735007428</v>
      </c>
      <c r="H173" s="122">
        <v>19.41</v>
      </c>
      <c r="I173" s="125">
        <v>793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57.474290381175976</v>
      </c>
      <c r="G174" s="124">
        <v>63.962890381175974</v>
      </c>
      <c r="H174" s="122">
        <v>19.670000000000002</v>
      </c>
      <c r="I174" s="125">
        <v>2191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23.322305108964052</v>
      </c>
      <c r="G175" s="124">
        <v>23.691705108964051</v>
      </c>
      <c r="H175" s="122">
        <v>18.510000000000002</v>
      </c>
      <c r="I175" s="125">
        <v>3139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21.035075318362914</v>
      </c>
      <c r="G176" s="124">
        <v>21.341975318362913</v>
      </c>
      <c r="H176" s="122">
        <v>19.39</v>
      </c>
      <c r="I176" s="125">
        <v>3379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96.81933353687721</v>
      </c>
      <c r="G177" s="124">
        <v>101.52493353687721</v>
      </c>
      <c r="H177" s="122">
        <v>19.21</v>
      </c>
      <c r="I177" s="125">
        <v>239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104.7634</v>
      </c>
      <c r="H178" s="122">
        <v>17.559999999999999</v>
      </c>
      <c r="I178" s="125">
        <v>184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2944</v>
      </c>
      <c r="J179" s="119" t="s">
        <v>240</v>
      </c>
    </row>
    <row r="180" spans="1:10" x14ac:dyDescent="0.25">
      <c r="A180" s="121">
        <v>177</v>
      </c>
      <c r="B180" s="118" t="s">
        <v>1960</v>
      </c>
      <c r="C180" s="119" t="s">
        <v>1961</v>
      </c>
      <c r="D180" s="119" t="s">
        <v>459</v>
      </c>
      <c r="E180" s="119" t="s">
        <v>29</v>
      </c>
      <c r="F180" s="123">
        <v>47.776921502413664</v>
      </c>
      <c r="G180" s="124">
        <v>52.276921502413664</v>
      </c>
      <c r="H180" s="122">
        <v>18.57</v>
      </c>
      <c r="I180" s="125">
        <v>2940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95.870000602117884</v>
      </c>
      <c r="G181" s="124">
        <v>98.008900602117876</v>
      </c>
      <c r="H181" s="122">
        <v>19.43</v>
      </c>
      <c r="I181" s="125">
        <v>305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86.624846497387011</v>
      </c>
      <c r="G182" s="124">
        <v>89.041546497387017</v>
      </c>
      <c r="H182" s="122">
        <v>18.850000000000001</v>
      </c>
      <c r="I182" s="125">
        <v>2102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95.403331119910234</v>
      </c>
      <c r="G183" s="124">
        <v>99.661631119910226</v>
      </c>
      <c r="H183" s="122">
        <v>19.2</v>
      </c>
      <c r="I183" s="125">
        <v>220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90.455898344393091</v>
      </c>
      <c r="G184" s="124">
        <v>91.603098344393089</v>
      </c>
      <c r="H184" s="122">
        <v>4.92</v>
      </c>
      <c r="I184" s="125">
        <v>2020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101.465</v>
      </c>
      <c r="G185" s="124">
        <v>103.9247</v>
      </c>
      <c r="H185" s="122">
        <v>4.51</v>
      </c>
      <c r="I185" s="125">
        <v>559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91.603835254136868</v>
      </c>
      <c r="G186" s="124">
        <v>97.417735254136858</v>
      </c>
      <c r="H186" s="122">
        <v>19.5</v>
      </c>
      <c r="I186" s="125">
        <v>559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102.411</v>
      </c>
      <c r="G187" s="124">
        <v>104.64230000000001</v>
      </c>
      <c r="H187" s="122">
        <v>4.59</v>
      </c>
      <c r="I187" s="125">
        <v>1467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88.745000000000005</v>
      </c>
      <c r="G188" s="124">
        <v>93.353800000000007</v>
      </c>
      <c r="H188" s="122">
        <v>19.05</v>
      </c>
      <c r="I188" s="125">
        <v>957</v>
      </c>
      <c r="J188" s="119" t="s">
        <v>271</v>
      </c>
    </row>
    <row r="189" spans="1:10" x14ac:dyDescent="0.25">
      <c r="A189" s="121">
        <v>186</v>
      </c>
      <c r="B189" s="118" t="s">
        <v>2120</v>
      </c>
      <c r="C189" s="119" t="s">
        <v>2121</v>
      </c>
      <c r="D189" s="119" t="s">
        <v>459</v>
      </c>
      <c r="E189" s="119" t="s">
        <v>29</v>
      </c>
      <c r="F189" s="123">
        <v>103.455</v>
      </c>
      <c r="G189" s="124">
        <v>106.0956</v>
      </c>
      <c r="H189" s="122">
        <v>4.7699999999999996</v>
      </c>
      <c r="I189" s="125">
        <v>1631</v>
      </c>
      <c r="J189" s="119" t="s">
        <v>271</v>
      </c>
    </row>
    <row r="190" spans="1:10" x14ac:dyDescent="0.25">
      <c r="A190" s="121">
        <v>187</v>
      </c>
      <c r="B190" s="118" t="s">
        <v>2525</v>
      </c>
      <c r="C190" s="119" t="s">
        <v>2526</v>
      </c>
      <c r="D190" s="119" t="s">
        <v>459</v>
      </c>
      <c r="E190" s="119" t="s">
        <v>29</v>
      </c>
      <c r="F190" s="123">
        <v>100.66983695454142</v>
      </c>
      <c r="G190" s="124">
        <v>100.89933695454143</v>
      </c>
      <c r="H190" s="122">
        <v>3.11</v>
      </c>
      <c r="I190" s="125">
        <v>1071</v>
      </c>
      <c r="J190" s="119" t="s">
        <v>271</v>
      </c>
    </row>
    <row r="191" spans="1:10" x14ac:dyDescent="0.25">
      <c r="A191" s="121">
        <v>188</v>
      </c>
      <c r="B191" s="118" t="s">
        <v>30</v>
      </c>
      <c r="C191" s="119" t="s">
        <v>31</v>
      </c>
      <c r="D191" s="119" t="s">
        <v>459</v>
      </c>
      <c r="E191" s="119" t="s">
        <v>29</v>
      </c>
      <c r="F191" s="123">
        <v>100.50426971104486</v>
      </c>
      <c r="G191" s="124">
        <v>100.55426971104485</v>
      </c>
      <c r="H191" s="122">
        <v>4.95</v>
      </c>
      <c r="I191" s="125">
        <v>177</v>
      </c>
      <c r="J191" s="119" t="s">
        <v>271</v>
      </c>
    </row>
    <row r="192" spans="1:10" x14ac:dyDescent="0.25">
      <c r="A192" s="121">
        <v>189</v>
      </c>
      <c r="B192" s="118" t="s">
        <v>814</v>
      </c>
      <c r="C192" s="119" t="s">
        <v>815</v>
      </c>
      <c r="D192" s="119" t="s">
        <v>449</v>
      </c>
      <c r="E192" s="119" t="s">
        <v>816</v>
      </c>
      <c r="F192" s="123">
        <v>0.01</v>
      </c>
      <c r="G192" s="124">
        <v>0.01</v>
      </c>
      <c r="H192" s="122">
        <v>0</v>
      </c>
      <c r="I192" s="125">
        <v>0</v>
      </c>
      <c r="J192" s="119" t="s">
        <v>240</v>
      </c>
    </row>
    <row r="193" spans="1:10" x14ac:dyDescent="0.25">
      <c r="A193" s="121">
        <v>190</v>
      </c>
      <c r="B193" s="118" t="s">
        <v>1962</v>
      </c>
      <c r="C193" s="119" t="s">
        <v>1963</v>
      </c>
      <c r="D193" s="119" t="s">
        <v>459</v>
      </c>
      <c r="E193" s="119" t="s">
        <v>2015</v>
      </c>
      <c r="F193" s="123">
        <v>103.65157060558124</v>
      </c>
      <c r="G193" s="124">
        <v>105.12727060558124</v>
      </c>
      <c r="H193" s="122">
        <v>5.17</v>
      </c>
      <c r="I193" s="125">
        <v>1355</v>
      </c>
      <c r="J193" s="119" t="s">
        <v>271</v>
      </c>
    </row>
    <row r="194" spans="1:10" x14ac:dyDescent="0.25">
      <c r="A194" s="121">
        <v>191</v>
      </c>
      <c r="B194" s="118" t="s">
        <v>817</v>
      </c>
      <c r="C194" s="119" t="s">
        <v>818</v>
      </c>
      <c r="D194" s="119" t="s">
        <v>449</v>
      </c>
      <c r="E194" s="119" t="s">
        <v>819</v>
      </c>
      <c r="F194" s="123">
        <v>294.35000000000002</v>
      </c>
      <c r="G194" s="124">
        <v>294.35000000000002</v>
      </c>
      <c r="H194" s="122">
        <v>0</v>
      </c>
      <c r="I194" s="125">
        <v>0</v>
      </c>
      <c r="J194" s="119" t="s">
        <v>240</v>
      </c>
    </row>
    <row r="195" spans="1:10" x14ac:dyDescent="0.25">
      <c r="A195" s="121">
        <v>192</v>
      </c>
      <c r="B195" s="118" t="s">
        <v>820</v>
      </c>
      <c r="C195" s="119" t="s">
        <v>821</v>
      </c>
      <c r="D195" s="119" t="s">
        <v>459</v>
      </c>
      <c r="E195" s="119" t="s">
        <v>822</v>
      </c>
      <c r="F195" s="123">
        <v>60.199335246666053</v>
      </c>
      <c r="G195" s="124">
        <v>61.721035246666048</v>
      </c>
      <c r="H195" s="122">
        <v>19.62</v>
      </c>
      <c r="I195" s="125">
        <v>1709</v>
      </c>
      <c r="J195" s="119" t="s">
        <v>271</v>
      </c>
    </row>
    <row r="196" spans="1:10" x14ac:dyDescent="0.25">
      <c r="A196" s="121">
        <v>193</v>
      </c>
      <c r="B196" s="118" t="s">
        <v>823</v>
      </c>
      <c r="C196" s="119" t="s">
        <v>824</v>
      </c>
      <c r="D196" s="119" t="s">
        <v>459</v>
      </c>
      <c r="E196" s="119" t="s">
        <v>822</v>
      </c>
      <c r="F196" s="123">
        <v>55.071340111382526</v>
      </c>
      <c r="G196" s="124">
        <v>55.773640111382527</v>
      </c>
      <c r="H196" s="122">
        <v>19.489999999999998</v>
      </c>
      <c r="I196" s="125">
        <v>2118</v>
      </c>
      <c r="J196" s="119" t="s">
        <v>271</v>
      </c>
    </row>
    <row r="197" spans="1:10" x14ac:dyDescent="0.25">
      <c r="A197" s="121">
        <v>194</v>
      </c>
      <c r="B197" s="118" t="s">
        <v>825</v>
      </c>
      <c r="C197" s="119" t="s">
        <v>826</v>
      </c>
      <c r="D197" s="119" t="s">
        <v>459</v>
      </c>
      <c r="E197" s="119" t="s">
        <v>822</v>
      </c>
      <c r="F197" s="123">
        <v>50.656435240040935</v>
      </c>
      <c r="G197" s="124">
        <v>56.241635240040935</v>
      </c>
      <c r="H197" s="122">
        <v>19.41</v>
      </c>
      <c r="I197" s="125">
        <v>2546</v>
      </c>
      <c r="J197" s="119" t="s">
        <v>271</v>
      </c>
    </row>
    <row r="198" spans="1:10" x14ac:dyDescent="0.25">
      <c r="A198" s="121">
        <v>195</v>
      </c>
      <c r="B198" s="118" t="s">
        <v>827</v>
      </c>
      <c r="C198" s="119" t="s">
        <v>828</v>
      </c>
      <c r="D198" s="119" t="s">
        <v>459</v>
      </c>
      <c r="E198" s="119" t="s">
        <v>822</v>
      </c>
      <c r="F198" s="123">
        <v>50.656435240040935</v>
      </c>
      <c r="G198" s="124">
        <v>56.241635240040935</v>
      </c>
      <c r="H198" s="122">
        <v>19.41</v>
      </c>
      <c r="I198" s="125">
        <v>2546</v>
      </c>
      <c r="J198" s="119" t="s">
        <v>271</v>
      </c>
    </row>
    <row r="199" spans="1:10" x14ac:dyDescent="0.25">
      <c r="A199" s="121">
        <v>196</v>
      </c>
      <c r="B199" s="118" t="s">
        <v>829</v>
      </c>
      <c r="C199" s="119" t="s">
        <v>830</v>
      </c>
      <c r="D199" s="119" t="s">
        <v>459</v>
      </c>
      <c r="E199" s="119" t="s">
        <v>391</v>
      </c>
      <c r="F199" s="123">
        <v>66.185018285462291</v>
      </c>
      <c r="G199" s="124">
        <v>68.533618285462296</v>
      </c>
      <c r="H199" s="122">
        <v>17.34</v>
      </c>
      <c r="I199" s="125">
        <v>2971</v>
      </c>
      <c r="J199" s="119" t="s">
        <v>271</v>
      </c>
    </row>
    <row r="200" spans="1:10" x14ac:dyDescent="0.25">
      <c r="A200" s="121">
        <v>197</v>
      </c>
      <c r="B200" s="118" t="s">
        <v>831</v>
      </c>
      <c r="C200" s="119" t="s">
        <v>832</v>
      </c>
      <c r="D200" s="119" t="s">
        <v>459</v>
      </c>
      <c r="E200" s="119" t="s">
        <v>391</v>
      </c>
      <c r="F200" s="123">
        <v>88.739104591955581</v>
      </c>
      <c r="G200" s="124">
        <v>93.337904591955578</v>
      </c>
      <c r="H200" s="122">
        <v>17.75</v>
      </c>
      <c r="I200" s="125">
        <v>1317</v>
      </c>
      <c r="J200" s="119" t="s">
        <v>271</v>
      </c>
    </row>
    <row r="201" spans="1:10" x14ac:dyDescent="0.25">
      <c r="A201" s="121">
        <v>198</v>
      </c>
      <c r="B201" s="118" t="s">
        <v>413</v>
      </c>
      <c r="C201" s="119" t="s">
        <v>406</v>
      </c>
      <c r="D201" s="119" t="s">
        <v>459</v>
      </c>
      <c r="E201" s="119" t="s">
        <v>391</v>
      </c>
      <c r="F201" s="123">
        <v>98.24530980047092</v>
      </c>
      <c r="G201" s="124">
        <v>102.79810980047093</v>
      </c>
      <c r="H201" s="122">
        <v>17.41</v>
      </c>
      <c r="I201" s="125">
        <v>182</v>
      </c>
      <c r="J201" s="119" t="s">
        <v>271</v>
      </c>
    </row>
    <row r="202" spans="1:10" x14ac:dyDescent="0.25">
      <c r="A202" s="121">
        <v>199</v>
      </c>
      <c r="B202" s="118" t="s">
        <v>1964</v>
      </c>
      <c r="C202" s="119" t="s">
        <v>1965</v>
      </c>
      <c r="D202" s="119" t="s">
        <v>459</v>
      </c>
      <c r="E202" s="119" t="s">
        <v>391</v>
      </c>
      <c r="F202" s="123">
        <v>98.780334328866857</v>
      </c>
      <c r="G202" s="124">
        <v>102.53033432886686</v>
      </c>
      <c r="H202" s="122">
        <v>17.28</v>
      </c>
      <c r="I202" s="125">
        <v>180</v>
      </c>
      <c r="J202" s="119" t="s">
        <v>271</v>
      </c>
    </row>
    <row r="203" spans="1:10" x14ac:dyDescent="0.25">
      <c r="A203" s="121">
        <v>200</v>
      </c>
      <c r="B203" s="118" t="s">
        <v>2117</v>
      </c>
      <c r="C203" s="119" t="s">
        <v>2118</v>
      </c>
      <c r="D203" s="119" t="s">
        <v>459</v>
      </c>
      <c r="E203" s="119" t="s">
        <v>391</v>
      </c>
      <c r="F203" s="123">
        <v>99.371120349715738</v>
      </c>
      <c r="G203" s="124">
        <v>107.35172034971575</v>
      </c>
      <c r="H203" s="122">
        <v>17.62</v>
      </c>
      <c r="I203" s="125">
        <v>281</v>
      </c>
      <c r="J203" s="119" t="s">
        <v>271</v>
      </c>
    </row>
    <row r="204" spans="1:10" x14ac:dyDescent="0.25">
      <c r="A204" s="121">
        <v>201</v>
      </c>
      <c r="B204" s="118" t="s">
        <v>2124</v>
      </c>
      <c r="C204" s="119" t="s">
        <v>2119</v>
      </c>
      <c r="D204" s="119" t="s">
        <v>459</v>
      </c>
      <c r="E204" s="119" t="s">
        <v>391</v>
      </c>
      <c r="F204" s="123">
        <v>99.443595289682634</v>
      </c>
      <c r="G204" s="124">
        <v>107.14419528968263</v>
      </c>
      <c r="H204" s="122">
        <v>17.78</v>
      </c>
      <c r="I204" s="125">
        <v>194</v>
      </c>
      <c r="J204" s="119" t="s">
        <v>271</v>
      </c>
    </row>
    <row r="205" spans="1:10" x14ac:dyDescent="0.25">
      <c r="A205" s="121">
        <v>202</v>
      </c>
      <c r="B205" s="118" t="s">
        <v>2154</v>
      </c>
      <c r="C205" s="119" t="s">
        <v>2143</v>
      </c>
      <c r="D205" s="119" t="s">
        <v>459</v>
      </c>
      <c r="E205" s="119" t="s">
        <v>391</v>
      </c>
      <c r="F205" s="123">
        <v>97.702679141468934</v>
      </c>
      <c r="G205" s="124">
        <v>104.18097914146894</v>
      </c>
      <c r="H205" s="122">
        <v>17.559999999999999</v>
      </c>
      <c r="I205" s="125">
        <v>1662</v>
      </c>
      <c r="J205" s="119" t="s">
        <v>271</v>
      </c>
    </row>
    <row r="206" spans="1:10" x14ac:dyDescent="0.25">
      <c r="A206" s="121">
        <v>203</v>
      </c>
      <c r="B206" s="118" t="s">
        <v>2241</v>
      </c>
      <c r="C206" s="119" t="s">
        <v>2242</v>
      </c>
      <c r="D206" s="119" t="s">
        <v>459</v>
      </c>
      <c r="E206" s="119" t="s">
        <v>391</v>
      </c>
      <c r="F206" s="123">
        <v>99.52857652831004</v>
      </c>
      <c r="G206" s="124">
        <v>104.58417652831004</v>
      </c>
      <c r="H206" s="122">
        <v>17.559999999999999</v>
      </c>
      <c r="I206" s="125">
        <v>1696</v>
      </c>
      <c r="J206" s="119" t="s">
        <v>271</v>
      </c>
    </row>
    <row r="207" spans="1:10" x14ac:dyDescent="0.25">
      <c r="A207" s="121">
        <v>204</v>
      </c>
      <c r="B207" s="118" t="s">
        <v>2243</v>
      </c>
      <c r="C207" s="119" t="s">
        <v>2244</v>
      </c>
      <c r="D207" s="119" t="s">
        <v>459</v>
      </c>
      <c r="E207" s="119" t="s">
        <v>391</v>
      </c>
      <c r="F207" s="123">
        <v>99.52857652831004</v>
      </c>
      <c r="G207" s="124">
        <v>104.58417652831004</v>
      </c>
      <c r="H207" s="122">
        <v>17.559999999999999</v>
      </c>
      <c r="I207" s="125">
        <v>1696</v>
      </c>
      <c r="J207" s="119" t="s">
        <v>271</v>
      </c>
    </row>
    <row r="208" spans="1:10" x14ac:dyDescent="0.25">
      <c r="A208" s="121">
        <v>205</v>
      </c>
      <c r="B208" s="118" t="s">
        <v>2492</v>
      </c>
      <c r="C208" s="119" t="s">
        <v>2493</v>
      </c>
      <c r="D208" s="119" t="s">
        <v>459</v>
      </c>
      <c r="E208" s="119" t="s">
        <v>391</v>
      </c>
      <c r="F208" s="123">
        <v>99.682129215925627</v>
      </c>
      <c r="G208" s="124">
        <v>100.49542921592564</v>
      </c>
      <c r="H208" s="122">
        <v>18.38</v>
      </c>
      <c r="I208" s="125">
        <v>1784</v>
      </c>
      <c r="J208" s="119" t="s">
        <v>271</v>
      </c>
    </row>
    <row r="209" spans="1:10" x14ac:dyDescent="0.25">
      <c r="A209" s="121">
        <v>206</v>
      </c>
      <c r="B209" s="118" t="s">
        <v>2175</v>
      </c>
      <c r="C209" s="119" t="s">
        <v>2176</v>
      </c>
      <c r="D209" s="119" t="s">
        <v>459</v>
      </c>
      <c r="E209" s="119" t="s">
        <v>391</v>
      </c>
      <c r="F209" s="123">
        <v>98.616385693660433</v>
      </c>
      <c r="G209" s="124">
        <v>104.83178569366044</v>
      </c>
      <c r="H209" s="122">
        <v>18.79</v>
      </c>
      <c r="I209" s="125">
        <v>236</v>
      </c>
      <c r="J209" s="119" t="s">
        <v>271</v>
      </c>
    </row>
    <row r="210" spans="1:10" x14ac:dyDescent="0.25">
      <c r="A210" s="121">
        <v>207</v>
      </c>
      <c r="B210" s="118" t="s">
        <v>2311</v>
      </c>
      <c r="C210" s="119" t="s">
        <v>2312</v>
      </c>
      <c r="D210" s="119" t="s">
        <v>459</v>
      </c>
      <c r="E210" s="119" t="s">
        <v>391</v>
      </c>
      <c r="F210" s="123">
        <v>99.732308026590303</v>
      </c>
      <c r="G210" s="124">
        <v>102.9813080265903</v>
      </c>
      <c r="H210" s="122">
        <v>17.940000000000001</v>
      </c>
      <c r="I210" s="125">
        <v>303</v>
      </c>
      <c r="J210" s="119" t="s">
        <v>271</v>
      </c>
    </row>
    <row r="211" spans="1:10" x14ac:dyDescent="0.25">
      <c r="A211" s="117">
        <v>208</v>
      </c>
      <c r="B211" s="118" t="s">
        <v>833</v>
      </c>
      <c r="C211" s="119" t="s">
        <v>834</v>
      </c>
      <c r="D211" s="119" t="s">
        <v>459</v>
      </c>
      <c r="E211" s="119" t="s">
        <v>391</v>
      </c>
      <c r="F211" s="120">
        <v>79.357976938813422</v>
      </c>
      <c r="G211" s="120">
        <v>83.59547693881342</v>
      </c>
      <c r="H211" s="120">
        <v>17.559999999999999</v>
      </c>
      <c r="I211" s="117">
        <v>1845</v>
      </c>
      <c r="J211" s="119" t="s">
        <v>271</v>
      </c>
    </row>
    <row r="212" spans="1:10" x14ac:dyDescent="0.25">
      <c r="A212" s="117">
        <v>209</v>
      </c>
      <c r="B212" s="118" t="s">
        <v>414</v>
      </c>
      <c r="C212" s="119" t="s">
        <v>415</v>
      </c>
      <c r="D212" s="119" t="s">
        <v>459</v>
      </c>
      <c r="E212" s="119" t="s">
        <v>391</v>
      </c>
      <c r="F212" s="120">
        <v>88.078578642154127</v>
      </c>
      <c r="G212" s="120">
        <v>91.437178642154123</v>
      </c>
      <c r="H212" s="120">
        <v>18.059999999999999</v>
      </c>
      <c r="I212" s="117">
        <v>793</v>
      </c>
      <c r="J212" s="119" t="s">
        <v>271</v>
      </c>
    </row>
    <row r="213" spans="1:10" x14ac:dyDescent="0.25">
      <c r="A213" s="117">
        <v>210</v>
      </c>
      <c r="B213" s="118" t="s">
        <v>835</v>
      </c>
      <c r="C213" s="119" t="s">
        <v>836</v>
      </c>
      <c r="D213" s="119" t="s">
        <v>459</v>
      </c>
      <c r="E213" s="119" t="s">
        <v>391</v>
      </c>
      <c r="F213" s="120">
        <v>79.179388665757401</v>
      </c>
      <c r="G213" s="120">
        <v>82.537988665757396</v>
      </c>
      <c r="H213" s="120">
        <v>17.55</v>
      </c>
      <c r="I213" s="117">
        <v>1873</v>
      </c>
      <c r="J213" s="119" t="s">
        <v>271</v>
      </c>
    </row>
    <row r="214" spans="1:10" x14ac:dyDescent="0.25">
      <c r="A214" s="117">
        <v>211</v>
      </c>
      <c r="B214" s="118" t="s">
        <v>416</v>
      </c>
      <c r="C214" s="119" t="s">
        <v>417</v>
      </c>
      <c r="D214" s="119" t="s">
        <v>459</v>
      </c>
      <c r="E214" s="119" t="s">
        <v>391</v>
      </c>
      <c r="F214" s="120">
        <v>77.635067594331247</v>
      </c>
      <c r="G214" s="120">
        <v>77.848967594331242</v>
      </c>
      <c r="H214" s="120">
        <v>17.510000000000002</v>
      </c>
      <c r="I214" s="117">
        <v>1973</v>
      </c>
      <c r="J214" s="119" t="s">
        <v>271</v>
      </c>
    </row>
    <row r="215" spans="1:10" x14ac:dyDescent="0.25">
      <c r="A215" s="117">
        <v>212</v>
      </c>
      <c r="B215" s="118" t="s">
        <v>418</v>
      </c>
      <c r="C215" s="119" t="s">
        <v>419</v>
      </c>
      <c r="D215" s="119" t="s">
        <v>459</v>
      </c>
      <c r="E215" s="119" t="s">
        <v>391</v>
      </c>
      <c r="F215" s="120">
        <v>75.982181536110076</v>
      </c>
      <c r="G215" s="120">
        <v>78.884981536110089</v>
      </c>
      <c r="H215" s="120">
        <v>17.46</v>
      </c>
      <c r="I215" s="117">
        <v>2245</v>
      </c>
      <c r="J215" s="119" t="s">
        <v>271</v>
      </c>
    </row>
    <row r="216" spans="1:10" x14ac:dyDescent="0.25">
      <c r="A216" s="117">
        <v>213</v>
      </c>
      <c r="B216" s="118" t="s">
        <v>376</v>
      </c>
      <c r="C216" s="119" t="s">
        <v>377</v>
      </c>
      <c r="D216" s="119" t="s">
        <v>459</v>
      </c>
      <c r="E216" s="119" t="s">
        <v>391</v>
      </c>
      <c r="F216" s="120">
        <v>76.913182385795238</v>
      </c>
      <c r="G216" s="120">
        <v>85.579882385795244</v>
      </c>
      <c r="H216" s="120">
        <v>17.53</v>
      </c>
      <c r="I216" s="117">
        <v>4800</v>
      </c>
      <c r="J216" s="119" t="s">
        <v>271</v>
      </c>
    </row>
    <row r="217" spans="1:10" x14ac:dyDescent="0.25">
      <c r="A217" s="117">
        <v>214</v>
      </c>
      <c r="B217" s="118" t="s">
        <v>2188</v>
      </c>
      <c r="C217" s="119" t="s">
        <v>2189</v>
      </c>
      <c r="D217" s="119" t="s">
        <v>459</v>
      </c>
      <c r="E217" s="119" t="s">
        <v>391</v>
      </c>
      <c r="F217" s="120">
        <v>101.88122433344775</v>
      </c>
      <c r="G217" s="120">
        <v>103.97042433344775</v>
      </c>
      <c r="H217" s="120">
        <v>4.68</v>
      </c>
      <c r="I217" s="117">
        <v>942</v>
      </c>
      <c r="J217" s="119" t="s">
        <v>271</v>
      </c>
    </row>
    <row r="218" spans="1:10" x14ac:dyDescent="0.25">
      <c r="A218" s="117">
        <v>215</v>
      </c>
      <c r="B218" s="118" t="s">
        <v>837</v>
      </c>
      <c r="C218" s="119" t="s">
        <v>838</v>
      </c>
      <c r="D218" s="119" t="s">
        <v>459</v>
      </c>
      <c r="E218" s="119" t="s">
        <v>839</v>
      </c>
      <c r="F218" s="120">
        <v>98.056662887756772</v>
      </c>
      <c r="G218" s="120">
        <v>103.18996288775678</v>
      </c>
      <c r="H218" s="120">
        <v>21.85</v>
      </c>
      <c r="I218" s="117">
        <v>64</v>
      </c>
      <c r="J218" s="119" t="s">
        <v>271</v>
      </c>
    </row>
    <row r="219" spans="1:10" x14ac:dyDescent="0.25">
      <c r="A219" s="117">
        <v>216</v>
      </c>
      <c r="B219" s="118" t="s">
        <v>843</v>
      </c>
      <c r="C219" s="119" t="s">
        <v>844</v>
      </c>
      <c r="D219" s="119" t="s">
        <v>449</v>
      </c>
      <c r="E219" s="119" t="s">
        <v>845</v>
      </c>
      <c r="F219" s="120">
        <v>50</v>
      </c>
      <c r="G219" s="120">
        <v>50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846</v>
      </c>
      <c r="C220" s="119" t="s">
        <v>847</v>
      </c>
      <c r="D220" s="119" t="s">
        <v>449</v>
      </c>
      <c r="E220" s="119" t="s">
        <v>848</v>
      </c>
      <c r="F220" s="120">
        <v>251266.67929999999</v>
      </c>
      <c r="G220" s="120">
        <v>251266.67929999999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32</v>
      </c>
      <c r="C221" s="119" t="s">
        <v>33</v>
      </c>
      <c r="D221" s="119" t="s">
        <v>449</v>
      </c>
      <c r="E221" s="119" t="s">
        <v>34</v>
      </c>
      <c r="F221" s="120">
        <v>5265.2934984935946</v>
      </c>
      <c r="G221" s="120">
        <v>5265.2934984935946</v>
      </c>
      <c r="H221" s="120">
        <v>0</v>
      </c>
      <c r="I221" s="117">
        <v>0</v>
      </c>
      <c r="J221" s="119" t="s">
        <v>240</v>
      </c>
    </row>
    <row r="222" spans="1:10" x14ac:dyDescent="0.25">
      <c r="A222" s="117">
        <v>219</v>
      </c>
      <c r="B222" s="118" t="s">
        <v>849</v>
      </c>
      <c r="C222" s="119" t="s">
        <v>850</v>
      </c>
      <c r="D222" s="119" t="s">
        <v>459</v>
      </c>
      <c r="E222" s="119" t="s">
        <v>34</v>
      </c>
      <c r="F222" s="120">
        <v>99.89940388058622</v>
      </c>
      <c r="G222" s="120">
        <v>104.81610388058623</v>
      </c>
      <c r="H222" s="120">
        <v>22.19</v>
      </c>
      <c r="I222" s="117">
        <v>3</v>
      </c>
      <c r="J222" s="119" t="s">
        <v>271</v>
      </c>
    </row>
    <row r="223" spans="1:10" x14ac:dyDescent="0.25">
      <c r="A223" s="117">
        <v>220</v>
      </c>
      <c r="B223" s="118" t="s">
        <v>851</v>
      </c>
      <c r="C223" s="119" t="s">
        <v>852</v>
      </c>
      <c r="D223" s="119" t="s">
        <v>459</v>
      </c>
      <c r="E223" s="119" t="s">
        <v>34</v>
      </c>
      <c r="F223" s="120">
        <v>84.455540912974911</v>
      </c>
      <c r="G223" s="120">
        <v>86.155540912974914</v>
      </c>
      <c r="H223" s="120">
        <v>20.62</v>
      </c>
      <c r="I223" s="117">
        <v>849</v>
      </c>
      <c r="J223" s="119" t="s">
        <v>271</v>
      </c>
    </row>
    <row r="224" spans="1:10" x14ac:dyDescent="0.25">
      <c r="A224" s="117">
        <v>221</v>
      </c>
      <c r="B224" s="118" t="s">
        <v>853</v>
      </c>
      <c r="C224" s="119" t="s">
        <v>854</v>
      </c>
      <c r="D224" s="119" t="s">
        <v>459</v>
      </c>
      <c r="E224" s="119" t="s">
        <v>34</v>
      </c>
      <c r="F224" s="120">
        <v>97.810694016981984</v>
      </c>
      <c r="G224" s="120">
        <v>100.51779401698198</v>
      </c>
      <c r="H224" s="120">
        <v>19.98</v>
      </c>
      <c r="I224" s="117">
        <v>91</v>
      </c>
      <c r="J224" s="119" t="s">
        <v>271</v>
      </c>
    </row>
    <row r="225" spans="1:10" x14ac:dyDescent="0.25">
      <c r="A225" s="117">
        <v>222</v>
      </c>
      <c r="B225" s="118" t="s">
        <v>855</v>
      </c>
      <c r="C225" s="119" t="s">
        <v>856</v>
      </c>
      <c r="D225" s="119" t="s">
        <v>459</v>
      </c>
      <c r="E225" s="119" t="s">
        <v>34</v>
      </c>
      <c r="F225" s="120">
        <v>80.049712825454634</v>
      </c>
      <c r="G225" s="120">
        <v>84.426112825454624</v>
      </c>
      <c r="H225" s="120">
        <v>20.440000000000001</v>
      </c>
      <c r="I225" s="117">
        <v>1123</v>
      </c>
      <c r="J225" s="119" t="s">
        <v>271</v>
      </c>
    </row>
    <row r="226" spans="1:10" x14ac:dyDescent="0.25">
      <c r="A226" s="117">
        <v>223</v>
      </c>
      <c r="B226" s="118" t="s">
        <v>2059</v>
      </c>
      <c r="C226" s="119" t="s">
        <v>2060</v>
      </c>
      <c r="D226" s="119" t="s">
        <v>459</v>
      </c>
      <c r="E226" s="119" t="s">
        <v>34</v>
      </c>
      <c r="F226" s="120">
        <v>99.264792359214766</v>
      </c>
      <c r="G226" s="120">
        <v>99.264792359214766</v>
      </c>
      <c r="H226" s="120">
        <v>4.5199999999999996</v>
      </c>
      <c r="I226" s="117">
        <v>59</v>
      </c>
      <c r="J226" s="119" t="s">
        <v>271</v>
      </c>
    </row>
    <row r="227" spans="1:10" x14ac:dyDescent="0.25">
      <c r="A227" s="117">
        <v>224</v>
      </c>
      <c r="B227" s="118" t="s">
        <v>35</v>
      </c>
      <c r="C227" s="119" t="s">
        <v>36</v>
      </c>
      <c r="D227" s="119" t="s">
        <v>449</v>
      </c>
      <c r="E227" s="119" t="s">
        <v>34</v>
      </c>
      <c r="F227" s="120">
        <v>8979.1451618854353</v>
      </c>
      <c r="G227" s="120">
        <v>8979.1451618854353</v>
      </c>
      <c r="H227" s="120">
        <v>0</v>
      </c>
      <c r="I227" s="117">
        <v>0</v>
      </c>
      <c r="J227" s="119" t="s">
        <v>240</v>
      </c>
    </row>
    <row r="228" spans="1:10" x14ac:dyDescent="0.25">
      <c r="A228" s="117">
        <v>225</v>
      </c>
      <c r="B228" s="118" t="s">
        <v>2381</v>
      </c>
      <c r="C228" s="119" t="s">
        <v>2382</v>
      </c>
      <c r="D228" s="119" t="s">
        <v>459</v>
      </c>
      <c r="E228" s="119" t="s">
        <v>2383</v>
      </c>
      <c r="F228" s="120">
        <v>100</v>
      </c>
      <c r="G228" s="120">
        <v>106.34820000000001</v>
      </c>
      <c r="H228" s="120">
        <v>16.29</v>
      </c>
      <c r="I228" s="117">
        <v>632</v>
      </c>
      <c r="J228" s="119" t="s">
        <v>271</v>
      </c>
    </row>
    <row r="229" spans="1:10" x14ac:dyDescent="0.25">
      <c r="A229" s="117">
        <v>226</v>
      </c>
      <c r="B229" s="118" t="s">
        <v>858</v>
      </c>
      <c r="C229" s="119" t="s">
        <v>859</v>
      </c>
      <c r="D229" s="119" t="s">
        <v>459</v>
      </c>
      <c r="E229" s="119" t="s">
        <v>857</v>
      </c>
      <c r="F229" s="120">
        <v>100.43302151255914</v>
      </c>
      <c r="G229" s="120">
        <v>103.77742151255914</v>
      </c>
      <c r="H229" s="120">
        <v>21.01</v>
      </c>
      <c r="I229" s="117">
        <v>394</v>
      </c>
      <c r="J229" s="119" t="s">
        <v>271</v>
      </c>
    </row>
    <row r="230" spans="1:10" x14ac:dyDescent="0.25">
      <c r="A230" s="117">
        <v>227</v>
      </c>
      <c r="B230" s="118" t="s">
        <v>860</v>
      </c>
      <c r="C230" s="119" t="s">
        <v>861</v>
      </c>
      <c r="D230" s="119" t="s">
        <v>459</v>
      </c>
      <c r="E230" s="119" t="s">
        <v>857</v>
      </c>
      <c r="F230" s="120">
        <v>99.331630911523533</v>
      </c>
      <c r="G230" s="120">
        <v>103.65943091152353</v>
      </c>
      <c r="H230" s="120">
        <v>20.95</v>
      </c>
      <c r="I230" s="117">
        <v>644</v>
      </c>
      <c r="J230" s="119" t="s">
        <v>271</v>
      </c>
    </row>
    <row r="231" spans="1:10" x14ac:dyDescent="0.25">
      <c r="A231" s="117">
        <v>228</v>
      </c>
      <c r="B231" s="118" t="s">
        <v>862</v>
      </c>
      <c r="C231" s="119" t="s">
        <v>863</v>
      </c>
      <c r="D231" s="119" t="s">
        <v>459</v>
      </c>
      <c r="E231" s="119" t="s">
        <v>857</v>
      </c>
      <c r="F231" s="120">
        <v>98.597878480012994</v>
      </c>
      <c r="G231" s="120">
        <v>102.70897848001299</v>
      </c>
      <c r="H231" s="120">
        <v>20.94</v>
      </c>
      <c r="I231" s="117">
        <v>646</v>
      </c>
      <c r="J231" s="119" t="s">
        <v>271</v>
      </c>
    </row>
    <row r="232" spans="1:10" x14ac:dyDescent="0.25">
      <c r="A232" s="117">
        <v>229</v>
      </c>
      <c r="B232" s="118" t="s">
        <v>2200</v>
      </c>
      <c r="C232" s="119" t="s">
        <v>2201</v>
      </c>
      <c r="D232" s="119" t="s">
        <v>459</v>
      </c>
      <c r="E232" s="119" t="s">
        <v>857</v>
      </c>
      <c r="F232" s="120">
        <v>100.006574975994</v>
      </c>
      <c r="G232" s="120">
        <v>106.889874975994</v>
      </c>
      <c r="H232" s="120">
        <v>19.11</v>
      </c>
      <c r="I232" s="117">
        <v>2</v>
      </c>
      <c r="J232" s="119" t="s">
        <v>271</v>
      </c>
    </row>
    <row r="233" spans="1:10" x14ac:dyDescent="0.25">
      <c r="A233" s="117">
        <v>230</v>
      </c>
      <c r="B233" s="118" t="s">
        <v>2315</v>
      </c>
      <c r="C233" s="119" t="s">
        <v>2316</v>
      </c>
      <c r="D233" s="119" t="s">
        <v>459</v>
      </c>
      <c r="E233" s="119" t="s">
        <v>857</v>
      </c>
      <c r="F233" s="120">
        <v>99.886855431624682</v>
      </c>
      <c r="G233" s="120">
        <v>103.50355543162468</v>
      </c>
      <c r="H233" s="120">
        <v>20.99</v>
      </c>
      <c r="I233" s="117">
        <v>118</v>
      </c>
      <c r="J233" s="119" t="s">
        <v>271</v>
      </c>
    </row>
    <row r="234" spans="1:10" x14ac:dyDescent="0.25">
      <c r="A234" s="117">
        <v>231</v>
      </c>
      <c r="B234" s="118" t="s">
        <v>864</v>
      </c>
      <c r="C234" s="119" t="s">
        <v>865</v>
      </c>
      <c r="D234" s="119" t="s">
        <v>449</v>
      </c>
      <c r="E234" s="119" t="s">
        <v>866</v>
      </c>
      <c r="F234" s="120">
        <v>52220.87455</v>
      </c>
      <c r="G234" s="120">
        <v>52220.87455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870</v>
      </c>
      <c r="C235" s="119" t="s">
        <v>871</v>
      </c>
      <c r="D235" s="119" t="s">
        <v>449</v>
      </c>
      <c r="E235" s="119" t="s">
        <v>872</v>
      </c>
      <c r="F235" s="120">
        <v>0.01</v>
      </c>
      <c r="G235" s="120">
        <v>0.01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867</v>
      </c>
      <c r="C236" s="119" t="s">
        <v>868</v>
      </c>
      <c r="D236" s="119" t="s">
        <v>449</v>
      </c>
      <c r="E236" s="119" t="s">
        <v>869</v>
      </c>
      <c r="F236" s="120">
        <v>131852.75820000001</v>
      </c>
      <c r="G236" s="120">
        <v>131852.75820000001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873</v>
      </c>
      <c r="C237" s="119" t="s">
        <v>874</v>
      </c>
      <c r="D237" s="119" t="s">
        <v>449</v>
      </c>
      <c r="E237" s="119" t="s">
        <v>39</v>
      </c>
      <c r="F237" s="120">
        <v>2898</v>
      </c>
      <c r="G237" s="120">
        <v>2898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37</v>
      </c>
      <c r="C238" s="119" t="s">
        <v>38</v>
      </c>
      <c r="D238" s="119" t="s">
        <v>739</v>
      </c>
      <c r="E238" s="119" t="s">
        <v>39</v>
      </c>
      <c r="F238" s="120">
        <v>6055459.8099999996</v>
      </c>
      <c r="G238" s="120">
        <v>6055459.8099999996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875</v>
      </c>
      <c r="C239" s="119" t="s">
        <v>876</v>
      </c>
      <c r="D239" s="119" t="s">
        <v>739</v>
      </c>
      <c r="E239" s="119" t="s">
        <v>39</v>
      </c>
      <c r="F239" s="120">
        <v>2583834.38</v>
      </c>
      <c r="G239" s="120">
        <v>2583834.38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40</v>
      </c>
      <c r="C240" s="119" t="s">
        <v>41</v>
      </c>
      <c r="D240" s="119" t="s">
        <v>739</v>
      </c>
      <c r="E240" s="119" t="s">
        <v>39</v>
      </c>
      <c r="F240" s="120">
        <v>1774685</v>
      </c>
      <c r="G240" s="120">
        <v>1774685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840</v>
      </c>
      <c r="C241" s="119" t="s">
        <v>841</v>
      </c>
      <c r="D241" s="119" t="s">
        <v>449</v>
      </c>
      <c r="E241" s="119" t="s">
        <v>842</v>
      </c>
      <c r="F241" s="120">
        <v>55353.638800000001</v>
      </c>
      <c r="G241" s="120">
        <v>55353.638800000001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877</v>
      </c>
      <c r="C242" s="119" t="s">
        <v>878</v>
      </c>
      <c r="D242" s="119" t="s">
        <v>449</v>
      </c>
      <c r="E242" s="119" t="s">
        <v>879</v>
      </c>
      <c r="F242" s="120">
        <v>61738.510699999999</v>
      </c>
      <c r="G242" s="120">
        <v>61738.510699999999</v>
      </c>
      <c r="H242" s="120">
        <v>0</v>
      </c>
      <c r="I242" s="117">
        <v>0</v>
      </c>
      <c r="J242" s="119" t="s">
        <v>240</v>
      </c>
    </row>
    <row r="243" spans="1:10" x14ac:dyDescent="0.25">
      <c r="A243" s="117">
        <v>240</v>
      </c>
      <c r="B243" s="118" t="s">
        <v>880</v>
      </c>
      <c r="C243" s="119" t="s">
        <v>881</v>
      </c>
      <c r="D243" s="119" t="s">
        <v>459</v>
      </c>
      <c r="E243" s="119" t="s">
        <v>882</v>
      </c>
      <c r="F243" s="120">
        <v>72.629677575940036</v>
      </c>
      <c r="G243" s="120">
        <v>74.392177575940039</v>
      </c>
      <c r="H243" s="120">
        <v>26.51</v>
      </c>
      <c r="I243" s="117">
        <v>1026</v>
      </c>
      <c r="J243" s="119" t="s">
        <v>271</v>
      </c>
    </row>
    <row r="244" spans="1:10" x14ac:dyDescent="0.25">
      <c r="A244" s="117">
        <v>241</v>
      </c>
      <c r="B244" s="118" t="s">
        <v>883</v>
      </c>
      <c r="C244" s="119" t="s">
        <v>884</v>
      </c>
      <c r="D244" s="119" t="s">
        <v>459</v>
      </c>
      <c r="E244" s="119" t="s">
        <v>885</v>
      </c>
      <c r="F244" s="120">
        <v>100</v>
      </c>
      <c r="G244" s="120">
        <v>100.74379999999999</v>
      </c>
      <c r="H244" s="120">
        <v>4.2300000000000004</v>
      </c>
      <c r="I244" s="117">
        <v>237</v>
      </c>
      <c r="J244" s="119" t="s">
        <v>271</v>
      </c>
    </row>
    <row r="245" spans="1:10" x14ac:dyDescent="0.25">
      <c r="A245" s="117">
        <v>242</v>
      </c>
      <c r="B245" s="118" t="s">
        <v>886</v>
      </c>
      <c r="C245" s="119" t="s">
        <v>887</v>
      </c>
      <c r="D245" s="119" t="s">
        <v>459</v>
      </c>
      <c r="E245" s="119" t="s">
        <v>885</v>
      </c>
      <c r="F245" s="120">
        <v>100</v>
      </c>
      <c r="G245" s="120">
        <v>100.1215</v>
      </c>
      <c r="H245" s="120">
        <v>0.35</v>
      </c>
      <c r="I245" s="117">
        <v>55</v>
      </c>
      <c r="J245" s="119" t="s">
        <v>271</v>
      </c>
    </row>
    <row r="246" spans="1:10" x14ac:dyDescent="0.25">
      <c r="A246" s="117">
        <v>243</v>
      </c>
      <c r="B246" s="118" t="s">
        <v>888</v>
      </c>
      <c r="C246" s="119" t="s">
        <v>889</v>
      </c>
      <c r="D246" s="119" t="s">
        <v>459</v>
      </c>
      <c r="E246" s="119" t="s">
        <v>885</v>
      </c>
      <c r="F246" s="120">
        <v>100</v>
      </c>
      <c r="G246" s="120">
        <v>100.1138</v>
      </c>
      <c r="H246" s="120">
        <v>0.35</v>
      </c>
      <c r="I246" s="117">
        <v>63</v>
      </c>
      <c r="J246" s="119" t="s">
        <v>271</v>
      </c>
    </row>
    <row r="247" spans="1:10" x14ac:dyDescent="0.25">
      <c r="A247" s="117">
        <v>244</v>
      </c>
      <c r="B247" s="118" t="s">
        <v>890</v>
      </c>
      <c r="C247" s="119" t="s">
        <v>891</v>
      </c>
      <c r="D247" s="119" t="s">
        <v>459</v>
      </c>
      <c r="E247" s="119" t="s">
        <v>885</v>
      </c>
      <c r="F247" s="120">
        <v>100</v>
      </c>
      <c r="G247" s="120">
        <v>100.1264</v>
      </c>
      <c r="H247" s="120">
        <v>0.35</v>
      </c>
      <c r="I247" s="117">
        <v>230</v>
      </c>
      <c r="J247" s="119" t="s">
        <v>271</v>
      </c>
    </row>
    <row r="248" spans="1:10" x14ac:dyDescent="0.25">
      <c r="A248" s="117">
        <v>245</v>
      </c>
      <c r="B248" s="118" t="s">
        <v>2125</v>
      </c>
      <c r="C248" s="119" t="s">
        <v>2126</v>
      </c>
      <c r="D248" s="119" t="s">
        <v>459</v>
      </c>
      <c r="E248" s="119" t="s">
        <v>885</v>
      </c>
      <c r="F248" s="120">
        <v>100</v>
      </c>
      <c r="G248" s="120">
        <v>100.1536</v>
      </c>
      <c r="H248" s="120">
        <v>0.35</v>
      </c>
      <c r="I248" s="117">
        <v>562</v>
      </c>
      <c r="J248" s="119" t="s">
        <v>271</v>
      </c>
    </row>
    <row r="249" spans="1:10" x14ac:dyDescent="0.25">
      <c r="A249" s="117">
        <v>246</v>
      </c>
      <c r="B249" s="118" t="s">
        <v>892</v>
      </c>
      <c r="C249" s="119" t="s">
        <v>893</v>
      </c>
      <c r="D249" s="119" t="s">
        <v>459</v>
      </c>
      <c r="E249" s="119" t="s">
        <v>885</v>
      </c>
      <c r="F249" s="120">
        <v>100</v>
      </c>
      <c r="G249" s="120">
        <v>100.00539999999999</v>
      </c>
      <c r="H249" s="120">
        <v>0.02</v>
      </c>
      <c r="I249" s="117">
        <v>3064</v>
      </c>
      <c r="J249" s="119" t="s">
        <v>271</v>
      </c>
    </row>
    <row r="250" spans="1:10" x14ac:dyDescent="0.25">
      <c r="A250" s="117">
        <v>247</v>
      </c>
      <c r="B250" s="118" t="s">
        <v>894</v>
      </c>
      <c r="C250" s="119" t="s">
        <v>895</v>
      </c>
      <c r="D250" s="119" t="s">
        <v>459</v>
      </c>
      <c r="E250" s="119" t="s">
        <v>885</v>
      </c>
      <c r="F250" s="120">
        <v>100</v>
      </c>
      <c r="G250" s="120">
        <v>101.5419</v>
      </c>
      <c r="H250" s="120">
        <v>6.08</v>
      </c>
      <c r="I250" s="117">
        <v>1679</v>
      </c>
      <c r="J250" s="119" t="s">
        <v>271</v>
      </c>
    </row>
    <row r="251" spans="1:10" x14ac:dyDescent="0.25">
      <c r="A251" s="117">
        <v>248</v>
      </c>
      <c r="B251" s="118" t="s">
        <v>896</v>
      </c>
      <c r="C251" s="119" t="s">
        <v>897</v>
      </c>
      <c r="D251" s="119" t="s">
        <v>459</v>
      </c>
      <c r="E251" s="119" t="s">
        <v>885</v>
      </c>
      <c r="F251" s="120">
        <v>100</v>
      </c>
      <c r="G251" s="120">
        <v>106.48860000000001</v>
      </c>
      <c r="H251" s="120">
        <v>7.08</v>
      </c>
      <c r="I251" s="117">
        <v>2161</v>
      </c>
      <c r="J251" s="119" t="s">
        <v>271</v>
      </c>
    </row>
    <row r="252" spans="1:10" x14ac:dyDescent="0.25">
      <c r="A252" s="117">
        <v>249</v>
      </c>
      <c r="B252" s="118" t="s">
        <v>2416</v>
      </c>
      <c r="C252" s="119" t="s">
        <v>2417</v>
      </c>
      <c r="D252" s="119" t="s">
        <v>459</v>
      </c>
      <c r="E252" s="119" t="s">
        <v>885</v>
      </c>
      <c r="F252" s="120">
        <v>93.779675840159854</v>
      </c>
      <c r="G252" s="120">
        <v>95.197175840159844</v>
      </c>
      <c r="H252" s="120">
        <v>20.38</v>
      </c>
      <c r="I252" s="117">
        <v>3573</v>
      </c>
      <c r="J252" s="119" t="s">
        <v>271</v>
      </c>
    </row>
    <row r="253" spans="1:10" x14ac:dyDescent="0.25">
      <c r="A253" s="117">
        <v>250</v>
      </c>
      <c r="B253" s="118" t="s">
        <v>898</v>
      </c>
      <c r="C253" s="119" t="s">
        <v>899</v>
      </c>
      <c r="D253" s="119" t="s">
        <v>459</v>
      </c>
      <c r="E253" s="119" t="s">
        <v>885</v>
      </c>
      <c r="F253" s="120">
        <v>100</v>
      </c>
      <c r="G253" s="120">
        <v>100.71169999999999</v>
      </c>
      <c r="H253" s="120">
        <v>6.09</v>
      </c>
      <c r="I253" s="117">
        <v>2088</v>
      </c>
      <c r="J253" s="119" t="s">
        <v>271</v>
      </c>
    </row>
    <row r="254" spans="1:10" x14ac:dyDescent="0.25">
      <c r="A254" s="117">
        <v>251</v>
      </c>
      <c r="B254" s="118" t="s">
        <v>900</v>
      </c>
      <c r="C254" s="119" t="s">
        <v>901</v>
      </c>
      <c r="D254" s="119" t="s">
        <v>459</v>
      </c>
      <c r="E254" s="119" t="s">
        <v>885</v>
      </c>
      <c r="F254" s="120">
        <v>100</v>
      </c>
      <c r="G254" s="120">
        <v>105.65940000000001</v>
      </c>
      <c r="H254" s="120">
        <v>6.09</v>
      </c>
      <c r="I254" s="117">
        <v>2516</v>
      </c>
      <c r="J254" s="119" t="s">
        <v>271</v>
      </c>
    </row>
    <row r="255" spans="1:10" x14ac:dyDescent="0.25">
      <c r="A255" s="117">
        <v>252</v>
      </c>
      <c r="B255" s="118" t="s">
        <v>902</v>
      </c>
      <c r="C255" s="119" t="s">
        <v>903</v>
      </c>
      <c r="D255" s="119" t="s">
        <v>459</v>
      </c>
      <c r="E255" s="119" t="s">
        <v>885</v>
      </c>
      <c r="F255" s="120">
        <v>100</v>
      </c>
      <c r="G255" s="120">
        <v>105.65940000000001</v>
      </c>
      <c r="H255" s="120">
        <v>6.09</v>
      </c>
      <c r="I255" s="117">
        <v>2516</v>
      </c>
      <c r="J255" s="119" t="s">
        <v>271</v>
      </c>
    </row>
    <row r="256" spans="1:10" x14ac:dyDescent="0.25">
      <c r="A256" s="117">
        <v>253</v>
      </c>
      <c r="B256" s="118" t="s">
        <v>904</v>
      </c>
      <c r="C256" s="119" t="s">
        <v>905</v>
      </c>
      <c r="D256" s="119" t="s">
        <v>459</v>
      </c>
      <c r="E256" s="119" t="s">
        <v>885</v>
      </c>
      <c r="F256" s="120">
        <v>100</v>
      </c>
      <c r="G256" s="120">
        <v>104.52419999999999</v>
      </c>
      <c r="H256" s="120">
        <v>6.08</v>
      </c>
      <c r="I256" s="117">
        <v>2583</v>
      </c>
      <c r="J256" s="119" t="s">
        <v>271</v>
      </c>
    </row>
    <row r="257" spans="1:10" x14ac:dyDescent="0.25">
      <c r="A257" s="117">
        <v>254</v>
      </c>
      <c r="B257" s="118" t="s">
        <v>43</v>
      </c>
      <c r="C257" s="119" t="s">
        <v>44</v>
      </c>
      <c r="D257" s="119" t="s">
        <v>459</v>
      </c>
      <c r="E257" s="119" t="s">
        <v>42</v>
      </c>
      <c r="F257" s="120">
        <v>100.10463457660765</v>
      </c>
      <c r="G257" s="120">
        <v>100.19993457660765</v>
      </c>
      <c r="H257" s="120">
        <v>5.5</v>
      </c>
      <c r="I257" s="117">
        <v>174</v>
      </c>
      <c r="J257" s="119" t="s">
        <v>271</v>
      </c>
    </row>
    <row r="258" spans="1:10" x14ac:dyDescent="0.25">
      <c r="A258" s="117">
        <v>255</v>
      </c>
      <c r="B258" s="118" t="s">
        <v>2033</v>
      </c>
      <c r="C258" s="119" t="s">
        <v>2034</v>
      </c>
      <c r="D258" s="119" t="s">
        <v>459</v>
      </c>
      <c r="E258" s="119" t="s">
        <v>42</v>
      </c>
      <c r="F258" s="120">
        <v>98.478618434097015</v>
      </c>
      <c r="G258" s="120">
        <v>99.903318434097017</v>
      </c>
      <c r="H258" s="120">
        <v>17.02</v>
      </c>
      <c r="I258" s="117">
        <v>882</v>
      </c>
      <c r="J258" s="119" t="s">
        <v>271</v>
      </c>
    </row>
    <row r="259" spans="1:10" x14ac:dyDescent="0.25">
      <c r="A259" s="117">
        <v>256</v>
      </c>
      <c r="B259" s="118" t="s">
        <v>906</v>
      </c>
      <c r="C259" s="119" t="s">
        <v>907</v>
      </c>
      <c r="D259" s="119" t="s">
        <v>459</v>
      </c>
      <c r="E259" s="119" t="s">
        <v>42</v>
      </c>
      <c r="F259" s="120">
        <v>94.846970257693158</v>
      </c>
      <c r="G259" s="120">
        <v>105.41807025769316</v>
      </c>
      <c r="H259" s="120">
        <v>17.21</v>
      </c>
      <c r="I259" s="117">
        <v>632</v>
      </c>
      <c r="J259" s="119" t="s">
        <v>271</v>
      </c>
    </row>
    <row r="260" spans="1:10" x14ac:dyDescent="0.25">
      <c r="A260" s="117">
        <v>257</v>
      </c>
      <c r="B260" s="118" t="s">
        <v>908</v>
      </c>
      <c r="C260" s="119" t="s">
        <v>909</v>
      </c>
      <c r="D260" s="119" t="s">
        <v>459</v>
      </c>
      <c r="E260" s="119" t="s">
        <v>42</v>
      </c>
      <c r="F260" s="120">
        <v>91.676011060590369</v>
      </c>
      <c r="G260" s="120">
        <v>98.348011060590366</v>
      </c>
      <c r="H260" s="120">
        <v>17.190000000000001</v>
      </c>
      <c r="I260" s="117">
        <v>708</v>
      </c>
      <c r="J260" s="119" t="s">
        <v>271</v>
      </c>
    </row>
    <row r="261" spans="1:10" x14ac:dyDescent="0.25">
      <c r="A261" s="117">
        <v>258</v>
      </c>
      <c r="B261" s="118" t="s">
        <v>367</v>
      </c>
      <c r="C261" s="119" t="s">
        <v>366</v>
      </c>
      <c r="D261" s="119" t="s">
        <v>459</v>
      </c>
      <c r="E261" s="119" t="s">
        <v>42</v>
      </c>
      <c r="F261" s="120">
        <v>94.483923752674542</v>
      </c>
      <c r="G261" s="120">
        <v>95.397523752674545</v>
      </c>
      <c r="H261" s="120">
        <v>17.87</v>
      </c>
      <c r="I261" s="117">
        <v>697</v>
      </c>
      <c r="J261" s="119" t="s">
        <v>271</v>
      </c>
    </row>
    <row r="262" spans="1:10" x14ac:dyDescent="0.25">
      <c r="A262" s="117">
        <v>259</v>
      </c>
      <c r="B262" s="118" t="s">
        <v>2084</v>
      </c>
      <c r="C262" s="119" t="s">
        <v>2085</v>
      </c>
      <c r="D262" s="119" t="s">
        <v>459</v>
      </c>
      <c r="E262" s="119" t="s">
        <v>42</v>
      </c>
      <c r="F262" s="120">
        <v>100.98173573701797</v>
      </c>
      <c r="G262" s="120">
        <v>109.75573573701797</v>
      </c>
      <c r="H262" s="120">
        <v>17</v>
      </c>
      <c r="I262" s="117">
        <v>913</v>
      </c>
      <c r="J262" s="119" t="s">
        <v>271</v>
      </c>
    </row>
    <row r="263" spans="1:10" x14ac:dyDescent="0.25">
      <c r="A263" s="117">
        <v>260</v>
      </c>
      <c r="B263" s="118" t="s">
        <v>2527</v>
      </c>
      <c r="C263" s="119" t="s">
        <v>2528</v>
      </c>
      <c r="D263" s="119" t="s">
        <v>459</v>
      </c>
      <c r="E263" s="119" t="s">
        <v>42</v>
      </c>
      <c r="F263" s="120">
        <v>99.443157135766768</v>
      </c>
      <c r="G263" s="120">
        <v>100.17625713576678</v>
      </c>
      <c r="H263" s="120">
        <v>3.51</v>
      </c>
      <c r="I263" s="117">
        <v>1747</v>
      </c>
      <c r="J263" s="119" t="s">
        <v>271</v>
      </c>
    </row>
    <row r="264" spans="1:10" x14ac:dyDescent="0.25">
      <c r="A264" s="117">
        <v>261</v>
      </c>
      <c r="B264" s="118" t="s">
        <v>910</v>
      </c>
      <c r="C264" s="119" t="s">
        <v>911</v>
      </c>
      <c r="D264" s="119" t="s">
        <v>459</v>
      </c>
      <c r="E264" s="119" t="s">
        <v>42</v>
      </c>
      <c r="F264" s="120">
        <v>104.83025732658254</v>
      </c>
      <c r="G264" s="120">
        <v>105.89775732658255</v>
      </c>
      <c r="H264" s="120">
        <v>5.16</v>
      </c>
      <c r="I264" s="117">
        <v>1739</v>
      </c>
      <c r="J264" s="119" t="s">
        <v>271</v>
      </c>
    </row>
    <row r="265" spans="1:10" x14ac:dyDescent="0.25">
      <c r="A265" s="117">
        <v>262</v>
      </c>
      <c r="B265" s="118" t="s">
        <v>912</v>
      </c>
      <c r="C265" s="119" t="s">
        <v>913</v>
      </c>
      <c r="D265" s="119" t="s">
        <v>459</v>
      </c>
      <c r="E265" s="119" t="s">
        <v>42</v>
      </c>
      <c r="F265" s="120">
        <v>97.548332130978721</v>
      </c>
      <c r="G265" s="120">
        <v>98.077132130978725</v>
      </c>
      <c r="H265" s="120">
        <v>6.43</v>
      </c>
      <c r="I265" s="117">
        <v>172</v>
      </c>
      <c r="J265" s="119" t="s">
        <v>271</v>
      </c>
    </row>
    <row r="266" spans="1:10" x14ac:dyDescent="0.25">
      <c r="A266" s="117">
        <v>263</v>
      </c>
      <c r="B266" s="118" t="s">
        <v>914</v>
      </c>
      <c r="C266" s="119" t="s">
        <v>915</v>
      </c>
      <c r="D266" s="119" t="s">
        <v>459</v>
      </c>
      <c r="E266" s="119" t="s">
        <v>916</v>
      </c>
      <c r="F266" s="120">
        <v>94.865535717346518</v>
      </c>
      <c r="G266" s="120">
        <v>99.183035717346513</v>
      </c>
      <c r="H266" s="120">
        <v>16.62</v>
      </c>
      <c r="I266" s="117">
        <v>803</v>
      </c>
      <c r="J266" s="119" t="s">
        <v>271</v>
      </c>
    </row>
    <row r="267" spans="1:10" x14ac:dyDescent="0.25">
      <c r="A267" s="117">
        <v>264</v>
      </c>
      <c r="B267" s="118" t="s">
        <v>917</v>
      </c>
      <c r="C267" s="119" t="s">
        <v>918</v>
      </c>
      <c r="D267" s="119" t="s">
        <v>459</v>
      </c>
      <c r="E267" s="119" t="s">
        <v>916</v>
      </c>
      <c r="F267" s="120">
        <v>94.969754607485399</v>
      </c>
      <c r="G267" s="120">
        <v>96.567954607485404</v>
      </c>
      <c r="H267" s="120">
        <v>16.47</v>
      </c>
      <c r="I267" s="117">
        <v>1043</v>
      </c>
      <c r="J267" s="119" t="s">
        <v>271</v>
      </c>
    </row>
    <row r="268" spans="1:10" x14ac:dyDescent="0.25">
      <c r="A268" s="117">
        <v>265</v>
      </c>
      <c r="B268" s="118" t="s">
        <v>919</v>
      </c>
      <c r="C268" s="119" t="s">
        <v>920</v>
      </c>
      <c r="D268" s="119" t="s">
        <v>459</v>
      </c>
      <c r="E268" s="119" t="s">
        <v>916</v>
      </c>
      <c r="F268" s="120">
        <v>93.902425323202351</v>
      </c>
      <c r="G268" s="120">
        <v>98.852425323202354</v>
      </c>
      <c r="H268" s="120">
        <v>16.239999999999998</v>
      </c>
      <c r="I268" s="117">
        <v>1512</v>
      </c>
      <c r="J268" s="119" t="s">
        <v>271</v>
      </c>
    </row>
    <row r="269" spans="1:10" x14ac:dyDescent="0.25">
      <c r="A269" s="117">
        <v>266</v>
      </c>
      <c r="B269" s="118" t="s">
        <v>921</v>
      </c>
      <c r="C269" s="119" t="s">
        <v>922</v>
      </c>
      <c r="D269" s="119" t="s">
        <v>449</v>
      </c>
      <c r="E269" s="119" t="s">
        <v>916</v>
      </c>
      <c r="F269" s="120">
        <v>1</v>
      </c>
      <c r="G269" s="120">
        <v>1</v>
      </c>
      <c r="H269" s="120">
        <v>0</v>
      </c>
      <c r="I269" s="117">
        <v>321</v>
      </c>
      <c r="J269" s="119" t="s">
        <v>240</v>
      </c>
    </row>
    <row r="270" spans="1:10" x14ac:dyDescent="0.25">
      <c r="A270" s="117">
        <v>267</v>
      </c>
      <c r="B270" s="118" t="s">
        <v>923</v>
      </c>
      <c r="C270" s="119" t="s">
        <v>924</v>
      </c>
      <c r="D270" s="119" t="s">
        <v>449</v>
      </c>
      <c r="E270" s="119" t="s">
        <v>916</v>
      </c>
      <c r="F270" s="120">
        <v>0.8</v>
      </c>
      <c r="G270" s="120">
        <v>0.8</v>
      </c>
      <c r="H270" s="120">
        <v>0</v>
      </c>
      <c r="I270" s="117">
        <v>388</v>
      </c>
      <c r="J270" s="119" t="s">
        <v>240</v>
      </c>
    </row>
    <row r="271" spans="1:10" x14ac:dyDescent="0.25">
      <c r="A271" s="117">
        <v>268</v>
      </c>
      <c r="B271" s="118" t="s">
        <v>925</v>
      </c>
      <c r="C271" s="119" t="s">
        <v>926</v>
      </c>
      <c r="D271" s="119" t="s">
        <v>459</v>
      </c>
      <c r="E271" s="119" t="s">
        <v>916</v>
      </c>
      <c r="F271" s="120">
        <v>99.005175181741762</v>
      </c>
      <c r="G271" s="120">
        <v>109.40077518174176</v>
      </c>
      <c r="H271" s="120">
        <v>17.329999999999998</v>
      </c>
      <c r="I271" s="117">
        <v>86</v>
      </c>
      <c r="J271" s="119" t="s">
        <v>271</v>
      </c>
    </row>
    <row r="272" spans="1:10" x14ac:dyDescent="0.25">
      <c r="A272" s="117">
        <v>269</v>
      </c>
      <c r="B272" s="118" t="s">
        <v>927</v>
      </c>
      <c r="C272" s="119" t="s">
        <v>928</v>
      </c>
      <c r="D272" s="119" t="s">
        <v>459</v>
      </c>
      <c r="E272" s="119" t="s">
        <v>916</v>
      </c>
      <c r="F272" s="120">
        <v>100</v>
      </c>
      <c r="G272" s="120">
        <v>102.1238</v>
      </c>
      <c r="H272" s="120">
        <v>15.81</v>
      </c>
      <c r="I272" s="117">
        <v>500</v>
      </c>
      <c r="J272" s="119" t="s">
        <v>271</v>
      </c>
    </row>
    <row r="273" spans="1:10" x14ac:dyDescent="0.25">
      <c r="A273" s="117">
        <v>270</v>
      </c>
      <c r="B273" s="118" t="s">
        <v>929</v>
      </c>
      <c r="C273" s="119" t="s">
        <v>930</v>
      </c>
      <c r="D273" s="119" t="s">
        <v>459</v>
      </c>
      <c r="E273" s="119" t="s">
        <v>916</v>
      </c>
      <c r="F273" s="120">
        <v>100</v>
      </c>
      <c r="G273" s="120">
        <v>103.923</v>
      </c>
      <c r="H273" s="120">
        <v>15.75</v>
      </c>
      <c r="I273" s="117">
        <v>1279</v>
      </c>
      <c r="J273" s="119" t="s">
        <v>271</v>
      </c>
    </row>
    <row r="274" spans="1:10" x14ac:dyDescent="0.25">
      <c r="A274" s="117">
        <v>271</v>
      </c>
      <c r="B274" s="118" t="s">
        <v>931</v>
      </c>
      <c r="C274" s="119" t="s">
        <v>932</v>
      </c>
      <c r="D274" s="119" t="s">
        <v>459</v>
      </c>
      <c r="E274" s="119" t="s">
        <v>916</v>
      </c>
      <c r="F274" s="120">
        <v>101.46299999999999</v>
      </c>
      <c r="G274" s="120">
        <v>101.6696</v>
      </c>
      <c r="H274" s="120">
        <v>3.74</v>
      </c>
      <c r="I274" s="117">
        <v>883</v>
      </c>
      <c r="J274" s="119" t="s">
        <v>271</v>
      </c>
    </row>
    <row r="275" spans="1:10" x14ac:dyDescent="0.25">
      <c r="A275" s="117">
        <v>272</v>
      </c>
      <c r="B275" s="118" t="s">
        <v>933</v>
      </c>
      <c r="C275" s="119" t="s">
        <v>934</v>
      </c>
      <c r="D275" s="119" t="s">
        <v>459</v>
      </c>
      <c r="E275" s="119" t="s">
        <v>916</v>
      </c>
      <c r="F275" s="120">
        <v>101.157</v>
      </c>
      <c r="G275" s="120">
        <v>101.85599999999999</v>
      </c>
      <c r="H275" s="120">
        <v>3.75</v>
      </c>
      <c r="I275" s="117">
        <v>1199</v>
      </c>
      <c r="J275" s="119" t="s">
        <v>271</v>
      </c>
    </row>
    <row r="276" spans="1:10" x14ac:dyDescent="0.25">
      <c r="A276" s="117">
        <v>273</v>
      </c>
      <c r="B276" s="118" t="s">
        <v>2035</v>
      </c>
      <c r="C276" s="119" t="s">
        <v>2036</v>
      </c>
      <c r="D276" s="119" t="s">
        <v>459</v>
      </c>
      <c r="E276" s="119" t="s">
        <v>916</v>
      </c>
      <c r="F276" s="120">
        <v>100</v>
      </c>
      <c r="G276" s="120">
        <v>101.4294</v>
      </c>
      <c r="H276" s="120">
        <v>15.8</v>
      </c>
      <c r="I276" s="117">
        <v>516</v>
      </c>
      <c r="J276" s="119" t="s">
        <v>271</v>
      </c>
    </row>
    <row r="277" spans="1:10" x14ac:dyDescent="0.25">
      <c r="A277" s="117">
        <v>274</v>
      </c>
      <c r="B277" s="118" t="s">
        <v>2155</v>
      </c>
      <c r="C277" s="119" t="s">
        <v>2156</v>
      </c>
      <c r="D277" s="119" t="s">
        <v>459</v>
      </c>
      <c r="E277" s="119" t="s">
        <v>916</v>
      </c>
      <c r="F277" s="120">
        <v>100</v>
      </c>
      <c r="G277" s="120">
        <v>106.2774</v>
      </c>
      <c r="H277" s="120">
        <v>16.22</v>
      </c>
      <c r="I277" s="117">
        <v>955</v>
      </c>
      <c r="J277" s="119" t="s">
        <v>271</v>
      </c>
    </row>
    <row r="278" spans="1:10" x14ac:dyDescent="0.25">
      <c r="A278" s="117">
        <v>275</v>
      </c>
      <c r="B278" s="118" t="s">
        <v>935</v>
      </c>
      <c r="C278" s="119" t="s">
        <v>936</v>
      </c>
      <c r="D278" s="119" t="s">
        <v>459</v>
      </c>
      <c r="E278" s="119" t="s">
        <v>916</v>
      </c>
      <c r="F278" s="120">
        <v>99.10769311843157</v>
      </c>
      <c r="G278" s="120">
        <v>100.24679311843157</v>
      </c>
      <c r="H278" s="120">
        <v>16.28</v>
      </c>
      <c r="I278" s="117">
        <v>152</v>
      </c>
      <c r="J278" s="119" t="s">
        <v>271</v>
      </c>
    </row>
    <row r="279" spans="1:10" x14ac:dyDescent="0.25">
      <c r="A279" s="117">
        <v>276</v>
      </c>
      <c r="B279" s="118" t="s">
        <v>937</v>
      </c>
      <c r="C279" s="119" t="s">
        <v>938</v>
      </c>
      <c r="D279" s="119" t="s">
        <v>459</v>
      </c>
      <c r="E279" s="119" t="s">
        <v>916</v>
      </c>
      <c r="F279" s="120">
        <v>97.943215442182677</v>
      </c>
      <c r="G279" s="120">
        <v>101.95431544218268</v>
      </c>
      <c r="H279" s="120">
        <v>16.77</v>
      </c>
      <c r="I279" s="117">
        <v>265</v>
      </c>
      <c r="J279" s="119" t="s">
        <v>271</v>
      </c>
    </row>
    <row r="280" spans="1:10" x14ac:dyDescent="0.25">
      <c r="A280" s="117">
        <v>277</v>
      </c>
      <c r="B280" s="118" t="s">
        <v>939</v>
      </c>
      <c r="C280" s="119" t="s">
        <v>940</v>
      </c>
      <c r="D280" s="119" t="s">
        <v>459</v>
      </c>
      <c r="E280" s="119" t="s">
        <v>916</v>
      </c>
      <c r="F280" s="120">
        <v>94.976540565844331</v>
      </c>
      <c r="G280" s="120">
        <v>97.890840565844329</v>
      </c>
      <c r="H280" s="120">
        <v>16.7</v>
      </c>
      <c r="I280" s="117">
        <v>652</v>
      </c>
      <c r="J280" s="119" t="s">
        <v>271</v>
      </c>
    </row>
    <row r="281" spans="1:10" x14ac:dyDescent="0.25">
      <c r="A281" s="117">
        <v>278</v>
      </c>
      <c r="B281" s="118" t="s">
        <v>941</v>
      </c>
      <c r="C281" s="119" t="s">
        <v>942</v>
      </c>
      <c r="D281" s="119" t="s">
        <v>459</v>
      </c>
      <c r="E281" s="119" t="s">
        <v>916</v>
      </c>
      <c r="F281" s="120">
        <v>96.959294683013525</v>
      </c>
      <c r="G281" s="120">
        <v>101.27679468301353</v>
      </c>
      <c r="H281" s="120">
        <v>16.75</v>
      </c>
      <c r="I281" s="117">
        <v>443</v>
      </c>
      <c r="J281" s="119" t="s">
        <v>271</v>
      </c>
    </row>
    <row r="282" spans="1:10" x14ac:dyDescent="0.25">
      <c r="A282" s="117">
        <v>279</v>
      </c>
      <c r="B282" s="118" t="s">
        <v>943</v>
      </c>
      <c r="C282" s="119" t="s">
        <v>944</v>
      </c>
      <c r="D282" s="119" t="s">
        <v>459</v>
      </c>
      <c r="E282" s="119" t="s">
        <v>945</v>
      </c>
      <c r="F282" s="120">
        <v>99.072000000000003</v>
      </c>
      <c r="G282" s="120">
        <v>100.2546</v>
      </c>
      <c r="H282" s="120">
        <v>3.7</v>
      </c>
      <c r="I282" s="117">
        <v>769</v>
      </c>
      <c r="J282" s="119" t="s">
        <v>271</v>
      </c>
    </row>
    <row r="283" spans="1:10" x14ac:dyDescent="0.25">
      <c r="A283" s="117">
        <v>280</v>
      </c>
      <c r="B283" s="118" t="s">
        <v>946</v>
      </c>
      <c r="C283" s="119" t="s">
        <v>947</v>
      </c>
      <c r="D283" s="119" t="s">
        <v>459</v>
      </c>
      <c r="E283" s="119" t="s">
        <v>945</v>
      </c>
      <c r="F283" s="120">
        <v>99.227999999999994</v>
      </c>
      <c r="G283" s="120">
        <v>99.942899999999995</v>
      </c>
      <c r="H283" s="120">
        <v>3.8</v>
      </c>
      <c r="I283" s="117">
        <v>1729</v>
      </c>
      <c r="J283" s="119" t="s">
        <v>271</v>
      </c>
    </row>
    <row r="284" spans="1:10" x14ac:dyDescent="0.25">
      <c r="A284" s="117">
        <v>281</v>
      </c>
      <c r="B284" s="118" t="s">
        <v>948</v>
      </c>
      <c r="C284" s="119" t="s">
        <v>949</v>
      </c>
      <c r="D284" s="119" t="s">
        <v>449</v>
      </c>
      <c r="E284" s="119" t="s">
        <v>950</v>
      </c>
      <c r="F284" s="120">
        <v>40000</v>
      </c>
      <c r="G284" s="120">
        <v>40000</v>
      </c>
      <c r="H284" s="120">
        <v>0</v>
      </c>
      <c r="I284" s="117">
        <v>0</v>
      </c>
      <c r="J284" s="119" t="s">
        <v>240</v>
      </c>
    </row>
    <row r="285" spans="1:10" x14ac:dyDescent="0.25">
      <c r="A285" s="117">
        <v>282</v>
      </c>
      <c r="B285" s="118" t="s">
        <v>952</v>
      </c>
      <c r="C285" s="119" t="s">
        <v>953</v>
      </c>
      <c r="D285" s="119" t="s">
        <v>459</v>
      </c>
      <c r="E285" s="119" t="s">
        <v>951</v>
      </c>
      <c r="F285" s="120">
        <v>46.778914628625884</v>
      </c>
      <c r="G285" s="120">
        <v>50.534514628625885</v>
      </c>
      <c r="H285" s="120">
        <v>17.82</v>
      </c>
      <c r="I285" s="117">
        <v>2542</v>
      </c>
      <c r="J285" s="119" t="s">
        <v>271</v>
      </c>
    </row>
    <row r="286" spans="1:10" x14ac:dyDescent="0.25">
      <c r="A286" s="117">
        <v>283</v>
      </c>
      <c r="B286" s="118" t="s">
        <v>954</v>
      </c>
      <c r="C286" s="119" t="s">
        <v>955</v>
      </c>
      <c r="D286" s="119" t="s">
        <v>459</v>
      </c>
      <c r="E286" s="119" t="s">
        <v>951</v>
      </c>
      <c r="F286" s="120">
        <v>94.522778573707498</v>
      </c>
      <c r="G286" s="120">
        <v>95.769878573707501</v>
      </c>
      <c r="H286" s="120">
        <v>17.850000000000001</v>
      </c>
      <c r="I286" s="117">
        <v>319</v>
      </c>
      <c r="J286" s="119" t="s">
        <v>271</v>
      </c>
    </row>
    <row r="287" spans="1:10" x14ac:dyDescent="0.25">
      <c r="A287" s="117">
        <v>284</v>
      </c>
      <c r="B287" s="118" t="s">
        <v>956</v>
      </c>
      <c r="C287" s="119" t="s">
        <v>957</v>
      </c>
      <c r="D287" s="119" t="s">
        <v>459</v>
      </c>
      <c r="E287" s="119" t="s">
        <v>958</v>
      </c>
      <c r="F287" s="120">
        <v>86.86149851147691</v>
      </c>
      <c r="G287" s="120">
        <v>89.694798511476904</v>
      </c>
      <c r="H287" s="120">
        <v>19.309999999999999</v>
      </c>
      <c r="I287" s="117">
        <v>618</v>
      </c>
      <c r="J287" s="119" t="s">
        <v>271</v>
      </c>
    </row>
    <row r="288" spans="1:10" x14ac:dyDescent="0.25">
      <c r="A288" s="117">
        <v>285</v>
      </c>
      <c r="B288" s="118" t="s">
        <v>959</v>
      </c>
      <c r="C288" s="119" t="s">
        <v>960</v>
      </c>
      <c r="D288" s="119" t="s">
        <v>759</v>
      </c>
      <c r="E288" s="119" t="s">
        <v>961</v>
      </c>
      <c r="F288" s="120">
        <v>23342.484100000001</v>
      </c>
      <c r="G288" s="120">
        <v>23342.484100000001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962</v>
      </c>
      <c r="C289" s="119" t="s">
        <v>963</v>
      </c>
      <c r="D289" s="119" t="s">
        <v>449</v>
      </c>
      <c r="E289" s="119" t="s">
        <v>964</v>
      </c>
      <c r="F289" s="120">
        <v>1000</v>
      </c>
      <c r="G289" s="120">
        <v>1000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965</v>
      </c>
      <c r="C290" s="119" t="s">
        <v>966</v>
      </c>
      <c r="D290" s="119" t="s">
        <v>449</v>
      </c>
      <c r="E290" s="119" t="s">
        <v>964</v>
      </c>
      <c r="F290" s="120">
        <v>1000</v>
      </c>
      <c r="G290" s="120">
        <v>1000</v>
      </c>
      <c r="H290" s="120">
        <v>0</v>
      </c>
      <c r="I290" s="117">
        <v>0</v>
      </c>
      <c r="J290" s="119" t="s">
        <v>240</v>
      </c>
    </row>
    <row r="291" spans="1:10" x14ac:dyDescent="0.25">
      <c r="A291" s="117">
        <v>288</v>
      </c>
      <c r="B291" s="118" t="s">
        <v>967</v>
      </c>
      <c r="C291" s="119" t="s">
        <v>968</v>
      </c>
      <c r="D291" s="119" t="s">
        <v>449</v>
      </c>
      <c r="E291" s="119" t="s">
        <v>969</v>
      </c>
      <c r="F291" s="120">
        <v>0.01</v>
      </c>
      <c r="G291" s="120">
        <v>0.01</v>
      </c>
      <c r="H291" s="120">
        <v>0</v>
      </c>
      <c r="I291" s="117">
        <v>0</v>
      </c>
      <c r="J291" s="119" t="s">
        <v>240</v>
      </c>
    </row>
    <row r="292" spans="1:10" x14ac:dyDescent="0.25">
      <c r="A292" s="117">
        <v>289</v>
      </c>
      <c r="B292" s="118" t="s">
        <v>973</v>
      </c>
      <c r="C292" s="119" t="s">
        <v>974</v>
      </c>
      <c r="D292" s="119" t="s">
        <v>459</v>
      </c>
      <c r="E292" s="119" t="s">
        <v>496</v>
      </c>
      <c r="F292" s="120">
        <v>96.111805891924178</v>
      </c>
      <c r="G292" s="120">
        <v>98.517405891924184</v>
      </c>
      <c r="H292" s="120">
        <v>17.98</v>
      </c>
      <c r="I292" s="117">
        <v>184</v>
      </c>
      <c r="J292" s="119" t="s">
        <v>271</v>
      </c>
    </row>
    <row r="293" spans="1:10" x14ac:dyDescent="0.25">
      <c r="A293" s="117">
        <v>290</v>
      </c>
      <c r="B293" s="118" t="s">
        <v>975</v>
      </c>
      <c r="C293" s="119" t="s">
        <v>976</v>
      </c>
      <c r="D293" s="119" t="s">
        <v>459</v>
      </c>
      <c r="E293" s="119" t="s">
        <v>496</v>
      </c>
      <c r="F293" s="120">
        <v>95.593257110916042</v>
      </c>
      <c r="G293" s="120">
        <v>99.928957110916045</v>
      </c>
      <c r="H293" s="120">
        <v>18.52</v>
      </c>
      <c r="I293" s="117">
        <v>205</v>
      </c>
      <c r="J293" s="119" t="s">
        <v>271</v>
      </c>
    </row>
    <row r="294" spans="1:10" x14ac:dyDescent="0.25">
      <c r="A294" s="117">
        <v>291</v>
      </c>
      <c r="B294" s="118" t="s">
        <v>977</v>
      </c>
      <c r="C294" s="119" t="s">
        <v>978</v>
      </c>
      <c r="D294" s="119" t="s">
        <v>449</v>
      </c>
      <c r="E294" s="119" t="s">
        <v>979</v>
      </c>
      <c r="F294" s="120">
        <v>1054.2494300000001</v>
      </c>
      <c r="G294" s="120">
        <v>1054.2494300000001</v>
      </c>
      <c r="H294" s="120">
        <v>0</v>
      </c>
      <c r="I294" s="117">
        <v>2038</v>
      </c>
      <c r="J294" s="119" t="s">
        <v>240</v>
      </c>
    </row>
    <row r="295" spans="1:10" x14ac:dyDescent="0.25">
      <c r="A295" s="117">
        <v>292</v>
      </c>
      <c r="B295" s="118" t="s">
        <v>980</v>
      </c>
      <c r="C295" s="119" t="s">
        <v>981</v>
      </c>
      <c r="D295" s="119" t="s">
        <v>459</v>
      </c>
      <c r="E295" s="119" t="s">
        <v>979</v>
      </c>
      <c r="F295" s="120">
        <v>72.621013890249216</v>
      </c>
      <c r="G295" s="120">
        <v>74.515413890249221</v>
      </c>
      <c r="H295" s="120">
        <v>18.14</v>
      </c>
      <c r="I295" s="117">
        <v>2458</v>
      </c>
      <c r="J295" s="119" t="s">
        <v>271</v>
      </c>
    </row>
    <row r="296" spans="1:10" x14ac:dyDescent="0.25">
      <c r="A296" s="117">
        <v>293</v>
      </c>
      <c r="B296" s="118" t="s">
        <v>982</v>
      </c>
      <c r="C296" s="119" t="s">
        <v>983</v>
      </c>
      <c r="D296" s="119" t="s">
        <v>459</v>
      </c>
      <c r="E296" s="119" t="s">
        <v>979</v>
      </c>
      <c r="F296" s="120">
        <v>96.988979458731848</v>
      </c>
      <c r="G296" s="120">
        <v>98.038979458731845</v>
      </c>
      <c r="H296" s="120">
        <v>18.55</v>
      </c>
      <c r="I296" s="117">
        <v>144</v>
      </c>
      <c r="J296" s="119" t="s">
        <v>271</v>
      </c>
    </row>
    <row r="297" spans="1:10" x14ac:dyDescent="0.25">
      <c r="A297" s="117">
        <v>294</v>
      </c>
      <c r="B297" s="118" t="s">
        <v>984</v>
      </c>
      <c r="C297" s="119" t="s">
        <v>985</v>
      </c>
      <c r="D297" s="119" t="s">
        <v>449</v>
      </c>
      <c r="E297" s="119" t="s">
        <v>986</v>
      </c>
      <c r="F297" s="120">
        <v>19455.686549999999</v>
      </c>
      <c r="G297" s="120">
        <v>19455.686549999999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987</v>
      </c>
      <c r="C298" s="119" t="s">
        <v>988</v>
      </c>
      <c r="D298" s="119" t="s">
        <v>449</v>
      </c>
      <c r="E298" s="119" t="s">
        <v>47</v>
      </c>
      <c r="F298" s="120">
        <v>5830</v>
      </c>
      <c r="G298" s="120">
        <v>5830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48</v>
      </c>
      <c r="C299" s="119" t="s">
        <v>49</v>
      </c>
      <c r="D299" s="119" t="s">
        <v>739</v>
      </c>
      <c r="E299" s="119" t="s">
        <v>47</v>
      </c>
      <c r="F299" s="120">
        <v>92053.271221253119</v>
      </c>
      <c r="G299" s="120">
        <v>92053.271221253119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45</v>
      </c>
      <c r="C300" s="119" t="s">
        <v>46</v>
      </c>
      <c r="D300" s="119" t="s">
        <v>739</v>
      </c>
      <c r="E300" s="119" t="s">
        <v>47</v>
      </c>
      <c r="F300" s="120">
        <v>5503.9121800727071</v>
      </c>
      <c r="G300" s="120">
        <v>5503.9121800727071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989</v>
      </c>
      <c r="C301" s="119" t="s">
        <v>990</v>
      </c>
      <c r="D301" s="119" t="s">
        <v>739</v>
      </c>
      <c r="E301" s="119" t="s">
        <v>2375</v>
      </c>
      <c r="F301" s="120">
        <v>572224.47950000002</v>
      </c>
      <c r="G301" s="120">
        <v>572224.47950000002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991</v>
      </c>
      <c r="C302" s="119" t="s">
        <v>992</v>
      </c>
      <c r="D302" s="119" t="s">
        <v>739</v>
      </c>
      <c r="E302" s="119" t="s">
        <v>2375</v>
      </c>
      <c r="F302" s="120">
        <v>12010.075000000001</v>
      </c>
      <c r="G302" s="120">
        <v>12010.075000000001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993</v>
      </c>
      <c r="C303" s="119" t="s">
        <v>994</v>
      </c>
      <c r="D303" s="119" t="s">
        <v>739</v>
      </c>
      <c r="E303" s="119" t="s">
        <v>2375</v>
      </c>
      <c r="F303" s="120">
        <v>15073.115</v>
      </c>
      <c r="G303" s="120">
        <v>15073.115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995</v>
      </c>
      <c r="C304" s="119" t="s">
        <v>996</v>
      </c>
      <c r="D304" s="119" t="s">
        <v>739</v>
      </c>
      <c r="E304" s="119" t="s">
        <v>2375</v>
      </c>
      <c r="F304" s="120">
        <v>635837.22404999996</v>
      </c>
      <c r="G304" s="120">
        <v>635837.22404999996</v>
      </c>
      <c r="H304" s="120">
        <v>0</v>
      </c>
      <c r="I304" s="117">
        <v>0</v>
      </c>
      <c r="J304" s="119" t="s">
        <v>240</v>
      </c>
    </row>
    <row r="305" spans="1:10" x14ac:dyDescent="0.25">
      <c r="A305" s="117">
        <v>302</v>
      </c>
      <c r="B305" s="118" t="s">
        <v>997</v>
      </c>
      <c r="C305" s="119" t="s">
        <v>998</v>
      </c>
      <c r="D305" s="119" t="s">
        <v>449</v>
      </c>
      <c r="E305" s="119" t="s">
        <v>999</v>
      </c>
      <c r="F305" s="120">
        <v>10691.67</v>
      </c>
      <c r="G305" s="120">
        <v>10691.67</v>
      </c>
      <c r="H305" s="120">
        <v>0</v>
      </c>
      <c r="I305" s="117">
        <v>0</v>
      </c>
      <c r="J305" s="119" t="s">
        <v>240</v>
      </c>
    </row>
    <row r="306" spans="1:10" x14ac:dyDescent="0.25">
      <c r="A306" s="117">
        <v>303</v>
      </c>
      <c r="B306" s="118" t="s">
        <v>1000</v>
      </c>
      <c r="C306" s="119" t="s">
        <v>1001</v>
      </c>
      <c r="D306" s="119" t="s">
        <v>459</v>
      </c>
      <c r="E306" s="119" t="s">
        <v>1002</v>
      </c>
      <c r="F306" s="120">
        <v>100</v>
      </c>
      <c r="G306" s="120">
        <v>102.7792</v>
      </c>
      <c r="H306" s="120">
        <v>11.45</v>
      </c>
      <c r="I306" s="117">
        <v>993</v>
      </c>
      <c r="J306" s="119" t="s">
        <v>271</v>
      </c>
    </row>
    <row r="307" spans="1:10" x14ac:dyDescent="0.25">
      <c r="A307" s="117">
        <v>304</v>
      </c>
      <c r="B307" s="118" t="s">
        <v>1003</v>
      </c>
      <c r="C307" s="119" t="s">
        <v>1004</v>
      </c>
      <c r="D307" s="119" t="s">
        <v>459</v>
      </c>
      <c r="E307" s="119" t="s">
        <v>1002</v>
      </c>
      <c r="F307" s="120">
        <v>100</v>
      </c>
      <c r="G307" s="120">
        <v>100.61109999999999</v>
      </c>
      <c r="H307" s="120">
        <v>10</v>
      </c>
      <c r="I307" s="117">
        <v>3218</v>
      </c>
      <c r="J307" s="119" t="s">
        <v>271</v>
      </c>
    </row>
    <row r="308" spans="1:10" x14ac:dyDescent="0.25">
      <c r="A308" s="117">
        <v>305</v>
      </c>
      <c r="B308" s="118" t="s">
        <v>2045</v>
      </c>
      <c r="C308" s="119" t="s">
        <v>2046</v>
      </c>
      <c r="D308" s="119" t="s">
        <v>459</v>
      </c>
      <c r="E308" s="119" t="s">
        <v>1005</v>
      </c>
      <c r="F308" s="120">
        <v>100.55591353069595</v>
      </c>
      <c r="G308" s="120">
        <v>101.45871353069596</v>
      </c>
      <c r="H308" s="120">
        <v>23.65</v>
      </c>
      <c r="I308" s="117">
        <v>167</v>
      </c>
      <c r="J308" s="119" t="s">
        <v>271</v>
      </c>
    </row>
    <row r="309" spans="1:10" x14ac:dyDescent="0.25">
      <c r="A309" s="117">
        <v>306</v>
      </c>
      <c r="B309" s="118" t="s">
        <v>1006</v>
      </c>
      <c r="C309" s="119" t="s">
        <v>1007</v>
      </c>
      <c r="D309" s="119" t="s">
        <v>759</v>
      </c>
      <c r="E309" s="119" t="s">
        <v>2092</v>
      </c>
      <c r="F309" s="120">
        <v>17144.764350000001</v>
      </c>
      <c r="G309" s="120">
        <v>17144.764350000001</v>
      </c>
      <c r="H309" s="120">
        <v>0</v>
      </c>
      <c r="I309" s="117">
        <v>0</v>
      </c>
      <c r="J309" s="119" t="s">
        <v>240</v>
      </c>
    </row>
    <row r="310" spans="1:10" x14ac:dyDescent="0.25">
      <c r="A310" s="117">
        <v>307</v>
      </c>
      <c r="B310" s="118" t="s">
        <v>1008</v>
      </c>
      <c r="C310" s="119" t="s">
        <v>1009</v>
      </c>
      <c r="D310" s="119" t="s">
        <v>459</v>
      </c>
      <c r="E310" s="119" t="s">
        <v>1010</v>
      </c>
      <c r="F310" s="120">
        <v>94.024700995316365</v>
      </c>
      <c r="G310" s="120">
        <v>99.058000995316362</v>
      </c>
      <c r="H310" s="120">
        <v>23.52</v>
      </c>
      <c r="I310" s="117">
        <v>209</v>
      </c>
      <c r="J310" s="119" t="s">
        <v>271</v>
      </c>
    </row>
    <row r="311" spans="1:10" x14ac:dyDescent="0.25">
      <c r="A311" s="117">
        <v>308</v>
      </c>
      <c r="B311" s="118" t="s">
        <v>1011</v>
      </c>
      <c r="C311" s="119" t="s">
        <v>1012</v>
      </c>
      <c r="D311" s="119" t="s">
        <v>459</v>
      </c>
      <c r="E311" s="119" t="s">
        <v>1010</v>
      </c>
      <c r="F311" s="120">
        <v>89.938432422855044</v>
      </c>
      <c r="G311" s="120">
        <v>90.610632422855048</v>
      </c>
      <c r="H311" s="120">
        <v>23.52</v>
      </c>
      <c r="I311" s="117">
        <v>338</v>
      </c>
      <c r="J311" s="119" t="s">
        <v>271</v>
      </c>
    </row>
    <row r="312" spans="1:10" x14ac:dyDescent="0.25">
      <c r="A312" s="117">
        <v>309</v>
      </c>
      <c r="B312" s="118" t="s">
        <v>2061</v>
      </c>
      <c r="C312" s="119" t="s">
        <v>2062</v>
      </c>
      <c r="D312" s="119" t="s">
        <v>459</v>
      </c>
      <c r="E312" s="119" t="s">
        <v>1010</v>
      </c>
      <c r="F312" s="120">
        <v>96</v>
      </c>
      <c r="G312" s="120">
        <v>96.183300000000003</v>
      </c>
      <c r="H312" s="120">
        <v>20.07</v>
      </c>
      <c r="I312" s="117">
        <v>174</v>
      </c>
      <c r="J312" s="119" t="s">
        <v>271</v>
      </c>
    </row>
    <row r="313" spans="1:10" x14ac:dyDescent="0.25">
      <c r="A313" s="117">
        <v>310</v>
      </c>
      <c r="B313" s="118" t="s">
        <v>1013</v>
      </c>
      <c r="C313" s="119" t="s">
        <v>1014</v>
      </c>
      <c r="D313" s="119" t="s">
        <v>449</v>
      </c>
      <c r="E313" s="119" t="s">
        <v>1015</v>
      </c>
      <c r="F313" s="120">
        <v>92068.008400000006</v>
      </c>
      <c r="G313" s="120">
        <v>92068.008400000006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1016</v>
      </c>
      <c r="C314" s="119" t="s">
        <v>1017</v>
      </c>
      <c r="D314" s="119" t="s">
        <v>459</v>
      </c>
      <c r="E314" s="119" t="s">
        <v>1018</v>
      </c>
      <c r="F314" s="120">
        <v>93.901866401375045</v>
      </c>
      <c r="G314" s="120">
        <v>94.265466401375051</v>
      </c>
      <c r="H314" s="120">
        <v>19.07</v>
      </c>
      <c r="I314" s="117">
        <v>349</v>
      </c>
      <c r="J314" s="119" t="s">
        <v>271</v>
      </c>
    </row>
    <row r="315" spans="1:10" x14ac:dyDescent="0.25">
      <c r="A315" s="117">
        <v>312</v>
      </c>
      <c r="B315" s="118" t="s">
        <v>1019</v>
      </c>
      <c r="C315" s="119" t="s">
        <v>1020</v>
      </c>
      <c r="D315" s="119" t="s">
        <v>449</v>
      </c>
      <c r="E315" s="119" t="s">
        <v>2093</v>
      </c>
      <c r="F315" s="120">
        <v>44729.363850000002</v>
      </c>
      <c r="G315" s="120">
        <v>44729.363850000002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970</v>
      </c>
      <c r="C316" s="119" t="s">
        <v>971</v>
      </c>
      <c r="D316" s="119" t="s">
        <v>449</v>
      </c>
      <c r="E316" s="119" t="s">
        <v>972</v>
      </c>
      <c r="F316" s="120">
        <v>6241.1173500000004</v>
      </c>
      <c r="G316" s="120">
        <v>6241.1173500000004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1021</v>
      </c>
      <c r="C317" s="119" t="s">
        <v>1022</v>
      </c>
      <c r="D317" s="119" t="s">
        <v>449</v>
      </c>
      <c r="E317" s="119" t="s">
        <v>1023</v>
      </c>
      <c r="F317" s="120">
        <v>5694.7586000000001</v>
      </c>
      <c r="G317" s="120">
        <v>5694.7586000000001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1024</v>
      </c>
      <c r="C318" s="119" t="s">
        <v>1025</v>
      </c>
      <c r="D318" s="119" t="s">
        <v>759</v>
      </c>
      <c r="E318" s="119" t="s">
        <v>1026</v>
      </c>
      <c r="F318" s="120">
        <v>39421.294900000001</v>
      </c>
      <c r="G318" s="120">
        <v>39421.294900000001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2072</v>
      </c>
      <c r="C319" s="119" t="s">
        <v>1864</v>
      </c>
      <c r="D319" s="119" t="s">
        <v>759</v>
      </c>
      <c r="E319" s="119" t="s">
        <v>1865</v>
      </c>
      <c r="F319" s="120">
        <v>186368.28085000001</v>
      </c>
      <c r="G319" s="120">
        <v>186368.28085000001</v>
      </c>
      <c r="H319" s="120">
        <v>0</v>
      </c>
      <c r="I319" s="117">
        <v>0</v>
      </c>
      <c r="J319" s="119" t="s">
        <v>240</v>
      </c>
    </row>
    <row r="320" spans="1:10" x14ac:dyDescent="0.25">
      <c r="A320" s="117">
        <v>317</v>
      </c>
      <c r="B320" s="118" t="s">
        <v>1027</v>
      </c>
      <c r="C320" s="119" t="s">
        <v>1028</v>
      </c>
      <c r="D320" s="119" t="s">
        <v>449</v>
      </c>
      <c r="E320" s="119" t="s">
        <v>1029</v>
      </c>
      <c r="F320" s="120">
        <v>133651.04625000001</v>
      </c>
      <c r="G320" s="120">
        <v>133651.04625000001</v>
      </c>
      <c r="H320" s="120">
        <v>0</v>
      </c>
      <c r="I320" s="117">
        <v>0</v>
      </c>
      <c r="J320" s="119" t="s">
        <v>240</v>
      </c>
    </row>
    <row r="321" spans="1:10" x14ac:dyDescent="0.25">
      <c r="A321" s="117">
        <v>318</v>
      </c>
      <c r="B321" s="118" t="s">
        <v>50</v>
      </c>
      <c r="C321" s="119" t="s">
        <v>51</v>
      </c>
      <c r="D321" s="119" t="s">
        <v>459</v>
      </c>
      <c r="E321" s="119" t="s">
        <v>52</v>
      </c>
      <c r="F321" s="120">
        <v>98.605099999999993</v>
      </c>
      <c r="G321" s="120">
        <v>101.1718</v>
      </c>
      <c r="H321" s="120">
        <v>18.25</v>
      </c>
      <c r="I321" s="117">
        <v>304</v>
      </c>
      <c r="J321" s="119" t="s">
        <v>271</v>
      </c>
    </row>
    <row r="322" spans="1:10" x14ac:dyDescent="0.25">
      <c r="A322" s="117">
        <v>319</v>
      </c>
      <c r="B322" s="118" t="s">
        <v>53</v>
      </c>
      <c r="C322" s="119" t="s">
        <v>54</v>
      </c>
      <c r="D322" s="119" t="s">
        <v>459</v>
      </c>
      <c r="E322" s="119" t="s">
        <v>52</v>
      </c>
      <c r="F322" s="120">
        <v>96.680499999999995</v>
      </c>
      <c r="G322" s="120">
        <v>98.880499999999998</v>
      </c>
      <c r="H322" s="120">
        <v>18</v>
      </c>
      <c r="I322" s="117">
        <v>1032</v>
      </c>
      <c r="J322" s="119" t="s">
        <v>271</v>
      </c>
    </row>
    <row r="323" spans="1:10" x14ac:dyDescent="0.25">
      <c r="A323" s="117">
        <v>320</v>
      </c>
      <c r="B323" s="118" t="s">
        <v>2041</v>
      </c>
      <c r="C323" s="119" t="s">
        <v>2042</v>
      </c>
      <c r="D323" s="119" t="s">
        <v>459</v>
      </c>
      <c r="E323" s="119" t="s">
        <v>52</v>
      </c>
      <c r="F323" s="120">
        <v>97.874300000000005</v>
      </c>
      <c r="G323" s="120">
        <v>99.336399999999998</v>
      </c>
      <c r="H323" s="120">
        <v>19.260000000000002</v>
      </c>
      <c r="I323" s="117">
        <v>871</v>
      </c>
      <c r="J323" s="119" t="s">
        <v>271</v>
      </c>
    </row>
    <row r="324" spans="1:10" x14ac:dyDescent="0.25">
      <c r="A324" s="117">
        <v>321</v>
      </c>
      <c r="B324" s="118" t="s">
        <v>374</v>
      </c>
      <c r="C324" s="119" t="s">
        <v>375</v>
      </c>
      <c r="D324" s="119" t="s">
        <v>459</v>
      </c>
      <c r="E324" s="119" t="s">
        <v>52</v>
      </c>
      <c r="F324" s="120">
        <v>97.395700000000005</v>
      </c>
      <c r="G324" s="120">
        <v>101.7561</v>
      </c>
      <c r="H324" s="120">
        <v>19</v>
      </c>
      <c r="I324" s="117">
        <v>629</v>
      </c>
      <c r="J324" s="119" t="s">
        <v>271</v>
      </c>
    </row>
    <row r="325" spans="1:10" x14ac:dyDescent="0.25">
      <c r="A325" s="117">
        <v>322</v>
      </c>
      <c r="B325" s="118" t="s">
        <v>372</v>
      </c>
      <c r="C325" s="119" t="s">
        <v>373</v>
      </c>
      <c r="D325" s="119" t="s">
        <v>459</v>
      </c>
      <c r="E325" s="119" t="s">
        <v>52</v>
      </c>
      <c r="F325" s="120">
        <v>97.260400000000004</v>
      </c>
      <c r="G325" s="120">
        <v>101.1417</v>
      </c>
      <c r="H325" s="120">
        <v>18.25</v>
      </c>
      <c r="I325" s="117">
        <v>1359</v>
      </c>
      <c r="J325" s="119" t="s">
        <v>271</v>
      </c>
    </row>
    <row r="326" spans="1:10" x14ac:dyDescent="0.25">
      <c r="A326" s="117">
        <v>323</v>
      </c>
      <c r="B326" s="118" t="s">
        <v>2313</v>
      </c>
      <c r="C326" s="119" t="s">
        <v>2314</v>
      </c>
      <c r="D326" s="119" t="s">
        <v>459</v>
      </c>
      <c r="E326" s="119" t="s">
        <v>52</v>
      </c>
      <c r="F326" s="120">
        <v>100.6492295917709</v>
      </c>
      <c r="G326" s="120">
        <v>104.46922959177091</v>
      </c>
      <c r="H326" s="120">
        <v>18.86</v>
      </c>
      <c r="I326" s="117">
        <v>1728</v>
      </c>
      <c r="J326" s="119" t="s">
        <v>271</v>
      </c>
    </row>
    <row r="327" spans="1:10" x14ac:dyDescent="0.25">
      <c r="A327" s="117">
        <v>324</v>
      </c>
      <c r="B327" s="118" t="s">
        <v>2282</v>
      </c>
      <c r="C327" s="119" t="s">
        <v>2283</v>
      </c>
      <c r="D327" s="119" t="s">
        <v>459</v>
      </c>
      <c r="E327" s="119" t="s">
        <v>52</v>
      </c>
      <c r="F327" s="120">
        <v>99.744426372500172</v>
      </c>
      <c r="G327" s="120">
        <v>104.12912637250017</v>
      </c>
      <c r="H327" s="120">
        <v>19.350000000000001</v>
      </c>
      <c r="I327" s="117">
        <v>638</v>
      </c>
      <c r="J327" s="119" t="s">
        <v>271</v>
      </c>
    </row>
    <row r="328" spans="1:10" x14ac:dyDescent="0.25">
      <c r="A328" s="117">
        <v>325</v>
      </c>
      <c r="B328" s="118" t="s">
        <v>55</v>
      </c>
      <c r="C328" s="119" t="s">
        <v>56</v>
      </c>
      <c r="D328" s="119" t="s">
        <v>739</v>
      </c>
      <c r="E328" s="119" t="s">
        <v>1030</v>
      </c>
      <c r="F328" s="120">
        <v>53922.65</v>
      </c>
      <c r="G328" s="120">
        <v>53922.65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57</v>
      </c>
      <c r="C329" s="119" t="s">
        <v>58</v>
      </c>
      <c r="D329" s="119" t="s">
        <v>739</v>
      </c>
      <c r="E329" s="119" t="s">
        <v>1030</v>
      </c>
      <c r="F329" s="120">
        <v>75486.8</v>
      </c>
      <c r="G329" s="120">
        <v>75486.8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59</v>
      </c>
      <c r="C330" s="119" t="s">
        <v>60</v>
      </c>
      <c r="D330" s="119" t="s">
        <v>739</v>
      </c>
      <c r="E330" s="119" t="s">
        <v>1030</v>
      </c>
      <c r="F330" s="120">
        <v>74584.149999999994</v>
      </c>
      <c r="G330" s="120">
        <v>74584.149999999994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61</v>
      </c>
      <c r="C331" s="119" t="s">
        <v>62</v>
      </c>
      <c r="D331" s="119" t="s">
        <v>739</v>
      </c>
      <c r="E331" s="119" t="s">
        <v>1030</v>
      </c>
      <c r="F331" s="120">
        <v>593746.35499999998</v>
      </c>
      <c r="G331" s="120">
        <v>593746.35499999998</v>
      </c>
      <c r="H331" s="120">
        <v>0</v>
      </c>
      <c r="I331" s="117">
        <v>0</v>
      </c>
      <c r="J331" s="119" t="s">
        <v>240</v>
      </c>
    </row>
    <row r="332" spans="1:10" x14ac:dyDescent="0.25">
      <c r="A332" s="117">
        <v>329</v>
      </c>
      <c r="B332" s="118" t="s">
        <v>1034</v>
      </c>
      <c r="C332" s="119" t="s">
        <v>1035</v>
      </c>
      <c r="D332" s="119" t="s">
        <v>739</v>
      </c>
      <c r="E332" s="119" t="s">
        <v>1030</v>
      </c>
      <c r="F332" s="120">
        <v>4308.0324000000001</v>
      </c>
      <c r="G332" s="120">
        <v>4308.0324000000001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1031</v>
      </c>
      <c r="C333" s="119" t="s">
        <v>1032</v>
      </c>
      <c r="D333" s="119" t="s">
        <v>449</v>
      </c>
      <c r="E333" s="119" t="s">
        <v>1033</v>
      </c>
      <c r="F333" s="120">
        <v>538.23602165</v>
      </c>
      <c r="G333" s="120">
        <v>538.23602165</v>
      </c>
      <c r="H333" s="120">
        <v>0</v>
      </c>
      <c r="I333" s="117">
        <v>512</v>
      </c>
      <c r="J333" s="119" t="s">
        <v>240</v>
      </c>
    </row>
    <row r="334" spans="1:10" x14ac:dyDescent="0.25">
      <c r="A334" s="117">
        <v>331</v>
      </c>
      <c r="B334" s="118" t="s">
        <v>63</v>
      </c>
      <c r="C334" s="119" t="s">
        <v>64</v>
      </c>
      <c r="D334" s="119" t="s">
        <v>449</v>
      </c>
      <c r="E334" s="119" t="s">
        <v>65</v>
      </c>
      <c r="F334" s="120">
        <v>356.14368893232694</v>
      </c>
      <c r="G334" s="120">
        <v>356.14368893232694</v>
      </c>
      <c r="H334" s="120">
        <v>0</v>
      </c>
      <c r="I334" s="117">
        <v>0</v>
      </c>
      <c r="J334" s="119" t="s">
        <v>240</v>
      </c>
    </row>
    <row r="335" spans="1:10" x14ac:dyDescent="0.25">
      <c r="A335" s="117">
        <v>332</v>
      </c>
      <c r="B335" s="118" t="s">
        <v>1036</v>
      </c>
      <c r="C335" s="119" t="s">
        <v>1037</v>
      </c>
      <c r="D335" s="119" t="s">
        <v>459</v>
      </c>
      <c r="E335" s="119" t="s">
        <v>65</v>
      </c>
      <c r="F335" s="120">
        <v>101.36592365513511</v>
      </c>
      <c r="G335" s="120">
        <v>104.52262365513511</v>
      </c>
      <c r="H335" s="120">
        <v>18.21</v>
      </c>
      <c r="I335" s="117">
        <v>2099</v>
      </c>
      <c r="J335" s="119" t="s">
        <v>271</v>
      </c>
    </row>
    <row r="336" spans="1:10" x14ac:dyDescent="0.25">
      <c r="A336" s="117">
        <v>333</v>
      </c>
      <c r="B336" s="118" t="s">
        <v>439</v>
      </c>
      <c r="C336" s="119" t="s">
        <v>440</v>
      </c>
      <c r="D336" s="119" t="s">
        <v>459</v>
      </c>
      <c r="E336" s="119" t="s">
        <v>65</v>
      </c>
      <c r="F336" s="120">
        <v>100</v>
      </c>
      <c r="G336" s="120">
        <v>105.4255</v>
      </c>
      <c r="H336" s="120">
        <v>17.170000000000002</v>
      </c>
      <c r="I336" s="117">
        <v>798</v>
      </c>
      <c r="J336" s="119" t="s">
        <v>271</v>
      </c>
    </row>
    <row r="337" spans="1:10" x14ac:dyDescent="0.25">
      <c r="A337" s="117">
        <v>334</v>
      </c>
      <c r="B337" s="118" t="s">
        <v>369</v>
      </c>
      <c r="C337" s="119" t="s">
        <v>370</v>
      </c>
      <c r="D337" s="119" t="s">
        <v>526</v>
      </c>
      <c r="E337" s="119" t="s">
        <v>65</v>
      </c>
      <c r="F337" s="120">
        <v>13873.670249999999</v>
      </c>
      <c r="G337" s="120">
        <v>13873.670249999999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1038</v>
      </c>
      <c r="C338" s="119" t="s">
        <v>1039</v>
      </c>
      <c r="D338" s="119" t="s">
        <v>759</v>
      </c>
      <c r="E338" s="119" t="s">
        <v>2094</v>
      </c>
      <c r="F338" s="120">
        <v>43926.508249999999</v>
      </c>
      <c r="G338" s="120">
        <v>43926.508249999999</v>
      </c>
      <c r="H338" s="120">
        <v>0</v>
      </c>
      <c r="I338" s="117">
        <v>0</v>
      </c>
      <c r="J338" s="119" t="s">
        <v>240</v>
      </c>
    </row>
    <row r="339" spans="1:10" x14ac:dyDescent="0.25">
      <c r="A339" s="117">
        <v>336</v>
      </c>
      <c r="B339" s="118" t="s">
        <v>1040</v>
      </c>
      <c r="C339" s="119" t="s">
        <v>1041</v>
      </c>
      <c r="D339" s="119" t="s">
        <v>449</v>
      </c>
      <c r="E339" s="119" t="s">
        <v>1042</v>
      </c>
      <c r="F339" s="120">
        <v>151422.36345</v>
      </c>
      <c r="G339" s="120">
        <v>151422.36345</v>
      </c>
      <c r="H339" s="120">
        <v>0</v>
      </c>
      <c r="I339" s="117">
        <v>0</v>
      </c>
      <c r="J339" s="119" t="s">
        <v>240</v>
      </c>
    </row>
    <row r="340" spans="1:10" x14ac:dyDescent="0.25">
      <c r="A340" s="117">
        <v>337</v>
      </c>
      <c r="B340" s="118" t="s">
        <v>1043</v>
      </c>
      <c r="C340" s="119" t="s">
        <v>1044</v>
      </c>
      <c r="D340" s="119" t="s">
        <v>459</v>
      </c>
      <c r="E340" s="119" t="s">
        <v>1045</v>
      </c>
      <c r="F340" s="120">
        <v>102.414</v>
      </c>
      <c r="G340" s="120">
        <v>103.1206</v>
      </c>
      <c r="H340" s="120">
        <v>3.72</v>
      </c>
      <c r="I340" s="117">
        <v>1025</v>
      </c>
      <c r="J340" s="119" t="s">
        <v>271</v>
      </c>
    </row>
    <row r="341" spans="1:10" x14ac:dyDescent="0.25">
      <c r="A341" s="117">
        <v>338</v>
      </c>
      <c r="B341" s="118" t="s">
        <v>1046</v>
      </c>
      <c r="C341" s="119" t="s">
        <v>1047</v>
      </c>
      <c r="D341" s="119" t="s">
        <v>459</v>
      </c>
      <c r="E341" s="119" t="s">
        <v>1045</v>
      </c>
      <c r="F341" s="120">
        <v>99.453000000000003</v>
      </c>
      <c r="G341" s="120">
        <v>99.503299999999996</v>
      </c>
      <c r="H341" s="120">
        <v>3.77</v>
      </c>
      <c r="I341" s="117">
        <v>1435</v>
      </c>
      <c r="J341" s="119" t="s">
        <v>271</v>
      </c>
    </row>
    <row r="342" spans="1:10" x14ac:dyDescent="0.25">
      <c r="A342" s="117">
        <v>339</v>
      </c>
      <c r="B342" s="118" t="s">
        <v>1048</v>
      </c>
      <c r="C342" s="119" t="s">
        <v>1049</v>
      </c>
      <c r="D342" s="119" t="s">
        <v>459</v>
      </c>
      <c r="E342" s="119" t="s">
        <v>1045</v>
      </c>
      <c r="F342" s="120">
        <v>100.599</v>
      </c>
      <c r="G342" s="120">
        <v>101.4434</v>
      </c>
      <c r="H342" s="120">
        <v>3.87</v>
      </c>
      <c r="I342" s="117">
        <v>1904</v>
      </c>
      <c r="J342" s="119" t="s">
        <v>271</v>
      </c>
    </row>
    <row r="343" spans="1:10" x14ac:dyDescent="0.25">
      <c r="A343" s="117">
        <v>340</v>
      </c>
      <c r="B343" s="118" t="s">
        <v>1050</v>
      </c>
      <c r="C343" s="119" t="s">
        <v>1051</v>
      </c>
      <c r="D343" s="119" t="s">
        <v>459</v>
      </c>
      <c r="E343" s="119" t="s">
        <v>1045</v>
      </c>
      <c r="F343" s="120">
        <v>102.999</v>
      </c>
      <c r="G343" s="120">
        <v>105.074</v>
      </c>
      <c r="H343" s="120">
        <v>3.89</v>
      </c>
      <c r="I343" s="117">
        <v>1994</v>
      </c>
      <c r="J343" s="119" t="s">
        <v>271</v>
      </c>
    </row>
    <row r="344" spans="1:10" x14ac:dyDescent="0.25">
      <c r="A344" s="117">
        <v>341</v>
      </c>
      <c r="B344" s="118" t="s">
        <v>1052</v>
      </c>
      <c r="C344" s="119" t="s">
        <v>1053</v>
      </c>
      <c r="D344" s="119" t="s">
        <v>449</v>
      </c>
      <c r="E344" s="119" t="s">
        <v>1054</v>
      </c>
      <c r="F344" s="120">
        <v>1</v>
      </c>
      <c r="G344" s="120">
        <v>1</v>
      </c>
      <c r="H344" s="120">
        <v>0</v>
      </c>
      <c r="I344" s="117">
        <v>985</v>
      </c>
      <c r="J344" s="119" t="s">
        <v>240</v>
      </c>
    </row>
    <row r="345" spans="1:10" x14ac:dyDescent="0.25">
      <c r="A345" s="117">
        <v>342</v>
      </c>
      <c r="B345" s="118" t="s">
        <v>2073</v>
      </c>
      <c r="C345" s="119" t="s">
        <v>1866</v>
      </c>
      <c r="D345" s="119" t="s">
        <v>759</v>
      </c>
      <c r="E345" s="119" t="s">
        <v>1080</v>
      </c>
      <c r="F345" s="120">
        <v>8177.7352499999997</v>
      </c>
      <c r="G345" s="120">
        <v>8177.7352499999997</v>
      </c>
      <c r="H345" s="120">
        <v>0</v>
      </c>
      <c r="I345" s="117">
        <v>0</v>
      </c>
      <c r="J345" s="119" t="s">
        <v>240</v>
      </c>
    </row>
    <row r="346" spans="1:10" x14ac:dyDescent="0.25">
      <c r="A346" s="117">
        <v>343</v>
      </c>
      <c r="B346" s="118" t="s">
        <v>2226</v>
      </c>
      <c r="C346" s="119" t="s">
        <v>2227</v>
      </c>
      <c r="D346" s="119" t="s">
        <v>459</v>
      </c>
      <c r="E346" s="119" t="s">
        <v>2228</v>
      </c>
      <c r="F346" s="120">
        <v>100.15558890526879</v>
      </c>
      <c r="G346" s="120">
        <v>101.20558890526878</v>
      </c>
      <c r="H346" s="120">
        <v>12.58</v>
      </c>
      <c r="I346" s="117">
        <v>62</v>
      </c>
      <c r="J346" s="119" t="s">
        <v>271</v>
      </c>
    </row>
    <row r="347" spans="1:10" x14ac:dyDescent="0.25">
      <c r="A347" s="117">
        <v>344</v>
      </c>
      <c r="B347" s="118" t="s">
        <v>1055</v>
      </c>
      <c r="C347" s="119" t="s">
        <v>1056</v>
      </c>
      <c r="D347" s="119" t="s">
        <v>459</v>
      </c>
      <c r="E347" s="119" t="s">
        <v>1057</v>
      </c>
      <c r="F347" s="120">
        <v>80.375608212183522</v>
      </c>
      <c r="G347" s="120">
        <v>84.800608212183519</v>
      </c>
      <c r="H347" s="120">
        <v>17.78</v>
      </c>
      <c r="I347" s="117">
        <v>1845</v>
      </c>
      <c r="J347" s="119" t="s">
        <v>271</v>
      </c>
    </row>
    <row r="348" spans="1:10" x14ac:dyDescent="0.25">
      <c r="A348" s="117">
        <v>345</v>
      </c>
      <c r="B348" s="118" t="s">
        <v>1058</v>
      </c>
      <c r="C348" s="119" t="s">
        <v>1059</v>
      </c>
      <c r="D348" s="119" t="s">
        <v>459</v>
      </c>
      <c r="E348" s="119" t="s">
        <v>1057</v>
      </c>
      <c r="F348" s="120">
        <v>78.708230258577188</v>
      </c>
      <c r="G348" s="120">
        <v>78.931830258577193</v>
      </c>
      <c r="H348" s="120">
        <v>17.73</v>
      </c>
      <c r="I348" s="117">
        <v>1973</v>
      </c>
      <c r="J348" s="119" t="s">
        <v>271</v>
      </c>
    </row>
    <row r="349" spans="1:10" x14ac:dyDescent="0.25">
      <c r="A349" s="117">
        <v>346</v>
      </c>
      <c r="B349" s="118" t="s">
        <v>1060</v>
      </c>
      <c r="C349" s="119" t="s">
        <v>1061</v>
      </c>
      <c r="D349" s="119" t="s">
        <v>459</v>
      </c>
      <c r="E349" s="119" t="s">
        <v>1057</v>
      </c>
      <c r="F349" s="120">
        <v>87.918975529297285</v>
      </c>
      <c r="G349" s="120">
        <v>92.534575529297285</v>
      </c>
      <c r="H349" s="120">
        <v>17.559999999999999</v>
      </c>
      <c r="I349" s="117">
        <v>1126</v>
      </c>
      <c r="J349" s="119" t="s">
        <v>271</v>
      </c>
    </row>
    <row r="350" spans="1:10" x14ac:dyDescent="0.25">
      <c r="A350" s="117">
        <v>347</v>
      </c>
      <c r="B350" s="118" t="s">
        <v>1062</v>
      </c>
      <c r="C350" s="119" t="s">
        <v>1063</v>
      </c>
      <c r="D350" s="119" t="s">
        <v>459</v>
      </c>
      <c r="E350" s="119" t="s">
        <v>1057</v>
      </c>
      <c r="F350" s="120">
        <v>74.759901305653145</v>
      </c>
      <c r="G350" s="120">
        <v>83.526601305653145</v>
      </c>
      <c r="H350" s="120">
        <v>18.260000000000002</v>
      </c>
      <c r="I350" s="117">
        <v>4800</v>
      </c>
      <c r="J350" s="119" t="s">
        <v>271</v>
      </c>
    </row>
    <row r="351" spans="1:10" x14ac:dyDescent="0.25">
      <c r="A351" s="117">
        <v>348</v>
      </c>
      <c r="B351" s="118" t="s">
        <v>1064</v>
      </c>
      <c r="C351" s="119" t="s">
        <v>1065</v>
      </c>
      <c r="D351" s="119" t="s">
        <v>449</v>
      </c>
      <c r="E351" s="119" t="s">
        <v>1057</v>
      </c>
      <c r="F351" s="120">
        <v>1037.19</v>
      </c>
      <c r="G351" s="120">
        <v>1037.19</v>
      </c>
      <c r="H351" s="120">
        <v>0</v>
      </c>
      <c r="I351" s="117">
        <v>2944</v>
      </c>
      <c r="J351" s="119" t="s">
        <v>240</v>
      </c>
    </row>
    <row r="352" spans="1:10" x14ac:dyDescent="0.25">
      <c r="A352" s="117">
        <v>349</v>
      </c>
      <c r="B352" s="118" t="s">
        <v>1066</v>
      </c>
      <c r="C352" s="119" t="s">
        <v>1067</v>
      </c>
      <c r="D352" s="119" t="s">
        <v>759</v>
      </c>
      <c r="E352" s="119" t="s">
        <v>1068</v>
      </c>
      <c r="F352" s="120">
        <v>4346.4822835663836</v>
      </c>
      <c r="G352" s="120">
        <v>4346.4822835663836</v>
      </c>
      <c r="H352" s="120">
        <v>0</v>
      </c>
      <c r="I352" s="117">
        <v>0</v>
      </c>
      <c r="J352" s="119" t="s">
        <v>240</v>
      </c>
    </row>
    <row r="353" spans="1:10" x14ac:dyDescent="0.25">
      <c r="A353" s="117">
        <v>350</v>
      </c>
      <c r="B353" s="118" t="s">
        <v>1069</v>
      </c>
      <c r="C353" s="119" t="s">
        <v>1070</v>
      </c>
      <c r="D353" s="119" t="s">
        <v>449</v>
      </c>
      <c r="E353" s="119" t="s">
        <v>1071</v>
      </c>
      <c r="F353" s="120">
        <v>75482.671753777773</v>
      </c>
      <c r="G353" s="120">
        <v>75482.671753777773</v>
      </c>
      <c r="H353" s="120">
        <v>0</v>
      </c>
      <c r="I353" s="117">
        <v>112</v>
      </c>
      <c r="J353" s="119" t="s">
        <v>240</v>
      </c>
    </row>
    <row r="354" spans="1:10" x14ac:dyDescent="0.25">
      <c r="A354" s="117">
        <v>351</v>
      </c>
      <c r="B354" s="118" t="s">
        <v>1072</v>
      </c>
      <c r="C354" s="119" t="s">
        <v>1073</v>
      </c>
      <c r="D354" s="119" t="s">
        <v>449</v>
      </c>
      <c r="E354" s="119" t="s">
        <v>1071</v>
      </c>
      <c r="F354" s="120">
        <v>1</v>
      </c>
      <c r="G354" s="120">
        <v>1</v>
      </c>
      <c r="H354" s="120">
        <v>0</v>
      </c>
      <c r="I354" s="117">
        <v>259</v>
      </c>
      <c r="J354" s="119" t="s">
        <v>240</v>
      </c>
    </row>
    <row r="355" spans="1:10" x14ac:dyDescent="0.25">
      <c r="A355" s="117">
        <v>352</v>
      </c>
      <c r="B355" s="118" t="s">
        <v>1074</v>
      </c>
      <c r="C355" s="119" t="s">
        <v>1075</v>
      </c>
      <c r="D355" s="119" t="s">
        <v>449</v>
      </c>
      <c r="E355" s="119" t="s">
        <v>1071</v>
      </c>
      <c r="F355" s="120">
        <v>1</v>
      </c>
      <c r="G355" s="120">
        <v>1</v>
      </c>
      <c r="H355" s="120">
        <v>0</v>
      </c>
      <c r="I355" s="117">
        <v>1081</v>
      </c>
      <c r="J355" s="119" t="s">
        <v>240</v>
      </c>
    </row>
    <row r="356" spans="1:10" x14ac:dyDescent="0.25">
      <c r="A356" s="117">
        <v>353</v>
      </c>
      <c r="B356" s="118" t="s">
        <v>1076</v>
      </c>
      <c r="C356" s="119" t="s">
        <v>1077</v>
      </c>
      <c r="D356" s="119" t="s">
        <v>459</v>
      </c>
      <c r="E356" s="119" t="s">
        <v>1071</v>
      </c>
      <c r="F356" s="120">
        <v>102.02800000000001</v>
      </c>
      <c r="G356" s="120">
        <v>102.9405</v>
      </c>
      <c r="H356" s="120">
        <v>3.73</v>
      </c>
      <c r="I356" s="117">
        <v>1007</v>
      </c>
      <c r="J356" s="119" t="s">
        <v>271</v>
      </c>
    </row>
    <row r="357" spans="1:10" x14ac:dyDescent="0.25">
      <c r="A357" s="117">
        <v>354</v>
      </c>
      <c r="B357" s="118" t="s">
        <v>66</v>
      </c>
      <c r="C357" s="119" t="s">
        <v>67</v>
      </c>
      <c r="D357" s="119" t="s">
        <v>449</v>
      </c>
      <c r="E357" s="119" t="s">
        <v>68</v>
      </c>
      <c r="F357" s="120">
        <v>9490.25</v>
      </c>
      <c r="G357" s="120">
        <v>9490.25</v>
      </c>
      <c r="H357" s="120">
        <v>0</v>
      </c>
      <c r="I357" s="117">
        <v>0</v>
      </c>
      <c r="J357" s="119" t="s">
        <v>240</v>
      </c>
    </row>
    <row r="358" spans="1:10" x14ac:dyDescent="0.25">
      <c r="A358" s="117">
        <v>355</v>
      </c>
      <c r="B358" s="118" t="s">
        <v>1078</v>
      </c>
      <c r="C358" s="119" t="s">
        <v>1079</v>
      </c>
      <c r="D358" s="119" t="s">
        <v>759</v>
      </c>
      <c r="E358" s="119" t="s">
        <v>1080</v>
      </c>
      <c r="F358" s="120">
        <v>27717.504649999999</v>
      </c>
      <c r="G358" s="120">
        <v>27717.504649999999</v>
      </c>
      <c r="H358" s="120">
        <v>0</v>
      </c>
      <c r="I358" s="117">
        <v>0</v>
      </c>
      <c r="J358" s="119" t="s">
        <v>240</v>
      </c>
    </row>
    <row r="359" spans="1:10" x14ac:dyDescent="0.25">
      <c r="A359" s="117">
        <v>356</v>
      </c>
      <c r="B359" s="118" t="s">
        <v>1081</v>
      </c>
      <c r="C359" s="119" t="s">
        <v>1082</v>
      </c>
      <c r="D359" s="119" t="s">
        <v>459</v>
      </c>
      <c r="E359" s="119" t="s">
        <v>1083</v>
      </c>
      <c r="F359" s="120">
        <v>92.584260493285313</v>
      </c>
      <c r="G359" s="120">
        <v>100.31346049328531</v>
      </c>
      <c r="H359" s="120">
        <v>19.46</v>
      </c>
      <c r="I359" s="117">
        <v>2541</v>
      </c>
      <c r="J359" s="119" t="s">
        <v>271</v>
      </c>
    </row>
    <row r="360" spans="1:10" x14ac:dyDescent="0.25">
      <c r="A360" s="117">
        <v>357</v>
      </c>
      <c r="B360" s="118" t="s">
        <v>1084</v>
      </c>
      <c r="C360" s="119" t="s">
        <v>1085</v>
      </c>
      <c r="D360" s="119" t="s">
        <v>459</v>
      </c>
      <c r="E360" s="119" t="s">
        <v>1083</v>
      </c>
      <c r="F360" s="120">
        <v>92.467181050803973</v>
      </c>
      <c r="G360" s="120">
        <v>97.376881050803973</v>
      </c>
      <c r="H360" s="120">
        <v>19.46</v>
      </c>
      <c r="I360" s="117">
        <v>2599</v>
      </c>
      <c r="J360" s="119" t="s">
        <v>271</v>
      </c>
    </row>
    <row r="361" spans="1:10" x14ac:dyDescent="0.25">
      <c r="A361" s="117">
        <v>358</v>
      </c>
      <c r="B361" s="118" t="s">
        <v>1086</v>
      </c>
      <c r="C361" s="119" t="s">
        <v>1087</v>
      </c>
      <c r="D361" s="119" t="s">
        <v>459</v>
      </c>
      <c r="E361" s="119" t="s">
        <v>1083</v>
      </c>
      <c r="F361" s="120">
        <v>38.876894752805256</v>
      </c>
      <c r="G361" s="120">
        <v>39.843594752805259</v>
      </c>
      <c r="H361" s="120">
        <v>20.25</v>
      </c>
      <c r="I361" s="117">
        <v>2793</v>
      </c>
      <c r="J361" s="119" t="s">
        <v>271</v>
      </c>
    </row>
    <row r="362" spans="1:10" x14ac:dyDescent="0.25">
      <c r="A362" s="117">
        <v>359</v>
      </c>
      <c r="B362" s="118" t="s">
        <v>1088</v>
      </c>
      <c r="C362" s="119" t="s">
        <v>1089</v>
      </c>
      <c r="D362" s="119" t="s">
        <v>459</v>
      </c>
      <c r="E362" s="119" t="s">
        <v>1083</v>
      </c>
      <c r="F362" s="120">
        <v>38.375989623439061</v>
      </c>
      <c r="G362" s="120">
        <v>38.709289623439055</v>
      </c>
      <c r="H362" s="120">
        <v>20.239999999999998</v>
      </c>
      <c r="I362" s="117">
        <v>2850</v>
      </c>
      <c r="J362" s="119" t="s">
        <v>271</v>
      </c>
    </row>
    <row r="363" spans="1:10" x14ac:dyDescent="0.25">
      <c r="A363" s="117">
        <v>360</v>
      </c>
      <c r="B363" s="118" t="s">
        <v>1090</v>
      </c>
      <c r="C363" s="119" t="s">
        <v>1091</v>
      </c>
      <c r="D363" s="119" t="s">
        <v>459</v>
      </c>
      <c r="E363" s="119" t="s">
        <v>1083</v>
      </c>
      <c r="F363" s="120">
        <v>94.551726023945406</v>
      </c>
      <c r="G363" s="120">
        <v>95.199926023945409</v>
      </c>
      <c r="H363" s="120">
        <v>19.53</v>
      </c>
      <c r="I363" s="117">
        <v>2147</v>
      </c>
      <c r="J363" s="119" t="s">
        <v>271</v>
      </c>
    </row>
    <row r="364" spans="1:10" x14ac:dyDescent="0.25">
      <c r="A364" s="117">
        <v>361</v>
      </c>
      <c r="B364" s="118" t="s">
        <v>1092</v>
      </c>
      <c r="C364" s="119" t="s">
        <v>1093</v>
      </c>
      <c r="D364" s="119" t="s">
        <v>459</v>
      </c>
      <c r="E364" s="119" t="s">
        <v>1083</v>
      </c>
      <c r="F364" s="120">
        <v>41.062854379145826</v>
      </c>
      <c r="G364" s="120">
        <v>44.440654379145819</v>
      </c>
      <c r="H364" s="120">
        <v>20.29</v>
      </c>
      <c r="I364" s="117">
        <v>2576</v>
      </c>
      <c r="J364" s="119" t="s">
        <v>271</v>
      </c>
    </row>
    <row r="365" spans="1:10" x14ac:dyDescent="0.25">
      <c r="A365" s="117">
        <v>362</v>
      </c>
      <c r="B365" s="118" t="s">
        <v>1094</v>
      </c>
      <c r="C365" s="119" t="s">
        <v>1095</v>
      </c>
      <c r="D365" s="119" t="s">
        <v>459</v>
      </c>
      <c r="E365" s="119" t="s">
        <v>1083</v>
      </c>
      <c r="F365" s="120">
        <v>92.049003531621665</v>
      </c>
      <c r="G365" s="120">
        <v>92.109803531621665</v>
      </c>
      <c r="H365" s="120">
        <v>20.170000000000002</v>
      </c>
      <c r="I365" s="117">
        <v>358</v>
      </c>
      <c r="J365" s="119" t="s">
        <v>271</v>
      </c>
    </row>
    <row r="366" spans="1:10" x14ac:dyDescent="0.25">
      <c r="A366" s="117">
        <v>363</v>
      </c>
      <c r="B366" s="118" t="s">
        <v>1096</v>
      </c>
      <c r="C366" s="119" t="s">
        <v>1097</v>
      </c>
      <c r="D366" s="119" t="s">
        <v>459</v>
      </c>
      <c r="E366" s="119" t="s">
        <v>1083</v>
      </c>
      <c r="F366" s="120">
        <v>72.266689652514259</v>
      </c>
      <c r="G366" s="120">
        <v>75.431289652514266</v>
      </c>
      <c r="H366" s="120">
        <v>19.559999999999999</v>
      </c>
      <c r="I366" s="117">
        <v>1875</v>
      </c>
      <c r="J366" s="119" t="s">
        <v>271</v>
      </c>
    </row>
    <row r="367" spans="1:10" x14ac:dyDescent="0.25">
      <c r="A367" s="117">
        <v>364</v>
      </c>
      <c r="B367" s="118" t="s">
        <v>1098</v>
      </c>
      <c r="C367" s="119" t="s">
        <v>1099</v>
      </c>
      <c r="D367" s="119" t="s">
        <v>449</v>
      </c>
      <c r="E367" s="119" t="s">
        <v>1083</v>
      </c>
      <c r="F367" s="120">
        <v>10000</v>
      </c>
      <c r="G367" s="120">
        <v>10000</v>
      </c>
      <c r="H367" s="120">
        <v>0</v>
      </c>
      <c r="I367" s="117">
        <v>0</v>
      </c>
      <c r="J367" s="119" t="s">
        <v>240</v>
      </c>
    </row>
    <row r="368" spans="1:10" x14ac:dyDescent="0.25">
      <c r="A368" s="117">
        <v>365</v>
      </c>
      <c r="B368" s="118" t="s">
        <v>1100</v>
      </c>
      <c r="C368" s="119" t="s">
        <v>1101</v>
      </c>
      <c r="D368" s="119" t="s">
        <v>449</v>
      </c>
      <c r="E368" s="119" t="s">
        <v>1102</v>
      </c>
      <c r="F368" s="120">
        <v>17928.6335</v>
      </c>
      <c r="G368" s="120">
        <v>17928.6335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69</v>
      </c>
      <c r="C369" s="119" t="s">
        <v>70</v>
      </c>
      <c r="D369" s="119" t="s">
        <v>459</v>
      </c>
      <c r="E369" s="119" t="s">
        <v>71</v>
      </c>
      <c r="F369" s="120">
        <v>96.5</v>
      </c>
      <c r="G369" s="120">
        <v>101.9757</v>
      </c>
      <c r="H369" s="120">
        <v>24.04</v>
      </c>
      <c r="I369" s="117">
        <v>445</v>
      </c>
      <c r="J369" s="119" t="s">
        <v>271</v>
      </c>
    </row>
    <row r="370" spans="1:10" x14ac:dyDescent="0.25">
      <c r="A370" s="117">
        <v>367</v>
      </c>
      <c r="B370" s="118" t="s">
        <v>1103</v>
      </c>
      <c r="C370" s="119" t="s">
        <v>1104</v>
      </c>
      <c r="D370" s="119" t="s">
        <v>449</v>
      </c>
      <c r="E370" s="119" t="s">
        <v>1105</v>
      </c>
      <c r="F370" s="120">
        <v>96114.834600000002</v>
      </c>
      <c r="G370" s="120">
        <v>96114.834600000002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1106</v>
      </c>
      <c r="C371" s="119" t="s">
        <v>1107</v>
      </c>
      <c r="D371" s="119" t="s">
        <v>449</v>
      </c>
      <c r="E371" s="119" t="s">
        <v>1108</v>
      </c>
      <c r="F371" s="120">
        <v>170769.55600000001</v>
      </c>
      <c r="G371" s="120">
        <v>170769.55600000001</v>
      </c>
      <c r="H371" s="120">
        <v>0</v>
      </c>
      <c r="I371" s="117">
        <v>0</v>
      </c>
      <c r="J371" s="119" t="s">
        <v>240</v>
      </c>
    </row>
    <row r="372" spans="1:10" x14ac:dyDescent="0.25">
      <c r="A372" s="117">
        <v>369</v>
      </c>
      <c r="B372" s="118" t="s">
        <v>1109</v>
      </c>
      <c r="C372" s="119" t="s">
        <v>1110</v>
      </c>
      <c r="D372" s="119" t="s">
        <v>449</v>
      </c>
      <c r="E372" s="119" t="s">
        <v>1111</v>
      </c>
      <c r="F372" s="120">
        <v>0.01</v>
      </c>
      <c r="G372" s="120">
        <v>0.01</v>
      </c>
      <c r="H372" s="120">
        <v>0</v>
      </c>
      <c r="I372" s="117">
        <v>0</v>
      </c>
      <c r="J372" s="119" t="s">
        <v>240</v>
      </c>
    </row>
    <row r="373" spans="1:10" x14ac:dyDescent="0.25">
      <c r="A373" s="117">
        <v>370</v>
      </c>
      <c r="B373" s="118" t="s">
        <v>1112</v>
      </c>
      <c r="C373" s="119" t="s">
        <v>1113</v>
      </c>
      <c r="D373" s="119" t="s">
        <v>459</v>
      </c>
      <c r="E373" s="119" t="s">
        <v>353</v>
      </c>
      <c r="F373" s="120">
        <v>94.278888600778942</v>
      </c>
      <c r="G373" s="120">
        <v>96.247288600778944</v>
      </c>
      <c r="H373" s="120">
        <v>18.12</v>
      </c>
      <c r="I373" s="117">
        <v>291</v>
      </c>
      <c r="J373" s="119" t="s">
        <v>271</v>
      </c>
    </row>
    <row r="374" spans="1:10" x14ac:dyDescent="0.25">
      <c r="A374" s="117">
        <v>371</v>
      </c>
      <c r="B374" s="118" t="s">
        <v>351</v>
      </c>
      <c r="C374" s="119" t="s">
        <v>352</v>
      </c>
      <c r="D374" s="119" t="s">
        <v>459</v>
      </c>
      <c r="E374" s="119" t="s">
        <v>353</v>
      </c>
      <c r="F374" s="120">
        <v>90.300095260011531</v>
      </c>
      <c r="G374" s="120">
        <v>92.754295260011531</v>
      </c>
      <c r="H374" s="120">
        <v>17.829999999999998</v>
      </c>
      <c r="I374" s="117">
        <v>1378</v>
      </c>
      <c r="J374" s="119" t="s">
        <v>271</v>
      </c>
    </row>
    <row r="375" spans="1:10" x14ac:dyDescent="0.25">
      <c r="A375" s="117">
        <v>372</v>
      </c>
      <c r="B375" s="118" t="s">
        <v>354</v>
      </c>
      <c r="C375" s="119" t="s">
        <v>355</v>
      </c>
      <c r="D375" s="119" t="s">
        <v>459</v>
      </c>
      <c r="E375" s="119" t="s">
        <v>353</v>
      </c>
      <c r="F375" s="120">
        <v>90.300095260011531</v>
      </c>
      <c r="G375" s="120">
        <v>92.754295260011531</v>
      </c>
      <c r="H375" s="120">
        <v>17.829999999999998</v>
      </c>
      <c r="I375" s="117">
        <v>1378</v>
      </c>
      <c r="J375" s="119" t="s">
        <v>271</v>
      </c>
    </row>
    <row r="376" spans="1:10" x14ac:dyDescent="0.25">
      <c r="A376" s="117">
        <v>373</v>
      </c>
      <c r="B376" s="118" t="s">
        <v>1966</v>
      </c>
      <c r="C376" s="119" t="s">
        <v>1967</v>
      </c>
      <c r="D376" s="119" t="s">
        <v>459</v>
      </c>
      <c r="E376" s="119" t="s">
        <v>353</v>
      </c>
      <c r="F376" s="120">
        <v>92.624968585233006</v>
      </c>
      <c r="G376" s="120">
        <v>96.988168585233012</v>
      </c>
      <c r="H376" s="120">
        <v>17.78</v>
      </c>
      <c r="I376" s="117">
        <v>1517</v>
      </c>
      <c r="J376" s="119" t="s">
        <v>271</v>
      </c>
    </row>
    <row r="377" spans="1:10" x14ac:dyDescent="0.25">
      <c r="A377" s="117">
        <v>374</v>
      </c>
      <c r="B377" s="118" t="s">
        <v>2177</v>
      </c>
      <c r="C377" s="119" t="s">
        <v>2178</v>
      </c>
      <c r="D377" s="119" t="s">
        <v>459</v>
      </c>
      <c r="E377" s="119" t="s">
        <v>353</v>
      </c>
      <c r="F377" s="120">
        <v>96.198596891786693</v>
      </c>
      <c r="G377" s="120">
        <v>103.16529689178668</v>
      </c>
      <c r="H377" s="120">
        <v>17.73</v>
      </c>
      <c r="I377" s="117">
        <v>1648</v>
      </c>
      <c r="J377" s="119" t="s">
        <v>271</v>
      </c>
    </row>
    <row r="378" spans="1:10" x14ac:dyDescent="0.25">
      <c r="A378" s="117">
        <v>375</v>
      </c>
      <c r="B378" s="118" t="s">
        <v>2249</v>
      </c>
      <c r="C378" s="119" t="s">
        <v>2250</v>
      </c>
      <c r="D378" s="119" t="s">
        <v>459</v>
      </c>
      <c r="E378" s="119" t="s">
        <v>353</v>
      </c>
      <c r="F378" s="120">
        <v>96.162525730867856</v>
      </c>
      <c r="G378" s="120">
        <v>101.93752573086786</v>
      </c>
      <c r="H378" s="120">
        <v>17.72</v>
      </c>
      <c r="I378" s="117">
        <v>1674</v>
      </c>
      <c r="J378" s="119" t="s">
        <v>271</v>
      </c>
    </row>
    <row r="379" spans="1:10" x14ac:dyDescent="0.25">
      <c r="A379" s="117">
        <v>376</v>
      </c>
      <c r="B379" s="118" t="s">
        <v>2471</v>
      </c>
      <c r="C379" s="119" t="s">
        <v>2472</v>
      </c>
      <c r="D379" s="119" t="s">
        <v>459</v>
      </c>
      <c r="E379" s="119" t="s">
        <v>353</v>
      </c>
      <c r="F379" s="120">
        <v>100.83864764797832</v>
      </c>
      <c r="G379" s="120">
        <v>102.98864764797831</v>
      </c>
      <c r="H379" s="120">
        <v>17.71</v>
      </c>
      <c r="I379" s="117">
        <v>1757</v>
      </c>
      <c r="J379" s="119" t="s">
        <v>271</v>
      </c>
    </row>
    <row r="380" spans="1:10" x14ac:dyDescent="0.25">
      <c r="A380" s="117">
        <v>377</v>
      </c>
      <c r="B380" s="118" t="s">
        <v>2473</v>
      </c>
      <c r="C380" s="119" t="s">
        <v>2474</v>
      </c>
      <c r="D380" s="119" t="s">
        <v>459</v>
      </c>
      <c r="E380" s="119" t="s">
        <v>353</v>
      </c>
      <c r="F380" s="120">
        <v>100.83864764797832</v>
      </c>
      <c r="G380" s="120">
        <v>102.98864764797831</v>
      </c>
      <c r="H380" s="120">
        <v>17.71</v>
      </c>
      <c r="I380" s="117">
        <v>1757</v>
      </c>
      <c r="J380" s="119" t="s">
        <v>271</v>
      </c>
    </row>
    <row r="381" spans="1:10" x14ac:dyDescent="0.25">
      <c r="A381" s="117">
        <v>378</v>
      </c>
      <c r="B381" s="118" t="s">
        <v>1114</v>
      </c>
      <c r="C381" s="119" t="s">
        <v>1115</v>
      </c>
      <c r="D381" s="119" t="s">
        <v>459</v>
      </c>
      <c r="E381" s="119" t="s">
        <v>1116</v>
      </c>
      <c r="F381" s="120">
        <v>100</v>
      </c>
      <c r="G381" s="120">
        <v>100.16330000000001</v>
      </c>
      <c r="H381" s="120">
        <v>0.35</v>
      </c>
      <c r="I381" s="117">
        <v>312</v>
      </c>
      <c r="J381" s="119" t="s">
        <v>271</v>
      </c>
    </row>
    <row r="382" spans="1:10" x14ac:dyDescent="0.25">
      <c r="A382" s="117">
        <v>379</v>
      </c>
      <c r="B382" s="118" t="s">
        <v>1117</v>
      </c>
      <c r="C382" s="119" t="s">
        <v>1118</v>
      </c>
      <c r="D382" s="119" t="s">
        <v>459</v>
      </c>
      <c r="E382" s="119" t="s">
        <v>1116</v>
      </c>
      <c r="F382" s="120">
        <v>100</v>
      </c>
      <c r="G382" s="120">
        <v>101.9597</v>
      </c>
      <c r="H382" s="120">
        <v>4.24</v>
      </c>
      <c r="I382" s="117">
        <v>314</v>
      </c>
      <c r="J382" s="119" t="s">
        <v>271</v>
      </c>
    </row>
    <row r="383" spans="1:10" x14ac:dyDescent="0.25">
      <c r="A383" s="117">
        <v>380</v>
      </c>
      <c r="B383" s="118" t="s">
        <v>1119</v>
      </c>
      <c r="C383" s="119" t="s">
        <v>1120</v>
      </c>
      <c r="D383" s="119" t="s">
        <v>459</v>
      </c>
      <c r="E383" s="119" t="s">
        <v>1116</v>
      </c>
      <c r="F383" s="120">
        <v>100</v>
      </c>
      <c r="G383" s="120">
        <v>100.14490000000001</v>
      </c>
      <c r="H383" s="120">
        <v>0.35</v>
      </c>
      <c r="I383" s="117">
        <v>31</v>
      </c>
      <c r="J383" s="119" t="s">
        <v>271</v>
      </c>
    </row>
    <row r="384" spans="1:10" x14ac:dyDescent="0.25">
      <c r="A384" s="117">
        <v>381</v>
      </c>
      <c r="B384" s="118" t="s">
        <v>2264</v>
      </c>
      <c r="C384" s="119" t="s">
        <v>2265</v>
      </c>
      <c r="D384" s="119" t="s">
        <v>459</v>
      </c>
      <c r="E384" s="119" t="s">
        <v>1116</v>
      </c>
      <c r="F384" s="120">
        <v>100</v>
      </c>
      <c r="G384" s="120">
        <v>100.0836</v>
      </c>
      <c r="H384" s="120">
        <v>0.35</v>
      </c>
      <c r="I384" s="117">
        <v>634</v>
      </c>
      <c r="J384" s="119" t="s">
        <v>271</v>
      </c>
    </row>
    <row r="385" spans="1:10" x14ac:dyDescent="0.25">
      <c r="A385" s="117">
        <v>382</v>
      </c>
      <c r="B385" s="118" t="s">
        <v>1121</v>
      </c>
      <c r="C385" s="119" t="s">
        <v>1122</v>
      </c>
      <c r="D385" s="119" t="s">
        <v>459</v>
      </c>
      <c r="E385" s="119" t="s">
        <v>1116</v>
      </c>
      <c r="F385" s="120">
        <v>100</v>
      </c>
      <c r="G385" s="120">
        <v>100.0039</v>
      </c>
      <c r="H385" s="120">
        <v>0.02</v>
      </c>
      <c r="I385" s="117">
        <v>3064</v>
      </c>
      <c r="J385" s="119" t="s">
        <v>271</v>
      </c>
    </row>
    <row r="386" spans="1:10" x14ac:dyDescent="0.25">
      <c r="A386" s="117">
        <v>383</v>
      </c>
      <c r="B386" s="118" t="s">
        <v>2361</v>
      </c>
      <c r="C386" s="119" t="s">
        <v>2362</v>
      </c>
      <c r="D386" s="119" t="s">
        <v>459</v>
      </c>
      <c r="E386" s="119" t="s">
        <v>1116</v>
      </c>
      <c r="F386" s="120">
        <v>90.801101472639161</v>
      </c>
      <c r="G386" s="120">
        <v>93.632201472639167</v>
      </c>
      <c r="H386" s="120">
        <v>20.38</v>
      </c>
      <c r="I386" s="117">
        <v>3544</v>
      </c>
      <c r="J386" s="119" t="s">
        <v>271</v>
      </c>
    </row>
    <row r="387" spans="1:10" x14ac:dyDescent="0.25">
      <c r="A387" s="117">
        <v>384</v>
      </c>
      <c r="B387" s="118" t="s">
        <v>2299</v>
      </c>
      <c r="C387" s="119" t="s">
        <v>2300</v>
      </c>
      <c r="D387" s="119" t="s">
        <v>459</v>
      </c>
      <c r="E387" s="119" t="s">
        <v>1116</v>
      </c>
      <c r="F387" s="120">
        <v>90.811325946194501</v>
      </c>
      <c r="G387" s="120">
        <v>94.249125946194511</v>
      </c>
      <c r="H387" s="120">
        <v>20.37</v>
      </c>
      <c r="I387" s="117">
        <v>3532</v>
      </c>
      <c r="J387" s="119" t="s">
        <v>271</v>
      </c>
    </row>
    <row r="388" spans="1:10" x14ac:dyDescent="0.25">
      <c r="A388" s="117">
        <v>385</v>
      </c>
      <c r="B388" s="118" t="s">
        <v>1123</v>
      </c>
      <c r="C388" s="119" t="s">
        <v>1124</v>
      </c>
      <c r="D388" s="119" t="s">
        <v>459</v>
      </c>
      <c r="E388" s="119" t="s">
        <v>1125</v>
      </c>
      <c r="F388" s="120">
        <v>100</v>
      </c>
      <c r="G388" s="120">
        <v>106.48860000000001</v>
      </c>
      <c r="H388" s="120">
        <v>7.1</v>
      </c>
      <c r="I388" s="117">
        <v>2191</v>
      </c>
      <c r="J388" s="119" t="s">
        <v>271</v>
      </c>
    </row>
    <row r="389" spans="1:10" x14ac:dyDescent="0.25">
      <c r="A389" s="117">
        <v>386</v>
      </c>
      <c r="B389" s="118" t="s">
        <v>73</v>
      </c>
      <c r="C389" s="119" t="s">
        <v>74</v>
      </c>
      <c r="D389" s="119" t="s">
        <v>459</v>
      </c>
      <c r="E389" s="119" t="s">
        <v>72</v>
      </c>
      <c r="F389" s="120">
        <v>88.796059693473126</v>
      </c>
      <c r="G389" s="120">
        <v>89.986059693473123</v>
      </c>
      <c r="H389" s="120">
        <v>16.93</v>
      </c>
      <c r="I389" s="117">
        <v>1044</v>
      </c>
      <c r="J389" s="119" t="s">
        <v>271</v>
      </c>
    </row>
    <row r="390" spans="1:10" x14ac:dyDescent="0.25">
      <c r="A390" s="117">
        <v>387</v>
      </c>
      <c r="B390" s="118" t="s">
        <v>75</v>
      </c>
      <c r="C390" s="119" t="s">
        <v>76</v>
      </c>
      <c r="D390" s="119" t="s">
        <v>459</v>
      </c>
      <c r="E390" s="119" t="s">
        <v>72</v>
      </c>
      <c r="F390" s="120">
        <v>109.51062138843999</v>
      </c>
      <c r="G390" s="120">
        <v>112.22532138843998</v>
      </c>
      <c r="H390" s="120">
        <v>13.57</v>
      </c>
      <c r="I390" s="117">
        <v>1382</v>
      </c>
      <c r="J390" s="119" t="s">
        <v>271</v>
      </c>
    </row>
    <row r="391" spans="1:10" x14ac:dyDescent="0.25">
      <c r="A391" s="117">
        <v>388</v>
      </c>
      <c r="B391" s="118" t="s">
        <v>77</v>
      </c>
      <c r="C391" s="119" t="s">
        <v>78</v>
      </c>
      <c r="D391" s="119" t="s">
        <v>459</v>
      </c>
      <c r="E391" s="119" t="s">
        <v>72</v>
      </c>
      <c r="F391" s="120">
        <v>112.06190672138727</v>
      </c>
      <c r="G391" s="120">
        <v>116.01880672138726</v>
      </c>
      <c r="H391" s="120">
        <v>15.56</v>
      </c>
      <c r="I391" s="117">
        <v>1726</v>
      </c>
      <c r="J391" s="119" t="s">
        <v>271</v>
      </c>
    </row>
    <row r="392" spans="1:10" x14ac:dyDescent="0.25">
      <c r="A392" s="117">
        <v>389</v>
      </c>
      <c r="B392" s="118" t="s">
        <v>2217</v>
      </c>
      <c r="C392" s="119" t="s">
        <v>2218</v>
      </c>
      <c r="D392" s="119" t="s">
        <v>459</v>
      </c>
      <c r="E392" s="119" t="s">
        <v>2219</v>
      </c>
      <c r="F392" s="120">
        <v>100.07827451976938</v>
      </c>
      <c r="G392" s="120">
        <v>102.17267451976937</v>
      </c>
      <c r="H392" s="120">
        <v>6.46</v>
      </c>
      <c r="I392" s="117">
        <v>964</v>
      </c>
      <c r="J392" s="119" t="s">
        <v>271</v>
      </c>
    </row>
    <row r="393" spans="1:10" x14ac:dyDescent="0.25">
      <c r="A393" s="117">
        <v>390</v>
      </c>
      <c r="B393" s="118" t="s">
        <v>1126</v>
      </c>
      <c r="C393" s="119" t="s">
        <v>1127</v>
      </c>
      <c r="D393" s="119" t="s">
        <v>449</v>
      </c>
      <c r="E393" s="119" t="s">
        <v>1128</v>
      </c>
      <c r="F393" s="120">
        <v>67249.5</v>
      </c>
      <c r="G393" s="120">
        <v>67249.5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1129</v>
      </c>
      <c r="C394" s="119" t="s">
        <v>1130</v>
      </c>
      <c r="D394" s="119" t="s">
        <v>449</v>
      </c>
      <c r="E394" s="119" t="s">
        <v>1131</v>
      </c>
      <c r="F394" s="120">
        <v>0.01</v>
      </c>
      <c r="G394" s="120">
        <v>0.01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1132</v>
      </c>
      <c r="C395" s="119" t="s">
        <v>1133</v>
      </c>
      <c r="D395" s="119" t="s">
        <v>449</v>
      </c>
      <c r="E395" s="119" t="s">
        <v>1131</v>
      </c>
      <c r="F395" s="120">
        <v>0.01</v>
      </c>
      <c r="G395" s="120">
        <v>0.01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79</v>
      </c>
      <c r="C396" s="119" t="s">
        <v>80</v>
      </c>
      <c r="D396" s="119" t="s">
        <v>449</v>
      </c>
      <c r="E396" s="119" t="s">
        <v>81</v>
      </c>
      <c r="F396" s="120">
        <v>3262.9493144458465</v>
      </c>
      <c r="G396" s="120">
        <v>3262.9493144458465</v>
      </c>
      <c r="H396" s="120">
        <v>0</v>
      </c>
      <c r="I396" s="117">
        <v>0</v>
      </c>
      <c r="J396" s="119" t="s">
        <v>240</v>
      </c>
    </row>
    <row r="397" spans="1:10" x14ac:dyDescent="0.25">
      <c r="A397" s="117">
        <v>394</v>
      </c>
      <c r="B397" s="118" t="s">
        <v>82</v>
      </c>
      <c r="C397" s="119" t="s">
        <v>83</v>
      </c>
      <c r="D397" s="119" t="s">
        <v>449</v>
      </c>
      <c r="E397" s="119" t="s">
        <v>84</v>
      </c>
      <c r="F397" s="120">
        <v>1463.6479640020873</v>
      </c>
      <c r="G397" s="120">
        <v>1463.6479640020873</v>
      </c>
      <c r="H397" s="120">
        <v>0</v>
      </c>
      <c r="I397" s="117">
        <v>0</v>
      </c>
      <c r="J397" s="119" t="s">
        <v>240</v>
      </c>
    </row>
    <row r="398" spans="1:10" x14ac:dyDescent="0.25">
      <c r="A398" s="117">
        <v>395</v>
      </c>
      <c r="B398" s="118" t="s">
        <v>1134</v>
      </c>
      <c r="C398" s="119" t="s">
        <v>1135</v>
      </c>
      <c r="D398" s="119" t="s">
        <v>459</v>
      </c>
      <c r="E398" s="119" t="s">
        <v>84</v>
      </c>
      <c r="F398" s="120">
        <v>83.618888712185907</v>
      </c>
      <c r="G398" s="120">
        <v>87.918888712185918</v>
      </c>
      <c r="H398" s="120">
        <v>17.63</v>
      </c>
      <c r="I398" s="117">
        <v>2040</v>
      </c>
      <c r="J398" s="119" t="s">
        <v>271</v>
      </c>
    </row>
    <row r="399" spans="1:10" x14ac:dyDescent="0.25">
      <c r="A399" s="117">
        <v>396</v>
      </c>
      <c r="B399" s="118" t="s">
        <v>1136</v>
      </c>
      <c r="C399" s="119" t="s">
        <v>1137</v>
      </c>
      <c r="D399" s="119" t="s">
        <v>459</v>
      </c>
      <c r="E399" s="119" t="s">
        <v>84</v>
      </c>
      <c r="F399" s="120">
        <v>76.730289125956844</v>
      </c>
      <c r="G399" s="120">
        <v>77.592789125956841</v>
      </c>
      <c r="H399" s="120">
        <v>17.55</v>
      </c>
      <c r="I399" s="117">
        <v>2493</v>
      </c>
      <c r="J399" s="119" t="s">
        <v>271</v>
      </c>
    </row>
    <row r="400" spans="1:10" x14ac:dyDescent="0.25">
      <c r="A400" s="117">
        <v>397</v>
      </c>
      <c r="B400" s="118" t="s">
        <v>1138</v>
      </c>
      <c r="C400" s="119" t="s">
        <v>1139</v>
      </c>
      <c r="D400" s="119" t="s">
        <v>459</v>
      </c>
      <c r="E400" s="119" t="s">
        <v>84</v>
      </c>
      <c r="F400" s="120">
        <v>72.947120590221047</v>
      </c>
      <c r="G400" s="120">
        <v>76.552720590221057</v>
      </c>
      <c r="H400" s="120">
        <v>16.73</v>
      </c>
      <c r="I400" s="117">
        <v>3482</v>
      </c>
      <c r="J400" s="119" t="s">
        <v>271</v>
      </c>
    </row>
    <row r="401" spans="1:10" x14ac:dyDescent="0.25">
      <c r="A401" s="117">
        <v>398</v>
      </c>
      <c r="B401" s="118" t="s">
        <v>1140</v>
      </c>
      <c r="C401" s="119" t="s">
        <v>1141</v>
      </c>
      <c r="D401" s="119" t="s">
        <v>459</v>
      </c>
      <c r="E401" s="119" t="s">
        <v>84</v>
      </c>
      <c r="F401" s="120">
        <v>100</v>
      </c>
      <c r="G401" s="120">
        <v>105.02330000000001</v>
      </c>
      <c r="H401" s="120">
        <v>18.88</v>
      </c>
      <c r="I401" s="117">
        <v>4469</v>
      </c>
      <c r="J401" s="119" t="s">
        <v>271</v>
      </c>
    </row>
    <row r="402" spans="1:10" x14ac:dyDescent="0.25">
      <c r="A402" s="117">
        <v>399</v>
      </c>
      <c r="B402" s="118" t="s">
        <v>1142</v>
      </c>
      <c r="C402" s="119" t="s">
        <v>1143</v>
      </c>
      <c r="D402" s="119" t="s">
        <v>459</v>
      </c>
      <c r="E402" s="119" t="s">
        <v>25</v>
      </c>
      <c r="F402" s="120">
        <v>80.0943284508094</v>
      </c>
      <c r="G402" s="120">
        <v>91.261028450809405</v>
      </c>
      <c r="H402" s="120">
        <v>17.04</v>
      </c>
      <c r="I402" s="117">
        <v>2545</v>
      </c>
      <c r="J402" s="119" t="s">
        <v>271</v>
      </c>
    </row>
    <row r="403" spans="1:10" x14ac:dyDescent="0.25">
      <c r="A403" s="117">
        <v>400</v>
      </c>
      <c r="B403" s="118" t="s">
        <v>409</v>
      </c>
      <c r="C403" s="119" t="s">
        <v>410</v>
      </c>
      <c r="D403" s="119" t="s">
        <v>459</v>
      </c>
      <c r="E403" s="119" t="s">
        <v>25</v>
      </c>
      <c r="F403" s="120">
        <v>89.346094211763244</v>
      </c>
      <c r="G403" s="120">
        <v>95.257194211763235</v>
      </c>
      <c r="H403" s="120">
        <v>15.07</v>
      </c>
      <c r="I403" s="117">
        <v>856</v>
      </c>
      <c r="J403" s="119" t="s">
        <v>271</v>
      </c>
    </row>
    <row r="404" spans="1:10" x14ac:dyDescent="0.25">
      <c r="A404" s="117">
        <v>401</v>
      </c>
      <c r="B404" s="118" t="s">
        <v>420</v>
      </c>
      <c r="C404" s="119" t="s">
        <v>421</v>
      </c>
      <c r="D404" s="119" t="s">
        <v>459</v>
      </c>
      <c r="E404" s="119" t="s">
        <v>25</v>
      </c>
      <c r="F404" s="120">
        <v>74.295243795101683</v>
      </c>
      <c r="G404" s="120">
        <v>79.599443795101692</v>
      </c>
      <c r="H404" s="120">
        <v>17.059999999999999</v>
      </c>
      <c r="I404" s="117">
        <v>1959</v>
      </c>
      <c r="J404" s="119" t="s">
        <v>271</v>
      </c>
    </row>
    <row r="405" spans="1:10" x14ac:dyDescent="0.25">
      <c r="A405" s="117">
        <v>402</v>
      </c>
      <c r="B405" s="118" t="s">
        <v>2611</v>
      </c>
      <c r="C405" s="119" t="s">
        <v>2612</v>
      </c>
      <c r="D405" s="119" t="s">
        <v>459</v>
      </c>
      <c r="E405" s="119" t="s">
        <v>25</v>
      </c>
      <c r="F405" s="120">
        <v>89.680393107263527</v>
      </c>
      <c r="G405" s="120">
        <v>89.958193107263526</v>
      </c>
      <c r="H405" s="120">
        <v>19.239999999999998</v>
      </c>
      <c r="I405" s="117">
        <v>712</v>
      </c>
      <c r="J405" s="119" t="s">
        <v>271</v>
      </c>
    </row>
    <row r="406" spans="1:10" x14ac:dyDescent="0.25">
      <c r="A406" s="117">
        <v>403</v>
      </c>
      <c r="B406" s="118" t="s">
        <v>272</v>
      </c>
      <c r="C406" s="119" t="s">
        <v>273</v>
      </c>
      <c r="D406" s="119" t="s">
        <v>459</v>
      </c>
      <c r="E406" s="119" t="s">
        <v>25</v>
      </c>
      <c r="F406" s="120">
        <v>100</v>
      </c>
      <c r="G406" s="120">
        <v>105.8064</v>
      </c>
      <c r="H406" s="120">
        <v>17.739999999999998</v>
      </c>
      <c r="I406" s="117">
        <v>67</v>
      </c>
      <c r="J406" s="119" t="s">
        <v>271</v>
      </c>
    </row>
    <row r="407" spans="1:10" x14ac:dyDescent="0.25">
      <c r="A407" s="117">
        <v>404</v>
      </c>
      <c r="B407" s="118" t="s">
        <v>274</v>
      </c>
      <c r="C407" s="119" t="s">
        <v>275</v>
      </c>
      <c r="D407" s="119" t="s">
        <v>459</v>
      </c>
      <c r="E407" s="119" t="s">
        <v>25</v>
      </c>
      <c r="F407" s="120">
        <v>100</v>
      </c>
      <c r="G407" s="120">
        <v>108.70780000000001</v>
      </c>
      <c r="H407" s="120">
        <v>16.82</v>
      </c>
      <c r="I407" s="117">
        <v>3</v>
      </c>
      <c r="J407" s="119" t="s">
        <v>271</v>
      </c>
    </row>
    <row r="408" spans="1:10" x14ac:dyDescent="0.25">
      <c r="A408" s="117">
        <v>405</v>
      </c>
      <c r="B408" s="118" t="s">
        <v>276</v>
      </c>
      <c r="C408" s="119" t="s">
        <v>277</v>
      </c>
      <c r="D408" s="119" t="s">
        <v>459</v>
      </c>
      <c r="E408" s="119" t="s">
        <v>25</v>
      </c>
      <c r="F408" s="120">
        <v>100</v>
      </c>
      <c r="G408" s="120">
        <v>106.2578</v>
      </c>
      <c r="H408" s="120">
        <v>18.37</v>
      </c>
      <c r="I408" s="117">
        <v>790</v>
      </c>
      <c r="J408" s="119" t="s">
        <v>271</v>
      </c>
    </row>
    <row r="409" spans="1:10" x14ac:dyDescent="0.25">
      <c r="A409" s="117">
        <v>406</v>
      </c>
      <c r="B409" s="118" t="s">
        <v>278</v>
      </c>
      <c r="C409" s="119" t="s">
        <v>279</v>
      </c>
      <c r="D409" s="119" t="s">
        <v>459</v>
      </c>
      <c r="E409" s="119" t="s">
        <v>25</v>
      </c>
      <c r="F409" s="120">
        <v>100</v>
      </c>
      <c r="G409" s="120">
        <v>103.4354</v>
      </c>
      <c r="H409" s="120">
        <v>18.39</v>
      </c>
      <c r="I409" s="117">
        <v>846</v>
      </c>
      <c r="J409" s="119" t="s">
        <v>271</v>
      </c>
    </row>
    <row r="410" spans="1:10" x14ac:dyDescent="0.25">
      <c r="A410" s="117">
        <v>407</v>
      </c>
      <c r="B410" s="118" t="s">
        <v>280</v>
      </c>
      <c r="C410" s="119" t="s">
        <v>269</v>
      </c>
      <c r="D410" s="119" t="s">
        <v>459</v>
      </c>
      <c r="E410" s="119" t="s">
        <v>25</v>
      </c>
      <c r="F410" s="120">
        <v>100</v>
      </c>
      <c r="G410" s="120">
        <v>103.4727</v>
      </c>
      <c r="H410" s="120">
        <v>18.61</v>
      </c>
      <c r="I410" s="117">
        <v>1577</v>
      </c>
      <c r="J410" s="119" t="s">
        <v>271</v>
      </c>
    </row>
    <row r="411" spans="1:10" x14ac:dyDescent="0.25">
      <c r="A411" s="117">
        <v>408</v>
      </c>
      <c r="B411" s="118" t="s">
        <v>281</v>
      </c>
      <c r="C411" s="119" t="s">
        <v>282</v>
      </c>
      <c r="D411" s="119" t="s">
        <v>459</v>
      </c>
      <c r="E411" s="119" t="s">
        <v>25</v>
      </c>
      <c r="F411" s="120">
        <v>100</v>
      </c>
      <c r="G411" s="120">
        <v>106.29170000000001</v>
      </c>
      <c r="H411" s="120">
        <v>18.489999999999998</v>
      </c>
      <c r="I411" s="117">
        <v>1521</v>
      </c>
      <c r="J411" s="119" t="s">
        <v>271</v>
      </c>
    </row>
    <row r="412" spans="1:10" x14ac:dyDescent="0.25">
      <c r="A412" s="117">
        <v>409</v>
      </c>
      <c r="B412" s="118" t="s">
        <v>405</v>
      </c>
      <c r="C412" s="119" t="s">
        <v>404</v>
      </c>
      <c r="D412" s="119" t="s">
        <v>459</v>
      </c>
      <c r="E412" s="119" t="s">
        <v>25</v>
      </c>
      <c r="F412" s="120">
        <v>98.33713156825452</v>
      </c>
      <c r="G412" s="120">
        <v>105.85793156825453</v>
      </c>
      <c r="H412" s="120">
        <v>17.63</v>
      </c>
      <c r="I412" s="117">
        <v>75</v>
      </c>
      <c r="J412" s="119" t="s">
        <v>271</v>
      </c>
    </row>
    <row r="413" spans="1:10" x14ac:dyDescent="0.25">
      <c r="A413" s="117">
        <v>410</v>
      </c>
      <c r="B413" s="118" t="s">
        <v>1144</v>
      </c>
      <c r="C413" s="119" t="s">
        <v>1145</v>
      </c>
      <c r="D413" s="119" t="s">
        <v>459</v>
      </c>
      <c r="E413" s="119" t="s">
        <v>25</v>
      </c>
      <c r="F413" s="120">
        <v>99.937991652572279</v>
      </c>
      <c r="G413" s="120">
        <v>112.33379165257229</v>
      </c>
      <c r="H413" s="120">
        <v>19.41</v>
      </c>
      <c r="I413" s="117">
        <v>3</v>
      </c>
      <c r="J413" s="119" t="s">
        <v>271</v>
      </c>
    </row>
    <row r="414" spans="1:10" x14ac:dyDescent="0.25">
      <c r="A414" s="117">
        <v>411</v>
      </c>
      <c r="B414" s="118" t="s">
        <v>283</v>
      </c>
      <c r="C414" s="119" t="s">
        <v>284</v>
      </c>
      <c r="D414" s="119" t="s">
        <v>459</v>
      </c>
      <c r="E414" s="119" t="s">
        <v>25</v>
      </c>
      <c r="F414" s="120">
        <v>100</v>
      </c>
      <c r="G414" s="120">
        <v>108.95489999999999</v>
      </c>
      <c r="H414" s="120">
        <v>18.239999999999998</v>
      </c>
      <c r="I414" s="117">
        <v>186</v>
      </c>
      <c r="J414" s="119" t="s">
        <v>271</v>
      </c>
    </row>
    <row r="415" spans="1:10" x14ac:dyDescent="0.25">
      <c r="A415" s="117">
        <v>412</v>
      </c>
      <c r="B415" s="118" t="s">
        <v>1146</v>
      </c>
      <c r="C415" s="119" t="s">
        <v>1147</v>
      </c>
      <c r="D415" s="119" t="s">
        <v>459</v>
      </c>
      <c r="E415" s="119" t="s">
        <v>25</v>
      </c>
      <c r="F415" s="120">
        <v>100</v>
      </c>
      <c r="G415" s="120">
        <v>103.44450000000001</v>
      </c>
      <c r="H415" s="120">
        <v>16.87</v>
      </c>
      <c r="I415" s="117">
        <v>291</v>
      </c>
      <c r="J415" s="119" t="s">
        <v>271</v>
      </c>
    </row>
    <row r="416" spans="1:10" x14ac:dyDescent="0.25">
      <c r="A416" s="117">
        <v>413</v>
      </c>
      <c r="B416" s="118" t="s">
        <v>395</v>
      </c>
      <c r="C416" s="119" t="s">
        <v>396</v>
      </c>
      <c r="D416" s="119" t="s">
        <v>459</v>
      </c>
      <c r="E416" s="119" t="s">
        <v>25</v>
      </c>
      <c r="F416" s="120">
        <v>83.605787534084314</v>
      </c>
      <c r="G416" s="120">
        <v>91.047487534084311</v>
      </c>
      <c r="H416" s="120">
        <v>19.170000000000002</v>
      </c>
      <c r="I416" s="117">
        <v>798</v>
      </c>
      <c r="J416" s="119" t="s">
        <v>271</v>
      </c>
    </row>
    <row r="417" spans="1:10" x14ac:dyDescent="0.25">
      <c r="A417" s="117">
        <v>414</v>
      </c>
      <c r="B417" s="118" t="s">
        <v>1148</v>
      </c>
      <c r="C417" s="119" t="s">
        <v>1149</v>
      </c>
      <c r="D417" s="119" t="s">
        <v>459</v>
      </c>
      <c r="E417" s="119" t="s">
        <v>25</v>
      </c>
      <c r="F417" s="120">
        <v>97.64827802901911</v>
      </c>
      <c r="G417" s="120">
        <v>105.53017802901911</v>
      </c>
      <c r="H417" s="120">
        <v>18.899999999999999</v>
      </c>
      <c r="I417" s="117">
        <v>133</v>
      </c>
      <c r="J417" s="119" t="s">
        <v>271</v>
      </c>
    </row>
    <row r="418" spans="1:10" x14ac:dyDescent="0.25">
      <c r="A418" s="117">
        <v>415</v>
      </c>
      <c r="B418" s="118" t="s">
        <v>422</v>
      </c>
      <c r="C418" s="119" t="s">
        <v>423</v>
      </c>
      <c r="D418" s="119" t="s">
        <v>459</v>
      </c>
      <c r="E418" s="119" t="s">
        <v>25</v>
      </c>
      <c r="F418" s="120">
        <v>75.333639402558106</v>
      </c>
      <c r="G418" s="120">
        <v>83.408639402558109</v>
      </c>
      <c r="H418" s="120">
        <v>17.04</v>
      </c>
      <c r="I418" s="117">
        <v>1854</v>
      </c>
      <c r="J418" s="119" t="s">
        <v>271</v>
      </c>
    </row>
    <row r="419" spans="1:10" x14ac:dyDescent="0.25">
      <c r="A419" s="117">
        <v>416</v>
      </c>
      <c r="B419" s="118" t="s">
        <v>1150</v>
      </c>
      <c r="C419" s="119" t="s">
        <v>1151</v>
      </c>
      <c r="D419" s="119" t="s">
        <v>459</v>
      </c>
      <c r="E419" s="119" t="s">
        <v>25</v>
      </c>
      <c r="F419" s="120">
        <v>94.470020133606766</v>
      </c>
      <c r="G419" s="120">
        <v>94.95612013360676</v>
      </c>
      <c r="H419" s="120">
        <v>19.29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1152</v>
      </c>
      <c r="C420" s="119" t="s">
        <v>1153</v>
      </c>
      <c r="D420" s="119" t="s">
        <v>459</v>
      </c>
      <c r="E420" s="119" t="s">
        <v>25</v>
      </c>
      <c r="F420" s="120">
        <v>106.76556621196308</v>
      </c>
      <c r="G420" s="120">
        <v>106.76556621196308</v>
      </c>
      <c r="H420" s="120">
        <v>5.37</v>
      </c>
      <c r="I420" s="117">
        <v>360</v>
      </c>
      <c r="J420" s="119" t="s">
        <v>271</v>
      </c>
    </row>
    <row r="421" spans="1:10" x14ac:dyDescent="0.25">
      <c r="A421" s="117">
        <v>418</v>
      </c>
      <c r="B421" s="118" t="s">
        <v>2385</v>
      </c>
      <c r="C421" s="119" t="s">
        <v>2386</v>
      </c>
      <c r="D421" s="119" t="s">
        <v>459</v>
      </c>
      <c r="E421" s="119" t="s">
        <v>25</v>
      </c>
      <c r="F421" s="120">
        <v>94.950626315773391</v>
      </c>
      <c r="G421" s="120">
        <v>96.652026315773384</v>
      </c>
      <c r="H421" s="120">
        <v>19.22</v>
      </c>
      <c r="I421" s="117">
        <v>311</v>
      </c>
      <c r="J421" s="119" t="s">
        <v>271</v>
      </c>
    </row>
    <row r="422" spans="1:10" x14ac:dyDescent="0.25">
      <c r="A422" s="117">
        <v>419</v>
      </c>
      <c r="B422" s="118" t="s">
        <v>2478</v>
      </c>
      <c r="C422" s="119" t="s">
        <v>2479</v>
      </c>
      <c r="D422" s="119" t="s">
        <v>459</v>
      </c>
      <c r="E422" s="119" t="s">
        <v>25</v>
      </c>
      <c r="F422" s="120">
        <v>94.554066423872911</v>
      </c>
      <c r="G422" s="120">
        <v>95.283266423872902</v>
      </c>
      <c r="H422" s="120">
        <v>19.29</v>
      </c>
      <c r="I422" s="117">
        <v>339</v>
      </c>
      <c r="J422" s="119" t="s">
        <v>271</v>
      </c>
    </row>
    <row r="423" spans="1:10" x14ac:dyDescent="0.25">
      <c r="A423" s="117">
        <v>420</v>
      </c>
      <c r="B423" s="118" t="s">
        <v>2122</v>
      </c>
      <c r="C423" s="119" t="s">
        <v>2123</v>
      </c>
      <c r="D423" s="119" t="s">
        <v>459</v>
      </c>
      <c r="E423" s="119" t="s">
        <v>25</v>
      </c>
      <c r="F423" s="120">
        <v>96.829475867263312</v>
      </c>
      <c r="G423" s="120">
        <v>102.83637586726331</v>
      </c>
      <c r="H423" s="120">
        <v>18.88</v>
      </c>
      <c r="I423" s="117">
        <v>187</v>
      </c>
      <c r="J423" s="119" t="s">
        <v>271</v>
      </c>
    </row>
    <row r="424" spans="1:10" x14ac:dyDescent="0.25">
      <c r="A424" s="117">
        <v>421</v>
      </c>
      <c r="B424" s="118" t="s">
        <v>2148</v>
      </c>
      <c r="C424" s="119" t="s">
        <v>2149</v>
      </c>
      <c r="D424" s="119" t="s">
        <v>459</v>
      </c>
      <c r="E424" s="119" t="s">
        <v>25</v>
      </c>
      <c r="F424" s="120">
        <v>96.38206957243537</v>
      </c>
      <c r="G424" s="120">
        <v>101.38206957243537</v>
      </c>
      <c r="H424" s="120">
        <v>18.940000000000001</v>
      </c>
      <c r="I424" s="117">
        <v>216</v>
      </c>
      <c r="J424" s="119" t="s">
        <v>271</v>
      </c>
    </row>
    <row r="425" spans="1:10" x14ac:dyDescent="0.25">
      <c r="A425" s="117">
        <v>422</v>
      </c>
      <c r="B425" s="118" t="s">
        <v>1154</v>
      </c>
      <c r="C425" s="119" t="s">
        <v>1155</v>
      </c>
      <c r="D425" s="119" t="s">
        <v>459</v>
      </c>
      <c r="E425" s="119" t="s">
        <v>25</v>
      </c>
      <c r="F425" s="120">
        <v>99.875515108256621</v>
      </c>
      <c r="G425" s="120">
        <v>112.13241510825662</v>
      </c>
      <c r="H425" s="120">
        <v>18.329999999999998</v>
      </c>
      <c r="I425" s="117">
        <v>7</v>
      </c>
      <c r="J425" s="119" t="s">
        <v>271</v>
      </c>
    </row>
    <row r="426" spans="1:10" x14ac:dyDescent="0.25">
      <c r="A426" s="117">
        <v>423</v>
      </c>
      <c r="B426" s="118" t="s">
        <v>2020</v>
      </c>
      <c r="C426" s="119" t="s">
        <v>2021</v>
      </c>
      <c r="D426" s="119" t="s">
        <v>459</v>
      </c>
      <c r="E426" s="119" t="s">
        <v>25</v>
      </c>
      <c r="F426" s="120">
        <v>97.697649521002745</v>
      </c>
      <c r="G426" s="120">
        <v>105.68374952100275</v>
      </c>
      <c r="H426" s="120">
        <v>18.899999999999999</v>
      </c>
      <c r="I426" s="117">
        <v>130</v>
      </c>
      <c r="J426" s="119" t="s">
        <v>271</v>
      </c>
    </row>
    <row r="427" spans="1:10" x14ac:dyDescent="0.25">
      <c r="A427" s="117">
        <v>424</v>
      </c>
      <c r="B427" s="118" t="s">
        <v>2247</v>
      </c>
      <c r="C427" s="119" t="s">
        <v>2248</v>
      </c>
      <c r="D427" s="119" t="s">
        <v>459</v>
      </c>
      <c r="E427" s="119" t="s">
        <v>25</v>
      </c>
      <c r="F427" s="120">
        <v>95.744572978345573</v>
      </c>
      <c r="G427" s="120">
        <v>99.355672978345567</v>
      </c>
      <c r="H427" s="120">
        <v>19.09</v>
      </c>
      <c r="I427" s="117">
        <v>256</v>
      </c>
      <c r="J427" s="119" t="s">
        <v>271</v>
      </c>
    </row>
    <row r="428" spans="1:10" x14ac:dyDescent="0.25">
      <c r="A428" s="117">
        <v>425</v>
      </c>
      <c r="B428" s="118" t="s">
        <v>2237</v>
      </c>
      <c r="C428" s="119" t="s">
        <v>2238</v>
      </c>
      <c r="D428" s="119" t="s">
        <v>459</v>
      </c>
      <c r="E428" s="119" t="s">
        <v>25</v>
      </c>
      <c r="F428" s="120">
        <v>95.844818505609595</v>
      </c>
      <c r="G428" s="120">
        <v>99.699018505609601</v>
      </c>
      <c r="H428" s="120">
        <v>19.079999999999998</v>
      </c>
      <c r="I428" s="117">
        <v>249</v>
      </c>
      <c r="J428" s="119" t="s">
        <v>271</v>
      </c>
    </row>
    <row r="429" spans="1:10" x14ac:dyDescent="0.25">
      <c r="A429" s="117">
        <v>426</v>
      </c>
      <c r="B429" s="118" t="s">
        <v>2280</v>
      </c>
      <c r="C429" s="119" t="s">
        <v>2281</v>
      </c>
      <c r="D429" s="119" t="s">
        <v>459</v>
      </c>
      <c r="E429" s="119" t="s">
        <v>25</v>
      </c>
      <c r="F429" s="120">
        <v>95.450797572632766</v>
      </c>
      <c r="G429" s="120">
        <v>98.332697572632767</v>
      </c>
      <c r="H429" s="120">
        <v>19.12</v>
      </c>
      <c r="I429" s="117">
        <v>277</v>
      </c>
      <c r="J429" s="119" t="s">
        <v>271</v>
      </c>
    </row>
    <row r="430" spans="1:10" x14ac:dyDescent="0.25">
      <c r="A430" s="117">
        <v>427</v>
      </c>
      <c r="B430" s="118" t="s">
        <v>407</v>
      </c>
      <c r="C430" s="119" t="s">
        <v>408</v>
      </c>
      <c r="D430" s="119" t="s">
        <v>459</v>
      </c>
      <c r="E430" s="119" t="s">
        <v>25</v>
      </c>
      <c r="F430" s="120">
        <v>97.539973437305861</v>
      </c>
      <c r="G430" s="120">
        <v>103.97887343730585</v>
      </c>
      <c r="H430" s="120">
        <v>17.420000000000002</v>
      </c>
      <c r="I430" s="117">
        <v>116</v>
      </c>
      <c r="J430" s="119" t="s">
        <v>271</v>
      </c>
    </row>
    <row r="431" spans="1:10" x14ac:dyDescent="0.25">
      <c r="A431" s="117">
        <v>428</v>
      </c>
      <c r="B431" s="118" t="s">
        <v>2063</v>
      </c>
      <c r="C431" s="119" t="s">
        <v>2064</v>
      </c>
      <c r="D431" s="119" t="s">
        <v>459</v>
      </c>
      <c r="E431" s="119" t="s">
        <v>25</v>
      </c>
      <c r="F431" s="120">
        <v>92.047387183844066</v>
      </c>
      <c r="G431" s="120">
        <v>99.790487183844078</v>
      </c>
      <c r="H431" s="120">
        <v>19.37</v>
      </c>
      <c r="I431" s="117">
        <v>497</v>
      </c>
      <c r="J431" s="119" t="s">
        <v>271</v>
      </c>
    </row>
    <row r="432" spans="1:10" x14ac:dyDescent="0.25">
      <c r="A432" s="117">
        <v>429</v>
      </c>
      <c r="B432" s="118" t="s">
        <v>2079</v>
      </c>
      <c r="C432" s="119" t="s">
        <v>2080</v>
      </c>
      <c r="D432" s="119" t="s">
        <v>459</v>
      </c>
      <c r="E432" s="119" t="s">
        <v>25</v>
      </c>
      <c r="F432" s="120">
        <v>91.661247155309752</v>
      </c>
      <c r="G432" s="120">
        <v>98.119547155309746</v>
      </c>
      <c r="H432" s="120">
        <v>19.25</v>
      </c>
      <c r="I432" s="117">
        <v>534</v>
      </c>
      <c r="J432" s="119" t="s">
        <v>271</v>
      </c>
    </row>
    <row r="433" spans="1:10" x14ac:dyDescent="0.25">
      <c r="A433" s="117">
        <v>430</v>
      </c>
      <c r="B433" s="118" t="s">
        <v>2150</v>
      </c>
      <c r="C433" s="119" t="s">
        <v>2151</v>
      </c>
      <c r="D433" s="119" t="s">
        <v>459</v>
      </c>
      <c r="E433" s="119" t="s">
        <v>25</v>
      </c>
      <c r="F433" s="120">
        <v>91.112341820089426</v>
      </c>
      <c r="G433" s="120">
        <v>96.112341820089426</v>
      </c>
      <c r="H433" s="120">
        <v>19.260000000000002</v>
      </c>
      <c r="I433" s="117">
        <v>576</v>
      </c>
      <c r="J433" s="119" t="s">
        <v>271</v>
      </c>
    </row>
    <row r="434" spans="1:10" x14ac:dyDescent="0.25">
      <c r="A434" s="117">
        <v>431</v>
      </c>
      <c r="B434" s="118" t="s">
        <v>1157</v>
      </c>
      <c r="C434" s="119" t="s">
        <v>1158</v>
      </c>
      <c r="D434" s="119" t="s">
        <v>459</v>
      </c>
      <c r="E434" s="119" t="s">
        <v>1156</v>
      </c>
      <c r="F434" s="120">
        <v>100</v>
      </c>
      <c r="G434" s="120">
        <v>100.0651</v>
      </c>
      <c r="H434" s="120">
        <v>0.35</v>
      </c>
      <c r="I434" s="117">
        <v>293</v>
      </c>
      <c r="J434" s="119" t="s">
        <v>271</v>
      </c>
    </row>
    <row r="435" spans="1:10" x14ac:dyDescent="0.25">
      <c r="A435" s="117">
        <v>432</v>
      </c>
      <c r="B435" s="118" t="s">
        <v>2396</v>
      </c>
      <c r="C435" s="119" t="s">
        <v>2397</v>
      </c>
      <c r="D435" s="119" t="s">
        <v>459</v>
      </c>
      <c r="E435" s="119" t="s">
        <v>1156</v>
      </c>
      <c r="F435" s="120">
        <v>100</v>
      </c>
      <c r="G435" s="120">
        <v>100.035</v>
      </c>
      <c r="H435" s="120">
        <v>0.35</v>
      </c>
      <c r="I435" s="117">
        <v>684</v>
      </c>
      <c r="J435" s="119" t="s">
        <v>271</v>
      </c>
    </row>
    <row r="436" spans="1:10" x14ac:dyDescent="0.25">
      <c r="A436" s="117">
        <v>433</v>
      </c>
      <c r="B436" s="118" t="s">
        <v>1159</v>
      </c>
      <c r="C436" s="119" t="s">
        <v>1160</v>
      </c>
      <c r="D436" s="119" t="s">
        <v>459</v>
      </c>
      <c r="E436" s="119" t="s">
        <v>1156</v>
      </c>
      <c r="F436" s="120">
        <v>100</v>
      </c>
      <c r="G436" s="120">
        <v>100.0039</v>
      </c>
      <c r="H436" s="120">
        <v>0.02</v>
      </c>
      <c r="I436" s="117">
        <v>3064</v>
      </c>
      <c r="J436" s="119" t="s">
        <v>271</v>
      </c>
    </row>
    <row r="437" spans="1:10" x14ac:dyDescent="0.25">
      <c r="A437" s="117">
        <v>434</v>
      </c>
      <c r="B437" s="118" t="s">
        <v>1161</v>
      </c>
      <c r="C437" s="119" t="s">
        <v>1162</v>
      </c>
      <c r="D437" s="119" t="s">
        <v>459</v>
      </c>
      <c r="E437" s="119" t="s">
        <v>1156</v>
      </c>
      <c r="F437" s="120">
        <v>100</v>
      </c>
      <c r="G437" s="120">
        <v>105.3644</v>
      </c>
      <c r="H437" s="120">
        <v>7.05</v>
      </c>
      <c r="I437" s="117">
        <v>2161</v>
      </c>
      <c r="J437" s="119" t="s">
        <v>271</v>
      </c>
    </row>
    <row r="438" spans="1:10" x14ac:dyDescent="0.25">
      <c r="A438" s="117">
        <v>435</v>
      </c>
      <c r="B438" s="118" t="s">
        <v>1163</v>
      </c>
      <c r="C438" s="119" t="s">
        <v>1164</v>
      </c>
      <c r="D438" s="119" t="s">
        <v>459</v>
      </c>
      <c r="E438" s="119" t="s">
        <v>1156</v>
      </c>
      <c r="F438" s="120">
        <v>100</v>
      </c>
      <c r="G438" s="120">
        <v>101.5419</v>
      </c>
      <c r="H438" s="120">
        <v>6.08</v>
      </c>
      <c r="I438" s="117">
        <v>1679</v>
      </c>
      <c r="J438" s="119" t="s">
        <v>271</v>
      </c>
    </row>
    <row r="439" spans="1:10" x14ac:dyDescent="0.25">
      <c r="A439" s="117">
        <v>436</v>
      </c>
      <c r="B439" s="118" t="s">
        <v>1165</v>
      </c>
      <c r="C439" s="119" t="s">
        <v>1166</v>
      </c>
      <c r="D439" s="119" t="s">
        <v>459</v>
      </c>
      <c r="E439" s="119" t="s">
        <v>1156</v>
      </c>
      <c r="F439" s="120">
        <v>100</v>
      </c>
      <c r="G439" s="120">
        <v>106.48860000000001</v>
      </c>
      <c r="H439" s="120">
        <v>7.08</v>
      </c>
      <c r="I439" s="117">
        <v>2161</v>
      </c>
      <c r="J439" s="119" t="s">
        <v>271</v>
      </c>
    </row>
    <row r="440" spans="1:10" x14ac:dyDescent="0.25">
      <c r="A440" s="117">
        <v>437</v>
      </c>
      <c r="B440" s="118" t="s">
        <v>2438</v>
      </c>
      <c r="C440" s="119" t="s">
        <v>2439</v>
      </c>
      <c r="D440" s="119" t="s">
        <v>459</v>
      </c>
      <c r="E440" s="119" t="s">
        <v>1156</v>
      </c>
      <c r="F440" s="120">
        <v>93.745219602214263</v>
      </c>
      <c r="G440" s="120">
        <v>95.005219602214268</v>
      </c>
      <c r="H440" s="120">
        <v>20.39</v>
      </c>
      <c r="I440" s="117">
        <v>3576</v>
      </c>
      <c r="J440" s="119" t="s">
        <v>271</v>
      </c>
    </row>
    <row r="441" spans="1:10" x14ac:dyDescent="0.25">
      <c r="A441" s="117">
        <v>438</v>
      </c>
      <c r="B441" s="118" t="s">
        <v>2418</v>
      </c>
      <c r="C441" s="119" t="s">
        <v>2419</v>
      </c>
      <c r="D441" s="119" t="s">
        <v>459</v>
      </c>
      <c r="E441" s="119" t="s">
        <v>1156</v>
      </c>
      <c r="F441" s="120">
        <v>93.779675840159854</v>
      </c>
      <c r="G441" s="120">
        <v>95.197175840159844</v>
      </c>
      <c r="H441" s="120">
        <v>20.38</v>
      </c>
      <c r="I441" s="117">
        <v>3573</v>
      </c>
      <c r="J441" s="119" t="s">
        <v>271</v>
      </c>
    </row>
    <row r="442" spans="1:10" x14ac:dyDescent="0.25">
      <c r="A442" s="117">
        <v>439</v>
      </c>
      <c r="B442" s="118" t="s">
        <v>2440</v>
      </c>
      <c r="C442" s="119" t="s">
        <v>2441</v>
      </c>
      <c r="D442" s="119" t="s">
        <v>459</v>
      </c>
      <c r="E442" s="119" t="s">
        <v>1156</v>
      </c>
      <c r="F442" s="120">
        <v>93.745219602214263</v>
      </c>
      <c r="G442" s="120">
        <v>95.005219602214268</v>
      </c>
      <c r="H442" s="120">
        <v>20.39</v>
      </c>
      <c r="I442" s="117">
        <v>3576</v>
      </c>
      <c r="J442" s="119" t="s">
        <v>271</v>
      </c>
    </row>
    <row r="443" spans="1:10" x14ac:dyDescent="0.25">
      <c r="A443" s="117">
        <v>440</v>
      </c>
      <c r="B443" s="118" t="s">
        <v>1167</v>
      </c>
      <c r="C443" s="119" t="s">
        <v>1168</v>
      </c>
      <c r="D443" s="119" t="s">
        <v>459</v>
      </c>
      <c r="E443" s="119" t="s">
        <v>1156</v>
      </c>
      <c r="F443" s="120">
        <v>100</v>
      </c>
      <c r="G443" s="120">
        <v>100.71169999999999</v>
      </c>
      <c r="H443" s="120">
        <v>6.09</v>
      </c>
      <c r="I443" s="117">
        <v>2088</v>
      </c>
      <c r="J443" s="119" t="s">
        <v>271</v>
      </c>
    </row>
    <row r="444" spans="1:10" x14ac:dyDescent="0.25">
      <c r="A444" s="117">
        <v>441</v>
      </c>
      <c r="B444" s="118" t="s">
        <v>1169</v>
      </c>
      <c r="C444" s="119" t="s">
        <v>1170</v>
      </c>
      <c r="D444" s="119" t="s">
        <v>459</v>
      </c>
      <c r="E444" s="119" t="s">
        <v>1156</v>
      </c>
      <c r="F444" s="120">
        <v>100</v>
      </c>
      <c r="G444" s="120">
        <v>105.65940000000001</v>
      </c>
      <c r="H444" s="120">
        <v>6.09</v>
      </c>
      <c r="I444" s="117">
        <v>2516</v>
      </c>
      <c r="J444" s="119" t="s">
        <v>271</v>
      </c>
    </row>
    <row r="445" spans="1:10" x14ac:dyDescent="0.25">
      <c r="A445" s="117">
        <v>442</v>
      </c>
      <c r="B445" s="118" t="s">
        <v>1171</v>
      </c>
      <c r="C445" s="119" t="s">
        <v>1172</v>
      </c>
      <c r="D445" s="119" t="s">
        <v>459</v>
      </c>
      <c r="E445" s="119" t="s">
        <v>1156</v>
      </c>
      <c r="F445" s="120">
        <v>100</v>
      </c>
      <c r="G445" s="120">
        <v>105.65940000000001</v>
      </c>
      <c r="H445" s="120">
        <v>6.09</v>
      </c>
      <c r="I445" s="117">
        <v>2516</v>
      </c>
      <c r="J445" s="119" t="s">
        <v>271</v>
      </c>
    </row>
    <row r="446" spans="1:10" x14ac:dyDescent="0.25">
      <c r="A446" s="117">
        <v>443</v>
      </c>
      <c r="B446" s="118" t="s">
        <v>1173</v>
      </c>
      <c r="C446" s="119" t="s">
        <v>1174</v>
      </c>
      <c r="D446" s="119" t="s">
        <v>459</v>
      </c>
      <c r="E446" s="119" t="s">
        <v>65</v>
      </c>
      <c r="F446" s="120">
        <v>99.377977667274337</v>
      </c>
      <c r="G446" s="120">
        <v>108.21827766727434</v>
      </c>
      <c r="H446" s="120">
        <v>18.48</v>
      </c>
      <c r="I446" s="117">
        <v>25</v>
      </c>
      <c r="J446" s="119" t="s">
        <v>271</v>
      </c>
    </row>
    <row r="447" spans="1:10" x14ac:dyDescent="0.25">
      <c r="A447" s="117">
        <v>444</v>
      </c>
      <c r="B447" s="118" t="s">
        <v>1175</v>
      </c>
      <c r="C447" s="119" t="s">
        <v>1176</v>
      </c>
      <c r="D447" s="119" t="s">
        <v>449</v>
      </c>
      <c r="E447" s="119" t="s">
        <v>1177</v>
      </c>
      <c r="F447" s="120">
        <v>0.01</v>
      </c>
      <c r="G447" s="120">
        <v>0.01</v>
      </c>
      <c r="H447" s="120">
        <v>0</v>
      </c>
      <c r="I447" s="117">
        <v>0</v>
      </c>
      <c r="J447" s="119" t="s">
        <v>240</v>
      </c>
    </row>
    <row r="448" spans="1:10" x14ac:dyDescent="0.25">
      <c r="A448" s="117">
        <v>445</v>
      </c>
      <c r="B448" s="118" t="s">
        <v>1178</v>
      </c>
      <c r="C448" s="119" t="s">
        <v>1179</v>
      </c>
      <c r="D448" s="119" t="s">
        <v>449</v>
      </c>
      <c r="E448" s="119" t="s">
        <v>1180</v>
      </c>
      <c r="F448" s="120">
        <v>71</v>
      </c>
      <c r="G448" s="120">
        <v>71</v>
      </c>
      <c r="H448" s="120">
        <v>0</v>
      </c>
      <c r="I448" s="117">
        <v>0</v>
      </c>
      <c r="J448" s="119" t="s">
        <v>240</v>
      </c>
    </row>
    <row r="449" spans="1:10" x14ac:dyDescent="0.25">
      <c r="A449" s="117">
        <v>446</v>
      </c>
      <c r="B449" s="118" t="s">
        <v>85</v>
      </c>
      <c r="C449" s="119" t="s">
        <v>86</v>
      </c>
      <c r="D449" s="119" t="s">
        <v>449</v>
      </c>
      <c r="E449" s="119" t="s">
        <v>87</v>
      </c>
      <c r="F449" s="120">
        <v>21611.879596609313</v>
      </c>
      <c r="G449" s="120">
        <v>21611.879596609313</v>
      </c>
      <c r="H449" s="120">
        <v>0</v>
      </c>
      <c r="I449" s="117">
        <v>0</v>
      </c>
      <c r="J449" s="119" t="s">
        <v>240</v>
      </c>
    </row>
    <row r="450" spans="1:10" x14ac:dyDescent="0.25">
      <c r="A450" s="117">
        <v>447</v>
      </c>
      <c r="B450" s="118" t="s">
        <v>1181</v>
      </c>
      <c r="C450" s="119" t="s">
        <v>1182</v>
      </c>
      <c r="D450" s="119" t="s">
        <v>459</v>
      </c>
      <c r="E450" s="119" t="s">
        <v>87</v>
      </c>
      <c r="F450" s="120">
        <v>100.58499999999999</v>
      </c>
      <c r="G450" s="120">
        <v>102.65649999999999</v>
      </c>
      <c r="H450" s="120">
        <v>4.3600000000000003</v>
      </c>
      <c r="I450" s="117">
        <v>563</v>
      </c>
      <c r="J450" s="119" t="s">
        <v>271</v>
      </c>
    </row>
    <row r="451" spans="1:10" x14ac:dyDescent="0.25">
      <c r="A451" s="117">
        <v>448</v>
      </c>
      <c r="B451" s="118" t="s">
        <v>88</v>
      </c>
      <c r="C451" s="119" t="s">
        <v>89</v>
      </c>
      <c r="D451" s="119" t="s">
        <v>459</v>
      </c>
      <c r="E451" s="119" t="s">
        <v>87</v>
      </c>
      <c r="F451" s="120">
        <v>93.462000000000003</v>
      </c>
      <c r="G451" s="120">
        <v>95.9696</v>
      </c>
      <c r="H451" s="120">
        <v>6.31</v>
      </c>
      <c r="I451" s="117">
        <v>7763</v>
      </c>
      <c r="J451" s="119" t="s">
        <v>271</v>
      </c>
    </row>
    <row r="452" spans="1:10" x14ac:dyDescent="0.25">
      <c r="A452" s="117">
        <v>449</v>
      </c>
      <c r="B452" s="118" t="s">
        <v>90</v>
      </c>
      <c r="C452" s="119" t="s">
        <v>91</v>
      </c>
      <c r="D452" s="119" t="s">
        <v>459</v>
      </c>
      <c r="E452" s="119" t="s">
        <v>87</v>
      </c>
      <c r="F452" s="120">
        <v>102.90600000000001</v>
      </c>
      <c r="G452" s="120">
        <v>105.1754</v>
      </c>
      <c r="H452" s="120">
        <v>4.66</v>
      </c>
      <c r="I452" s="117">
        <v>1648</v>
      </c>
      <c r="J452" s="119" t="s">
        <v>271</v>
      </c>
    </row>
    <row r="453" spans="1:10" x14ac:dyDescent="0.25">
      <c r="A453" s="117">
        <v>450</v>
      </c>
      <c r="B453" s="118" t="s">
        <v>92</v>
      </c>
      <c r="C453" s="119" t="s">
        <v>93</v>
      </c>
      <c r="D453" s="119" t="s">
        <v>459</v>
      </c>
      <c r="E453" s="119" t="s">
        <v>87</v>
      </c>
      <c r="F453" s="120">
        <v>99.444000000000003</v>
      </c>
      <c r="G453" s="120">
        <v>102.1357</v>
      </c>
      <c r="H453" s="120">
        <v>6.42</v>
      </c>
      <c r="I453" s="117">
        <v>8308</v>
      </c>
      <c r="J453" s="119" t="s">
        <v>271</v>
      </c>
    </row>
    <row r="454" spans="1:10" x14ac:dyDescent="0.25">
      <c r="A454" s="117">
        <v>451</v>
      </c>
      <c r="B454" s="118" t="s">
        <v>94</v>
      </c>
      <c r="C454" s="119" t="s">
        <v>95</v>
      </c>
      <c r="D454" s="119" t="s">
        <v>459</v>
      </c>
      <c r="E454" s="119" t="s">
        <v>87</v>
      </c>
      <c r="F454" s="120">
        <v>90.293999999999997</v>
      </c>
      <c r="G454" s="120">
        <v>91.869</v>
      </c>
      <c r="H454" s="120">
        <v>5.0599999999999996</v>
      </c>
      <c r="I454" s="117">
        <v>2718</v>
      </c>
      <c r="J454" s="119" t="s">
        <v>271</v>
      </c>
    </row>
    <row r="455" spans="1:10" x14ac:dyDescent="0.25">
      <c r="A455" s="117">
        <v>452</v>
      </c>
      <c r="B455" s="118" t="s">
        <v>1186</v>
      </c>
      <c r="C455" s="119" t="s">
        <v>1187</v>
      </c>
      <c r="D455" s="119" t="s">
        <v>459</v>
      </c>
      <c r="E455" s="119" t="s">
        <v>1188</v>
      </c>
      <c r="F455" s="120">
        <v>100</v>
      </c>
      <c r="G455" s="120">
        <v>100.4958</v>
      </c>
      <c r="H455" s="120">
        <v>4.24</v>
      </c>
      <c r="I455" s="117">
        <v>258</v>
      </c>
      <c r="J455" s="119" t="s">
        <v>271</v>
      </c>
    </row>
    <row r="456" spans="1:10" x14ac:dyDescent="0.25">
      <c r="A456" s="117">
        <v>453</v>
      </c>
      <c r="B456" s="118" t="s">
        <v>1189</v>
      </c>
      <c r="C456" s="119" t="s">
        <v>1190</v>
      </c>
      <c r="D456" s="119" t="s">
        <v>459</v>
      </c>
      <c r="E456" s="119" t="s">
        <v>1188</v>
      </c>
      <c r="F456" s="120">
        <v>100</v>
      </c>
      <c r="G456" s="120">
        <v>100.1138</v>
      </c>
      <c r="H456" s="120">
        <v>0.35</v>
      </c>
      <c r="I456" s="117">
        <v>63</v>
      </c>
      <c r="J456" s="119" t="s">
        <v>271</v>
      </c>
    </row>
    <row r="457" spans="1:10" x14ac:dyDescent="0.25">
      <c r="A457" s="117">
        <v>454</v>
      </c>
      <c r="B457" s="118" t="s">
        <v>1191</v>
      </c>
      <c r="C457" s="119" t="s">
        <v>1192</v>
      </c>
      <c r="D457" s="119" t="s">
        <v>459</v>
      </c>
      <c r="E457" s="119" t="s">
        <v>1188</v>
      </c>
      <c r="F457" s="120">
        <v>100</v>
      </c>
      <c r="G457" s="120">
        <v>100.07389999999999</v>
      </c>
      <c r="H457" s="120">
        <v>0.35</v>
      </c>
      <c r="I457" s="117">
        <v>284</v>
      </c>
      <c r="J457" s="119" t="s">
        <v>271</v>
      </c>
    </row>
    <row r="458" spans="1:10" x14ac:dyDescent="0.25">
      <c r="A458" s="117">
        <v>455</v>
      </c>
      <c r="B458" s="118" t="s">
        <v>2160</v>
      </c>
      <c r="C458" s="119" t="s">
        <v>2161</v>
      </c>
      <c r="D458" s="119" t="s">
        <v>459</v>
      </c>
      <c r="E458" s="119" t="s">
        <v>1188</v>
      </c>
      <c r="F458" s="120">
        <v>100</v>
      </c>
      <c r="G458" s="120">
        <v>100.1283</v>
      </c>
      <c r="H458" s="120">
        <v>0.35</v>
      </c>
      <c r="I458" s="117">
        <v>588</v>
      </c>
      <c r="J458" s="119" t="s">
        <v>271</v>
      </c>
    </row>
    <row r="459" spans="1:10" x14ac:dyDescent="0.25">
      <c r="A459" s="117">
        <v>456</v>
      </c>
      <c r="B459" s="118" t="s">
        <v>1968</v>
      </c>
      <c r="C459" s="119" t="s">
        <v>1969</v>
      </c>
      <c r="D459" s="119" t="s">
        <v>459</v>
      </c>
      <c r="E459" s="119" t="s">
        <v>1188</v>
      </c>
      <c r="F459" s="120">
        <v>100</v>
      </c>
      <c r="G459" s="120">
        <v>100.0155</v>
      </c>
      <c r="H459" s="120">
        <v>0.02</v>
      </c>
      <c r="I459" s="117">
        <v>3064</v>
      </c>
      <c r="J459" s="119" t="s">
        <v>271</v>
      </c>
    </row>
    <row r="460" spans="1:10" x14ac:dyDescent="0.25">
      <c r="A460" s="117">
        <v>457</v>
      </c>
      <c r="B460" s="118" t="s">
        <v>1193</v>
      </c>
      <c r="C460" s="119" t="s">
        <v>1194</v>
      </c>
      <c r="D460" s="119" t="s">
        <v>459</v>
      </c>
      <c r="E460" s="119" t="s">
        <v>1188</v>
      </c>
      <c r="F460" s="120">
        <v>100</v>
      </c>
      <c r="G460" s="120">
        <v>100.00539999999999</v>
      </c>
      <c r="H460" s="120">
        <v>0.02</v>
      </c>
      <c r="I460" s="117">
        <v>3064</v>
      </c>
      <c r="J460" s="119" t="s">
        <v>271</v>
      </c>
    </row>
    <row r="461" spans="1:10" x14ac:dyDescent="0.25">
      <c r="A461" s="117">
        <v>458</v>
      </c>
      <c r="B461" s="118" t="s">
        <v>1195</v>
      </c>
      <c r="C461" s="119" t="s">
        <v>1196</v>
      </c>
      <c r="D461" s="119" t="s">
        <v>459</v>
      </c>
      <c r="E461" s="119" t="s">
        <v>1188</v>
      </c>
      <c r="F461" s="120">
        <v>100</v>
      </c>
      <c r="G461" s="120">
        <v>101.5419</v>
      </c>
      <c r="H461" s="120">
        <v>6.08</v>
      </c>
      <c r="I461" s="117">
        <v>1679</v>
      </c>
      <c r="J461" s="119" t="s">
        <v>271</v>
      </c>
    </row>
    <row r="462" spans="1:10" x14ac:dyDescent="0.25">
      <c r="A462" s="117">
        <v>459</v>
      </c>
      <c r="B462" s="118" t="s">
        <v>2363</v>
      </c>
      <c r="C462" s="119" t="s">
        <v>2364</v>
      </c>
      <c r="D462" s="119" t="s">
        <v>459</v>
      </c>
      <c r="E462" s="119" t="s">
        <v>1188</v>
      </c>
      <c r="F462" s="120">
        <v>90.801101472639161</v>
      </c>
      <c r="G462" s="120">
        <v>93.632201472639167</v>
      </c>
      <c r="H462" s="120">
        <v>20.38</v>
      </c>
      <c r="I462" s="117">
        <v>3544</v>
      </c>
      <c r="J462" s="119" t="s">
        <v>271</v>
      </c>
    </row>
    <row r="463" spans="1:10" x14ac:dyDescent="0.25">
      <c r="A463" s="117">
        <v>460</v>
      </c>
      <c r="B463" s="118" t="s">
        <v>2420</v>
      </c>
      <c r="C463" s="119" t="s">
        <v>2421</v>
      </c>
      <c r="D463" s="119" t="s">
        <v>459</v>
      </c>
      <c r="E463" s="119" t="s">
        <v>1188</v>
      </c>
      <c r="F463" s="120">
        <v>93.779675840159854</v>
      </c>
      <c r="G463" s="120">
        <v>95.197175840159844</v>
      </c>
      <c r="H463" s="120">
        <v>20.38</v>
      </c>
      <c r="I463" s="117">
        <v>3573</v>
      </c>
      <c r="J463" s="119" t="s">
        <v>271</v>
      </c>
    </row>
    <row r="464" spans="1:10" x14ac:dyDescent="0.25">
      <c r="A464" s="117">
        <v>461</v>
      </c>
      <c r="B464" s="118" t="s">
        <v>2422</v>
      </c>
      <c r="C464" s="119" t="s">
        <v>2423</v>
      </c>
      <c r="D464" s="119" t="s">
        <v>459</v>
      </c>
      <c r="E464" s="119" t="s">
        <v>1188</v>
      </c>
      <c r="F464" s="120">
        <v>93.779675840159854</v>
      </c>
      <c r="G464" s="120">
        <v>95.197175840159844</v>
      </c>
      <c r="H464" s="120">
        <v>20.38</v>
      </c>
      <c r="I464" s="117">
        <v>3573</v>
      </c>
      <c r="J464" s="119" t="s">
        <v>271</v>
      </c>
    </row>
    <row r="465" spans="1:10" x14ac:dyDescent="0.25">
      <c r="A465" s="117">
        <v>462</v>
      </c>
      <c r="B465" s="118" t="s">
        <v>1197</v>
      </c>
      <c r="C465" s="119" t="s">
        <v>1198</v>
      </c>
      <c r="D465" s="119" t="s">
        <v>459</v>
      </c>
      <c r="E465" s="119" t="s">
        <v>1188</v>
      </c>
      <c r="F465" s="120">
        <v>100</v>
      </c>
      <c r="G465" s="120">
        <v>100.71169999999999</v>
      </c>
      <c r="H465" s="120">
        <v>6.09</v>
      </c>
      <c r="I465" s="117">
        <v>2088</v>
      </c>
      <c r="J465" s="119" t="s">
        <v>271</v>
      </c>
    </row>
    <row r="466" spans="1:10" x14ac:dyDescent="0.25">
      <c r="A466" s="117">
        <v>463</v>
      </c>
      <c r="B466" s="118" t="s">
        <v>1199</v>
      </c>
      <c r="C466" s="119" t="s">
        <v>1200</v>
      </c>
      <c r="D466" s="119" t="s">
        <v>459</v>
      </c>
      <c r="E466" s="119" t="s">
        <v>1188</v>
      </c>
      <c r="F466" s="120">
        <v>100</v>
      </c>
      <c r="G466" s="120">
        <v>105.65940000000001</v>
      </c>
      <c r="H466" s="120">
        <v>6.09</v>
      </c>
      <c r="I466" s="117">
        <v>2516</v>
      </c>
      <c r="J466" s="119" t="s">
        <v>271</v>
      </c>
    </row>
    <row r="467" spans="1:10" x14ac:dyDescent="0.25">
      <c r="A467" s="117">
        <v>464</v>
      </c>
      <c r="B467" s="118" t="s">
        <v>1201</v>
      </c>
      <c r="C467" s="119" t="s">
        <v>1202</v>
      </c>
      <c r="D467" s="119" t="s">
        <v>459</v>
      </c>
      <c r="E467" s="119" t="s">
        <v>1188</v>
      </c>
      <c r="F467" s="120">
        <v>100</v>
      </c>
      <c r="G467" s="120">
        <v>105.65940000000001</v>
      </c>
      <c r="H467" s="120">
        <v>6.09</v>
      </c>
      <c r="I467" s="117">
        <v>2516</v>
      </c>
      <c r="J467" s="119" t="s">
        <v>271</v>
      </c>
    </row>
    <row r="468" spans="1:10" x14ac:dyDescent="0.25">
      <c r="A468" s="117">
        <v>465</v>
      </c>
      <c r="B468" s="118" t="s">
        <v>1203</v>
      </c>
      <c r="C468" s="119" t="s">
        <v>1204</v>
      </c>
      <c r="D468" s="119" t="s">
        <v>459</v>
      </c>
      <c r="E468" s="119" t="s">
        <v>1188</v>
      </c>
      <c r="F468" s="120">
        <v>100</v>
      </c>
      <c r="G468" s="120">
        <v>104.52419999999999</v>
      </c>
      <c r="H468" s="120">
        <v>6.08</v>
      </c>
      <c r="I468" s="117">
        <v>2583</v>
      </c>
      <c r="J468" s="119" t="s">
        <v>271</v>
      </c>
    </row>
    <row r="469" spans="1:10" x14ac:dyDescent="0.25">
      <c r="A469" s="117">
        <v>466</v>
      </c>
      <c r="B469" s="118" t="s">
        <v>1205</v>
      </c>
      <c r="C469" s="119" t="s">
        <v>1206</v>
      </c>
      <c r="D469" s="119" t="s">
        <v>449</v>
      </c>
      <c r="E469" s="119" t="s">
        <v>1207</v>
      </c>
      <c r="F469" s="120">
        <v>0.01</v>
      </c>
      <c r="G469" s="120">
        <v>0.01</v>
      </c>
      <c r="H469" s="120">
        <v>0</v>
      </c>
      <c r="I469" s="117">
        <v>0</v>
      </c>
      <c r="J469" s="119" t="s">
        <v>240</v>
      </c>
    </row>
    <row r="470" spans="1:10" x14ac:dyDescent="0.25">
      <c r="A470" s="117">
        <v>467</v>
      </c>
      <c r="B470" s="118" t="s">
        <v>1183</v>
      </c>
      <c r="C470" s="119" t="s">
        <v>1184</v>
      </c>
      <c r="D470" s="119" t="s">
        <v>449</v>
      </c>
      <c r="E470" s="119" t="s">
        <v>1185</v>
      </c>
      <c r="F470" s="120">
        <v>35952.199249999998</v>
      </c>
      <c r="G470" s="120">
        <v>35952.199249999998</v>
      </c>
      <c r="H470" s="120">
        <v>0</v>
      </c>
      <c r="I470" s="117">
        <v>0</v>
      </c>
      <c r="J470" s="119" t="s">
        <v>240</v>
      </c>
    </row>
    <row r="471" spans="1:10" x14ac:dyDescent="0.25">
      <c r="A471" s="117">
        <v>468</v>
      </c>
      <c r="B471" s="118" t="s">
        <v>1208</v>
      </c>
      <c r="C471" s="119" t="s">
        <v>1209</v>
      </c>
      <c r="D471" s="119" t="s">
        <v>459</v>
      </c>
      <c r="E471" s="119" t="s">
        <v>1210</v>
      </c>
      <c r="F471" s="120">
        <v>100</v>
      </c>
      <c r="G471" s="120">
        <v>101.5819</v>
      </c>
      <c r="H471" s="120">
        <v>4.24</v>
      </c>
      <c r="I471" s="117">
        <v>346</v>
      </c>
      <c r="J471" s="119" t="s">
        <v>271</v>
      </c>
    </row>
    <row r="472" spans="1:10" x14ac:dyDescent="0.25">
      <c r="A472" s="117">
        <v>469</v>
      </c>
      <c r="B472" s="118" t="s">
        <v>1211</v>
      </c>
      <c r="C472" s="119" t="s">
        <v>1212</v>
      </c>
      <c r="D472" s="119" t="s">
        <v>459</v>
      </c>
      <c r="E472" s="119" t="s">
        <v>1210</v>
      </c>
      <c r="F472" s="120">
        <v>100</v>
      </c>
      <c r="G472" s="120">
        <v>100.1206</v>
      </c>
      <c r="H472" s="120">
        <v>0.35</v>
      </c>
      <c r="I472" s="117">
        <v>56</v>
      </c>
      <c r="J472" s="119" t="s">
        <v>271</v>
      </c>
    </row>
    <row r="473" spans="1:10" x14ac:dyDescent="0.25">
      <c r="A473" s="117">
        <v>470</v>
      </c>
      <c r="B473" s="118" t="s">
        <v>1213</v>
      </c>
      <c r="C473" s="119" t="s">
        <v>1214</v>
      </c>
      <c r="D473" s="119" t="s">
        <v>459</v>
      </c>
      <c r="E473" s="119" t="s">
        <v>1210</v>
      </c>
      <c r="F473" s="120">
        <v>100</v>
      </c>
      <c r="G473" s="120">
        <v>100.0544</v>
      </c>
      <c r="H473" s="120">
        <v>0.35</v>
      </c>
      <c r="I473" s="117">
        <v>304</v>
      </c>
      <c r="J473" s="119" t="s">
        <v>271</v>
      </c>
    </row>
    <row r="474" spans="1:10" x14ac:dyDescent="0.25">
      <c r="A474" s="117">
        <v>471</v>
      </c>
      <c r="B474" s="118" t="s">
        <v>2127</v>
      </c>
      <c r="C474" s="119" t="s">
        <v>2128</v>
      </c>
      <c r="D474" s="119" t="s">
        <v>459</v>
      </c>
      <c r="E474" s="119" t="s">
        <v>1210</v>
      </c>
      <c r="F474" s="120">
        <v>100</v>
      </c>
      <c r="G474" s="120">
        <v>100.1536</v>
      </c>
      <c r="H474" s="120">
        <v>0.35</v>
      </c>
      <c r="I474" s="117">
        <v>562</v>
      </c>
      <c r="J474" s="119" t="s">
        <v>271</v>
      </c>
    </row>
    <row r="475" spans="1:10" x14ac:dyDescent="0.25">
      <c r="A475" s="117">
        <v>472</v>
      </c>
      <c r="B475" s="118" t="s">
        <v>1215</v>
      </c>
      <c r="C475" s="119" t="s">
        <v>1216</v>
      </c>
      <c r="D475" s="119" t="s">
        <v>459</v>
      </c>
      <c r="E475" s="119" t="s">
        <v>1210</v>
      </c>
      <c r="F475" s="120">
        <v>100</v>
      </c>
      <c r="G475" s="120">
        <v>100.00279999999999</v>
      </c>
      <c r="H475" s="120">
        <v>0.02</v>
      </c>
      <c r="I475" s="117">
        <v>3064</v>
      </c>
      <c r="J475" s="119" t="s">
        <v>271</v>
      </c>
    </row>
    <row r="476" spans="1:10" x14ac:dyDescent="0.25">
      <c r="A476" s="117">
        <v>473</v>
      </c>
      <c r="B476" s="118" t="s">
        <v>1217</v>
      </c>
      <c r="C476" s="119" t="s">
        <v>1218</v>
      </c>
      <c r="D476" s="119" t="s">
        <v>459</v>
      </c>
      <c r="E476" s="119" t="s">
        <v>1210</v>
      </c>
      <c r="F476" s="120">
        <v>100</v>
      </c>
      <c r="G476" s="120">
        <v>100.00579999999999</v>
      </c>
      <c r="H476" s="120">
        <v>0.02</v>
      </c>
      <c r="I476" s="117">
        <v>3064</v>
      </c>
      <c r="J476" s="119" t="s">
        <v>271</v>
      </c>
    </row>
    <row r="477" spans="1:10" x14ac:dyDescent="0.25">
      <c r="A477" s="117">
        <v>474</v>
      </c>
      <c r="B477" s="118" t="s">
        <v>1219</v>
      </c>
      <c r="C477" s="119" t="s">
        <v>1220</v>
      </c>
      <c r="D477" s="119" t="s">
        <v>459</v>
      </c>
      <c r="E477" s="119" t="s">
        <v>1210</v>
      </c>
      <c r="F477" s="120">
        <v>100</v>
      </c>
      <c r="G477" s="120">
        <v>101.5419</v>
      </c>
      <c r="H477" s="120">
        <v>6.08</v>
      </c>
      <c r="I477" s="117">
        <v>1679</v>
      </c>
      <c r="J477" s="119" t="s">
        <v>271</v>
      </c>
    </row>
    <row r="478" spans="1:10" x14ac:dyDescent="0.25">
      <c r="A478" s="117">
        <v>475</v>
      </c>
      <c r="B478" s="118" t="s">
        <v>1221</v>
      </c>
      <c r="C478" s="119" t="s">
        <v>1222</v>
      </c>
      <c r="D478" s="119" t="s">
        <v>459</v>
      </c>
      <c r="E478" s="119" t="s">
        <v>1210</v>
      </c>
      <c r="F478" s="120">
        <v>100</v>
      </c>
      <c r="G478" s="120">
        <v>106.48860000000001</v>
      </c>
      <c r="H478" s="120">
        <v>7.08</v>
      </c>
      <c r="I478" s="117">
        <v>2161</v>
      </c>
      <c r="J478" s="119" t="s">
        <v>271</v>
      </c>
    </row>
    <row r="479" spans="1:10" x14ac:dyDescent="0.25">
      <c r="A479" s="117">
        <v>476</v>
      </c>
      <c r="B479" s="118" t="s">
        <v>2301</v>
      </c>
      <c r="C479" s="119" t="s">
        <v>2302</v>
      </c>
      <c r="D479" s="119" t="s">
        <v>459</v>
      </c>
      <c r="E479" s="119" t="s">
        <v>1210</v>
      </c>
      <c r="F479" s="120">
        <v>90.811325946194501</v>
      </c>
      <c r="G479" s="120">
        <v>94.249125946194511</v>
      </c>
      <c r="H479" s="120">
        <v>20.37</v>
      </c>
      <c r="I479" s="117">
        <v>3532</v>
      </c>
      <c r="J479" s="119" t="s">
        <v>271</v>
      </c>
    </row>
    <row r="480" spans="1:10" x14ac:dyDescent="0.25">
      <c r="A480" s="117">
        <v>477</v>
      </c>
      <c r="B480" s="118" t="s">
        <v>2424</v>
      </c>
      <c r="C480" s="119" t="s">
        <v>2425</v>
      </c>
      <c r="D480" s="119" t="s">
        <v>459</v>
      </c>
      <c r="E480" s="119" t="s">
        <v>1210</v>
      </c>
      <c r="F480" s="120">
        <v>93.779675840159854</v>
      </c>
      <c r="G480" s="120">
        <v>95.197175840159844</v>
      </c>
      <c r="H480" s="120">
        <v>20.38</v>
      </c>
      <c r="I480" s="117">
        <v>3573</v>
      </c>
      <c r="J480" s="119" t="s">
        <v>271</v>
      </c>
    </row>
    <row r="481" spans="1:10" x14ac:dyDescent="0.25">
      <c r="A481" s="117">
        <v>478</v>
      </c>
      <c r="B481" s="118" t="s">
        <v>1223</v>
      </c>
      <c r="C481" s="119" t="s">
        <v>1224</v>
      </c>
      <c r="D481" s="119" t="s">
        <v>459</v>
      </c>
      <c r="E481" s="119" t="s">
        <v>1210</v>
      </c>
      <c r="F481" s="120">
        <v>100</v>
      </c>
      <c r="G481" s="120">
        <v>100.71169999999999</v>
      </c>
      <c r="H481" s="120">
        <v>6.09</v>
      </c>
      <c r="I481" s="117">
        <v>2088</v>
      </c>
      <c r="J481" s="119" t="s">
        <v>271</v>
      </c>
    </row>
    <row r="482" spans="1:10" x14ac:dyDescent="0.25">
      <c r="A482" s="117">
        <v>479</v>
      </c>
      <c r="B482" s="118" t="s">
        <v>1225</v>
      </c>
      <c r="C482" s="119" t="s">
        <v>1226</v>
      </c>
      <c r="D482" s="119" t="s">
        <v>459</v>
      </c>
      <c r="E482" s="119" t="s">
        <v>1210</v>
      </c>
      <c r="F482" s="120">
        <v>100</v>
      </c>
      <c r="G482" s="120">
        <v>105.65940000000001</v>
      </c>
      <c r="H482" s="120">
        <v>6.09</v>
      </c>
      <c r="I482" s="117">
        <v>2516</v>
      </c>
      <c r="J482" s="119" t="s">
        <v>271</v>
      </c>
    </row>
    <row r="483" spans="1:10" x14ac:dyDescent="0.25">
      <c r="A483" s="117">
        <v>480</v>
      </c>
      <c r="B483" s="118" t="s">
        <v>1227</v>
      </c>
      <c r="C483" s="119" t="s">
        <v>1228</v>
      </c>
      <c r="D483" s="119" t="s">
        <v>459</v>
      </c>
      <c r="E483" s="119" t="s">
        <v>1210</v>
      </c>
      <c r="F483" s="120">
        <v>100</v>
      </c>
      <c r="G483" s="120">
        <v>105.65940000000001</v>
      </c>
      <c r="H483" s="120">
        <v>6.09</v>
      </c>
      <c r="I483" s="117">
        <v>2516</v>
      </c>
      <c r="J483" s="119" t="s">
        <v>271</v>
      </c>
    </row>
    <row r="484" spans="1:10" x14ac:dyDescent="0.25">
      <c r="A484" s="117">
        <v>481</v>
      </c>
      <c r="B484" s="118" t="s">
        <v>1229</v>
      </c>
      <c r="C484" s="119" t="s">
        <v>1230</v>
      </c>
      <c r="D484" s="119" t="s">
        <v>459</v>
      </c>
      <c r="E484" s="119" t="s">
        <v>1210</v>
      </c>
      <c r="F484" s="120">
        <v>100</v>
      </c>
      <c r="G484" s="120">
        <v>104.52419999999999</v>
      </c>
      <c r="H484" s="120">
        <v>6.08</v>
      </c>
      <c r="I484" s="117">
        <v>2583</v>
      </c>
      <c r="J484" s="119" t="s">
        <v>271</v>
      </c>
    </row>
    <row r="485" spans="1:10" x14ac:dyDescent="0.25">
      <c r="A485" s="117">
        <v>482</v>
      </c>
      <c r="B485" s="118" t="s">
        <v>1231</v>
      </c>
      <c r="C485" s="119" t="s">
        <v>1232</v>
      </c>
      <c r="D485" s="119" t="s">
        <v>449</v>
      </c>
      <c r="E485" s="119" t="s">
        <v>1233</v>
      </c>
      <c r="F485" s="120">
        <v>0.01</v>
      </c>
      <c r="G485" s="120">
        <v>0.01</v>
      </c>
      <c r="H485" s="120">
        <v>0</v>
      </c>
      <c r="I485" s="117">
        <v>0</v>
      </c>
      <c r="J485" s="119" t="s">
        <v>240</v>
      </c>
    </row>
    <row r="486" spans="1:10" x14ac:dyDescent="0.25">
      <c r="A486" s="117">
        <v>483</v>
      </c>
      <c r="B486" s="118" t="s">
        <v>96</v>
      </c>
      <c r="C486" s="119" t="s">
        <v>97</v>
      </c>
      <c r="D486" s="119" t="s">
        <v>449</v>
      </c>
      <c r="E486" s="119" t="s">
        <v>98</v>
      </c>
      <c r="F486" s="120">
        <v>47462.078001034039</v>
      </c>
      <c r="G486" s="120">
        <v>47462.078001034039</v>
      </c>
      <c r="H486" s="120">
        <v>0</v>
      </c>
      <c r="I486" s="117">
        <v>0</v>
      </c>
      <c r="J486" s="119" t="s">
        <v>240</v>
      </c>
    </row>
    <row r="487" spans="1:10" x14ac:dyDescent="0.25">
      <c r="A487" s="117">
        <v>484</v>
      </c>
      <c r="B487" s="118" t="s">
        <v>99</v>
      </c>
      <c r="C487" s="119" t="s">
        <v>100</v>
      </c>
      <c r="D487" s="119" t="s">
        <v>526</v>
      </c>
      <c r="E487" s="119" t="s">
        <v>98</v>
      </c>
      <c r="F487" s="120">
        <v>47632.32199532559</v>
      </c>
      <c r="G487" s="120">
        <v>47632.32199532559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1234</v>
      </c>
      <c r="C488" s="119" t="s">
        <v>1235</v>
      </c>
      <c r="D488" s="119" t="s">
        <v>459</v>
      </c>
      <c r="E488" s="119" t="s">
        <v>1236</v>
      </c>
      <c r="F488" s="120">
        <v>97.469853907746867</v>
      </c>
      <c r="G488" s="120">
        <v>99.511553907746872</v>
      </c>
      <c r="H488" s="120">
        <v>19.18</v>
      </c>
      <c r="I488" s="117">
        <v>82</v>
      </c>
      <c r="J488" s="119" t="s">
        <v>271</v>
      </c>
    </row>
    <row r="489" spans="1:10" x14ac:dyDescent="0.25">
      <c r="A489" s="117">
        <v>486</v>
      </c>
      <c r="B489" s="118" t="s">
        <v>1237</v>
      </c>
      <c r="C489" s="119" t="s">
        <v>1238</v>
      </c>
      <c r="D489" s="119" t="s">
        <v>459</v>
      </c>
      <c r="E489" s="119" t="s">
        <v>1236</v>
      </c>
      <c r="F489" s="120">
        <v>99.882686077565538</v>
      </c>
      <c r="G489" s="120">
        <v>103.57018607756554</v>
      </c>
      <c r="H489" s="120">
        <v>21.94</v>
      </c>
      <c r="I489" s="117">
        <v>3</v>
      </c>
      <c r="J489" s="119" t="s">
        <v>271</v>
      </c>
    </row>
    <row r="490" spans="1:10" x14ac:dyDescent="0.25">
      <c r="A490" s="117">
        <v>487</v>
      </c>
      <c r="B490" s="118" t="s">
        <v>1239</v>
      </c>
      <c r="C490" s="119" t="s">
        <v>1240</v>
      </c>
      <c r="D490" s="119" t="s">
        <v>449</v>
      </c>
      <c r="E490" s="119" t="s">
        <v>1241</v>
      </c>
      <c r="F490" s="120">
        <v>254.86263600000004</v>
      </c>
      <c r="G490" s="120">
        <v>254.86263600000004</v>
      </c>
      <c r="H490" s="120">
        <v>0</v>
      </c>
      <c r="I490" s="117">
        <v>0</v>
      </c>
      <c r="J490" s="119" t="s">
        <v>240</v>
      </c>
    </row>
    <row r="491" spans="1:10" x14ac:dyDescent="0.25">
      <c r="A491" s="117">
        <v>488</v>
      </c>
      <c r="B491" s="118" t="s">
        <v>1264</v>
      </c>
      <c r="C491" s="119" t="s">
        <v>1265</v>
      </c>
      <c r="D491" s="119" t="s">
        <v>459</v>
      </c>
      <c r="E491" s="119" t="s">
        <v>391</v>
      </c>
      <c r="F491" s="120">
        <v>82.41215618907664</v>
      </c>
      <c r="G491" s="120">
        <v>86.28715618907664</v>
      </c>
      <c r="H491" s="120">
        <v>20.03</v>
      </c>
      <c r="I491" s="117">
        <v>2247</v>
      </c>
      <c r="J491" s="119" t="s">
        <v>271</v>
      </c>
    </row>
    <row r="492" spans="1:10" x14ac:dyDescent="0.25">
      <c r="A492" s="117">
        <v>489</v>
      </c>
      <c r="B492" s="118" t="s">
        <v>1266</v>
      </c>
      <c r="C492" s="119" t="s">
        <v>1267</v>
      </c>
      <c r="D492" s="119" t="s">
        <v>459</v>
      </c>
      <c r="E492" s="119" t="s">
        <v>391</v>
      </c>
      <c r="F492" s="120">
        <v>92.884631098867999</v>
      </c>
      <c r="G492" s="120">
        <v>96.540231098868006</v>
      </c>
      <c r="H492" s="120">
        <v>20.72</v>
      </c>
      <c r="I492" s="117">
        <v>446</v>
      </c>
      <c r="J492" s="119" t="s">
        <v>271</v>
      </c>
    </row>
    <row r="493" spans="1:10" x14ac:dyDescent="0.25">
      <c r="A493" s="117">
        <v>490</v>
      </c>
      <c r="B493" s="118" t="s">
        <v>1268</v>
      </c>
      <c r="C493" s="119" t="s">
        <v>1269</v>
      </c>
      <c r="D493" s="119" t="s">
        <v>449</v>
      </c>
      <c r="E493" s="119" t="s">
        <v>391</v>
      </c>
      <c r="F493" s="120">
        <v>0.01</v>
      </c>
      <c r="G493" s="120">
        <v>0.01</v>
      </c>
      <c r="H493" s="120">
        <v>0</v>
      </c>
      <c r="I493" s="117">
        <v>993</v>
      </c>
      <c r="J493" s="119" t="s">
        <v>240</v>
      </c>
    </row>
    <row r="494" spans="1:10" x14ac:dyDescent="0.25">
      <c r="A494" s="117">
        <v>491</v>
      </c>
      <c r="B494" s="118" t="s">
        <v>1270</v>
      </c>
      <c r="C494" s="119" t="s">
        <v>1271</v>
      </c>
      <c r="D494" s="119" t="s">
        <v>459</v>
      </c>
      <c r="E494" s="119" t="s">
        <v>391</v>
      </c>
      <c r="F494" s="120">
        <v>58.739628337613929</v>
      </c>
      <c r="G494" s="120">
        <v>66.989628337613922</v>
      </c>
      <c r="H494" s="120">
        <v>20.91</v>
      </c>
      <c r="I494" s="117">
        <v>2943</v>
      </c>
      <c r="J494" s="119" t="s">
        <v>271</v>
      </c>
    </row>
    <row r="495" spans="1:10" x14ac:dyDescent="0.25">
      <c r="A495" s="117">
        <v>492</v>
      </c>
      <c r="B495" s="118" t="s">
        <v>101</v>
      </c>
      <c r="C495" s="119" t="s">
        <v>102</v>
      </c>
      <c r="D495" s="119" t="s">
        <v>449</v>
      </c>
      <c r="E495" s="119" t="s">
        <v>392</v>
      </c>
      <c r="F495" s="120">
        <v>27590.565210971145</v>
      </c>
      <c r="G495" s="120">
        <v>27590.565210971145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1272</v>
      </c>
      <c r="C496" s="119" t="s">
        <v>1273</v>
      </c>
      <c r="D496" s="119" t="s">
        <v>526</v>
      </c>
      <c r="E496" s="119" t="s">
        <v>392</v>
      </c>
      <c r="F496" s="120">
        <v>27394.735000000001</v>
      </c>
      <c r="G496" s="120">
        <v>27394.735000000001</v>
      </c>
      <c r="H496" s="120">
        <v>0</v>
      </c>
      <c r="I496" s="117">
        <v>0</v>
      </c>
      <c r="J496" s="119" t="s">
        <v>240</v>
      </c>
    </row>
    <row r="497" spans="1:10" x14ac:dyDescent="0.25">
      <c r="A497" s="117">
        <v>494</v>
      </c>
      <c r="B497" s="118" t="s">
        <v>1274</v>
      </c>
      <c r="C497" s="119" t="s">
        <v>1275</v>
      </c>
      <c r="D497" s="119" t="s">
        <v>449</v>
      </c>
      <c r="E497" s="119" t="s">
        <v>1276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1277</v>
      </c>
      <c r="C498" s="119" t="s">
        <v>1278</v>
      </c>
      <c r="D498" s="119" t="s">
        <v>449</v>
      </c>
      <c r="E498" s="119" t="s">
        <v>1279</v>
      </c>
      <c r="F498" s="120">
        <v>13473.57</v>
      </c>
      <c r="G498" s="120">
        <v>13473.57</v>
      </c>
      <c r="H498" s="120">
        <v>0</v>
      </c>
      <c r="I498" s="117">
        <v>0</v>
      </c>
      <c r="J498" s="119" t="s">
        <v>240</v>
      </c>
    </row>
    <row r="499" spans="1:10" x14ac:dyDescent="0.25">
      <c r="A499" s="117">
        <v>496</v>
      </c>
      <c r="B499" s="118" t="s">
        <v>1280</v>
      </c>
      <c r="C499" s="119" t="s">
        <v>1281</v>
      </c>
      <c r="D499" s="119" t="s">
        <v>459</v>
      </c>
      <c r="E499" s="119" t="s">
        <v>1279</v>
      </c>
      <c r="F499" s="120">
        <v>78.681568740202948</v>
      </c>
      <c r="G499" s="120">
        <v>85.214868740202945</v>
      </c>
      <c r="H499" s="120">
        <v>20.28</v>
      </c>
      <c r="I499" s="117">
        <v>2172</v>
      </c>
      <c r="J499" s="119" t="s">
        <v>271</v>
      </c>
    </row>
    <row r="500" spans="1:10" x14ac:dyDescent="0.25">
      <c r="A500" s="117">
        <v>497</v>
      </c>
      <c r="B500" s="118" t="s">
        <v>1282</v>
      </c>
      <c r="C500" s="119" t="s">
        <v>1283</v>
      </c>
      <c r="D500" s="119" t="s">
        <v>449</v>
      </c>
      <c r="E500" s="119" t="s">
        <v>822</v>
      </c>
      <c r="F500" s="120">
        <v>0.01</v>
      </c>
      <c r="G500" s="120">
        <v>0.01</v>
      </c>
      <c r="H500" s="120">
        <v>0</v>
      </c>
      <c r="I500" s="117">
        <v>0</v>
      </c>
      <c r="J500" s="119" t="s">
        <v>240</v>
      </c>
    </row>
    <row r="501" spans="1:10" x14ac:dyDescent="0.25">
      <c r="A501" s="117">
        <v>498</v>
      </c>
      <c r="B501" s="118" t="s">
        <v>1284</v>
      </c>
      <c r="C501" s="119" t="s">
        <v>1285</v>
      </c>
      <c r="D501" s="119" t="s">
        <v>459</v>
      </c>
      <c r="E501" s="119" t="s">
        <v>822</v>
      </c>
      <c r="F501" s="120">
        <v>85.787031707508945</v>
      </c>
      <c r="G501" s="120">
        <v>88.73283170750895</v>
      </c>
      <c r="H501" s="120">
        <v>18.57</v>
      </c>
      <c r="I501" s="117">
        <v>799</v>
      </c>
      <c r="J501" s="119" t="s">
        <v>271</v>
      </c>
    </row>
    <row r="502" spans="1:10" x14ac:dyDescent="0.25">
      <c r="A502" s="117">
        <v>499</v>
      </c>
      <c r="B502" s="118" t="s">
        <v>1286</v>
      </c>
      <c r="C502" s="119" t="s">
        <v>1287</v>
      </c>
      <c r="D502" s="119" t="s">
        <v>459</v>
      </c>
      <c r="E502" s="119" t="s">
        <v>822</v>
      </c>
      <c r="F502" s="120">
        <v>2.1790306214442077</v>
      </c>
      <c r="G502" s="120">
        <v>2.180430621444208</v>
      </c>
      <c r="H502" s="120">
        <v>17.739999999999998</v>
      </c>
      <c r="I502" s="117">
        <v>8545</v>
      </c>
      <c r="J502" s="119" t="s">
        <v>271</v>
      </c>
    </row>
    <row r="503" spans="1:10" x14ac:dyDescent="0.25">
      <c r="A503" s="117">
        <v>500</v>
      </c>
      <c r="B503" s="118" t="s">
        <v>1288</v>
      </c>
      <c r="C503" s="119" t="s">
        <v>1289</v>
      </c>
      <c r="D503" s="119" t="s">
        <v>459</v>
      </c>
      <c r="E503" s="119" t="s">
        <v>822</v>
      </c>
      <c r="F503" s="120">
        <v>1.8929693387130786</v>
      </c>
      <c r="G503" s="120">
        <v>1.9068693387130786</v>
      </c>
      <c r="H503" s="120">
        <v>17.739999999999998</v>
      </c>
      <c r="I503" s="117">
        <v>8950</v>
      </c>
      <c r="J503" s="119" t="s">
        <v>271</v>
      </c>
    </row>
    <row r="504" spans="1:10" x14ac:dyDescent="0.25">
      <c r="A504" s="117">
        <v>501</v>
      </c>
      <c r="B504" s="118" t="s">
        <v>1290</v>
      </c>
      <c r="C504" s="119" t="s">
        <v>1291</v>
      </c>
      <c r="D504" s="119" t="s">
        <v>459</v>
      </c>
      <c r="E504" s="119" t="s">
        <v>822</v>
      </c>
      <c r="F504" s="120">
        <v>96.722352319023798</v>
      </c>
      <c r="G504" s="120">
        <v>97.633452319023789</v>
      </c>
      <c r="H504" s="120">
        <v>18.82</v>
      </c>
      <c r="I504" s="117">
        <v>148</v>
      </c>
      <c r="J504" s="119" t="s">
        <v>271</v>
      </c>
    </row>
    <row r="505" spans="1:10" x14ac:dyDescent="0.25">
      <c r="A505" s="117">
        <v>502</v>
      </c>
      <c r="B505" s="118" t="s">
        <v>1292</v>
      </c>
      <c r="C505" s="119" t="s">
        <v>1293</v>
      </c>
      <c r="D505" s="119" t="s">
        <v>459</v>
      </c>
      <c r="E505" s="119" t="s">
        <v>822</v>
      </c>
      <c r="F505" s="120">
        <v>1.2973044858358742</v>
      </c>
      <c r="G505" s="120">
        <v>1.3190044858358743</v>
      </c>
      <c r="H505" s="120">
        <v>17.739999999999998</v>
      </c>
      <c r="I505" s="117">
        <v>10182</v>
      </c>
      <c r="J505" s="119" t="s">
        <v>271</v>
      </c>
    </row>
    <row r="506" spans="1:10" x14ac:dyDescent="0.25">
      <c r="A506" s="117">
        <v>503</v>
      </c>
      <c r="B506" s="118" t="s">
        <v>1294</v>
      </c>
      <c r="C506" s="119" t="s">
        <v>1295</v>
      </c>
      <c r="D506" s="119" t="s">
        <v>459</v>
      </c>
      <c r="E506" s="119" t="s">
        <v>822</v>
      </c>
      <c r="F506" s="120">
        <v>1.7512418372850882</v>
      </c>
      <c r="G506" s="120">
        <v>1.7748418372850883</v>
      </c>
      <c r="H506" s="120">
        <v>17.739999999999998</v>
      </c>
      <c r="I506" s="117">
        <v>9185</v>
      </c>
      <c r="J506" s="119" t="s">
        <v>271</v>
      </c>
    </row>
    <row r="507" spans="1:10" x14ac:dyDescent="0.25">
      <c r="A507" s="117">
        <v>504</v>
      </c>
      <c r="B507" s="118" t="s">
        <v>1296</v>
      </c>
      <c r="C507" s="119" t="s">
        <v>1297</v>
      </c>
      <c r="D507" s="119" t="s">
        <v>459</v>
      </c>
      <c r="E507" s="119" t="s">
        <v>822</v>
      </c>
      <c r="F507" s="120">
        <v>49.97709542614863</v>
      </c>
      <c r="G507" s="120">
        <v>54.441895426148633</v>
      </c>
      <c r="H507" s="120">
        <v>19.399999999999999</v>
      </c>
      <c r="I507" s="117">
        <v>2613</v>
      </c>
      <c r="J507" s="119" t="s">
        <v>271</v>
      </c>
    </row>
    <row r="508" spans="1:10" x14ac:dyDescent="0.25">
      <c r="A508" s="117">
        <v>505</v>
      </c>
      <c r="B508" s="118" t="s">
        <v>1298</v>
      </c>
      <c r="C508" s="119" t="s">
        <v>1299</v>
      </c>
      <c r="D508" s="119" t="s">
        <v>459</v>
      </c>
      <c r="E508" s="119" t="s">
        <v>822</v>
      </c>
      <c r="F508" s="120">
        <v>69.39061883097051</v>
      </c>
      <c r="G508" s="120">
        <v>71.368318830970509</v>
      </c>
      <c r="H508" s="120">
        <v>18.760000000000002</v>
      </c>
      <c r="I508" s="117">
        <v>1719</v>
      </c>
      <c r="J508" s="119" t="s">
        <v>271</v>
      </c>
    </row>
    <row r="509" spans="1:10" x14ac:dyDescent="0.25">
      <c r="A509" s="117">
        <v>506</v>
      </c>
      <c r="B509" s="118" t="s">
        <v>1300</v>
      </c>
      <c r="C509" s="119" t="s">
        <v>1301</v>
      </c>
      <c r="D509" s="119" t="s">
        <v>459</v>
      </c>
      <c r="E509" s="119" t="s">
        <v>822</v>
      </c>
      <c r="F509" s="120">
        <v>1.5890365553308308</v>
      </c>
      <c r="G509" s="120">
        <v>1.6034365553308307</v>
      </c>
      <c r="H509" s="120">
        <v>17.739999999999998</v>
      </c>
      <c r="I509" s="117">
        <v>9488</v>
      </c>
      <c r="J509" s="119" t="s">
        <v>271</v>
      </c>
    </row>
    <row r="510" spans="1:10" x14ac:dyDescent="0.25">
      <c r="A510" s="117">
        <v>507</v>
      </c>
      <c r="B510" s="118" t="s">
        <v>1302</v>
      </c>
      <c r="C510" s="119" t="s">
        <v>1303</v>
      </c>
      <c r="D510" s="119" t="s">
        <v>459</v>
      </c>
      <c r="E510" s="119" t="s">
        <v>822</v>
      </c>
      <c r="F510" s="120">
        <v>57.633165045595234</v>
      </c>
      <c r="G510" s="120">
        <v>64.048665045595229</v>
      </c>
      <c r="H510" s="120">
        <v>19.48</v>
      </c>
      <c r="I510" s="117">
        <v>2191</v>
      </c>
      <c r="J510" s="119" t="s">
        <v>271</v>
      </c>
    </row>
    <row r="511" spans="1:10" x14ac:dyDescent="0.25">
      <c r="A511" s="117">
        <v>508</v>
      </c>
      <c r="B511" s="118" t="s">
        <v>1304</v>
      </c>
      <c r="C511" s="119" t="s">
        <v>1305</v>
      </c>
      <c r="D511" s="119" t="s">
        <v>449</v>
      </c>
      <c r="E511" s="119" t="s">
        <v>822</v>
      </c>
      <c r="F511" s="120">
        <v>1000</v>
      </c>
      <c r="G511" s="120">
        <v>1000</v>
      </c>
      <c r="H511" s="120">
        <v>0</v>
      </c>
      <c r="I511" s="117">
        <v>1716</v>
      </c>
      <c r="J511" s="119" t="s">
        <v>240</v>
      </c>
    </row>
    <row r="512" spans="1:10" x14ac:dyDescent="0.25">
      <c r="A512" s="117">
        <v>509</v>
      </c>
      <c r="B512" s="118" t="s">
        <v>1306</v>
      </c>
      <c r="C512" s="119" t="s">
        <v>1307</v>
      </c>
      <c r="D512" s="119" t="s">
        <v>459</v>
      </c>
      <c r="E512" s="119" t="s">
        <v>822</v>
      </c>
      <c r="F512" s="120">
        <v>33.664296345943967</v>
      </c>
      <c r="G512" s="120">
        <v>34.508096345943962</v>
      </c>
      <c r="H512" s="120">
        <v>18.399999999999999</v>
      </c>
      <c r="I512" s="117">
        <v>3885</v>
      </c>
      <c r="J512" s="119" t="s">
        <v>271</v>
      </c>
    </row>
    <row r="513" spans="1:10" x14ac:dyDescent="0.25">
      <c r="A513" s="117">
        <v>510</v>
      </c>
      <c r="B513" s="118" t="s">
        <v>2349</v>
      </c>
      <c r="C513" s="119" t="s">
        <v>2350</v>
      </c>
      <c r="D513" s="119" t="s">
        <v>459</v>
      </c>
      <c r="E513" s="119" t="s">
        <v>822</v>
      </c>
      <c r="F513" s="120">
        <v>94.872546050848172</v>
      </c>
      <c r="G513" s="120">
        <v>97.972546050848166</v>
      </c>
      <c r="H513" s="120">
        <v>19.66</v>
      </c>
      <c r="I513" s="117">
        <v>1738</v>
      </c>
      <c r="J513" s="119" t="s">
        <v>271</v>
      </c>
    </row>
    <row r="514" spans="1:10" x14ac:dyDescent="0.25">
      <c r="A514" s="117">
        <v>511</v>
      </c>
      <c r="B514" s="118" t="s">
        <v>2497</v>
      </c>
      <c r="C514" s="119" t="s">
        <v>2405</v>
      </c>
      <c r="D514" s="119" t="s">
        <v>459</v>
      </c>
      <c r="E514" s="119" t="s">
        <v>822</v>
      </c>
      <c r="F514" s="120">
        <v>97.200814882519452</v>
      </c>
      <c r="G514" s="120">
        <v>98.707214882519452</v>
      </c>
      <c r="H514" s="120">
        <v>20</v>
      </c>
      <c r="I514" s="117">
        <v>1051</v>
      </c>
      <c r="J514" s="119" t="s">
        <v>271</v>
      </c>
    </row>
    <row r="515" spans="1:10" x14ac:dyDescent="0.25">
      <c r="A515" s="117">
        <v>512</v>
      </c>
      <c r="B515" s="118" t="s">
        <v>2498</v>
      </c>
      <c r="C515" s="119" t="s">
        <v>2499</v>
      </c>
      <c r="D515" s="119" t="s">
        <v>459</v>
      </c>
      <c r="E515" s="119" t="s">
        <v>822</v>
      </c>
      <c r="F515" s="120">
        <v>97.200814882519452</v>
      </c>
      <c r="G515" s="120">
        <v>98.707214882519452</v>
      </c>
      <c r="H515" s="120">
        <v>20</v>
      </c>
      <c r="I515" s="117">
        <v>1051</v>
      </c>
      <c r="J515" s="119" t="s">
        <v>271</v>
      </c>
    </row>
    <row r="516" spans="1:10" x14ac:dyDescent="0.25">
      <c r="A516" s="117">
        <v>513</v>
      </c>
      <c r="B516" s="118" t="s">
        <v>2067</v>
      </c>
      <c r="C516" s="119" t="s">
        <v>2068</v>
      </c>
      <c r="D516" s="119" t="s">
        <v>459</v>
      </c>
      <c r="E516" s="119" t="s">
        <v>2069</v>
      </c>
      <c r="F516" s="120">
        <v>104.7141</v>
      </c>
      <c r="G516" s="120">
        <v>105.2641</v>
      </c>
      <c r="H516" s="120">
        <v>19.5</v>
      </c>
      <c r="I516" s="117">
        <v>891</v>
      </c>
      <c r="J516" s="119" t="s">
        <v>271</v>
      </c>
    </row>
    <row r="517" spans="1:10" x14ac:dyDescent="0.25">
      <c r="A517" s="117">
        <v>514</v>
      </c>
      <c r="B517" s="118" t="s">
        <v>1308</v>
      </c>
      <c r="C517" s="119" t="s">
        <v>1309</v>
      </c>
      <c r="D517" s="119" t="s">
        <v>459</v>
      </c>
      <c r="E517" s="119" t="s">
        <v>1310</v>
      </c>
      <c r="F517" s="120">
        <v>99.394000000000005</v>
      </c>
      <c r="G517" s="120">
        <v>99.394000000000005</v>
      </c>
      <c r="H517" s="120">
        <v>4.7</v>
      </c>
      <c r="I517" s="117">
        <v>720</v>
      </c>
      <c r="J517" s="119" t="s">
        <v>271</v>
      </c>
    </row>
    <row r="518" spans="1:10" x14ac:dyDescent="0.25">
      <c r="A518" s="117">
        <v>515</v>
      </c>
      <c r="B518" s="118" t="s">
        <v>103</v>
      </c>
      <c r="C518" s="119" t="s">
        <v>104</v>
      </c>
      <c r="D518" s="119" t="s">
        <v>449</v>
      </c>
      <c r="E518" s="119" t="s">
        <v>105</v>
      </c>
      <c r="F518" s="120">
        <v>39553.393845072642</v>
      </c>
      <c r="G518" s="120">
        <v>39553.393845072642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1311</v>
      </c>
      <c r="C519" s="119" t="s">
        <v>1312</v>
      </c>
      <c r="D519" s="119" t="s">
        <v>459</v>
      </c>
      <c r="E519" s="119" t="s">
        <v>105</v>
      </c>
      <c r="F519" s="120">
        <v>95.728350231872923</v>
      </c>
      <c r="G519" s="120">
        <v>98.826950231872928</v>
      </c>
      <c r="H519" s="120">
        <v>17.899999999999999</v>
      </c>
      <c r="I519" s="117">
        <v>263</v>
      </c>
      <c r="J519" s="119" t="s">
        <v>271</v>
      </c>
    </row>
    <row r="520" spans="1:10" x14ac:dyDescent="0.25">
      <c r="A520" s="117">
        <v>517</v>
      </c>
      <c r="B520" s="118" t="s">
        <v>106</v>
      </c>
      <c r="C520" s="119" t="s">
        <v>107</v>
      </c>
      <c r="D520" s="119" t="s">
        <v>449</v>
      </c>
      <c r="E520" s="119" t="s">
        <v>105</v>
      </c>
      <c r="F520" s="120">
        <v>32400</v>
      </c>
      <c r="G520" s="120">
        <v>32400</v>
      </c>
      <c r="H520" s="120">
        <v>0</v>
      </c>
      <c r="I520" s="117">
        <v>0</v>
      </c>
      <c r="J520" s="119" t="s">
        <v>240</v>
      </c>
    </row>
    <row r="521" spans="1:10" x14ac:dyDescent="0.25">
      <c r="A521" s="117">
        <v>518</v>
      </c>
      <c r="B521" s="118" t="s">
        <v>108</v>
      </c>
      <c r="C521" s="119" t="s">
        <v>109</v>
      </c>
      <c r="D521" s="119" t="s">
        <v>449</v>
      </c>
      <c r="E521" s="119" t="s">
        <v>110</v>
      </c>
      <c r="F521" s="120">
        <v>848.69635353949491</v>
      </c>
      <c r="G521" s="120">
        <v>848.69635353949491</v>
      </c>
      <c r="H521" s="120">
        <v>0</v>
      </c>
      <c r="I521" s="117">
        <v>0</v>
      </c>
      <c r="J521" s="119" t="s">
        <v>240</v>
      </c>
    </row>
    <row r="522" spans="1:10" x14ac:dyDescent="0.25">
      <c r="A522" s="117">
        <v>519</v>
      </c>
      <c r="B522" s="118" t="s">
        <v>1313</v>
      </c>
      <c r="C522" s="119" t="s">
        <v>1314</v>
      </c>
      <c r="D522" s="119" t="s">
        <v>459</v>
      </c>
      <c r="E522" s="119" t="s">
        <v>1315</v>
      </c>
      <c r="F522" s="120">
        <v>92.101769456937916</v>
      </c>
      <c r="G522" s="120">
        <v>101.70806945693792</v>
      </c>
      <c r="H522" s="120">
        <v>25.59</v>
      </c>
      <c r="I522" s="117">
        <v>1101</v>
      </c>
      <c r="J522" s="119" t="s">
        <v>271</v>
      </c>
    </row>
    <row r="523" spans="1:10" x14ac:dyDescent="0.25">
      <c r="A523" s="117">
        <v>520</v>
      </c>
      <c r="B523" s="118" t="s">
        <v>1242</v>
      </c>
      <c r="C523" s="119" t="s">
        <v>1243</v>
      </c>
      <c r="D523" s="119" t="s">
        <v>459</v>
      </c>
      <c r="E523" s="119" t="s">
        <v>111</v>
      </c>
      <c r="F523" s="120">
        <v>93.603999999999999</v>
      </c>
      <c r="G523" s="120">
        <v>95.797799999999995</v>
      </c>
      <c r="H523" s="120">
        <v>5.42</v>
      </c>
      <c r="I523" s="117">
        <v>6858</v>
      </c>
      <c r="J523" s="119" t="s">
        <v>271</v>
      </c>
    </row>
    <row r="524" spans="1:10" x14ac:dyDescent="0.25">
      <c r="A524" s="117">
        <v>521</v>
      </c>
      <c r="B524" s="118" t="s">
        <v>1244</v>
      </c>
      <c r="C524" s="119" t="s">
        <v>1245</v>
      </c>
      <c r="D524" s="119" t="s">
        <v>459</v>
      </c>
      <c r="E524" s="119" t="s">
        <v>111</v>
      </c>
      <c r="F524" s="120">
        <v>98.565386839342551</v>
      </c>
      <c r="G524" s="120">
        <v>100.65318683934255</v>
      </c>
      <c r="H524" s="120">
        <v>2.86</v>
      </c>
      <c r="I524" s="117">
        <v>1140</v>
      </c>
      <c r="J524" s="119" t="s">
        <v>271</v>
      </c>
    </row>
    <row r="525" spans="1:10" x14ac:dyDescent="0.25">
      <c r="A525" s="117">
        <v>522</v>
      </c>
      <c r="B525" s="118" t="s">
        <v>1246</v>
      </c>
      <c r="C525" s="119" t="s">
        <v>1247</v>
      </c>
      <c r="D525" s="119" t="s">
        <v>459</v>
      </c>
      <c r="E525" s="119" t="s">
        <v>111</v>
      </c>
      <c r="F525" s="120">
        <v>97.922008943068676</v>
      </c>
      <c r="G525" s="120">
        <v>98.515008943068665</v>
      </c>
      <c r="H525" s="120">
        <v>2.71</v>
      </c>
      <c r="I525" s="117">
        <v>369</v>
      </c>
      <c r="J525" s="119" t="s">
        <v>271</v>
      </c>
    </row>
    <row r="526" spans="1:10" x14ac:dyDescent="0.25">
      <c r="A526" s="117">
        <v>523</v>
      </c>
      <c r="B526" s="118" t="s">
        <v>1248</v>
      </c>
      <c r="C526" s="119" t="s">
        <v>1249</v>
      </c>
      <c r="D526" s="119" t="s">
        <v>459</v>
      </c>
      <c r="E526" s="119" t="s">
        <v>111</v>
      </c>
      <c r="F526" s="120">
        <v>85.096954365004279</v>
      </c>
      <c r="G526" s="120">
        <v>85.258454365004269</v>
      </c>
      <c r="H526" s="120">
        <v>15.62</v>
      </c>
      <c r="I526" s="117">
        <v>719</v>
      </c>
      <c r="J526" s="119" t="s">
        <v>271</v>
      </c>
    </row>
    <row r="527" spans="1:10" x14ac:dyDescent="0.25">
      <c r="A527" s="117">
        <v>524</v>
      </c>
      <c r="B527" s="118" t="s">
        <v>1250</v>
      </c>
      <c r="C527" s="119" t="s">
        <v>1251</v>
      </c>
      <c r="D527" s="119" t="s">
        <v>459</v>
      </c>
      <c r="E527" s="119" t="s">
        <v>111</v>
      </c>
      <c r="F527" s="120">
        <v>70.161804784846069</v>
      </c>
      <c r="G527" s="120">
        <v>70.334404784846072</v>
      </c>
      <c r="H527" s="120">
        <v>15.92</v>
      </c>
      <c r="I527" s="117">
        <v>1811</v>
      </c>
      <c r="J527" s="119" t="s">
        <v>271</v>
      </c>
    </row>
    <row r="528" spans="1:10" x14ac:dyDescent="0.25">
      <c r="A528" s="117">
        <v>525</v>
      </c>
      <c r="B528" s="118" t="s">
        <v>1252</v>
      </c>
      <c r="C528" s="119" t="s">
        <v>1253</v>
      </c>
      <c r="D528" s="119" t="s">
        <v>459</v>
      </c>
      <c r="E528" s="119" t="s">
        <v>111</v>
      </c>
      <c r="F528" s="120">
        <v>94.579846575972269</v>
      </c>
      <c r="G528" s="120">
        <v>96.526646575972265</v>
      </c>
      <c r="H528" s="120">
        <v>15.49</v>
      </c>
      <c r="I528" s="117">
        <v>269</v>
      </c>
      <c r="J528" s="119" t="s">
        <v>271</v>
      </c>
    </row>
    <row r="529" spans="1:10" x14ac:dyDescent="0.25">
      <c r="A529" s="117">
        <v>526</v>
      </c>
      <c r="B529" s="118" t="s">
        <v>1254</v>
      </c>
      <c r="C529" s="119" t="s">
        <v>1255</v>
      </c>
      <c r="D529" s="119" t="s">
        <v>459</v>
      </c>
      <c r="E529" s="119" t="s">
        <v>111</v>
      </c>
      <c r="F529" s="120">
        <v>82.626411895655608</v>
      </c>
      <c r="G529" s="120">
        <v>84.6279118956556</v>
      </c>
      <c r="H529" s="120">
        <v>15.74</v>
      </c>
      <c r="I529" s="117">
        <v>997</v>
      </c>
      <c r="J529" s="119" t="s">
        <v>271</v>
      </c>
    </row>
    <row r="530" spans="1:10" x14ac:dyDescent="0.25">
      <c r="A530" s="117">
        <v>527</v>
      </c>
      <c r="B530" s="118" t="s">
        <v>1256</v>
      </c>
      <c r="C530" s="119" t="s">
        <v>1257</v>
      </c>
      <c r="D530" s="119" t="s">
        <v>459</v>
      </c>
      <c r="E530" s="119" t="s">
        <v>111</v>
      </c>
      <c r="F530" s="120">
        <v>70.543296102842376</v>
      </c>
      <c r="G530" s="120">
        <v>72.604696102842382</v>
      </c>
      <c r="H530" s="120">
        <v>15.95</v>
      </c>
      <c r="I530" s="117">
        <v>2089</v>
      </c>
      <c r="J530" s="119" t="s">
        <v>271</v>
      </c>
    </row>
    <row r="531" spans="1:10" x14ac:dyDescent="0.25">
      <c r="A531" s="117">
        <v>528</v>
      </c>
      <c r="B531" s="118" t="s">
        <v>1258</v>
      </c>
      <c r="C531" s="119" t="s">
        <v>1259</v>
      </c>
      <c r="D531" s="119" t="s">
        <v>459</v>
      </c>
      <c r="E531" s="119" t="s">
        <v>111</v>
      </c>
      <c r="F531" s="120">
        <v>70.543296102842376</v>
      </c>
      <c r="G531" s="120">
        <v>72.604696102842382</v>
      </c>
      <c r="H531" s="120">
        <v>15.95</v>
      </c>
      <c r="I531" s="117">
        <v>2089</v>
      </c>
      <c r="J531" s="119" t="s">
        <v>271</v>
      </c>
    </row>
    <row r="532" spans="1:10" x14ac:dyDescent="0.25">
      <c r="A532" s="117">
        <v>529</v>
      </c>
      <c r="B532" s="118" t="s">
        <v>1260</v>
      </c>
      <c r="C532" s="119" t="s">
        <v>1261</v>
      </c>
      <c r="D532" s="119" t="s">
        <v>459</v>
      </c>
      <c r="E532" s="119" t="s">
        <v>111</v>
      </c>
      <c r="F532" s="120">
        <v>112.60599999999999</v>
      </c>
      <c r="G532" s="120">
        <v>113.7796</v>
      </c>
      <c r="H532" s="120">
        <v>5.45</v>
      </c>
      <c r="I532" s="117">
        <v>7135</v>
      </c>
      <c r="J532" s="119" t="s">
        <v>271</v>
      </c>
    </row>
    <row r="533" spans="1:10" x14ac:dyDescent="0.25">
      <c r="A533" s="117">
        <v>530</v>
      </c>
      <c r="B533" s="118" t="s">
        <v>1262</v>
      </c>
      <c r="C533" s="119" t="s">
        <v>1263</v>
      </c>
      <c r="D533" s="119" t="s">
        <v>459</v>
      </c>
      <c r="E533" s="119" t="s">
        <v>111</v>
      </c>
      <c r="F533" s="120">
        <v>99.332999999999998</v>
      </c>
      <c r="G533" s="120">
        <v>101.5198</v>
      </c>
      <c r="H533" s="120">
        <v>4.8</v>
      </c>
      <c r="I533" s="117">
        <v>3433</v>
      </c>
      <c r="J533" s="119" t="s">
        <v>271</v>
      </c>
    </row>
    <row r="534" spans="1:10" x14ac:dyDescent="0.25">
      <c r="A534" s="117">
        <v>531</v>
      </c>
      <c r="B534" s="118" t="s">
        <v>2266</v>
      </c>
      <c r="C534" s="119" t="s">
        <v>2267</v>
      </c>
      <c r="D534" s="119" t="s">
        <v>459</v>
      </c>
      <c r="E534" s="119" t="s">
        <v>111</v>
      </c>
      <c r="F534" s="120">
        <v>102.16200000000001</v>
      </c>
      <c r="G534" s="120">
        <v>103.3426</v>
      </c>
      <c r="H534" s="120">
        <v>4.62</v>
      </c>
      <c r="I534" s="117">
        <v>2435</v>
      </c>
      <c r="J534" s="119" t="s">
        <v>271</v>
      </c>
    </row>
    <row r="535" spans="1:10" x14ac:dyDescent="0.25">
      <c r="A535" s="117">
        <v>532</v>
      </c>
      <c r="B535" s="118" t="s">
        <v>2268</v>
      </c>
      <c r="C535" s="119" t="s">
        <v>2269</v>
      </c>
      <c r="D535" s="119" t="s">
        <v>459</v>
      </c>
      <c r="E535" s="119" t="s">
        <v>111</v>
      </c>
      <c r="F535" s="120">
        <v>102.443</v>
      </c>
      <c r="G535" s="120">
        <v>103.74160000000001</v>
      </c>
      <c r="H535" s="120">
        <v>5.22</v>
      </c>
      <c r="I535" s="117">
        <v>4235</v>
      </c>
      <c r="J535" s="119" t="s">
        <v>271</v>
      </c>
    </row>
    <row r="536" spans="1:10" x14ac:dyDescent="0.25">
      <c r="A536" s="117">
        <v>533</v>
      </c>
      <c r="B536" s="118" t="s">
        <v>1316</v>
      </c>
      <c r="C536" s="119" t="s">
        <v>1317</v>
      </c>
      <c r="D536" s="119" t="s">
        <v>449</v>
      </c>
      <c r="E536" s="119" t="s">
        <v>1318</v>
      </c>
      <c r="F536" s="120">
        <v>0.01</v>
      </c>
      <c r="G536" s="120">
        <v>0.01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1319</v>
      </c>
      <c r="C537" s="119" t="s">
        <v>1320</v>
      </c>
      <c r="D537" s="119" t="s">
        <v>449</v>
      </c>
      <c r="E537" s="119" t="s">
        <v>1321</v>
      </c>
      <c r="F537" s="120">
        <v>0.01</v>
      </c>
      <c r="G537" s="120">
        <v>0.01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1322</v>
      </c>
      <c r="C538" s="119" t="s">
        <v>1323</v>
      </c>
      <c r="D538" s="119" t="s">
        <v>459</v>
      </c>
      <c r="E538" s="119" t="s">
        <v>1321</v>
      </c>
      <c r="F538" s="120">
        <v>91.370268779851401</v>
      </c>
      <c r="G538" s="120">
        <v>102.24806877985139</v>
      </c>
      <c r="H538" s="120">
        <v>26.95</v>
      </c>
      <c r="I538" s="117">
        <v>902</v>
      </c>
      <c r="J538" s="119" t="s">
        <v>271</v>
      </c>
    </row>
    <row r="539" spans="1:10" x14ac:dyDescent="0.25">
      <c r="A539" s="117">
        <v>536</v>
      </c>
      <c r="B539" s="118" t="s">
        <v>1324</v>
      </c>
      <c r="C539" s="119" t="s">
        <v>1325</v>
      </c>
      <c r="D539" s="119" t="s">
        <v>759</v>
      </c>
      <c r="E539" s="119" t="s">
        <v>2094</v>
      </c>
      <c r="F539" s="120">
        <v>60146.361250000002</v>
      </c>
      <c r="G539" s="120">
        <v>60146.361250000002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1326</v>
      </c>
      <c r="C540" s="119" t="s">
        <v>1327</v>
      </c>
      <c r="D540" s="119" t="s">
        <v>449</v>
      </c>
      <c r="E540" s="119" t="s">
        <v>1328</v>
      </c>
      <c r="F540" s="120">
        <v>1.81</v>
      </c>
      <c r="G540" s="120">
        <v>1.81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1329</v>
      </c>
      <c r="C541" s="119" t="s">
        <v>1330</v>
      </c>
      <c r="D541" s="119" t="s">
        <v>459</v>
      </c>
      <c r="E541" s="119" t="s">
        <v>1328</v>
      </c>
      <c r="F541" s="120">
        <v>99.990174181924871</v>
      </c>
      <c r="G541" s="120">
        <v>109.67497418192487</v>
      </c>
      <c r="H541" s="120">
        <v>9.84</v>
      </c>
      <c r="I541" s="117">
        <v>11</v>
      </c>
      <c r="J541" s="119" t="s">
        <v>271</v>
      </c>
    </row>
    <row r="542" spans="1:10" x14ac:dyDescent="0.25">
      <c r="A542" s="117">
        <v>539</v>
      </c>
      <c r="B542" s="118" t="s">
        <v>1336</v>
      </c>
      <c r="C542" s="119" t="s">
        <v>1337</v>
      </c>
      <c r="D542" s="119" t="s">
        <v>449</v>
      </c>
      <c r="E542" s="119" t="s">
        <v>1338</v>
      </c>
      <c r="F542" s="120">
        <v>7350</v>
      </c>
      <c r="G542" s="120">
        <v>7350</v>
      </c>
      <c r="H542" s="120">
        <v>0</v>
      </c>
      <c r="I542" s="117">
        <v>0</v>
      </c>
      <c r="J542" s="119" t="s">
        <v>240</v>
      </c>
    </row>
    <row r="543" spans="1:10" x14ac:dyDescent="0.25">
      <c r="A543" s="117">
        <v>540</v>
      </c>
      <c r="B543" s="118" t="s">
        <v>1334</v>
      </c>
      <c r="C543" s="119" t="s">
        <v>1335</v>
      </c>
      <c r="D543" s="119" t="s">
        <v>449</v>
      </c>
      <c r="E543" s="119" t="s">
        <v>2095</v>
      </c>
      <c r="F543" s="120">
        <v>307938.52020000003</v>
      </c>
      <c r="G543" s="120">
        <v>307938.52020000003</v>
      </c>
      <c r="H543" s="120">
        <v>0</v>
      </c>
      <c r="I543" s="117">
        <v>0</v>
      </c>
      <c r="J543" s="119" t="s">
        <v>240</v>
      </c>
    </row>
    <row r="544" spans="1:10" x14ac:dyDescent="0.25">
      <c r="A544" s="117">
        <v>541</v>
      </c>
      <c r="B544" s="118" t="s">
        <v>1339</v>
      </c>
      <c r="C544" s="119" t="s">
        <v>1340</v>
      </c>
      <c r="D544" s="119" t="s">
        <v>449</v>
      </c>
      <c r="E544" s="119" t="s">
        <v>2096</v>
      </c>
      <c r="F544" s="120">
        <v>405344.43339999998</v>
      </c>
      <c r="G544" s="120">
        <v>405344.43339999998</v>
      </c>
      <c r="H544" s="120">
        <v>0</v>
      </c>
      <c r="I544" s="117">
        <v>0</v>
      </c>
      <c r="J544" s="119" t="s">
        <v>240</v>
      </c>
    </row>
    <row r="545" spans="1:10" x14ac:dyDescent="0.25">
      <c r="A545" s="117">
        <v>542</v>
      </c>
      <c r="B545" s="118" t="s">
        <v>2097</v>
      </c>
      <c r="C545" s="119" t="s">
        <v>2098</v>
      </c>
      <c r="D545" s="119" t="s">
        <v>459</v>
      </c>
      <c r="E545" s="119" t="s">
        <v>2099</v>
      </c>
      <c r="F545" s="120">
        <v>100.79462606222567</v>
      </c>
      <c r="G545" s="120">
        <v>102.07792606222567</v>
      </c>
      <c r="H545" s="120">
        <v>20.8</v>
      </c>
      <c r="I545" s="117">
        <v>3398</v>
      </c>
      <c r="J545" s="119" t="s">
        <v>271</v>
      </c>
    </row>
    <row r="546" spans="1:10" x14ac:dyDescent="0.25">
      <c r="A546" s="117">
        <v>543</v>
      </c>
      <c r="B546" s="118" t="s">
        <v>1341</v>
      </c>
      <c r="C546" s="119" t="s">
        <v>1342</v>
      </c>
      <c r="D546" s="119" t="s">
        <v>459</v>
      </c>
      <c r="E546" s="119" t="s">
        <v>1343</v>
      </c>
      <c r="F546" s="120">
        <v>99.799104678039271</v>
      </c>
      <c r="G546" s="120">
        <v>100.74910467803927</v>
      </c>
      <c r="H546" s="120">
        <v>19.95</v>
      </c>
      <c r="I546" s="117">
        <v>72</v>
      </c>
      <c r="J546" s="119" t="s">
        <v>271</v>
      </c>
    </row>
    <row r="547" spans="1:10" x14ac:dyDescent="0.25">
      <c r="A547" s="117">
        <v>544</v>
      </c>
      <c r="B547" s="118" t="s">
        <v>2365</v>
      </c>
      <c r="C547" s="119" t="s">
        <v>2366</v>
      </c>
      <c r="D547" s="119" t="s">
        <v>459</v>
      </c>
      <c r="E547" s="119" t="s">
        <v>1343</v>
      </c>
      <c r="F547" s="120">
        <v>99.374595629911113</v>
      </c>
      <c r="G547" s="120">
        <v>100.81899562991111</v>
      </c>
      <c r="H547" s="120">
        <v>20.41</v>
      </c>
      <c r="I547" s="117">
        <v>664</v>
      </c>
      <c r="J547" s="119" t="s">
        <v>271</v>
      </c>
    </row>
    <row r="548" spans="1:10" x14ac:dyDescent="0.25">
      <c r="A548" s="117">
        <v>545</v>
      </c>
      <c r="B548" s="118" t="s">
        <v>2403</v>
      </c>
      <c r="C548" s="119" t="s">
        <v>2404</v>
      </c>
      <c r="D548" s="119" t="s">
        <v>459</v>
      </c>
      <c r="E548" s="119" t="s">
        <v>1344</v>
      </c>
      <c r="F548" s="120">
        <v>99.998800000000003</v>
      </c>
      <c r="G548" s="120">
        <v>100.5655</v>
      </c>
      <c r="H548" s="120">
        <v>12</v>
      </c>
      <c r="I548" s="117">
        <v>343</v>
      </c>
      <c r="J548" s="119" t="s">
        <v>271</v>
      </c>
    </row>
    <row r="549" spans="1:10" x14ac:dyDescent="0.25">
      <c r="A549" s="117">
        <v>546</v>
      </c>
      <c r="B549" s="118" t="s">
        <v>2529</v>
      </c>
      <c r="C549" s="119" t="s">
        <v>2530</v>
      </c>
      <c r="D549" s="119" t="s">
        <v>449</v>
      </c>
      <c r="E549" s="119" t="s">
        <v>1344</v>
      </c>
      <c r="F549" s="120">
        <v>1000</v>
      </c>
      <c r="G549" s="120">
        <v>1000</v>
      </c>
      <c r="H549" s="120">
        <v>0</v>
      </c>
      <c r="I549" s="117">
        <v>0</v>
      </c>
      <c r="J549" s="119" t="s">
        <v>240</v>
      </c>
    </row>
    <row r="550" spans="1:10" x14ac:dyDescent="0.25">
      <c r="A550" s="117">
        <v>547</v>
      </c>
      <c r="B550" s="118" t="s">
        <v>1345</v>
      </c>
      <c r="C550" s="119" t="s">
        <v>1346</v>
      </c>
      <c r="D550" s="119" t="s">
        <v>459</v>
      </c>
      <c r="E550" s="119" t="s">
        <v>1344</v>
      </c>
      <c r="F550" s="120">
        <v>100.00443671774191</v>
      </c>
      <c r="G550" s="120">
        <v>102.83773671774192</v>
      </c>
      <c r="H550" s="120">
        <v>11.51</v>
      </c>
      <c r="I550" s="117">
        <v>5</v>
      </c>
      <c r="J550" s="119" t="s">
        <v>271</v>
      </c>
    </row>
    <row r="551" spans="1:10" x14ac:dyDescent="0.25">
      <c r="A551" s="117">
        <v>548</v>
      </c>
      <c r="B551" s="118" t="s">
        <v>2245</v>
      </c>
      <c r="C551" s="119" t="s">
        <v>2246</v>
      </c>
      <c r="D551" s="119" t="s">
        <v>459</v>
      </c>
      <c r="E551" s="119" t="s">
        <v>1344</v>
      </c>
      <c r="F551" s="120">
        <v>100.42197668421382</v>
      </c>
      <c r="G551" s="120">
        <v>100.45527668421381</v>
      </c>
      <c r="H551" s="120">
        <v>11.4</v>
      </c>
      <c r="I551" s="117">
        <v>269</v>
      </c>
      <c r="J551" s="119" t="s">
        <v>271</v>
      </c>
    </row>
    <row r="552" spans="1:10" x14ac:dyDescent="0.25">
      <c r="A552" s="117">
        <v>549</v>
      </c>
      <c r="B552" s="118" t="s">
        <v>2468</v>
      </c>
      <c r="C552" s="119" t="s">
        <v>2469</v>
      </c>
      <c r="D552" s="119" t="s">
        <v>459</v>
      </c>
      <c r="E552" s="119" t="s">
        <v>2470</v>
      </c>
      <c r="F552" s="120">
        <v>99.315024777784004</v>
      </c>
      <c r="G552" s="120">
        <v>100.77332477778401</v>
      </c>
      <c r="H552" s="120">
        <v>25.42</v>
      </c>
      <c r="I552" s="117">
        <v>699</v>
      </c>
      <c r="J552" s="119" t="s">
        <v>271</v>
      </c>
    </row>
    <row r="553" spans="1:10" x14ac:dyDescent="0.25">
      <c r="A553" s="117">
        <v>550</v>
      </c>
      <c r="B553" s="118" t="s">
        <v>1348</v>
      </c>
      <c r="C553" s="119" t="s">
        <v>1349</v>
      </c>
      <c r="D553" s="119" t="s">
        <v>459</v>
      </c>
      <c r="E553" s="119" t="s">
        <v>1347</v>
      </c>
      <c r="F553" s="120">
        <v>97.807506018531228</v>
      </c>
      <c r="G553" s="120">
        <v>102.87420601853124</v>
      </c>
      <c r="H553" s="120">
        <v>84.87</v>
      </c>
      <c r="I553" s="117">
        <v>14</v>
      </c>
      <c r="J553" s="119" t="s">
        <v>271</v>
      </c>
    </row>
    <row r="554" spans="1:10" x14ac:dyDescent="0.25">
      <c r="A554" s="117">
        <v>551</v>
      </c>
      <c r="B554" s="118" t="s">
        <v>1350</v>
      </c>
      <c r="C554" s="119" t="s">
        <v>1351</v>
      </c>
      <c r="D554" s="119" t="s">
        <v>459</v>
      </c>
      <c r="E554" s="119" t="s">
        <v>1352</v>
      </c>
      <c r="F554" s="120">
        <v>98.138173901607416</v>
      </c>
      <c r="G554" s="120">
        <v>104.55487390160741</v>
      </c>
      <c r="H554" s="120">
        <v>22.04</v>
      </c>
      <c r="I554" s="117">
        <v>790</v>
      </c>
      <c r="J554" s="119" t="s">
        <v>271</v>
      </c>
    </row>
    <row r="555" spans="1:10" x14ac:dyDescent="0.25">
      <c r="A555" s="117">
        <v>552</v>
      </c>
      <c r="B555" s="118" t="s">
        <v>2270</v>
      </c>
      <c r="C555" s="119" t="s">
        <v>2271</v>
      </c>
      <c r="D555" s="119" t="s">
        <v>459</v>
      </c>
      <c r="E555" s="119" t="s">
        <v>1352</v>
      </c>
      <c r="F555" s="120">
        <v>99.420699999999997</v>
      </c>
      <c r="G555" s="120">
        <v>103.661</v>
      </c>
      <c r="H555" s="120">
        <v>22</v>
      </c>
      <c r="I555" s="117">
        <v>469</v>
      </c>
      <c r="J555" s="119" t="s">
        <v>271</v>
      </c>
    </row>
    <row r="556" spans="1:10" x14ac:dyDescent="0.25">
      <c r="A556" s="117">
        <v>553</v>
      </c>
      <c r="B556" s="118" t="s">
        <v>2272</v>
      </c>
      <c r="C556" s="119" t="s">
        <v>2273</v>
      </c>
      <c r="D556" s="119" t="s">
        <v>449</v>
      </c>
      <c r="E556" s="119" t="s">
        <v>1352</v>
      </c>
      <c r="F556" s="120">
        <v>1000</v>
      </c>
      <c r="G556" s="120">
        <v>1000</v>
      </c>
      <c r="H556" s="120">
        <v>0</v>
      </c>
      <c r="I556" s="117">
        <v>0</v>
      </c>
      <c r="J556" s="119" t="s">
        <v>240</v>
      </c>
    </row>
    <row r="557" spans="1:10" x14ac:dyDescent="0.25">
      <c r="A557" s="117">
        <v>554</v>
      </c>
      <c r="B557" s="118" t="s">
        <v>1353</v>
      </c>
      <c r="C557" s="119" t="s">
        <v>1354</v>
      </c>
      <c r="D557" s="119" t="s">
        <v>459</v>
      </c>
      <c r="E557" s="119" t="s">
        <v>1355</v>
      </c>
      <c r="F557" s="120">
        <v>98.886671630165281</v>
      </c>
      <c r="G557" s="120">
        <v>100.57837163016528</v>
      </c>
      <c r="H557" s="120">
        <v>22.08</v>
      </c>
      <c r="I557" s="117">
        <v>421</v>
      </c>
      <c r="J557" s="119" t="s">
        <v>271</v>
      </c>
    </row>
    <row r="558" spans="1:10" x14ac:dyDescent="0.25">
      <c r="A558" s="117">
        <v>555</v>
      </c>
      <c r="B558" s="118" t="s">
        <v>2394</v>
      </c>
      <c r="C558" s="119" t="s">
        <v>2395</v>
      </c>
      <c r="D558" s="119" t="s">
        <v>459</v>
      </c>
      <c r="E558" s="119" t="s">
        <v>1355</v>
      </c>
      <c r="F558" s="120">
        <v>100.41650591970654</v>
      </c>
      <c r="G558" s="120">
        <v>102.66650591970654</v>
      </c>
      <c r="H558" s="120">
        <v>22.12</v>
      </c>
      <c r="I558" s="117">
        <v>504</v>
      </c>
      <c r="J558" s="119" t="s">
        <v>271</v>
      </c>
    </row>
    <row r="559" spans="1:10" x14ac:dyDescent="0.25">
      <c r="A559" s="117">
        <v>556</v>
      </c>
      <c r="B559" s="118" t="s">
        <v>1356</v>
      </c>
      <c r="C559" s="119" t="s">
        <v>1357</v>
      </c>
      <c r="D559" s="119" t="s">
        <v>459</v>
      </c>
      <c r="E559" s="119" t="s">
        <v>2070</v>
      </c>
      <c r="F559" s="120">
        <v>99.846082654307722</v>
      </c>
      <c r="G559" s="120">
        <v>102.47388265430773</v>
      </c>
      <c r="H559" s="120">
        <v>22.09</v>
      </c>
      <c r="I559" s="117">
        <v>587</v>
      </c>
      <c r="J559" s="119" t="s">
        <v>271</v>
      </c>
    </row>
    <row r="560" spans="1:10" x14ac:dyDescent="0.25">
      <c r="A560" s="117">
        <v>557</v>
      </c>
      <c r="B560" s="118" t="s">
        <v>1358</v>
      </c>
      <c r="C560" s="119" t="s">
        <v>1359</v>
      </c>
      <c r="D560" s="119" t="s">
        <v>459</v>
      </c>
      <c r="E560" s="119" t="s">
        <v>1360</v>
      </c>
      <c r="F560" s="120">
        <v>99.9816</v>
      </c>
      <c r="G560" s="120">
        <v>103.7441</v>
      </c>
      <c r="H560" s="120">
        <v>21.46</v>
      </c>
      <c r="I560" s="117">
        <v>117</v>
      </c>
      <c r="J560" s="119" t="s">
        <v>271</v>
      </c>
    </row>
    <row r="561" spans="1:10" x14ac:dyDescent="0.25">
      <c r="A561" s="117">
        <v>558</v>
      </c>
      <c r="B561" s="118" t="s">
        <v>1361</v>
      </c>
      <c r="C561" s="119" t="s">
        <v>1362</v>
      </c>
      <c r="D561" s="119" t="s">
        <v>459</v>
      </c>
      <c r="E561" s="119" t="s">
        <v>1360</v>
      </c>
      <c r="F561" s="120">
        <v>100.42862966807428</v>
      </c>
      <c r="G561" s="120">
        <v>102.47582966807427</v>
      </c>
      <c r="H561" s="120">
        <v>9.58</v>
      </c>
      <c r="I561" s="117">
        <v>113</v>
      </c>
      <c r="J561" s="119" t="s">
        <v>271</v>
      </c>
    </row>
    <row r="562" spans="1:10" x14ac:dyDescent="0.25">
      <c r="A562" s="117">
        <v>559</v>
      </c>
      <c r="B562" s="118" t="s">
        <v>2253</v>
      </c>
      <c r="C562" s="119" t="s">
        <v>2254</v>
      </c>
      <c r="D562" s="119" t="s">
        <v>459</v>
      </c>
      <c r="E562" s="119" t="s">
        <v>1360</v>
      </c>
      <c r="F562" s="120">
        <v>101.29592169283278</v>
      </c>
      <c r="G562" s="120">
        <v>101.29592169283278</v>
      </c>
      <c r="H562" s="120">
        <v>20.12</v>
      </c>
      <c r="I562" s="117">
        <v>630</v>
      </c>
      <c r="J562" s="119" t="s">
        <v>271</v>
      </c>
    </row>
    <row r="563" spans="1:10" x14ac:dyDescent="0.25">
      <c r="A563" s="117">
        <v>560</v>
      </c>
      <c r="B563" s="118" t="s">
        <v>1363</v>
      </c>
      <c r="C563" s="119" t="s">
        <v>1364</v>
      </c>
      <c r="D563" s="119" t="s">
        <v>459</v>
      </c>
      <c r="E563" s="119" t="s">
        <v>1365</v>
      </c>
      <c r="F563" s="120">
        <v>98.977099999999993</v>
      </c>
      <c r="G563" s="120">
        <v>101.23820000000001</v>
      </c>
      <c r="H563" s="120">
        <v>23</v>
      </c>
      <c r="I563" s="117">
        <v>413</v>
      </c>
      <c r="J563" s="119" t="s">
        <v>271</v>
      </c>
    </row>
    <row r="564" spans="1:10" x14ac:dyDescent="0.25">
      <c r="A564" s="117">
        <v>561</v>
      </c>
      <c r="B564" s="118" t="s">
        <v>1366</v>
      </c>
      <c r="C564" s="119" t="s">
        <v>1367</v>
      </c>
      <c r="D564" s="119" t="s">
        <v>459</v>
      </c>
      <c r="E564" s="119" t="s">
        <v>1368</v>
      </c>
      <c r="F564" s="120">
        <v>100.89779886802586</v>
      </c>
      <c r="G564" s="120">
        <v>104.69779886802586</v>
      </c>
      <c r="H564" s="120">
        <v>21.1</v>
      </c>
      <c r="I564" s="117">
        <v>123</v>
      </c>
      <c r="J564" s="119" t="s">
        <v>271</v>
      </c>
    </row>
    <row r="565" spans="1:10" x14ac:dyDescent="0.25">
      <c r="A565" s="117">
        <v>562</v>
      </c>
      <c r="B565" s="118" t="s">
        <v>1369</v>
      </c>
      <c r="C565" s="119" t="s">
        <v>1370</v>
      </c>
      <c r="D565" s="119" t="s">
        <v>459</v>
      </c>
      <c r="E565" s="119" t="s">
        <v>1368</v>
      </c>
      <c r="F565" s="120">
        <v>100.36458457282555</v>
      </c>
      <c r="G565" s="120">
        <v>104.03128457282556</v>
      </c>
      <c r="H565" s="120">
        <v>21.47</v>
      </c>
      <c r="I565" s="117">
        <v>300</v>
      </c>
      <c r="J565" s="119" t="s">
        <v>271</v>
      </c>
    </row>
    <row r="566" spans="1:10" x14ac:dyDescent="0.25">
      <c r="A566" s="117">
        <v>563</v>
      </c>
      <c r="B566" s="118" t="s">
        <v>2399</v>
      </c>
      <c r="C566" s="119" t="s">
        <v>2400</v>
      </c>
      <c r="D566" s="119" t="s">
        <v>459</v>
      </c>
      <c r="E566" s="119" t="s">
        <v>1368</v>
      </c>
      <c r="F566" s="120">
        <v>101.89294271179735</v>
      </c>
      <c r="G566" s="120">
        <v>103.72624271179734</v>
      </c>
      <c r="H566" s="120">
        <v>21.26</v>
      </c>
      <c r="I566" s="117">
        <v>1410</v>
      </c>
      <c r="J566" s="119" t="s">
        <v>271</v>
      </c>
    </row>
    <row r="567" spans="1:10" x14ac:dyDescent="0.25">
      <c r="A567" s="117">
        <v>564</v>
      </c>
      <c r="B567" s="118" t="s">
        <v>2162</v>
      </c>
      <c r="C567" s="119" t="s">
        <v>2163</v>
      </c>
      <c r="D567" s="119" t="s">
        <v>459</v>
      </c>
      <c r="E567" s="119" t="s">
        <v>2391</v>
      </c>
      <c r="F567" s="120">
        <v>98.849123505990974</v>
      </c>
      <c r="G567" s="120">
        <v>105.99912350599098</v>
      </c>
      <c r="H567" s="120">
        <v>20.84</v>
      </c>
      <c r="I567" s="117">
        <v>228</v>
      </c>
      <c r="J567" s="119" t="s">
        <v>271</v>
      </c>
    </row>
    <row r="568" spans="1:10" x14ac:dyDescent="0.25">
      <c r="A568" s="117">
        <v>565</v>
      </c>
      <c r="B568" s="118" t="s">
        <v>2211</v>
      </c>
      <c r="C568" s="119" t="s">
        <v>2212</v>
      </c>
      <c r="D568" s="119" t="s">
        <v>459</v>
      </c>
      <c r="E568" s="119" t="s">
        <v>2391</v>
      </c>
      <c r="F568" s="120">
        <v>98.813117856010365</v>
      </c>
      <c r="G568" s="120">
        <v>105.15061785601037</v>
      </c>
      <c r="H568" s="120">
        <v>20.87</v>
      </c>
      <c r="I568" s="117">
        <v>243</v>
      </c>
      <c r="J568" s="119" t="s">
        <v>271</v>
      </c>
    </row>
    <row r="569" spans="1:10" x14ac:dyDescent="0.25">
      <c r="A569" s="117">
        <v>566</v>
      </c>
      <c r="B569" s="118" t="s">
        <v>2213</v>
      </c>
      <c r="C569" s="119" t="s">
        <v>2214</v>
      </c>
      <c r="D569" s="119" t="s">
        <v>459</v>
      </c>
      <c r="E569" s="119" t="s">
        <v>2391</v>
      </c>
      <c r="F569" s="120">
        <v>98.810957458562484</v>
      </c>
      <c r="G569" s="120">
        <v>105.09425745856248</v>
      </c>
      <c r="H569" s="120">
        <v>20.87</v>
      </c>
      <c r="I569" s="117">
        <v>244</v>
      </c>
      <c r="J569" s="119" t="s">
        <v>271</v>
      </c>
    </row>
    <row r="570" spans="1:10" x14ac:dyDescent="0.25">
      <c r="A570" s="117">
        <v>567</v>
      </c>
      <c r="B570" s="118" t="s">
        <v>1371</v>
      </c>
      <c r="C570" s="119" t="s">
        <v>1372</v>
      </c>
      <c r="D570" s="119" t="s">
        <v>459</v>
      </c>
      <c r="E570" s="119" t="s">
        <v>2157</v>
      </c>
      <c r="F570" s="120">
        <v>88.826802044164694</v>
      </c>
      <c r="G570" s="120">
        <v>92.326802044164694</v>
      </c>
      <c r="H570" s="120">
        <v>26.58</v>
      </c>
      <c r="I570" s="117">
        <v>837</v>
      </c>
      <c r="J570" s="119" t="s">
        <v>271</v>
      </c>
    </row>
    <row r="571" spans="1:10" x14ac:dyDescent="0.25">
      <c r="A571" s="117">
        <v>568</v>
      </c>
      <c r="B571" s="118" t="s">
        <v>1373</v>
      </c>
      <c r="C571" s="119" t="s">
        <v>1374</v>
      </c>
      <c r="D571" s="119" t="s">
        <v>459</v>
      </c>
      <c r="E571" s="119" t="s">
        <v>2157</v>
      </c>
      <c r="F571" s="120">
        <v>86.939383175022257</v>
      </c>
      <c r="G571" s="120">
        <v>87.272683175022252</v>
      </c>
      <c r="H571" s="120">
        <v>26.46</v>
      </c>
      <c r="I571" s="117">
        <v>1074</v>
      </c>
      <c r="J571" s="119" t="s">
        <v>271</v>
      </c>
    </row>
    <row r="572" spans="1:10" x14ac:dyDescent="0.25">
      <c r="A572" s="117">
        <v>569</v>
      </c>
      <c r="B572" s="118" t="s">
        <v>1375</v>
      </c>
      <c r="C572" s="119" t="s">
        <v>1376</v>
      </c>
      <c r="D572" s="119" t="s">
        <v>459</v>
      </c>
      <c r="E572" s="119" t="s">
        <v>1377</v>
      </c>
      <c r="F572" s="120">
        <v>100.44585740129115</v>
      </c>
      <c r="G572" s="120">
        <v>100.99585740129115</v>
      </c>
      <c r="H572" s="120">
        <v>21</v>
      </c>
      <c r="I572" s="117">
        <v>171</v>
      </c>
      <c r="J572" s="119" t="s">
        <v>271</v>
      </c>
    </row>
    <row r="573" spans="1:10" x14ac:dyDescent="0.25">
      <c r="A573" s="117">
        <v>570</v>
      </c>
      <c r="B573" s="118" t="s">
        <v>2113</v>
      </c>
      <c r="C573" s="119" t="s">
        <v>2114</v>
      </c>
      <c r="D573" s="119" t="s">
        <v>459</v>
      </c>
      <c r="E573" s="119" t="s">
        <v>1377</v>
      </c>
      <c r="F573" s="120">
        <v>99.340178485510691</v>
      </c>
      <c r="G573" s="120">
        <v>109.91237848551069</v>
      </c>
      <c r="H573" s="120">
        <v>22.52</v>
      </c>
      <c r="I573" s="117">
        <v>547</v>
      </c>
      <c r="J573" s="119" t="s">
        <v>271</v>
      </c>
    </row>
    <row r="574" spans="1:10" x14ac:dyDescent="0.25">
      <c r="A574" s="117">
        <v>571</v>
      </c>
      <c r="B574" s="118" t="s">
        <v>2442</v>
      </c>
      <c r="C574" s="119" t="s">
        <v>2443</v>
      </c>
      <c r="D574" s="119" t="s">
        <v>459</v>
      </c>
      <c r="E574" s="119" t="s">
        <v>1377</v>
      </c>
      <c r="F574" s="120">
        <v>99.216782342363345</v>
      </c>
      <c r="G574" s="120">
        <v>100.62238234236335</v>
      </c>
      <c r="H574" s="120">
        <v>22.5</v>
      </c>
      <c r="I574" s="117">
        <v>697</v>
      </c>
      <c r="J574" s="119" t="s">
        <v>271</v>
      </c>
    </row>
    <row r="575" spans="1:10" x14ac:dyDescent="0.25">
      <c r="A575" s="117">
        <v>572</v>
      </c>
      <c r="B575" s="118" t="s">
        <v>2215</v>
      </c>
      <c r="C575" s="119" t="s">
        <v>2216</v>
      </c>
      <c r="D575" s="119" t="s">
        <v>459</v>
      </c>
      <c r="E575" s="119" t="s">
        <v>1377</v>
      </c>
      <c r="F575" s="120">
        <v>101.0605055103086</v>
      </c>
      <c r="G575" s="120">
        <v>102.52990551030861</v>
      </c>
      <c r="H575" s="120">
        <v>21.32</v>
      </c>
      <c r="I575" s="117">
        <v>247</v>
      </c>
      <c r="J575" s="119" t="s">
        <v>271</v>
      </c>
    </row>
    <row r="576" spans="1:10" x14ac:dyDescent="0.25">
      <c r="A576" s="117">
        <v>573</v>
      </c>
      <c r="B576" s="118" t="s">
        <v>2152</v>
      </c>
      <c r="C576" s="119" t="s">
        <v>2153</v>
      </c>
      <c r="D576" s="119" t="s">
        <v>459</v>
      </c>
      <c r="E576" s="119" t="s">
        <v>1377</v>
      </c>
      <c r="F576" s="120">
        <v>101.04121231268736</v>
      </c>
      <c r="G576" s="120">
        <v>101.93561231268735</v>
      </c>
      <c r="H576" s="120">
        <v>21.21</v>
      </c>
      <c r="I576" s="117">
        <v>226</v>
      </c>
      <c r="J576" s="119" t="s">
        <v>271</v>
      </c>
    </row>
    <row r="577" spans="1:10" x14ac:dyDescent="0.25">
      <c r="A577" s="117">
        <v>574</v>
      </c>
      <c r="B577" s="118" t="s">
        <v>2531</v>
      </c>
      <c r="C577" s="119" t="s">
        <v>2532</v>
      </c>
      <c r="D577" s="119" t="s">
        <v>449</v>
      </c>
      <c r="E577" s="119" t="s">
        <v>1377</v>
      </c>
      <c r="F577" s="120">
        <v>1000</v>
      </c>
      <c r="G577" s="120">
        <v>1000</v>
      </c>
      <c r="H577" s="120">
        <v>0</v>
      </c>
      <c r="I577" s="117">
        <v>0</v>
      </c>
      <c r="J577" s="119" t="s">
        <v>240</v>
      </c>
    </row>
    <row r="578" spans="1:10" x14ac:dyDescent="0.25">
      <c r="A578" s="117">
        <v>575</v>
      </c>
      <c r="B578" s="118" t="s">
        <v>2401</v>
      </c>
      <c r="C578" s="119" t="s">
        <v>2402</v>
      </c>
      <c r="D578" s="119" t="s">
        <v>459</v>
      </c>
      <c r="E578" s="119" t="s">
        <v>1377</v>
      </c>
      <c r="F578" s="120">
        <v>100.45985983825076</v>
      </c>
      <c r="G578" s="120">
        <v>100.52095983825076</v>
      </c>
      <c r="H578" s="120">
        <v>21.44</v>
      </c>
      <c r="I578" s="117">
        <v>329</v>
      </c>
      <c r="J578" s="119" t="s">
        <v>271</v>
      </c>
    </row>
    <row r="579" spans="1:10" x14ac:dyDescent="0.25">
      <c r="A579" s="117">
        <v>576</v>
      </c>
      <c r="B579" s="118" t="s">
        <v>1378</v>
      </c>
      <c r="C579" s="119" t="s">
        <v>1379</v>
      </c>
      <c r="D579" s="119" t="s">
        <v>459</v>
      </c>
      <c r="E579" s="119" t="s">
        <v>1377</v>
      </c>
      <c r="F579" s="120">
        <v>99.994007677902289</v>
      </c>
      <c r="G579" s="120">
        <v>100.82730767790228</v>
      </c>
      <c r="H579" s="120">
        <v>20.059999999999999</v>
      </c>
      <c r="I579" s="117">
        <v>15</v>
      </c>
      <c r="J579" s="119" t="s">
        <v>271</v>
      </c>
    </row>
    <row r="580" spans="1:10" x14ac:dyDescent="0.25">
      <c r="A580" s="117">
        <v>577</v>
      </c>
      <c r="B580" s="118" t="s">
        <v>1380</v>
      </c>
      <c r="C580" s="119" t="s">
        <v>1381</v>
      </c>
      <c r="D580" s="119" t="s">
        <v>459</v>
      </c>
      <c r="E580" s="119" t="s">
        <v>1377</v>
      </c>
      <c r="F580" s="120">
        <v>99.923059265336462</v>
      </c>
      <c r="G580" s="120">
        <v>101.36745926533646</v>
      </c>
      <c r="H580" s="120">
        <v>20.81</v>
      </c>
      <c r="I580" s="117">
        <v>34</v>
      </c>
      <c r="J580" s="119" t="s">
        <v>271</v>
      </c>
    </row>
    <row r="581" spans="1:10" x14ac:dyDescent="0.25">
      <c r="A581" s="117">
        <v>578</v>
      </c>
      <c r="B581" s="118" t="s">
        <v>1382</v>
      </c>
      <c r="C581" s="119" t="s">
        <v>1383</v>
      </c>
      <c r="D581" s="119" t="s">
        <v>459</v>
      </c>
      <c r="E581" s="119" t="s">
        <v>1377</v>
      </c>
      <c r="F581" s="120">
        <v>99.400183359829569</v>
      </c>
      <c r="G581" s="120">
        <v>101.84458335982957</v>
      </c>
      <c r="H581" s="120">
        <v>21.6</v>
      </c>
      <c r="I581" s="117">
        <v>136</v>
      </c>
      <c r="J581" s="119" t="s">
        <v>271</v>
      </c>
    </row>
    <row r="582" spans="1:10" x14ac:dyDescent="0.25">
      <c r="A582" s="117">
        <v>579</v>
      </c>
      <c r="B582" s="118" t="s">
        <v>1384</v>
      </c>
      <c r="C582" s="119" t="s">
        <v>1385</v>
      </c>
      <c r="D582" s="119" t="s">
        <v>459</v>
      </c>
      <c r="E582" s="119" t="s">
        <v>1377</v>
      </c>
      <c r="F582" s="120">
        <v>99.795744139975596</v>
      </c>
      <c r="G582" s="120">
        <v>101.4068441399756</v>
      </c>
      <c r="H582" s="120">
        <v>21.09</v>
      </c>
      <c r="I582" s="117">
        <v>61</v>
      </c>
      <c r="J582" s="119" t="s">
        <v>271</v>
      </c>
    </row>
    <row r="583" spans="1:10" x14ac:dyDescent="0.25">
      <c r="A583" s="117">
        <v>580</v>
      </c>
      <c r="B583" s="118" t="s">
        <v>1386</v>
      </c>
      <c r="C583" s="119" t="s">
        <v>1387</v>
      </c>
      <c r="D583" s="119" t="s">
        <v>459</v>
      </c>
      <c r="E583" s="119" t="s">
        <v>1377</v>
      </c>
      <c r="F583" s="120">
        <v>99.77437498780823</v>
      </c>
      <c r="G583" s="120">
        <v>100.88547498780822</v>
      </c>
      <c r="H583" s="120">
        <v>21.1</v>
      </c>
      <c r="I583" s="117">
        <v>70</v>
      </c>
      <c r="J583" s="119" t="s">
        <v>271</v>
      </c>
    </row>
    <row r="584" spans="1:10" x14ac:dyDescent="0.25">
      <c r="A584" s="117">
        <v>581</v>
      </c>
      <c r="B584" s="118" t="s">
        <v>1995</v>
      </c>
      <c r="C584" s="119" t="s">
        <v>1996</v>
      </c>
      <c r="D584" s="119" t="s">
        <v>459</v>
      </c>
      <c r="E584" s="119" t="s">
        <v>1377</v>
      </c>
      <c r="F584" s="120">
        <v>97.7721568038355</v>
      </c>
      <c r="G584" s="120">
        <v>101.2721568038355</v>
      </c>
      <c r="H584" s="120">
        <v>21.96</v>
      </c>
      <c r="I584" s="117">
        <v>477</v>
      </c>
      <c r="J584" s="119" t="s">
        <v>271</v>
      </c>
    </row>
    <row r="585" spans="1:10" x14ac:dyDescent="0.25">
      <c r="A585" s="117">
        <v>582</v>
      </c>
      <c r="B585" s="118" t="s">
        <v>2029</v>
      </c>
      <c r="C585" s="119" t="s">
        <v>2030</v>
      </c>
      <c r="D585" s="119" t="s">
        <v>459</v>
      </c>
      <c r="E585" s="119" t="s">
        <v>1377</v>
      </c>
      <c r="F585" s="120">
        <v>97.587800000000001</v>
      </c>
      <c r="G585" s="120">
        <v>99.254499999999993</v>
      </c>
      <c r="H585" s="120">
        <v>22</v>
      </c>
      <c r="I585" s="117">
        <v>510</v>
      </c>
      <c r="J585" s="119" t="s">
        <v>271</v>
      </c>
    </row>
    <row r="586" spans="1:10" x14ac:dyDescent="0.25">
      <c r="A586" s="117">
        <v>583</v>
      </c>
      <c r="B586" s="118" t="s">
        <v>2074</v>
      </c>
      <c r="C586" s="119" t="s">
        <v>2075</v>
      </c>
      <c r="D586" s="119" t="s">
        <v>459</v>
      </c>
      <c r="E586" s="119" t="s">
        <v>1377</v>
      </c>
      <c r="F586" s="120">
        <v>105.71961084954529</v>
      </c>
      <c r="G586" s="120">
        <v>105.71961084954529</v>
      </c>
      <c r="H586" s="120">
        <v>10.119999999999999</v>
      </c>
      <c r="I586" s="117">
        <v>180</v>
      </c>
      <c r="J586" s="119" t="s">
        <v>271</v>
      </c>
    </row>
    <row r="587" spans="1:10" x14ac:dyDescent="0.25">
      <c r="A587" s="117">
        <v>584</v>
      </c>
      <c r="B587" s="118" t="s">
        <v>1388</v>
      </c>
      <c r="C587" s="119" t="s">
        <v>1389</v>
      </c>
      <c r="D587" s="119" t="s">
        <v>459</v>
      </c>
      <c r="E587" s="119" t="s">
        <v>1390</v>
      </c>
      <c r="F587" s="120">
        <v>100.14550674671871</v>
      </c>
      <c r="G587" s="120">
        <v>100.41220674671871</v>
      </c>
      <c r="H587" s="120">
        <v>23.32</v>
      </c>
      <c r="I587" s="117">
        <v>86</v>
      </c>
      <c r="J587" s="119" t="s">
        <v>271</v>
      </c>
    </row>
    <row r="588" spans="1:10" x14ac:dyDescent="0.25">
      <c r="A588" s="117">
        <v>585</v>
      </c>
      <c r="B588" s="118" t="s">
        <v>1987</v>
      </c>
      <c r="C588" s="119" t="s">
        <v>1988</v>
      </c>
      <c r="D588" s="119" t="s">
        <v>459</v>
      </c>
      <c r="E588" s="119" t="s">
        <v>1390</v>
      </c>
      <c r="F588" s="120">
        <v>95.461839961686763</v>
      </c>
      <c r="G588" s="120">
        <v>99.684039961686764</v>
      </c>
      <c r="H588" s="120">
        <v>24.18</v>
      </c>
      <c r="I588" s="117">
        <v>464</v>
      </c>
      <c r="J588" s="119" t="s">
        <v>271</v>
      </c>
    </row>
    <row r="589" spans="1:10" x14ac:dyDescent="0.25">
      <c r="A589" s="117">
        <v>586</v>
      </c>
      <c r="B589" s="118" t="s">
        <v>1391</v>
      </c>
      <c r="C589" s="119" t="s">
        <v>1392</v>
      </c>
      <c r="D589" s="119" t="s">
        <v>459</v>
      </c>
      <c r="E589" s="119" t="s">
        <v>371</v>
      </c>
      <c r="F589" s="120">
        <v>97.964500000000001</v>
      </c>
      <c r="G589" s="120">
        <v>104.38120000000001</v>
      </c>
      <c r="H589" s="120">
        <v>19.510000000000002</v>
      </c>
      <c r="I589" s="117">
        <v>408</v>
      </c>
      <c r="J589" s="119" t="s">
        <v>271</v>
      </c>
    </row>
    <row r="590" spans="1:10" x14ac:dyDescent="0.25">
      <c r="A590" s="117">
        <v>587</v>
      </c>
      <c r="B590" s="118" t="s">
        <v>424</v>
      </c>
      <c r="C590" s="119" t="s">
        <v>425</v>
      </c>
      <c r="D590" s="119" t="s">
        <v>459</v>
      </c>
      <c r="E590" s="119" t="s">
        <v>403</v>
      </c>
      <c r="F590" s="120">
        <v>100.70826636276809</v>
      </c>
      <c r="G590" s="120">
        <v>102.17496636276809</v>
      </c>
      <c r="H590" s="120">
        <v>11.31</v>
      </c>
      <c r="I590" s="117">
        <v>406</v>
      </c>
      <c r="J590" s="119" t="s">
        <v>271</v>
      </c>
    </row>
    <row r="591" spans="1:10" x14ac:dyDescent="0.25">
      <c r="A591" s="117">
        <v>588</v>
      </c>
      <c r="B591" s="118" t="s">
        <v>1970</v>
      </c>
      <c r="C591" s="119" t="s">
        <v>1971</v>
      </c>
      <c r="D591" s="119" t="s">
        <v>459</v>
      </c>
      <c r="E591" s="119" t="s">
        <v>403</v>
      </c>
      <c r="F591" s="120">
        <v>100.28422376195732</v>
      </c>
      <c r="G591" s="120">
        <v>101.07862376195732</v>
      </c>
      <c r="H591" s="120">
        <v>20.99</v>
      </c>
      <c r="I591" s="117">
        <v>107</v>
      </c>
      <c r="J591" s="119" t="s">
        <v>271</v>
      </c>
    </row>
    <row r="592" spans="1:10" x14ac:dyDescent="0.25">
      <c r="A592" s="117">
        <v>589</v>
      </c>
      <c r="B592" s="118" t="s">
        <v>1972</v>
      </c>
      <c r="C592" s="119" t="s">
        <v>1973</v>
      </c>
      <c r="D592" s="119" t="s">
        <v>459</v>
      </c>
      <c r="E592" s="119" t="s">
        <v>403</v>
      </c>
      <c r="F592" s="120">
        <v>100.32031150431138</v>
      </c>
      <c r="G592" s="120">
        <v>101.97031150431137</v>
      </c>
      <c r="H592" s="120">
        <v>21.02</v>
      </c>
      <c r="I592" s="117">
        <v>123</v>
      </c>
      <c r="J592" s="119" t="s">
        <v>271</v>
      </c>
    </row>
    <row r="593" spans="1:10" x14ac:dyDescent="0.25">
      <c r="A593" s="117">
        <v>590</v>
      </c>
      <c r="B593" s="118" t="s">
        <v>2016</v>
      </c>
      <c r="C593" s="119" t="s">
        <v>2017</v>
      </c>
      <c r="D593" s="119" t="s">
        <v>459</v>
      </c>
      <c r="E593" s="119" t="s">
        <v>403</v>
      </c>
      <c r="F593" s="120">
        <v>100.2999607525706</v>
      </c>
      <c r="G593" s="120">
        <v>100.7277607525706</v>
      </c>
      <c r="H593" s="120">
        <v>21.2</v>
      </c>
      <c r="I593" s="117">
        <v>143</v>
      </c>
      <c r="J593" s="119" t="s">
        <v>271</v>
      </c>
    </row>
    <row r="594" spans="1:10" x14ac:dyDescent="0.25">
      <c r="A594" s="117">
        <v>591</v>
      </c>
      <c r="B594" s="118" t="s">
        <v>2043</v>
      </c>
      <c r="C594" s="119" t="s">
        <v>2044</v>
      </c>
      <c r="D594" s="119" t="s">
        <v>459</v>
      </c>
      <c r="E594" s="119" t="s">
        <v>403</v>
      </c>
      <c r="F594" s="120">
        <v>100.4320051901512</v>
      </c>
      <c r="G594" s="120">
        <v>101.71530519015121</v>
      </c>
      <c r="H594" s="120">
        <v>20.96</v>
      </c>
      <c r="I594" s="117">
        <v>159</v>
      </c>
      <c r="J594" s="119" t="s">
        <v>271</v>
      </c>
    </row>
    <row r="595" spans="1:10" x14ac:dyDescent="0.25">
      <c r="A595" s="117">
        <v>592</v>
      </c>
      <c r="B595" s="118" t="s">
        <v>2144</v>
      </c>
      <c r="C595" s="119" t="s">
        <v>2145</v>
      </c>
      <c r="D595" s="119" t="s">
        <v>449</v>
      </c>
      <c r="E595" s="119" t="s">
        <v>403</v>
      </c>
      <c r="F595" s="120">
        <v>1000</v>
      </c>
      <c r="G595" s="120">
        <v>1000</v>
      </c>
      <c r="H595" s="120">
        <v>0</v>
      </c>
      <c r="I595" s="117">
        <v>0</v>
      </c>
      <c r="J595" s="119" t="s">
        <v>240</v>
      </c>
    </row>
    <row r="596" spans="1:10" x14ac:dyDescent="0.25">
      <c r="A596" s="117">
        <v>593</v>
      </c>
      <c r="B596" s="118" t="s">
        <v>2018</v>
      </c>
      <c r="C596" s="119" t="s">
        <v>2019</v>
      </c>
      <c r="D596" s="119" t="s">
        <v>459</v>
      </c>
      <c r="E596" s="119" t="s">
        <v>403</v>
      </c>
      <c r="F596" s="120">
        <v>100.18029023730431</v>
      </c>
      <c r="G596" s="120">
        <v>100.7135902373043</v>
      </c>
      <c r="H596" s="120">
        <v>11.5</v>
      </c>
      <c r="I596" s="117">
        <v>134</v>
      </c>
      <c r="J596" s="119" t="s">
        <v>271</v>
      </c>
    </row>
    <row r="597" spans="1:10" x14ac:dyDescent="0.25">
      <c r="A597" s="117">
        <v>594</v>
      </c>
      <c r="B597" s="118" t="s">
        <v>2025</v>
      </c>
      <c r="C597" s="119" t="s">
        <v>2026</v>
      </c>
      <c r="D597" s="119" t="s">
        <v>459</v>
      </c>
      <c r="E597" s="119" t="s">
        <v>403</v>
      </c>
      <c r="F597" s="120">
        <v>100.20757478366538</v>
      </c>
      <c r="G597" s="120">
        <v>100.37427478366538</v>
      </c>
      <c r="H597" s="120">
        <v>11.47</v>
      </c>
      <c r="I597" s="117">
        <v>145</v>
      </c>
      <c r="J597" s="119" t="s">
        <v>271</v>
      </c>
    </row>
    <row r="598" spans="1:10" x14ac:dyDescent="0.25">
      <c r="A598" s="117">
        <v>595</v>
      </c>
      <c r="B598" s="118" t="s">
        <v>2031</v>
      </c>
      <c r="C598" s="119" t="s">
        <v>2032</v>
      </c>
      <c r="D598" s="119" t="s">
        <v>459</v>
      </c>
      <c r="E598" s="119" t="s">
        <v>403</v>
      </c>
      <c r="F598" s="120">
        <v>102.08610501069155</v>
      </c>
      <c r="G598" s="120">
        <v>102.08610501069155</v>
      </c>
      <c r="H598" s="120">
        <v>16.78</v>
      </c>
      <c r="I598" s="117">
        <v>150</v>
      </c>
      <c r="J598" s="119" t="s">
        <v>271</v>
      </c>
    </row>
    <row r="599" spans="1:10" x14ac:dyDescent="0.25">
      <c r="A599" s="117">
        <v>596</v>
      </c>
      <c r="B599" s="118" t="s">
        <v>2037</v>
      </c>
      <c r="C599" s="119" t="s">
        <v>2038</v>
      </c>
      <c r="D599" s="119" t="s">
        <v>459</v>
      </c>
      <c r="E599" s="119" t="s">
        <v>403</v>
      </c>
      <c r="F599" s="120">
        <v>100.22254782606815</v>
      </c>
      <c r="G599" s="120">
        <v>101.18924782606815</v>
      </c>
      <c r="H599" s="120">
        <v>11.45</v>
      </c>
      <c r="I599" s="117">
        <v>151</v>
      </c>
      <c r="J599" s="119" t="s">
        <v>271</v>
      </c>
    </row>
    <row r="600" spans="1:10" x14ac:dyDescent="0.25">
      <c r="A600" s="117">
        <v>597</v>
      </c>
      <c r="B600" s="118" t="s">
        <v>2039</v>
      </c>
      <c r="C600" s="119" t="s">
        <v>2040</v>
      </c>
      <c r="D600" s="119" t="s">
        <v>459</v>
      </c>
      <c r="E600" s="119" t="s">
        <v>403</v>
      </c>
      <c r="F600" s="120">
        <v>100.22254782606815</v>
      </c>
      <c r="G600" s="120">
        <v>101.18924782606815</v>
      </c>
      <c r="H600" s="120">
        <v>11.45</v>
      </c>
      <c r="I600" s="117">
        <v>151</v>
      </c>
      <c r="J600" s="119" t="s">
        <v>271</v>
      </c>
    </row>
    <row r="601" spans="1:10" x14ac:dyDescent="0.25">
      <c r="A601" s="117">
        <v>598</v>
      </c>
      <c r="B601" s="118" t="s">
        <v>2108</v>
      </c>
      <c r="C601" s="119" t="s">
        <v>2109</v>
      </c>
      <c r="D601" s="119" t="s">
        <v>459</v>
      </c>
      <c r="E601" s="119" t="s">
        <v>403</v>
      </c>
      <c r="F601" s="120">
        <v>100.23743900501465</v>
      </c>
      <c r="G601" s="120">
        <v>101.03743900501465</v>
      </c>
      <c r="H601" s="120">
        <v>11.52</v>
      </c>
      <c r="I601" s="117">
        <v>186</v>
      </c>
      <c r="J601" s="119" t="s">
        <v>271</v>
      </c>
    </row>
    <row r="602" spans="1:10" x14ac:dyDescent="0.25">
      <c r="A602" s="117">
        <v>599</v>
      </c>
      <c r="B602" s="118" t="s">
        <v>2115</v>
      </c>
      <c r="C602" s="119" t="s">
        <v>2116</v>
      </c>
      <c r="D602" s="119" t="s">
        <v>459</v>
      </c>
      <c r="E602" s="119" t="s">
        <v>403</v>
      </c>
      <c r="F602" s="120">
        <v>100.47285238401909</v>
      </c>
      <c r="G602" s="120">
        <v>100.57285238401909</v>
      </c>
      <c r="H602" s="120">
        <v>11.25</v>
      </c>
      <c r="I602" s="117">
        <v>237</v>
      </c>
      <c r="J602" s="119" t="s">
        <v>271</v>
      </c>
    </row>
    <row r="603" spans="1:10" x14ac:dyDescent="0.25">
      <c r="A603" s="117">
        <v>600</v>
      </c>
      <c r="B603" s="118" t="s">
        <v>2168</v>
      </c>
      <c r="C603" s="119" t="s">
        <v>2169</v>
      </c>
      <c r="D603" s="119" t="s">
        <v>459</v>
      </c>
      <c r="E603" s="119" t="s">
        <v>403</v>
      </c>
      <c r="F603" s="120">
        <v>99.99</v>
      </c>
      <c r="G603" s="120">
        <v>100.6011</v>
      </c>
      <c r="H603" s="120">
        <v>22</v>
      </c>
      <c r="I603" s="117">
        <v>590</v>
      </c>
      <c r="J603" s="119" t="s">
        <v>271</v>
      </c>
    </row>
    <row r="604" spans="1:10" x14ac:dyDescent="0.25">
      <c r="A604" s="117">
        <v>601</v>
      </c>
      <c r="B604" s="118" t="s">
        <v>2229</v>
      </c>
      <c r="C604" s="119" t="s">
        <v>2230</v>
      </c>
      <c r="D604" s="119" t="s">
        <v>459</v>
      </c>
      <c r="E604" s="119" t="s">
        <v>403</v>
      </c>
      <c r="F604" s="120">
        <v>99.998999999999995</v>
      </c>
      <c r="G604" s="120">
        <v>101.4657</v>
      </c>
      <c r="H604" s="120">
        <v>22</v>
      </c>
      <c r="I604" s="117">
        <v>636</v>
      </c>
      <c r="J604" s="119" t="s">
        <v>271</v>
      </c>
    </row>
    <row r="605" spans="1:10" x14ac:dyDescent="0.25">
      <c r="A605" s="117">
        <v>602</v>
      </c>
      <c r="B605" s="118" t="s">
        <v>2231</v>
      </c>
      <c r="C605" s="119" t="s">
        <v>2232</v>
      </c>
      <c r="D605" s="119" t="s">
        <v>459</v>
      </c>
      <c r="E605" s="119" t="s">
        <v>403</v>
      </c>
      <c r="F605" s="120">
        <v>99.998999999999995</v>
      </c>
      <c r="G605" s="120">
        <v>100.9157</v>
      </c>
      <c r="H605" s="120">
        <v>22</v>
      </c>
      <c r="I605" s="117">
        <v>675</v>
      </c>
      <c r="J605" s="119" t="s">
        <v>271</v>
      </c>
    </row>
    <row r="606" spans="1:10" x14ac:dyDescent="0.25">
      <c r="A606" s="117">
        <v>603</v>
      </c>
      <c r="B606" s="118" t="s">
        <v>2170</v>
      </c>
      <c r="C606" s="119" t="s">
        <v>2171</v>
      </c>
      <c r="D606" s="119" t="s">
        <v>459</v>
      </c>
      <c r="E606" s="119" t="s">
        <v>403</v>
      </c>
      <c r="F606" s="120">
        <v>101.33214507190341</v>
      </c>
      <c r="G606" s="120">
        <v>101.66544507190341</v>
      </c>
      <c r="H606" s="120">
        <v>11.11</v>
      </c>
      <c r="I606" s="117">
        <v>590</v>
      </c>
      <c r="J606" s="119" t="s">
        <v>271</v>
      </c>
    </row>
    <row r="607" spans="1:10" x14ac:dyDescent="0.25">
      <c r="A607" s="117">
        <v>604</v>
      </c>
      <c r="B607" s="118" t="s">
        <v>2233</v>
      </c>
      <c r="C607" s="119" t="s">
        <v>2234</v>
      </c>
      <c r="D607" s="119" t="s">
        <v>459</v>
      </c>
      <c r="E607" s="119" t="s">
        <v>403</v>
      </c>
      <c r="F607" s="120">
        <v>99.998999999999995</v>
      </c>
      <c r="G607" s="120">
        <v>100.7657</v>
      </c>
      <c r="H607" s="120">
        <v>12</v>
      </c>
      <c r="I607" s="117">
        <v>637</v>
      </c>
      <c r="J607" s="119" t="s">
        <v>271</v>
      </c>
    </row>
    <row r="608" spans="1:10" x14ac:dyDescent="0.25">
      <c r="A608" s="117">
        <v>605</v>
      </c>
      <c r="B608" s="118" t="s">
        <v>2235</v>
      </c>
      <c r="C608" s="119" t="s">
        <v>2236</v>
      </c>
      <c r="D608" s="119" t="s">
        <v>459</v>
      </c>
      <c r="E608" s="119" t="s">
        <v>403</v>
      </c>
      <c r="F608" s="120">
        <v>101.40103490629281</v>
      </c>
      <c r="G608" s="120">
        <v>101.60103490629281</v>
      </c>
      <c r="H608" s="120">
        <v>11.11</v>
      </c>
      <c r="I608" s="117">
        <v>624</v>
      </c>
      <c r="J608" s="119" t="s">
        <v>271</v>
      </c>
    </row>
    <row r="609" spans="1:10" x14ac:dyDescent="0.25">
      <c r="A609" s="117">
        <v>606</v>
      </c>
      <c r="B609" s="118" t="s">
        <v>2392</v>
      </c>
      <c r="C609" s="119" t="s">
        <v>2393</v>
      </c>
      <c r="D609" s="119" t="s">
        <v>459</v>
      </c>
      <c r="E609" s="119" t="s">
        <v>403</v>
      </c>
      <c r="F609" s="120">
        <v>99.998999999999995</v>
      </c>
      <c r="G609" s="120">
        <v>100.1823</v>
      </c>
      <c r="H609" s="120">
        <v>11</v>
      </c>
      <c r="I609" s="117">
        <v>684</v>
      </c>
      <c r="J609" s="119" t="s">
        <v>271</v>
      </c>
    </row>
    <row r="610" spans="1:10" x14ac:dyDescent="0.25">
      <c r="A610" s="117">
        <v>607</v>
      </c>
      <c r="B610" s="118" t="s">
        <v>1393</v>
      </c>
      <c r="C610" s="119" t="s">
        <v>1394</v>
      </c>
      <c r="D610" s="119" t="s">
        <v>459</v>
      </c>
      <c r="E610" s="119" t="s">
        <v>403</v>
      </c>
      <c r="F610" s="120">
        <v>100.02512889454579</v>
      </c>
      <c r="G610" s="120">
        <v>103.08072889454579</v>
      </c>
      <c r="H610" s="120">
        <v>21.94</v>
      </c>
      <c r="I610" s="117">
        <v>400</v>
      </c>
      <c r="J610" s="119" t="s">
        <v>271</v>
      </c>
    </row>
    <row r="611" spans="1:10" x14ac:dyDescent="0.25">
      <c r="A611" s="117">
        <v>608</v>
      </c>
      <c r="B611" s="118" t="s">
        <v>1395</v>
      </c>
      <c r="C611" s="119" t="s">
        <v>1396</v>
      </c>
      <c r="D611" s="119" t="s">
        <v>459</v>
      </c>
      <c r="E611" s="119" t="s">
        <v>403</v>
      </c>
      <c r="F611" s="120">
        <v>100.02649738924639</v>
      </c>
      <c r="G611" s="120">
        <v>101.19319738924639</v>
      </c>
      <c r="H611" s="120">
        <v>20.73</v>
      </c>
      <c r="I611" s="117">
        <v>40</v>
      </c>
      <c r="J611" s="119" t="s">
        <v>271</v>
      </c>
    </row>
    <row r="612" spans="1:10" x14ac:dyDescent="0.25">
      <c r="A612" s="117">
        <v>609</v>
      </c>
      <c r="B612" s="118" t="s">
        <v>1397</v>
      </c>
      <c r="C612" s="119" t="s">
        <v>1398</v>
      </c>
      <c r="D612" s="119" t="s">
        <v>459</v>
      </c>
      <c r="E612" s="119" t="s">
        <v>403</v>
      </c>
      <c r="F612" s="120">
        <v>100</v>
      </c>
      <c r="G612" s="120">
        <v>100.61109999999999</v>
      </c>
      <c r="H612" s="120">
        <v>10.99</v>
      </c>
      <c r="I612" s="117">
        <v>40</v>
      </c>
      <c r="J612" s="119" t="s">
        <v>271</v>
      </c>
    </row>
    <row r="613" spans="1:10" x14ac:dyDescent="0.25">
      <c r="A613" s="117">
        <v>610</v>
      </c>
      <c r="B613" s="118" t="s">
        <v>1399</v>
      </c>
      <c r="C613" s="119" t="s">
        <v>1400</v>
      </c>
      <c r="D613" s="119" t="s">
        <v>459</v>
      </c>
      <c r="E613" s="119" t="s">
        <v>1401</v>
      </c>
      <c r="F613" s="120">
        <v>100</v>
      </c>
      <c r="G613" s="120">
        <v>100.3111</v>
      </c>
      <c r="H613" s="120">
        <v>13.99</v>
      </c>
      <c r="I613" s="117">
        <v>262</v>
      </c>
      <c r="J613" s="119" t="s">
        <v>271</v>
      </c>
    </row>
    <row r="614" spans="1:10" x14ac:dyDescent="0.25">
      <c r="A614" s="117">
        <v>611</v>
      </c>
      <c r="B614" s="118" t="s">
        <v>113</v>
      </c>
      <c r="C614" s="119" t="s">
        <v>114</v>
      </c>
      <c r="D614" s="119" t="s">
        <v>459</v>
      </c>
      <c r="E614" s="119" t="s">
        <v>112</v>
      </c>
      <c r="F614" s="120">
        <v>100.15242443325793</v>
      </c>
      <c r="G614" s="120">
        <v>100.92642443325794</v>
      </c>
      <c r="H614" s="120">
        <v>22.02</v>
      </c>
      <c r="I614" s="117">
        <v>48</v>
      </c>
      <c r="J614" s="119" t="s">
        <v>271</v>
      </c>
    </row>
    <row r="615" spans="1:10" x14ac:dyDescent="0.25">
      <c r="A615" s="117">
        <v>612</v>
      </c>
      <c r="B615" s="118" t="s">
        <v>115</v>
      </c>
      <c r="C615" s="119" t="s">
        <v>116</v>
      </c>
      <c r="D615" s="119" t="s">
        <v>459</v>
      </c>
      <c r="E615" s="119" t="s">
        <v>112</v>
      </c>
      <c r="F615" s="120">
        <v>99.2</v>
      </c>
      <c r="G615" s="120">
        <v>99.2</v>
      </c>
      <c r="H615" s="120">
        <v>21.47</v>
      </c>
      <c r="I615" s="117">
        <v>210</v>
      </c>
      <c r="J615" s="119" t="s">
        <v>271</v>
      </c>
    </row>
    <row r="616" spans="1:10" x14ac:dyDescent="0.25">
      <c r="A616" s="117">
        <v>613</v>
      </c>
      <c r="B616" s="118" t="s">
        <v>1402</v>
      </c>
      <c r="C616" s="119" t="s">
        <v>1403</v>
      </c>
      <c r="D616" s="119" t="s">
        <v>459</v>
      </c>
      <c r="E616" s="119" t="s">
        <v>112</v>
      </c>
      <c r="F616" s="120">
        <v>99</v>
      </c>
      <c r="G616" s="120">
        <v>99.222200000000001</v>
      </c>
      <c r="H616" s="120">
        <v>10.73</v>
      </c>
      <c r="I616" s="117">
        <v>532</v>
      </c>
      <c r="J616" s="119" t="s">
        <v>271</v>
      </c>
    </row>
    <row r="617" spans="1:10" x14ac:dyDescent="0.25">
      <c r="A617" s="117">
        <v>614</v>
      </c>
      <c r="B617" s="118" t="s">
        <v>356</v>
      </c>
      <c r="C617" s="119" t="s">
        <v>357</v>
      </c>
      <c r="D617" s="119" t="s">
        <v>459</v>
      </c>
      <c r="E617" s="119" t="s">
        <v>112</v>
      </c>
      <c r="F617" s="120">
        <v>100</v>
      </c>
      <c r="G617" s="120">
        <v>100.6872</v>
      </c>
      <c r="H617" s="120">
        <v>22.49</v>
      </c>
      <c r="I617" s="117">
        <v>679</v>
      </c>
      <c r="J617" s="119" t="s">
        <v>271</v>
      </c>
    </row>
    <row r="618" spans="1:10" x14ac:dyDescent="0.25">
      <c r="A618" s="117">
        <v>615</v>
      </c>
      <c r="B618" s="118" t="s">
        <v>1404</v>
      </c>
      <c r="C618" s="119" t="s">
        <v>1405</v>
      </c>
      <c r="D618" s="119" t="s">
        <v>459</v>
      </c>
      <c r="E618" s="119" t="s">
        <v>112</v>
      </c>
      <c r="F618" s="120">
        <v>96.234906153261633</v>
      </c>
      <c r="G618" s="120">
        <v>97.712706153261635</v>
      </c>
      <c r="H618" s="120">
        <v>21.05</v>
      </c>
      <c r="I618" s="117">
        <v>842</v>
      </c>
      <c r="J618" s="119" t="s">
        <v>271</v>
      </c>
    </row>
    <row r="619" spans="1:10" x14ac:dyDescent="0.25">
      <c r="A619" s="117">
        <v>616</v>
      </c>
      <c r="B619" s="118" t="s">
        <v>389</v>
      </c>
      <c r="C619" s="119" t="s">
        <v>390</v>
      </c>
      <c r="D619" s="119" t="s">
        <v>459</v>
      </c>
      <c r="E619" s="119" t="s">
        <v>112</v>
      </c>
      <c r="F619" s="120">
        <v>96.9739</v>
      </c>
      <c r="G619" s="120">
        <v>97.237799999999993</v>
      </c>
      <c r="H619" s="120">
        <v>22.2</v>
      </c>
      <c r="I619" s="117">
        <v>385</v>
      </c>
      <c r="J619" s="119" t="s">
        <v>271</v>
      </c>
    </row>
    <row r="620" spans="1:10" x14ac:dyDescent="0.25">
      <c r="A620" s="117">
        <v>617</v>
      </c>
      <c r="B620" s="118" t="s">
        <v>2027</v>
      </c>
      <c r="C620" s="119" t="s">
        <v>2028</v>
      </c>
      <c r="D620" s="119" t="s">
        <v>459</v>
      </c>
      <c r="E620" s="119" t="s">
        <v>112</v>
      </c>
      <c r="F620" s="120">
        <v>99.897434045605934</v>
      </c>
      <c r="G620" s="120">
        <v>100.30573404560593</v>
      </c>
      <c r="H620" s="120">
        <v>21.05</v>
      </c>
      <c r="I620" s="117">
        <v>863</v>
      </c>
      <c r="J620" s="119" t="s">
        <v>271</v>
      </c>
    </row>
    <row r="621" spans="1:10" x14ac:dyDescent="0.25">
      <c r="A621" s="117">
        <v>618</v>
      </c>
      <c r="B621" s="118" t="s">
        <v>2055</v>
      </c>
      <c r="C621" s="119" t="s">
        <v>2056</v>
      </c>
      <c r="D621" s="119" t="s">
        <v>459</v>
      </c>
      <c r="E621" s="119" t="s">
        <v>112</v>
      </c>
      <c r="F621" s="120">
        <v>100</v>
      </c>
      <c r="G621" s="120">
        <v>100.8167</v>
      </c>
      <c r="H621" s="120">
        <v>21</v>
      </c>
      <c r="I621" s="117">
        <v>886</v>
      </c>
      <c r="J621" s="119" t="s">
        <v>271</v>
      </c>
    </row>
    <row r="622" spans="1:10" x14ac:dyDescent="0.25">
      <c r="A622" s="117">
        <v>619</v>
      </c>
      <c r="B622" s="118" t="s">
        <v>2100</v>
      </c>
      <c r="C622" s="119" t="s">
        <v>2101</v>
      </c>
      <c r="D622" s="119" t="s">
        <v>459</v>
      </c>
      <c r="E622" s="119" t="s">
        <v>112</v>
      </c>
      <c r="F622" s="120">
        <v>102.65984853844556</v>
      </c>
      <c r="G622" s="120">
        <v>104.27764853844556</v>
      </c>
      <c r="H622" s="120">
        <v>21.03</v>
      </c>
      <c r="I622" s="117">
        <v>904</v>
      </c>
      <c r="J622" s="119" t="s">
        <v>271</v>
      </c>
    </row>
    <row r="623" spans="1:10" x14ac:dyDescent="0.25">
      <c r="A623" s="117">
        <v>620</v>
      </c>
      <c r="B623" s="118" t="s">
        <v>2102</v>
      </c>
      <c r="C623" s="119" t="s">
        <v>2103</v>
      </c>
      <c r="D623" s="119" t="s">
        <v>459</v>
      </c>
      <c r="E623" s="119" t="s">
        <v>112</v>
      </c>
      <c r="F623" s="120">
        <v>100.62285421788584</v>
      </c>
      <c r="G623" s="120">
        <v>100.98485421788585</v>
      </c>
      <c r="H623" s="120">
        <v>21.42</v>
      </c>
      <c r="I623" s="117">
        <v>984</v>
      </c>
      <c r="J623" s="119" t="s">
        <v>271</v>
      </c>
    </row>
    <row r="624" spans="1:10" x14ac:dyDescent="0.25">
      <c r="A624" s="117">
        <v>621</v>
      </c>
      <c r="B624" s="118" t="s">
        <v>2172</v>
      </c>
      <c r="C624" s="119" t="s">
        <v>2173</v>
      </c>
      <c r="D624" s="119" t="s">
        <v>459</v>
      </c>
      <c r="E624" s="119" t="s">
        <v>2174</v>
      </c>
      <c r="F624" s="120">
        <v>100.37316817656895</v>
      </c>
      <c r="G624" s="120">
        <v>101.51206817656895</v>
      </c>
      <c r="H624" s="120">
        <v>9.75</v>
      </c>
      <c r="I624" s="117">
        <v>589</v>
      </c>
      <c r="J624" s="119" t="s">
        <v>271</v>
      </c>
    </row>
    <row r="625" spans="1:10" x14ac:dyDescent="0.25">
      <c r="A625" s="117">
        <v>622</v>
      </c>
      <c r="B625" s="118" t="s">
        <v>1406</v>
      </c>
      <c r="C625" s="119" t="s">
        <v>1407</v>
      </c>
      <c r="D625" s="119" t="s">
        <v>459</v>
      </c>
      <c r="E625" s="119" t="s">
        <v>386</v>
      </c>
      <c r="F625" s="120">
        <v>95.464016953589933</v>
      </c>
      <c r="G625" s="120">
        <v>96.741816953589932</v>
      </c>
      <c r="H625" s="120">
        <v>36.58</v>
      </c>
      <c r="I625" s="117">
        <v>130</v>
      </c>
      <c r="J625" s="119" t="s">
        <v>271</v>
      </c>
    </row>
    <row r="626" spans="1:10" x14ac:dyDescent="0.25">
      <c r="A626" s="117">
        <v>623</v>
      </c>
      <c r="B626" s="118" t="s">
        <v>384</v>
      </c>
      <c r="C626" s="119" t="s">
        <v>385</v>
      </c>
      <c r="D626" s="119" t="s">
        <v>459</v>
      </c>
      <c r="E626" s="119" t="s">
        <v>386</v>
      </c>
      <c r="F626" s="120">
        <v>99.078630134588039</v>
      </c>
      <c r="G626" s="120">
        <v>99.486930134588036</v>
      </c>
      <c r="H626" s="120">
        <v>35.729999999999997</v>
      </c>
      <c r="I626" s="117">
        <v>23</v>
      </c>
      <c r="J626" s="119" t="s">
        <v>271</v>
      </c>
    </row>
    <row r="627" spans="1:10" x14ac:dyDescent="0.25">
      <c r="A627" s="117">
        <v>624</v>
      </c>
      <c r="B627" s="118" t="s">
        <v>401</v>
      </c>
      <c r="C627" s="119" t="s">
        <v>402</v>
      </c>
      <c r="D627" s="119" t="s">
        <v>459</v>
      </c>
      <c r="E627" s="119" t="s">
        <v>386</v>
      </c>
      <c r="F627" s="120">
        <v>81.175620799415015</v>
      </c>
      <c r="G627" s="120">
        <v>82.458920799415026</v>
      </c>
      <c r="H627" s="120">
        <v>36.57</v>
      </c>
      <c r="I627" s="117">
        <v>639</v>
      </c>
      <c r="J627" s="119" t="s">
        <v>271</v>
      </c>
    </row>
    <row r="628" spans="1:10" x14ac:dyDescent="0.25">
      <c r="A628" s="117">
        <v>625</v>
      </c>
      <c r="B628" s="118" t="s">
        <v>393</v>
      </c>
      <c r="C628" s="119" t="s">
        <v>394</v>
      </c>
      <c r="D628" s="119" t="s">
        <v>459</v>
      </c>
      <c r="E628" s="119" t="s">
        <v>386</v>
      </c>
      <c r="F628" s="120">
        <v>86.109382095970076</v>
      </c>
      <c r="G628" s="120">
        <v>87.626082095970077</v>
      </c>
      <c r="H628" s="120">
        <v>36.590000000000003</v>
      </c>
      <c r="I628" s="117">
        <v>394</v>
      </c>
      <c r="J628" s="119" t="s">
        <v>271</v>
      </c>
    </row>
    <row r="629" spans="1:10" x14ac:dyDescent="0.25">
      <c r="A629" s="117">
        <v>626</v>
      </c>
      <c r="B629" s="118" t="s">
        <v>2086</v>
      </c>
      <c r="C629" s="119" t="s">
        <v>2087</v>
      </c>
      <c r="D629" s="119" t="s">
        <v>459</v>
      </c>
      <c r="E629" s="119" t="s">
        <v>386</v>
      </c>
      <c r="F629" s="120">
        <v>74.819592107899524</v>
      </c>
      <c r="G629" s="120">
        <v>76.452892107899515</v>
      </c>
      <c r="H629" s="120">
        <v>36.47</v>
      </c>
      <c r="I629" s="117">
        <v>902</v>
      </c>
      <c r="J629" s="119" t="s">
        <v>271</v>
      </c>
    </row>
    <row r="630" spans="1:10" x14ac:dyDescent="0.25">
      <c r="A630" s="117">
        <v>627</v>
      </c>
      <c r="B630" s="118" t="s">
        <v>2194</v>
      </c>
      <c r="C630" s="119" t="s">
        <v>2195</v>
      </c>
      <c r="D630" s="119" t="s">
        <v>459</v>
      </c>
      <c r="E630" s="119" t="s">
        <v>386</v>
      </c>
      <c r="F630" s="120">
        <v>90.066265595792231</v>
      </c>
      <c r="G630" s="120">
        <v>90.330165595792238</v>
      </c>
      <c r="H630" s="120">
        <v>36.31</v>
      </c>
      <c r="I630" s="117">
        <v>235</v>
      </c>
      <c r="J630" s="119" t="s">
        <v>271</v>
      </c>
    </row>
    <row r="631" spans="1:10" x14ac:dyDescent="0.25">
      <c r="A631" s="117">
        <v>628</v>
      </c>
      <c r="B631" s="118" t="s">
        <v>2317</v>
      </c>
      <c r="C631" s="119" t="s">
        <v>2318</v>
      </c>
      <c r="D631" s="119" t="s">
        <v>459</v>
      </c>
      <c r="E631" s="119" t="s">
        <v>386</v>
      </c>
      <c r="F631" s="120">
        <v>82.062973915400036</v>
      </c>
      <c r="G631" s="120">
        <v>82.307373915400035</v>
      </c>
      <c r="H631" s="120">
        <v>35.51</v>
      </c>
      <c r="I631" s="117">
        <v>656</v>
      </c>
      <c r="J631" s="119" t="s">
        <v>271</v>
      </c>
    </row>
    <row r="632" spans="1:10" x14ac:dyDescent="0.25">
      <c r="A632" s="117">
        <v>629</v>
      </c>
      <c r="B632" s="118" t="s">
        <v>2258</v>
      </c>
      <c r="C632" s="119" t="s">
        <v>2259</v>
      </c>
      <c r="D632" s="119" t="s">
        <v>459</v>
      </c>
      <c r="E632" s="119" t="s">
        <v>386</v>
      </c>
      <c r="F632" s="120">
        <v>97.815399999999997</v>
      </c>
      <c r="G632" s="120">
        <v>97.815399999999997</v>
      </c>
      <c r="H632" s="120">
        <v>22.07</v>
      </c>
      <c r="I632" s="117">
        <v>990</v>
      </c>
      <c r="J632" s="119" t="s">
        <v>271</v>
      </c>
    </row>
    <row r="633" spans="1:10" x14ac:dyDescent="0.25">
      <c r="A633" s="117">
        <v>630</v>
      </c>
      <c r="B633" s="118" t="s">
        <v>2387</v>
      </c>
      <c r="C633" s="119" t="s">
        <v>2388</v>
      </c>
      <c r="D633" s="119" t="s">
        <v>459</v>
      </c>
      <c r="E633" s="119" t="s">
        <v>386</v>
      </c>
      <c r="F633" s="120">
        <v>100.00210716479505</v>
      </c>
      <c r="G633" s="120">
        <v>101.10210716479506</v>
      </c>
      <c r="H633" s="120">
        <v>22</v>
      </c>
      <c r="I633" s="117">
        <v>672</v>
      </c>
      <c r="J633" s="119" t="s">
        <v>271</v>
      </c>
    </row>
    <row r="634" spans="1:10" x14ac:dyDescent="0.25">
      <c r="A634" s="117">
        <v>631</v>
      </c>
      <c r="B634" s="118" t="s">
        <v>1408</v>
      </c>
      <c r="C634" s="119" t="s">
        <v>1409</v>
      </c>
      <c r="D634" s="119" t="s">
        <v>459</v>
      </c>
      <c r="E634" s="119" t="s">
        <v>386</v>
      </c>
      <c r="F634" s="120">
        <v>94.9452197942407</v>
      </c>
      <c r="G634" s="120">
        <v>96.889619794240701</v>
      </c>
      <c r="H634" s="120">
        <v>36.08</v>
      </c>
      <c r="I634" s="117">
        <v>182</v>
      </c>
      <c r="J634" s="119" t="s">
        <v>271</v>
      </c>
    </row>
    <row r="635" spans="1:10" x14ac:dyDescent="0.25">
      <c r="A635" s="117">
        <v>632</v>
      </c>
      <c r="B635" s="118" t="s">
        <v>1410</v>
      </c>
      <c r="C635" s="119" t="s">
        <v>1411</v>
      </c>
      <c r="D635" s="119" t="s">
        <v>459</v>
      </c>
      <c r="E635" s="119" t="s">
        <v>386</v>
      </c>
      <c r="F635" s="120">
        <v>88.717437439761753</v>
      </c>
      <c r="G635" s="120">
        <v>89.550737439761761</v>
      </c>
      <c r="H635" s="120">
        <v>36.619999999999997</v>
      </c>
      <c r="I635" s="117">
        <v>438</v>
      </c>
      <c r="J635" s="119" t="s">
        <v>271</v>
      </c>
    </row>
    <row r="636" spans="1:10" x14ac:dyDescent="0.25">
      <c r="A636" s="117">
        <v>633</v>
      </c>
      <c r="B636" s="118" t="s">
        <v>1412</v>
      </c>
      <c r="C636" s="119" t="s">
        <v>1413</v>
      </c>
      <c r="D636" s="119" t="s">
        <v>449</v>
      </c>
      <c r="E636" s="119" t="s">
        <v>1414</v>
      </c>
      <c r="F636" s="120">
        <v>1000</v>
      </c>
      <c r="G636" s="120">
        <v>1000</v>
      </c>
      <c r="H636" s="120">
        <v>0</v>
      </c>
      <c r="I636" s="117">
        <v>0</v>
      </c>
      <c r="J636" s="119" t="s">
        <v>240</v>
      </c>
    </row>
    <row r="637" spans="1:10" x14ac:dyDescent="0.25">
      <c r="A637" s="117">
        <v>634</v>
      </c>
      <c r="B637" s="118" t="s">
        <v>1416</v>
      </c>
      <c r="C637" s="119" t="s">
        <v>1417</v>
      </c>
      <c r="D637" s="119" t="s">
        <v>459</v>
      </c>
      <c r="E637" s="119" t="s">
        <v>1415</v>
      </c>
      <c r="F637" s="120">
        <v>101.29027220164699</v>
      </c>
      <c r="G637" s="120">
        <v>101.34857220164697</v>
      </c>
      <c r="H637" s="120">
        <v>19.13</v>
      </c>
      <c r="I637" s="117">
        <v>269</v>
      </c>
      <c r="J637" s="119" t="s">
        <v>271</v>
      </c>
    </row>
    <row r="638" spans="1:10" x14ac:dyDescent="0.25">
      <c r="A638" s="117">
        <v>635</v>
      </c>
      <c r="B638" s="118" t="s">
        <v>2135</v>
      </c>
      <c r="C638" s="119" t="s">
        <v>2136</v>
      </c>
      <c r="D638" s="119" t="s">
        <v>459</v>
      </c>
      <c r="E638" s="119" t="s">
        <v>1415</v>
      </c>
      <c r="F638" s="120">
        <v>100.50687599568771</v>
      </c>
      <c r="G638" s="120">
        <v>100.5360759956877</v>
      </c>
      <c r="H638" s="120">
        <v>10.15</v>
      </c>
      <c r="I638" s="117">
        <v>569</v>
      </c>
      <c r="J638" s="119" t="s">
        <v>271</v>
      </c>
    </row>
    <row r="639" spans="1:10" x14ac:dyDescent="0.25">
      <c r="A639" s="117">
        <v>636</v>
      </c>
      <c r="B639" s="118" t="s">
        <v>2158</v>
      </c>
      <c r="C639" s="119" t="s">
        <v>2159</v>
      </c>
      <c r="D639" s="119" t="s">
        <v>459</v>
      </c>
      <c r="E639" s="119" t="s">
        <v>1418</v>
      </c>
      <c r="F639" s="120">
        <v>99.466974830032129</v>
      </c>
      <c r="G639" s="120">
        <v>99.855874830032121</v>
      </c>
      <c r="H639" s="120">
        <v>20.79</v>
      </c>
      <c r="I639" s="117">
        <v>263</v>
      </c>
      <c r="J639" s="119" t="s">
        <v>271</v>
      </c>
    </row>
    <row r="640" spans="1:10" x14ac:dyDescent="0.25">
      <c r="A640" s="117">
        <v>637</v>
      </c>
      <c r="B640" s="118" t="s">
        <v>2389</v>
      </c>
      <c r="C640" s="119" t="s">
        <v>2390</v>
      </c>
      <c r="D640" s="119" t="s">
        <v>459</v>
      </c>
      <c r="E640" s="119" t="s">
        <v>1418</v>
      </c>
      <c r="F640" s="120">
        <v>99.904250942985172</v>
      </c>
      <c r="G640" s="120">
        <v>102.35425094298516</v>
      </c>
      <c r="H640" s="120">
        <v>21.05</v>
      </c>
      <c r="I640" s="117">
        <v>498</v>
      </c>
      <c r="J640" s="119" t="s">
        <v>271</v>
      </c>
    </row>
    <row r="641" spans="1:10" x14ac:dyDescent="0.25">
      <c r="A641" s="117">
        <v>638</v>
      </c>
      <c r="B641" s="118" t="s">
        <v>1419</v>
      </c>
      <c r="C641" s="119" t="s">
        <v>1420</v>
      </c>
      <c r="D641" s="119" t="s">
        <v>459</v>
      </c>
      <c r="E641" s="119" t="s">
        <v>1418</v>
      </c>
      <c r="F641" s="120">
        <v>99.967799999999997</v>
      </c>
      <c r="G641" s="120">
        <v>104.8678</v>
      </c>
      <c r="H641" s="120">
        <v>21.03</v>
      </c>
      <c r="I641" s="117">
        <v>366</v>
      </c>
      <c r="J641" s="119" t="s">
        <v>271</v>
      </c>
    </row>
    <row r="642" spans="1:10" x14ac:dyDescent="0.25">
      <c r="A642" s="117">
        <v>639</v>
      </c>
      <c r="B642" s="118" t="s">
        <v>1421</v>
      </c>
      <c r="C642" s="119" t="s">
        <v>1422</v>
      </c>
      <c r="D642" s="119" t="s">
        <v>459</v>
      </c>
      <c r="E642" s="119" t="s">
        <v>1418</v>
      </c>
      <c r="F642" s="120">
        <v>100</v>
      </c>
      <c r="G642" s="120">
        <v>104.1417</v>
      </c>
      <c r="H642" s="120">
        <v>20.96</v>
      </c>
      <c r="I642" s="117">
        <v>199</v>
      </c>
      <c r="J642" s="119" t="s">
        <v>271</v>
      </c>
    </row>
    <row r="643" spans="1:10" x14ac:dyDescent="0.25">
      <c r="A643" s="117">
        <v>640</v>
      </c>
      <c r="B643" s="118" t="s">
        <v>1423</v>
      </c>
      <c r="C643" s="119" t="s">
        <v>1424</v>
      </c>
      <c r="D643" s="119" t="s">
        <v>459</v>
      </c>
      <c r="E643" s="119" t="s">
        <v>1418</v>
      </c>
      <c r="F643" s="120">
        <v>100.00807744999614</v>
      </c>
      <c r="G643" s="120">
        <v>104.14977744999612</v>
      </c>
      <c r="H643" s="120">
        <v>20.98</v>
      </c>
      <c r="I643" s="117">
        <v>559</v>
      </c>
      <c r="J643" s="119" t="s">
        <v>271</v>
      </c>
    </row>
    <row r="644" spans="1:10" x14ac:dyDescent="0.25">
      <c r="A644" s="117">
        <v>641</v>
      </c>
      <c r="B644" s="118" t="s">
        <v>1425</v>
      </c>
      <c r="C644" s="119" t="s">
        <v>1426</v>
      </c>
      <c r="D644" s="119" t="s">
        <v>449</v>
      </c>
      <c r="E644" s="119" t="s">
        <v>1418</v>
      </c>
      <c r="F644" s="120">
        <v>1000</v>
      </c>
      <c r="G644" s="120">
        <v>1000</v>
      </c>
      <c r="H644" s="120">
        <v>0</v>
      </c>
      <c r="I644" s="117">
        <v>0</v>
      </c>
      <c r="J644" s="119" t="s">
        <v>240</v>
      </c>
    </row>
    <row r="645" spans="1:10" x14ac:dyDescent="0.25">
      <c r="A645" s="117">
        <v>642</v>
      </c>
      <c r="B645" s="118" t="s">
        <v>1989</v>
      </c>
      <c r="C645" s="119" t="s">
        <v>1990</v>
      </c>
      <c r="D645" s="119" t="s">
        <v>459</v>
      </c>
      <c r="E645" s="119" t="s">
        <v>1418</v>
      </c>
      <c r="F645" s="120">
        <v>94.034651004014933</v>
      </c>
      <c r="G645" s="120">
        <v>94.034651004014933</v>
      </c>
      <c r="H645" s="120">
        <v>20.76</v>
      </c>
      <c r="I645" s="117">
        <v>110</v>
      </c>
      <c r="J645" s="119" t="s">
        <v>271</v>
      </c>
    </row>
    <row r="646" spans="1:10" x14ac:dyDescent="0.25">
      <c r="A646" s="117">
        <v>643</v>
      </c>
      <c r="B646" s="118" t="s">
        <v>1427</v>
      </c>
      <c r="C646" s="119" t="s">
        <v>1428</v>
      </c>
      <c r="D646" s="119" t="s">
        <v>459</v>
      </c>
      <c r="E646" s="119" t="s">
        <v>1429</v>
      </c>
      <c r="F646" s="120">
        <v>94.421899999999994</v>
      </c>
      <c r="G646" s="120">
        <v>96.346900000000005</v>
      </c>
      <c r="H646" s="120">
        <v>18.52</v>
      </c>
      <c r="I646" s="117">
        <v>297</v>
      </c>
      <c r="J646" s="119" t="s">
        <v>271</v>
      </c>
    </row>
    <row r="647" spans="1:10" x14ac:dyDescent="0.25">
      <c r="A647" s="117">
        <v>644</v>
      </c>
      <c r="B647" s="118" t="s">
        <v>1430</v>
      </c>
      <c r="C647" s="119" t="s">
        <v>1431</v>
      </c>
      <c r="D647" s="119" t="s">
        <v>459</v>
      </c>
      <c r="E647" s="119" t="s">
        <v>1429</v>
      </c>
      <c r="F647" s="120">
        <v>89.709858821856287</v>
      </c>
      <c r="G647" s="120">
        <v>92.082058821856279</v>
      </c>
      <c r="H647" s="120">
        <v>18.82</v>
      </c>
      <c r="I647" s="117">
        <v>1019</v>
      </c>
      <c r="J647" s="119" t="s">
        <v>271</v>
      </c>
    </row>
    <row r="648" spans="1:10" x14ac:dyDescent="0.25">
      <c r="A648" s="117">
        <v>645</v>
      </c>
      <c r="B648" s="118" t="s">
        <v>1432</v>
      </c>
      <c r="C648" s="119" t="s">
        <v>1433</v>
      </c>
      <c r="D648" s="119" t="s">
        <v>449</v>
      </c>
      <c r="E648" s="119" t="s">
        <v>1429</v>
      </c>
      <c r="F648" s="120">
        <v>1003</v>
      </c>
      <c r="G648" s="120">
        <v>1003</v>
      </c>
      <c r="H648" s="120">
        <v>0</v>
      </c>
      <c r="I648" s="117">
        <v>1439</v>
      </c>
      <c r="J648" s="119" t="s">
        <v>240</v>
      </c>
    </row>
    <row r="649" spans="1:10" x14ac:dyDescent="0.25">
      <c r="A649" s="117">
        <v>646</v>
      </c>
      <c r="B649" s="118" t="s">
        <v>2146</v>
      </c>
      <c r="C649" s="119" t="s">
        <v>2147</v>
      </c>
      <c r="D649" s="119" t="s">
        <v>449</v>
      </c>
      <c r="E649" s="119" t="s">
        <v>1429</v>
      </c>
      <c r="F649" s="120">
        <v>100.62</v>
      </c>
      <c r="G649" s="120">
        <v>100.62</v>
      </c>
      <c r="H649" s="120">
        <v>0</v>
      </c>
      <c r="I649" s="117">
        <v>1318</v>
      </c>
      <c r="J649" s="119" t="s">
        <v>240</v>
      </c>
    </row>
    <row r="650" spans="1:10" x14ac:dyDescent="0.25">
      <c r="A650" s="117">
        <v>647</v>
      </c>
      <c r="B650" s="118" t="s">
        <v>2458</v>
      </c>
      <c r="C650" s="119" t="s">
        <v>2459</v>
      </c>
      <c r="D650" s="119" t="s">
        <v>449</v>
      </c>
      <c r="E650" s="119" t="s">
        <v>1429</v>
      </c>
      <c r="F650" s="120">
        <v>1075.68</v>
      </c>
      <c r="G650" s="120">
        <v>1075.68</v>
      </c>
      <c r="H650" s="120">
        <v>0</v>
      </c>
      <c r="I650" s="117">
        <v>1412</v>
      </c>
      <c r="J650" s="119" t="s">
        <v>240</v>
      </c>
    </row>
    <row r="651" spans="1:10" x14ac:dyDescent="0.25">
      <c r="A651" s="117">
        <v>648</v>
      </c>
      <c r="B651" s="118" t="s">
        <v>1434</v>
      </c>
      <c r="C651" s="119" t="s">
        <v>1435</v>
      </c>
      <c r="D651" s="119" t="s">
        <v>459</v>
      </c>
      <c r="E651" s="119" t="s">
        <v>1436</v>
      </c>
      <c r="F651" s="120">
        <v>100.11269416050312</v>
      </c>
      <c r="G651" s="120">
        <v>100.84599416050312</v>
      </c>
      <c r="H651" s="120">
        <v>21.37</v>
      </c>
      <c r="I651" s="117">
        <v>78</v>
      </c>
      <c r="J651" s="119" t="s">
        <v>271</v>
      </c>
    </row>
    <row r="652" spans="1:10" x14ac:dyDescent="0.25">
      <c r="A652" s="117">
        <v>649</v>
      </c>
      <c r="B652" s="118" t="s">
        <v>1437</v>
      </c>
      <c r="C652" s="119" t="s">
        <v>1438</v>
      </c>
      <c r="D652" s="119" t="s">
        <v>459</v>
      </c>
      <c r="E652" s="119" t="s">
        <v>1436</v>
      </c>
      <c r="F652" s="120">
        <v>98.857334171280385</v>
      </c>
      <c r="G652" s="120">
        <v>102.67263417128038</v>
      </c>
      <c r="H652" s="120">
        <v>22.04</v>
      </c>
      <c r="I652" s="117">
        <v>293</v>
      </c>
      <c r="J652" s="119" t="s">
        <v>271</v>
      </c>
    </row>
    <row r="653" spans="1:10" x14ac:dyDescent="0.25">
      <c r="A653" s="117">
        <v>650</v>
      </c>
      <c r="B653" s="118" t="s">
        <v>2293</v>
      </c>
      <c r="C653" s="119" t="s">
        <v>2294</v>
      </c>
      <c r="D653" s="119" t="s">
        <v>459</v>
      </c>
      <c r="E653" s="119" t="s">
        <v>1436</v>
      </c>
      <c r="F653" s="120">
        <v>98.298120845204323</v>
      </c>
      <c r="G653" s="120">
        <v>102.43982084520432</v>
      </c>
      <c r="H653" s="120">
        <v>22.15</v>
      </c>
      <c r="I653" s="117">
        <v>649</v>
      </c>
      <c r="J653" s="119" t="s">
        <v>271</v>
      </c>
    </row>
    <row r="654" spans="1:10" x14ac:dyDescent="0.25">
      <c r="A654" s="117">
        <v>651</v>
      </c>
      <c r="B654" s="118" t="s">
        <v>1440</v>
      </c>
      <c r="C654" s="119" t="s">
        <v>1441</v>
      </c>
      <c r="D654" s="119" t="s">
        <v>459</v>
      </c>
      <c r="E654" s="119" t="s">
        <v>1439</v>
      </c>
      <c r="F654" s="120">
        <v>99.944227407607428</v>
      </c>
      <c r="G654" s="120">
        <v>102.27752740760742</v>
      </c>
      <c r="H654" s="120">
        <v>13.25</v>
      </c>
      <c r="I654" s="117">
        <v>6</v>
      </c>
      <c r="J654" s="119" t="s">
        <v>271</v>
      </c>
    </row>
    <row r="655" spans="1:10" x14ac:dyDescent="0.25">
      <c r="A655" s="117">
        <v>652</v>
      </c>
      <c r="B655" s="118" t="s">
        <v>1442</v>
      </c>
      <c r="C655" s="119" t="s">
        <v>1443</v>
      </c>
      <c r="D655" s="119" t="s">
        <v>459</v>
      </c>
      <c r="E655" s="119" t="s">
        <v>1439</v>
      </c>
      <c r="F655" s="120">
        <v>99.952137541607414</v>
      </c>
      <c r="G655" s="120">
        <v>102.31323754160741</v>
      </c>
      <c r="H655" s="120">
        <v>13.35</v>
      </c>
      <c r="I655" s="117">
        <v>5</v>
      </c>
      <c r="J655" s="119" t="s">
        <v>271</v>
      </c>
    </row>
    <row r="656" spans="1:10" x14ac:dyDescent="0.25">
      <c r="A656" s="117">
        <v>653</v>
      </c>
      <c r="B656" s="118" t="s">
        <v>1444</v>
      </c>
      <c r="C656" s="119" t="s">
        <v>1445</v>
      </c>
      <c r="D656" s="119" t="s">
        <v>459</v>
      </c>
      <c r="E656" s="119" t="s">
        <v>1439</v>
      </c>
      <c r="F656" s="120">
        <v>97.951309656813265</v>
      </c>
      <c r="G656" s="120">
        <v>101.89570965681327</v>
      </c>
      <c r="H656" s="120">
        <v>22.83</v>
      </c>
      <c r="I656" s="117">
        <v>289</v>
      </c>
      <c r="J656" s="119" t="s">
        <v>271</v>
      </c>
    </row>
    <row r="657" spans="1:10" x14ac:dyDescent="0.25">
      <c r="A657" s="117">
        <v>654</v>
      </c>
      <c r="B657" s="118" t="s">
        <v>2011</v>
      </c>
      <c r="C657" s="119" t="s">
        <v>2012</v>
      </c>
      <c r="D657" s="119" t="s">
        <v>459</v>
      </c>
      <c r="E657" s="119" t="s">
        <v>1439</v>
      </c>
      <c r="F657" s="120">
        <v>100.681502777963</v>
      </c>
      <c r="G657" s="120">
        <v>100.93430277796301</v>
      </c>
      <c r="H657" s="120">
        <v>12.49</v>
      </c>
      <c r="I657" s="117">
        <v>533</v>
      </c>
      <c r="J657" s="119" t="s">
        <v>271</v>
      </c>
    </row>
    <row r="658" spans="1:10" x14ac:dyDescent="0.25">
      <c r="A658" s="117">
        <v>655</v>
      </c>
      <c r="B658" s="118" t="s">
        <v>2239</v>
      </c>
      <c r="C658" s="119" t="s">
        <v>2240</v>
      </c>
      <c r="D658" s="119" t="s">
        <v>459</v>
      </c>
      <c r="E658" s="119" t="s">
        <v>1439</v>
      </c>
      <c r="F658" s="120">
        <v>92.14</v>
      </c>
      <c r="G658" s="120">
        <v>92.584400000000002</v>
      </c>
      <c r="H658" s="120">
        <v>24</v>
      </c>
      <c r="I658" s="117">
        <v>982</v>
      </c>
      <c r="J658" s="119" t="s">
        <v>271</v>
      </c>
    </row>
    <row r="659" spans="1:10" x14ac:dyDescent="0.25">
      <c r="A659" s="117">
        <v>656</v>
      </c>
      <c r="B659" s="118" t="s">
        <v>2613</v>
      </c>
      <c r="C659" s="119" t="s">
        <v>2614</v>
      </c>
      <c r="D659" s="119" t="s">
        <v>449</v>
      </c>
      <c r="E659" s="119" t="s">
        <v>1439</v>
      </c>
      <c r="F659" s="120">
        <v>54247</v>
      </c>
      <c r="G659" s="120">
        <v>54247</v>
      </c>
      <c r="H659" s="120">
        <v>0</v>
      </c>
      <c r="I659" s="117">
        <v>0</v>
      </c>
      <c r="J659" s="119" t="s">
        <v>240</v>
      </c>
    </row>
    <row r="660" spans="1:10" x14ac:dyDescent="0.25">
      <c r="A660" s="117">
        <v>657</v>
      </c>
      <c r="B660" s="118" t="s">
        <v>1446</v>
      </c>
      <c r="C660" s="119" t="s">
        <v>1447</v>
      </c>
      <c r="D660" s="119" t="s">
        <v>459</v>
      </c>
      <c r="E660" s="119" t="s">
        <v>1448</v>
      </c>
      <c r="F660" s="120">
        <v>100</v>
      </c>
      <c r="G660" s="120">
        <v>100.00279999999999</v>
      </c>
      <c r="H660" s="120">
        <v>0.02</v>
      </c>
      <c r="I660" s="117">
        <v>3064</v>
      </c>
      <c r="J660" s="119" t="s">
        <v>271</v>
      </c>
    </row>
    <row r="661" spans="1:10" x14ac:dyDescent="0.25">
      <c r="A661" s="117">
        <v>658</v>
      </c>
      <c r="B661" s="118" t="s">
        <v>1449</v>
      </c>
      <c r="C661" s="119" t="s">
        <v>1450</v>
      </c>
      <c r="D661" s="119" t="s">
        <v>459</v>
      </c>
      <c r="E661" s="119" t="s">
        <v>1448</v>
      </c>
      <c r="F661" s="120">
        <v>100</v>
      </c>
      <c r="G661" s="120">
        <v>105.8378</v>
      </c>
      <c r="H661" s="120">
        <v>7.06</v>
      </c>
      <c r="I661" s="117">
        <v>2161</v>
      </c>
      <c r="J661" s="119" t="s">
        <v>271</v>
      </c>
    </row>
    <row r="662" spans="1:10" x14ac:dyDescent="0.25">
      <c r="A662" s="117">
        <v>659</v>
      </c>
      <c r="B662" s="118" t="s">
        <v>1451</v>
      </c>
      <c r="C662" s="119" t="s">
        <v>1452</v>
      </c>
      <c r="D662" s="119" t="s">
        <v>459</v>
      </c>
      <c r="E662" s="119" t="s">
        <v>1448</v>
      </c>
      <c r="F662" s="120">
        <v>100</v>
      </c>
      <c r="G662" s="120">
        <v>101.5419</v>
      </c>
      <c r="H662" s="120">
        <v>6.08</v>
      </c>
      <c r="I662" s="117">
        <v>1679</v>
      </c>
      <c r="J662" s="119" t="s">
        <v>271</v>
      </c>
    </row>
    <row r="663" spans="1:10" x14ac:dyDescent="0.25">
      <c r="A663" s="117">
        <v>660</v>
      </c>
      <c r="B663" s="118" t="s">
        <v>1453</v>
      </c>
      <c r="C663" s="119" t="s">
        <v>1454</v>
      </c>
      <c r="D663" s="119" t="s">
        <v>459</v>
      </c>
      <c r="E663" s="119" t="s">
        <v>1448</v>
      </c>
      <c r="F663" s="120">
        <v>100</v>
      </c>
      <c r="G663" s="120">
        <v>106.48860000000001</v>
      </c>
      <c r="H663" s="120">
        <v>7.08</v>
      </c>
      <c r="I663" s="117">
        <v>2161</v>
      </c>
      <c r="J663" s="119" t="s">
        <v>271</v>
      </c>
    </row>
    <row r="664" spans="1:10" x14ac:dyDescent="0.25">
      <c r="A664" s="117">
        <v>661</v>
      </c>
      <c r="B664" s="118" t="s">
        <v>2367</v>
      </c>
      <c r="C664" s="119" t="s">
        <v>2368</v>
      </c>
      <c r="D664" s="119" t="s">
        <v>459</v>
      </c>
      <c r="E664" s="119" t="s">
        <v>1448</v>
      </c>
      <c r="F664" s="120">
        <v>90.801101472639161</v>
      </c>
      <c r="G664" s="120">
        <v>93.632201472639167</v>
      </c>
      <c r="H664" s="120">
        <v>20.38</v>
      </c>
      <c r="I664" s="117">
        <v>3544</v>
      </c>
      <c r="J664" s="119" t="s">
        <v>271</v>
      </c>
    </row>
    <row r="665" spans="1:10" x14ac:dyDescent="0.25">
      <c r="A665" s="117">
        <v>662</v>
      </c>
      <c r="B665" s="118" t="s">
        <v>2426</v>
      </c>
      <c r="C665" s="119" t="s">
        <v>2427</v>
      </c>
      <c r="D665" s="119" t="s">
        <v>459</v>
      </c>
      <c r="E665" s="119" t="s">
        <v>1448</v>
      </c>
      <c r="F665" s="120">
        <v>93.779675840159854</v>
      </c>
      <c r="G665" s="120">
        <v>95.197175840159844</v>
      </c>
      <c r="H665" s="120">
        <v>20.38</v>
      </c>
      <c r="I665" s="117">
        <v>3573</v>
      </c>
      <c r="J665" s="119" t="s">
        <v>271</v>
      </c>
    </row>
    <row r="666" spans="1:10" x14ac:dyDescent="0.25">
      <c r="A666" s="117">
        <v>663</v>
      </c>
      <c r="B666" s="118" t="s">
        <v>2460</v>
      </c>
      <c r="C666" s="119" t="s">
        <v>2461</v>
      </c>
      <c r="D666" s="119" t="s">
        <v>459</v>
      </c>
      <c r="E666" s="119" t="s">
        <v>1448</v>
      </c>
      <c r="F666" s="120">
        <v>93.749796632952638</v>
      </c>
      <c r="G666" s="120">
        <v>94.957296632952634</v>
      </c>
      <c r="H666" s="120">
        <v>20.39</v>
      </c>
      <c r="I666" s="117">
        <v>3577</v>
      </c>
      <c r="J666" s="119" t="s">
        <v>271</v>
      </c>
    </row>
    <row r="667" spans="1:10" x14ac:dyDescent="0.25">
      <c r="A667" s="117">
        <v>664</v>
      </c>
      <c r="B667" s="118" t="s">
        <v>1455</v>
      </c>
      <c r="C667" s="119" t="s">
        <v>1456</v>
      </c>
      <c r="D667" s="119" t="s">
        <v>459</v>
      </c>
      <c r="E667" s="119" t="s">
        <v>1448</v>
      </c>
      <c r="F667" s="120">
        <v>100</v>
      </c>
      <c r="G667" s="120">
        <v>105.01560000000001</v>
      </c>
      <c r="H667" s="120">
        <v>6.07</v>
      </c>
      <c r="I667" s="117">
        <v>2516</v>
      </c>
      <c r="J667" s="119" t="s">
        <v>271</v>
      </c>
    </row>
    <row r="668" spans="1:10" x14ac:dyDescent="0.25">
      <c r="A668" s="117">
        <v>665</v>
      </c>
      <c r="B668" s="118" t="s">
        <v>1457</v>
      </c>
      <c r="C668" s="119" t="s">
        <v>1458</v>
      </c>
      <c r="D668" s="119" t="s">
        <v>459</v>
      </c>
      <c r="E668" s="119" t="s">
        <v>1448</v>
      </c>
      <c r="F668" s="120">
        <v>100</v>
      </c>
      <c r="G668" s="120">
        <v>100.71169999999999</v>
      </c>
      <c r="H668" s="120">
        <v>6.09</v>
      </c>
      <c r="I668" s="117">
        <v>2088</v>
      </c>
      <c r="J668" s="119" t="s">
        <v>271</v>
      </c>
    </row>
    <row r="669" spans="1:10" x14ac:dyDescent="0.25">
      <c r="A669" s="117">
        <v>666</v>
      </c>
      <c r="B669" s="118" t="s">
        <v>1459</v>
      </c>
      <c r="C669" s="119" t="s">
        <v>1460</v>
      </c>
      <c r="D669" s="119" t="s">
        <v>459</v>
      </c>
      <c r="E669" s="119" t="s">
        <v>1448</v>
      </c>
      <c r="F669" s="120">
        <v>100</v>
      </c>
      <c r="G669" s="120">
        <v>105.01560000000001</v>
      </c>
      <c r="H669" s="120">
        <v>6.09</v>
      </c>
      <c r="I669" s="117">
        <v>2583</v>
      </c>
      <c r="J669" s="119" t="s">
        <v>271</v>
      </c>
    </row>
    <row r="670" spans="1:10" x14ac:dyDescent="0.25">
      <c r="A670" s="117">
        <v>667</v>
      </c>
      <c r="B670" s="118" t="s">
        <v>1461</v>
      </c>
      <c r="C670" s="119" t="s">
        <v>1462</v>
      </c>
      <c r="D670" s="119" t="s">
        <v>459</v>
      </c>
      <c r="E670" s="119" t="s">
        <v>1448</v>
      </c>
      <c r="F670" s="120">
        <v>100</v>
      </c>
      <c r="G670" s="120">
        <v>105.65940000000001</v>
      </c>
      <c r="H670" s="120">
        <v>6.09</v>
      </c>
      <c r="I670" s="117">
        <v>2516</v>
      </c>
      <c r="J670" s="119" t="s">
        <v>271</v>
      </c>
    </row>
    <row r="671" spans="1:10" x14ac:dyDescent="0.25">
      <c r="A671" s="117">
        <v>668</v>
      </c>
      <c r="B671" s="118" t="s">
        <v>1463</v>
      </c>
      <c r="C671" s="119" t="s">
        <v>1464</v>
      </c>
      <c r="D671" s="119" t="s">
        <v>459</v>
      </c>
      <c r="E671" s="119" t="s">
        <v>1448</v>
      </c>
      <c r="F671" s="120">
        <v>100</v>
      </c>
      <c r="G671" s="120">
        <v>105.65940000000001</v>
      </c>
      <c r="H671" s="120">
        <v>6.09</v>
      </c>
      <c r="I671" s="117">
        <v>2516</v>
      </c>
      <c r="J671" s="119" t="s">
        <v>271</v>
      </c>
    </row>
    <row r="672" spans="1:10" x14ac:dyDescent="0.25">
      <c r="A672" s="117">
        <v>669</v>
      </c>
      <c r="B672" s="118" t="s">
        <v>1465</v>
      </c>
      <c r="C672" s="119" t="s">
        <v>1466</v>
      </c>
      <c r="D672" s="119" t="s">
        <v>459</v>
      </c>
      <c r="E672" s="119" t="s">
        <v>1448</v>
      </c>
      <c r="F672" s="120">
        <v>100</v>
      </c>
      <c r="G672" s="120">
        <v>104.52419999999999</v>
      </c>
      <c r="H672" s="120">
        <v>6.08</v>
      </c>
      <c r="I672" s="117">
        <v>2583</v>
      </c>
      <c r="J672" s="119" t="s">
        <v>271</v>
      </c>
    </row>
    <row r="673" spans="1:10" x14ac:dyDescent="0.25">
      <c r="A673" s="117">
        <v>670</v>
      </c>
      <c r="B673" s="118" t="s">
        <v>2352</v>
      </c>
      <c r="C673" s="119" t="s">
        <v>2353</v>
      </c>
      <c r="D673" s="119" t="s">
        <v>459</v>
      </c>
      <c r="E673" s="119" t="s">
        <v>2354</v>
      </c>
      <c r="F673" s="120">
        <v>100.49011351265099</v>
      </c>
      <c r="G673" s="120">
        <v>102.20121351265099</v>
      </c>
      <c r="H673" s="120">
        <v>10.78</v>
      </c>
      <c r="I673" s="117">
        <v>1024</v>
      </c>
      <c r="J673" s="119" t="s">
        <v>271</v>
      </c>
    </row>
    <row r="674" spans="1:10" x14ac:dyDescent="0.25">
      <c r="A674" s="117">
        <v>671</v>
      </c>
      <c r="B674" s="118" t="s">
        <v>2255</v>
      </c>
      <c r="C674" s="119" t="s">
        <v>2256</v>
      </c>
      <c r="D674" s="119" t="s">
        <v>459</v>
      </c>
      <c r="E674" s="119" t="s">
        <v>2257</v>
      </c>
      <c r="F674" s="120">
        <v>107.19559210784659</v>
      </c>
      <c r="G674" s="120">
        <v>107.19559210784659</v>
      </c>
      <c r="H674" s="120">
        <v>22.42</v>
      </c>
      <c r="I674" s="117">
        <v>990</v>
      </c>
      <c r="J674" s="119" t="s">
        <v>271</v>
      </c>
    </row>
    <row r="675" spans="1:10" x14ac:dyDescent="0.25">
      <c r="A675" s="117">
        <v>672</v>
      </c>
      <c r="B675" s="118" t="s">
        <v>1467</v>
      </c>
      <c r="C675" s="119" t="s">
        <v>1468</v>
      </c>
      <c r="D675" s="119" t="s">
        <v>449</v>
      </c>
      <c r="E675" s="119" t="s">
        <v>1469</v>
      </c>
      <c r="F675" s="120">
        <v>52664.62</v>
      </c>
      <c r="G675" s="120">
        <v>52664.62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387</v>
      </c>
      <c r="C676" s="119" t="s">
        <v>388</v>
      </c>
      <c r="D676" s="119" t="s">
        <v>459</v>
      </c>
      <c r="E676" s="119" t="s">
        <v>111</v>
      </c>
      <c r="F676" s="120">
        <v>98.8459</v>
      </c>
      <c r="G676" s="120">
        <v>98.8459</v>
      </c>
      <c r="H676" s="120">
        <v>15.22</v>
      </c>
      <c r="I676" s="117">
        <v>28</v>
      </c>
      <c r="J676" s="119" t="s">
        <v>271</v>
      </c>
    </row>
    <row r="677" spans="1:10" x14ac:dyDescent="0.25">
      <c r="A677" s="117">
        <v>674</v>
      </c>
      <c r="B677" s="118" t="s">
        <v>2013</v>
      </c>
      <c r="C677" s="119" t="s">
        <v>2014</v>
      </c>
      <c r="D677" s="119" t="s">
        <v>459</v>
      </c>
      <c r="E677" s="119" t="s">
        <v>111</v>
      </c>
      <c r="F677" s="120">
        <v>94.423000000000002</v>
      </c>
      <c r="G677" s="120">
        <v>94.423000000000002</v>
      </c>
      <c r="H677" s="120">
        <v>16.21</v>
      </c>
      <c r="I677" s="117">
        <v>133</v>
      </c>
      <c r="J677" s="119" t="s">
        <v>271</v>
      </c>
    </row>
    <row r="678" spans="1:10" x14ac:dyDescent="0.25">
      <c r="A678" s="117">
        <v>675</v>
      </c>
      <c r="B678" s="118" t="s">
        <v>2166</v>
      </c>
      <c r="C678" s="119" t="s">
        <v>2167</v>
      </c>
      <c r="D678" s="119" t="s">
        <v>459</v>
      </c>
      <c r="E678" s="119" t="s">
        <v>111</v>
      </c>
      <c r="F678" s="120">
        <v>90.328299999999999</v>
      </c>
      <c r="G678" s="120">
        <v>90.328299999999999</v>
      </c>
      <c r="H678" s="120">
        <v>16.920000000000002</v>
      </c>
      <c r="I678" s="117">
        <v>231</v>
      </c>
      <c r="J678" s="119" t="s">
        <v>271</v>
      </c>
    </row>
    <row r="679" spans="1:10" x14ac:dyDescent="0.25">
      <c r="A679" s="117">
        <v>676</v>
      </c>
      <c r="B679" s="118" t="s">
        <v>1470</v>
      </c>
      <c r="C679" s="119" t="s">
        <v>1471</v>
      </c>
      <c r="D679" s="119" t="s">
        <v>449</v>
      </c>
      <c r="E679" s="119" t="s">
        <v>1472</v>
      </c>
      <c r="F679" s="120">
        <v>0.01</v>
      </c>
      <c r="G679" s="120">
        <v>0.01</v>
      </c>
      <c r="H679" s="120">
        <v>0</v>
      </c>
      <c r="I679" s="117">
        <v>0</v>
      </c>
      <c r="J679" s="119" t="s">
        <v>240</v>
      </c>
    </row>
    <row r="680" spans="1:10" x14ac:dyDescent="0.25">
      <c r="A680" s="117">
        <v>677</v>
      </c>
      <c r="B680" s="118" t="s">
        <v>1473</v>
      </c>
      <c r="C680" s="119" t="s">
        <v>1474</v>
      </c>
      <c r="D680" s="119" t="s">
        <v>449</v>
      </c>
      <c r="E680" s="119" t="s">
        <v>1472</v>
      </c>
      <c r="F680" s="120">
        <v>5695</v>
      </c>
      <c r="G680" s="120">
        <v>5695</v>
      </c>
      <c r="H680" s="120">
        <v>0</v>
      </c>
      <c r="I680" s="117">
        <v>0</v>
      </c>
      <c r="J680" s="119" t="s">
        <v>240</v>
      </c>
    </row>
    <row r="681" spans="1:10" x14ac:dyDescent="0.25">
      <c r="A681" s="117">
        <v>678</v>
      </c>
      <c r="B681" s="118" t="s">
        <v>1475</v>
      </c>
      <c r="C681" s="119" t="s">
        <v>1476</v>
      </c>
      <c r="D681" s="119" t="s">
        <v>449</v>
      </c>
      <c r="E681" s="119" t="s">
        <v>1477</v>
      </c>
      <c r="F681" s="120">
        <v>13000</v>
      </c>
      <c r="G681" s="120">
        <v>13000</v>
      </c>
      <c r="H681" s="120">
        <v>0</v>
      </c>
      <c r="I681" s="117">
        <v>0</v>
      </c>
      <c r="J681" s="119" t="s">
        <v>240</v>
      </c>
    </row>
    <row r="682" spans="1:10" x14ac:dyDescent="0.25">
      <c r="A682" s="117">
        <v>679</v>
      </c>
      <c r="B682" s="118" t="s">
        <v>1478</v>
      </c>
      <c r="C682" s="119" t="s">
        <v>1479</v>
      </c>
      <c r="D682" s="119" t="s">
        <v>459</v>
      </c>
      <c r="E682" s="119" t="s">
        <v>1480</v>
      </c>
      <c r="F682" s="120">
        <v>89.747232710459741</v>
      </c>
      <c r="G682" s="120">
        <v>92.713932710459744</v>
      </c>
      <c r="H682" s="120">
        <v>10.78</v>
      </c>
      <c r="I682" s="117">
        <v>902</v>
      </c>
      <c r="J682" s="119" t="s">
        <v>271</v>
      </c>
    </row>
    <row r="683" spans="1:10" x14ac:dyDescent="0.25">
      <c r="A683" s="117">
        <v>680</v>
      </c>
      <c r="B683" s="118" t="s">
        <v>117</v>
      </c>
      <c r="C683" s="119" t="s">
        <v>4</v>
      </c>
      <c r="D683" s="119" t="s">
        <v>459</v>
      </c>
      <c r="E683" s="119" t="s">
        <v>111</v>
      </c>
      <c r="F683" s="120">
        <v>98.246399999999994</v>
      </c>
      <c r="G683" s="120">
        <v>100.1729</v>
      </c>
      <c r="H683" s="120">
        <v>16.36</v>
      </c>
      <c r="I683" s="117">
        <v>115</v>
      </c>
      <c r="J683" s="119" t="s">
        <v>271</v>
      </c>
    </row>
    <row r="684" spans="1:10" x14ac:dyDescent="0.25">
      <c r="A684" s="117">
        <v>681</v>
      </c>
      <c r="B684" s="118" t="s">
        <v>118</v>
      </c>
      <c r="C684" s="119" t="s">
        <v>119</v>
      </c>
      <c r="D684" s="119" t="s">
        <v>459</v>
      </c>
      <c r="E684" s="119" t="s">
        <v>111</v>
      </c>
      <c r="F684" s="120">
        <v>97.899699999999996</v>
      </c>
      <c r="G684" s="120">
        <v>101.4136</v>
      </c>
      <c r="H684" s="120">
        <v>16.760000000000002</v>
      </c>
      <c r="I684" s="117">
        <v>268</v>
      </c>
      <c r="J684" s="119" t="s">
        <v>271</v>
      </c>
    </row>
    <row r="685" spans="1:10" x14ac:dyDescent="0.25">
      <c r="A685" s="117">
        <v>682</v>
      </c>
      <c r="B685" s="118" t="s">
        <v>120</v>
      </c>
      <c r="C685" s="119" t="s">
        <v>121</v>
      </c>
      <c r="D685" s="119" t="s">
        <v>459</v>
      </c>
      <c r="E685" s="119" t="s">
        <v>111</v>
      </c>
      <c r="F685" s="120">
        <v>97.365499999999997</v>
      </c>
      <c r="G685" s="120">
        <v>97.751599999999996</v>
      </c>
      <c r="H685" s="120">
        <v>16.93</v>
      </c>
      <c r="I685" s="117">
        <v>350</v>
      </c>
      <c r="J685" s="119" t="s">
        <v>271</v>
      </c>
    </row>
    <row r="686" spans="1:10" x14ac:dyDescent="0.25">
      <c r="A686" s="117">
        <v>683</v>
      </c>
      <c r="B686" s="118" t="s">
        <v>2380</v>
      </c>
      <c r="C686" s="119" t="s">
        <v>2379</v>
      </c>
      <c r="D686" s="119" t="s">
        <v>459</v>
      </c>
      <c r="E686" s="119" t="s">
        <v>111</v>
      </c>
      <c r="F686" s="120">
        <v>101.2432</v>
      </c>
      <c r="G686" s="120">
        <v>103.5585</v>
      </c>
      <c r="H686" s="120">
        <v>16.54</v>
      </c>
      <c r="I686" s="117">
        <v>1391</v>
      </c>
      <c r="J686" s="119" t="s">
        <v>271</v>
      </c>
    </row>
    <row r="687" spans="1:10" x14ac:dyDescent="0.25">
      <c r="A687" s="117">
        <v>684</v>
      </c>
      <c r="B687" s="118" t="s">
        <v>122</v>
      </c>
      <c r="C687" s="119" t="s">
        <v>123</v>
      </c>
      <c r="D687" s="119" t="s">
        <v>459</v>
      </c>
      <c r="E687" s="119" t="s">
        <v>111</v>
      </c>
      <c r="F687" s="120">
        <v>95.069100000000006</v>
      </c>
      <c r="G687" s="120">
        <v>96.585800000000006</v>
      </c>
      <c r="H687" s="120">
        <v>16.87</v>
      </c>
      <c r="I687" s="117">
        <v>308</v>
      </c>
      <c r="J687" s="119" t="s">
        <v>271</v>
      </c>
    </row>
    <row r="688" spans="1:10" x14ac:dyDescent="0.25">
      <c r="A688" s="117">
        <v>685</v>
      </c>
      <c r="B688" s="118" t="s">
        <v>124</v>
      </c>
      <c r="C688" s="119" t="s">
        <v>125</v>
      </c>
      <c r="D688" s="119" t="s">
        <v>459</v>
      </c>
      <c r="E688" s="119" t="s">
        <v>111</v>
      </c>
      <c r="F688" s="120">
        <v>97.287899999999993</v>
      </c>
      <c r="G688" s="120">
        <v>102.7457</v>
      </c>
      <c r="H688" s="120">
        <v>16.87</v>
      </c>
      <c r="I688" s="117">
        <v>772</v>
      </c>
      <c r="J688" s="119" t="s">
        <v>271</v>
      </c>
    </row>
    <row r="689" spans="1:10" x14ac:dyDescent="0.25">
      <c r="A689" s="117">
        <v>686</v>
      </c>
      <c r="B689" s="118" t="s">
        <v>2484</v>
      </c>
      <c r="C689" s="119" t="s">
        <v>2485</v>
      </c>
      <c r="D689" s="119" t="s">
        <v>459</v>
      </c>
      <c r="E689" s="119" t="s">
        <v>2486</v>
      </c>
      <c r="F689" s="120">
        <v>99.999099999999999</v>
      </c>
      <c r="G689" s="120">
        <v>100.4158</v>
      </c>
      <c r="H689" s="120">
        <v>10</v>
      </c>
      <c r="I689" s="117">
        <v>705</v>
      </c>
      <c r="J689" s="119" t="s">
        <v>271</v>
      </c>
    </row>
    <row r="690" spans="1:10" x14ac:dyDescent="0.25">
      <c r="A690" s="117">
        <v>687</v>
      </c>
      <c r="B690" s="118" t="s">
        <v>1481</v>
      </c>
      <c r="C690" s="119" t="s">
        <v>1482</v>
      </c>
      <c r="D690" s="119" t="s">
        <v>449</v>
      </c>
      <c r="E690" s="119" t="s">
        <v>1483</v>
      </c>
      <c r="F690" s="120">
        <v>0.01</v>
      </c>
      <c r="G690" s="120">
        <v>0.01</v>
      </c>
      <c r="H690" s="120">
        <v>0</v>
      </c>
      <c r="I690" s="117">
        <v>0</v>
      </c>
      <c r="J690" s="119" t="s">
        <v>240</v>
      </c>
    </row>
    <row r="691" spans="1:10" x14ac:dyDescent="0.25">
      <c r="A691" s="117">
        <v>688</v>
      </c>
      <c r="B691" s="118" t="s">
        <v>1484</v>
      </c>
      <c r="C691" s="119" t="s">
        <v>1485</v>
      </c>
      <c r="D691" s="119" t="s">
        <v>449</v>
      </c>
      <c r="E691" s="119" t="s">
        <v>1486</v>
      </c>
      <c r="F691" s="120">
        <v>13759.751550000001</v>
      </c>
      <c r="G691" s="120">
        <v>13759.751550000001</v>
      </c>
      <c r="H691" s="120">
        <v>0</v>
      </c>
      <c r="I691" s="117">
        <v>0</v>
      </c>
      <c r="J691" s="119" t="s">
        <v>240</v>
      </c>
    </row>
    <row r="692" spans="1:10" x14ac:dyDescent="0.25">
      <c r="A692" s="117">
        <v>689</v>
      </c>
      <c r="B692" s="118" t="s">
        <v>1487</v>
      </c>
      <c r="C692" s="119" t="s">
        <v>1488</v>
      </c>
      <c r="D692" s="119" t="s">
        <v>449</v>
      </c>
      <c r="E692" s="119" t="s">
        <v>1489</v>
      </c>
      <c r="F692" s="120">
        <v>275593.74644999998</v>
      </c>
      <c r="G692" s="120">
        <v>275593.74644999998</v>
      </c>
      <c r="H692" s="120">
        <v>0</v>
      </c>
      <c r="I692" s="117">
        <v>0</v>
      </c>
      <c r="J692" s="119" t="s">
        <v>240</v>
      </c>
    </row>
    <row r="693" spans="1:10" x14ac:dyDescent="0.25">
      <c r="A693" s="117">
        <v>690</v>
      </c>
      <c r="B693" s="118" t="s">
        <v>1490</v>
      </c>
      <c r="C693" s="119" t="s">
        <v>1491</v>
      </c>
      <c r="D693" s="119" t="s">
        <v>449</v>
      </c>
      <c r="E693" s="119" t="s">
        <v>1492</v>
      </c>
      <c r="F693" s="120">
        <v>108116.98334999999</v>
      </c>
      <c r="G693" s="120">
        <v>108116.98334999999</v>
      </c>
      <c r="H693" s="120">
        <v>0</v>
      </c>
      <c r="I693" s="117">
        <v>0</v>
      </c>
      <c r="J693" s="119" t="s">
        <v>240</v>
      </c>
    </row>
    <row r="694" spans="1:10" x14ac:dyDescent="0.25">
      <c r="A694" s="117">
        <v>691</v>
      </c>
      <c r="B694" s="118" t="s">
        <v>2357</v>
      </c>
      <c r="C694" s="119" t="s">
        <v>2351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16.837</v>
      </c>
      <c r="I694" s="117">
        <v>1403</v>
      </c>
      <c r="J694" s="119" t="s">
        <v>271</v>
      </c>
    </row>
    <row r="695" spans="1:10" x14ac:dyDescent="0.25">
      <c r="A695" s="117">
        <v>692</v>
      </c>
      <c r="B695" s="118" t="s">
        <v>126</v>
      </c>
      <c r="C695" s="119" t="s">
        <v>127</v>
      </c>
      <c r="D695" s="119" t="s">
        <v>459</v>
      </c>
      <c r="E695" s="119" t="s">
        <v>111</v>
      </c>
      <c r="F695" s="120">
        <v>100</v>
      </c>
      <c r="G695" s="120">
        <v>100</v>
      </c>
      <c r="H695" s="120">
        <v>17.16</v>
      </c>
      <c r="I695" s="117">
        <v>343</v>
      </c>
      <c r="J695" s="119" t="s">
        <v>271</v>
      </c>
    </row>
    <row r="696" spans="1:10" x14ac:dyDescent="0.25">
      <c r="A696" s="117">
        <v>693</v>
      </c>
      <c r="B696" s="118" t="s">
        <v>128</v>
      </c>
      <c r="C696" s="119" t="s">
        <v>129</v>
      </c>
      <c r="D696" s="119" t="s">
        <v>459</v>
      </c>
      <c r="E696" s="119" t="s">
        <v>111</v>
      </c>
      <c r="F696" s="120">
        <v>100</v>
      </c>
      <c r="G696" s="120">
        <v>100</v>
      </c>
      <c r="H696" s="120">
        <v>17.309999999999999</v>
      </c>
      <c r="I696" s="117">
        <v>738</v>
      </c>
      <c r="J696" s="119" t="s">
        <v>271</v>
      </c>
    </row>
    <row r="697" spans="1:10" x14ac:dyDescent="0.25">
      <c r="A697" s="117">
        <v>694</v>
      </c>
      <c r="B697" s="118" t="s">
        <v>130</v>
      </c>
      <c r="C697" s="119" t="s">
        <v>131</v>
      </c>
      <c r="D697" s="119" t="s">
        <v>459</v>
      </c>
      <c r="E697" s="119" t="s">
        <v>111</v>
      </c>
      <c r="F697" s="120">
        <v>100</v>
      </c>
      <c r="G697" s="120">
        <v>100</v>
      </c>
      <c r="H697" s="120">
        <v>17.510000000000002</v>
      </c>
      <c r="I697" s="117">
        <v>1132</v>
      </c>
      <c r="J697" s="119" t="s">
        <v>271</v>
      </c>
    </row>
    <row r="698" spans="1:10" x14ac:dyDescent="0.25">
      <c r="A698" s="117">
        <v>695</v>
      </c>
      <c r="B698" s="118" t="s">
        <v>132</v>
      </c>
      <c r="C698" s="119" t="s">
        <v>133</v>
      </c>
      <c r="D698" s="119" t="s">
        <v>459</v>
      </c>
      <c r="E698" s="119" t="s">
        <v>111</v>
      </c>
      <c r="F698" s="120">
        <v>100</v>
      </c>
      <c r="G698" s="120">
        <v>100</v>
      </c>
      <c r="H698" s="120">
        <v>17.61</v>
      </c>
      <c r="I698" s="117">
        <v>1597</v>
      </c>
      <c r="J698" s="119" t="s">
        <v>271</v>
      </c>
    </row>
    <row r="699" spans="1:10" x14ac:dyDescent="0.25">
      <c r="A699" s="117">
        <v>696</v>
      </c>
      <c r="B699" s="118" t="s">
        <v>134</v>
      </c>
      <c r="C699" s="119" t="s">
        <v>135</v>
      </c>
      <c r="D699" s="119" t="s">
        <v>459</v>
      </c>
      <c r="E699" s="119" t="s">
        <v>111</v>
      </c>
      <c r="F699" s="120">
        <v>100</v>
      </c>
      <c r="G699" s="120">
        <v>100</v>
      </c>
      <c r="H699" s="120">
        <v>17.71</v>
      </c>
      <c r="I699" s="117">
        <v>1907</v>
      </c>
      <c r="J699" s="119" t="s">
        <v>271</v>
      </c>
    </row>
    <row r="700" spans="1:10" x14ac:dyDescent="0.25">
      <c r="A700" s="117">
        <v>697</v>
      </c>
      <c r="B700" s="118" t="s">
        <v>285</v>
      </c>
      <c r="C700" s="119" t="s">
        <v>286</v>
      </c>
      <c r="D700" s="119" t="s">
        <v>459</v>
      </c>
      <c r="E700" s="119" t="s">
        <v>111</v>
      </c>
      <c r="F700" s="120">
        <v>99.899299999999997</v>
      </c>
      <c r="G700" s="120">
        <v>99.899299999999997</v>
      </c>
      <c r="H700" s="120">
        <v>12.242000000000001</v>
      </c>
      <c r="I700" s="117">
        <v>61</v>
      </c>
      <c r="J700" s="119" t="s">
        <v>271</v>
      </c>
    </row>
    <row r="701" spans="1:10" x14ac:dyDescent="0.25">
      <c r="A701" s="117">
        <v>698</v>
      </c>
      <c r="B701" s="118" t="s">
        <v>287</v>
      </c>
      <c r="C701" s="119" t="s">
        <v>288</v>
      </c>
      <c r="D701" s="119" t="s">
        <v>459</v>
      </c>
      <c r="E701" s="119" t="s">
        <v>111</v>
      </c>
      <c r="F701" s="120">
        <v>99.992099999999994</v>
      </c>
      <c r="G701" s="120">
        <v>99.992099999999994</v>
      </c>
      <c r="H701" s="120">
        <v>12.242000000000001</v>
      </c>
      <c r="I701" s="117">
        <v>364</v>
      </c>
      <c r="J701" s="119" t="s">
        <v>271</v>
      </c>
    </row>
    <row r="702" spans="1:10" x14ac:dyDescent="0.25">
      <c r="A702" s="117">
        <v>699</v>
      </c>
      <c r="B702" s="118" t="s">
        <v>289</v>
      </c>
      <c r="C702" s="119" t="s">
        <v>290</v>
      </c>
      <c r="D702" s="119" t="s">
        <v>459</v>
      </c>
      <c r="E702" s="119" t="s">
        <v>111</v>
      </c>
      <c r="F702" s="120">
        <v>99.823400000000007</v>
      </c>
      <c r="G702" s="120">
        <v>99.823400000000007</v>
      </c>
      <c r="H702" s="120">
        <v>12.242000000000001</v>
      </c>
      <c r="I702" s="117">
        <v>183</v>
      </c>
      <c r="J702" s="119" t="s">
        <v>271</v>
      </c>
    </row>
    <row r="703" spans="1:10" x14ac:dyDescent="0.25">
      <c r="A703" s="117">
        <v>700</v>
      </c>
      <c r="B703" s="118" t="s">
        <v>291</v>
      </c>
      <c r="C703" s="119" t="s">
        <v>292</v>
      </c>
      <c r="D703" s="119" t="s">
        <v>459</v>
      </c>
      <c r="E703" s="119" t="s">
        <v>111</v>
      </c>
      <c r="F703" s="120">
        <v>99.950100000000006</v>
      </c>
      <c r="G703" s="120">
        <v>99.950100000000006</v>
      </c>
      <c r="H703" s="120">
        <v>12.242000000000001</v>
      </c>
      <c r="I703" s="117">
        <v>332</v>
      </c>
      <c r="J703" s="119" t="s">
        <v>271</v>
      </c>
    </row>
    <row r="704" spans="1:10" x14ac:dyDescent="0.25">
      <c r="A704" s="117">
        <v>701</v>
      </c>
      <c r="B704" s="118" t="s">
        <v>293</v>
      </c>
      <c r="C704" s="119" t="s">
        <v>294</v>
      </c>
      <c r="D704" s="119" t="s">
        <v>459</v>
      </c>
      <c r="E704" s="119" t="s">
        <v>111</v>
      </c>
      <c r="F704" s="120">
        <v>99.941800000000001</v>
      </c>
      <c r="G704" s="120">
        <v>99.941800000000001</v>
      </c>
      <c r="H704" s="120">
        <v>12.242000000000001</v>
      </c>
      <c r="I704" s="117">
        <v>32</v>
      </c>
      <c r="J704" s="119" t="s">
        <v>271</v>
      </c>
    </row>
    <row r="705" spans="1:10" x14ac:dyDescent="0.25">
      <c r="A705" s="117">
        <v>702</v>
      </c>
      <c r="B705" s="118" t="s">
        <v>295</v>
      </c>
      <c r="C705" s="119" t="s">
        <v>296</v>
      </c>
      <c r="D705" s="119" t="s">
        <v>459</v>
      </c>
      <c r="E705" s="119" t="s">
        <v>111</v>
      </c>
      <c r="F705" s="120">
        <v>99.878100000000003</v>
      </c>
      <c r="G705" s="120">
        <v>99.878100000000003</v>
      </c>
      <c r="H705" s="120">
        <v>12.332000000000001</v>
      </c>
      <c r="I705" s="117">
        <v>1157</v>
      </c>
      <c r="J705" s="119" t="s">
        <v>271</v>
      </c>
    </row>
    <row r="706" spans="1:10" x14ac:dyDescent="0.25">
      <c r="A706" s="117">
        <v>703</v>
      </c>
      <c r="B706" s="118" t="s">
        <v>297</v>
      </c>
      <c r="C706" s="119" t="s">
        <v>298</v>
      </c>
      <c r="D706" s="119" t="s">
        <v>459</v>
      </c>
      <c r="E706" s="119" t="s">
        <v>111</v>
      </c>
      <c r="F706" s="120">
        <v>99.940200000000004</v>
      </c>
      <c r="G706" s="120">
        <v>99.940200000000004</v>
      </c>
      <c r="H706" s="120">
        <v>12.242000000000001</v>
      </c>
      <c r="I706" s="117">
        <v>33</v>
      </c>
      <c r="J706" s="119" t="s">
        <v>271</v>
      </c>
    </row>
    <row r="707" spans="1:10" x14ac:dyDescent="0.25">
      <c r="A707" s="117">
        <v>704</v>
      </c>
      <c r="B707" s="118" t="s">
        <v>299</v>
      </c>
      <c r="C707" s="119" t="s">
        <v>300</v>
      </c>
      <c r="D707" s="119" t="s">
        <v>459</v>
      </c>
      <c r="E707" s="119" t="s">
        <v>111</v>
      </c>
      <c r="F707" s="120">
        <v>99.845299999999995</v>
      </c>
      <c r="G707" s="120">
        <v>99.845299999999995</v>
      </c>
      <c r="H707" s="120">
        <v>12.242000000000001</v>
      </c>
      <c r="I707" s="117">
        <v>242</v>
      </c>
      <c r="J707" s="119" t="s">
        <v>271</v>
      </c>
    </row>
    <row r="708" spans="1:10" x14ac:dyDescent="0.25">
      <c r="A708" s="117">
        <v>705</v>
      </c>
      <c r="B708" s="118" t="s">
        <v>301</v>
      </c>
      <c r="C708" s="119" t="s">
        <v>302</v>
      </c>
      <c r="D708" s="119" t="s">
        <v>459</v>
      </c>
      <c r="E708" s="119" t="s">
        <v>111</v>
      </c>
      <c r="F708" s="120">
        <v>99.825900000000004</v>
      </c>
      <c r="G708" s="120">
        <v>99.825900000000004</v>
      </c>
      <c r="H708" s="120">
        <v>12.332000000000001</v>
      </c>
      <c r="I708" s="117">
        <v>1588</v>
      </c>
      <c r="J708" s="119" t="s">
        <v>271</v>
      </c>
    </row>
    <row r="709" spans="1:10" x14ac:dyDescent="0.25">
      <c r="A709" s="117">
        <v>706</v>
      </c>
      <c r="B709" s="118" t="s">
        <v>303</v>
      </c>
      <c r="C709" s="119" t="s">
        <v>304</v>
      </c>
      <c r="D709" s="119" t="s">
        <v>459</v>
      </c>
      <c r="E709" s="119" t="s">
        <v>111</v>
      </c>
      <c r="F709" s="120">
        <v>99.845299999999995</v>
      </c>
      <c r="G709" s="120">
        <v>99.845299999999995</v>
      </c>
      <c r="H709" s="120">
        <v>12.242000000000001</v>
      </c>
      <c r="I709" s="117">
        <v>242</v>
      </c>
      <c r="J709" s="119" t="s">
        <v>271</v>
      </c>
    </row>
    <row r="710" spans="1:10" x14ac:dyDescent="0.25">
      <c r="A710" s="117">
        <v>707</v>
      </c>
      <c r="B710" s="118" t="s">
        <v>305</v>
      </c>
      <c r="C710" s="119" t="s">
        <v>306</v>
      </c>
      <c r="D710" s="119" t="s">
        <v>459</v>
      </c>
      <c r="E710" s="119" t="s">
        <v>111</v>
      </c>
      <c r="F710" s="120">
        <v>99.9084</v>
      </c>
      <c r="G710" s="120">
        <v>99.9084</v>
      </c>
      <c r="H710" s="120">
        <v>12.242000000000001</v>
      </c>
      <c r="I710" s="117">
        <v>304</v>
      </c>
      <c r="J710" s="119" t="s">
        <v>271</v>
      </c>
    </row>
    <row r="711" spans="1:10" x14ac:dyDescent="0.25">
      <c r="A711" s="117">
        <v>708</v>
      </c>
      <c r="B711" s="118" t="s">
        <v>307</v>
      </c>
      <c r="C711" s="119" t="s">
        <v>308</v>
      </c>
      <c r="D711" s="119" t="s">
        <v>459</v>
      </c>
      <c r="E711" s="119" t="s">
        <v>111</v>
      </c>
      <c r="F711" s="120">
        <v>99.829899999999995</v>
      </c>
      <c r="G711" s="120">
        <v>99.829899999999995</v>
      </c>
      <c r="H711" s="120">
        <v>12.242000000000001</v>
      </c>
      <c r="I711" s="117">
        <v>573</v>
      </c>
      <c r="J711" s="119" t="s">
        <v>271</v>
      </c>
    </row>
    <row r="712" spans="1:10" x14ac:dyDescent="0.25">
      <c r="A712" s="117">
        <v>709</v>
      </c>
      <c r="B712" s="118" t="s">
        <v>309</v>
      </c>
      <c r="C712" s="119" t="s">
        <v>310</v>
      </c>
      <c r="D712" s="119" t="s">
        <v>459</v>
      </c>
      <c r="E712" s="119" t="s">
        <v>111</v>
      </c>
      <c r="F712" s="120">
        <v>99.906999999999996</v>
      </c>
      <c r="G712" s="120">
        <v>99.906999999999996</v>
      </c>
      <c r="H712" s="120">
        <v>12.242000000000001</v>
      </c>
      <c r="I712" s="117">
        <v>663</v>
      </c>
      <c r="J712" s="119" t="s">
        <v>271</v>
      </c>
    </row>
    <row r="713" spans="1:10" x14ac:dyDescent="0.25">
      <c r="A713" s="117">
        <v>710</v>
      </c>
      <c r="B713" s="118" t="s">
        <v>311</v>
      </c>
      <c r="C713" s="119" t="s">
        <v>312</v>
      </c>
      <c r="D713" s="119" t="s">
        <v>459</v>
      </c>
      <c r="E713" s="119" t="s">
        <v>111</v>
      </c>
      <c r="F713" s="120">
        <v>99.827100000000002</v>
      </c>
      <c r="G713" s="120">
        <v>99.827100000000002</v>
      </c>
      <c r="H713" s="120">
        <v>12.242000000000001</v>
      </c>
      <c r="I713" s="117">
        <v>1232</v>
      </c>
      <c r="J713" s="119" t="s">
        <v>271</v>
      </c>
    </row>
    <row r="714" spans="1:10" x14ac:dyDescent="0.25">
      <c r="A714" s="117">
        <v>711</v>
      </c>
      <c r="B714" s="118" t="s">
        <v>313</v>
      </c>
      <c r="C714" s="119" t="s">
        <v>314</v>
      </c>
      <c r="D714" s="119" t="s">
        <v>459</v>
      </c>
      <c r="E714" s="119" t="s">
        <v>111</v>
      </c>
      <c r="F714" s="120">
        <v>99.870800000000003</v>
      </c>
      <c r="G714" s="120">
        <v>99.870800000000003</v>
      </c>
      <c r="H714" s="120">
        <v>12.242000000000001</v>
      </c>
      <c r="I714" s="117">
        <v>1352</v>
      </c>
      <c r="J714" s="119" t="s">
        <v>271</v>
      </c>
    </row>
    <row r="715" spans="1:10" x14ac:dyDescent="0.25">
      <c r="A715" s="117">
        <v>712</v>
      </c>
      <c r="B715" s="118" t="s">
        <v>315</v>
      </c>
      <c r="C715" s="119" t="s">
        <v>316</v>
      </c>
      <c r="D715" s="119" t="s">
        <v>459</v>
      </c>
      <c r="E715" s="119" t="s">
        <v>111</v>
      </c>
      <c r="F715" s="120">
        <v>99.871799999999993</v>
      </c>
      <c r="G715" s="120">
        <v>99.871799999999993</v>
      </c>
      <c r="H715" s="120">
        <v>12.242000000000001</v>
      </c>
      <c r="I715" s="117">
        <v>633</v>
      </c>
      <c r="J715" s="119" t="s">
        <v>271</v>
      </c>
    </row>
    <row r="716" spans="1:10" x14ac:dyDescent="0.25">
      <c r="A716" s="117">
        <v>713</v>
      </c>
      <c r="B716" s="118" t="s">
        <v>317</v>
      </c>
      <c r="C716" s="119" t="s">
        <v>318</v>
      </c>
      <c r="D716" s="119" t="s">
        <v>459</v>
      </c>
      <c r="E716" s="119" t="s">
        <v>111</v>
      </c>
      <c r="F716" s="120">
        <v>99.900599999999997</v>
      </c>
      <c r="G716" s="120">
        <v>99.900599999999997</v>
      </c>
      <c r="H716" s="120">
        <v>12.242000000000001</v>
      </c>
      <c r="I716" s="117">
        <v>780</v>
      </c>
      <c r="J716" s="119" t="s">
        <v>271</v>
      </c>
    </row>
    <row r="717" spans="1:10" x14ac:dyDescent="0.25">
      <c r="A717" s="117">
        <v>714</v>
      </c>
      <c r="B717" s="118" t="s">
        <v>319</v>
      </c>
      <c r="C717" s="119" t="s">
        <v>320</v>
      </c>
      <c r="D717" s="119" t="s">
        <v>459</v>
      </c>
      <c r="E717" s="119" t="s">
        <v>111</v>
      </c>
      <c r="F717" s="120">
        <v>99.828000000000003</v>
      </c>
      <c r="G717" s="120">
        <v>99.828000000000003</v>
      </c>
      <c r="H717" s="120">
        <v>12.242000000000001</v>
      </c>
      <c r="I717" s="117">
        <v>869</v>
      </c>
      <c r="J717" s="119" t="s">
        <v>271</v>
      </c>
    </row>
    <row r="718" spans="1:10" x14ac:dyDescent="0.25">
      <c r="A718" s="117">
        <v>715</v>
      </c>
      <c r="B718" s="118" t="s">
        <v>321</v>
      </c>
      <c r="C718" s="119" t="s">
        <v>322</v>
      </c>
      <c r="D718" s="119" t="s">
        <v>459</v>
      </c>
      <c r="E718" s="119" t="s">
        <v>111</v>
      </c>
      <c r="F718" s="120">
        <v>99.948499999999996</v>
      </c>
      <c r="G718" s="120">
        <v>99.948499999999996</v>
      </c>
      <c r="H718" s="120">
        <v>12.242000000000001</v>
      </c>
      <c r="I718" s="117">
        <v>1411</v>
      </c>
      <c r="J718" s="119" t="s">
        <v>271</v>
      </c>
    </row>
    <row r="719" spans="1:10" x14ac:dyDescent="0.25">
      <c r="A719" s="117">
        <v>716</v>
      </c>
      <c r="B719" s="118" t="s">
        <v>323</v>
      </c>
      <c r="C719" s="119" t="s">
        <v>324</v>
      </c>
      <c r="D719" s="119" t="s">
        <v>459</v>
      </c>
      <c r="E719" s="119" t="s">
        <v>111</v>
      </c>
      <c r="F719" s="120">
        <v>99.846699999999998</v>
      </c>
      <c r="G719" s="120">
        <v>99.846699999999998</v>
      </c>
      <c r="H719" s="120">
        <v>12.242000000000001</v>
      </c>
      <c r="I719" s="117">
        <v>1684</v>
      </c>
      <c r="J719" s="119" t="s">
        <v>271</v>
      </c>
    </row>
    <row r="720" spans="1:10" x14ac:dyDescent="0.25">
      <c r="A720" s="117">
        <v>717</v>
      </c>
      <c r="B720" s="118" t="s">
        <v>325</v>
      </c>
      <c r="C720" s="119" t="s">
        <v>326</v>
      </c>
      <c r="D720" s="119" t="s">
        <v>459</v>
      </c>
      <c r="E720" s="119" t="s">
        <v>111</v>
      </c>
      <c r="F720" s="120">
        <v>99.948499999999996</v>
      </c>
      <c r="G720" s="120">
        <v>99.948499999999996</v>
      </c>
      <c r="H720" s="120">
        <v>12.242000000000001</v>
      </c>
      <c r="I720" s="117">
        <v>1051</v>
      </c>
      <c r="J720" s="119" t="s">
        <v>271</v>
      </c>
    </row>
    <row r="721" spans="1:10" x14ac:dyDescent="0.25">
      <c r="A721" s="117">
        <v>718</v>
      </c>
      <c r="B721" s="118" t="s">
        <v>327</v>
      </c>
      <c r="C721" s="119" t="s">
        <v>328</v>
      </c>
      <c r="D721" s="119" t="s">
        <v>459</v>
      </c>
      <c r="E721" s="119" t="s">
        <v>111</v>
      </c>
      <c r="F721" s="120">
        <v>99.862399999999994</v>
      </c>
      <c r="G721" s="120">
        <v>99.862399999999994</v>
      </c>
      <c r="H721" s="120">
        <v>12.242000000000001</v>
      </c>
      <c r="I721" s="117">
        <v>1174</v>
      </c>
      <c r="J721" s="119" t="s">
        <v>271</v>
      </c>
    </row>
    <row r="722" spans="1:10" x14ac:dyDescent="0.25">
      <c r="A722" s="117">
        <v>719</v>
      </c>
      <c r="B722" s="118" t="s">
        <v>329</v>
      </c>
      <c r="C722" s="119" t="s">
        <v>330</v>
      </c>
      <c r="D722" s="119" t="s">
        <v>459</v>
      </c>
      <c r="E722" s="119" t="s">
        <v>111</v>
      </c>
      <c r="F722" s="120">
        <v>99.871799999999993</v>
      </c>
      <c r="G722" s="120">
        <v>99.871799999999993</v>
      </c>
      <c r="H722" s="120">
        <v>12.242000000000001</v>
      </c>
      <c r="I722" s="117">
        <v>1353</v>
      </c>
      <c r="J722" s="119" t="s">
        <v>271</v>
      </c>
    </row>
    <row r="723" spans="1:10" x14ac:dyDescent="0.25">
      <c r="A723" s="117">
        <v>720</v>
      </c>
      <c r="B723" s="118" t="s">
        <v>331</v>
      </c>
      <c r="C723" s="119" t="s">
        <v>332</v>
      </c>
      <c r="D723" s="119" t="s">
        <v>459</v>
      </c>
      <c r="E723" s="119" t="s">
        <v>111</v>
      </c>
      <c r="F723" s="120">
        <v>99.840699999999998</v>
      </c>
      <c r="G723" s="120">
        <v>99.840699999999998</v>
      </c>
      <c r="H723" s="120">
        <v>12.242000000000001</v>
      </c>
      <c r="I723" s="117">
        <v>1562</v>
      </c>
      <c r="J723" s="119" t="s">
        <v>271</v>
      </c>
    </row>
    <row r="724" spans="1:10" x14ac:dyDescent="0.25">
      <c r="A724" s="117">
        <v>721</v>
      </c>
      <c r="B724" s="118" t="s">
        <v>333</v>
      </c>
      <c r="C724" s="119" t="s">
        <v>334</v>
      </c>
      <c r="D724" s="119" t="s">
        <v>459</v>
      </c>
      <c r="E724" s="119" t="s">
        <v>111</v>
      </c>
      <c r="F724" s="120">
        <v>99.994</v>
      </c>
      <c r="G724" s="120">
        <v>99.994</v>
      </c>
      <c r="H724" s="120">
        <v>12.242000000000001</v>
      </c>
      <c r="I724" s="117">
        <v>1803</v>
      </c>
      <c r="J724" s="119" t="s">
        <v>271</v>
      </c>
    </row>
    <row r="725" spans="1:10" x14ac:dyDescent="0.25">
      <c r="A725" s="117">
        <v>722</v>
      </c>
      <c r="B725" s="118" t="s">
        <v>335</v>
      </c>
      <c r="C725" s="119" t="s">
        <v>336</v>
      </c>
      <c r="D725" s="119" t="s">
        <v>459</v>
      </c>
      <c r="E725" s="119" t="s">
        <v>111</v>
      </c>
      <c r="F725" s="120">
        <v>99.998000000000005</v>
      </c>
      <c r="G725" s="120">
        <v>99.998000000000005</v>
      </c>
      <c r="H725" s="120">
        <v>12.242000000000001</v>
      </c>
      <c r="I725" s="117">
        <v>2161</v>
      </c>
      <c r="J725" s="119" t="s">
        <v>271</v>
      </c>
    </row>
    <row r="726" spans="1:10" x14ac:dyDescent="0.25">
      <c r="A726" s="117">
        <v>723</v>
      </c>
      <c r="B726" s="118" t="s">
        <v>337</v>
      </c>
      <c r="C726" s="119" t="s">
        <v>338</v>
      </c>
      <c r="D726" s="119" t="s">
        <v>459</v>
      </c>
      <c r="E726" s="119" t="s">
        <v>111</v>
      </c>
      <c r="F726" s="120">
        <v>99.863299999999995</v>
      </c>
      <c r="G726" s="120">
        <v>99.863299999999995</v>
      </c>
      <c r="H726" s="120">
        <v>12.242000000000001</v>
      </c>
      <c r="I726" s="117">
        <v>2253</v>
      </c>
      <c r="J726" s="119" t="s">
        <v>271</v>
      </c>
    </row>
    <row r="727" spans="1:10" x14ac:dyDescent="0.25">
      <c r="A727" s="117">
        <v>724</v>
      </c>
      <c r="B727" s="118" t="s">
        <v>136</v>
      </c>
      <c r="C727" s="119" t="s">
        <v>137</v>
      </c>
      <c r="D727" s="119" t="s">
        <v>459</v>
      </c>
      <c r="E727" s="119" t="s">
        <v>111</v>
      </c>
      <c r="F727" s="120">
        <v>90.166899999999998</v>
      </c>
      <c r="G727" s="120">
        <v>93.835800000000006</v>
      </c>
      <c r="H727" s="120">
        <v>17.64</v>
      </c>
      <c r="I727" s="117">
        <v>593</v>
      </c>
      <c r="J727" s="119" t="s">
        <v>271</v>
      </c>
    </row>
    <row r="728" spans="1:10" x14ac:dyDescent="0.25">
      <c r="A728" s="117">
        <v>725</v>
      </c>
      <c r="B728" s="118" t="s">
        <v>138</v>
      </c>
      <c r="C728" s="119" t="s">
        <v>139</v>
      </c>
      <c r="D728" s="119" t="s">
        <v>459</v>
      </c>
      <c r="E728" s="119" t="s">
        <v>111</v>
      </c>
      <c r="F728" s="120">
        <v>94.892799999999994</v>
      </c>
      <c r="G728" s="120">
        <v>103.52030000000001</v>
      </c>
      <c r="H728" s="120">
        <v>17.27</v>
      </c>
      <c r="I728" s="117">
        <v>1237</v>
      </c>
      <c r="J728" s="119" t="s">
        <v>271</v>
      </c>
    </row>
    <row r="729" spans="1:10" x14ac:dyDescent="0.25">
      <c r="A729" s="117">
        <v>726</v>
      </c>
      <c r="B729" s="118" t="s">
        <v>140</v>
      </c>
      <c r="C729" s="119" t="s">
        <v>141</v>
      </c>
      <c r="D729" s="119" t="s">
        <v>459</v>
      </c>
      <c r="E729" s="119" t="s">
        <v>111</v>
      </c>
      <c r="F729" s="120">
        <v>84.760099999999994</v>
      </c>
      <c r="G729" s="120">
        <v>91.3934</v>
      </c>
      <c r="H729" s="120">
        <v>17.09</v>
      </c>
      <c r="I729" s="117">
        <v>1601</v>
      </c>
      <c r="J729" s="119" t="s">
        <v>271</v>
      </c>
    </row>
    <row r="730" spans="1:10" x14ac:dyDescent="0.25">
      <c r="A730" s="117">
        <v>727</v>
      </c>
      <c r="B730" s="118" t="s">
        <v>142</v>
      </c>
      <c r="C730" s="119" t="s">
        <v>6</v>
      </c>
      <c r="D730" s="119" t="s">
        <v>459</v>
      </c>
      <c r="E730" s="119" t="s">
        <v>111</v>
      </c>
      <c r="F730" s="120">
        <v>86.174700000000001</v>
      </c>
      <c r="G730" s="120">
        <v>90.912499999999994</v>
      </c>
      <c r="H730" s="120">
        <v>17.48</v>
      </c>
      <c r="I730" s="117">
        <v>916</v>
      </c>
      <c r="J730" s="119" t="s">
        <v>271</v>
      </c>
    </row>
    <row r="731" spans="1:10" x14ac:dyDescent="0.25">
      <c r="A731" s="117">
        <v>728</v>
      </c>
      <c r="B731" s="118" t="s">
        <v>143</v>
      </c>
      <c r="C731" s="119" t="s">
        <v>144</v>
      </c>
      <c r="D731" s="119" t="s">
        <v>459</v>
      </c>
      <c r="E731" s="119" t="s">
        <v>111</v>
      </c>
      <c r="F731" s="120">
        <v>82.957599999999999</v>
      </c>
      <c r="G731" s="120">
        <v>90.090900000000005</v>
      </c>
      <c r="H731" s="120">
        <v>17</v>
      </c>
      <c r="I731" s="117">
        <v>1946</v>
      </c>
      <c r="J731" s="119" t="s">
        <v>271</v>
      </c>
    </row>
    <row r="732" spans="1:10" x14ac:dyDescent="0.25">
      <c r="A732" s="117">
        <v>729</v>
      </c>
      <c r="B732" s="118" t="s">
        <v>2047</v>
      </c>
      <c r="C732" s="119" t="s">
        <v>2048</v>
      </c>
      <c r="D732" s="119" t="s">
        <v>459</v>
      </c>
      <c r="E732" s="119" t="s">
        <v>111</v>
      </c>
      <c r="F732" s="120">
        <v>91.069900000000004</v>
      </c>
      <c r="G732" s="120">
        <v>99.180999999999997</v>
      </c>
      <c r="H732" s="120">
        <v>16.899999999999999</v>
      </c>
      <c r="I732" s="117">
        <v>2320</v>
      </c>
      <c r="J732" s="119" t="s">
        <v>271</v>
      </c>
    </row>
    <row r="733" spans="1:10" x14ac:dyDescent="0.25">
      <c r="A733" s="117">
        <v>730</v>
      </c>
      <c r="B733" s="118" t="s">
        <v>145</v>
      </c>
      <c r="C733" s="119" t="s">
        <v>146</v>
      </c>
      <c r="D733" s="119" t="s">
        <v>459</v>
      </c>
      <c r="E733" s="119" t="s">
        <v>111</v>
      </c>
      <c r="F733" s="120">
        <v>84.483099999999993</v>
      </c>
      <c r="G733" s="120">
        <v>94.051500000000004</v>
      </c>
      <c r="H733" s="120">
        <v>17.350000000000001</v>
      </c>
      <c r="I733" s="117">
        <v>1111</v>
      </c>
      <c r="J733" s="119" t="s">
        <v>271</v>
      </c>
    </row>
    <row r="734" spans="1:10" x14ac:dyDescent="0.25">
      <c r="A734" s="117">
        <v>731</v>
      </c>
      <c r="B734" s="118" t="s">
        <v>147</v>
      </c>
      <c r="C734" s="119" t="s">
        <v>8</v>
      </c>
      <c r="D734" s="119" t="s">
        <v>459</v>
      </c>
      <c r="E734" s="119" t="s">
        <v>111</v>
      </c>
      <c r="F734" s="120">
        <v>82.290199999999999</v>
      </c>
      <c r="G734" s="120">
        <v>83.989900000000006</v>
      </c>
      <c r="H734" s="120">
        <v>17.18</v>
      </c>
      <c r="I734" s="117">
        <v>1382</v>
      </c>
      <c r="J734" s="119" t="s">
        <v>271</v>
      </c>
    </row>
    <row r="735" spans="1:10" x14ac:dyDescent="0.25">
      <c r="A735" s="117">
        <v>732</v>
      </c>
      <c r="B735" s="118" t="s">
        <v>148</v>
      </c>
      <c r="C735" s="119" t="s">
        <v>149</v>
      </c>
      <c r="D735" s="119" t="s">
        <v>459</v>
      </c>
      <c r="E735" s="119" t="s">
        <v>111</v>
      </c>
      <c r="F735" s="120">
        <v>81.991399999999999</v>
      </c>
      <c r="G735" s="120">
        <v>89.080299999999994</v>
      </c>
      <c r="H735" s="120">
        <v>17.13</v>
      </c>
      <c r="I735" s="117">
        <v>1568</v>
      </c>
      <c r="J735" s="119" t="s">
        <v>271</v>
      </c>
    </row>
    <row r="736" spans="1:10" x14ac:dyDescent="0.25">
      <c r="A736" s="117">
        <v>733</v>
      </c>
      <c r="B736" s="118" t="s">
        <v>150</v>
      </c>
      <c r="C736" s="119" t="s">
        <v>151</v>
      </c>
      <c r="D736" s="119" t="s">
        <v>459</v>
      </c>
      <c r="E736" s="119" t="s">
        <v>111</v>
      </c>
      <c r="F736" s="120">
        <v>89.509799999999998</v>
      </c>
      <c r="G736" s="120">
        <v>94.7209</v>
      </c>
      <c r="H736" s="120">
        <v>16.96</v>
      </c>
      <c r="I736" s="117">
        <v>2026</v>
      </c>
      <c r="J736" s="119" t="s">
        <v>271</v>
      </c>
    </row>
    <row r="737" spans="1:10" x14ac:dyDescent="0.25">
      <c r="A737" s="117">
        <v>734</v>
      </c>
      <c r="B737" s="118" t="s">
        <v>2224</v>
      </c>
      <c r="C737" s="119" t="s">
        <v>2225</v>
      </c>
      <c r="D737" s="119" t="s">
        <v>459</v>
      </c>
      <c r="E737" s="119" t="s">
        <v>111</v>
      </c>
      <c r="F737" s="120">
        <v>89.851399999999998</v>
      </c>
      <c r="G737" s="120">
        <v>94.306799999999996</v>
      </c>
      <c r="H737" s="120">
        <v>16.84</v>
      </c>
      <c r="I737" s="117">
        <v>2769</v>
      </c>
      <c r="J737" s="119" t="s">
        <v>271</v>
      </c>
    </row>
    <row r="738" spans="1:10" x14ac:dyDescent="0.25">
      <c r="A738" s="117">
        <v>735</v>
      </c>
      <c r="B738" s="118" t="s">
        <v>152</v>
      </c>
      <c r="C738" s="119" t="s">
        <v>153</v>
      </c>
      <c r="D738" s="119" t="s">
        <v>459</v>
      </c>
      <c r="E738" s="119" t="s">
        <v>111</v>
      </c>
      <c r="F738" s="120">
        <v>94.273099999999999</v>
      </c>
      <c r="G738" s="120">
        <v>96.371200000000002</v>
      </c>
      <c r="H738" s="120">
        <v>17.5</v>
      </c>
      <c r="I738" s="117">
        <v>277</v>
      </c>
      <c r="J738" s="119" t="s">
        <v>271</v>
      </c>
    </row>
    <row r="739" spans="1:10" x14ac:dyDescent="0.25">
      <c r="A739" s="117">
        <v>736</v>
      </c>
      <c r="B739" s="118" t="s">
        <v>154</v>
      </c>
      <c r="C739" s="119" t="s">
        <v>7</v>
      </c>
      <c r="D739" s="119" t="s">
        <v>459</v>
      </c>
      <c r="E739" s="119" t="s">
        <v>111</v>
      </c>
      <c r="F739" s="120">
        <v>84.261300000000006</v>
      </c>
      <c r="G739" s="120">
        <v>89.639099999999999</v>
      </c>
      <c r="H739" s="120">
        <v>17.25</v>
      </c>
      <c r="I739" s="117">
        <v>1264</v>
      </c>
      <c r="J739" s="119" t="s">
        <v>271</v>
      </c>
    </row>
    <row r="740" spans="1:10" x14ac:dyDescent="0.25">
      <c r="A740" s="117">
        <v>737</v>
      </c>
      <c r="B740" s="118" t="s">
        <v>155</v>
      </c>
      <c r="C740" s="119" t="s">
        <v>156</v>
      </c>
      <c r="D740" s="119" t="s">
        <v>459</v>
      </c>
      <c r="E740" s="119" t="s">
        <v>111</v>
      </c>
      <c r="F740" s="120">
        <v>88.711100000000002</v>
      </c>
      <c r="G740" s="120">
        <v>93.65</v>
      </c>
      <c r="H740" s="120">
        <v>16.89</v>
      </c>
      <c r="I740" s="117">
        <v>2393</v>
      </c>
      <c r="J740" s="119" t="s">
        <v>271</v>
      </c>
    </row>
    <row r="741" spans="1:10" x14ac:dyDescent="0.25">
      <c r="A741" s="117">
        <v>738</v>
      </c>
      <c r="B741" s="118" t="s">
        <v>2049</v>
      </c>
      <c r="C741" s="119" t="s">
        <v>2050</v>
      </c>
      <c r="D741" s="119" t="s">
        <v>459</v>
      </c>
      <c r="E741" s="119" t="s">
        <v>111</v>
      </c>
      <c r="F741" s="120">
        <v>89.718699999999998</v>
      </c>
      <c r="G741" s="120">
        <v>97.774299999999997</v>
      </c>
      <c r="H741" s="120">
        <v>16.8</v>
      </c>
      <c r="I741" s="117">
        <v>3040</v>
      </c>
      <c r="J741" s="119" t="s">
        <v>271</v>
      </c>
    </row>
    <row r="742" spans="1:10" x14ac:dyDescent="0.25">
      <c r="A742" s="117">
        <v>739</v>
      </c>
      <c r="B742" s="118" t="s">
        <v>157</v>
      </c>
      <c r="C742" s="119" t="s">
        <v>158</v>
      </c>
      <c r="D742" s="119" t="s">
        <v>459</v>
      </c>
      <c r="E742" s="119" t="s">
        <v>111</v>
      </c>
      <c r="F742" s="120">
        <v>89.554299999999998</v>
      </c>
      <c r="G742" s="120">
        <v>94.554299999999998</v>
      </c>
      <c r="H742" s="120">
        <v>17.66</v>
      </c>
      <c r="I742" s="117">
        <v>520</v>
      </c>
      <c r="J742" s="119" t="s">
        <v>271</v>
      </c>
    </row>
    <row r="743" spans="1:10" x14ac:dyDescent="0.25">
      <c r="A743" s="117">
        <v>740</v>
      </c>
      <c r="B743" s="118" t="s">
        <v>159</v>
      </c>
      <c r="C743" s="119" t="s">
        <v>160</v>
      </c>
      <c r="D743" s="119" t="s">
        <v>459</v>
      </c>
      <c r="E743" s="119" t="s">
        <v>111</v>
      </c>
      <c r="F743" s="120">
        <v>87.632800000000003</v>
      </c>
      <c r="G743" s="120">
        <v>89.707800000000006</v>
      </c>
      <c r="H743" s="120">
        <v>17.64</v>
      </c>
      <c r="I743" s="117">
        <v>637</v>
      </c>
      <c r="J743" s="119" t="s">
        <v>271</v>
      </c>
    </row>
    <row r="744" spans="1:10" x14ac:dyDescent="0.25">
      <c r="A744" s="117">
        <v>741</v>
      </c>
      <c r="B744" s="118" t="s">
        <v>161</v>
      </c>
      <c r="C744" s="119" t="s">
        <v>9</v>
      </c>
      <c r="D744" s="119" t="s">
        <v>459</v>
      </c>
      <c r="E744" s="119" t="s">
        <v>111</v>
      </c>
      <c r="F744" s="120">
        <v>77.2102</v>
      </c>
      <c r="G744" s="120">
        <v>82.617699999999999</v>
      </c>
      <c r="H744" s="120">
        <v>16.95</v>
      </c>
      <c r="I744" s="117">
        <v>1971</v>
      </c>
      <c r="J744" s="119" t="s">
        <v>271</v>
      </c>
    </row>
    <row r="745" spans="1:10" x14ac:dyDescent="0.25">
      <c r="A745" s="117">
        <v>742</v>
      </c>
      <c r="B745" s="118" t="s">
        <v>2022</v>
      </c>
      <c r="C745" s="119" t="s">
        <v>2023</v>
      </c>
      <c r="D745" s="119" t="s">
        <v>459</v>
      </c>
      <c r="E745" s="119" t="s">
        <v>111</v>
      </c>
      <c r="F745" s="120">
        <v>87.015299999999996</v>
      </c>
      <c r="G745" s="120">
        <v>95.6875</v>
      </c>
      <c r="H745" s="120">
        <v>16.79</v>
      </c>
      <c r="I745" s="117">
        <v>3377</v>
      </c>
      <c r="J745" s="119" t="s">
        <v>271</v>
      </c>
    </row>
    <row r="746" spans="1:10" x14ac:dyDescent="0.25">
      <c r="A746" s="117">
        <v>743</v>
      </c>
      <c r="B746" s="118" t="s">
        <v>162</v>
      </c>
      <c r="C746" s="119" t="s">
        <v>11</v>
      </c>
      <c r="D746" s="119" t="s">
        <v>459</v>
      </c>
      <c r="E746" s="119" t="s">
        <v>111</v>
      </c>
      <c r="F746" s="120">
        <v>75.770600000000002</v>
      </c>
      <c r="G746" s="120">
        <v>77.545599999999993</v>
      </c>
      <c r="H746" s="120">
        <v>16.86</v>
      </c>
      <c r="I746" s="117">
        <v>2460</v>
      </c>
      <c r="J746" s="119" t="s">
        <v>271</v>
      </c>
    </row>
    <row r="747" spans="1:10" x14ac:dyDescent="0.25">
      <c r="A747" s="117">
        <v>744</v>
      </c>
      <c r="B747" s="118" t="s">
        <v>163</v>
      </c>
      <c r="C747" s="119" t="s">
        <v>164</v>
      </c>
      <c r="D747" s="119" t="s">
        <v>459</v>
      </c>
      <c r="E747" s="119" t="s">
        <v>111</v>
      </c>
      <c r="F747" s="120">
        <v>74.2012</v>
      </c>
      <c r="G747" s="120">
        <v>75.181100000000001</v>
      </c>
      <c r="H747" s="120">
        <v>16.8</v>
      </c>
      <c r="I747" s="117">
        <v>2847</v>
      </c>
      <c r="J747" s="119" t="s">
        <v>271</v>
      </c>
    </row>
    <row r="748" spans="1:10" x14ac:dyDescent="0.25">
      <c r="A748" s="117">
        <v>745</v>
      </c>
      <c r="B748" s="118" t="s">
        <v>165</v>
      </c>
      <c r="C748" s="119" t="s">
        <v>166</v>
      </c>
      <c r="D748" s="119" t="s">
        <v>459</v>
      </c>
      <c r="E748" s="119" t="s">
        <v>111</v>
      </c>
      <c r="F748" s="120">
        <v>85.715900000000005</v>
      </c>
      <c r="G748" s="120">
        <v>87.707899999999995</v>
      </c>
      <c r="H748" s="120">
        <v>17.649999999999999</v>
      </c>
      <c r="I748" s="117">
        <v>624</v>
      </c>
      <c r="J748" s="119" t="s">
        <v>271</v>
      </c>
    </row>
    <row r="749" spans="1:10" x14ac:dyDescent="0.25">
      <c r="A749" s="117">
        <v>746</v>
      </c>
      <c r="B749" s="118" t="s">
        <v>167</v>
      </c>
      <c r="C749" s="119" t="s">
        <v>168</v>
      </c>
      <c r="D749" s="119" t="s">
        <v>459</v>
      </c>
      <c r="E749" s="119" t="s">
        <v>111</v>
      </c>
      <c r="F749" s="120">
        <v>70.518600000000006</v>
      </c>
      <c r="G749" s="120">
        <v>73.706999999999994</v>
      </c>
      <c r="H749" s="120">
        <v>16.93</v>
      </c>
      <c r="I749" s="117">
        <v>2024</v>
      </c>
      <c r="J749" s="119" t="s">
        <v>271</v>
      </c>
    </row>
    <row r="750" spans="1:10" x14ac:dyDescent="0.25">
      <c r="A750" s="117">
        <v>747</v>
      </c>
      <c r="B750" s="118" t="s">
        <v>169</v>
      </c>
      <c r="C750" s="119" t="s">
        <v>170</v>
      </c>
      <c r="D750" s="119" t="s">
        <v>459</v>
      </c>
      <c r="E750" s="119" t="s">
        <v>111</v>
      </c>
      <c r="F750" s="120">
        <v>70.884399999999999</v>
      </c>
      <c r="G750" s="120">
        <v>77.040700000000001</v>
      </c>
      <c r="H750" s="120">
        <v>16.79</v>
      </c>
      <c r="I750" s="117">
        <v>3021</v>
      </c>
      <c r="J750" s="119" t="s">
        <v>271</v>
      </c>
    </row>
    <row r="751" spans="1:10" x14ac:dyDescent="0.25">
      <c r="A751" s="117">
        <v>748</v>
      </c>
      <c r="B751" s="118" t="s">
        <v>2196</v>
      </c>
      <c r="C751" s="119" t="s">
        <v>2197</v>
      </c>
      <c r="D751" s="119" t="s">
        <v>459</v>
      </c>
      <c r="E751" s="119" t="s">
        <v>111</v>
      </c>
      <c r="F751" s="120">
        <v>86.381600000000006</v>
      </c>
      <c r="G751" s="120">
        <v>91.238299999999995</v>
      </c>
      <c r="H751" s="120">
        <v>16.7</v>
      </c>
      <c r="I751" s="117">
        <v>4556</v>
      </c>
      <c r="J751" s="119" t="s">
        <v>271</v>
      </c>
    </row>
    <row r="752" spans="1:10" x14ac:dyDescent="0.25">
      <c r="A752" s="117">
        <v>749</v>
      </c>
      <c r="B752" s="118" t="s">
        <v>171</v>
      </c>
      <c r="C752" s="119" t="s">
        <v>172</v>
      </c>
      <c r="D752" s="119" t="s">
        <v>459</v>
      </c>
      <c r="E752" s="119" t="s">
        <v>111</v>
      </c>
      <c r="F752" s="120">
        <v>99.7988</v>
      </c>
      <c r="G752" s="120">
        <v>104.84869999999999</v>
      </c>
      <c r="H752" s="120">
        <v>15.9</v>
      </c>
      <c r="I752" s="117">
        <v>7</v>
      </c>
      <c r="J752" s="119" t="s">
        <v>271</v>
      </c>
    </row>
    <row r="753" spans="1:10" x14ac:dyDescent="0.25">
      <c r="A753" s="117">
        <v>750</v>
      </c>
      <c r="B753" s="118" t="s">
        <v>173</v>
      </c>
      <c r="C753" s="119" t="s">
        <v>174</v>
      </c>
      <c r="D753" s="119" t="s">
        <v>459</v>
      </c>
      <c r="E753" s="119" t="s">
        <v>111</v>
      </c>
      <c r="F753" s="120">
        <v>98.4739</v>
      </c>
      <c r="G753" s="120">
        <v>102.7795</v>
      </c>
      <c r="H753" s="120">
        <v>16.64</v>
      </c>
      <c r="I753" s="117">
        <v>50</v>
      </c>
      <c r="J753" s="119" t="s">
        <v>271</v>
      </c>
    </row>
    <row r="754" spans="1:10" x14ac:dyDescent="0.25">
      <c r="A754" s="117">
        <v>751</v>
      </c>
      <c r="B754" s="118" t="s">
        <v>175</v>
      </c>
      <c r="C754" s="119" t="s">
        <v>10</v>
      </c>
      <c r="D754" s="119" t="s">
        <v>459</v>
      </c>
      <c r="E754" s="119" t="s">
        <v>111</v>
      </c>
      <c r="F754" s="120">
        <v>67.921700000000001</v>
      </c>
      <c r="G754" s="120">
        <v>71.677300000000002</v>
      </c>
      <c r="H754" s="120">
        <v>16.86</v>
      </c>
      <c r="I754" s="117">
        <v>2360</v>
      </c>
      <c r="J754" s="119" t="s">
        <v>271</v>
      </c>
    </row>
    <row r="755" spans="1:10" x14ac:dyDescent="0.25">
      <c r="A755" s="117">
        <v>752</v>
      </c>
      <c r="B755" s="118" t="s">
        <v>176</v>
      </c>
      <c r="C755" s="119" t="s">
        <v>177</v>
      </c>
      <c r="D755" s="119" t="s">
        <v>459</v>
      </c>
      <c r="E755" s="119" t="s">
        <v>111</v>
      </c>
      <c r="F755" s="120">
        <v>70.022300000000001</v>
      </c>
      <c r="G755" s="120">
        <v>75.602900000000005</v>
      </c>
      <c r="H755" s="120">
        <v>16.739999999999998</v>
      </c>
      <c r="I755" s="117">
        <v>3404</v>
      </c>
      <c r="J755" s="119" t="s">
        <v>271</v>
      </c>
    </row>
    <row r="756" spans="1:10" x14ac:dyDescent="0.25">
      <c r="A756" s="117">
        <v>753</v>
      </c>
      <c r="B756" s="118" t="s">
        <v>178</v>
      </c>
      <c r="C756" s="119" t="s">
        <v>179</v>
      </c>
      <c r="D756" s="119" t="s">
        <v>459</v>
      </c>
      <c r="E756" s="119" t="s">
        <v>111</v>
      </c>
      <c r="F756" s="120">
        <v>98.314099999999996</v>
      </c>
      <c r="G756" s="120">
        <v>103.0119</v>
      </c>
      <c r="H756" s="120">
        <v>16.649999999999999</v>
      </c>
      <c r="I756" s="117">
        <v>58</v>
      </c>
      <c r="J756" s="119" t="s">
        <v>271</v>
      </c>
    </row>
    <row r="757" spans="1:10" x14ac:dyDescent="0.25">
      <c r="A757" s="117">
        <v>754</v>
      </c>
      <c r="B757" s="118" t="s">
        <v>180</v>
      </c>
      <c r="C757" s="119" t="s">
        <v>181</v>
      </c>
      <c r="D757" s="119" t="s">
        <v>459</v>
      </c>
      <c r="E757" s="119" t="s">
        <v>111</v>
      </c>
      <c r="F757" s="120">
        <v>90.677499999999995</v>
      </c>
      <c r="G757" s="120">
        <v>91.258099999999999</v>
      </c>
      <c r="H757" s="120">
        <v>17.600000000000001</v>
      </c>
      <c r="I757" s="117">
        <v>322</v>
      </c>
      <c r="J757" s="119" t="s">
        <v>271</v>
      </c>
    </row>
    <row r="758" spans="1:10" x14ac:dyDescent="0.25">
      <c r="A758" s="117">
        <v>755</v>
      </c>
      <c r="B758" s="118" t="s">
        <v>182</v>
      </c>
      <c r="C758" s="119" t="s">
        <v>183</v>
      </c>
      <c r="D758" s="119" t="s">
        <v>459</v>
      </c>
      <c r="E758" s="119" t="s">
        <v>111</v>
      </c>
      <c r="F758" s="120">
        <v>87.590199999999996</v>
      </c>
      <c r="G758" s="120">
        <v>91.798500000000004</v>
      </c>
      <c r="H758" s="120">
        <v>17.71</v>
      </c>
      <c r="I758" s="117">
        <v>417</v>
      </c>
      <c r="J758" s="119" t="s">
        <v>271</v>
      </c>
    </row>
    <row r="759" spans="1:10" x14ac:dyDescent="0.25">
      <c r="A759" s="117">
        <v>756</v>
      </c>
      <c r="B759" s="118" t="s">
        <v>184</v>
      </c>
      <c r="C759" s="119" t="s">
        <v>5</v>
      </c>
      <c r="D759" s="119" t="s">
        <v>459</v>
      </c>
      <c r="E759" s="119" t="s">
        <v>111</v>
      </c>
      <c r="F759" s="120">
        <v>84.954800000000006</v>
      </c>
      <c r="G759" s="120">
        <v>87.684600000000003</v>
      </c>
      <c r="H759" s="120">
        <v>17.649999999999999</v>
      </c>
      <c r="I759" s="117">
        <v>541</v>
      </c>
      <c r="J759" s="119" t="s">
        <v>271</v>
      </c>
    </row>
    <row r="760" spans="1:10" x14ac:dyDescent="0.25">
      <c r="A760" s="117">
        <v>757</v>
      </c>
      <c r="B760" s="118" t="s">
        <v>185</v>
      </c>
      <c r="C760" s="119" t="s">
        <v>186</v>
      </c>
      <c r="D760" s="119" t="s">
        <v>459</v>
      </c>
      <c r="E760" s="119" t="s">
        <v>111</v>
      </c>
      <c r="F760" s="120">
        <v>81.078400000000002</v>
      </c>
      <c r="G760" s="120">
        <v>81.200400000000002</v>
      </c>
      <c r="H760" s="120">
        <v>17.63</v>
      </c>
      <c r="I760" s="117">
        <v>712</v>
      </c>
      <c r="J760" s="119" t="s">
        <v>271</v>
      </c>
    </row>
    <row r="761" spans="1:10" x14ac:dyDescent="0.25">
      <c r="A761" s="117">
        <v>758</v>
      </c>
      <c r="B761" s="118" t="s">
        <v>187</v>
      </c>
      <c r="C761" s="119" t="s">
        <v>188</v>
      </c>
      <c r="D761" s="119" t="s">
        <v>459</v>
      </c>
      <c r="E761" s="119" t="s">
        <v>111</v>
      </c>
      <c r="F761" s="120">
        <v>81.943100000000001</v>
      </c>
      <c r="G761" s="120">
        <v>87.9375</v>
      </c>
      <c r="H761" s="120">
        <v>17.59</v>
      </c>
      <c r="I761" s="117">
        <v>748</v>
      </c>
      <c r="J761" s="119" t="s">
        <v>271</v>
      </c>
    </row>
    <row r="762" spans="1:10" x14ac:dyDescent="0.25">
      <c r="A762" s="117">
        <v>759</v>
      </c>
      <c r="B762" s="118" t="s">
        <v>189</v>
      </c>
      <c r="C762" s="119" t="s">
        <v>190</v>
      </c>
      <c r="D762" s="119" t="s">
        <v>459</v>
      </c>
      <c r="E762" s="119" t="s">
        <v>111</v>
      </c>
      <c r="F762" s="120">
        <v>76.539699999999996</v>
      </c>
      <c r="G762" s="120">
        <v>82.275599999999997</v>
      </c>
      <c r="H762" s="120">
        <v>17.32</v>
      </c>
      <c r="I762" s="117">
        <v>1154</v>
      </c>
      <c r="J762" s="119" t="s">
        <v>271</v>
      </c>
    </row>
    <row r="763" spans="1:10" x14ac:dyDescent="0.25">
      <c r="A763" s="117">
        <v>760</v>
      </c>
      <c r="B763" s="118" t="s">
        <v>191</v>
      </c>
      <c r="C763" s="119" t="s">
        <v>192</v>
      </c>
      <c r="D763" s="119" t="s">
        <v>459</v>
      </c>
      <c r="E763" s="119" t="s">
        <v>111</v>
      </c>
      <c r="F763" s="120">
        <v>74.543300000000002</v>
      </c>
      <c r="G763" s="120">
        <v>75.460599999999999</v>
      </c>
      <c r="H763" s="120">
        <v>17.170000000000002</v>
      </c>
      <c r="I763" s="117">
        <v>1397</v>
      </c>
      <c r="J763" s="119" t="s">
        <v>271</v>
      </c>
    </row>
    <row r="764" spans="1:10" x14ac:dyDescent="0.25">
      <c r="A764" s="117">
        <v>761</v>
      </c>
      <c r="B764" s="118" t="s">
        <v>193</v>
      </c>
      <c r="C764" s="119" t="s">
        <v>194</v>
      </c>
      <c r="D764" s="119" t="s">
        <v>459</v>
      </c>
      <c r="E764" s="119" t="s">
        <v>111</v>
      </c>
      <c r="F764" s="120">
        <v>72.447699999999998</v>
      </c>
      <c r="G764" s="120">
        <v>77.397000000000006</v>
      </c>
      <c r="H764" s="120">
        <v>17.11</v>
      </c>
      <c r="I764" s="117">
        <v>1568</v>
      </c>
      <c r="J764" s="119" t="s">
        <v>271</v>
      </c>
    </row>
    <row r="765" spans="1:10" x14ac:dyDescent="0.25">
      <c r="A765" s="117">
        <v>762</v>
      </c>
      <c r="B765" s="118" t="s">
        <v>195</v>
      </c>
      <c r="C765" s="119" t="s">
        <v>196</v>
      </c>
      <c r="D765" s="119" t="s">
        <v>459</v>
      </c>
      <c r="E765" s="119" t="s">
        <v>111</v>
      </c>
      <c r="F765" s="120">
        <v>66.436300000000003</v>
      </c>
      <c r="G765" s="120">
        <v>70.573899999999995</v>
      </c>
      <c r="H765" s="120">
        <v>16.8</v>
      </c>
      <c r="I765" s="117">
        <v>2708</v>
      </c>
      <c r="J765" s="119" t="s">
        <v>271</v>
      </c>
    </row>
    <row r="766" spans="1:10" x14ac:dyDescent="0.25">
      <c r="A766" s="117">
        <v>763</v>
      </c>
      <c r="B766" s="118" t="s">
        <v>197</v>
      </c>
      <c r="C766" s="119" t="s">
        <v>198</v>
      </c>
      <c r="D766" s="119" t="s">
        <v>459</v>
      </c>
      <c r="E766" s="119" t="s">
        <v>111</v>
      </c>
      <c r="F766" s="120">
        <v>65.518799999999999</v>
      </c>
      <c r="G766" s="120">
        <v>69.1143</v>
      </c>
      <c r="H766" s="120">
        <v>16.8</v>
      </c>
      <c r="I766" s="117">
        <v>2727</v>
      </c>
      <c r="J766" s="119" t="s">
        <v>271</v>
      </c>
    </row>
    <row r="767" spans="1:10" x14ac:dyDescent="0.25">
      <c r="A767" s="117">
        <v>764</v>
      </c>
      <c r="B767" s="118" t="s">
        <v>199</v>
      </c>
      <c r="C767" s="119" t="s">
        <v>200</v>
      </c>
      <c r="D767" s="119" t="s">
        <v>459</v>
      </c>
      <c r="E767" s="119" t="s">
        <v>111</v>
      </c>
      <c r="F767" s="120">
        <v>71.0047</v>
      </c>
      <c r="G767" s="120">
        <v>71.933000000000007</v>
      </c>
      <c r="H767" s="120">
        <v>16.71</v>
      </c>
      <c r="I767" s="117">
        <v>3929</v>
      </c>
      <c r="J767" s="119" t="s">
        <v>271</v>
      </c>
    </row>
    <row r="768" spans="1:10" x14ac:dyDescent="0.25">
      <c r="A768" s="117">
        <v>765</v>
      </c>
      <c r="B768" s="118" t="s">
        <v>201</v>
      </c>
      <c r="C768" s="119" t="s">
        <v>202</v>
      </c>
      <c r="D768" s="119" t="s">
        <v>459</v>
      </c>
      <c r="E768" s="119" t="s">
        <v>111</v>
      </c>
      <c r="F768" s="120">
        <v>71.799000000000007</v>
      </c>
      <c r="G768" s="120">
        <v>79.104299999999995</v>
      </c>
      <c r="H768" s="120">
        <v>16.71</v>
      </c>
      <c r="I768" s="117">
        <v>4082</v>
      </c>
      <c r="J768" s="119" t="s">
        <v>271</v>
      </c>
    </row>
    <row r="769" spans="1:10" x14ac:dyDescent="0.25">
      <c r="A769" s="117">
        <v>766</v>
      </c>
      <c r="B769" s="118" t="s">
        <v>203</v>
      </c>
      <c r="C769" s="119" t="s">
        <v>204</v>
      </c>
      <c r="D769" s="119" t="s">
        <v>459</v>
      </c>
      <c r="E769" s="119" t="s">
        <v>111</v>
      </c>
      <c r="F769" s="120">
        <v>80.109399999999994</v>
      </c>
      <c r="G769" s="120">
        <v>85.070800000000006</v>
      </c>
      <c r="H769" s="120">
        <v>17.59</v>
      </c>
      <c r="I769" s="117">
        <v>743</v>
      </c>
      <c r="J769" s="119" t="s">
        <v>271</v>
      </c>
    </row>
    <row r="770" spans="1:10" x14ac:dyDescent="0.25">
      <c r="A770" s="117">
        <v>767</v>
      </c>
      <c r="B770" s="118" t="s">
        <v>205</v>
      </c>
      <c r="C770" s="119" t="s">
        <v>206</v>
      </c>
      <c r="D770" s="119" t="s">
        <v>459</v>
      </c>
      <c r="E770" s="119" t="s">
        <v>111</v>
      </c>
      <c r="F770" s="120">
        <v>75.783000000000001</v>
      </c>
      <c r="G770" s="120">
        <v>77.977400000000003</v>
      </c>
      <c r="H770" s="120">
        <v>17.47</v>
      </c>
      <c r="I770" s="117">
        <v>922</v>
      </c>
      <c r="J770" s="119" t="s">
        <v>271</v>
      </c>
    </row>
    <row r="771" spans="1:10" x14ac:dyDescent="0.25">
      <c r="A771" s="117">
        <v>768</v>
      </c>
      <c r="B771" s="118" t="s">
        <v>207</v>
      </c>
      <c r="C771" s="119" t="s">
        <v>208</v>
      </c>
      <c r="D771" s="119" t="s">
        <v>459</v>
      </c>
      <c r="E771" s="119" t="s">
        <v>111</v>
      </c>
      <c r="F771" s="120">
        <v>74.025400000000005</v>
      </c>
      <c r="G771" s="120">
        <v>74.117099999999994</v>
      </c>
      <c r="H771" s="120">
        <v>17.38</v>
      </c>
      <c r="I771" s="117">
        <v>1074</v>
      </c>
      <c r="J771" s="119" t="s">
        <v>271</v>
      </c>
    </row>
    <row r="772" spans="1:10" x14ac:dyDescent="0.25">
      <c r="A772" s="117">
        <v>769</v>
      </c>
      <c r="B772" s="118" t="s">
        <v>209</v>
      </c>
      <c r="C772" s="119" t="s">
        <v>210</v>
      </c>
      <c r="D772" s="119" t="s">
        <v>459</v>
      </c>
      <c r="E772" s="119" t="s">
        <v>111</v>
      </c>
      <c r="F772" s="120">
        <v>59.952599999999997</v>
      </c>
      <c r="G772" s="120">
        <v>61.271700000000003</v>
      </c>
      <c r="H772" s="120">
        <v>16.690000000000001</v>
      </c>
      <c r="I772" s="117">
        <v>3904</v>
      </c>
      <c r="J772" s="119" t="s">
        <v>271</v>
      </c>
    </row>
    <row r="773" spans="1:10" x14ac:dyDescent="0.25">
      <c r="A773" s="117">
        <v>770</v>
      </c>
      <c r="B773" s="118" t="s">
        <v>211</v>
      </c>
      <c r="C773" s="119" t="s">
        <v>212</v>
      </c>
      <c r="D773" s="119" t="s">
        <v>459</v>
      </c>
      <c r="E773" s="119" t="s">
        <v>111</v>
      </c>
      <c r="F773" s="120">
        <v>60.215800000000002</v>
      </c>
      <c r="G773" s="120">
        <v>65.653300000000002</v>
      </c>
      <c r="H773" s="120">
        <v>16.7</v>
      </c>
      <c r="I773" s="117">
        <v>4095</v>
      </c>
      <c r="J773" s="119" t="s">
        <v>271</v>
      </c>
    </row>
    <row r="774" spans="1:10" x14ac:dyDescent="0.25">
      <c r="A774" s="117">
        <v>771</v>
      </c>
      <c r="B774" s="118" t="s">
        <v>213</v>
      </c>
      <c r="C774" s="119" t="s">
        <v>214</v>
      </c>
      <c r="D774" s="119" t="s">
        <v>459</v>
      </c>
      <c r="E774" s="119" t="s">
        <v>111</v>
      </c>
      <c r="F774" s="120">
        <v>56.7806</v>
      </c>
      <c r="G774" s="120">
        <v>59.102800000000002</v>
      </c>
      <c r="H774" s="120">
        <v>16.829999999999998</v>
      </c>
      <c r="I774" s="117">
        <v>2368</v>
      </c>
      <c r="J774" s="119" t="s">
        <v>271</v>
      </c>
    </row>
    <row r="775" spans="1:10" x14ac:dyDescent="0.25">
      <c r="A775" s="117">
        <v>772</v>
      </c>
      <c r="B775" s="118" t="s">
        <v>215</v>
      </c>
      <c r="C775" s="119" t="s">
        <v>12</v>
      </c>
      <c r="D775" s="119" t="s">
        <v>459</v>
      </c>
      <c r="E775" s="119" t="s">
        <v>111</v>
      </c>
      <c r="F775" s="120">
        <v>61.674700000000001</v>
      </c>
      <c r="G775" s="120">
        <v>64.6785</v>
      </c>
      <c r="H775" s="120">
        <v>16.739999999999998</v>
      </c>
      <c r="I775" s="117">
        <v>3106</v>
      </c>
      <c r="J775" s="119" t="s">
        <v>271</v>
      </c>
    </row>
    <row r="776" spans="1:10" x14ac:dyDescent="0.25">
      <c r="A776" s="117">
        <v>773</v>
      </c>
      <c r="B776" s="118" t="s">
        <v>216</v>
      </c>
      <c r="C776" s="119" t="s">
        <v>13</v>
      </c>
      <c r="D776" s="119" t="s">
        <v>459</v>
      </c>
      <c r="E776" s="119" t="s">
        <v>111</v>
      </c>
      <c r="F776" s="120">
        <v>60.298699999999997</v>
      </c>
      <c r="G776" s="120">
        <v>65.611500000000007</v>
      </c>
      <c r="H776" s="120">
        <v>16.73</v>
      </c>
      <c r="I776" s="117">
        <v>3363</v>
      </c>
      <c r="J776" s="119" t="s">
        <v>271</v>
      </c>
    </row>
    <row r="777" spans="1:10" x14ac:dyDescent="0.25">
      <c r="A777" s="117">
        <v>774</v>
      </c>
      <c r="B777" s="118" t="s">
        <v>217</v>
      </c>
      <c r="C777" s="119" t="s">
        <v>218</v>
      </c>
      <c r="D777" s="119" t="s">
        <v>459</v>
      </c>
      <c r="E777" s="119" t="s">
        <v>111</v>
      </c>
      <c r="F777" s="120">
        <v>54.178899999999999</v>
      </c>
      <c r="G777" s="120">
        <v>60.235599999999998</v>
      </c>
      <c r="H777" s="120">
        <v>16.649999999999999</v>
      </c>
      <c r="I777" s="117">
        <v>4764</v>
      </c>
      <c r="J777" s="119" t="s">
        <v>271</v>
      </c>
    </row>
    <row r="778" spans="1:10" x14ac:dyDescent="0.25">
      <c r="A778" s="117">
        <v>775</v>
      </c>
      <c r="B778" s="118" t="s">
        <v>219</v>
      </c>
      <c r="C778" s="119" t="s">
        <v>220</v>
      </c>
      <c r="D778" s="119" t="s">
        <v>459</v>
      </c>
      <c r="E778" s="119" t="s">
        <v>111</v>
      </c>
      <c r="F778" s="120">
        <v>55.998199999999997</v>
      </c>
      <c r="G778" s="120">
        <v>57.4131</v>
      </c>
      <c r="H778" s="120">
        <v>16.649999999999999</v>
      </c>
      <c r="I778" s="117">
        <v>4979</v>
      </c>
      <c r="J778" s="119" t="s">
        <v>271</v>
      </c>
    </row>
    <row r="779" spans="1:10" x14ac:dyDescent="0.25">
      <c r="A779" s="117">
        <v>776</v>
      </c>
      <c r="B779" s="118" t="s">
        <v>221</v>
      </c>
      <c r="C779" s="119" t="s">
        <v>222</v>
      </c>
      <c r="D779" s="119" t="s">
        <v>459</v>
      </c>
      <c r="E779" s="119" t="s">
        <v>111</v>
      </c>
      <c r="F779" s="120">
        <v>55.497900000000001</v>
      </c>
      <c r="G779" s="120">
        <v>60.380400000000002</v>
      </c>
      <c r="H779" s="120">
        <v>16.649999999999999</v>
      </c>
      <c r="I779" s="117">
        <v>5190</v>
      </c>
      <c r="J779" s="119" t="s">
        <v>271</v>
      </c>
    </row>
    <row r="780" spans="1:10" x14ac:dyDescent="0.25">
      <c r="A780" s="117">
        <v>777</v>
      </c>
      <c r="B780" s="118" t="s">
        <v>223</v>
      </c>
      <c r="C780" s="119" t="s">
        <v>224</v>
      </c>
      <c r="D780" s="119" t="s">
        <v>459</v>
      </c>
      <c r="E780" s="119" t="s">
        <v>111</v>
      </c>
      <c r="F780" s="120">
        <v>54.583799999999997</v>
      </c>
      <c r="G780" s="120">
        <v>54.583799999999997</v>
      </c>
      <c r="H780" s="120">
        <v>16.63</v>
      </c>
      <c r="I780" s="117">
        <v>6840</v>
      </c>
      <c r="J780" s="119" t="s">
        <v>271</v>
      </c>
    </row>
    <row r="781" spans="1:10" x14ac:dyDescent="0.25">
      <c r="A781" s="117">
        <v>778</v>
      </c>
      <c r="B781" s="118" t="s">
        <v>2082</v>
      </c>
      <c r="C781" s="119" t="s">
        <v>2083</v>
      </c>
      <c r="D781" s="119" t="s">
        <v>459</v>
      </c>
      <c r="E781" s="119" t="s">
        <v>111</v>
      </c>
      <c r="F781" s="120">
        <v>99.747299999999996</v>
      </c>
      <c r="G781" s="120">
        <v>99.747299999999996</v>
      </c>
      <c r="H781" s="120">
        <v>14.731999999999999</v>
      </c>
      <c r="I781" s="117">
        <v>1984</v>
      </c>
      <c r="J781" s="119" t="s">
        <v>271</v>
      </c>
    </row>
    <row r="782" spans="1:10" x14ac:dyDescent="0.25">
      <c r="A782" s="117">
        <v>779</v>
      </c>
      <c r="B782" s="118" t="s">
        <v>1493</v>
      </c>
      <c r="C782" s="119" t="s">
        <v>1494</v>
      </c>
      <c r="D782" s="119" t="s">
        <v>449</v>
      </c>
      <c r="E782" s="119" t="s">
        <v>2104</v>
      </c>
      <c r="F782" s="120">
        <v>85867.576300000001</v>
      </c>
      <c r="G782" s="120">
        <v>85867.576300000001</v>
      </c>
      <c r="H782" s="120">
        <v>0</v>
      </c>
      <c r="I782" s="117">
        <v>0</v>
      </c>
      <c r="J782" s="119" t="s">
        <v>240</v>
      </c>
    </row>
    <row r="783" spans="1:10" x14ac:dyDescent="0.25">
      <c r="A783" s="117">
        <v>780</v>
      </c>
      <c r="B783" s="118" t="s">
        <v>1495</v>
      </c>
      <c r="C783" s="119" t="s">
        <v>1496</v>
      </c>
      <c r="D783" s="119" t="s">
        <v>449</v>
      </c>
      <c r="E783" s="119" t="s">
        <v>1497</v>
      </c>
      <c r="F783" s="120">
        <v>490.28438599999998</v>
      </c>
      <c r="G783" s="120">
        <v>490.28438599999998</v>
      </c>
      <c r="H783" s="120">
        <v>0</v>
      </c>
      <c r="I783" s="117">
        <v>2012</v>
      </c>
      <c r="J783" s="119" t="s">
        <v>240</v>
      </c>
    </row>
    <row r="784" spans="1:10" x14ac:dyDescent="0.25">
      <c r="A784" s="117">
        <v>781</v>
      </c>
      <c r="B784" s="118" t="s">
        <v>1331</v>
      </c>
      <c r="C784" s="119" t="s">
        <v>1332</v>
      </c>
      <c r="D784" s="119" t="s">
        <v>449</v>
      </c>
      <c r="E784" s="119" t="s">
        <v>1333</v>
      </c>
      <c r="F784" s="120">
        <v>9311.49755</v>
      </c>
      <c r="G784" s="120">
        <v>9311.49755</v>
      </c>
      <c r="H784" s="120">
        <v>0</v>
      </c>
      <c r="I784" s="117">
        <v>0</v>
      </c>
      <c r="J784" s="119" t="s">
        <v>240</v>
      </c>
    </row>
    <row r="785" spans="1:10" x14ac:dyDescent="0.25">
      <c r="A785" s="117">
        <v>782</v>
      </c>
      <c r="B785" s="118" t="s">
        <v>225</v>
      </c>
      <c r="C785" s="119" t="s">
        <v>226</v>
      </c>
      <c r="D785" s="119" t="s">
        <v>459</v>
      </c>
      <c r="E785" s="119" t="s">
        <v>227</v>
      </c>
      <c r="F785" s="120">
        <v>80.819896184408407</v>
      </c>
      <c r="G785" s="120">
        <v>83.753196184408409</v>
      </c>
      <c r="H785" s="120">
        <v>19.399999999999999</v>
      </c>
      <c r="I785" s="117">
        <v>1352</v>
      </c>
      <c r="J785" s="119" t="s">
        <v>271</v>
      </c>
    </row>
    <row r="786" spans="1:10" x14ac:dyDescent="0.25">
      <c r="A786" s="117">
        <v>783</v>
      </c>
      <c r="B786" s="118" t="s">
        <v>228</v>
      </c>
      <c r="C786" s="119" t="s">
        <v>229</v>
      </c>
      <c r="D786" s="119" t="s">
        <v>459</v>
      </c>
      <c r="E786" s="119" t="s">
        <v>227</v>
      </c>
      <c r="F786" s="120">
        <v>99.718000000000004</v>
      </c>
      <c r="G786" s="120">
        <v>108.1972</v>
      </c>
      <c r="H786" s="120">
        <v>19.010000000000002</v>
      </c>
      <c r="I786" s="117">
        <v>195</v>
      </c>
      <c r="J786" s="119" t="s">
        <v>271</v>
      </c>
    </row>
    <row r="787" spans="1:10" x14ac:dyDescent="0.25">
      <c r="A787" s="117">
        <v>784</v>
      </c>
      <c r="B787" s="118" t="s">
        <v>2007</v>
      </c>
      <c r="C787" s="119" t="s">
        <v>2008</v>
      </c>
      <c r="D787" s="119" t="s">
        <v>459</v>
      </c>
      <c r="E787" s="119" t="s">
        <v>227</v>
      </c>
      <c r="F787" s="120">
        <v>99.947940867008668</v>
      </c>
      <c r="G787" s="120">
        <v>101.56734086700867</v>
      </c>
      <c r="H787" s="120">
        <v>11.06</v>
      </c>
      <c r="I787" s="117">
        <v>127</v>
      </c>
      <c r="J787" s="119" t="s">
        <v>271</v>
      </c>
    </row>
    <row r="788" spans="1:10" x14ac:dyDescent="0.25">
      <c r="A788" s="117">
        <v>785</v>
      </c>
      <c r="B788" s="118" t="s">
        <v>2137</v>
      </c>
      <c r="C788" s="119" t="s">
        <v>2138</v>
      </c>
      <c r="D788" s="119" t="s">
        <v>459</v>
      </c>
      <c r="E788" s="119" t="s">
        <v>227</v>
      </c>
      <c r="F788" s="120">
        <v>99.9636</v>
      </c>
      <c r="G788" s="120">
        <v>103.783</v>
      </c>
      <c r="H788" s="120">
        <v>11.01</v>
      </c>
      <c r="I788" s="117">
        <v>235</v>
      </c>
      <c r="J788" s="119" t="s">
        <v>271</v>
      </c>
    </row>
    <row r="789" spans="1:10" x14ac:dyDescent="0.25">
      <c r="A789" s="117">
        <v>786</v>
      </c>
      <c r="B789" s="118" t="s">
        <v>2490</v>
      </c>
      <c r="C789" s="119" t="s">
        <v>2491</v>
      </c>
      <c r="D789" s="119" t="s">
        <v>459</v>
      </c>
      <c r="E789" s="119" t="s">
        <v>227</v>
      </c>
      <c r="F789" s="120">
        <v>99.993099999999998</v>
      </c>
      <c r="G789" s="120">
        <v>100.2987</v>
      </c>
      <c r="H789" s="120">
        <v>11</v>
      </c>
      <c r="I789" s="117">
        <v>350</v>
      </c>
      <c r="J789" s="119" t="s">
        <v>271</v>
      </c>
    </row>
    <row r="790" spans="1:10" x14ac:dyDescent="0.25">
      <c r="A790" s="117">
        <v>787</v>
      </c>
      <c r="B790" s="118" t="s">
        <v>1498</v>
      </c>
      <c r="C790" s="119" t="s">
        <v>1499</v>
      </c>
      <c r="D790" s="119" t="s">
        <v>459</v>
      </c>
      <c r="E790" s="119" t="s">
        <v>227</v>
      </c>
      <c r="F790" s="120">
        <v>99.863259770496214</v>
      </c>
      <c r="G790" s="120">
        <v>103.01325977049621</v>
      </c>
      <c r="H790" s="120">
        <v>11.03</v>
      </c>
      <c r="I790" s="117">
        <v>72</v>
      </c>
      <c r="J790" s="119" t="s">
        <v>271</v>
      </c>
    </row>
    <row r="791" spans="1:10" x14ac:dyDescent="0.25">
      <c r="A791" s="117">
        <v>788</v>
      </c>
      <c r="B791" s="118" t="s">
        <v>1500</v>
      </c>
      <c r="C791" s="119" t="s">
        <v>1501</v>
      </c>
      <c r="D791" s="119" t="s">
        <v>459</v>
      </c>
      <c r="E791" s="119" t="s">
        <v>227</v>
      </c>
      <c r="F791" s="120">
        <v>97.979210488582552</v>
      </c>
      <c r="G791" s="120">
        <v>100.70141048858255</v>
      </c>
      <c r="H791" s="120">
        <v>10.66</v>
      </c>
      <c r="I791" s="117">
        <v>1342</v>
      </c>
      <c r="J791" s="119" t="s">
        <v>271</v>
      </c>
    </row>
    <row r="792" spans="1:10" x14ac:dyDescent="0.25">
      <c r="A792" s="117">
        <v>789</v>
      </c>
      <c r="B792" s="118" t="s">
        <v>1502</v>
      </c>
      <c r="C792" s="119" t="s">
        <v>1503</v>
      </c>
      <c r="D792" s="119" t="s">
        <v>449</v>
      </c>
      <c r="E792" s="119" t="s">
        <v>1504</v>
      </c>
      <c r="F792" s="120">
        <v>45442.711900000002</v>
      </c>
      <c r="G792" s="120">
        <v>45442.711900000002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1505</v>
      </c>
      <c r="C793" s="119" t="s">
        <v>1506</v>
      </c>
      <c r="D793" s="119" t="s">
        <v>449</v>
      </c>
      <c r="E793" s="119" t="s">
        <v>2105</v>
      </c>
      <c r="F793" s="120">
        <v>659285.48979999998</v>
      </c>
      <c r="G793" s="120">
        <v>659285.48979999998</v>
      </c>
      <c r="H793" s="120">
        <v>0</v>
      </c>
      <c r="I793" s="117">
        <v>0</v>
      </c>
      <c r="J793" s="119" t="s">
        <v>240</v>
      </c>
    </row>
    <row r="794" spans="1:10" x14ac:dyDescent="0.25">
      <c r="A794" s="117">
        <v>791</v>
      </c>
      <c r="B794" s="118" t="s">
        <v>1992</v>
      </c>
      <c r="C794" s="119" t="s">
        <v>1993</v>
      </c>
      <c r="D794" s="119" t="s">
        <v>459</v>
      </c>
      <c r="E794" s="119" t="s">
        <v>1994</v>
      </c>
      <c r="F794" s="120">
        <v>91.302639953152607</v>
      </c>
      <c r="G794" s="120">
        <v>95.999839953152616</v>
      </c>
      <c r="H794" s="120">
        <v>24.15</v>
      </c>
      <c r="I794" s="117">
        <v>811</v>
      </c>
      <c r="J794" s="119" t="s">
        <v>271</v>
      </c>
    </row>
    <row r="795" spans="1:10" x14ac:dyDescent="0.25">
      <c r="A795" s="117">
        <v>792</v>
      </c>
      <c r="B795" s="118" t="s">
        <v>1507</v>
      </c>
      <c r="C795" s="119" t="s">
        <v>1508</v>
      </c>
      <c r="D795" s="119" t="s">
        <v>449</v>
      </c>
      <c r="E795" s="119" t="s">
        <v>2106</v>
      </c>
      <c r="F795" s="120">
        <v>37731.500849999997</v>
      </c>
      <c r="G795" s="120">
        <v>37731.500849999997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1509</v>
      </c>
      <c r="C796" s="119" t="s">
        <v>1510</v>
      </c>
      <c r="D796" s="119" t="s">
        <v>449</v>
      </c>
      <c r="E796" s="119" t="s">
        <v>1511</v>
      </c>
      <c r="F796" s="120">
        <v>6751.38</v>
      </c>
      <c r="G796" s="120">
        <v>6751.38</v>
      </c>
      <c r="H796" s="120">
        <v>0</v>
      </c>
      <c r="I796" s="117">
        <v>0</v>
      </c>
      <c r="J796" s="119" t="s">
        <v>240</v>
      </c>
    </row>
    <row r="797" spans="1:10" x14ac:dyDescent="0.25">
      <c r="A797" s="117">
        <v>794</v>
      </c>
      <c r="B797" s="118" t="s">
        <v>1512</v>
      </c>
      <c r="C797" s="119" t="s">
        <v>1513</v>
      </c>
      <c r="D797" s="119" t="s">
        <v>449</v>
      </c>
      <c r="E797" s="119" t="s">
        <v>1511</v>
      </c>
      <c r="F797" s="120">
        <v>88.363100000000003</v>
      </c>
      <c r="G797" s="120">
        <v>88.363100000000003</v>
      </c>
      <c r="H797" s="120">
        <v>0</v>
      </c>
      <c r="I797" s="117">
        <v>841</v>
      </c>
      <c r="J797" s="119" t="s">
        <v>240</v>
      </c>
    </row>
    <row r="798" spans="1:10" x14ac:dyDescent="0.25">
      <c r="A798" s="117">
        <v>795</v>
      </c>
      <c r="B798" s="118" t="s">
        <v>1514</v>
      </c>
      <c r="C798" s="119" t="s">
        <v>1515</v>
      </c>
      <c r="D798" s="119" t="s">
        <v>449</v>
      </c>
      <c r="E798" s="119" t="s">
        <v>1511</v>
      </c>
      <c r="F798" s="120">
        <v>0.01</v>
      </c>
      <c r="G798" s="120">
        <v>0.01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1516</v>
      </c>
      <c r="C799" s="119" t="s">
        <v>1517</v>
      </c>
      <c r="D799" s="119" t="s">
        <v>449</v>
      </c>
      <c r="E799" s="119" t="s">
        <v>1511</v>
      </c>
      <c r="F799" s="120">
        <v>0.01</v>
      </c>
      <c r="G799" s="120">
        <v>0.01</v>
      </c>
      <c r="H799" s="120">
        <v>0</v>
      </c>
      <c r="I799" s="117">
        <v>0</v>
      </c>
      <c r="J799" s="119" t="s">
        <v>240</v>
      </c>
    </row>
    <row r="800" spans="1:10" x14ac:dyDescent="0.25">
      <c r="A800" s="117">
        <v>797</v>
      </c>
      <c r="B800" s="118" t="s">
        <v>1518</v>
      </c>
      <c r="C800" s="119" t="s">
        <v>1519</v>
      </c>
      <c r="D800" s="119" t="s">
        <v>459</v>
      </c>
      <c r="E800" s="119" t="s">
        <v>1511</v>
      </c>
      <c r="F800" s="120">
        <v>96.978957925427338</v>
      </c>
      <c r="G800" s="120">
        <v>97.861057925427332</v>
      </c>
      <c r="H800" s="120">
        <v>18.690000000000001</v>
      </c>
      <c r="I800" s="117">
        <v>151</v>
      </c>
      <c r="J800" s="119" t="s">
        <v>271</v>
      </c>
    </row>
    <row r="801" spans="1:10" x14ac:dyDescent="0.25">
      <c r="A801" s="117">
        <v>798</v>
      </c>
      <c r="B801" s="118" t="s">
        <v>1520</v>
      </c>
      <c r="C801" s="119" t="s">
        <v>1521</v>
      </c>
      <c r="D801" s="119" t="s">
        <v>459</v>
      </c>
      <c r="E801" s="119" t="s">
        <v>1511</v>
      </c>
      <c r="F801" s="120">
        <v>36.081115043663466</v>
      </c>
      <c r="G801" s="120">
        <v>37.714415043663465</v>
      </c>
      <c r="H801" s="120">
        <v>18.89</v>
      </c>
      <c r="I801" s="117">
        <v>3453</v>
      </c>
      <c r="J801" s="119" t="s">
        <v>271</v>
      </c>
    </row>
    <row r="802" spans="1:10" x14ac:dyDescent="0.25">
      <c r="A802" s="117">
        <v>799</v>
      </c>
      <c r="B802" s="118" t="s">
        <v>1522</v>
      </c>
      <c r="C802" s="119" t="s">
        <v>1523</v>
      </c>
      <c r="D802" s="119" t="s">
        <v>449</v>
      </c>
      <c r="E802" s="119" t="s">
        <v>1511</v>
      </c>
      <c r="F802" s="120">
        <v>11898.67</v>
      </c>
      <c r="G802" s="120">
        <v>11898.67</v>
      </c>
      <c r="H802" s="120">
        <v>0</v>
      </c>
      <c r="I802" s="117">
        <v>0</v>
      </c>
      <c r="J802" s="119" t="s">
        <v>240</v>
      </c>
    </row>
    <row r="803" spans="1:10" x14ac:dyDescent="0.25">
      <c r="A803" s="117">
        <v>800</v>
      </c>
      <c r="B803" s="118" t="s">
        <v>1524</v>
      </c>
      <c r="C803" s="119" t="s">
        <v>1525</v>
      </c>
      <c r="D803" s="119" t="s">
        <v>459</v>
      </c>
      <c r="E803" s="119" t="s">
        <v>659</v>
      </c>
      <c r="F803" s="120">
        <v>100</v>
      </c>
      <c r="G803" s="120">
        <v>106.48860000000001</v>
      </c>
      <c r="H803" s="120">
        <v>7.08</v>
      </c>
      <c r="I803" s="117">
        <v>2161</v>
      </c>
      <c r="J803" s="119" t="s">
        <v>271</v>
      </c>
    </row>
    <row r="804" spans="1:10" x14ac:dyDescent="0.25">
      <c r="A804" s="117">
        <v>801</v>
      </c>
      <c r="B804" s="118" t="s">
        <v>1526</v>
      </c>
      <c r="C804" s="119" t="s">
        <v>1527</v>
      </c>
      <c r="D804" s="119" t="s">
        <v>459</v>
      </c>
      <c r="E804" s="119" t="s">
        <v>659</v>
      </c>
      <c r="F804" s="120">
        <v>100</v>
      </c>
      <c r="G804" s="120">
        <v>100.71169999999999</v>
      </c>
      <c r="H804" s="120">
        <v>6.09</v>
      </c>
      <c r="I804" s="117">
        <v>2088</v>
      </c>
      <c r="J804" s="119" t="s">
        <v>271</v>
      </c>
    </row>
    <row r="805" spans="1:10" x14ac:dyDescent="0.25">
      <c r="A805" s="117">
        <v>802</v>
      </c>
      <c r="B805" s="118" t="s">
        <v>1528</v>
      </c>
      <c r="C805" s="119" t="s">
        <v>1529</v>
      </c>
      <c r="D805" s="119" t="s">
        <v>459</v>
      </c>
      <c r="E805" s="119" t="s">
        <v>659</v>
      </c>
      <c r="F805" s="120">
        <v>100</v>
      </c>
      <c r="G805" s="120">
        <v>105.65940000000001</v>
      </c>
      <c r="H805" s="120">
        <v>6.09</v>
      </c>
      <c r="I805" s="117">
        <v>2516</v>
      </c>
      <c r="J805" s="119" t="s">
        <v>271</v>
      </c>
    </row>
    <row r="806" spans="1:10" x14ac:dyDescent="0.25">
      <c r="A806" s="117">
        <v>803</v>
      </c>
      <c r="B806" s="118" t="s">
        <v>1530</v>
      </c>
      <c r="C806" s="119" t="s">
        <v>1531</v>
      </c>
      <c r="D806" s="119" t="s">
        <v>459</v>
      </c>
      <c r="E806" s="119" t="s">
        <v>659</v>
      </c>
      <c r="F806" s="120">
        <v>100</v>
      </c>
      <c r="G806" s="120">
        <v>105.65940000000001</v>
      </c>
      <c r="H806" s="120">
        <v>6.09</v>
      </c>
      <c r="I806" s="117">
        <v>2516</v>
      </c>
      <c r="J806" s="119" t="s">
        <v>271</v>
      </c>
    </row>
    <row r="807" spans="1:10" x14ac:dyDescent="0.25">
      <c r="A807" s="117">
        <v>804</v>
      </c>
      <c r="B807" s="118" t="s">
        <v>1532</v>
      </c>
      <c r="C807" s="119" t="s">
        <v>1533</v>
      </c>
      <c r="D807" s="119" t="s">
        <v>459</v>
      </c>
      <c r="E807" s="119" t="s">
        <v>659</v>
      </c>
      <c r="F807" s="120">
        <v>100</v>
      </c>
      <c r="G807" s="120">
        <v>104.52419999999999</v>
      </c>
      <c r="H807" s="120">
        <v>6.08</v>
      </c>
      <c r="I807" s="117">
        <v>2583</v>
      </c>
      <c r="J807" s="119" t="s">
        <v>271</v>
      </c>
    </row>
    <row r="808" spans="1:10" x14ac:dyDescent="0.25">
      <c r="A808" s="117">
        <v>805</v>
      </c>
      <c r="B808" s="118" t="s">
        <v>2494</v>
      </c>
      <c r="C808" s="119" t="s">
        <v>2495</v>
      </c>
      <c r="D808" s="119" t="s">
        <v>459</v>
      </c>
      <c r="E808" s="119" t="s">
        <v>230</v>
      </c>
      <c r="F808" s="120">
        <v>99.218999999999994</v>
      </c>
      <c r="G808" s="120">
        <v>99.218999999999994</v>
      </c>
      <c r="H808" s="120">
        <v>15.12</v>
      </c>
      <c r="I808" s="117">
        <v>19</v>
      </c>
      <c r="J808" s="119" t="s">
        <v>271</v>
      </c>
    </row>
    <row r="809" spans="1:10" x14ac:dyDescent="0.25">
      <c r="A809" s="117">
        <v>806</v>
      </c>
      <c r="B809" s="118" t="s">
        <v>1534</v>
      </c>
      <c r="C809" s="119" t="s">
        <v>1535</v>
      </c>
      <c r="D809" s="119" t="s">
        <v>449</v>
      </c>
      <c r="E809" s="119" t="s">
        <v>1536</v>
      </c>
      <c r="F809" s="120">
        <v>96133.821049999999</v>
      </c>
      <c r="G809" s="120">
        <v>96133.821049999999</v>
      </c>
      <c r="H809" s="120">
        <v>0</v>
      </c>
      <c r="I809" s="117">
        <v>0</v>
      </c>
      <c r="J809" s="119" t="s">
        <v>240</v>
      </c>
    </row>
    <row r="810" spans="1:10" x14ac:dyDescent="0.25">
      <c r="A810" s="117">
        <v>807</v>
      </c>
      <c r="B810" s="118" t="s">
        <v>1537</v>
      </c>
      <c r="C810" s="119" t="s">
        <v>1538</v>
      </c>
      <c r="D810" s="119" t="s">
        <v>459</v>
      </c>
      <c r="E810" s="119" t="s">
        <v>1539</v>
      </c>
      <c r="F810" s="120">
        <v>100.6225631393261</v>
      </c>
      <c r="G810" s="120">
        <v>104.4392631393261</v>
      </c>
      <c r="H810" s="120">
        <v>5.87</v>
      </c>
      <c r="I810" s="117">
        <v>2291</v>
      </c>
      <c r="J810" s="119" t="s">
        <v>271</v>
      </c>
    </row>
    <row r="811" spans="1:10" x14ac:dyDescent="0.25">
      <c r="A811" s="117">
        <v>808</v>
      </c>
      <c r="B811" s="118" t="s">
        <v>1540</v>
      </c>
      <c r="C811" s="119" t="s">
        <v>1541</v>
      </c>
      <c r="D811" s="119" t="s">
        <v>459</v>
      </c>
      <c r="E811" s="119" t="s">
        <v>1542</v>
      </c>
      <c r="F811" s="120">
        <v>105.678</v>
      </c>
      <c r="G811" s="120">
        <v>106.5947</v>
      </c>
      <c r="H811" s="120">
        <v>4.38</v>
      </c>
      <c r="I811" s="117">
        <v>1385</v>
      </c>
      <c r="J811" s="119" t="s">
        <v>271</v>
      </c>
    </row>
    <row r="812" spans="1:10" x14ac:dyDescent="0.25">
      <c r="A812" s="117">
        <v>809</v>
      </c>
      <c r="B812" s="118" t="s">
        <v>1974</v>
      </c>
      <c r="C812" s="119" t="s">
        <v>1975</v>
      </c>
      <c r="D812" s="119" t="s">
        <v>459</v>
      </c>
      <c r="E812" s="119" t="s">
        <v>441</v>
      </c>
      <c r="F812" s="120">
        <v>99.996799999999993</v>
      </c>
      <c r="G812" s="120">
        <v>100.7551</v>
      </c>
      <c r="H812" s="120">
        <v>19.5</v>
      </c>
      <c r="I812" s="117">
        <v>76</v>
      </c>
      <c r="J812" s="119" t="s">
        <v>271</v>
      </c>
    </row>
    <row r="813" spans="1:10" x14ac:dyDescent="0.25">
      <c r="A813" s="117">
        <v>810</v>
      </c>
      <c r="B813" s="118" t="s">
        <v>2057</v>
      </c>
      <c r="C813" s="119" t="s">
        <v>2058</v>
      </c>
      <c r="D813" s="119" t="s">
        <v>459</v>
      </c>
      <c r="E813" s="119" t="s">
        <v>441</v>
      </c>
      <c r="F813" s="120">
        <v>100.27165852825065</v>
      </c>
      <c r="G813" s="120">
        <v>101.49385852825066</v>
      </c>
      <c r="H813" s="120">
        <v>19.34</v>
      </c>
      <c r="I813" s="117">
        <v>158</v>
      </c>
      <c r="J813" s="119" t="s">
        <v>271</v>
      </c>
    </row>
    <row r="814" spans="1:10" x14ac:dyDescent="0.25">
      <c r="A814" s="117">
        <v>811</v>
      </c>
      <c r="B814" s="118" t="s">
        <v>2133</v>
      </c>
      <c r="C814" s="119" t="s">
        <v>2134</v>
      </c>
      <c r="D814" s="119" t="s">
        <v>459</v>
      </c>
      <c r="E814" s="119" t="s">
        <v>441</v>
      </c>
      <c r="F814" s="120">
        <v>100.23842726035852</v>
      </c>
      <c r="G814" s="120">
        <v>100.46062726035852</v>
      </c>
      <c r="H814" s="120">
        <v>19.55</v>
      </c>
      <c r="I814" s="117">
        <v>206</v>
      </c>
      <c r="J814" s="119" t="s">
        <v>271</v>
      </c>
    </row>
    <row r="815" spans="1:10" x14ac:dyDescent="0.25">
      <c r="A815" s="117">
        <v>812</v>
      </c>
      <c r="B815" s="118" t="s">
        <v>1976</v>
      </c>
      <c r="C815" s="119" t="s">
        <v>1977</v>
      </c>
      <c r="D815" s="119" t="s">
        <v>449</v>
      </c>
      <c r="E815" s="119" t="s">
        <v>1978</v>
      </c>
      <c r="F815" s="120">
        <v>161026.7948</v>
      </c>
      <c r="G815" s="120">
        <v>161026.7948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1543</v>
      </c>
      <c r="C816" s="119" t="s">
        <v>1544</v>
      </c>
      <c r="D816" s="119" t="s">
        <v>459</v>
      </c>
      <c r="E816" s="119" t="s">
        <v>1545</v>
      </c>
      <c r="F816" s="120">
        <v>86.210430778137351</v>
      </c>
      <c r="G816" s="120">
        <v>95.756230778137351</v>
      </c>
      <c r="H816" s="120">
        <v>23.6</v>
      </c>
      <c r="I816" s="117">
        <v>3129</v>
      </c>
      <c r="J816" s="119" t="s">
        <v>271</v>
      </c>
    </row>
    <row r="817" spans="1:10" x14ac:dyDescent="0.25">
      <c r="A817" s="117">
        <v>814</v>
      </c>
      <c r="B817" s="118" t="s">
        <v>1546</v>
      </c>
      <c r="C817" s="119" t="s">
        <v>1547</v>
      </c>
      <c r="D817" s="119" t="s">
        <v>459</v>
      </c>
      <c r="E817" s="119" t="s">
        <v>1548</v>
      </c>
      <c r="F817" s="120">
        <v>94.979527302736344</v>
      </c>
      <c r="G817" s="120">
        <v>96.962827302736343</v>
      </c>
      <c r="H817" s="120">
        <v>17.329999999999998</v>
      </c>
      <c r="I817" s="117">
        <v>292</v>
      </c>
      <c r="J817" s="119" t="s">
        <v>271</v>
      </c>
    </row>
    <row r="818" spans="1:10" x14ac:dyDescent="0.25">
      <c r="A818" s="117">
        <v>815</v>
      </c>
      <c r="B818" s="118" t="s">
        <v>1549</v>
      </c>
      <c r="C818" s="119" t="s">
        <v>1550</v>
      </c>
      <c r="D818" s="119" t="s">
        <v>459</v>
      </c>
      <c r="E818" s="119" t="s">
        <v>1548</v>
      </c>
      <c r="F818" s="120">
        <v>88.330962719732042</v>
      </c>
      <c r="G818" s="120">
        <v>92.676762719732054</v>
      </c>
      <c r="H818" s="120">
        <v>17.39</v>
      </c>
      <c r="I818" s="117">
        <v>751</v>
      </c>
      <c r="J818" s="119" t="s">
        <v>271</v>
      </c>
    </row>
    <row r="819" spans="1:10" x14ac:dyDescent="0.25">
      <c r="A819" s="117">
        <v>816</v>
      </c>
      <c r="B819" s="118" t="s">
        <v>1551</v>
      </c>
      <c r="C819" s="119" t="s">
        <v>1552</v>
      </c>
      <c r="D819" s="119" t="s">
        <v>449</v>
      </c>
      <c r="E819" s="119" t="s">
        <v>1553</v>
      </c>
      <c r="F819" s="120">
        <v>25401.157749999998</v>
      </c>
      <c r="G819" s="120">
        <v>25401.157749999998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1554</v>
      </c>
      <c r="C820" s="119" t="s">
        <v>1555</v>
      </c>
      <c r="D820" s="119" t="s">
        <v>459</v>
      </c>
      <c r="E820" s="119" t="s">
        <v>1556</v>
      </c>
      <c r="F820" s="120">
        <v>100</v>
      </c>
      <c r="G820" s="120">
        <v>100.5556</v>
      </c>
      <c r="H820" s="120">
        <v>9.99</v>
      </c>
      <c r="I820" s="117">
        <v>340</v>
      </c>
      <c r="J820" s="119" t="s">
        <v>271</v>
      </c>
    </row>
    <row r="821" spans="1:10" x14ac:dyDescent="0.25">
      <c r="A821" s="117">
        <v>818</v>
      </c>
      <c r="B821" s="118" t="s">
        <v>1557</v>
      </c>
      <c r="C821" s="119" t="s">
        <v>1558</v>
      </c>
      <c r="D821" s="119" t="s">
        <v>459</v>
      </c>
      <c r="E821" s="119" t="s">
        <v>1559</v>
      </c>
      <c r="F821" s="120">
        <v>100.63</v>
      </c>
      <c r="G821" s="120">
        <v>100.98520000000001</v>
      </c>
      <c r="H821" s="120">
        <v>3.78</v>
      </c>
      <c r="I821" s="117">
        <v>689</v>
      </c>
      <c r="J821" s="119" t="s">
        <v>271</v>
      </c>
    </row>
    <row r="822" spans="1:10" x14ac:dyDescent="0.25">
      <c r="A822" s="117">
        <v>819</v>
      </c>
      <c r="B822" s="118" t="s">
        <v>1560</v>
      </c>
      <c r="C822" s="119" t="s">
        <v>1561</v>
      </c>
      <c r="D822" s="119" t="s">
        <v>459</v>
      </c>
      <c r="E822" s="119" t="s">
        <v>1559</v>
      </c>
      <c r="F822" s="120">
        <v>99.345908435189713</v>
      </c>
      <c r="G822" s="120">
        <v>99.764508435189711</v>
      </c>
      <c r="H822" s="120">
        <v>4.43</v>
      </c>
      <c r="I822" s="117">
        <v>117</v>
      </c>
      <c r="J822" s="119" t="s">
        <v>271</v>
      </c>
    </row>
    <row r="823" spans="1:10" x14ac:dyDescent="0.25">
      <c r="A823" s="117">
        <v>820</v>
      </c>
      <c r="B823" s="118" t="s">
        <v>1562</v>
      </c>
      <c r="C823" s="119" t="s">
        <v>1563</v>
      </c>
      <c r="D823" s="119" t="s">
        <v>449</v>
      </c>
      <c r="E823" s="119" t="s">
        <v>1564</v>
      </c>
      <c r="F823" s="120">
        <v>12940.62185</v>
      </c>
      <c r="G823" s="120">
        <v>12940.62185</v>
      </c>
      <c r="H823" s="120">
        <v>0</v>
      </c>
      <c r="I823" s="117">
        <v>0</v>
      </c>
      <c r="J823" s="119" t="s">
        <v>240</v>
      </c>
    </row>
    <row r="824" spans="1:10" x14ac:dyDescent="0.25">
      <c r="A824" s="117">
        <v>821</v>
      </c>
      <c r="B824" s="118" t="s">
        <v>2076</v>
      </c>
      <c r="C824" s="119" t="s">
        <v>1867</v>
      </c>
      <c r="D824" s="119" t="s">
        <v>759</v>
      </c>
      <c r="E824" s="119" t="s">
        <v>1619</v>
      </c>
      <c r="F824" s="120">
        <v>38257.696750000003</v>
      </c>
      <c r="G824" s="120">
        <v>38257.696750000003</v>
      </c>
      <c r="H824" s="120">
        <v>0</v>
      </c>
      <c r="I824" s="117">
        <v>0</v>
      </c>
      <c r="J824" s="119" t="s">
        <v>240</v>
      </c>
    </row>
    <row r="825" spans="1:10" x14ac:dyDescent="0.25">
      <c r="A825" s="117">
        <v>822</v>
      </c>
      <c r="B825" s="118" t="s">
        <v>1570</v>
      </c>
      <c r="C825" s="119" t="s">
        <v>1571</v>
      </c>
      <c r="D825" s="119" t="s">
        <v>449</v>
      </c>
      <c r="E825" s="119" t="s">
        <v>1572</v>
      </c>
      <c r="F825" s="120">
        <v>0.01</v>
      </c>
      <c r="G825" s="120">
        <v>0.01</v>
      </c>
      <c r="H825" s="120">
        <v>0</v>
      </c>
      <c r="I825" s="117">
        <v>0</v>
      </c>
      <c r="J825" s="119" t="s">
        <v>240</v>
      </c>
    </row>
    <row r="826" spans="1:10" x14ac:dyDescent="0.25">
      <c r="A826" s="117">
        <v>823</v>
      </c>
      <c r="B826" s="118" t="s">
        <v>1565</v>
      </c>
      <c r="C826" s="119" t="s">
        <v>1566</v>
      </c>
      <c r="D826" s="119" t="s">
        <v>459</v>
      </c>
      <c r="E826" s="119" t="s">
        <v>1567</v>
      </c>
      <c r="F826" s="120">
        <v>98.788474029008398</v>
      </c>
      <c r="G826" s="120">
        <v>99.538474029008398</v>
      </c>
      <c r="H826" s="120">
        <v>4.1500000000000004</v>
      </c>
      <c r="I826" s="117">
        <v>1188</v>
      </c>
      <c r="J826" s="119" t="s">
        <v>271</v>
      </c>
    </row>
    <row r="827" spans="1:10" x14ac:dyDescent="0.25">
      <c r="A827" s="117">
        <v>824</v>
      </c>
      <c r="B827" s="118" t="s">
        <v>1568</v>
      </c>
      <c r="C827" s="119" t="s">
        <v>1569</v>
      </c>
      <c r="D827" s="119" t="s">
        <v>459</v>
      </c>
      <c r="E827" s="119" t="s">
        <v>1567</v>
      </c>
      <c r="F827" s="120">
        <v>97.653000000000006</v>
      </c>
      <c r="G827" s="120">
        <v>98.1113</v>
      </c>
      <c r="H827" s="120">
        <v>4.0599999999999996</v>
      </c>
      <c r="I827" s="117">
        <v>845</v>
      </c>
      <c r="J827" s="119" t="s">
        <v>271</v>
      </c>
    </row>
    <row r="828" spans="1:10" x14ac:dyDescent="0.25">
      <c r="A828" s="117">
        <v>825</v>
      </c>
      <c r="B828" s="118" t="s">
        <v>1573</v>
      </c>
      <c r="C828" s="119" t="s">
        <v>1574</v>
      </c>
      <c r="D828" s="119" t="s">
        <v>459</v>
      </c>
      <c r="E828" s="119" t="s">
        <v>1575</v>
      </c>
      <c r="F828" s="120">
        <v>100</v>
      </c>
      <c r="G828" s="120">
        <v>101.5167</v>
      </c>
      <c r="H828" s="120">
        <v>14</v>
      </c>
      <c r="I828" s="117">
        <v>1851</v>
      </c>
      <c r="J828" s="119" t="s">
        <v>271</v>
      </c>
    </row>
    <row r="829" spans="1:10" x14ac:dyDescent="0.25">
      <c r="A829" s="117">
        <v>826</v>
      </c>
      <c r="B829" s="118" t="s">
        <v>2051</v>
      </c>
      <c r="C829" s="119" t="s">
        <v>2052</v>
      </c>
      <c r="D829" s="119" t="s">
        <v>459</v>
      </c>
      <c r="E829" s="119" t="s">
        <v>397</v>
      </c>
      <c r="F829" s="120">
        <v>99.502818040996644</v>
      </c>
      <c r="G829" s="120">
        <v>101.95281804099663</v>
      </c>
      <c r="H829" s="120">
        <v>18.600000000000001</v>
      </c>
      <c r="I829" s="117">
        <v>311</v>
      </c>
      <c r="J829" s="119" t="s">
        <v>271</v>
      </c>
    </row>
    <row r="830" spans="1:10" x14ac:dyDescent="0.25">
      <c r="A830" s="117">
        <v>827</v>
      </c>
      <c r="B830" s="118" t="s">
        <v>2053</v>
      </c>
      <c r="C830" s="119" t="s">
        <v>2054</v>
      </c>
      <c r="D830" s="119" t="s">
        <v>459</v>
      </c>
      <c r="E830" s="119" t="s">
        <v>397</v>
      </c>
      <c r="F830" s="120">
        <v>99.502818040996644</v>
      </c>
      <c r="G830" s="120">
        <v>101.95281804099663</v>
      </c>
      <c r="H830" s="120">
        <v>18.600000000000001</v>
      </c>
      <c r="I830" s="117">
        <v>311</v>
      </c>
      <c r="J830" s="119" t="s">
        <v>271</v>
      </c>
    </row>
    <row r="831" spans="1:10" x14ac:dyDescent="0.25">
      <c r="A831" s="117">
        <v>828</v>
      </c>
      <c r="B831" s="118" t="s">
        <v>1576</v>
      </c>
      <c r="C831" s="119" t="s">
        <v>1577</v>
      </c>
      <c r="D831" s="119" t="s">
        <v>449</v>
      </c>
      <c r="E831" s="119" t="s">
        <v>397</v>
      </c>
      <c r="F831" s="120">
        <v>3362.0949999999998</v>
      </c>
      <c r="G831" s="120">
        <v>3362.0949999999998</v>
      </c>
      <c r="H831" s="120">
        <v>0</v>
      </c>
      <c r="I831" s="117">
        <v>181</v>
      </c>
      <c r="J831" s="119" t="s">
        <v>240</v>
      </c>
    </row>
    <row r="832" spans="1:10" x14ac:dyDescent="0.25">
      <c r="A832" s="117">
        <v>829</v>
      </c>
      <c r="B832" s="118" t="s">
        <v>1578</v>
      </c>
      <c r="C832" s="119" t="s">
        <v>1579</v>
      </c>
      <c r="D832" s="119" t="s">
        <v>459</v>
      </c>
      <c r="E832" s="119" t="s">
        <v>1580</v>
      </c>
      <c r="F832" s="120">
        <v>100</v>
      </c>
      <c r="G832" s="120">
        <v>100.4132</v>
      </c>
      <c r="H832" s="120">
        <v>4.24</v>
      </c>
      <c r="I832" s="117">
        <v>265</v>
      </c>
      <c r="J832" s="119" t="s">
        <v>271</v>
      </c>
    </row>
    <row r="833" spans="1:10" x14ac:dyDescent="0.25">
      <c r="A833" s="117">
        <v>830</v>
      </c>
      <c r="B833" s="118" t="s">
        <v>1581</v>
      </c>
      <c r="C833" s="119" t="s">
        <v>1582</v>
      </c>
      <c r="D833" s="119" t="s">
        <v>459</v>
      </c>
      <c r="E833" s="119" t="s">
        <v>1580</v>
      </c>
      <c r="F833" s="120">
        <v>100</v>
      </c>
      <c r="G833" s="120">
        <v>100.1138</v>
      </c>
      <c r="H833" s="120">
        <v>0.35</v>
      </c>
      <c r="I833" s="117">
        <v>63</v>
      </c>
      <c r="J833" s="119" t="s">
        <v>271</v>
      </c>
    </row>
    <row r="834" spans="1:10" x14ac:dyDescent="0.25">
      <c r="A834" s="117">
        <v>831</v>
      </c>
      <c r="B834" s="118" t="s">
        <v>1583</v>
      </c>
      <c r="C834" s="119" t="s">
        <v>1584</v>
      </c>
      <c r="D834" s="119" t="s">
        <v>459</v>
      </c>
      <c r="E834" s="119" t="s">
        <v>1580</v>
      </c>
      <c r="F834" s="120">
        <v>100</v>
      </c>
      <c r="G834" s="120">
        <v>100.1099</v>
      </c>
      <c r="H834" s="120">
        <v>0.35</v>
      </c>
      <c r="I834" s="117">
        <v>247</v>
      </c>
      <c r="J834" s="119" t="s">
        <v>271</v>
      </c>
    </row>
    <row r="835" spans="1:10" x14ac:dyDescent="0.25">
      <c r="A835" s="117">
        <v>832</v>
      </c>
      <c r="B835" s="118" t="s">
        <v>2202</v>
      </c>
      <c r="C835" s="119" t="s">
        <v>2203</v>
      </c>
      <c r="D835" s="119" t="s">
        <v>459</v>
      </c>
      <c r="E835" s="119" t="s">
        <v>1580</v>
      </c>
      <c r="F835" s="120">
        <v>100</v>
      </c>
      <c r="G835" s="120">
        <v>100.1157</v>
      </c>
      <c r="H835" s="120">
        <v>0.35</v>
      </c>
      <c r="I835" s="117">
        <v>601</v>
      </c>
      <c r="J835" s="119" t="s">
        <v>271</v>
      </c>
    </row>
    <row r="836" spans="1:10" x14ac:dyDescent="0.25">
      <c r="A836" s="117">
        <v>833</v>
      </c>
      <c r="B836" s="118" t="s">
        <v>1585</v>
      </c>
      <c r="C836" s="119" t="s">
        <v>1586</v>
      </c>
      <c r="D836" s="119" t="s">
        <v>459</v>
      </c>
      <c r="E836" s="119" t="s">
        <v>1580</v>
      </c>
      <c r="F836" s="120">
        <v>100</v>
      </c>
      <c r="G836" s="120">
        <v>100.00279999999999</v>
      </c>
      <c r="H836" s="120">
        <v>0.02</v>
      </c>
      <c r="I836" s="117">
        <v>3064</v>
      </c>
      <c r="J836" s="119" t="s">
        <v>271</v>
      </c>
    </row>
    <row r="837" spans="1:10" x14ac:dyDescent="0.25">
      <c r="A837" s="117">
        <v>834</v>
      </c>
      <c r="B837" s="118" t="s">
        <v>1587</v>
      </c>
      <c r="C837" s="119" t="s">
        <v>1588</v>
      </c>
      <c r="D837" s="119" t="s">
        <v>459</v>
      </c>
      <c r="E837" s="119" t="s">
        <v>1580</v>
      </c>
      <c r="F837" s="120">
        <v>100</v>
      </c>
      <c r="G837" s="120">
        <v>101.5419</v>
      </c>
      <c r="H837" s="120">
        <v>6.08</v>
      </c>
      <c r="I837" s="117">
        <v>1679</v>
      </c>
      <c r="J837" s="119" t="s">
        <v>271</v>
      </c>
    </row>
    <row r="838" spans="1:10" x14ac:dyDescent="0.25">
      <c r="A838" s="117">
        <v>835</v>
      </c>
      <c r="B838" s="118" t="s">
        <v>1589</v>
      </c>
      <c r="C838" s="119" t="s">
        <v>1590</v>
      </c>
      <c r="D838" s="119" t="s">
        <v>459</v>
      </c>
      <c r="E838" s="119" t="s">
        <v>1580</v>
      </c>
      <c r="F838" s="120">
        <v>100</v>
      </c>
      <c r="G838" s="120">
        <v>106.48860000000001</v>
      </c>
      <c r="H838" s="120">
        <v>7.08</v>
      </c>
      <c r="I838" s="117">
        <v>2161</v>
      </c>
      <c r="J838" s="119" t="s">
        <v>271</v>
      </c>
    </row>
    <row r="839" spans="1:10" x14ac:dyDescent="0.25">
      <c r="A839" s="117">
        <v>836</v>
      </c>
      <c r="B839" s="118" t="s">
        <v>2303</v>
      </c>
      <c r="C839" s="119" t="s">
        <v>2304</v>
      </c>
      <c r="D839" s="119" t="s">
        <v>459</v>
      </c>
      <c r="E839" s="119" t="s">
        <v>1580</v>
      </c>
      <c r="F839" s="120">
        <v>90.811325946194501</v>
      </c>
      <c r="G839" s="120">
        <v>94.249125946194511</v>
      </c>
      <c r="H839" s="120">
        <v>20.37</v>
      </c>
      <c r="I839" s="117">
        <v>3532</v>
      </c>
      <c r="J839" s="119" t="s">
        <v>271</v>
      </c>
    </row>
    <row r="840" spans="1:10" x14ac:dyDescent="0.25">
      <c r="A840" s="117">
        <v>837</v>
      </c>
      <c r="B840" s="118" t="s">
        <v>2444</v>
      </c>
      <c r="C840" s="119" t="s">
        <v>2445</v>
      </c>
      <c r="D840" s="119" t="s">
        <v>459</v>
      </c>
      <c r="E840" s="119" t="s">
        <v>1580</v>
      </c>
      <c r="F840" s="120">
        <v>93.745219602214263</v>
      </c>
      <c r="G840" s="120">
        <v>95.005219602214268</v>
      </c>
      <c r="H840" s="120">
        <v>20.39</v>
      </c>
      <c r="I840" s="117">
        <v>3576</v>
      </c>
      <c r="J840" s="119" t="s">
        <v>271</v>
      </c>
    </row>
    <row r="841" spans="1:10" x14ac:dyDescent="0.25">
      <c r="A841" s="117">
        <v>838</v>
      </c>
      <c r="B841" s="118" t="s">
        <v>1591</v>
      </c>
      <c r="C841" s="119" t="s">
        <v>1592</v>
      </c>
      <c r="D841" s="119" t="s">
        <v>459</v>
      </c>
      <c r="E841" s="119" t="s">
        <v>1580</v>
      </c>
      <c r="F841" s="120">
        <v>100</v>
      </c>
      <c r="G841" s="120">
        <v>100.71169999999999</v>
      </c>
      <c r="H841" s="120">
        <v>6.09</v>
      </c>
      <c r="I841" s="117">
        <v>2088</v>
      </c>
      <c r="J841" s="119" t="s">
        <v>271</v>
      </c>
    </row>
    <row r="842" spans="1:10" x14ac:dyDescent="0.25">
      <c r="A842" s="117">
        <v>839</v>
      </c>
      <c r="B842" s="118" t="s">
        <v>1593</v>
      </c>
      <c r="C842" s="119" t="s">
        <v>1594</v>
      </c>
      <c r="D842" s="119" t="s">
        <v>459</v>
      </c>
      <c r="E842" s="119" t="s">
        <v>1580</v>
      </c>
      <c r="F842" s="120">
        <v>100</v>
      </c>
      <c r="G842" s="120">
        <v>105.65940000000001</v>
      </c>
      <c r="H842" s="120">
        <v>6.09</v>
      </c>
      <c r="I842" s="117">
        <v>2516</v>
      </c>
      <c r="J842" s="119" t="s">
        <v>271</v>
      </c>
    </row>
    <row r="843" spans="1:10" x14ac:dyDescent="0.25">
      <c r="A843" s="117">
        <v>840</v>
      </c>
      <c r="B843" s="118" t="s">
        <v>1595</v>
      </c>
      <c r="C843" s="119" t="s">
        <v>1596</v>
      </c>
      <c r="D843" s="119" t="s">
        <v>459</v>
      </c>
      <c r="E843" s="119" t="s">
        <v>1580</v>
      </c>
      <c r="F843" s="120">
        <v>100</v>
      </c>
      <c r="G843" s="120">
        <v>105.65940000000001</v>
      </c>
      <c r="H843" s="120">
        <v>6.09</v>
      </c>
      <c r="I843" s="117">
        <v>2516</v>
      </c>
      <c r="J843" s="119" t="s">
        <v>271</v>
      </c>
    </row>
    <row r="844" spans="1:10" x14ac:dyDescent="0.25">
      <c r="A844" s="117">
        <v>841</v>
      </c>
      <c r="B844" s="118" t="s">
        <v>1597</v>
      </c>
      <c r="C844" s="119" t="s">
        <v>1598</v>
      </c>
      <c r="D844" s="119" t="s">
        <v>459</v>
      </c>
      <c r="E844" s="119" t="s">
        <v>1580</v>
      </c>
      <c r="F844" s="120">
        <v>100</v>
      </c>
      <c r="G844" s="120">
        <v>104.52419999999999</v>
      </c>
      <c r="H844" s="120">
        <v>6.08</v>
      </c>
      <c r="I844" s="117">
        <v>2583</v>
      </c>
      <c r="J844" s="119" t="s">
        <v>271</v>
      </c>
    </row>
    <row r="845" spans="1:10" x14ac:dyDescent="0.25">
      <c r="A845" s="117">
        <v>842</v>
      </c>
      <c r="B845" s="118" t="s">
        <v>1599</v>
      </c>
      <c r="C845" s="119" t="s">
        <v>1600</v>
      </c>
      <c r="D845" s="119" t="s">
        <v>449</v>
      </c>
      <c r="E845" s="119" t="s">
        <v>1601</v>
      </c>
      <c r="F845" s="120">
        <v>36364.476450000002</v>
      </c>
      <c r="G845" s="120">
        <v>36364.476450000002</v>
      </c>
      <c r="H845" s="120">
        <v>0</v>
      </c>
      <c r="I845" s="117">
        <v>0</v>
      </c>
      <c r="J845" s="119" t="s">
        <v>240</v>
      </c>
    </row>
    <row r="846" spans="1:10" x14ac:dyDescent="0.25">
      <c r="A846" s="117">
        <v>843</v>
      </c>
      <c r="B846" s="118" t="s">
        <v>1602</v>
      </c>
      <c r="C846" s="119" t="s">
        <v>1603</v>
      </c>
      <c r="D846" s="119" t="s">
        <v>449</v>
      </c>
      <c r="E846" s="119" t="s">
        <v>1604</v>
      </c>
      <c r="F846" s="120">
        <v>0.01</v>
      </c>
      <c r="G846" s="120">
        <v>0.01</v>
      </c>
      <c r="H846" s="120">
        <v>0</v>
      </c>
      <c r="I846" s="117">
        <v>0</v>
      </c>
      <c r="J846" s="119" t="s">
        <v>240</v>
      </c>
    </row>
    <row r="847" spans="1:10" x14ac:dyDescent="0.25">
      <c r="A847" s="117">
        <v>844</v>
      </c>
      <c r="B847" s="118" t="s">
        <v>1605</v>
      </c>
      <c r="C847" s="119" t="s">
        <v>1606</v>
      </c>
      <c r="D847" s="119" t="s">
        <v>459</v>
      </c>
      <c r="E847" s="119" t="s">
        <v>1607</v>
      </c>
      <c r="F847" s="120">
        <v>99.416787334281906</v>
      </c>
      <c r="G847" s="120">
        <v>100.4459873342819</v>
      </c>
      <c r="H847" s="120">
        <v>4.12</v>
      </c>
      <c r="I847" s="117">
        <v>246</v>
      </c>
      <c r="J847" s="119" t="s">
        <v>271</v>
      </c>
    </row>
    <row r="848" spans="1:10" x14ac:dyDescent="0.25">
      <c r="A848" s="117">
        <v>845</v>
      </c>
      <c r="B848" s="118" t="s">
        <v>1608</v>
      </c>
      <c r="C848" s="119" t="s">
        <v>1609</v>
      </c>
      <c r="D848" s="119" t="s">
        <v>459</v>
      </c>
      <c r="E848" s="119" t="s">
        <v>1607</v>
      </c>
      <c r="F848" s="120">
        <v>99.456999999999994</v>
      </c>
      <c r="G848" s="120">
        <v>101.1237</v>
      </c>
      <c r="H848" s="120">
        <v>3.88</v>
      </c>
      <c r="I848" s="117">
        <v>1640</v>
      </c>
      <c r="J848" s="119" t="s">
        <v>271</v>
      </c>
    </row>
    <row r="849" spans="1:10" x14ac:dyDescent="0.25">
      <c r="A849" s="117">
        <v>846</v>
      </c>
      <c r="B849" s="118" t="s">
        <v>1610</v>
      </c>
      <c r="C849" s="119" t="s">
        <v>1611</v>
      </c>
      <c r="D849" s="119" t="s">
        <v>459</v>
      </c>
      <c r="E849" s="119" t="s">
        <v>1607</v>
      </c>
      <c r="F849" s="120">
        <v>100.444</v>
      </c>
      <c r="G849" s="120">
        <v>100.57729999999999</v>
      </c>
      <c r="H849" s="120">
        <v>3.86</v>
      </c>
      <c r="I849" s="117">
        <v>1248</v>
      </c>
      <c r="J849" s="119" t="s">
        <v>271</v>
      </c>
    </row>
    <row r="850" spans="1:10" x14ac:dyDescent="0.25">
      <c r="A850" s="117">
        <v>847</v>
      </c>
      <c r="B850" s="118" t="s">
        <v>1612</v>
      </c>
      <c r="C850" s="119" t="s">
        <v>1613</v>
      </c>
      <c r="D850" s="119" t="s">
        <v>459</v>
      </c>
      <c r="E850" s="119" t="s">
        <v>1607</v>
      </c>
      <c r="F850" s="120">
        <v>101.533</v>
      </c>
      <c r="G850" s="120">
        <v>103.4455</v>
      </c>
      <c r="H850" s="120">
        <v>3.87</v>
      </c>
      <c r="I850" s="117">
        <v>927</v>
      </c>
      <c r="J850" s="119" t="s">
        <v>271</v>
      </c>
    </row>
    <row r="851" spans="1:10" x14ac:dyDescent="0.25">
      <c r="A851" s="117">
        <v>848</v>
      </c>
      <c r="B851" s="118" t="s">
        <v>1614</v>
      </c>
      <c r="C851" s="119" t="s">
        <v>1615</v>
      </c>
      <c r="D851" s="119" t="s">
        <v>449</v>
      </c>
      <c r="E851" s="119" t="s">
        <v>1616</v>
      </c>
      <c r="F851" s="120">
        <v>92417.901549999995</v>
      </c>
      <c r="G851" s="120">
        <v>92417.901549999995</v>
      </c>
      <c r="H851" s="120">
        <v>0</v>
      </c>
      <c r="I851" s="117">
        <v>0</v>
      </c>
      <c r="J851" s="119" t="s">
        <v>240</v>
      </c>
    </row>
    <row r="852" spans="1:10" x14ac:dyDescent="0.25">
      <c r="A852" s="117">
        <v>849</v>
      </c>
      <c r="B852" s="118" t="s">
        <v>1617</v>
      </c>
      <c r="C852" s="119" t="s">
        <v>1618</v>
      </c>
      <c r="D852" s="119" t="s">
        <v>759</v>
      </c>
      <c r="E852" s="119" t="s">
        <v>1619</v>
      </c>
      <c r="F852" s="120">
        <v>321836.60159999999</v>
      </c>
      <c r="G852" s="120">
        <v>321836.60159999999</v>
      </c>
      <c r="H852" s="120">
        <v>0</v>
      </c>
      <c r="I852" s="117">
        <v>0</v>
      </c>
      <c r="J852" s="119" t="s">
        <v>240</v>
      </c>
    </row>
    <row r="853" spans="1:10" x14ac:dyDescent="0.25">
      <c r="A853" s="117">
        <v>850</v>
      </c>
      <c r="B853" s="118" t="s">
        <v>1620</v>
      </c>
      <c r="C853" s="119" t="s">
        <v>1621</v>
      </c>
      <c r="D853" s="119" t="s">
        <v>449</v>
      </c>
      <c r="E853" s="119" t="s">
        <v>1622</v>
      </c>
      <c r="F853" s="120">
        <v>17000.39</v>
      </c>
      <c r="G853" s="120">
        <v>17000.39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1623</v>
      </c>
      <c r="C854" s="119" t="s">
        <v>1624</v>
      </c>
      <c r="D854" s="119" t="s">
        <v>459</v>
      </c>
      <c r="E854" s="119" t="s">
        <v>1625</v>
      </c>
      <c r="F854" s="120">
        <v>95.509105038355372</v>
      </c>
      <c r="G854" s="120">
        <v>96.425805038355364</v>
      </c>
      <c r="H854" s="120">
        <v>31.91</v>
      </c>
      <c r="I854" s="117">
        <v>1609</v>
      </c>
      <c r="J854" s="119" t="s">
        <v>271</v>
      </c>
    </row>
    <row r="855" spans="1:10" x14ac:dyDescent="0.25">
      <c r="A855" s="117">
        <v>852</v>
      </c>
      <c r="B855" s="118" t="s">
        <v>1626</v>
      </c>
      <c r="C855" s="119" t="s">
        <v>1627</v>
      </c>
      <c r="D855" s="119" t="s">
        <v>459</v>
      </c>
      <c r="E855" s="119" t="s">
        <v>1628</v>
      </c>
      <c r="F855" s="120">
        <v>73.219462232471201</v>
      </c>
      <c r="G855" s="120">
        <v>78.997262232471215</v>
      </c>
      <c r="H855" s="120">
        <v>30.01</v>
      </c>
      <c r="I855" s="117">
        <v>2056</v>
      </c>
      <c r="J855" s="119" t="s">
        <v>271</v>
      </c>
    </row>
    <row r="856" spans="1:10" x14ac:dyDescent="0.25">
      <c r="A856" s="117">
        <v>853</v>
      </c>
      <c r="B856" s="118" t="s">
        <v>1629</v>
      </c>
      <c r="C856" s="119" t="s">
        <v>1630</v>
      </c>
      <c r="D856" s="119" t="s">
        <v>459</v>
      </c>
      <c r="E856" s="119" t="s">
        <v>1628</v>
      </c>
      <c r="F856" s="120">
        <v>70.49692664273735</v>
      </c>
      <c r="G856" s="120">
        <v>76.385826642737356</v>
      </c>
      <c r="H856" s="120">
        <v>29.94</v>
      </c>
      <c r="I856" s="117">
        <v>2774</v>
      </c>
      <c r="J856" s="119" t="s">
        <v>271</v>
      </c>
    </row>
    <row r="857" spans="1:10" x14ac:dyDescent="0.25">
      <c r="A857" s="117">
        <v>854</v>
      </c>
      <c r="B857" s="118" t="s">
        <v>1631</v>
      </c>
      <c r="C857" s="119" t="s">
        <v>1632</v>
      </c>
      <c r="D857" s="119" t="s">
        <v>449</v>
      </c>
      <c r="E857" s="119" t="s">
        <v>1633</v>
      </c>
      <c r="F857" s="120">
        <v>0.01</v>
      </c>
      <c r="G857" s="120">
        <v>0.01</v>
      </c>
      <c r="H857" s="120">
        <v>0</v>
      </c>
      <c r="I857" s="117">
        <v>0</v>
      </c>
      <c r="J857" s="119" t="s">
        <v>240</v>
      </c>
    </row>
    <row r="858" spans="1:10" x14ac:dyDescent="0.25">
      <c r="A858" s="117">
        <v>855</v>
      </c>
      <c r="B858" s="118" t="s">
        <v>1634</v>
      </c>
      <c r="C858" s="119" t="s">
        <v>1635</v>
      </c>
      <c r="D858" s="119" t="s">
        <v>449</v>
      </c>
      <c r="E858" s="119" t="s">
        <v>1633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1647</v>
      </c>
      <c r="C859" s="119" t="s">
        <v>1648</v>
      </c>
      <c r="D859" s="119" t="s">
        <v>449</v>
      </c>
      <c r="E859" s="119" t="s">
        <v>1649</v>
      </c>
      <c r="F859" s="120">
        <v>34400</v>
      </c>
      <c r="G859" s="120">
        <v>34400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1650</v>
      </c>
      <c r="C860" s="119" t="s">
        <v>1651</v>
      </c>
      <c r="D860" s="119" t="s">
        <v>449</v>
      </c>
      <c r="E860" s="119" t="s">
        <v>1649</v>
      </c>
      <c r="F860" s="120">
        <v>17800</v>
      </c>
      <c r="G860" s="120">
        <v>17800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1652</v>
      </c>
      <c r="C861" s="119" t="s">
        <v>1653</v>
      </c>
      <c r="D861" s="119" t="s">
        <v>449</v>
      </c>
      <c r="E861" s="119" t="s">
        <v>1654</v>
      </c>
      <c r="F861" s="120">
        <v>1000</v>
      </c>
      <c r="G861" s="120">
        <v>1000</v>
      </c>
      <c r="H861" s="120">
        <v>0</v>
      </c>
      <c r="I861" s="117">
        <v>210</v>
      </c>
      <c r="J861" s="119" t="s">
        <v>240</v>
      </c>
    </row>
    <row r="862" spans="1:10" x14ac:dyDescent="0.25">
      <c r="A862" s="117">
        <v>859</v>
      </c>
      <c r="B862" s="118" t="s">
        <v>1655</v>
      </c>
      <c r="C862" s="119" t="s">
        <v>1656</v>
      </c>
      <c r="D862" s="119" t="s">
        <v>449</v>
      </c>
      <c r="E862" s="119" t="s">
        <v>1657</v>
      </c>
      <c r="F862" s="120">
        <v>0.01</v>
      </c>
      <c r="G862" s="120">
        <v>0.01</v>
      </c>
      <c r="H862" s="120">
        <v>0</v>
      </c>
      <c r="I862" s="117">
        <v>0</v>
      </c>
      <c r="J862" s="119" t="s">
        <v>240</v>
      </c>
    </row>
    <row r="863" spans="1:10" x14ac:dyDescent="0.25">
      <c r="A863" s="117">
        <v>860</v>
      </c>
      <c r="B863" s="118" t="s">
        <v>1658</v>
      </c>
      <c r="C863" s="119" t="s">
        <v>1659</v>
      </c>
      <c r="D863" s="119" t="s">
        <v>449</v>
      </c>
      <c r="E863" s="119" t="s">
        <v>1660</v>
      </c>
      <c r="F863" s="120">
        <v>0.01</v>
      </c>
      <c r="G863" s="120">
        <v>0.01</v>
      </c>
      <c r="H863" s="120">
        <v>0</v>
      </c>
      <c r="I863" s="117">
        <v>0</v>
      </c>
      <c r="J863" s="119" t="s">
        <v>240</v>
      </c>
    </row>
    <row r="864" spans="1:10" x14ac:dyDescent="0.25">
      <c r="A864" s="117">
        <v>861</v>
      </c>
      <c r="B864" s="118" t="s">
        <v>1661</v>
      </c>
      <c r="C864" s="119" t="s">
        <v>1662</v>
      </c>
      <c r="D864" s="119" t="s">
        <v>449</v>
      </c>
      <c r="E864" s="119" t="s">
        <v>1660</v>
      </c>
      <c r="F864" s="120">
        <v>0.01</v>
      </c>
      <c r="G864" s="120">
        <v>0.01</v>
      </c>
      <c r="H864" s="120">
        <v>0</v>
      </c>
      <c r="I864" s="117">
        <v>0</v>
      </c>
      <c r="J864" s="119" t="s">
        <v>240</v>
      </c>
    </row>
    <row r="865" spans="1:10" x14ac:dyDescent="0.25">
      <c r="A865" s="117">
        <v>862</v>
      </c>
      <c r="B865" s="118" t="s">
        <v>1636</v>
      </c>
      <c r="C865" s="119" t="s">
        <v>1637</v>
      </c>
      <c r="D865" s="119" t="s">
        <v>459</v>
      </c>
      <c r="E865" s="119" t="s">
        <v>1638</v>
      </c>
      <c r="F865" s="120">
        <v>98.87</v>
      </c>
      <c r="G865" s="120">
        <v>99.091499999999996</v>
      </c>
      <c r="H865" s="120">
        <v>4.12</v>
      </c>
      <c r="I865" s="117">
        <v>878</v>
      </c>
      <c r="J865" s="119" t="s">
        <v>271</v>
      </c>
    </row>
    <row r="866" spans="1:10" x14ac:dyDescent="0.25">
      <c r="A866" s="117">
        <v>863</v>
      </c>
      <c r="B866" s="118" t="s">
        <v>1639</v>
      </c>
      <c r="C866" s="119" t="s">
        <v>1640</v>
      </c>
      <c r="D866" s="119" t="s">
        <v>459</v>
      </c>
      <c r="E866" s="119" t="s">
        <v>1638</v>
      </c>
      <c r="F866" s="120">
        <v>100.62186573541724</v>
      </c>
      <c r="G866" s="120">
        <v>102.56626573541725</v>
      </c>
      <c r="H866" s="120">
        <v>4.18</v>
      </c>
      <c r="I866" s="117">
        <v>1280</v>
      </c>
      <c r="J866" s="119" t="s">
        <v>271</v>
      </c>
    </row>
    <row r="867" spans="1:10" x14ac:dyDescent="0.25">
      <c r="A867" s="117">
        <v>864</v>
      </c>
      <c r="B867" s="118" t="s">
        <v>1641</v>
      </c>
      <c r="C867" s="119" t="s">
        <v>1642</v>
      </c>
      <c r="D867" s="119" t="s">
        <v>459</v>
      </c>
      <c r="E867" s="119" t="s">
        <v>1638</v>
      </c>
      <c r="F867" s="120">
        <v>97.822999999999993</v>
      </c>
      <c r="G867" s="120">
        <v>98.191100000000006</v>
      </c>
      <c r="H867" s="120">
        <v>4.17</v>
      </c>
      <c r="I867" s="117">
        <v>487</v>
      </c>
      <c r="J867" s="119" t="s">
        <v>271</v>
      </c>
    </row>
    <row r="868" spans="1:10" x14ac:dyDescent="0.25">
      <c r="A868" s="117">
        <v>865</v>
      </c>
      <c r="B868" s="118" t="s">
        <v>1643</v>
      </c>
      <c r="C868" s="119" t="s">
        <v>1644</v>
      </c>
      <c r="D868" s="119" t="s">
        <v>459</v>
      </c>
      <c r="E868" s="119" t="s">
        <v>1638</v>
      </c>
      <c r="F868" s="120">
        <v>98.947999999999993</v>
      </c>
      <c r="G868" s="120">
        <v>100.3022</v>
      </c>
      <c r="H868" s="120">
        <v>4.25</v>
      </c>
      <c r="I868" s="117">
        <v>390</v>
      </c>
      <c r="J868" s="119" t="s">
        <v>271</v>
      </c>
    </row>
    <row r="869" spans="1:10" x14ac:dyDescent="0.25">
      <c r="A869" s="117">
        <v>866</v>
      </c>
      <c r="B869" s="118" t="s">
        <v>1645</v>
      </c>
      <c r="C869" s="119" t="s">
        <v>1646</v>
      </c>
      <c r="D869" s="119" t="s">
        <v>449</v>
      </c>
      <c r="E869" s="119" t="s">
        <v>1638</v>
      </c>
      <c r="F869" s="120">
        <v>537.53352299999995</v>
      </c>
      <c r="G869" s="120">
        <v>537.53352299999995</v>
      </c>
      <c r="H869" s="120">
        <v>0</v>
      </c>
      <c r="I869" s="117">
        <v>564</v>
      </c>
      <c r="J869" s="119" t="s">
        <v>240</v>
      </c>
    </row>
    <row r="870" spans="1:10" x14ac:dyDescent="0.25">
      <c r="A870" s="117">
        <v>867</v>
      </c>
      <c r="B870" s="118" t="s">
        <v>1663</v>
      </c>
      <c r="C870" s="119" t="s">
        <v>1664</v>
      </c>
      <c r="D870" s="119" t="s">
        <v>449</v>
      </c>
      <c r="E870" s="119" t="s">
        <v>1665</v>
      </c>
      <c r="F870" s="120">
        <v>45662.412250000001</v>
      </c>
      <c r="G870" s="120">
        <v>45662.412250000001</v>
      </c>
      <c r="H870" s="120">
        <v>0</v>
      </c>
      <c r="I870" s="117">
        <v>0</v>
      </c>
      <c r="J870" s="119" t="s">
        <v>240</v>
      </c>
    </row>
    <row r="871" spans="1:10" x14ac:dyDescent="0.25">
      <c r="A871" s="117">
        <v>868</v>
      </c>
      <c r="B871" s="118" t="s">
        <v>2000</v>
      </c>
      <c r="C871" s="119" t="s">
        <v>2001</v>
      </c>
      <c r="D871" s="119" t="s">
        <v>459</v>
      </c>
      <c r="E871" s="119" t="s">
        <v>2002</v>
      </c>
      <c r="F871" s="120">
        <v>95.829285144438586</v>
      </c>
      <c r="G871" s="120">
        <v>98.979285144438578</v>
      </c>
      <c r="H871" s="120">
        <v>22.57</v>
      </c>
      <c r="I871" s="117">
        <v>844</v>
      </c>
      <c r="J871" s="119" t="s">
        <v>271</v>
      </c>
    </row>
    <row r="872" spans="1:10" x14ac:dyDescent="0.25">
      <c r="A872" s="117">
        <v>869</v>
      </c>
      <c r="B872" s="118" t="s">
        <v>2377</v>
      </c>
      <c r="C872" s="119" t="s">
        <v>2378</v>
      </c>
      <c r="D872" s="119" t="s">
        <v>459</v>
      </c>
      <c r="E872" s="119" t="s">
        <v>2002</v>
      </c>
      <c r="F872" s="120">
        <v>95.845100000000002</v>
      </c>
      <c r="G872" s="120">
        <v>98.645099999999999</v>
      </c>
      <c r="H872" s="120">
        <v>23</v>
      </c>
      <c r="I872" s="117">
        <v>1032</v>
      </c>
      <c r="J872" s="119" t="s">
        <v>271</v>
      </c>
    </row>
    <row r="873" spans="1:10" x14ac:dyDescent="0.25">
      <c r="A873" s="117">
        <v>870</v>
      </c>
      <c r="B873" s="118" t="s">
        <v>2500</v>
      </c>
      <c r="C873" s="119" t="s">
        <v>2501</v>
      </c>
      <c r="D873" s="119" t="s">
        <v>459</v>
      </c>
      <c r="E873" s="119" t="s">
        <v>2502</v>
      </c>
      <c r="F873" s="120">
        <v>81.23132515986309</v>
      </c>
      <c r="G873" s="120">
        <v>84.816025159863088</v>
      </c>
      <c r="H873" s="120">
        <v>18.18</v>
      </c>
      <c r="I873" s="117">
        <v>5311</v>
      </c>
      <c r="J873" s="119" t="s">
        <v>271</v>
      </c>
    </row>
    <row r="874" spans="1:10" x14ac:dyDescent="0.25">
      <c r="A874" s="117">
        <v>871</v>
      </c>
      <c r="B874" s="118" t="s">
        <v>1666</v>
      </c>
      <c r="C874" s="119" t="s">
        <v>1667</v>
      </c>
      <c r="D874" s="119" t="s">
        <v>459</v>
      </c>
      <c r="E874" s="119" t="s">
        <v>1668</v>
      </c>
      <c r="F874" s="120">
        <v>100</v>
      </c>
      <c r="G874" s="120">
        <v>100.74379999999999</v>
      </c>
      <c r="H874" s="120">
        <v>4.2300000000000004</v>
      </c>
      <c r="I874" s="117">
        <v>237</v>
      </c>
      <c r="J874" s="119" t="s">
        <v>271</v>
      </c>
    </row>
    <row r="875" spans="1:10" x14ac:dyDescent="0.25">
      <c r="A875" s="117">
        <v>872</v>
      </c>
      <c r="B875" s="118" t="s">
        <v>2129</v>
      </c>
      <c r="C875" s="119" t="s">
        <v>2130</v>
      </c>
      <c r="D875" s="119" t="s">
        <v>459</v>
      </c>
      <c r="E875" s="119" t="s">
        <v>1668</v>
      </c>
      <c r="F875" s="120">
        <v>100</v>
      </c>
      <c r="G875" s="120">
        <v>101.8653</v>
      </c>
      <c r="H875" s="120">
        <v>4.24</v>
      </c>
      <c r="I875" s="117">
        <v>502</v>
      </c>
      <c r="J875" s="119" t="s">
        <v>271</v>
      </c>
    </row>
    <row r="876" spans="1:10" x14ac:dyDescent="0.25">
      <c r="A876" s="117">
        <v>873</v>
      </c>
      <c r="B876" s="118" t="s">
        <v>1669</v>
      </c>
      <c r="C876" s="119" t="s">
        <v>1670</v>
      </c>
      <c r="D876" s="119" t="s">
        <v>459</v>
      </c>
      <c r="E876" s="119" t="s">
        <v>1668</v>
      </c>
      <c r="F876" s="120">
        <v>100</v>
      </c>
      <c r="G876" s="120">
        <v>100.10599999999999</v>
      </c>
      <c r="H876" s="120">
        <v>0.35</v>
      </c>
      <c r="I876" s="117">
        <v>251</v>
      </c>
      <c r="J876" s="119" t="s">
        <v>271</v>
      </c>
    </row>
    <row r="877" spans="1:10" x14ac:dyDescent="0.25">
      <c r="A877" s="117">
        <v>874</v>
      </c>
      <c r="B877" s="118" t="s">
        <v>1671</v>
      </c>
      <c r="C877" s="119" t="s">
        <v>1672</v>
      </c>
      <c r="D877" s="119" t="s">
        <v>459</v>
      </c>
      <c r="E877" s="119" t="s">
        <v>1668</v>
      </c>
      <c r="F877" s="120">
        <v>96.085366934369588</v>
      </c>
      <c r="G877" s="120">
        <v>96.295366934369596</v>
      </c>
      <c r="H877" s="120">
        <v>19.71</v>
      </c>
      <c r="I877" s="117">
        <v>173</v>
      </c>
      <c r="J877" s="119" t="s">
        <v>271</v>
      </c>
    </row>
    <row r="878" spans="1:10" x14ac:dyDescent="0.25">
      <c r="A878" s="117">
        <v>875</v>
      </c>
      <c r="B878" s="118" t="s">
        <v>1673</v>
      </c>
      <c r="C878" s="119" t="s">
        <v>1674</v>
      </c>
      <c r="D878" s="119" t="s">
        <v>459</v>
      </c>
      <c r="E878" s="119" t="s">
        <v>1668</v>
      </c>
      <c r="F878" s="120">
        <v>100</v>
      </c>
      <c r="G878" s="120">
        <v>100.00279999999999</v>
      </c>
      <c r="H878" s="120">
        <v>0.02</v>
      </c>
      <c r="I878" s="117">
        <v>3064</v>
      </c>
      <c r="J878" s="119" t="s">
        <v>271</v>
      </c>
    </row>
    <row r="879" spans="1:10" x14ac:dyDescent="0.25">
      <c r="A879" s="117">
        <v>876</v>
      </c>
      <c r="B879" s="118" t="s">
        <v>1675</v>
      </c>
      <c r="C879" s="119" t="s">
        <v>1676</v>
      </c>
      <c r="D879" s="119" t="s">
        <v>459</v>
      </c>
      <c r="E879" s="119" t="s">
        <v>1668</v>
      </c>
      <c r="F879" s="120">
        <v>100</v>
      </c>
      <c r="G879" s="120">
        <v>101.5419</v>
      </c>
      <c r="H879" s="120">
        <v>6.08</v>
      </c>
      <c r="I879" s="117">
        <v>1679</v>
      </c>
      <c r="J879" s="119" t="s">
        <v>271</v>
      </c>
    </row>
    <row r="880" spans="1:10" x14ac:dyDescent="0.25">
      <c r="A880" s="117">
        <v>877</v>
      </c>
      <c r="B880" s="118" t="s">
        <v>1677</v>
      </c>
      <c r="C880" s="119" t="s">
        <v>1678</v>
      </c>
      <c r="D880" s="119" t="s">
        <v>459</v>
      </c>
      <c r="E880" s="119" t="s">
        <v>1668</v>
      </c>
      <c r="F880" s="120">
        <v>100</v>
      </c>
      <c r="G880" s="120">
        <v>106.48860000000001</v>
      </c>
      <c r="H880" s="120">
        <v>7.08</v>
      </c>
      <c r="I880" s="117">
        <v>2161</v>
      </c>
      <c r="J880" s="119" t="s">
        <v>271</v>
      </c>
    </row>
    <row r="881" spans="1:10" x14ac:dyDescent="0.25">
      <c r="A881" s="117">
        <v>878</v>
      </c>
      <c r="B881" s="118" t="s">
        <v>1679</v>
      </c>
      <c r="C881" s="119" t="s">
        <v>1680</v>
      </c>
      <c r="D881" s="119" t="s">
        <v>459</v>
      </c>
      <c r="E881" s="119" t="s">
        <v>1668</v>
      </c>
      <c r="F881" s="120">
        <v>100</v>
      </c>
      <c r="G881" s="120">
        <v>100.71169999999999</v>
      </c>
      <c r="H881" s="120">
        <v>6.09</v>
      </c>
      <c r="I881" s="117">
        <v>2088</v>
      </c>
      <c r="J881" s="119" t="s">
        <v>271</v>
      </c>
    </row>
    <row r="882" spans="1:10" x14ac:dyDescent="0.25">
      <c r="A882" s="117">
        <v>879</v>
      </c>
      <c r="B882" s="118" t="s">
        <v>1681</v>
      </c>
      <c r="C882" s="119" t="s">
        <v>1682</v>
      </c>
      <c r="D882" s="119" t="s">
        <v>459</v>
      </c>
      <c r="E882" s="119" t="s">
        <v>1668</v>
      </c>
      <c r="F882" s="120">
        <v>100</v>
      </c>
      <c r="G882" s="120">
        <v>105.65940000000001</v>
      </c>
      <c r="H882" s="120">
        <v>6.09</v>
      </c>
      <c r="I882" s="117">
        <v>2516</v>
      </c>
      <c r="J882" s="119" t="s">
        <v>271</v>
      </c>
    </row>
    <row r="883" spans="1:10" x14ac:dyDescent="0.25">
      <c r="A883" s="117">
        <v>880</v>
      </c>
      <c r="B883" s="118" t="s">
        <v>1683</v>
      </c>
      <c r="C883" s="119" t="s">
        <v>1684</v>
      </c>
      <c r="D883" s="119" t="s">
        <v>459</v>
      </c>
      <c r="E883" s="119" t="s">
        <v>1668</v>
      </c>
      <c r="F883" s="120">
        <v>100</v>
      </c>
      <c r="G883" s="120">
        <v>105.65940000000001</v>
      </c>
      <c r="H883" s="120">
        <v>6.09</v>
      </c>
      <c r="I883" s="117">
        <v>2516</v>
      </c>
      <c r="J883" s="119" t="s">
        <v>271</v>
      </c>
    </row>
    <row r="884" spans="1:10" x14ac:dyDescent="0.25">
      <c r="A884" s="117">
        <v>881</v>
      </c>
      <c r="B884" s="118" t="s">
        <v>1685</v>
      </c>
      <c r="C884" s="119" t="s">
        <v>1686</v>
      </c>
      <c r="D884" s="119" t="s">
        <v>459</v>
      </c>
      <c r="E884" s="119" t="s">
        <v>1668</v>
      </c>
      <c r="F884" s="120">
        <v>100</v>
      </c>
      <c r="G884" s="120">
        <v>104.52419999999999</v>
      </c>
      <c r="H884" s="120">
        <v>6.08</v>
      </c>
      <c r="I884" s="117">
        <v>2583</v>
      </c>
      <c r="J884" s="119" t="s">
        <v>271</v>
      </c>
    </row>
    <row r="885" spans="1:10" x14ac:dyDescent="0.25">
      <c r="A885" s="117">
        <v>882</v>
      </c>
      <c r="B885" s="118" t="s">
        <v>1687</v>
      </c>
      <c r="C885" s="119" t="s">
        <v>1688</v>
      </c>
      <c r="D885" s="119" t="s">
        <v>449</v>
      </c>
      <c r="E885" s="119" t="s">
        <v>1689</v>
      </c>
      <c r="F885" s="120">
        <v>0.01</v>
      </c>
      <c r="G885" s="120">
        <v>0.01</v>
      </c>
      <c r="H885" s="120">
        <v>0</v>
      </c>
      <c r="I885" s="117">
        <v>0</v>
      </c>
      <c r="J885" s="119" t="s">
        <v>240</v>
      </c>
    </row>
    <row r="886" spans="1:10" x14ac:dyDescent="0.25">
      <c r="A886" s="117">
        <v>883</v>
      </c>
      <c r="B886" s="118" t="s">
        <v>1690</v>
      </c>
      <c r="C886" s="119" t="s">
        <v>1691</v>
      </c>
      <c r="D886" s="119" t="s">
        <v>449</v>
      </c>
      <c r="E886" s="119" t="s">
        <v>1692</v>
      </c>
      <c r="F886" s="120">
        <v>0.01</v>
      </c>
      <c r="G886" s="120">
        <v>0.01</v>
      </c>
      <c r="H886" s="120">
        <v>0</v>
      </c>
      <c r="I886" s="117">
        <v>0</v>
      </c>
      <c r="J886" s="119" t="s">
        <v>240</v>
      </c>
    </row>
    <row r="887" spans="1:10" x14ac:dyDescent="0.25">
      <c r="A887" s="117">
        <v>884</v>
      </c>
      <c r="B887" s="118" t="s">
        <v>1693</v>
      </c>
      <c r="C887" s="119" t="s">
        <v>1694</v>
      </c>
      <c r="D887" s="119" t="s">
        <v>459</v>
      </c>
      <c r="E887" s="119" t="s">
        <v>1695</v>
      </c>
      <c r="F887" s="120">
        <v>91.625281946234125</v>
      </c>
      <c r="G887" s="120">
        <v>94.069681946234127</v>
      </c>
      <c r="H887" s="120">
        <v>21.27</v>
      </c>
      <c r="I887" s="117">
        <v>476</v>
      </c>
      <c r="J887" s="119" t="s">
        <v>271</v>
      </c>
    </row>
    <row r="888" spans="1:10" x14ac:dyDescent="0.25">
      <c r="A888" s="117">
        <v>885</v>
      </c>
      <c r="B888" s="118" t="s">
        <v>1696</v>
      </c>
      <c r="C888" s="119" t="s">
        <v>1697</v>
      </c>
      <c r="D888" s="119" t="s">
        <v>459</v>
      </c>
      <c r="E888" s="119" t="s">
        <v>1698</v>
      </c>
      <c r="F888" s="120">
        <v>100</v>
      </c>
      <c r="G888" s="120">
        <v>100.1546</v>
      </c>
      <c r="H888" s="120">
        <v>0.35</v>
      </c>
      <c r="I888" s="117">
        <v>21</v>
      </c>
      <c r="J888" s="119" t="s">
        <v>271</v>
      </c>
    </row>
    <row r="889" spans="1:10" x14ac:dyDescent="0.25">
      <c r="A889" s="117">
        <v>886</v>
      </c>
      <c r="B889" s="118" t="s">
        <v>1699</v>
      </c>
      <c r="C889" s="119" t="s">
        <v>1700</v>
      </c>
      <c r="D889" s="119" t="s">
        <v>459</v>
      </c>
      <c r="E889" s="119" t="s">
        <v>1698</v>
      </c>
      <c r="F889" s="120">
        <v>100</v>
      </c>
      <c r="G889" s="120">
        <v>100.1138</v>
      </c>
      <c r="H889" s="120">
        <v>0.35</v>
      </c>
      <c r="I889" s="117">
        <v>63</v>
      </c>
      <c r="J889" s="119" t="s">
        <v>271</v>
      </c>
    </row>
    <row r="890" spans="1:10" x14ac:dyDescent="0.25">
      <c r="A890" s="117">
        <v>887</v>
      </c>
      <c r="B890" s="118" t="s">
        <v>1701</v>
      </c>
      <c r="C890" s="119" t="s">
        <v>1702</v>
      </c>
      <c r="D890" s="119" t="s">
        <v>459</v>
      </c>
      <c r="E890" s="119" t="s">
        <v>1698</v>
      </c>
      <c r="F890" s="120">
        <v>100</v>
      </c>
      <c r="G890" s="120">
        <v>100.10599999999999</v>
      </c>
      <c r="H890" s="120">
        <v>0.35</v>
      </c>
      <c r="I890" s="117">
        <v>251</v>
      </c>
      <c r="J890" s="119" t="s">
        <v>271</v>
      </c>
    </row>
    <row r="891" spans="1:10" x14ac:dyDescent="0.25">
      <c r="A891" s="117">
        <v>888</v>
      </c>
      <c r="B891" s="118" t="s">
        <v>1703</v>
      </c>
      <c r="C891" s="119" t="s">
        <v>1704</v>
      </c>
      <c r="D891" s="119" t="s">
        <v>459</v>
      </c>
      <c r="E891" s="119" t="s">
        <v>1698</v>
      </c>
      <c r="F891" s="120">
        <v>100</v>
      </c>
      <c r="G891" s="120">
        <v>100.0181</v>
      </c>
      <c r="H891" s="120">
        <v>0.02</v>
      </c>
      <c r="I891" s="117">
        <v>3064</v>
      </c>
      <c r="J891" s="119" t="s">
        <v>271</v>
      </c>
    </row>
    <row r="892" spans="1:10" x14ac:dyDescent="0.25">
      <c r="A892" s="117">
        <v>889</v>
      </c>
      <c r="B892" s="118" t="s">
        <v>1705</v>
      </c>
      <c r="C892" s="119" t="s">
        <v>1706</v>
      </c>
      <c r="D892" s="119" t="s">
        <v>459</v>
      </c>
      <c r="E892" s="119" t="s">
        <v>1698</v>
      </c>
      <c r="F892" s="120">
        <v>100</v>
      </c>
      <c r="G892" s="120">
        <v>101.5419</v>
      </c>
      <c r="H892" s="120">
        <v>6.08</v>
      </c>
      <c r="I892" s="117">
        <v>1679</v>
      </c>
      <c r="J892" s="119" t="s">
        <v>271</v>
      </c>
    </row>
    <row r="893" spans="1:10" x14ac:dyDescent="0.25">
      <c r="A893" s="117">
        <v>890</v>
      </c>
      <c r="B893" s="118" t="s">
        <v>1707</v>
      </c>
      <c r="C893" s="119" t="s">
        <v>1708</v>
      </c>
      <c r="D893" s="119" t="s">
        <v>459</v>
      </c>
      <c r="E893" s="119" t="s">
        <v>1698</v>
      </c>
      <c r="F893" s="120">
        <v>100</v>
      </c>
      <c r="G893" s="120">
        <v>106.48860000000001</v>
      </c>
      <c r="H893" s="120">
        <v>7.08</v>
      </c>
      <c r="I893" s="117">
        <v>2161</v>
      </c>
      <c r="J893" s="119" t="s">
        <v>271</v>
      </c>
    </row>
    <row r="894" spans="1:10" x14ac:dyDescent="0.25">
      <c r="A894" s="117">
        <v>891</v>
      </c>
      <c r="B894" s="118" t="s">
        <v>2305</v>
      </c>
      <c r="C894" s="119" t="s">
        <v>2306</v>
      </c>
      <c r="D894" s="119" t="s">
        <v>459</v>
      </c>
      <c r="E894" s="119" t="s">
        <v>1698</v>
      </c>
      <c r="F894" s="120">
        <v>90.811325946194501</v>
      </c>
      <c r="G894" s="120">
        <v>94.249125946194511</v>
      </c>
      <c r="H894" s="120">
        <v>20.37</v>
      </c>
      <c r="I894" s="117">
        <v>3532</v>
      </c>
      <c r="J894" s="119" t="s">
        <v>271</v>
      </c>
    </row>
    <row r="895" spans="1:10" x14ac:dyDescent="0.25">
      <c r="A895" s="117">
        <v>892</v>
      </c>
      <c r="B895" s="118" t="s">
        <v>2369</v>
      </c>
      <c r="C895" s="119" t="s">
        <v>2370</v>
      </c>
      <c r="D895" s="119" t="s">
        <v>459</v>
      </c>
      <c r="E895" s="119" t="s">
        <v>1698</v>
      </c>
      <c r="F895" s="120">
        <v>90.801101472639161</v>
      </c>
      <c r="G895" s="120">
        <v>93.632201472639167</v>
      </c>
      <c r="H895" s="120">
        <v>20.38</v>
      </c>
      <c r="I895" s="117">
        <v>3544</v>
      </c>
      <c r="J895" s="119" t="s">
        <v>271</v>
      </c>
    </row>
    <row r="896" spans="1:10" x14ac:dyDescent="0.25">
      <c r="A896" s="117">
        <v>893</v>
      </c>
      <c r="B896" s="118" t="s">
        <v>2428</v>
      </c>
      <c r="C896" s="119" t="s">
        <v>2429</v>
      </c>
      <c r="D896" s="119" t="s">
        <v>459</v>
      </c>
      <c r="E896" s="119" t="s">
        <v>1698</v>
      </c>
      <c r="F896" s="120">
        <v>93.779675840159854</v>
      </c>
      <c r="G896" s="120">
        <v>95.197175840159844</v>
      </c>
      <c r="H896" s="120">
        <v>20.38</v>
      </c>
      <c r="I896" s="117">
        <v>3573</v>
      </c>
      <c r="J896" s="119" t="s">
        <v>271</v>
      </c>
    </row>
    <row r="897" spans="1:10" x14ac:dyDescent="0.25">
      <c r="A897" s="117">
        <v>894</v>
      </c>
      <c r="B897" s="118" t="s">
        <v>2462</v>
      </c>
      <c r="C897" s="119" t="s">
        <v>2463</v>
      </c>
      <c r="D897" s="119" t="s">
        <v>459</v>
      </c>
      <c r="E897" s="119" t="s">
        <v>1698</v>
      </c>
      <c r="F897" s="120">
        <v>93.749796632952638</v>
      </c>
      <c r="G897" s="120">
        <v>94.957296632952634</v>
      </c>
      <c r="H897" s="120">
        <v>20.39</v>
      </c>
      <c r="I897" s="117">
        <v>3577</v>
      </c>
      <c r="J897" s="119" t="s">
        <v>271</v>
      </c>
    </row>
    <row r="898" spans="1:10" x14ac:dyDescent="0.25">
      <c r="A898" s="117">
        <v>895</v>
      </c>
      <c r="B898" s="118" t="s">
        <v>1709</v>
      </c>
      <c r="C898" s="119" t="s">
        <v>1710</v>
      </c>
      <c r="D898" s="119" t="s">
        <v>459</v>
      </c>
      <c r="E898" s="119" t="s">
        <v>1698</v>
      </c>
      <c r="F898" s="120">
        <v>100</v>
      </c>
      <c r="G898" s="120">
        <v>100.71169999999999</v>
      </c>
      <c r="H898" s="120">
        <v>6.09</v>
      </c>
      <c r="I898" s="117">
        <v>2088</v>
      </c>
      <c r="J898" s="119" t="s">
        <v>271</v>
      </c>
    </row>
    <row r="899" spans="1:10" x14ac:dyDescent="0.25">
      <c r="A899" s="117">
        <v>896</v>
      </c>
      <c r="B899" s="118" t="s">
        <v>1711</v>
      </c>
      <c r="C899" s="119" t="s">
        <v>1712</v>
      </c>
      <c r="D899" s="119" t="s">
        <v>459</v>
      </c>
      <c r="E899" s="119" t="s">
        <v>1698</v>
      </c>
      <c r="F899" s="120">
        <v>100</v>
      </c>
      <c r="G899" s="120">
        <v>105.65940000000001</v>
      </c>
      <c r="H899" s="120">
        <v>6.09</v>
      </c>
      <c r="I899" s="117">
        <v>2516</v>
      </c>
      <c r="J899" s="119" t="s">
        <v>271</v>
      </c>
    </row>
    <row r="900" spans="1:10" x14ac:dyDescent="0.25">
      <c r="A900" s="117">
        <v>897</v>
      </c>
      <c r="B900" s="118" t="s">
        <v>1713</v>
      </c>
      <c r="C900" s="119" t="s">
        <v>1714</v>
      </c>
      <c r="D900" s="119" t="s">
        <v>459</v>
      </c>
      <c r="E900" s="119" t="s">
        <v>1698</v>
      </c>
      <c r="F900" s="120">
        <v>100</v>
      </c>
      <c r="G900" s="120">
        <v>105.65940000000001</v>
      </c>
      <c r="H900" s="120">
        <v>6.09</v>
      </c>
      <c r="I900" s="117">
        <v>2516</v>
      </c>
      <c r="J900" s="119" t="s">
        <v>271</v>
      </c>
    </row>
    <row r="901" spans="1:10" x14ac:dyDescent="0.25">
      <c r="A901" s="117">
        <v>898</v>
      </c>
      <c r="B901" s="118" t="s">
        <v>1715</v>
      </c>
      <c r="C901" s="119" t="s">
        <v>1716</v>
      </c>
      <c r="D901" s="119" t="s">
        <v>459</v>
      </c>
      <c r="E901" s="119" t="s">
        <v>1698</v>
      </c>
      <c r="F901" s="120">
        <v>100</v>
      </c>
      <c r="G901" s="120">
        <v>104.52419999999999</v>
      </c>
      <c r="H901" s="120">
        <v>6.08</v>
      </c>
      <c r="I901" s="117">
        <v>2583</v>
      </c>
      <c r="J901" s="119" t="s">
        <v>271</v>
      </c>
    </row>
    <row r="902" spans="1:10" x14ac:dyDescent="0.25">
      <c r="A902" s="117">
        <v>899</v>
      </c>
      <c r="B902" s="118" t="s">
        <v>2464</v>
      </c>
      <c r="C902" s="119" t="s">
        <v>2465</v>
      </c>
      <c r="D902" s="119" t="s">
        <v>459</v>
      </c>
      <c r="E902" s="119" t="s">
        <v>1698</v>
      </c>
      <c r="F902" s="120">
        <v>93.337496661594471</v>
      </c>
      <c r="G902" s="120">
        <v>94.544996661594482</v>
      </c>
      <c r="H902" s="120">
        <v>20.32</v>
      </c>
      <c r="I902" s="117">
        <v>5377</v>
      </c>
      <c r="J902" s="119" t="s">
        <v>271</v>
      </c>
    </row>
    <row r="903" spans="1:10" x14ac:dyDescent="0.25">
      <c r="A903" s="117">
        <v>900</v>
      </c>
      <c r="B903" s="118" t="s">
        <v>426</v>
      </c>
      <c r="C903" s="119" t="s">
        <v>427</v>
      </c>
      <c r="D903" s="119" t="s">
        <v>459</v>
      </c>
      <c r="E903" s="119" t="s">
        <v>433</v>
      </c>
      <c r="F903" s="120">
        <v>87.037964118464345</v>
      </c>
      <c r="G903" s="120">
        <v>88.583764118464345</v>
      </c>
      <c r="H903" s="120">
        <v>19.100000000000001</v>
      </c>
      <c r="I903" s="117">
        <v>667</v>
      </c>
      <c r="J903" s="119" t="s">
        <v>271</v>
      </c>
    </row>
    <row r="904" spans="1:10" x14ac:dyDescent="0.25">
      <c r="A904" s="117">
        <v>901</v>
      </c>
      <c r="B904" s="118" t="s">
        <v>428</v>
      </c>
      <c r="C904" s="119" t="s">
        <v>429</v>
      </c>
      <c r="D904" s="119" t="s">
        <v>459</v>
      </c>
      <c r="E904" s="119" t="s">
        <v>433</v>
      </c>
      <c r="F904" s="120">
        <v>97.242048316033078</v>
      </c>
      <c r="G904" s="120">
        <v>98.064248316033087</v>
      </c>
      <c r="H904" s="120">
        <v>4.62</v>
      </c>
      <c r="I904" s="117">
        <v>392</v>
      </c>
      <c r="J904" s="119" t="s">
        <v>271</v>
      </c>
    </row>
    <row r="905" spans="1:10" x14ac:dyDescent="0.25">
      <c r="A905" s="117">
        <v>902</v>
      </c>
      <c r="B905" s="118" t="s">
        <v>1717</v>
      </c>
      <c r="C905" s="119" t="s">
        <v>1718</v>
      </c>
      <c r="D905" s="119" t="s">
        <v>449</v>
      </c>
      <c r="E905" s="119" t="s">
        <v>1719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1720</v>
      </c>
      <c r="C906" s="119" t="s">
        <v>1721</v>
      </c>
      <c r="D906" s="119" t="s">
        <v>459</v>
      </c>
      <c r="E906" s="119" t="s">
        <v>1722</v>
      </c>
      <c r="F906" s="120">
        <v>98.752488236732489</v>
      </c>
      <c r="G906" s="120">
        <v>102.36138823673249</v>
      </c>
      <c r="H906" s="120">
        <v>18.309999999999999</v>
      </c>
      <c r="I906" s="117">
        <v>64</v>
      </c>
      <c r="J906" s="119" t="s">
        <v>271</v>
      </c>
    </row>
    <row r="907" spans="1:10" x14ac:dyDescent="0.25">
      <c r="A907" s="117">
        <v>904</v>
      </c>
      <c r="B907" s="118" t="s">
        <v>1723</v>
      </c>
      <c r="C907" s="119" t="s">
        <v>1724</v>
      </c>
      <c r="D907" s="119" t="s">
        <v>459</v>
      </c>
      <c r="E907" s="119" t="s">
        <v>1725</v>
      </c>
      <c r="F907" s="120">
        <v>94.78397495111669</v>
      </c>
      <c r="G907" s="120">
        <v>97.633974951116699</v>
      </c>
      <c r="H907" s="120">
        <v>30.18</v>
      </c>
      <c r="I907" s="117">
        <v>3204</v>
      </c>
      <c r="J907" s="119" t="s">
        <v>271</v>
      </c>
    </row>
    <row r="908" spans="1:10" x14ac:dyDescent="0.25">
      <c r="A908" s="117">
        <v>905</v>
      </c>
      <c r="B908" s="118" t="s">
        <v>2081</v>
      </c>
      <c r="C908" s="119" t="s">
        <v>1868</v>
      </c>
      <c r="D908" s="119" t="s">
        <v>759</v>
      </c>
      <c r="E908" s="119" t="s">
        <v>1869</v>
      </c>
      <c r="F908" s="120">
        <v>357230.05674999999</v>
      </c>
      <c r="G908" s="120">
        <v>357230.05674999999</v>
      </c>
      <c r="H908" s="120">
        <v>0</v>
      </c>
      <c r="I908" s="117">
        <v>0</v>
      </c>
      <c r="J908" s="119" t="s">
        <v>240</v>
      </c>
    </row>
    <row r="909" spans="1:10" x14ac:dyDescent="0.25">
      <c r="A909" s="117">
        <v>906</v>
      </c>
      <c r="B909" s="118" t="s">
        <v>1726</v>
      </c>
      <c r="C909" s="119" t="s">
        <v>1727</v>
      </c>
      <c r="D909" s="119" t="s">
        <v>449</v>
      </c>
      <c r="E909" s="119" t="s">
        <v>1728</v>
      </c>
      <c r="F909" s="120">
        <v>0.01</v>
      </c>
      <c r="G909" s="120">
        <v>0.01</v>
      </c>
      <c r="H909" s="120">
        <v>0</v>
      </c>
      <c r="I909" s="117">
        <v>0</v>
      </c>
      <c r="J909" s="119" t="s">
        <v>240</v>
      </c>
    </row>
    <row r="910" spans="1:10" x14ac:dyDescent="0.25">
      <c r="A910" s="117">
        <v>907</v>
      </c>
      <c r="B910" s="118" t="s">
        <v>2204</v>
      </c>
      <c r="C910" s="119" t="s">
        <v>2205</v>
      </c>
      <c r="D910" s="119" t="s">
        <v>459</v>
      </c>
      <c r="E910" s="119" t="s">
        <v>2206</v>
      </c>
      <c r="F910" s="120">
        <v>100.48336804224219</v>
      </c>
      <c r="G910" s="120">
        <v>102.1166680422422</v>
      </c>
      <c r="H910" s="120">
        <v>20.75</v>
      </c>
      <c r="I910" s="117">
        <v>962</v>
      </c>
      <c r="J910" s="119" t="s">
        <v>271</v>
      </c>
    </row>
    <row r="911" spans="1:10" x14ac:dyDescent="0.25">
      <c r="A911" s="117">
        <v>908</v>
      </c>
      <c r="B911" s="118" t="s">
        <v>1732</v>
      </c>
      <c r="C911" s="119" t="s">
        <v>1733</v>
      </c>
      <c r="D911" s="119" t="s">
        <v>459</v>
      </c>
      <c r="E911" s="119" t="s">
        <v>430</v>
      </c>
      <c r="F911" s="120">
        <v>100</v>
      </c>
      <c r="G911" s="120">
        <v>102.4278</v>
      </c>
      <c r="H911" s="120">
        <v>11.49</v>
      </c>
      <c r="I911" s="117">
        <v>2264</v>
      </c>
      <c r="J911" s="119" t="s">
        <v>271</v>
      </c>
    </row>
    <row r="912" spans="1:10" x14ac:dyDescent="0.25">
      <c r="A912" s="117">
        <v>909</v>
      </c>
      <c r="B912" s="118" t="s">
        <v>431</v>
      </c>
      <c r="C912" s="119" t="s">
        <v>432</v>
      </c>
      <c r="D912" s="119" t="s">
        <v>459</v>
      </c>
      <c r="E912" s="119" t="s">
        <v>430</v>
      </c>
      <c r="F912" s="120">
        <v>100</v>
      </c>
      <c r="G912" s="120">
        <v>104.5861</v>
      </c>
      <c r="H912" s="120">
        <v>12.98</v>
      </c>
      <c r="I912" s="117">
        <v>1133</v>
      </c>
      <c r="J912" s="119" t="s">
        <v>271</v>
      </c>
    </row>
    <row r="913" spans="1:10" x14ac:dyDescent="0.25">
      <c r="A913" s="117">
        <v>910</v>
      </c>
      <c r="B913" s="118" t="s">
        <v>1734</v>
      </c>
      <c r="C913" s="119" t="s">
        <v>1735</v>
      </c>
      <c r="D913" s="119" t="s">
        <v>459</v>
      </c>
      <c r="E913" s="119" t="s">
        <v>637</v>
      </c>
      <c r="F913" s="120">
        <v>100</v>
      </c>
      <c r="G913" s="120">
        <v>102.6</v>
      </c>
      <c r="H913" s="120">
        <v>7.98</v>
      </c>
      <c r="I913" s="117">
        <v>423</v>
      </c>
      <c r="J913" s="119" t="s">
        <v>271</v>
      </c>
    </row>
    <row r="914" spans="1:10" x14ac:dyDescent="0.25">
      <c r="A914" s="117">
        <v>911</v>
      </c>
      <c r="B914" s="118" t="s">
        <v>1736</v>
      </c>
      <c r="C914" s="119" t="s">
        <v>1737</v>
      </c>
      <c r="D914" s="119" t="s">
        <v>459</v>
      </c>
      <c r="E914" s="119" t="s">
        <v>637</v>
      </c>
      <c r="F914" s="120">
        <v>100</v>
      </c>
      <c r="G914" s="120">
        <v>102.6</v>
      </c>
      <c r="H914" s="120">
        <v>8</v>
      </c>
      <c r="I914" s="117">
        <v>2223</v>
      </c>
      <c r="J914" s="119" t="s">
        <v>271</v>
      </c>
    </row>
    <row r="915" spans="1:10" x14ac:dyDescent="0.25">
      <c r="A915" s="117">
        <v>912</v>
      </c>
      <c r="B915" s="118" t="s">
        <v>1738</v>
      </c>
      <c r="C915" s="119" t="s">
        <v>1739</v>
      </c>
      <c r="D915" s="119" t="s">
        <v>459</v>
      </c>
      <c r="E915" s="119" t="s">
        <v>637</v>
      </c>
      <c r="F915" s="120">
        <v>100</v>
      </c>
      <c r="G915" s="120">
        <v>103.6</v>
      </c>
      <c r="H915" s="120">
        <v>7.99</v>
      </c>
      <c r="I915" s="117">
        <v>198</v>
      </c>
      <c r="J915" s="119" t="s">
        <v>271</v>
      </c>
    </row>
    <row r="916" spans="1:10" x14ac:dyDescent="0.25">
      <c r="A916" s="117">
        <v>913</v>
      </c>
      <c r="B916" s="118" t="s">
        <v>1740</v>
      </c>
      <c r="C916" s="119" t="s">
        <v>1741</v>
      </c>
      <c r="D916" s="119" t="s">
        <v>459</v>
      </c>
      <c r="E916" s="119" t="s">
        <v>637</v>
      </c>
      <c r="F916" s="120">
        <v>100</v>
      </c>
      <c r="G916" s="120">
        <v>103.6</v>
      </c>
      <c r="H916" s="120">
        <v>7.99</v>
      </c>
      <c r="I916" s="117">
        <v>198</v>
      </c>
      <c r="J916" s="119" t="s">
        <v>271</v>
      </c>
    </row>
    <row r="917" spans="1:10" x14ac:dyDescent="0.25">
      <c r="A917" s="117">
        <v>914</v>
      </c>
      <c r="B917" s="118" t="s">
        <v>1742</v>
      </c>
      <c r="C917" s="119" t="s">
        <v>1743</v>
      </c>
      <c r="D917" s="119" t="s">
        <v>459</v>
      </c>
      <c r="E917" s="119" t="s">
        <v>637</v>
      </c>
      <c r="F917" s="120">
        <v>100</v>
      </c>
      <c r="G917" s="120">
        <v>103.6</v>
      </c>
      <c r="H917" s="120">
        <v>8</v>
      </c>
      <c r="I917" s="117">
        <v>558</v>
      </c>
      <c r="J917" s="119" t="s">
        <v>271</v>
      </c>
    </row>
    <row r="918" spans="1:10" x14ac:dyDescent="0.25">
      <c r="A918" s="117">
        <v>915</v>
      </c>
      <c r="B918" s="118" t="s">
        <v>1744</v>
      </c>
      <c r="C918" s="119" t="s">
        <v>1745</v>
      </c>
      <c r="D918" s="119" t="s">
        <v>459</v>
      </c>
      <c r="E918" s="119" t="s">
        <v>637</v>
      </c>
      <c r="F918" s="120">
        <v>100</v>
      </c>
      <c r="G918" s="120">
        <v>103.6</v>
      </c>
      <c r="H918" s="120">
        <v>8</v>
      </c>
      <c r="I918" s="117">
        <v>558</v>
      </c>
      <c r="J918" s="119" t="s">
        <v>271</v>
      </c>
    </row>
    <row r="919" spans="1:10" x14ac:dyDescent="0.25">
      <c r="A919" s="117">
        <v>916</v>
      </c>
      <c r="B919" s="118" t="s">
        <v>1746</v>
      </c>
      <c r="C919" s="119" t="s">
        <v>1747</v>
      </c>
      <c r="D919" s="119" t="s">
        <v>459</v>
      </c>
      <c r="E919" s="119" t="s">
        <v>1748</v>
      </c>
      <c r="F919" s="120">
        <v>90.09774526631908</v>
      </c>
      <c r="G919" s="120">
        <v>92.127645266319078</v>
      </c>
      <c r="H919" s="120">
        <v>23.75</v>
      </c>
      <c r="I919" s="117">
        <v>1403</v>
      </c>
      <c r="J919" s="119" t="s">
        <v>271</v>
      </c>
    </row>
    <row r="920" spans="1:10" x14ac:dyDescent="0.25">
      <c r="A920" s="117">
        <v>917</v>
      </c>
      <c r="B920" s="118" t="s">
        <v>1749</v>
      </c>
      <c r="C920" s="119" t="s">
        <v>1750</v>
      </c>
      <c r="D920" s="119" t="s">
        <v>459</v>
      </c>
      <c r="E920" s="119" t="s">
        <v>1751</v>
      </c>
      <c r="F920" s="120">
        <v>100</v>
      </c>
      <c r="G920" s="120">
        <v>100.6375</v>
      </c>
      <c r="H920" s="120">
        <v>4.24</v>
      </c>
      <c r="I920" s="117">
        <v>246</v>
      </c>
      <c r="J920" s="119" t="s">
        <v>271</v>
      </c>
    </row>
    <row r="921" spans="1:10" x14ac:dyDescent="0.25">
      <c r="A921" s="117">
        <v>918</v>
      </c>
      <c r="B921" s="118" t="s">
        <v>1752</v>
      </c>
      <c r="C921" s="119" t="s">
        <v>1753</v>
      </c>
      <c r="D921" s="119" t="s">
        <v>459</v>
      </c>
      <c r="E921" s="119" t="s">
        <v>1751</v>
      </c>
      <c r="F921" s="120">
        <v>100</v>
      </c>
      <c r="G921" s="120">
        <v>100.1206</v>
      </c>
      <c r="H921" s="120">
        <v>0.35</v>
      </c>
      <c r="I921" s="117">
        <v>56</v>
      </c>
      <c r="J921" s="119" t="s">
        <v>271</v>
      </c>
    </row>
    <row r="922" spans="1:10" x14ac:dyDescent="0.25">
      <c r="A922" s="117">
        <v>919</v>
      </c>
      <c r="B922" s="118" t="s">
        <v>1754</v>
      </c>
      <c r="C922" s="119" t="s">
        <v>1755</v>
      </c>
      <c r="D922" s="119" t="s">
        <v>459</v>
      </c>
      <c r="E922" s="119" t="s">
        <v>1751</v>
      </c>
      <c r="F922" s="120">
        <v>100</v>
      </c>
      <c r="G922" s="120">
        <v>100.10599999999999</v>
      </c>
      <c r="H922" s="120">
        <v>0.35</v>
      </c>
      <c r="I922" s="117">
        <v>251</v>
      </c>
      <c r="J922" s="119" t="s">
        <v>271</v>
      </c>
    </row>
    <row r="923" spans="1:10" x14ac:dyDescent="0.25">
      <c r="A923" s="117">
        <v>920</v>
      </c>
      <c r="B923" s="118" t="s">
        <v>2164</v>
      </c>
      <c r="C923" s="119" t="s">
        <v>2165</v>
      </c>
      <c r="D923" s="119" t="s">
        <v>459</v>
      </c>
      <c r="E923" s="119" t="s">
        <v>1751</v>
      </c>
      <c r="F923" s="120">
        <v>100</v>
      </c>
      <c r="G923" s="120">
        <v>100.1283</v>
      </c>
      <c r="H923" s="120">
        <v>0.35</v>
      </c>
      <c r="I923" s="117">
        <v>588</v>
      </c>
      <c r="J923" s="119" t="s">
        <v>271</v>
      </c>
    </row>
    <row r="924" spans="1:10" x14ac:dyDescent="0.25">
      <c r="A924" s="117">
        <v>921</v>
      </c>
      <c r="B924" s="118" t="s">
        <v>1979</v>
      </c>
      <c r="C924" s="119" t="s">
        <v>1980</v>
      </c>
      <c r="D924" s="119" t="s">
        <v>459</v>
      </c>
      <c r="E924" s="119" t="s">
        <v>1751</v>
      </c>
      <c r="F924" s="120">
        <v>100</v>
      </c>
      <c r="G924" s="120">
        <v>100.0155</v>
      </c>
      <c r="H924" s="120">
        <v>0.02</v>
      </c>
      <c r="I924" s="117">
        <v>3064</v>
      </c>
      <c r="J924" s="119" t="s">
        <v>271</v>
      </c>
    </row>
    <row r="925" spans="1:10" x14ac:dyDescent="0.25">
      <c r="A925" s="117">
        <v>922</v>
      </c>
      <c r="B925" s="118" t="s">
        <v>1756</v>
      </c>
      <c r="C925" s="119" t="s">
        <v>1757</v>
      </c>
      <c r="D925" s="119" t="s">
        <v>459</v>
      </c>
      <c r="E925" s="119" t="s">
        <v>1751</v>
      </c>
      <c r="F925" s="120">
        <v>100</v>
      </c>
      <c r="G925" s="120">
        <v>105.3644</v>
      </c>
      <c r="H925" s="120">
        <v>7.05</v>
      </c>
      <c r="I925" s="117">
        <v>2161</v>
      </c>
      <c r="J925" s="119" t="s">
        <v>271</v>
      </c>
    </row>
    <row r="926" spans="1:10" x14ac:dyDescent="0.25">
      <c r="A926" s="117">
        <v>923</v>
      </c>
      <c r="B926" s="118" t="s">
        <v>1758</v>
      </c>
      <c r="C926" s="119" t="s">
        <v>1759</v>
      </c>
      <c r="D926" s="119" t="s">
        <v>459</v>
      </c>
      <c r="E926" s="119" t="s">
        <v>1751</v>
      </c>
      <c r="F926" s="120">
        <v>100</v>
      </c>
      <c r="G926" s="120">
        <v>100.00539999999999</v>
      </c>
      <c r="H926" s="120">
        <v>0.02</v>
      </c>
      <c r="I926" s="117">
        <v>3064</v>
      </c>
      <c r="J926" s="119" t="s">
        <v>271</v>
      </c>
    </row>
    <row r="927" spans="1:10" x14ac:dyDescent="0.25">
      <c r="A927" s="117">
        <v>924</v>
      </c>
      <c r="B927" s="118" t="s">
        <v>1760</v>
      </c>
      <c r="C927" s="119" t="s">
        <v>1761</v>
      </c>
      <c r="D927" s="119" t="s">
        <v>459</v>
      </c>
      <c r="E927" s="119" t="s">
        <v>1751</v>
      </c>
      <c r="F927" s="120">
        <v>100</v>
      </c>
      <c r="G927" s="120">
        <v>100.0059</v>
      </c>
      <c r="H927" s="120">
        <v>0.02</v>
      </c>
      <c r="I927" s="117">
        <v>3064</v>
      </c>
      <c r="J927" s="119" t="s">
        <v>271</v>
      </c>
    </row>
    <row r="928" spans="1:10" x14ac:dyDescent="0.25">
      <c r="A928" s="117">
        <v>925</v>
      </c>
      <c r="B928" s="118" t="s">
        <v>1762</v>
      </c>
      <c r="C928" s="119" t="s">
        <v>1763</v>
      </c>
      <c r="D928" s="119" t="s">
        <v>459</v>
      </c>
      <c r="E928" s="119" t="s">
        <v>1751</v>
      </c>
      <c r="F928" s="120">
        <v>100</v>
      </c>
      <c r="G928" s="120">
        <v>101.5419</v>
      </c>
      <c r="H928" s="120">
        <v>6.08</v>
      </c>
      <c r="I928" s="117">
        <v>1679</v>
      </c>
      <c r="J928" s="119" t="s">
        <v>271</v>
      </c>
    </row>
    <row r="929" spans="1:10" x14ac:dyDescent="0.25">
      <c r="A929" s="117">
        <v>926</v>
      </c>
      <c r="B929" s="118" t="s">
        <v>1764</v>
      </c>
      <c r="C929" s="119" t="s">
        <v>1765</v>
      </c>
      <c r="D929" s="119" t="s">
        <v>459</v>
      </c>
      <c r="E929" s="119" t="s">
        <v>1751</v>
      </c>
      <c r="F929" s="120">
        <v>100</v>
      </c>
      <c r="G929" s="120">
        <v>100.71169999999999</v>
      </c>
      <c r="H929" s="120">
        <v>6.09</v>
      </c>
      <c r="I929" s="117">
        <v>2088</v>
      </c>
      <c r="J929" s="119" t="s">
        <v>271</v>
      </c>
    </row>
    <row r="930" spans="1:10" x14ac:dyDescent="0.25">
      <c r="A930" s="117">
        <v>927</v>
      </c>
      <c r="B930" s="118" t="s">
        <v>1766</v>
      </c>
      <c r="C930" s="119" t="s">
        <v>1767</v>
      </c>
      <c r="D930" s="119" t="s">
        <v>459</v>
      </c>
      <c r="E930" s="119" t="s">
        <v>1751</v>
      </c>
      <c r="F930" s="120">
        <v>100</v>
      </c>
      <c r="G930" s="120">
        <v>103.4567</v>
      </c>
      <c r="H930" s="120">
        <v>6.06</v>
      </c>
      <c r="I930" s="117">
        <v>2586</v>
      </c>
      <c r="J930" s="119" t="s">
        <v>271</v>
      </c>
    </row>
    <row r="931" spans="1:10" x14ac:dyDescent="0.25">
      <c r="A931" s="117">
        <v>928</v>
      </c>
      <c r="B931" s="118" t="s">
        <v>1768</v>
      </c>
      <c r="C931" s="119" t="s">
        <v>1769</v>
      </c>
      <c r="D931" s="119" t="s">
        <v>459</v>
      </c>
      <c r="E931" s="119" t="s">
        <v>1751</v>
      </c>
      <c r="F931" s="120">
        <v>100</v>
      </c>
      <c r="G931" s="120">
        <v>105.65940000000001</v>
      </c>
      <c r="H931" s="120">
        <v>6.09</v>
      </c>
      <c r="I931" s="117">
        <v>2516</v>
      </c>
      <c r="J931" s="119" t="s">
        <v>271</v>
      </c>
    </row>
    <row r="932" spans="1:10" x14ac:dyDescent="0.25">
      <c r="A932" s="117">
        <v>929</v>
      </c>
      <c r="B932" s="118" t="s">
        <v>1770</v>
      </c>
      <c r="C932" s="119" t="s">
        <v>1771</v>
      </c>
      <c r="D932" s="119" t="s">
        <v>459</v>
      </c>
      <c r="E932" s="119" t="s">
        <v>1751</v>
      </c>
      <c r="F932" s="120">
        <v>100</v>
      </c>
      <c r="G932" s="120">
        <v>105.65940000000001</v>
      </c>
      <c r="H932" s="120">
        <v>6.09</v>
      </c>
      <c r="I932" s="117">
        <v>2516</v>
      </c>
      <c r="J932" s="119" t="s">
        <v>271</v>
      </c>
    </row>
    <row r="933" spans="1:10" x14ac:dyDescent="0.25">
      <c r="A933" s="117">
        <v>930</v>
      </c>
      <c r="B933" s="118" t="s">
        <v>1772</v>
      </c>
      <c r="C933" s="119" t="s">
        <v>1773</v>
      </c>
      <c r="D933" s="119" t="s">
        <v>459</v>
      </c>
      <c r="E933" s="119" t="s">
        <v>1751</v>
      </c>
      <c r="F933" s="120">
        <v>100</v>
      </c>
      <c r="G933" s="120">
        <v>104.52419999999999</v>
      </c>
      <c r="H933" s="120">
        <v>6.08</v>
      </c>
      <c r="I933" s="117">
        <v>2583</v>
      </c>
      <c r="J933" s="119" t="s">
        <v>271</v>
      </c>
    </row>
    <row r="934" spans="1:10" x14ac:dyDescent="0.25">
      <c r="A934" s="117">
        <v>931</v>
      </c>
      <c r="B934" s="118" t="s">
        <v>1774</v>
      </c>
      <c r="C934" s="119" t="s">
        <v>1775</v>
      </c>
      <c r="D934" s="119" t="s">
        <v>759</v>
      </c>
      <c r="E934" s="119" t="s">
        <v>1080</v>
      </c>
      <c r="F934" s="120">
        <v>48152.349549999999</v>
      </c>
      <c r="G934" s="120">
        <v>48152.349549999999</v>
      </c>
      <c r="H934" s="120">
        <v>0</v>
      </c>
      <c r="I934" s="117">
        <v>0</v>
      </c>
      <c r="J934" s="119" t="s">
        <v>240</v>
      </c>
    </row>
    <row r="935" spans="1:10" x14ac:dyDescent="0.25">
      <c r="A935" s="117">
        <v>932</v>
      </c>
      <c r="B935" s="118" t="s">
        <v>1776</v>
      </c>
      <c r="C935" s="119" t="s">
        <v>1777</v>
      </c>
      <c r="D935" s="119" t="s">
        <v>459</v>
      </c>
      <c r="E935" s="119" t="s">
        <v>2110</v>
      </c>
      <c r="F935" s="120">
        <v>94.952455231638595</v>
      </c>
      <c r="G935" s="120">
        <v>99.742555231638605</v>
      </c>
      <c r="H935" s="120">
        <v>21.01</v>
      </c>
      <c r="I935" s="117">
        <v>209</v>
      </c>
      <c r="J935" s="119" t="s">
        <v>271</v>
      </c>
    </row>
    <row r="936" spans="1:10" x14ac:dyDescent="0.25">
      <c r="A936" s="117">
        <v>933</v>
      </c>
      <c r="B936" s="118" t="s">
        <v>1778</v>
      </c>
      <c r="C936" s="119" t="s">
        <v>1779</v>
      </c>
      <c r="D936" s="119" t="s">
        <v>459</v>
      </c>
      <c r="E936" s="119" t="s">
        <v>2110</v>
      </c>
      <c r="F936" s="120">
        <v>86.322917137939058</v>
      </c>
      <c r="G936" s="120">
        <v>88.156217137939066</v>
      </c>
      <c r="H936" s="120">
        <v>20.28</v>
      </c>
      <c r="I936" s="117">
        <v>658</v>
      </c>
      <c r="J936" s="119" t="s">
        <v>271</v>
      </c>
    </row>
    <row r="937" spans="1:10" x14ac:dyDescent="0.25">
      <c r="A937" s="117">
        <v>934</v>
      </c>
      <c r="B937" s="118" t="s">
        <v>1780</v>
      </c>
      <c r="C937" s="119" t="s">
        <v>1781</v>
      </c>
      <c r="D937" s="119" t="s">
        <v>459</v>
      </c>
      <c r="E937" s="119" t="s">
        <v>2110</v>
      </c>
      <c r="F937" s="120">
        <v>27.545815745453027</v>
      </c>
      <c r="G937" s="120">
        <v>27.745815745453029</v>
      </c>
      <c r="H937" s="120">
        <v>19.41</v>
      </c>
      <c r="I937" s="117">
        <v>3204</v>
      </c>
      <c r="J937" s="119" t="s">
        <v>271</v>
      </c>
    </row>
    <row r="938" spans="1:10" x14ac:dyDescent="0.25">
      <c r="A938" s="117">
        <v>935</v>
      </c>
      <c r="B938" s="118" t="s">
        <v>1782</v>
      </c>
      <c r="C938" s="119" t="s">
        <v>1783</v>
      </c>
      <c r="D938" s="119" t="s">
        <v>459</v>
      </c>
      <c r="E938" s="119" t="s">
        <v>2110</v>
      </c>
      <c r="F938" s="120">
        <v>66.52949335168482</v>
      </c>
      <c r="G938" s="120">
        <v>72.055893351684816</v>
      </c>
      <c r="H938" s="120">
        <v>19.53</v>
      </c>
      <c r="I938" s="117">
        <v>3247</v>
      </c>
      <c r="J938" s="119" t="s">
        <v>271</v>
      </c>
    </row>
    <row r="939" spans="1:10" x14ac:dyDescent="0.25">
      <c r="A939" s="117">
        <v>936</v>
      </c>
      <c r="B939" s="118" t="s">
        <v>1784</v>
      </c>
      <c r="C939" s="119" t="s">
        <v>1785</v>
      </c>
      <c r="D939" s="119" t="s">
        <v>459</v>
      </c>
      <c r="E939" s="119" t="s">
        <v>2110</v>
      </c>
      <c r="F939" s="120">
        <v>66.604058507648787</v>
      </c>
      <c r="G939" s="120">
        <v>67.051258507648782</v>
      </c>
      <c r="H939" s="120">
        <v>19.53</v>
      </c>
      <c r="I939" s="117">
        <v>3226</v>
      </c>
      <c r="J939" s="119" t="s">
        <v>271</v>
      </c>
    </row>
    <row r="940" spans="1:10" x14ac:dyDescent="0.25">
      <c r="A940" s="117">
        <v>937</v>
      </c>
      <c r="B940" s="118" t="s">
        <v>1786</v>
      </c>
      <c r="C940" s="119" t="s">
        <v>1787</v>
      </c>
      <c r="D940" s="119" t="s">
        <v>449</v>
      </c>
      <c r="E940" s="119" t="s">
        <v>1788</v>
      </c>
      <c r="F940" s="120">
        <v>0.01</v>
      </c>
      <c r="G940" s="120">
        <v>0.01</v>
      </c>
      <c r="H940" s="120">
        <v>0</v>
      </c>
      <c r="I940" s="117">
        <v>0</v>
      </c>
      <c r="J940" s="119" t="s">
        <v>240</v>
      </c>
    </row>
    <row r="941" spans="1:10" x14ac:dyDescent="0.25">
      <c r="A941" s="117">
        <v>938</v>
      </c>
      <c r="B941" s="118" t="s">
        <v>1789</v>
      </c>
      <c r="C941" s="119" t="s">
        <v>1790</v>
      </c>
      <c r="D941" s="119" t="s">
        <v>449</v>
      </c>
      <c r="E941" s="119" t="s">
        <v>1791</v>
      </c>
      <c r="F941" s="120">
        <v>2740</v>
      </c>
      <c r="G941" s="120">
        <v>2740</v>
      </c>
      <c r="H941" s="120">
        <v>0</v>
      </c>
      <c r="I941" s="117">
        <v>0</v>
      </c>
      <c r="J941" s="119" t="s">
        <v>240</v>
      </c>
    </row>
    <row r="942" spans="1:10" x14ac:dyDescent="0.25">
      <c r="A942" s="117">
        <v>939</v>
      </c>
      <c r="B942" s="118" t="s">
        <v>1792</v>
      </c>
      <c r="C942" s="119" t="s">
        <v>1793</v>
      </c>
      <c r="D942" s="119" t="s">
        <v>459</v>
      </c>
      <c r="E942" s="119" t="s">
        <v>1794</v>
      </c>
      <c r="F942" s="120">
        <v>106.09099999999999</v>
      </c>
      <c r="G942" s="120">
        <v>109.2681</v>
      </c>
      <c r="H942" s="120">
        <v>5.72</v>
      </c>
      <c r="I942" s="117">
        <v>1290</v>
      </c>
      <c r="J942" s="119" t="s">
        <v>271</v>
      </c>
    </row>
    <row r="943" spans="1:10" x14ac:dyDescent="0.25">
      <c r="A943" s="117">
        <v>940</v>
      </c>
      <c r="B943" s="118" t="s">
        <v>1795</v>
      </c>
      <c r="C943" s="119" t="s">
        <v>1796</v>
      </c>
      <c r="D943" s="119" t="s">
        <v>449</v>
      </c>
      <c r="E943" s="119" t="s">
        <v>2251</v>
      </c>
      <c r="F943" s="120">
        <v>0.01</v>
      </c>
      <c r="G943" s="120">
        <v>0.01</v>
      </c>
      <c r="H943" s="120">
        <v>0</v>
      </c>
      <c r="I943" s="117">
        <v>0</v>
      </c>
      <c r="J943" s="119" t="s">
        <v>240</v>
      </c>
    </row>
    <row r="944" spans="1:10" x14ac:dyDescent="0.25">
      <c r="A944" s="117">
        <v>941</v>
      </c>
      <c r="B944" s="118" t="s">
        <v>1797</v>
      </c>
      <c r="C944" s="119" t="s">
        <v>1798</v>
      </c>
      <c r="D944" s="119" t="s">
        <v>459</v>
      </c>
      <c r="E944" s="119" t="s">
        <v>2251</v>
      </c>
      <c r="F944" s="120">
        <v>82.957006117445133</v>
      </c>
      <c r="G944" s="120">
        <v>85.75700611744513</v>
      </c>
      <c r="H944" s="120">
        <v>17.149999999999999</v>
      </c>
      <c r="I944" s="117">
        <v>968</v>
      </c>
      <c r="J944" s="119" t="s">
        <v>271</v>
      </c>
    </row>
    <row r="945" spans="1:10" x14ac:dyDescent="0.25">
      <c r="A945" s="117">
        <v>942</v>
      </c>
      <c r="B945" s="118" t="s">
        <v>1799</v>
      </c>
      <c r="C945" s="119" t="s">
        <v>1800</v>
      </c>
      <c r="D945" s="119" t="s">
        <v>459</v>
      </c>
      <c r="E945" s="119" t="s">
        <v>2251</v>
      </c>
      <c r="F945" s="120">
        <v>10.036270805609947</v>
      </c>
      <c r="G945" s="120">
        <v>10.086270805609946</v>
      </c>
      <c r="H945" s="120">
        <v>16.350000000000001</v>
      </c>
      <c r="I945" s="117">
        <v>5435</v>
      </c>
      <c r="J945" s="119" t="s">
        <v>271</v>
      </c>
    </row>
    <row r="946" spans="1:10" x14ac:dyDescent="0.25">
      <c r="A946" s="117">
        <v>943</v>
      </c>
      <c r="B946" s="118" t="s">
        <v>1801</v>
      </c>
      <c r="C946" s="119" t="s">
        <v>1802</v>
      </c>
      <c r="D946" s="119" t="s">
        <v>459</v>
      </c>
      <c r="E946" s="119" t="s">
        <v>2251</v>
      </c>
      <c r="F946" s="120">
        <v>27.283799571587732</v>
      </c>
      <c r="G946" s="120">
        <v>27.349899571587731</v>
      </c>
      <c r="H946" s="120">
        <v>17.079999999999998</v>
      </c>
      <c r="I946" s="117">
        <v>3002</v>
      </c>
      <c r="J946" s="119" t="s">
        <v>271</v>
      </c>
    </row>
    <row r="947" spans="1:10" x14ac:dyDescent="0.25">
      <c r="A947" s="117">
        <v>944</v>
      </c>
      <c r="B947" s="118" t="s">
        <v>1803</v>
      </c>
      <c r="C947" s="119" t="s">
        <v>1804</v>
      </c>
      <c r="D947" s="119" t="s">
        <v>459</v>
      </c>
      <c r="E947" s="119" t="s">
        <v>2251</v>
      </c>
      <c r="F947" s="120">
        <v>27.283799571587732</v>
      </c>
      <c r="G947" s="120">
        <v>27.349899571587731</v>
      </c>
      <c r="H947" s="120">
        <v>17.079999999999998</v>
      </c>
      <c r="I947" s="117">
        <v>3002</v>
      </c>
      <c r="J947" s="119" t="s">
        <v>271</v>
      </c>
    </row>
    <row r="948" spans="1:10" x14ac:dyDescent="0.25">
      <c r="A948" s="117">
        <v>945</v>
      </c>
      <c r="B948" s="118" t="s">
        <v>1805</v>
      </c>
      <c r="C948" s="119" t="s">
        <v>1806</v>
      </c>
      <c r="D948" s="119" t="s">
        <v>459</v>
      </c>
      <c r="E948" s="119" t="s">
        <v>2251</v>
      </c>
      <c r="F948" s="120">
        <v>4.9687535808224288</v>
      </c>
      <c r="G948" s="120">
        <v>5.0329535808224284</v>
      </c>
      <c r="H948" s="120">
        <v>16.48</v>
      </c>
      <c r="I948" s="117">
        <v>7235</v>
      </c>
      <c r="J948" s="119" t="s">
        <v>271</v>
      </c>
    </row>
    <row r="949" spans="1:10" x14ac:dyDescent="0.25">
      <c r="A949" s="117">
        <v>946</v>
      </c>
      <c r="B949" s="118" t="s">
        <v>1807</v>
      </c>
      <c r="C949" s="119" t="s">
        <v>1808</v>
      </c>
      <c r="D949" s="119" t="s">
        <v>459</v>
      </c>
      <c r="E949" s="119" t="s">
        <v>2251</v>
      </c>
      <c r="F949" s="120">
        <v>10.037264743241373</v>
      </c>
      <c r="G949" s="120">
        <v>10.129164743241372</v>
      </c>
      <c r="H949" s="120">
        <v>15.63</v>
      </c>
      <c r="I949" s="117">
        <v>5435</v>
      </c>
      <c r="J949" s="119" t="s">
        <v>271</v>
      </c>
    </row>
    <row r="950" spans="1:10" x14ac:dyDescent="0.25">
      <c r="A950" s="117">
        <v>947</v>
      </c>
      <c r="B950" s="118" t="s">
        <v>231</v>
      </c>
      <c r="C950" s="119" t="s">
        <v>232</v>
      </c>
      <c r="D950" s="119" t="s">
        <v>459</v>
      </c>
      <c r="E950" s="119" t="s">
        <v>2251</v>
      </c>
      <c r="F950" s="120">
        <v>27.432015216784347</v>
      </c>
      <c r="G950" s="120">
        <v>27.52671521678435</v>
      </c>
      <c r="H950" s="120">
        <v>16.09</v>
      </c>
      <c r="I950" s="117">
        <v>2989</v>
      </c>
      <c r="J950" s="119" t="s">
        <v>271</v>
      </c>
    </row>
    <row r="951" spans="1:10" x14ac:dyDescent="0.25">
      <c r="A951" s="117">
        <v>948</v>
      </c>
      <c r="B951" s="118" t="s">
        <v>1809</v>
      </c>
      <c r="C951" s="119" t="s">
        <v>1810</v>
      </c>
      <c r="D951" s="119" t="s">
        <v>459</v>
      </c>
      <c r="E951" s="119" t="s">
        <v>2251</v>
      </c>
      <c r="F951" s="120">
        <v>27.351283464860288</v>
      </c>
      <c r="G951" s="120">
        <v>27.419083464860289</v>
      </c>
      <c r="H951" s="120">
        <v>17.079999999999998</v>
      </c>
      <c r="I951" s="117">
        <v>2996</v>
      </c>
      <c r="J951" s="119" t="s">
        <v>271</v>
      </c>
    </row>
    <row r="952" spans="1:10" x14ac:dyDescent="0.25">
      <c r="A952" s="117">
        <v>949</v>
      </c>
      <c r="B952" s="118" t="s">
        <v>1811</v>
      </c>
      <c r="C952" s="119" t="s">
        <v>1812</v>
      </c>
      <c r="D952" s="119" t="s">
        <v>459</v>
      </c>
      <c r="E952" s="119" t="s">
        <v>2251</v>
      </c>
      <c r="F952" s="120">
        <v>27.283799571587732</v>
      </c>
      <c r="G952" s="120">
        <v>27.349899571587731</v>
      </c>
      <c r="H952" s="120">
        <v>17.079999999999998</v>
      </c>
      <c r="I952" s="117">
        <v>3002</v>
      </c>
      <c r="J952" s="119" t="s">
        <v>271</v>
      </c>
    </row>
    <row r="953" spans="1:10" x14ac:dyDescent="0.25">
      <c r="A953" s="117">
        <v>950</v>
      </c>
      <c r="B953" s="118" t="s">
        <v>233</v>
      </c>
      <c r="C953" s="119" t="s">
        <v>234</v>
      </c>
      <c r="D953" s="119" t="s">
        <v>459</v>
      </c>
      <c r="E953" s="119" t="s">
        <v>2251</v>
      </c>
      <c r="F953" s="120">
        <v>27.351283464860288</v>
      </c>
      <c r="G953" s="120">
        <v>27.419083464860289</v>
      </c>
      <c r="H953" s="120">
        <v>17.079999999999998</v>
      </c>
      <c r="I953" s="117">
        <v>2996</v>
      </c>
      <c r="J953" s="119" t="s">
        <v>271</v>
      </c>
    </row>
    <row r="954" spans="1:10" x14ac:dyDescent="0.25">
      <c r="A954" s="117">
        <v>951</v>
      </c>
      <c r="B954" s="118" t="s">
        <v>1813</v>
      </c>
      <c r="C954" s="119" t="s">
        <v>1814</v>
      </c>
      <c r="D954" s="119" t="s">
        <v>459</v>
      </c>
      <c r="E954" s="119" t="s">
        <v>2251</v>
      </c>
      <c r="F954" s="120">
        <v>98.03211372430313</v>
      </c>
      <c r="G954" s="120">
        <v>104.83211372430313</v>
      </c>
      <c r="H954" s="120">
        <v>17.29</v>
      </c>
      <c r="I954" s="117">
        <v>88</v>
      </c>
      <c r="J954" s="119" t="s">
        <v>271</v>
      </c>
    </row>
    <row r="955" spans="1:10" x14ac:dyDescent="0.25">
      <c r="A955" s="117">
        <v>952</v>
      </c>
      <c r="B955" s="118" t="s">
        <v>1815</v>
      </c>
      <c r="C955" s="119" t="s">
        <v>1816</v>
      </c>
      <c r="D955" s="119" t="s">
        <v>459</v>
      </c>
      <c r="E955" s="119" t="s">
        <v>2251</v>
      </c>
      <c r="F955" s="120">
        <v>85.349093323515049</v>
      </c>
      <c r="G955" s="120">
        <v>86.911593323515049</v>
      </c>
      <c r="H955" s="120">
        <v>17.329999999999998</v>
      </c>
      <c r="I955" s="117">
        <v>645</v>
      </c>
      <c r="J955" s="119" t="s">
        <v>271</v>
      </c>
    </row>
    <row r="956" spans="1:10" x14ac:dyDescent="0.25">
      <c r="A956" s="117">
        <v>953</v>
      </c>
      <c r="B956" s="118" t="s">
        <v>1817</v>
      </c>
      <c r="C956" s="119" t="s">
        <v>1818</v>
      </c>
      <c r="D956" s="119" t="s">
        <v>449</v>
      </c>
      <c r="E956" s="119" t="s">
        <v>2251</v>
      </c>
      <c r="F956" s="120">
        <v>590</v>
      </c>
      <c r="G956" s="120">
        <v>590</v>
      </c>
      <c r="H956" s="120">
        <v>0</v>
      </c>
      <c r="I956" s="117">
        <v>0</v>
      </c>
      <c r="J956" s="119" t="s">
        <v>240</v>
      </c>
    </row>
    <row r="957" spans="1:10" x14ac:dyDescent="0.25">
      <c r="A957" s="117">
        <v>954</v>
      </c>
      <c r="B957" s="118" t="s">
        <v>1819</v>
      </c>
      <c r="C957" s="119" t="s">
        <v>1820</v>
      </c>
      <c r="D957" s="119" t="s">
        <v>449</v>
      </c>
      <c r="E957" s="119" t="s">
        <v>2107</v>
      </c>
      <c r="F957" s="120">
        <v>232735.90410000001</v>
      </c>
      <c r="G957" s="120">
        <v>232735.90410000001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2288</v>
      </c>
      <c r="C958" s="119" t="s">
        <v>2289</v>
      </c>
      <c r="D958" s="119" t="s">
        <v>459</v>
      </c>
      <c r="E958" s="119" t="s">
        <v>1823</v>
      </c>
      <c r="F958" s="120">
        <v>91.801000000000002</v>
      </c>
      <c r="G958" s="120">
        <v>95.600999999999999</v>
      </c>
      <c r="H958" s="120">
        <v>22</v>
      </c>
      <c r="I958" s="117">
        <v>1004</v>
      </c>
      <c r="J958" s="119" t="s">
        <v>271</v>
      </c>
    </row>
    <row r="959" spans="1:10" x14ac:dyDescent="0.25">
      <c r="A959" s="117">
        <v>956</v>
      </c>
      <c r="B959" s="118" t="s">
        <v>1821</v>
      </c>
      <c r="C959" s="119" t="s">
        <v>1822</v>
      </c>
      <c r="D959" s="119" t="s">
        <v>459</v>
      </c>
      <c r="E959" s="119" t="s">
        <v>1823</v>
      </c>
      <c r="F959" s="120">
        <v>99.796671001170708</v>
      </c>
      <c r="G959" s="120">
        <v>101.4077710011707</v>
      </c>
      <c r="H959" s="120">
        <v>21.08</v>
      </c>
      <c r="I959" s="117">
        <v>61</v>
      </c>
      <c r="J959" s="119" t="s">
        <v>271</v>
      </c>
    </row>
    <row r="960" spans="1:10" x14ac:dyDescent="0.25">
      <c r="A960" s="117">
        <v>957</v>
      </c>
      <c r="B960" s="118" t="s">
        <v>1824</v>
      </c>
      <c r="C960" s="119" t="s">
        <v>1825</v>
      </c>
      <c r="D960" s="119" t="s">
        <v>459</v>
      </c>
      <c r="E960" s="119" t="s">
        <v>1823</v>
      </c>
      <c r="F960" s="120">
        <v>99.80867486604069</v>
      </c>
      <c r="G960" s="120">
        <v>101.6975748660407</v>
      </c>
      <c r="H960" s="120">
        <v>21.08</v>
      </c>
      <c r="I960" s="117">
        <v>56</v>
      </c>
      <c r="J960" s="119" t="s">
        <v>271</v>
      </c>
    </row>
    <row r="961" spans="1:10" x14ac:dyDescent="0.25">
      <c r="A961" s="117">
        <v>958</v>
      </c>
      <c r="B961" s="118" t="s">
        <v>1826</v>
      </c>
      <c r="C961" s="119" t="s">
        <v>1827</v>
      </c>
      <c r="D961" s="119" t="s">
        <v>449</v>
      </c>
      <c r="E961" s="119" t="s">
        <v>1828</v>
      </c>
      <c r="F961" s="120">
        <v>98412.195049999995</v>
      </c>
      <c r="G961" s="120">
        <v>98412.195049999995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1729</v>
      </c>
      <c r="C962" s="119" t="s">
        <v>1730</v>
      </c>
      <c r="D962" s="119" t="s">
        <v>449</v>
      </c>
      <c r="E962" s="119" t="s">
        <v>1731</v>
      </c>
      <c r="F962" s="120">
        <v>15487.5185</v>
      </c>
      <c r="G962" s="120">
        <v>15487.5185</v>
      </c>
      <c r="H962" s="120">
        <v>0</v>
      </c>
      <c r="I962" s="117">
        <v>0</v>
      </c>
      <c r="J962" s="119" t="s">
        <v>240</v>
      </c>
    </row>
    <row r="963" spans="1:10" x14ac:dyDescent="0.25">
      <c r="A963" s="117">
        <v>960</v>
      </c>
      <c r="B963" s="118" t="s">
        <v>1829</v>
      </c>
      <c r="C963" s="119" t="s">
        <v>1830</v>
      </c>
      <c r="D963" s="119" t="s">
        <v>449</v>
      </c>
      <c r="E963" s="119" t="s">
        <v>1831</v>
      </c>
      <c r="F963" s="120">
        <v>52950.496700000003</v>
      </c>
      <c r="G963" s="120">
        <v>52950.496700000003</v>
      </c>
      <c r="H963" s="120">
        <v>0</v>
      </c>
      <c r="I963" s="117">
        <v>0</v>
      </c>
      <c r="J963" s="119" t="s">
        <v>240</v>
      </c>
    </row>
    <row r="964" spans="1:10" x14ac:dyDescent="0.25">
      <c r="A964" s="117">
        <v>961</v>
      </c>
      <c r="B964" s="118" t="s">
        <v>1832</v>
      </c>
      <c r="C964" s="119" t="s">
        <v>1833</v>
      </c>
      <c r="D964" s="119" t="s">
        <v>449</v>
      </c>
      <c r="E964" s="119" t="s">
        <v>1834</v>
      </c>
      <c r="F964" s="120">
        <v>230803</v>
      </c>
      <c r="G964" s="120">
        <v>230803</v>
      </c>
      <c r="H964" s="120">
        <v>0</v>
      </c>
      <c r="I964" s="117">
        <v>0</v>
      </c>
      <c r="J964" s="119" t="s">
        <v>240</v>
      </c>
    </row>
    <row r="965" spans="1:10" x14ac:dyDescent="0.25">
      <c r="A965" s="117">
        <v>962</v>
      </c>
      <c r="B965" s="118" t="s">
        <v>1835</v>
      </c>
      <c r="C965" s="119" t="s">
        <v>1836</v>
      </c>
      <c r="D965" s="119" t="s">
        <v>759</v>
      </c>
      <c r="E965" s="119" t="s">
        <v>766</v>
      </c>
      <c r="F965" s="120">
        <v>26396.590199999999</v>
      </c>
      <c r="G965" s="120">
        <v>26396.590199999999</v>
      </c>
      <c r="H965" s="120">
        <v>0</v>
      </c>
      <c r="I965" s="117">
        <v>0</v>
      </c>
      <c r="J965" s="119" t="s">
        <v>240</v>
      </c>
    </row>
    <row r="966" spans="1:10" x14ac:dyDescent="0.25">
      <c r="A966" s="117">
        <v>963</v>
      </c>
      <c r="B966" s="118" t="s">
        <v>1870</v>
      </c>
      <c r="C966" s="119" t="s">
        <v>1871</v>
      </c>
      <c r="D966" s="119" t="s">
        <v>459</v>
      </c>
      <c r="E966" s="119" t="s">
        <v>1839</v>
      </c>
      <c r="F966" s="120">
        <v>96.921875</v>
      </c>
      <c r="G966" s="120">
        <v>97.324574999999996</v>
      </c>
      <c r="H966" s="120">
        <v>3.98</v>
      </c>
      <c r="I966" s="117">
        <v>2699</v>
      </c>
      <c r="J966" s="119" t="s">
        <v>271</v>
      </c>
    </row>
    <row r="967" spans="1:10" x14ac:dyDescent="0.25">
      <c r="A967" s="117">
        <v>964</v>
      </c>
      <c r="B967" s="118" t="s">
        <v>1872</v>
      </c>
      <c r="C967" s="119" t="s">
        <v>1873</v>
      </c>
      <c r="D967" s="119" t="s">
        <v>459</v>
      </c>
      <c r="E967" s="119" t="s">
        <v>1839</v>
      </c>
      <c r="F967" s="120">
        <v>99.015625</v>
      </c>
      <c r="G967" s="120">
        <v>99.461524999999995</v>
      </c>
      <c r="H967" s="120">
        <v>4.0199999999999996</v>
      </c>
      <c r="I967" s="117">
        <v>2880</v>
      </c>
      <c r="J967" s="119" t="s">
        <v>271</v>
      </c>
    </row>
    <row r="968" spans="1:10" x14ac:dyDescent="0.25">
      <c r="A968" s="117">
        <v>965</v>
      </c>
      <c r="B968" s="118" t="s">
        <v>1874</v>
      </c>
      <c r="C968" s="119" t="s">
        <v>1875</v>
      </c>
      <c r="D968" s="119" t="s">
        <v>459</v>
      </c>
      <c r="E968" s="119" t="s">
        <v>1839</v>
      </c>
      <c r="F968" s="120">
        <v>107.7109375</v>
      </c>
      <c r="G968" s="120">
        <v>108.3294375</v>
      </c>
      <c r="H968" s="120">
        <v>3.78</v>
      </c>
      <c r="I968" s="117">
        <v>1968</v>
      </c>
      <c r="J968" s="119" t="s">
        <v>271</v>
      </c>
    </row>
    <row r="969" spans="1:10" x14ac:dyDescent="0.25">
      <c r="A969" s="117">
        <v>966</v>
      </c>
      <c r="B969" s="118" t="s">
        <v>1876</v>
      </c>
      <c r="C969" s="119" t="s">
        <v>1877</v>
      </c>
      <c r="D969" s="119" t="s">
        <v>459</v>
      </c>
      <c r="E969" s="119" t="s">
        <v>1839</v>
      </c>
      <c r="F969" s="120">
        <v>97.58984375</v>
      </c>
      <c r="G969" s="120">
        <v>98.011743749999994</v>
      </c>
      <c r="H969" s="120">
        <v>3.72</v>
      </c>
      <c r="I969" s="117">
        <v>461</v>
      </c>
      <c r="J969" s="119" t="s">
        <v>271</v>
      </c>
    </row>
    <row r="970" spans="1:10" x14ac:dyDescent="0.25">
      <c r="A970" s="117">
        <v>967</v>
      </c>
      <c r="B970" s="118" t="s">
        <v>1878</v>
      </c>
      <c r="C970" s="119" t="s">
        <v>1879</v>
      </c>
      <c r="D970" s="119" t="s">
        <v>459</v>
      </c>
      <c r="E970" s="119" t="s">
        <v>1839</v>
      </c>
      <c r="F970" s="120">
        <v>93.0078125</v>
      </c>
      <c r="G970" s="120">
        <v>93.339312500000005</v>
      </c>
      <c r="H970" s="120">
        <v>3.67</v>
      </c>
      <c r="I970" s="117">
        <v>1192</v>
      </c>
      <c r="J970" s="119" t="s">
        <v>271</v>
      </c>
    </row>
    <row r="971" spans="1:10" x14ac:dyDescent="0.25">
      <c r="A971" s="117">
        <v>968</v>
      </c>
      <c r="B971" s="118" t="s">
        <v>1880</v>
      </c>
      <c r="C971" s="119" t="s">
        <v>1881</v>
      </c>
      <c r="D971" s="119" t="s">
        <v>459</v>
      </c>
      <c r="E971" s="119" t="s">
        <v>1839</v>
      </c>
      <c r="F971" s="120">
        <v>87.2734375</v>
      </c>
      <c r="G971" s="120">
        <v>87.402937499999993</v>
      </c>
      <c r="H971" s="120">
        <v>3.76</v>
      </c>
      <c r="I971" s="117">
        <v>1968</v>
      </c>
      <c r="J971" s="119" t="s">
        <v>271</v>
      </c>
    </row>
    <row r="972" spans="1:10" x14ac:dyDescent="0.25">
      <c r="A972" s="117">
        <v>969</v>
      </c>
      <c r="B972" s="118" t="s">
        <v>1882</v>
      </c>
      <c r="C972" s="119" t="s">
        <v>1883</v>
      </c>
      <c r="D972" s="119" t="s">
        <v>459</v>
      </c>
      <c r="E972" s="119" t="s">
        <v>1839</v>
      </c>
      <c r="F972" s="120">
        <v>99.1875</v>
      </c>
      <c r="G972" s="120">
        <v>99.262500000000003</v>
      </c>
      <c r="H972" s="120">
        <v>1</v>
      </c>
      <c r="I972" s="117">
        <v>476</v>
      </c>
      <c r="J972" s="119" t="s">
        <v>271</v>
      </c>
    </row>
    <row r="973" spans="1:10" x14ac:dyDescent="0.25">
      <c r="A973" s="117">
        <v>970</v>
      </c>
      <c r="B973" s="118" t="s">
        <v>1884</v>
      </c>
      <c r="C973" s="119" t="s">
        <v>1885</v>
      </c>
      <c r="D973" s="119" t="s">
        <v>459</v>
      </c>
      <c r="E973" s="119" t="s">
        <v>1839</v>
      </c>
      <c r="F973" s="120">
        <v>100.01266450224252</v>
      </c>
      <c r="G973" s="120">
        <v>102.46476450224252</v>
      </c>
      <c r="H973" s="120">
        <v>3.79</v>
      </c>
      <c r="I973" s="117">
        <v>4</v>
      </c>
      <c r="J973" s="119" t="s">
        <v>271</v>
      </c>
    </row>
    <row r="974" spans="1:10" x14ac:dyDescent="0.25">
      <c r="A974" s="117">
        <v>971</v>
      </c>
      <c r="B974" s="118" t="s">
        <v>1886</v>
      </c>
      <c r="C974" s="119" t="s">
        <v>1887</v>
      </c>
      <c r="D974" s="119" t="s">
        <v>459</v>
      </c>
      <c r="E974" s="119" t="s">
        <v>1839</v>
      </c>
      <c r="F974" s="120">
        <v>100.15234375</v>
      </c>
      <c r="G974" s="120">
        <v>101.72834374999999</v>
      </c>
      <c r="H974" s="120">
        <v>3.98</v>
      </c>
      <c r="I974" s="117">
        <v>65</v>
      </c>
      <c r="J974" s="119" t="s">
        <v>271</v>
      </c>
    </row>
    <row r="975" spans="1:10" x14ac:dyDescent="0.25">
      <c r="A975" s="117">
        <v>972</v>
      </c>
      <c r="B975" s="118" t="s">
        <v>1981</v>
      </c>
      <c r="C975" s="119" t="s">
        <v>1982</v>
      </c>
      <c r="D975" s="119" t="s">
        <v>459</v>
      </c>
      <c r="E975" s="119" t="s">
        <v>1839</v>
      </c>
      <c r="F975" s="120">
        <v>100.98046875</v>
      </c>
      <c r="G975" s="120">
        <v>102.67836875</v>
      </c>
      <c r="H975" s="120">
        <v>3.73</v>
      </c>
      <c r="I975" s="117">
        <v>415</v>
      </c>
      <c r="J975" s="119" t="s">
        <v>271</v>
      </c>
    </row>
    <row r="976" spans="1:10" x14ac:dyDescent="0.25">
      <c r="A976" s="117">
        <v>973</v>
      </c>
      <c r="B976" s="118" t="s">
        <v>1888</v>
      </c>
      <c r="C976" s="119" t="s">
        <v>1889</v>
      </c>
      <c r="D976" s="119" t="s">
        <v>459</v>
      </c>
      <c r="E976" s="119" t="s">
        <v>1839</v>
      </c>
      <c r="F976" s="120">
        <v>103.96875</v>
      </c>
      <c r="G976" s="120">
        <v>105.46395</v>
      </c>
      <c r="H976" s="120">
        <v>3.84</v>
      </c>
      <c r="I976" s="117">
        <v>2073</v>
      </c>
      <c r="J976" s="119" t="s">
        <v>271</v>
      </c>
    </row>
    <row r="977" spans="1:10" x14ac:dyDescent="0.25">
      <c r="A977" s="117">
        <v>974</v>
      </c>
      <c r="B977" s="118" t="s">
        <v>1890</v>
      </c>
      <c r="C977" s="119" t="s">
        <v>1891</v>
      </c>
      <c r="D977" s="119" t="s">
        <v>459</v>
      </c>
      <c r="E977" s="119" t="s">
        <v>1839</v>
      </c>
      <c r="F977" s="120">
        <v>102.09375</v>
      </c>
      <c r="G977" s="120">
        <v>103.69995</v>
      </c>
      <c r="H977" s="120">
        <v>4.08</v>
      </c>
      <c r="I977" s="117">
        <v>3153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1839</v>
      </c>
      <c r="F978" s="120">
        <v>99.922816563289345</v>
      </c>
      <c r="G978" s="120">
        <v>99.922816563289345</v>
      </c>
      <c r="H978" s="120">
        <v>4.63</v>
      </c>
      <c r="I978" s="117">
        <v>6</v>
      </c>
      <c r="J978" s="119" t="s">
        <v>271</v>
      </c>
    </row>
    <row r="979" spans="1:10" x14ac:dyDescent="0.25">
      <c r="A979" s="117">
        <v>976</v>
      </c>
      <c r="B979" s="118" t="s">
        <v>1983</v>
      </c>
      <c r="C979" s="119" t="s">
        <v>1984</v>
      </c>
      <c r="D979" s="119" t="s">
        <v>459</v>
      </c>
      <c r="E979" s="119" t="s">
        <v>1839</v>
      </c>
      <c r="F979" s="120">
        <v>100.328125</v>
      </c>
      <c r="G979" s="120">
        <v>100.657625</v>
      </c>
      <c r="H979" s="120">
        <v>3.83</v>
      </c>
      <c r="I979" s="117">
        <v>155</v>
      </c>
      <c r="J979" s="119" t="s">
        <v>271</v>
      </c>
    </row>
    <row r="980" spans="1:10" x14ac:dyDescent="0.25">
      <c r="A980" s="117">
        <v>977</v>
      </c>
      <c r="B980" s="118" t="s">
        <v>1985</v>
      </c>
      <c r="C980" s="119" t="s">
        <v>1986</v>
      </c>
      <c r="D980" s="119" t="s">
        <v>459</v>
      </c>
      <c r="E980" s="119" t="s">
        <v>1839</v>
      </c>
      <c r="F980" s="120">
        <v>100.109375</v>
      </c>
      <c r="G980" s="120">
        <v>100.77307500000001</v>
      </c>
      <c r="H980" s="120">
        <v>3.92</v>
      </c>
      <c r="I980" s="117">
        <v>127</v>
      </c>
      <c r="J980" s="119" t="s">
        <v>271</v>
      </c>
    </row>
    <row r="981" spans="1:10" x14ac:dyDescent="0.25">
      <c r="A981" s="117">
        <v>978</v>
      </c>
      <c r="B981" s="118" t="s">
        <v>2003</v>
      </c>
      <c r="C981" s="119" t="s">
        <v>2004</v>
      </c>
      <c r="D981" s="119" t="s">
        <v>459</v>
      </c>
      <c r="E981" s="119" t="s">
        <v>1839</v>
      </c>
      <c r="F981" s="120">
        <v>97.765625</v>
      </c>
      <c r="G981" s="120">
        <v>98.429024999999996</v>
      </c>
      <c r="H981" s="120">
        <v>3.72</v>
      </c>
      <c r="I981" s="117">
        <v>400</v>
      </c>
      <c r="J981" s="119" t="s">
        <v>271</v>
      </c>
    </row>
    <row r="982" spans="1:10" x14ac:dyDescent="0.25">
      <c r="A982" s="117">
        <v>979</v>
      </c>
      <c r="B982" s="118" t="s">
        <v>2005</v>
      </c>
      <c r="C982" s="119" t="s">
        <v>2006</v>
      </c>
      <c r="D982" s="119" t="s">
        <v>459</v>
      </c>
      <c r="E982" s="119" t="s">
        <v>1839</v>
      </c>
      <c r="F982" s="120">
        <v>100.578125</v>
      </c>
      <c r="G982" s="120">
        <v>102.32192499999999</v>
      </c>
      <c r="H982" s="120">
        <v>4.7</v>
      </c>
      <c r="I982" s="117">
        <v>6624</v>
      </c>
      <c r="J982" s="119" t="s">
        <v>271</v>
      </c>
    </row>
    <row r="983" spans="1:10" x14ac:dyDescent="0.25">
      <c r="A983" s="117">
        <v>980</v>
      </c>
      <c r="B983" s="118" t="s">
        <v>2179</v>
      </c>
      <c r="C983" s="119" t="s">
        <v>2180</v>
      </c>
      <c r="D983" s="119" t="s">
        <v>459</v>
      </c>
      <c r="E983" s="119" t="s">
        <v>1839</v>
      </c>
      <c r="F983" s="120">
        <v>99.610447060679022</v>
      </c>
      <c r="G983" s="120">
        <v>99.610447060679022</v>
      </c>
      <c r="H983" s="120">
        <v>4.1399999999999997</v>
      </c>
      <c r="I983" s="117">
        <v>34</v>
      </c>
      <c r="J983" s="119" t="s">
        <v>271</v>
      </c>
    </row>
    <row r="984" spans="1:10" x14ac:dyDescent="0.25">
      <c r="A984" s="117">
        <v>981</v>
      </c>
      <c r="B984" s="118" t="s">
        <v>2181</v>
      </c>
      <c r="C984" s="119" t="s">
        <v>2182</v>
      </c>
      <c r="D984" s="119" t="s">
        <v>459</v>
      </c>
      <c r="E984" s="119" t="s">
        <v>1839</v>
      </c>
      <c r="F984" s="120">
        <v>99.304865938430993</v>
      </c>
      <c r="G984" s="120">
        <v>99.304865938430993</v>
      </c>
      <c r="H984" s="120">
        <v>4</v>
      </c>
      <c r="I984" s="117">
        <v>62</v>
      </c>
      <c r="J984" s="119" t="s">
        <v>271</v>
      </c>
    </row>
    <row r="985" spans="1:10" x14ac:dyDescent="0.25">
      <c r="A985" s="117">
        <v>982</v>
      </c>
      <c r="B985" s="118" t="s">
        <v>2183</v>
      </c>
      <c r="C985" s="119" t="s">
        <v>2184</v>
      </c>
      <c r="D985" s="119" t="s">
        <v>459</v>
      </c>
      <c r="E985" s="119" t="s">
        <v>1839</v>
      </c>
      <c r="F985" s="120">
        <v>99.017553336767762</v>
      </c>
      <c r="G985" s="120">
        <v>99.017553336767762</v>
      </c>
      <c r="H985" s="120">
        <v>3.93</v>
      </c>
      <c r="I985" s="117">
        <v>90</v>
      </c>
      <c r="J985" s="119" t="s">
        <v>271</v>
      </c>
    </row>
    <row r="986" spans="1:10" x14ac:dyDescent="0.25">
      <c r="A986" s="117">
        <v>983</v>
      </c>
      <c r="B986" s="118" t="s">
        <v>2185</v>
      </c>
      <c r="C986" s="119" t="s">
        <v>2186</v>
      </c>
      <c r="D986" s="119" t="s">
        <v>459</v>
      </c>
      <c r="E986" s="119" t="s">
        <v>1839</v>
      </c>
      <c r="F986" s="120">
        <v>98.763142212123</v>
      </c>
      <c r="G986" s="120">
        <v>98.763142212123</v>
      </c>
      <c r="H986" s="120">
        <v>3.82</v>
      </c>
      <c r="I986" s="117">
        <v>116</v>
      </c>
      <c r="J986" s="119" t="s">
        <v>271</v>
      </c>
    </row>
    <row r="987" spans="1:10" x14ac:dyDescent="0.25">
      <c r="A987" s="117">
        <v>984</v>
      </c>
      <c r="B987" s="118" t="s">
        <v>2190</v>
      </c>
      <c r="C987" s="119" t="s">
        <v>2191</v>
      </c>
      <c r="D987" s="119" t="s">
        <v>459</v>
      </c>
      <c r="E987" s="119" t="s">
        <v>1839</v>
      </c>
      <c r="F987" s="120">
        <v>98.491843644198212</v>
      </c>
      <c r="G987" s="120">
        <v>98.491843644198212</v>
      </c>
      <c r="H987" s="120">
        <v>3.78</v>
      </c>
      <c r="I987" s="117">
        <v>143</v>
      </c>
      <c r="J987" s="119" t="s">
        <v>271</v>
      </c>
    </row>
    <row r="988" spans="1:10" x14ac:dyDescent="0.25">
      <c r="A988" s="117">
        <v>985</v>
      </c>
      <c r="B988" s="118" t="s">
        <v>2192</v>
      </c>
      <c r="C988" s="119" t="s">
        <v>2193</v>
      </c>
      <c r="D988" s="119" t="s">
        <v>459</v>
      </c>
      <c r="E988" s="119" t="s">
        <v>1839</v>
      </c>
      <c r="F988" s="120">
        <v>98.216176113302765</v>
      </c>
      <c r="G988" s="120">
        <v>98.216176113302765</v>
      </c>
      <c r="H988" s="120">
        <v>3.76</v>
      </c>
      <c r="I988" s="117">
        <v>173</v>
      </c>
      <c r="J988" s="119" t="s">
        <v>271</v>
      </c>
    </row>
    <row r="989" spans="1:10" x14ac:dyDescent="0.25">
      <c r="A989" s="117">
        <v>986</v>
      </c>
      <c r="B989" s="118" t="s">
        <v>2274</v>
      </c>
      <c r="C989" s="119" t="s">
        <v>2275</v>
      </c>
      <c r="D989" s="119" t="s">
        <v>459</v>
      </c>
      <c r="E989" s="119" t="s">
        <v>1839</v>
      </c>
      <c r="F989" s="120">
        <v>100.5234375</v>
      </c>
      <c r="G989" s="120">
        <v>101.1676375</v>
      </c>
      <c r="H989" s="120">
        <v>3.72</v>
      </c>
      <c r="I989" s="117">
        <v>492</v>
      </c>
      <c r="J989" s="119" t="s">
        <v>271</v>
      </c>
    </row>
    <row r="990" spans="1:10" x14ac:dyDescent="0.25">
      <c r="A990" s="117">
        <v>987</v>
      </c>
      <c r="B990" s="118" t="s">
        <v>2276</v>
      </c>
      <c r="C990" s="119" t="s">
        <v>2277</v>
      </c>
      <c r="D990" s="119" t="s">
        <v>459</v>
      </c>
      <c r="E990" s="119" t="s">
        <v>1839</v>
      </c>
      <c r="F990" s="120">
        <v>97.968427361139447</v>
      </c>
      <c r="G990" s="120">
        <v>97.968427361139447</v>
      </c>
      <c r="H990" s="120">
        <v>3.7</v>
      </c>
      <c r="I990" s="117">
        <v>200</v>
      </c>
      <c r="J990" s="119" t="s">
        <v>271</v>
      </c>
    </row>
    <row r="991" spans="1:10" x14ac:dyDescent="0.25">
      <c r="A991" s="117">
        <v>988</v>
      </c>
      <c r="B991" s="118" t="s">
        <v>2278</v>
      </c>
      <c r="C991" s="119" t="s">
        <v>2279</v>
      </c>
      <c r="D991" s="119" t="s">
        <v>459</v>
      </c>
      <c r="E991" s="119" t="s">
        <v>1839</v>
      </c>
      <c r="F991" s="120">
        <v>97.739091197495284</v>
      </c>
      <c r="G991" s="120">
        <v>97.739091197495284</v>
      </c>
      <c r="H991" s="120">
        <v>3.62</v>
      </c>
      <c r="I991" s="117">
        <v>228</v>
      </c>
      <c r="J991" s="119" t="s">
        <v>271</v>
      </c>
    </row>
    <row r="992" spans="1:10" x14ac:dyDescent="0.25">
      <c r="A992" s="117">
        <v>989</v>
      </c>
      <c r="B992" s="118" t="s">
        <v>1837</v>
      </c>
      <c r="C992" s="119" t="s">
        <v>1838</v>
      </c>
      <c r="D992" s="119" t="s">
        <v>459</v>
      </c>
      <c r="E992" s="119" t="s">
        <v>1839</v>
      </c>
      <c r="F992" s="120">
        <v>108.890625</v>
      </c>
      <c r="G992" s="120">
        <v>109.59542500000001</v>
      </c>
      <c r="H992" s="120">
        <v>3.65</v>
      </c>
      <c r="I992" s="117">
        <v>1419</v>
      </c>
      <c r="J992" s="119" t="s">
        <v>271</v>
      </c>
    </row>
    <row r="993" spans="1:10" x14ac:dyDescent="0.25">
      <c r="A993" s="117">
        <v>990</v>
      </c>
      <c r="B993" s="118" t="s">
        <v>1840</v>
      </c>
      <c r="C993" s="119" t="s">
        <v>1841</v>
      </c>
      <c r="D993" s="119" t="s">
        <v>459</v>
      </c>
      <c r="E993" s="119" t="s">
        <v>1839</v>
      </c>
      <c r="F993" s="120">
        <v>86.59375</v>
      </c>
      <c r="G993" s="120">
        <v>86.914950000000005</v>
      </c>
      <c r="H993" s="120">
        <v>3.77</v>
      </c>
      <c r="I993" s="117">
        <v>1876</v>
      </c>
      <c r="J993" s="119" t="s">
        <v>271</v>
      </c>
    </row>
    <row r="994" spans="1:10" x14ac:dyDescent="0.25">
      <c r="A994" s="117">
        <v>991</v>
      </c>
      <c r="B994" s="118" t="s">
        <v>1842</v>
      </c>
      <c r="C994" s="119" t="s">
        <v>1843</v>
      </c>
      <c r="D994" s="119" t="s">
        <v>459</v>
      </c>
      <c r="E994" s="119" t="s">
        <v>1839</v>
      </c>
      <c r="F994" s="120">
        <v>77.84375</v>
      </c>
      <c r="G994" s="120">
        <v>78.945149999999998</v>
      </c>
      <c r="H994" s="120">
        <v>4.78</v>
      </c>
      <c r="I994" s="117">
        <v>6990</v>
      </c>
      <c r="J994" s="119" t="s">
        <v>271</v>
      </c>
    </row>
    <row r="995" spans="1:10" x14ac:dyDescent="0.25">
      <c r="A995" s="117">
        <v>992</v>
      </c>
      <c r="B995" s="118" t="s">
        <v>1844</v>
      </c>
      <c r="C995" s="119" t="s">
        <v>1845</v>
      </c>
      <c r="D995" s="119" t="s">
        <v>459</v>
      </c>
      <c r="E995" s="119" t="s">
        <v>1839</v>
      </c>
      <c r="F995" s="120">
        <v>73.828125</v>
      </c>
      <c r="G995" s="120">
        <v>74.654124999999993</v>
      </c>
      <c r="H995" s="120">
        <v>4.62</v>
      </c>
      <c r="I995" s="117">
        <v>5710</v>
      </c>
      <c r="J995" s="119" t="s">
        <v>271</v>
      </c>
    </row>
    <row r="996" spans="1:10" x14ac:dyDescent="0.25">
      <c r="A996" s="117">
        <v>993</v>
      </c>
      <c r="B996" s="118" t="s">
        <v>1846</v>
      </c>
      <c r="C996" s="119" t="s">
        <v>1847</v>
      </c>
      <c r="D996" s="119" t="s">
        <v>459</v>
      </c>
      <c r="E996" s="119" t="s">
        <v>1839</v>
      </c>
      <c r="F996" s="120">
        <v>98.80078125</v>
      </c>
      <c r="G996" s="120">
        <v>98.859381249999998</v>
      </c>
      <c r="H996" s="120">
        <v>3.88</v>
      </c>
      <c r="I996" s="117">
        <v>127</v>
      </c>
      <c r="J996" s="119" t="s">
        <v>271</v>
      </c>
    </row>
    <row r="997" spans="1:10" x14ac:dyDescent="0.25">
      <c r="A997" s="117">
        <v>994</v>
      </c>
      <c r="B997" s="118" t="s">
        <v>1848</v>
      </c>
      <c r="C997" s="119" t="s">
        <v>1849</v>
      </c>
      <c r="D997" s="119" t="s">
        <v>459</v>
      </c>
      <c r="E997" s="119" t="s">
        <v>1839</v>
      </c>
      <c r="F997" s="120">
        <v>99.903442402539852</v>
      </c>
      <c r="G997" s="120">
        <v>101.12814240253985</v>
      </c>
      <c r="H997" s="120">
        <v>3.99</v>
      </c>
      <c r="I997" s="117">
        <v>35</v>
      </c>
      <c r="J997" s="119" t="s">
        <v>271</v>
      </c>
    </row>
    <row r="998" spans="1:10" x14ac:dyDescent="0.25">
      <c r="A998" s="117">
        <v>995</v>
      </c>
      <c r="B998" s="118" t="s">
        <v>1850</v>
      </c>
      <c r="C998" s="119" t="s">
        <v>1851</v>
      </c>
      <c r="D998" s="119" t="s">
        <v>459</v>
      </c>
      <c r="E998" s="119" t="s">
        <v>1839</v>
      </c>
      <c r="F998" s="120">
        <v>87.984375</v>
      </c>
      <c r="G998" s="120">
        <v>89.452875000000006</v>
      </c>
      <c r="H998" s="120">
        <v>4.8</v>
      </c>
      <c r="I998" s="117">
        <v>9912</v>
      </c>
      <c r="J998" s="119" t="s">
        <v>271</v>
      </c>
    </row>
    <row r="999" spans="1:10" x14ac:dyDescent="0.25">
      <c r="A999" s="117">
        <v>996</v>
      </c>
      <c r="B999" s="118" t="s">
        <v>1852</v>
      </c>
      <c r="C999" s="119" t="s">
        <v>1853</v>
      </c>
      <c r="D999" s="119" t="s">
        <v>459</v>
      </c>
      <c r="E999" s="119" t="s">
        <v>1839</v>
      </c>
      <c r="F999" s="120">
        <v>98.4609375</v>
      </c>
      <c r="G999" s="120">
        <v>98.828737500000003</v>
      </c>
      <c r="H999" s="120">
        <v>3.83</v>
      </c>
      <c r="I999" s="117">
        <v>186</v>
      </c>
      <c r="J999" s="119" t="s">
        <v>271</v>
      </c>
    </row>
    <row r="1000" spans="1:10" x14ac:dyDescent="0.25">
      <c r="A1000" s="117">
        <v>997</v>
      </c>
      <c r="B1000" s="118" t="s">
        <v>1854</v>
      </c>
      <c r="C1000" s="119" t="s">
        <v>1855</v>
      </c>
      <c r="D1000" s="119" t="s">
        <v>459</v>
      </c>
      <c r="E1000" s="119" t="s">
        <v>1839</v>
      </c>
      <c r="F1000" s="120">
        <v>97.84765625</v>
      </c>
      <c r="G1000" s="120">
        <v>98.058656249999999</v>
      </c>
      <c r="H1000" s="120">
        <v>3.78</v>
      </c>
      <c r="I1000" s="117">
        <v>277</v>
      </c>
      <c r="J1000" s="119" t="s">
        <v>271</v>
      </c>
    </row>
    <row r="1001" spans="1:10" x14ac:dyDescent="0.25">
      <c r="A1001" s="117">
        <v>998</v>
      </c>
      <c r="B1001" s="118" t="s">
        <v>1856</v>
      </c>
      <c r="C1001" s="119" t="s">
        <v>1857</v>
      </c>
      <c r="D1001" s="119" t="s">
        <v>459</v>
      </c>
      <c r="E1001" s="119" t="s">
        <v>1839</v>
      </c>
      <c r="F1001" s="120">
        <v>100.01649437450293</v>
      </c>
      <c r="G1001" s="120">
        <v>101.14529437450292</v>
      </c>
      <c r="H1001" s="120">
        <v>3.9</v>
      </c>
      <c r="I1001" s="117">
        <v>80</v>
      </c>
      <c r="J1001" s="119" t="s">
        <v>271</v>
      </c>
    </row>
    <row r="1002" spans="1:10" x14ac:dyDescent="0.25">
      <c r="A1002" s="117">
        <v>999</v>
      </c>
      <c r="B1002" s="118" t="s">
        <v>1858</v>
      </c>
      <c r="C1002" s="119" t="s">
        <v>1859</v>
      </c>
      <c r="D1002" s="119" t="s">
        <v>459</v>
      </c>
      <c r="E1002" s="119" t="s">
        <v>1839</v>
      </c>
      <c r="F1002" s="120">
        <v>99.98585258972615</v>
      </c>
      <c r="G1002" s="120">
        <v>101.45705258972616</v>
      </c>
      <c r="H1002" s="120">
        <v>4.2699999999999996</v>
      </c>
      <c r="I1002" s="117">
        <v>4</v>
      </c>
      <c r="J1002" s="119" t="s">
        <v>271</v>
      </c>
    </row>
    <row r="1003" spans="1:10" x14ac:dyDescent="0.25">
      <c r="A1003" s="117">
        <v>1000</v>
      </c>
      <c r="B1003" s="118" t="s">
        <v>1860</v>
      </c>
      <c r="C1003" s="119" t="s">
        <v>1861</v>
      </c>
      <c r="D1003" s="119" t="s">
        <v>459</v>
      </c>
      <c r="E1003" s="119" t="s">
        <v>1839</v>
      </c>
      <c r="F1003" s="120">
        <v>93.875</v>
      </c>
      <c r="G1003" s="120">
        <v>94.930499999999995</v>
      </c>
      <c r="H1003" s="120">
        <v>3.93</v>
      </c>
      <c r="I1003" s="117">
        <v>2423</v>
      </c>
      <c r="J1003" s="119" t="s">
        <v>271</v>
      </c>
    </row>
    <row r="1004" spans="1:10" x14ac:dyDescent="0.25">
      <c r="A1004" s="117">
        <v>1001</v>
      </c>
      <c r="B1004" s="118" t="s">
        <v>1892</v>
      </c>
      <c r="C1004" s="119" t="s">
        <v>1893</v>
      </c>
      <c r="D1004" s="119" t="s">
        <v>459</v>
      </c>
      <c r="E1004" s="119" t="s">
        <v>2111</v>
      </c>
      <c r="F1004" s="120">
        <v>100</v>
      </c>
      <c r="G1004" s="120">
        <v>100.0078</v>
      </c>
      <c r="H1004" s="120">
        <v>0.35</v>
      </c>
      <c r="I1004" s="117">
        <v>292</v>
      </c>
      <c r="J1004" s="119" t="s">
        <v>271</v>
      </c>
    </row>
    <row r="1005" spans="1:10" x14ac:dyDescent="0.25">
      <c r="A1005" s="117">
        <v>1002</v>
      </c>
      <c r="B1005" s="118" t="s">
        <v>1894</v>
      </c>
      <c r="C1005" s="119" t="s">
        <v>1895</v>
      </c>
      <c r="D1005" s="119" t="s">
        <v>459</v>
      </c>
      <c r="E1005" s="119" t="s">
        <v>2111</v>
      </c>
      <c r="F1005" s="120">
        <v>100</v>
      </c>
      <c r="G1005" s="120">
        <v>100.14879999999999</v>
      </c>
      <c r="H1005" s="120">
        <v>0.35</v>
      </c>
      <c r="I1005" s="117">
        <v>27</v>
      </c>
      <c r="J1005" s="119" t="s">
        <v>271</v>
      </c>
    </row>
    <row r="1006" spans="1:10" x14ac:dyDescent="0.25">
      <c r="A1006" s="117">
        <v>1003</v>
      </c>
      <c r="B1006" s="118" t="s">
        <v>2295</v>
      </c>
      <c r="C1006" s="119" t="s">
        <v>2296</v>
      </c>
      <c r="D1006" s="119" t="s">
        <v>459</v>
      </c>
      <c r="E1006" s="119" t="s">
        <v>2111</v>
      </c>
      <c r="F1006" s="120">
        <v>100</v>
      </c>
      <c r="G1006" s="120">
        <v>100.0681</v>
      </c>
      <c r="H1006" s="120">
        <v>0.35</v>
      </c>
      <c r="I1006" s="117">
        <v>650</v>
      </c>
      <c r="J1006" s="119" t="s">
        <v>271</v>
      </c>
    </row>
    <row r="1007" spans="1:10" x14ac:dyDescent="0.25">
      <c r="A1007" s="117">
        <v>1004</v>
      </c>
      <c r="B1007" s="118" t="s">
        <v>1896</v>
      </c>
      <c r="C1007" s="119" t="s">
        <v>1897</v>
      </c>
      <c r="D1007" s="119" t="s">
        <v>459</v>
      </c>
      <c r="E1007" s="119" t="s">
        <v>2111</v>
      </c>
      <c r="F1007" s="120">
        <v>100</v>
      </c>
      <c r="G1007" s="120">
        <v>100.0039</v>
      </c>
      <c r="H1007" s="120">
        <v>0.02</v>
      </c>
      <c r="I1007" s="117">
        <v>3064</v>
      </c>
      <c r="J1007" s="119" t="s">
        <v>271</v>
      </c>
    </row>
    <row r="1008" spans="1:10" x14ac:dyDescent="0.25">
      <c r="A1008" s="117">
        <v>1005</v>
      </c>
      <c r="B1008" s="118" t="s">
        <v>2371</v>
      </c>
      <c r="C1008" s="119" t="s">
        <v>2372</v>
      </c>
      <c r="D1008" s="119" t="s">
        <v>459</v>
      </c>
      <c r="E1008" s="119" t="s">
        <v>2111</v>
      </c>
      <c r="F1008" s="120">
        <v>90.801101472639161</v>
      </c>
      <c r="G1008" s="120">
        <v>93.632201472639167</v>
      </c>
      <c r="H1008" s="120">
        <v>20.38</v>
      </c>
      <c r="I1008" s="117">
        <v>3544</v>
      </c>
      <c r="J1008" s="119" t="s">
        <v>271</v>
      </c>
    </row>
    <row r="1009" spans="1:10" x14ac:dyDescent="0.25">
      <c r="A1009" s="117">
        <v>1006</v>
      </c>
      <c r="B1009" s="118" t="s">
        <v>2430</v>
      </c>
      <c r="C1009" s="119" t="s">
        <v>2431</v>
      </c>
      <c r="D1009" s="119" t="s">
        <v>459</v>
      </c>
      <c r="E1009" s="119" t="s">
        <v>2111</v>
      </c>
      <c r="F1009" s="120">
        <v>93.779675840159854</v>
      </c>
      <c r="G1009" s="120">
        <v>95.197175840159844</v>
      </c>
      <c r="H1009" s="120">
        <v>20.38</v>
      </c>
      <c r="I1009" s="117">
        <v>3573</v>
      </c>
      <c r="J1009" s="119" t="s">
        <v>271</v>
      </c>
    </row>
    <row r="1010" spans="1:10" x14ac:dyDescent="0.25">
      <c r="A1010" s="117">
        <v>1007</v>
      </c>
      <c r="B1010" s="118" t="s">
        <v>2466</v>
      </c>
      <c r="C1010" s="119" t="s">
        <v>2467</v>
      </c>
      <c r="D1010" s="119" t="s">
        <v>459</v>
      </c>
      <c r="E1010" s="119" t="s">
        <v>2111</v>
      </c>
      <c r="F1010" s="120">
        <v>93.749796632952638</v>
      </c>
      <c r="G1010" s="120">
        <v>94.957296632952634</v>
      </c>
      <c r="H1010" s="120">
        <v>20.39</v>
      </c>
      <c r="I1010" s="117">
        <v>3577</v>
      </c>
      <c r="J1010" s="119" t="s">
        <v>271</v>
      </c>
    </row>
    <row r="1011" spans="1:10" x14ac:dyDescent="0.25">
      <c r="A1011" s="117">
        <v>1008</v>
      </c>
      <c r="B1011" s="118" t="s">
        <v>1898</v>
      </c>
      <c r="C1011" s="119" t="s">
        <v>1899</v>
      </c>
      <c r="D1011" s="119" t="s">
        <v>449</v>
      </c>
      <c r="E1011" s="119" t="s">
        <v>1900</v>
      </c>
      <c r="F1011" s="120">
        <v>0.01</v>
      </c>
      <c r="G1011" s="120">
        <v>0.01</v>
      </c>
      <c r="H1011" s="120">
        <v>0</v>
      </c>
      <c r="I1011" s="117">
        <v>0</v>
      </c>
      <c r="J1011" s="119" t="s">
        <v>240</v>
      </c>
    </row>
    <row r="1012" spans="1:10" x14ac:dyDescent="0.25">
      <c r="A1012" s="117">
        <v>1009</v>
      </c>
      <c r="B1012" s="118" t="s">
        <v>1901</v>
      </c>
      <c r="C1012" s="119" t="s">
        <v>1902</v>
      </c>
      <c r="D1012" s="119" t="s">
        <v>449</v>
      </c>
      <c r="E1012" s="119" t="s">
        <v>1900</v>
      </c>
      <c r="F1012" s="120">
        <v>28000</v>
      </c>
      <c r="G1012" s="120">
        <v>28000</v>
      </c>
      <c r="H1012" s="120">
        <v>0</v>
      </c>
      <c r="I1012" s="117">
        <v>0</v>
      </c>
      <c r="J1012" s="119" t="s">
        <v>240</v>
      </c>
    </row>
    <row r="1013" spans="1:10" x14ac:dyDescent="0.25">
      <c r="A1013" s="117">
        <v>1010</v>
      </c>
      <c r="B1013" s="118" t="s">
        <v>2220</v>
      </c>
      <c r="C1013" s="119" t="s">
        <v>2221</v>
      </c>
      <c r="D1013" s="119" t="s">
        <v>459</v>
      </c>
      <c r="E1013" s="119" t="s">
        <v>2222</v>
      </c>
      <c r="F1013" s="120">
        <v>98.535847298332072</v>
      </c>
      <c r="G1013" s="120">
        <v>99.849747298332062</v>
      </c>
      <c r="H1013" s="120">
        <v>22.22</v>
      </c>
      <c r="I1013" s="117">
        <v>968</v>
      </c>
      <c r="J1013" s="119" t="s">
        <v>271</v>
      </c>
    </row>
    <row r="1014" spans="1:10" x14ac:dyDescent="0.25">
      <c r="A1014" s="117">
        <v>1011</v>
      </c>
      <c r="B1014" s="118" t="s">
        <v>2207</v>
      </c>
      <c r="C1014" s="119" t="s">
        <v>2208</v>
      </c>
      <c r="D1014" s="119" t="s">
        <v>459</v>
      </c>
      <c r="E1014" s="119" t="s">
        <v>1903</v>
      </c>
      <c r="F1014" s="120">
        <v>100</v>
      </c>
      <c r="G1014" s="120">
        <v>100.1157</v>
      </c>
      <c r="H1014" s="120">
        <v>0.35</v>
      </c>
      <c r="I1014" s="117">
        <v>601</v>
      </c>
      <c r="J1014" s="119" t="s">
        <v>271</v>
      </c>
    </row>
    <row r="1015" spans="1:10" x14ac:dyDescent="0.25">
      <c r="A1015" s="117">
        <v>1012</v>
      </c>
      <c r="B1015" s="118" t="s">
        <v>1904</v>
      </c>
      <c r="C1015" s="119" t="s">
        <v>1905</v>
      </c>
      <c r="D1015" s="119" t="s">
        <v>459</v>
      </c>
      <c r="E1015" s="119" t="s">
        <v>1903</v>
      </c>
      <c r="F1015" s="120">
        <v>100</v>
      </c>
      <c r="G1015" s="120">
        <v>100.00539999999999</v>
      </c>
      <c r="H1015" s="120">
        <v>0.02</v>
      </c>
      <c r="I1015" s="117">
        <v>3064</v>
      </c>
      <c r="J1015" s="119" t="s">
        <v>271</v>
      </c>
    </row>
    <row r="1016" spans="1:10" x14ac:dyDescent="0.25">
      <c r="A1016" s="117">
        <v>1013</v>
      </c>
      <c r="B1016" s="118" t="s">
        <v>1906</v>
      </c>
      <c r="C1016" s="119" t="s">
        <v>1907</v>
      </c>
      <c r="D1016" s="119" t="s">
        <v>459</v>
      </c>
      <c r="E1016" s="119" t="s">
        <v>1903</v>
      </c>
      <c r="F1016" s="120">
        <v>100</v>
      </c>
      <c r="G1016" s="120">
        <v>100.00579999999999</v>
      </c>
      <c r="H1016" s="120">
        <v>0.02</v>
      </c>
      <c r="I1016" s="117">
        <v>3064</v>
      </c>
      <c r="J1016" s="119" t="s">
        <v>271</v>
      </c>
    </row>
    <row r="1017" spans="1:10" x14ac:dyDescent="0.25">
      <c r="A1017" s="117">
        <v>1014</v>
      </c>
      <c r="B1017" s="118" t="s">
        <v>1908</v>
      </c>
      <c r="C1017" s="119" t="s">
        <v>1909</v>
      </c>
      <c r="D1017" s="119" t="s">
        <v>459</v>
      </c>
      <c r="E1017" s="119" t="s">
        <v>1903</v>
      </c>
      <c r="F1017" s="120">
        <v>100</v>
      </c>
      <c r="G1017" s="120">
        <v>101.5419</v>
      </c>
      <c r="H1017" s="120">
        <v>6.08</v>
      </c>
      <c r="I1017" s="117">
        <v>1679</v>
      </c>
      <c r="J1017" s="119" t="s">
        <v>271</v>
      </c>
    </row>
    <row r="1018" spans="1:10" x14ac:dyDescent="0.25">
      <c r="A1018" s="117">
        <v>1015</v>
      </c>
      <c r="B1018" s="118" t="s">
        <v>1910</v>
      </c>
      <c r="C1018" s="119" t="s">
        <v>1911</v>
      </c>
      <c r="D1018" s="119" t="s">
        <v>459</v>
      </c>
      <c r="E1018" s="119" t="s">
        <v>1903</v>
      </c>
      <c r="F1018" s="120">
        <v>100</v>
      </c>
      <c r="G1018" s="120">
        <v>106.48860000000001</v>
      </c>
      <c r="H1018" s="120">
        <v>7.08</v>
      </c>
      <c r="I1018" s="117">
        <v>2161</v>
      </c>
      <c r="J1018" s="119" t="s">
        <v>271</v>
      </c>
    </row>
    <row r="1019" spans="1:10" x14ac:dyDescent="0.25">
      <c r="A1019" s="117">
        <v>1016</v>
      </c>
      <c r="B1019" s="118" t="s">
        <v>2307</v>
      </c>
      <c r="C1019" s="119" t="s">
        <v>2308</v>
      </c>
      <c r="D1019" s="119" t="s">
        <v>459</v>
      </c>
      <c r="E1019" s="119" t="s">
        <v>1903</v>
      </c>
      <c r="F1019" s="120">
        <v>90.811325946194501</v>
      </c>
      <c r="G1019" s="120">
        <v>94.249125946194511</v>
      </c>
      <c r="H1019" s="120">
        <v>20.37</v>
      </c>
      <c r="I1019" s="117">
        <v>3532</v>
      </c>
      <c r="J1019" s="119" t="s">
        <v>271</v>
      </c>
    </row>
    <row r="1020" spans="1:10" x14ac:dyDescent="0.25">
      <c r="A1020" s="117">
        <v>1017</v>
      </c>
      <c r="B1020" s="118" t="s">
        <v>2373</v>
      </c>
      <c r="C1020" s="119" t="s">
        <v>2374</v>
      </c>
      <c r="D1020" s="119" t="s">
        <v>459</v>
      </c>
      <c r="E1020" s="119" t="s">
        <v>1903</v>
      </c>
      <c r="F1020" s="120">
        <v>90.801101472639161</v>
      </c>
      <c r="G1020" s="120">
        <v>93.632201472639167</v>
      </c>
      <c r="H1020" s="120">
        <v>20.38</v>
      </c>
      <c r="I1020" s="117">
        <v>3544</v>
      </c>
      <c r="J1020" s="119" t="s">
        <v>271</v>
      </c>
    </row>
    <row r="1021" spans="1:10" x14ac:dyDescent="0.25">
      <c r="A1021" s="117">
        <v>1018</v>
      </c>
      <c r="B1021" s="118" t="s">
        <v>2432</v>
      </c>
      <c r="C1021" s="119" t="s">
        <v>2433</v>
      </c>
      <c r="D1021" s="119" t="s">
        <v>459</v>
      </c>
      <c r="E1021" s="119" t="s">
        <v>1903</v>
      </c>
      <c r="F1021" s="120">
        <v>93.779675840159854</v>
      </c>
      <c r="G1021" s="120">
        <v>95.197175840159844</v>
      </c>
      <c r="H1021" s="120">
        <v>20.38</v>
      </c>
      <c r="I1021" s="117">
        <v>3573</v>
      </c>
      <c r="J1021" s="119" t="s">
        <v>271</v>
      </c>
    </row>
    <row r="1022" spans="1:10" x14ac:dyDescent="0.25">
      <c r="A1022" s="117">
        <v>1019</v>
      </c>
      <c r="B1022" s="118" t="s">
        <v>2434</v>
      </c>
      <c r="C1022" s="119" t="s">
        <v>2435</v>
      </c>
      <c r="D1022" s="119" t="s">
        <v>459</v>
      </c>
      <c r="E1022" s="119" t="s">
        <v>1903</v>
      </c>
      <c r="F1022" s="120">
        <v>93.779675840159854</v>
      </c>
      <c r="G1022" s="120">
        <v>95.197175840159844</v>
      </c>
      <c r="H1022" s="120">
        <v>20.38</v>
      </c>
      <c r="I1022" s="117">
        <v>3573</v>
      </c>
      <c r="J1022" s="119" t="s">
        <v>271</v>
      </c>
    </row>
    <row r="1023" spans="1:10" x14ac:dyDescent="0.25">
      <c r="A1023" s="117">
        <v>1020</v>
      </c>
      <c r="B1023" s="118" t="s">
        <v>1912</v>
      </c>
      <c r="C1023" s="119" t="s">
        <v>1913</v>
      </c>
      <c r="D1023" s="119" t="s">
        <v>459</v>
      </c>
      <c r="E1023" s="119" t="s">
        <v>1903</v>
      </c>
      <c r="F1023" s="120">
        <v>100</v>
      </c>
      <c r="G1023" s="120">
        <v>100.71169999999999</v>
      </c>
      <c r="H1023" s="120">
        <v>6.09</v>
      </c>
      <c r="I1023" s="117">
        <v>2088</v>
      </c>
      <c r="J1023" s="119" t="s">
        <v>271</v>
      </c>
    </row>
    <row r="1024" spans="1:10" x14ac:dyDescent="0.25">
      <c r="A1024" s="117">
        <v>1021</v>
      </c>
      <c r="B1024" s="118" t="s">
        <v>1914</v>
      </c>
      <c r="C1024" s="119" t="s">
        <v>1915</v>
      </c>
      <c r="D1024" s="119" t="s">
        <v>459</v>
      </c>
      <c r="E1024" s="119" t="s">
        <v>1903</v>
      </c>
      <c r="F1024" s="120">
        <v>100</v>
      </c>
      <c r="G1024" s="120">
        <v>105.65940000000001</v>
      </c>
      <c r="H1024" s="120">
        <v>6.09</v>
      </c>
      <c r="I1024" s="117">
        <v>2516</v>
      </c>
      <c r="J1024" s="119" t="s">
        <v>271</v>
      </c>
    </row>
    <row r="1025" spans="1:10" x14ac:dyDescent="0.25">
      <c r="A1025" s="117">
        <v>1022</v>
      </c>
      <c r="B1025" s="118" t="s">
        <v>1916</v>
      </c>
      <c r="C1025" s="119" t="s">
        <v>1917</v>
      </c>
      <c r="D1025" s="119" t="s">
        <v>459</v>
      </c>
      <c r="E1025" s="119" t="s">
        <v>1903</v>
      </c>
      <c r="F1025" s="120">
        <v>100</v>
      </c>
      <c r="G1025" s="120">
        <v>105.65940000000001</v>
      </c>
      <c r="H1025" s="120">
        <v>6.09</v>
      </c>
      <c r="I1025" s="117">
        <v>2516</v>
      </c>
      <c r="J1025" s="119" t="s">
        <v>271</v>
      </c>
    </row>
    <row r="1026" spans="1:10" x14ac:dyDescent="0.25">
      <c r="A1026" s="117">
        <v>1023</v>
      </c>
      <c r="B1026" s="118" t="s">
        <v>1918</v>
      </c>
      <c r="C1026" s="119" t="s">
        <v>1919</v>
      </c>
      <c r="D1026" s="119" t="s">
        <v>459</v>
      </c>
      <c r="E1026" s="119" t="s">
        <v>1903</v>
      </c>
      <c r="F1026" s="120">
        <v>100</v>
      </c>
      <c r="G1026" s="120">
        <v>104.52419999999999</v>
      </c>
      <c r="H1026" s="120">
        <v>6.08</v>
      </c>
      <c r="I1026" s="117">
        <v>2583</v>
      </c>
      <c r="J1026" s="119" t="s">
        <v>271</v>
      </c>
    </row>
    <row r="1027" spans="1:10" x14ac:dyDescent="0.25">
      <c r="A1027" s="117">
        <v>1024</v>
      </c>
      <c r="B1027" s="118" t="s">
        <v>1920</v>
      </c>
      <c r="C1027" s="119" t="s">
        <v>1921</v>
      </c>
      <c r="D1027" s="119" t="s">
        <v>449</v>
      </c>
      <c r="E1027" s="119" t="s">
        <v>1922</v>
      </c>
      <c r="F1027" s="120">
        <v>23594.732650000002</v>
      </c>
      <c r="G1027" s="120">
        <v>23594.732650000002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1923</v>
      </c>
      <c r="C1028" s="119" t="s">
        <v>1924</v>
      </c>
      <c r="D1028" s="119" t="s">
        <v>759</v>
      </c>
      <c r="E1028" s="119" t="s">
        <v>1925</v>
      </c>
      <c r="F1028" s="120">
        <v>42434.715750000003</v>
      </c>
      <c r="G1028" s="120">
        <v>42434.715750000003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1926</v>
      </c>
      <c r="C1029" s="119" t="s">
        <v>1927</v>
      </c>
      <c r="D1029" s="119" t="s">
        <v>759</v>
      </c>
      <c r="E1029" s="119" t="s">
        <v>1925</v>
      </c>
      <c r="F1029" s="120">
        <v>46763.626349999999</v>
      </c>
      <c r="G1029" s="120">
        <v>46763.626349999999</v>
      </c>
      <c r="H1029" s="120">
        <v>0</v>
      </c>
      <c r="I1029" s="117">
        <v>0</v>
      </c>
      <c r="J1029" s="119" t="s">
        <v>240</v>
      </c>
    </row>
    <row r="1030" spans="1:10" x14ac:dyDescent="0.25">
      <c r="A1030" s="117">
        <v>1027</v>
      </c>
      <c r="B1030" s="118" t="s">
        <v>1928</v>
      </c>
      <c r="C1030" s="119" t="s">
        <v>1929</v>
      </c>
      <c r="D1030" s="119" t="s">
        <v>449</v>
      </c>
      <c r="E1030" s="119" t="s">
        <v>1930</v>
      </c>
      <c r="F1030" s="120">
        <v>62337.940049999997</v>
      </c>
      <c r="G1030" s="120">
        <v>62337.940049999997</v>
      </c>
      <c r="H1030" s="120">
        <v>0</v>
      </c>
      <c r="I1030" s="117">
        <v>0</v>
      </c>
      <c r="J1030" s="119" t="s">
        <v>240</v>
      </c>
    </row>
    <row r="1031" spans="1:10" x14ac:dyDescent="0.25">
      <c r="A1031" s="117">
        <v>1028</v>
      </c>
      <c r="B1031" s="118" t="s">
        <v>1931</v>
      </c>
      <c r="C1031" s="119" t="s">
        <v>1932</v>
      </c>
      <c r="D1031" s="119" t="s">
        <v>449</v>
      </c>
      <c r="E1031" s="119" t="s">
        <v>1933</v>
      </c>
      <c r="F1031" s="120">
        <v>1000</v>
      </c>
      <c r="G1031" s="120">
        <v>1000</v>
      </c>
      <c r="H1031" s="120">
        <v>0</v>
      </c>
      <c r="I1031" s="117">
        <v>0</v>
      </c>
      <c r="J1031" s="119" t="s">
        <v>240</v>
      </c>
    </row>
    <row r="1032" spans="1:10" x14ac:dyDescent="0.25">
      <c r="A1032" s="117">
        <v>1029</v>
      </c>
      <c r="B1032" s="118" t="s">
        <v>1934</v>
      </c>
      <c r="C1032" s="119" t="s">
        <v>1935</v>
      </c>
      <c r="D1032" s="119" t="s">
        <v>449</v>
      </c>
      <c r="E1032" s="119" t="s">
        <v>1936</v>
      </c>
      <c r="F1032" s="120">
        <v>0.01</v>
      </c>
      <c r="G1032" s="120">
        <v>0.01</v>
      </c>
      <c r="H1032" s="120">
        <v>0</v>
      </c>
      <c r="I1032" s="117">
        <v>2789</v>
      </c>
      <c r="J1032" s="119" t="s">
        <v>240</v>
      </c>
    </row>
    <row r="1033" spans="1:10" x14ac:dyDescent="0.25">
      <c r="A1033" s="117">
        <v>1030</v>
      </c>
      <c r="B1033" s="118" t="s">
        <v>1937</v>
      </c>
      <c r="C1033" s="119" t="s">
        <v>1938</v>
      </c>
      <c r="D1033" s="119" t="s">
        <v>449</v>
      </c>
      <c r="E1033" s="119" t="s">
        <v>1936</v>
      </c>
      <c r="F1033" s="120">
        <v>0.01</v>
      </c>
      <c r="G1033" s="120">
        <v>0.01</v>
      </c>
      <c r="H1033" s="120">
        <v>0</v>
      </c>
      <c r="I1033" s="117">
        <v>2628</v>
      </c>
      <c r="J1033" s="119" t="s">
        <v>240</v>
      </c>
    </row>
    <row r="1034" spans="1:10" x14ac:dyDescent="0.25">
      <c r="A1034" s="117">
        <v>1031</v>
      </c>
      <c r="B1034" s="118" t="s">
        <v>1939</v>
      </c>
      <c r="C1034" s="119" t="s">
        <v>1940</v>
      </c>
      <c r="D1034" s="119" t="s">
        <v>459</v>
      </c>
      <c r="E1034" s="119" t="s">
        <v>1941</v>
      </c>
      <c r="F1034" s="120">
        <v>100</v>
      </c>
      <c r="G1034" s="120">
        <v>100.791</v>
      </c>
      <c r="H1034" s="120">
        <v>4.2300000000000004</v>
      </c>
      <c r="I1034" s="117">
        <v>233</v>
      </c>
      <c r="J1034" s="119" t="s">
        <v>271</v>
      </c>
    </row>
    <row r="1035" spans="1:10" x14ac:dyDescent="0.25">
      <c r="A1035" s="117">
        <v>1032</v>
      </c>
      <c r="B1035" s="118" t="s">
        <v>1942</v>
      </c>
      <c r="C1035" s="119" t="s">
        <v>1943</v>
      </c>
      <c r="D1035" s="119" t="s">
        <v>459</v>
      </c>
      <c r="E1035" s="119" t="s">
        <v>1941</v>
      </c>
      <c r="F1035" s="120">
        <v>100</v>
      </c>
      <c r="G1035" s="120">
        <v>100.1138</v>
      </c>
      <c r="H1035" s="120">
        <v>0.35</v>
      </c>
      <c r="I1035" s="117">
        <v>63</v>
      </c>
      <c r="J1035" s="119" t="s">
        <v>271</v>
      </c>
    </row>
    <row r="1036" spans="1:10" x14ac:dyDescent="0.25">
      <c r="A1036" s="117">
        <v>1033</v>
      </c>
      <c r="B1036" s="118" t="s">
        <v>1944</v>
      </c>
      <c r="C1036" s="119" t="s">
        <v>1945</v>
      </c>
      <c r="D1036" s="119" t="s">
        <v>459</v>
      </c>
      <c r="E1036" s="119" t="s">
        <v>1941</v>
      </c>
      <c r="F1036" s="120">
        <v>100</v>
      </c>
      <c r="G1036" s="120">
        <v>100.1254</v>
      </c>
      <c r="H1036" s="120">
        <v>0.35</v>
      </c>
      <c r="I1036" s="117">
        <v>231</v>
      </c>
      <c r="J1036" s="119" t="s">
        <v>271</v>
      </c>
    </row>
    <row r="1037" spans="1:10" x14ac:dyDescent="0.25">
      <c r="A1037" s="117">
        <v>1034</v>
      </c>
      <c r="B1037" s="118" t="s">
        <v>2131</v>
      </c>
      <c r="C1037" s="119" t="s">
        <v>2132</v>
      </c>
      <c r="D1037" s="119" t="s">
        <v>459</v>
      </c>
      <c r="E1037" s="119" t="s">
        <v>1941</v>
      </c>
      <c r="F1037" s="120">
        <v>100</v>
      </c>
      <c r="G1037" s="120">
        <v>100.1536</v>
      </c>
      <c r="H1037" s="120">
        <v>0.35</v>
      </c>
      <c r="I1037" s="117">
        <v>562</v>
      </c>
      <c r="J1037" s="119" t="s">
        <v>271</v>
      </c>
    </row>
    <row r="1038" spans="1:10" x14ac:dyDescent="0.25">
      <c r="A1038" s="117">
        <v>1035</v>
      </c>
      <c r="B1038" s="118" t="s">
        <v>2297</v>
      </c>
      <c r="C1038" s="119" t="s">
        <v>2298</v>
      </c>
      <c r="D1038" s="119" t="s">
        <v>459</v>
      </c>
      <c r="E1038" s="119" t="s">
        <v>1941</v>
      </c>
      <c r="F1038" s="120">
        <v>100</v>
      </c>
      <c r="G1038" s="120">
        <v>100.0681</v>
      </c>
      <c r="H1038" s="120">
        <v>0.35</v>
      </c>
      <c r="I1038" s="117">
        <v>650</v>
      </c>
      <c r="J1038" s="119" t="s">
        <v>271</v>
      </c>
    </row>
    <row r="1039" spans="1:10" x14ac:dyDescent="0.25">
      <c r="A1039" s="117">
        <v>1036</v>
      </c>
      <c r="B1039" s="118" t="s">
        <v>1946</v>
      </c>
      <c r="C1039" s="119" t="s">
        <v>1947</v>
      </c>
      <c r="D1039" s="119" t="s">
        <v>459</v>
      </c>
      <c r="E1039" s="119" t="s">
        <v>1941</v>
      </c>
      <c r="F1039" s="120">
        <v>100</v>
      </c>
      <c r="G1039" s="120">
        <v>100.00539999999999</v>
      </c>
      <c r="H1039" s="120">
        <v>0.02</v>
      </c>
      <c r="I1039" s="117">
        <v>3064</v>
      </c>
      <c r="J1039" s="119" t="s">
        <v>271</v>
      </c>
    </row>
    <row r="1040" spans="1:10" x14ac:dyDescent="0.25">
      <c r="A1040" s="117">
        <v>1037</v>
      </c>
      <c r="B1040" s="118" t="s">
        <v>1948</v>
      </c>
      <c r="C1040" s="119" t="s">
        <v>1949</v>
      </c>
      <c r="D1040" s="119" t="s">
        <v>459</v>
      </c>
      <c r="E1040" s="119" t="s">
        <v>1941</v>
      </c>
      <c r="F1040" s="120">
        <v>100</v>
      </c>
      <c r="G1040" s="120">
        <v>101.5419</v>
      </c>
      <c r="H1040" s="120">
        <v>6.08</v>
      </c>
      <c r="I1040" s="117">
        <v>1679</v>
      </c>
      <c r="J1040" s="119" t="s">
        <v>271</v>
      </c>
    </row>
    <row r="1041" spans="1:10" x14ac:dyDescent="0.25">
      <c r="A1041" s="117">
        <v>1038</v>
      </c>
      <c r="B1041" s="118" t="s">
        <v>1950</v>
      </c>
      <c r="C1041" s="119" t="s">
        <v>1951</v>
      </c>
      <c r="D1041" s="119" t="s">
        <v>459</v>
      </c>
      <c r="E1041" s="119" t="s">
        <v>1941</v>
      </c>
      <c r="F1041" s="120">
        <v>100</v>
      </c>
      <c r="G1041" s="120">
        <v>106.48860000000001</v>
      </c>
      <c r="H1041" s="120">
        <v>7.08</v>
      </c>
      <c r="I1041" s="117">
        <v>2161</v>
      </c>
      <c r="J1041" s="119" t="s">
        <v>271</v>
      </c>
    </row>
    <row r="1042" spans="1:10" x14ac:dyDescent="0.25">
      <c r="A1042" s="117">
        <v>1039</v>
      </c>
      <c r="B1042" s="118" t="s">
        <v>2309</v>
      </c>
      <c r="C1042" s="119" t="s">
        <v>2310</v>
      </c>
      <c r="D1042" s="119" t="s">
        <v>459</v>
      </c>
      <c r="E1042" s="119" t="s">
        <v>1941</v>
      </c>
      <c r="F1042" s="120">
        <v>90.811325946194501</v>
      </c>
      <c r="G1042" s="120">
        <v>94.249125946194511</v>
      </c>
      <c r="H1042" s="120">
        <v>20.37</v>
      </c>
      <c r="I1042" s="117">
        <v>3532</v>
      </c>
      <c r="J1042" s="119" t="s">
        <v>271</v>
      </c>
    </row>
    <row r="1043" spans="1:10" x14ac:dyDescent="0.25">
      <c r="A1043" s="117">
        <v>1040</v>
      </c>
      <c r="B1043" s="118" t="s">
        <v>2436</v>
      </c>
      <c r="C1043" s="119" t="s">
        <v>2437</v>
      </c>
      <c r="D1043" s="119" t="s">
        <v>459</v>
      </c>
      <c r="E1043" s="119" t="s">
        <v>1941</v>
      </c>
      <c r="F1043" s="120">
        <v>93.779675840159854</v>
      </c>
      <c r="G1043" s="120">
        <v>95.197175840159844</v>
      </c>
      <c r="H1043" s="120">
        <v>20.38</v>
      </c>
      <c r="I1043" s="117">
        <v>3573</v>
      </c>
      <c r="J1043" s="119" t="s">
        <v>271</v>
      </c>
    </row>
    <row r="1044" spans="1:10" x14ac:dyDescent="0.25">
      <c r="A1044" s="117">
        <v>1041</v>
      </c>
      <c r="B1044" s="118" t="s">
        <v>1952</v>
      </c>
      <c r="C1044" s="119" t="s">
        <v>1953</v>
      </c>
      <c r="D1044" s="119" t="s">
        <v>459</v>
      </c>
      <c r="E1044" s="119" t="s">
        <v>1941</v>
      </c>
      <c r="F1044" s="120">
        <v>100</v>
      </c>
      <c r="G1044" s="120">
        <v>100.71169999999999</v>
      </c>
      <c r="H1044" s="120">
        <v>6.09</v>
      </c>
      <c r="I1044" s="117">
        <v>2088</v>
      </c>
      <c r="J1044" s="119" t="s">
        <v>271</v>
      </c>
    </row>
    <row r="1045" spans="1:10" x14ac:dyDescent="0.25">
      <c r="A1045" s="117">
        <v>1042</v>
      </c>
      <c r="B1045" s="118" t="s">
        <v>1954</v>
      </c>
      <c r="C1045" s="119" t="s">
        <v>1955</v>
      </c>
      <c r="D1045" s="119" t="s">
        <v>459</v>
      </c>
      <c r="E1045" s="119" t="s">
        <v>1941</v>
      </c>
      <c r="F1045" s="120">
        <v>100</v>
      </c>
      <c r="G1045" s="120">
        <v>105.65940000000001</v>
      </c>
      <c r="H1045" s="120">
        <v>6.09</v>
      </c>
      <c r="I1045" s="117">
        <v>2516</v>
      </c>
      <c r="J1045" s="119" t="s">
        <v>271</v>
      </c>
    </row>
    <row r="1046" spans="1:10" x14ac:dyDescent="0.25">
      <c r="A1046" s="117">
        <v>1043</v>
      </c>
      <c r="B1046" s="118" t="s">
        <v>1956</v>
      </c>
      <c r="C1046" s="119" t="s">
        <v>1957</v>
      </c>
      <c r="D1046" s="119" t="s">
        <v>459</v>
      </c>
      <c r="E1046" s="119" t="s">
        <v>1941</v>
      </c>
      <c r="F1046" s="120">
        <v>100</v>
      </c>
      <c r="G1046" s="120">
        <v>105.65940000000001</v>
      </c>
      <c r="H1046" s="120">
        <v>6.09</v>
      </c>
      <c r="I1046" s="117">
        <v>2516</v>
      </c>
      <c r="J1046" s="119" t="s">
        <v>271</v>
      </c>
    </row>
    <row r="1047" spans="1:10" x14ac:dyDescent="0.25">
      <c r="A1047" s="117">
        <v>1044</v>
      </c>
      <c r="B1047" s="118" t="s">
        <v>2476</v>
      </c>
      <c r="C1047" s="119" t="s">
        <v>2477</v>
      </c>
      <c r="D1047" s="119" t="s">
        <v>459</v>
      </c>
      <c r="E1047" s="119" t="s">
        <v>1941</v>
      </c>
      <c r="F1047" s="120">
        <v>93.337496661594471</v>
      </c>
      <c r="G1047" s="120">
        <v>94.544996661594482</v>
      </c>
      <c r="H1047" s="120">
        <v>20.32</v>
      </c>
      <c r="I1047" s="117">
        <v>5377</v>
      </c>
      <c r="J1047" s="119" t="s">
        <v>271</v>
      </c>
    </row>
  </sheetData>
  <conditionalFormatting sqref="A4:A1047">
    <cfRule type="expression" dxfId="5" priority="9" stopIfTrue="1">
      <formula>A4&lt;&gt;""</formula>
    </cfRule>
  </conditionalFormatting>
  <conditionalFormatting sqref="A5:A1047">
    <cfRule type="expression" dxfId="4" priority="10" stopIfTrue="1">
      <formula>С4&lt;&gt;""</formula>
    </cfRule>
  </conditionalFormatting>
  <conditionalFormatting sqref="F4:I1047">
    <cfRule type="expression" dxfId="3" priority="1" stopIfTrue="1">
      <formula>F4&lt;&gt;""</formula>
    </cfRule>
  </conditionalFormatting>
  <conditionalFormatting sqref="G4:G1047">
    <cfRule type="expression" dxfId="2" priority="4" stopIfTrue="1">
      <formula>G&lt;&gt;""</formula>
    </cfRule>
  </conditionalFormatting>
  <conditionalFormatting sqref="H4:H1047">
    <cfRule type="expression" dxfId="1" priority="6" stopIfTrue="1">
      <formula>H&lt;&gt;""</formula>
    </cfRule>
  </conditionalFormatting>
  <conditionalFormatting sqref="I4:I104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26.09.25</vt:lpstr>
      <vt:lpstr>Риск цены за 26.09.25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2025-09-29T09:59:07Z</dcterms:modified>
</cp:coreProperties>
</file>