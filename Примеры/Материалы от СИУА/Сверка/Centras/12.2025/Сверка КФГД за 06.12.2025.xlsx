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BA379825-71D5-45E7-A7BA-4B587448C2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5.12.25" sheetId="2" r:id="rId2"/>
    <sheet name="Риск цены за 05.12.25" sheetId="4" r:id="rId3"/>
  </sheets>
  <definedNames>
    <definedName name="_xlnm._FilterDatabase" localSheetId="1" hidden="1">'KASE за 05.12.25'!#REF!</definedName>
    <definedName name="_xlnm._FilterDatabase" localSheetId="0" hidden="1">ДУ!$A$69:$T$69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1" l="1"/>
  <c r="I83" i="1"/>
  <c r="O78" i="1"/>
  <c r="O63" i="1"/>
  <c r="D66" i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B97" i="1"/>
  <c r="B96" i="1"/>
  <c r="B93" i="1"/>
  <c r="J78" i="1"/>
  <c r="I78" i="1"/>
  <c r="C78" i="1"/>
  <c r="J60" i="1"/>
  <c r="I60" i="1"/>
  <c r="J25" i="1"/>
  <c r="I25" i="1"/>
  <c r="J24" i="1"/>
  <c r="I24" i="1"/>
  <c r="J37" i="1"/>
  <c r="I37" i="1"/>
  <c r="J36" i="1"/>
  <c r="I36" i="1"/>
  <c r="J6" i="1"/>
  <c r="I6" i="1"/>
  <c r="I20" i="1"/>
  <c r="J20" i="1"/>
  <c r="J19" i="1"/>
  <c r="I19" i="1"/>
  <c r="J18" i="1"/>
  <c r="I18" i="1"/>
  <c r="J17" i="1"/>
  <c r="I17" i="1"/>
  <c r="J16" i="1"/>
  <c r="I16" i="1"/>
  <c r="J15" i="1"/>
  <c r="J14" i="1"/>
  <c r="I15" i="1"/>
  <c r="I14" i="1"/>
  <c r="M78" i="1" l="1"/>
  <c r="L78" i="1"/>
  <c r="J62" i="1"/>
  <c r="I62" i="1"/>
  <c r="K63" i="1" l="1"/>
  <c r="D62" i="1"/>
  <c r="L62" i="1" l="1"/>
  <c r="N62" i="1"/>
  <c r="O62" i="1" s="1"/>
  <c r="J51" i="1" l="1"/>
  <c r="I51" i="1"/>
  <c r="J42" i="1" l="1"/>
  <c r="I42" i="1"/>
  <c r="J23" i="1"/>
  <c r="I23" i="1"/>
  <c r="G84" i="1"/>
  <c r="J26" i="1" l="1"/>
  <c r="J27" i="1"/>
  <c r="J28" i="1"/>
  <c r="I26" i="1"/>
  <c r="I27" i="1"/>
  <c r="I28" i="1"/>
  <c r="J41" i="1"/>
  <c r="I41" i="1"/>
  <c r="J45" i="1"/>
  <c r="I45" i="1"/>
  <c r="J52" i="1"/>
  <c r="I52" i="1"/>
  <c r="B101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3" i="1" l="1"/>
  <c r="D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86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</calcChain>
</file>

<file path=xl/sharedStrings.xml><?xml version="1.0" encoding="utf-8"?>
<sst xmlns="http://schemas.openxmlformats.org/spreadsheetml/2006/main" count="6983" uniqueCount="3068">
  <si>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</si>
  <si>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</si>
  <si>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</si>
  <si>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</si>
  <si>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</si>
  <si>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</si>
  <si>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</si>
  <si>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</si>
  <si>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</si>
  <si>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</si>
  <si>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</si>
  <si>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</si>
  <si>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</si>
  <si>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</si>
  <si>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</si>
  <si>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</si>
  <si>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</si>
  <si>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</si>
  <si>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</si>
  <si>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</si>
  <si>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</si>
  <si>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</si>
  <si>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</si>
  <si>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</si>
  <si>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</si>
  <si>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</si>
  <si>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</si>
  <si>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</si>
  <si>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</si>
  <si>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</si>
  <si>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</si>
  <si>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</si>
  <si>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</si>
  <si>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</si>
  <si>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</si>
  <si>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</si>
  <si>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</si>
  <si>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</si>
  <si>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</si>
  <si>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</si>
  <si>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</si>
  <si>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</si>
  <si>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</si>
  <si>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</si>
  <si>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</si>
  <si>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</si>
  <si>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</si>
  <si>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</si>
  <si>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</si>
  <si>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</si>
  <si>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</si>
  <si>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</si>
  <si>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</si>
  <si>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</si>
  <si>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</si>
  <si>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</si>
  <si>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</si>
  <si>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</si>
  <si>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</si>
  <si>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</si>
  <si>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</si>
  <si>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</si>
  <si>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</si>
  <si>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</si>
  <si>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</si>
  <si>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</si>
  <si>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</si>
  <si>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</si>
  <si>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</si>
  <si>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</si>
  <si>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</si>
  <si>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</si>
  <si>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</si>
  <si>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</si>
  <si>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</si>
  <si>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</si>
  <si>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</si>
  <si>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</si>
  <si>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</si>
  <si>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</si>
  <si>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</si>
  <si>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</si>
  <si>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</si>
  <si>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</si>
  <si>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</si>
  <si>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</si>
  <si>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</si>
  <si>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</si>
  <si>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</si>
  <si>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</si>
  <si>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</si>
  <si>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</si>
  <si>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</si>
  <si>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</si>
  <si>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</si>
  <si>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</si>
  <si>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</si>
  <si>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</si>
  <si>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</si>
  <si>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</si>
  <si>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</si>
  <si>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</si>
  <si>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</si>
  <si>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</si>
  <si>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</si>
  <si>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</si>
  <si>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</si>
  <si>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</si>
  <si>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</si>
  <si>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</si>
  <si>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</si>
  <si>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</si>
  <si>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</si>
  <si>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</si>
  <si>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</si>
  <si>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</si>
  <si>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</si>
  <si>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</si>
  <si>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</si>
  <si>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</si>
  <si>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</si>
  <si>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</si>
  <si>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</si>
  <si>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</si>
  <si>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</si>
  <si>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</si>
  <si>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</si>
  <si>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</si>
  <si>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</si>
  <si>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</si>
  <si>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</si>
  <si>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</si>
  <si>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</si>
  <si>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</si>
  <si>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</si>
  <si>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</si>
  <si>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</si>
  <si>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</si>
  <si>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</si>
  <si>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</si>
  <si>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</si>
  <si>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</si>
  <si>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</si>
  <si>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</si>
  <si>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</si>
  <si>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</si>
  <si>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</si>
  <si>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</si>
  <si>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</si>
  <si>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</si>
  <si>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</si>
  <si>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</si>
  <si>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</si>
  <si>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</si>
  <si>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</si>
  <si>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</si>
  <si>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</si>
  <si>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</si>
  <si>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</si>
  <si>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</si>
  <si>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</si>
  <si>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</si>
  <si>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</si>
  <si>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</si>
  <si>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</si>
  <si>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</si>
  <si>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</si>
  <si>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</si>
  <si>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</si>
  <si>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</si>
  <si>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</si>
  <si>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</si>
  <si>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</si>
  <si>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</si>
  <si>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</si>
  <si>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</si>
  <si>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</si>
  <si>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</si>
  <si>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</si>
  <si>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</si>
  <si>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</si>
  <si>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</si>
  <si>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</si>
  <si>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</si>
  <si>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</si>
  <si>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</si>
  <si>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</si>
  <si>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</si>
  <si>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</si>
  <si>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</si>
  <si>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</si>
  <si>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</si>
  <si>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</si>
  <si>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</si>
  <si>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</si>
  <si>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</si>
  <si>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</si>
  <si>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</si>
  <si>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</si>
  <si>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</si>
  <si>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</si>
  <si>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</si>
  <si>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</si>
  <si>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</si>
  <si>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</si>
  <si>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</si>
  <si>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</si>
  <si>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</si>
  <si>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</si>
  <si>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</si>
  <si>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</si>
  <si>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</si>
  <si>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</si>
  <si>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</si>
  <si>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</si>
  <si>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</si>
  <si>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</si>
  <si>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</si>
  <si>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</si>
  <si>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</si>
  <si>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</si>
  <si>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</si>
  <si>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</si>
  <si>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</si>
  <si>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</si>
  <si>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</si>
  <si>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</si>
  <si>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</si>
  <si>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</si>
  <si>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</si>
  <si>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</si>
  <si>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</si>
  <si>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</si>
  <si>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</si>
  <si>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</si>
  <si>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</si>
  <si>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</si>
  <si>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</si>
  <si>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</si>
  <si>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</si>
  <si>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</si>
  <si>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</si>
  <si>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</si>
  <si>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</si>
  <si>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</si>
  <si>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</si>
  <si>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</si>
  <si>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</si>
  <si>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</si>
  <si>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</si>
  <si>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</si>
  <si>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</si>
  <si>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</si>
  <si>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</si>
  <si>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</si>
  <si>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</si>
  <si>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</si>
  <si>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</si>
  <si>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</si>
  <si>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</si>
  <si>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</si>
  <si>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</si>
  <si>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</si>
  <si>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</si>
  <si>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</si>
  <si>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</si>
  <si>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</si>
  <si>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</si>
  <si>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</si>
  <si>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</si>
  <si>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</si>
  <si>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</si>
  <si>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</si>
  <si>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</si>
  <si>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</si>
  <si>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</si>
  <si>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</si>
  <si>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</si>
  <si>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</si>
  <si>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</si>
  <si>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</si>
  <si>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</si>
  <si>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</si>
  <si>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</si>
  <si>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</si>
  <si>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</si>
  <si>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</si>
  <si>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</si>
  <si>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</si>
  <si>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</si>
  <si>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</si>
  <si>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</si>
  <si>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</si>
  <si>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</si>
  <si>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</si>
  <si>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</si>
  <si>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</si>
  <si>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</si>
  <si>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</si>
  <si>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</si>
  <si>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</si>
  <si>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</si>
  <si>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</si>
  <si>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</si>
  <si>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</si>
  <si>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</si>
  <si>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</si>
  <si>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</si>
  <si>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</si>
  <si>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</si>
  <si>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</si>
  <si>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</si>
  <si>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</si>
  <si>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</si>
  <si>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</si>
  <si>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</si>
  <si>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</si>
  <si>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</si>
  <si>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</si>
  <si>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</si>
  <si>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</si>
  <si>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</si>
  <si>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</si>
  <si>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</si>
  <si>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</si>
  <si>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</si>
  <si>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</si>
  <si>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</si>
  <si>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</si>
  <si>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</si>
  <si>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</si>
  <si>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</si>
  <si>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</si>
  <si>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</si>
  <si>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</si>
  <si>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</si>
  <si>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</si>
  <si>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</si>
  <si>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</si>
  <si>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</si>
  <si>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</si>
  <si>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</si>
  <si>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</si>
  <si>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</si>
  <si>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</si>
  <si>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</si>
  <si>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</si>
  <si>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</si>
  <si>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</si>
  <si>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</si>
  <si>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</si>
  <si>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</si>
  <si>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</si>
  <si>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</si>
  <si>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</si>
  <si>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</si>
  <si>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</si>
  <si>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</si>
  <si>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</si>
  <si>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</si>
  <si>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</si>
  <si>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</si>
  <si>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</si>
  <si>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</si>
  <si>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</si>
  <si>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</si>
  <si>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</si>
  <si>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</si>
  <si>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</si>
  <si>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</si>
  <si>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</si>
  <si>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</si>
  <si>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</si>
  <si>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</si>
  <si>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</si>
  <si>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</si>
  <si>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</si>
  <si>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</si>
  <si>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</si>
  <si>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</si>
  <si>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</si>
  <si>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</si>
  <si>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</si>
  <si>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</si>
  <si>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</si>
  <si>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</si>
  <si>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</si>
  <si>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</si>
  <si>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</si>
  <si>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</si>
  <si>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</si>
  <si>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</si>
  <si>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</si>
  <si>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</si>
  <si>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</si>
  <si>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</si>
  <si>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</si>
  <si>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</si>
  <si>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</si>
  <si>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</si>
  <si>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</si>
  <si>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</si>
  <si>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</si>
  <si>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</si>
  <si>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</si>
  <si>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</si>
  <si>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</si>
  <si>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</si>
  <si>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</si>
  <si>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</si>
  <si>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</si>
  <si>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</si>
  <si>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</si>
  <si>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</si>
  <si>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</si>
  <si>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</si>
  <si>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</si>
  <si>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</si>
  <si>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</si>
  <si>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</si>
  <si>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</si>
  <si>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</si>
  <si>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</si>
  <si>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</si>
  <si>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</si>
  <si>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</si>
  <si>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</si>
  <si>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</si>
  <si>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</si>
  <si>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</si>
  <si>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</si>
  <si>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</si>
  <si>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</si>
  <si>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</si>
  <si>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</si>
  <si>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</si>
  <si>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</si>
  <si>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</si>
  <si>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</si>
  <si>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</si>
  <si>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</si>
  <si>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</si>
  <si>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</si>
  <si>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</si>
  <si>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</si>
  <si>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</si>
  <si>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</si>
  <si>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</si>
  <si>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</si>
  <si>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</si>
  <si>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</si>
  <si>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</si>
  <si>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</si>
  <si>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</si>
  <si>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</si>
  <si>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</si>
  <si>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</si>
  <si>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</si>
  <si>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</si>
  <si>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</si>
  <si>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</si>
  <si>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</si>
  <si>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</si>
  <si>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</si>
  <si>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</si>
  <si>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</si>
  <si>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</si>
  <si>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</si>
  <si>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</si>
  <si>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</si>
  <si>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</si>
  <si>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</si>
  <si>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</si>
  <si>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</si>
  <si>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</si>
  <si>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</si>
  <si>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</si>
  <si>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</si>
  <si>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</si>
  <si>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</si>
  <si>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</si>
  <si>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</si>
  <si>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</si>
  <si>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</si>
  <si>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</si>
  <si>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</si>
  <si>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</si>
  <si>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</si>
  <si>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</si>
  <si>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</si>
  <si>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</si>
  <si>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</si>
  <si>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</si>
  <si>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</si>
  <si>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</si>
  <si>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</si>
  <si>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</si>
  <si>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</si>
  <si>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</si>
  <si>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</si>
  <si>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</si>
  <si>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</si>
  <si>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</si>
  <si>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</si>
  <si>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</si>
  <si>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</si>
  <si>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</si>
  <si>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</si>
  <si>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</si>
  <si>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</si>
  <si>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</si>
  <si>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</si>
  <si>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</si>
  <si>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</si>
  <si>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</si>
  <si>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</si>
  <si>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</si>
  <si>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</si>
  <si>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</si>
  <si>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</si>
  <si>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</si>
  <si>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</si>
  <si>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</si>
  <si>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</si>
  <si>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</si>
  <si>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</si>
  <si>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</si>
  <si>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</si>
  <si>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</si>
  <si>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</si>
  <si>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</si>
  <si>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</si>
  <si>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</si>
  <si>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</si>
  <si>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</si>
  <si>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</si>
  <si>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</si>
  <si>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</si>
  <si>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</si>
  <si>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</si>
  <si>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</si>
  <si>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</si>
  <si>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</si>
  <si>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</si>
  <si>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</si>
  <si>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</si>
  <si>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</si>
  <si>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</si>
  <si>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</si>
  <si>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</si>
  <si>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</si>
  <si>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</si>
  <si>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</si>
  <si>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</si>
  <si>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</si>
  <si>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</si>
  <si>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</si>
  <si>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</si>
  <si>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</si>
  <si>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</si>
  <si>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</si>
  <si>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</si>
  <si>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</si>
  <si>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</si>
  <si>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</si>
  <si>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</si>
  <si>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</si>
  <si>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</si>
  <si>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</si>
  <si>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</si>
  <si>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</si>
  <si>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</si>
  <si>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</si>
  <si>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</si>
  <si>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</si>
  <si>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</si>
  <si>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</si>
  <si>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</si>
  <si>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</si>
  <si>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</si>
  <si>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</si>
  <si>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</si>
  <si>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</si>
  <si>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</si>
  <si>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</si>
  <si>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</si>
  <si>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</si>
  <si>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</si>
  <si>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</si>
  <si>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</si>
  <si>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</si>
  <si>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</si>
  <si>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</si>
  <si>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</si>
  <si>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</si>
  <si>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</si>
  <si>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</si>
  <si>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</si>
  <si>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</si>
  <si>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</si>
  <si>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</si>
  <si>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</si>
  <si>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</si>
  <si>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</si>
  <si>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</si>
  <si>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</si>
  <si>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</si>
  <si>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</si>
  <si>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</si>
  <si>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</si>
  <si>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</si>
  <si>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</si>
  <si>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</si>
  <si>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</si>
  <si>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</si>
  <si>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</si>
  <si>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</si>
  <si>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</si>
  <si>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</si>
  <si>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</si>
  <si>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</si>
  <si>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</si>
  <si>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</si>
  <si>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</si>
  <si>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</si>
  <si>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</si>
  <si>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</si>
  <si>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</si>
  <si>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</si>
  <si>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</si>
  <si>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</si>
  <si>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</si>
  <si>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</si>
  <si>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</si>
  <si>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</si>
  <si>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</si>
  <si>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</si>
  <si>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</si>
  <si>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</si>
  <si>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</si>
  <si>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</si>
  <si>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</si>
  <si>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</si>
  <si>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</si>
  <si>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</si>
  <si>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</si>
  <si>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</si>
  <si>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</si>
  <si>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</si>
  <si>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</si>
  <si>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</si>
  <si>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</si>
  <si>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</si>
  <si>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</si>
  <si>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</si>
  <si>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</si>
  <si>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</si>
  <si>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</si>
  <si>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</si>
  <si>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</si>
  <si>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</si>
  <si>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</si>
  <si>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</si>
  <si>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</si>
  <si>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</si>
  <si>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</si>
  <si>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</si>
  <si>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</si>
  <si>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</si>
  <si>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</si>
  <si>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</si>
  <si>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</si>
  <si>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</si>
  <si>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</si>
  <si>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</si>
  <si>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</si>
  <si>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</si>
  <si>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</si>
  <si>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</si>
  <si>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</si>
  <si>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</si>
  <si>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</si>
  <si>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</si>
  <si>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</si>
  <si>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</si>
  <si>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</si>
  <si>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</si>
  <si>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</si>
  <si>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</si>
  <si>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</si>
  <si>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</si>
  <si>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</si>
  <si>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</si>
  <si>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</si>
  <si>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</si>
  <si>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</si>
  <si>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</si>
  <si>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</si>
  <si>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</si>
  <si>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</si>
  <si>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</si>
  <si>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</si>
  <si>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</si>
  <si>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</si>
  <si>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</si>
  <si>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</si>
  <si>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</si>
  <si>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</si>
  <si>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</si>
  <si>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</si>
  <si>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</si>
  <si>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</si>
  <si>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</si>
  <si>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</si>
  <si>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</si>
  <si>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</si>
  <si>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</si>
  <si>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</si>
  <si>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</si>
  <si>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</si>
  <si>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</si>
  <si>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</si>
  <si>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</si>
  <si>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</si>
  <si>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</si>
  <si>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</si>
  <si>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</si>
  <si>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</si>
  <si>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</si>
  <si>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</si>
  <si>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</si>
  <si>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</si>
  <si>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</si>
  <si>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</si>
  <si>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</si>
  <si>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</si>
  <si>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</si>
  <si>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</si>
  <si>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</si>
  <si>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</si>
  <si>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</si>
  <si>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</si>
  <si>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</si>
  <si>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</si>
  <si>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</si>
  <si>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</si>
  <si>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</si>
  <si>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</si>
  <si>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</si>
  <si>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</si>
  <si>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</si>
  <si>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</si>
  <si>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</si>
  <si>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</si>
  <si>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</si>
  <si>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</si>
  <si>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</si>
  <si>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</si>
  <si>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</si>
  <si>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</si>
  <si>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</si>
  <si>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</si>
  <si>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</si>
  <si>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</si>
  <si>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</si>
  <si>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</si>
  <si>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</si>
  <si>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</si>
  <si>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</si>
  <si>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</si>
  <si>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</si>
  <si>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</si>
  <si>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</si>
  <si>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</si>
  <si>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</si>
  <si>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</si>
  <si>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</si>
  <si>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</si>
  <si>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</si>
  <si>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</si>
  <si>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</si>
  <si>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</si>
  <si>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</si>
  <si>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</si>
  <si>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</si>
  <si>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</si>
  <si>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</si>
  <si>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</si>
  <si>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</si>
  <si>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</si>
  <si>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</si>
  <si>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</si>
  <si>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</si>
  <si>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</si>
  <si>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</si>
  <si>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</si>
  <si>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</si>
  <si>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</si>
  <si>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</si>
  <si>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</si>
  <si>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</si>
  <si>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</si>
  <si>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</si>
  <si>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</si>
  <si>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</si>
  <si>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</si>
  <si>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</si>
  <si>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</si>
  <si>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</si>
  <si>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</si>
  <si>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</si>
  <si>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</si>
  <si>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</si>
  <si>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</si>
  <si>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</si>
  <si>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</si>
  <si>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</si>
  <si>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</si>
  <si>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</si>
  <si>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</si>
  <si>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</si>
  <si>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</si>
  <si>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</si>
  <si>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</si>
  <si>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</si>
  <si>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</si>
  <si>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</si>
  <si>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</si>
  <si>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</si>
  <si>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</si>
  <si>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</si>
  <si>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</si>
  <si>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</si>
  <si>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</si>
  <si>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</si>
  <si>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</si>
  <si>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</si>
  <si>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</si>
  <si>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</si>
  <si>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</si>
  <si>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</si>
  <si>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</si>
  <si>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</si>
  <si>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</si>
  <si>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</si>
  <si>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</si>
  <si>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</si>
  <si>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</si>
  <si>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</si>
  <si>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</si>
  <si>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</si>
  <si>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</si>
  <si>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</si>
  <si>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</si>
  <si>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</si>
  <si>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</si>
  <si>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</si>
  <si>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</si>
  <si>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</si>
  <si>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</si>
  <si>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</si>
  <si>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</si>
  <si>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</si>
  <si>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</si>
  <si>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</si>
  <si>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</si>
  <si>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</si>
  <si>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</si>
  <si>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</si>
  <si>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</si>
  <si>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</si>
  <si>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</si>
  <si>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</si>
  <si>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</si>
  <si>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</si>
  <si>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</si>
  <si>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</si>
  <si>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</si>
  <si>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</si>
  <si>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</si>
  <si>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</si>
  <si>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</si>
  <si>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</si>
  <si>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</si>
  <si>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</si>
  <si>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</si>
  <si>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</si>
  <si>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</si>
  <si>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</si>
  <si>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</si>
  <si>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</si>
  <si>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</si>
  <si>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</si>
  <si>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</si>
  <si>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</si>
  <si>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</si>
  <si>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</si>
  <si>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</si>
  <si>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</si>
  <si>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</si>
  <si>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</si>
  <si>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</si>
  <si>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</si>
  <si>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</si>
  <si>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</si>
  <si>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</si>
  <si>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</si>
  <si>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</si>
  <si>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</si>
  <si>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</si>
  <si>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</si>
  <si>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</si>
  <si>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</si>
  <si>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</si>
  <si>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</si>
  <si>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</si>
  <si>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</si>
  <si>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</si>
  <si>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</si>
  <si>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</si>
  <si>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</si>
  <si>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</si>
  <si>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</si>
  <si>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</si>
  <si>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</si>
  <si>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</si>
  <si>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</si>
  <si>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</si>
  <si>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</si>
  <si>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</si>
  <si>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</si>
  <si>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</si>
  <si>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</si>
  <si>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</si>
  <si>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</si>
  <si>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</si>
  <si>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</si>
  <si>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</si>
  <si>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</si>
  <si>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</si>
  <si>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</si>
  <si>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</si>
  <si>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</si>
  <si>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</si>
  <si>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</si>
  <si>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</si>
  <si>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</si>
  <si>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</si>
  <si>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</si>
  <si>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</si>
  <si>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</si>
  <si>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</si>
  <si>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</si>
  <si>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</si>
  <si>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</si>
  <si>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</si>
  <si>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</si>
  <si>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</si>
  <si>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</si>
  <si>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</si>
  <si>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</si>
  <si>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</si>
  <si>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</si>
  <si>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</si>
  <si>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</si>
  <si>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</si>
  <si>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</si>
  <si>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</si>
  <si>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</si>
  <si>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</si>
  <si>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</si>
  <si>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</si>
  <si>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</si>
  <si>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</si>
  <si>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</si>
  <si>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</si>
  <si>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</si>
  <si>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</si>
  <si>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</si>
  <si>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</si>
  <si>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</si>
  <si>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</si>
  <si>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</si>
  <si>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</si>
  <si>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</si>
  <si>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</si>
  <si>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</si>
  <si>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</si>
  <si>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</si>
  <si>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</si>
  <si>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</si>
  <si>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</si>
  <si>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</si>
  <si>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</si>
  <si>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</si>
  <si>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</si>
  <si>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</si>
  <si>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</si>
  <si>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</si>
  <si>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</si>
  <si>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</si>
  <si>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</si>
  <si>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</si>
  <si>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</si>
  <si>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</si>
  <si>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</si>
  <si>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</si>
  <si>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</si>
  <si>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</si>
  <si>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</si>
  <si>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</si>
  <si>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</si>
  <si>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</si>
  <si>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</si>
  <si>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</si>
  <si>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</si>
  <si>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</si>
  <si>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</si>
  <si>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</si>
  <si>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</si>
  <si>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</si>
  <si>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</si>
  <si>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</si>
  <si>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</si>
  <si>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</si>
  <si>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</si>
  <si>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</si>
  <si>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</si>
  <si>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</si>
  <si>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</si>
  <si>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</si>
  <si>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</si>
  <si>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</si>
  <si>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</si>
  <si>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</si>
  <si>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</si>
  <si>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</si>
  <si>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</si>
  <si>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</si>
  <si>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</si>
  <si>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</si>
  <si>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</si>
  <si>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</si>
  <si>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</si>
  <si>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</si>
  <si>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</si>
  <si>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</si>
  <si>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</si>
  <si>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</si>
  <si>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</si>
  <si>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</si>
  <si>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</si>
  <si>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</si>
  <si>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</si>
  <si>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</si>
  <si>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</si>
  <si>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</si>
  <si>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</si>
  <si>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</si>
  <si>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</si>
  <si>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</si>
  <si>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</si>
  <si>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</si>
  <si>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</si>
  <si>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</si>
  <si>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</si>
  <si>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</si>
  <si>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</si>
  <si>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</si>
  <si>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</si>
  <si>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</si>
  <si>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</si>
  <si>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</si>
  <si>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</si>
  <si>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</si>
  <si>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</si>
  <si>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</si>
  <si>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</si>
  <si>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</si>
  <si>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</si>
  <si>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</si>
  <si>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</si>
  <si>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</si>
  <si>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</si>
  <si>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</si>
  <si>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</si>
  <si>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</si>
  <si>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</si>
  <si>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</si>
  <si>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</si>
  <si>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</si>
  <si>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</si>
  <si>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</si>
  <si>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</si>
  <si>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</si>
  <si>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</si>
  <si>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</si>
  <si>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</si>
  <si>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</si>
  <si>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</si>
  <si>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</si>
  <si>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</si>
  <si>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</si>
  <si>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</si>
  <si>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</si>
  <si>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</si>
  <si>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</si>
  <si>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</si>
  <si>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</si>
  <si>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</si>
  <si>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</si>
  <si>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</si>
  <si>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</si>
  <si>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</si>
  <si>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</si>
  <si>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</si>
  <si>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</si>
  <si>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</si>
  <si>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</si>
  <si>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</si>
  <si>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</si>
  <si>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</si>
  <si>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</si>
  <si>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</si>
  <si>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</si>
  <si>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</si>
  <si>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</si>
  <si>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</si>
  <si>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</si>
  <si>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</si>
  <si>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</si>
  <si>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</si>
  <si>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</si>
  <si>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</si>
  <si>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</si>
  <si>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</si>
  <si>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</si>
  <si>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</si>
  <si>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</si>
  <si>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</si>
  <si>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</si>
  <si>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</si>
  <si>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</si>
  <si>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</si>
  <si>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</si>
  <si>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</si>
  <si>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</si>
  <si>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</si>
  <si>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</si>
  <si>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</si>
  <si>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</si>
  <si>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</si>
  <si>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</si>
  <si>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</si>
  <si>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</si>
  <si>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</si>
  <si>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</si>
  <si>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</si>
  <si>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</si>
  <si>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</si>
  <si>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</si>
  <si>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</si>
  <si>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</si>
  <si>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</si>
  <si>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</si>
  <si>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</si>
  <si>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</si>
  <si>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</si>
  <si>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</si>
  <si>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</si>
  <si>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</si>
  <si>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</si>
  <si>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</si>
  <si>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</si>
  <si>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</si>
  <si>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</si>
  <si>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</si>
  <si>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</si>
  <si>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</si>
  <si>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</si>
  <si>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</si>
  <si>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</si>
  <si>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</si>
  <si>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</si>
  <si>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</si>
  <si>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</si>
  <si>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</si>
  <si>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</si>
  <si>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</si>
  <si>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</si>
  <si>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</si>
  <si>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</si>
  <si>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</si>
  <si>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</si>
  <si>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</si>
  <si>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</si>
  <si>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</si>
  <si>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</si>
  <si>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</si>
  <si>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</si>
  <si>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</si>
  <si>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</si>
  <si>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</si>
  <si>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</si>
  <si>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</si>
  <si>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</si>
  <si>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</si>
  <si>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</si>
  <si>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</si>
  <si>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</si>
  <si>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</si>
  <si>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</si>
  <si>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</si>
  <si>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</si>
  <si>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</si>
  <si>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</si>
  <si>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</si>
  <si>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</si>
  <si>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</si>
  <si>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</si>
  <si>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</si>
  <si>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</si>
  <si>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</si>
  <si>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</si>
  <si>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</si>
  <si>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</si>
  <si>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</si>
  <si>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</si>
  <si>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</si>
  <si>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</si>
  <si>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</si>
  <si>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</si>
  <si>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</si>
  <si>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</si>
  <si>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</si>
  <si>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</si>
  <si>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</si>
  <si>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</si>
  <si>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</si>
  <si>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</si>
  <si>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</si>
  <si>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</si>
  <si>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</si>
  <si>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</si>
  <si>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</si>
  <si>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</si>
  <si>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</si>
  <si>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</si>
  <si>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</si>
  <si>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</si>
  <si>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</si>
  <si>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</si>
  <si>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</si>
  <si>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</si>
  <si>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</si>
  <si>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</si>
  <si>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</si>
  <si>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</si>
  <si>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</si>
  <si>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</si>
  <si>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</si>
  <si>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</si>
  <si>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</si>
  <si>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</si>
  <si>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</si>
  <si>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</si>
  <si>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</si>
  <si>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</si>
  <si>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</si>
  <si>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</si>
  <si>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</si>
  <si>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</si>
  <si>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</si>
  <si>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</si>
  <si>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</si>
  <si>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</si>
  <si>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</si>
  <si>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</si>
  <si>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</si>
  <si>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</si>
  <si>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</si>
  <si>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</si>
  <si>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</si>
  <si>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</si>
  <si>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</si>
  <si>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</si>
  <si>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</si>
  <si>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</si>
  <si>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</si>
  <si>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</si>
  <si>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</si>
  <si>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</si>
  <si>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</si>
  <si>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</si>
  <si>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</si>
  <si>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</si>
  <si>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</si>
  <si>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</si>
  <si>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</si>
  <si>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</si>
  <si>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</si>
  <si>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</si>
  <si>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</si>
  <si>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</si>
  <si>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</si>
  <si>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</si>
  <si>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</si>
  <si>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</si>
  <si>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</si>
  <si>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</si>
  <si>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</si>
  <si>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</si>
  <si>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</si>
  <si>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</si>
  <si>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</si>
  <si>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</si>
  <si>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</si>
  <si>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</si>
  <si>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</si>
  <si>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</si>
  <si>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</si>
  <si>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</si>
  <si>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</si>
  <si>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</si>
  <si>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</si>
  <si>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</si>
  <si>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</si>
  <si>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</si>
  <si>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</si>
  <si>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</si>
  <si>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</si>
  <si>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</si>
  <si>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</si>
  <si>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</si>
  <si>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</si>
  <si>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</si>
  <si>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</si>
  <si>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</si>
  <si>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</si>
  <si>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</si>
  <si>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</si>
  <si>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</si>
  <si>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</si>
  <si>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</si>
  <si>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</si>
  <si>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</si>
  <si>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</si>
  <si>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</si>
  <si>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</si>
  <si>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</si>
  <si>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</si>
  <si>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</si>
  <si>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</si>
  <si>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</si>
  <si>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</si>
  <si>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</si>
  <si>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</si>
  <si>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</si>
  <si>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</si>
  <si>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</si>
  <si>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</si>
  <si>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</si>
  <si>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</si>
  <si>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</si>
  <si>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</si>
  <si>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</si>
  <si>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</si>
  <si>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</si>
  <si>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</si>
  <si>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</si>
  <si>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</si>
  <si>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</si>
  <si>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</si>
  <si>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</si>
  <si>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</si>
  <si>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</si>
  <si>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</si>
  <si>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</si>
  <si>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</si>
  <si>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</si>
  <si>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</si>
  <si>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</si>
  <si>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</si>
  <si>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</si>
  <si>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</si>
  <si>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</si>
  <si>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</si>
  <si>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</si>
  <si>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</si>
  <si>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</si>
  <si>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</si>
  <si>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</si>
  <si>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</si>
  <si>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</si>
  <si>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</si>
  <si>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</si>
  <si>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</si>
  <si>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</si>
  <si>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</si>
  <si>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</si>
  <si>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</si>
  <si>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</si>
  <si>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</si>
  <si>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</si>
  <si>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</si>
  <si>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</si>
  <si>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</si>
  <si>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</si>
  <si>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</si>
  <si>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</si>
  <si>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</si>
  <si>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</si>
  <si>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</si>
  <si>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</si>
  <si>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</si>
  <si>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</si>
  <si>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</si>
  <si>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</si>
  <si>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</si>
  <si>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</si>
  <si>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</si>
  <si>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</si>
  <si>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</si>
  <si>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</si>
  <si>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</si>
  <si>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</si>
  <si>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</si>
  <si>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</si>
  <si>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</si>
  <si>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</si>
  <si>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</si>
  <si>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</si>
  <si>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</si>
  <si>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</si>
  <si>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</si>
  <si>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</si>
  <si>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</si>
  <si>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</si>
  <si>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</si>
  <si>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</si>
  <si>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</si>
  <si>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</si>
  <si>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</si>
  <si>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</si>
  <si>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</si>
  <si>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</si>
  <si>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</si>
  <si>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</si>
  <si>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</si>
  <si>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</si>
  <si>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</si>
  <si>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</si>
  <si>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</si>
  <si>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</si>
  <si>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</si>
  <si>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</si>
  <si>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</si>
  <si>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</si>
  <si>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</si>
  <si>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</si>
  <si>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</si>
  <si>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</si>
  <si>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</si>
  <si>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</si>
  <si>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</si>
  <si>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</si>
  <si>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</si>
  <si>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</si>
  <si>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</si>
  <si>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</si>
  <si>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</si>
  <si>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</si>
  <si>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</si>
  <si>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</si>
  <si>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</si>
  <si>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</si>
  <si>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</si>
  <si>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</si>
  <si>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</si>
  <si>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</si>
  <si>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</si>
  <si>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</si>
  <si>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</si>
  <si>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</si>
  <si>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</si>
  <si>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</si>
  <si>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</si>
  <si>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</si>
  <si>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</si>
  <si>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</si>
  <si>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</si>
  <si>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</si>
  <si>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</si>
  <si>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</si>
  <si>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</si>
  <si>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</si>
  <si>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</si>
  <si>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</si>
  <si>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</si>
  <si>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</si>
  <si>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</si>
  <si>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</si>
  <si>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</si>
  <si>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</si>
  <si>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</si>
  <si>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</si>
  <si>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</si>
  <si>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</si>
  <si>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</si>
  <si>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</si>
  <si>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</si>
  <si>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</si>
  <si>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</si>
  <si>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</si>
  <si>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</si>
  <si>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</si>
  <si>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</si>
  <si>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</si>
  <si>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</si>
  <si>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</si>
  <si>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</si>
  <si>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</si>
  <si>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</si>
  <si>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</si>
  <si>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</si>
  <si>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</si>
  <si>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</si>
  <si>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</si>
  <si>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</si>
  <si>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</si>
  <si>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</si>
  <si>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</si>
  <si>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</si>
  <si>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</si>
  <si>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</si>
  <si>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</si>
  <si>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</si>
  <si>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</si>
  <si>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</si>
  <si>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</si>
  <si>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</si>
  <si>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</si>
  <si>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</si>
  <si>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</si>
  <si>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</si>
  <si>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</si>
  <si>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</si>
  <si>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</si>
  <si>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</si>
  <si>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</si>
  <si>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</si>
  <si>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</si>
  <si>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</si>
  <si>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</si>
  <si>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</si>
  <si>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</si>
  <si>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</si>
  <si>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</si>
  <si>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</si>
  <si>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</si>
  <si>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</si>
  <si>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</si>
  <si>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</si>
  <si>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</si>
  <si>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</si>
  <si>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</si>
  <si>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</si>
  <si>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</si>
  <si>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</si>
  <si>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</si>
  <si>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</si>
  <si>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</si>
  <si>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</si>
  <si>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</si>
  <si>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</si>
  <si>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</si>
  <si>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</si>
  <si>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</si>
  <si>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</si>
  <si>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</si>
  <si>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</si>
  <si>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</si>
  <si>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</si>
  <si>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</si>
  <si>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</si>
  <si>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</si>
  <si>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</si>
  <si>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</si>
  <si>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</si>
  <si>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</si>
  <si>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</si>
  <si>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</si>
  <si>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</si>
  <si>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</si>
  <si>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</si>
  <si>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</si>
  <si>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</si>
  <si>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</si>
  <si>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</si>
  <si>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</si>
  <si>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</si>
  <si>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</si>
  <si>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</si>
  <si>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</si>
  <si>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</si>
  <si>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</si>
  <si>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</si>
  <si>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</si>
  <si>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</si>
  <si>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</si>
  <si>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</si>
  <si>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</si>
  <si>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</si>
  <si>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</si>
  <si>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</si>
  <si>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</si>
  <si>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</si>
  <si>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</si>
  <si>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</si>
  <si>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</si>
  <si>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</si>
  <si>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</si>
  <si>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</si>
  <si>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</si>
  <si>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</si>
  <si>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</si>
  <si>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</si>
  <si>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</si>
  <si>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</si>
  <si>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</si>
  <si>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</si>
  <si>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</si>
  <si>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</si>
  <si>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</si>
  <si>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</si>
  <si>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</si>
  <si>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</si>
  <si>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</si>
  <si>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</si>
  <si>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</si>
  <si>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</si>
  <si>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</si>
  <si>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</si>
  <si>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</si>
  <si>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</si>
  <si>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</si>
  <si>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</si>
  <si>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</si>
  <si>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</si>
  <si>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</si>
  <si>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</si>
  <si>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</si>
  <si>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</si>
  <si>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</si>
  <si>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</si>
  <si>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</si>
  <si>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</si>
  <si>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</si>
  <si>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</si>
  <si>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</si>
  <si>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</si>
  <si>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</si>
  <si>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</si>
  <si>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</si>
  <si>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</si>
  <si>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</si>
  <si>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</si>
  <si>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</si>
  <si>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</si>
  <si>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</si>
  <si>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</si>
  <si>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</si>
  <si>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</si>
  <si>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</si>
  <si>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</si>
  <si>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</si>
  <si>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</si>
  <si>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</si>
  <si>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</si>
  <si>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</si>
  <si>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</si>
  <si>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</si>
  <si>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</si>
  <si>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</si>
  <si>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</si>
  <si>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</si>
  <si>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</si>
  <si>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</si>
  <si>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</si>
  <si>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</si>
  <si>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</si>
  <si>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</si>
  <si>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</si>
  <si>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</si>
  <si>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</si>
  <si>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</si>
  <si>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</si>
  <si>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</si>
  <si>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</si>
  <si>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</si>
  <si>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</si>
  <si>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</si>
  <si>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</si>
  <si>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</si>
  <si>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</si>
  <si>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</si>
  <si>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</si>
  <si>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</si>
  <si>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</si>
  <si>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</si>
  <si>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</si>
  <si>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</si>
  <si>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</si>
  <si>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</si>
  <si>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</si>
  <si>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</si>
  <si>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</si>
  <si>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</si>
  <si>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</si>
  <si>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</si>
  <si>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</si>
  <si>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</si>
  <si>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</si>
  <si>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</si>
  <si>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</si>
  <si>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</si>
  <si>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</si>
  <si>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</si>
  <si>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</si>
  <si>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</si>
  <si>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</si>
  <si>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</si>
  <si>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</si>
  <si>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</si>
  <si>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</si>
  <si>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</si>
  <si>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</si>
  <si>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</si>
  <si>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</si>
  <si>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</si>
  <si>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</si>
  <si>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</si>
  <si>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</si>
  <si>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</si>
  <si>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</si>
  <si>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</si>
  <si>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</si>
  <si>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</si>
  <si>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</si>
  <si>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</si>
  <si>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</si>
  <si>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</si>
  <si>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</si>
  <si>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</si>
  <si>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</si>
  <si>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</si>
  <si>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</si>
  <si>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</si>
  <si>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</si>
  <si>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</si>
  <si>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</si>
  <si>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</si>
  <si>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</si>
  <si>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</si>
  <si>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</si>
  <si>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</si>
  <si>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</si>
  <si>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</si>
  <si>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</si>
  <si>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</si>
  <si>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</si>
  <si>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</si>
  <si>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</si>
  <si>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</si>
  <si>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</si>
  <si>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</si>
  <si>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</si>
  <si>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</si>
  <si>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</si>
  <si>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</si>
  <si>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</si>
  <si>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</si>
  <si>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</si>
  <si>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</si>
  <si>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</si>
  <si>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</si>
  <si>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</si>
  <si>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</si>
  <si>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</si>
  <si>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</si>
  <si>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</si>
  <si>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</si>
  <si>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</si>
  <si>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</si>
  <si>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</si>
  <si>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</si>
  <si>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</si>
  <si>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</si>
  <si>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</si>
  <si>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</si>
  <si>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</si>
  <si>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</si>
  <si>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</si>
  <si>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</si>
  <si>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</si>
  <si>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</si>
  <si>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</si>
  <si>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</si>
  <si>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</si>
  <si>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</si>
  <si>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</si>
  <si>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</si>
  <si>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</si>
  <si>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</si>
  <si>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</si>
  <si>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</si>
  <si>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</si>
  <si>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</si>
  <si>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</si>
  <si>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</si>
  <si>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</si>
  <si>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</si>
  <si>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</si>
  <si>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</si>
  <si>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</si>
  <si>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</si>
  <si>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</si>
  <si>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</si>
  <si>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</si>
  <si>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</si>
  <si>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</si>
  <si>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</si>
  <si>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</si>
  <si>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</si>
  <si>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</si>
  <si>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</si>
  <si>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</si>
  <si>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</si>
  <si>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</si>
  <si>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</si>
  <si>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</si>
  <si>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</si>
  <si>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</si>
  <si>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</si>
  <si>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</si>
  <si>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</si>
  <si>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</si>
  <si>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</si>
  <si>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</si>
  <si>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</si>
  <si>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</si>
  <si>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</si>
  <si>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</si>
  <si>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</si>
  <si>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</si>
  <si>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</si>
  <si>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</si>
  <si>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</si>
  <si>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</si>
  <si>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</si>
  <si>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</si>
  <si>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</si>
  <si>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</si>
  <si>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</si>
  <si>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</si>
  <si>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</si>
  <si>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</si>
  <si>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</si>
  <si>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</si>
  <si>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</si>
  <si>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</si>
  <si>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</si>
  <si>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</si>
  <si>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</si>
  <si>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</si>
  <si>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</si>
  <si>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</si>
  <si>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</si>
  <si>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</si>
  <si>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</si>
  <si>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</si>
  <si>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</si>
  <si>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</si>
  <si>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</si>
  <si>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</si>
  <si>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</si>
  <si>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</si>
  <si>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</si>
  <si>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</si>
  <si>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</si>
  <si>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</si>
  <si>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</si>
  <si>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</si>
  <si>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</si>
  <si>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</si>
  <si>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</si>
  <si>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</si>
  <si>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</si>
  <si>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</si>
  <si>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</si>
  <si>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</si>
  <si>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</si>
  <si>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</si>
  <si>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</si>
  <si>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</si>
  <si>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</si>
  <si>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</si>
  <si>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</si>
  <si>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</si>
  <si>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</si>
  <si>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</si>
  <si>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</si>
  <si>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</si>
  <si>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</si>
  <si>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</si>
  <si>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</si>
  <si>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</si>
  <si>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</si>
  <si>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</si>
  <si>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</si>
  <si>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</si>
  <si>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</si>
  <si>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</si>
  <si>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</si>
  <si>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</si>
  <si>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</si>
  <si>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</si>
  <si>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</si>
  <si>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</si>
  <si>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</si>
  <si>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</si>
  <si>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</si>
  <si>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</si>
  <si>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</si>
  <si>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</si>
  <si>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</si>
  <si>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</si>
  <si>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</si>
  <si>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</si>
  <si>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</si>
  <si>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</si>
  <si>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</si>
  <si>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</si>
  <si>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</si>
  <si>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</si>
  <si>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</si>
  <si>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</si>
  <si>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</si>
  <si>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</si>
  <si>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</si>
  <si>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</si>
  <si>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</si>
  <si>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</si>
  <si>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</si>
  <si>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</si>
  <si>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</si>
  <si>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</si>
  <si>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</si>
  <si>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</si>
  <si>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</si>
  <si>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</si>
  <si>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</si>
  <si>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</si>
  <si>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</si>
  <si>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</si>
  <si>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</si>
  <si>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</si>
  <si>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</si>
  <si>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</si>
  <si>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</si>
  <si>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</si>
  <si>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</si>
  <si>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</si>
  <si>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</si>
  <si>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</si>
  <si>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</si>
  <si>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</si>
  <si>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</si>
  <si>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</si>
  <si>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</si>
  <si>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</si>
  <si>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</si>
  <si>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</si>
  <si>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</si>
  <si>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</si>
  <si>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</si>
  <si>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</si>
  <si>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</si>
  <si>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</si>
  <si>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</si>
  <si>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</si>
  <si>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</si>
  <si>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</si>
  <si>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</si>
  <si>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</si>
  <si>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</si>
  <si>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</si>
  <si>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</si>
  <si>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</si>
  <si>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</si>
  <si>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</si>
  <si>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</si>
  <si>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</si>
  <si>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</si>
  <si>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</si>
  <si>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</si>
  <si>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</si>
  <si>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</si>
  <si>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</si>
  <si>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</si>
  <si>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</si>
  <si>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</si>
  <si>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</si>
  <si>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</si>
  <si>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</si>
  <si>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</si>
  <si>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</si>
  <si>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</si>
  <si>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</si>
  <si>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</si>
  <si>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</si>
  <si>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</si>
  <si>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</si>
  <si>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</si>
  <si>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</si>
  <si>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</si>
  <si>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</si>
  <si>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</si>
  <si>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</si>
  <si>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</si>
  <si>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</si>
  <si>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</si>
  <si>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</si>
  <si>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</si>
  <si>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</si>
  <si>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</si>
  <si>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</si>
  <si>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</si>
  <si>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</si>
  <si>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</si>
  <si>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</si>
  <si>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</si>
  <si>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</si>
  <si>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</si>
  <si>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</si>
  <si>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</si>
  <si>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</si>
  <si>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</si>
  <si>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</si>
  <si>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</si>
  <si>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</si>
  <si>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</si>
  <si>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</si>
  <si>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</si>
  <si>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</si>
  <si>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</si>
  <si>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</si>
  <si>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</si>
  <si>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</si>
  <si>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</si>
  <si>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</si>
  <si>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</si>
  <si>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</si>
  <si>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</si>
  <si>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</si>
  <si>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</si>
  <si>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</si>
  <si>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</si>
  <si>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</si>
  <si>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</si>
  <si>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</si>
  <si>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</si>
  <si>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</si>
  <si>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</si>
  <si>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</si>
  <si>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</si>
  <si>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</si>
  <si>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</si>
  <si>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</si>
  <si>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</si>
  <si>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</si>
  <si>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</si>
  <si>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</si>
  <si>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</si>
  <si>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</si>
  <si>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</si>
  <si>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</si>
  <si>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</si>
  <si>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</si>
  <si>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</si>
  <si>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</si>
  <si>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</si>
  <si>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</si>
  <si>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</si>
  <si>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</si>
  <si>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</si>
  <si>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</si>
  <si>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</si>
  <si>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</si>
  <si>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</si>
  <si>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</si>
  <si>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</si>
  <si>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</si>
  <si>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</si>
  <si>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</si>
  <si>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</si>
  <si>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</si>
  <si>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</si>
  <si>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</si>
  <si>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</si>
  <si>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</si>
  <si>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</si>
  <si>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</si>
  <si>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</si>
  <si>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</si>
  <si>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</si>
  <si>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</si>
  <si>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</si>
  <si>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</si>
  <si>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</si>
  <si>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</si>
  <si>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</si>
  <si>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</si>
  <si>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</si>
  <si>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</si>
  <si>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</si>
  <si>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</si>
  <si>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</si>
  <si>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</si>
  <si>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</si>
  <si>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</si>
  <si>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</si>
  <si>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</si>
  <si>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</si>
  <si>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</si>
  <si>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</si>
  <si>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</si>
  <si>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</si>
  <si>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</si>
  <si>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</si>
  <si>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</si>
  <si>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</si>
  <si>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</si>
  <si>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</si>
  <si>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</si>
  <si>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</si>
  <si>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</si>
  <si>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</si>
  <si>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</si>
  <si>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</si>
  <si>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</si>
  <si>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</si>
  <si>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</si>
  <si>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</si>
  <si>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</si>
  <si>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</si>
  <si>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</si>
  <si>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</si>
  <si>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</si>
  <si>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</si>
  <si>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</si>
  <si>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</si>
  <si>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</si>
  <si>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</si>
  <si>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</si>
  <si>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</si>
  <si>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</si>
  <si>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</si>
  <si>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</si>
  <si>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</si>
  <si>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</si>
  <si>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</si>
  <si>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</si>
  <si>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</si>
  <si>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</si>
  <si>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</si>
  <si>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</si>
  <si>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</si>
  <si>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</si>
  <si>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</si>
  <si>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</si>
  <si>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</si>
  <si>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</si>
  <si>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</si>
  <si>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</si>
  <si>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</si>
  <si>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</si>
  <si>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</si>
  <si>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</si>
  <si>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</si>
  <si>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</si>
  <si>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</si>
  <si>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</si>
  <si>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</si>
  <si>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</si>
  <si>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</si>
  <si>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</si>
  <si>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</si>
  <si>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</si>
  <si>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</si>
  <si>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</si>
  <si>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</si>
  <si>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</si>
  <si>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</si>
  <si>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</si>
  <si>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</si>
  <si>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</si>
  <si>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</si>
  <si>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</si>
  <si>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</si>
  <si>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</si>
  <si>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</si>
  <si>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</si>
  <si>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</si>
  <si>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</si>
  <si>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</si>
  <si>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</si>
  <si>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</si>
  <si>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</si>
  <si>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</si>
  <si>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</si>
  <si>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</si>
  <si>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</si>
  <si>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</si>
  <si>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</si>
  <si>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</si>
  <si>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</si>
  <si>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</si>
  <si>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</si>
  <si>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</si>
  <si>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</si>
  <si>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</si>
  <si>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</si>
  <si>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</si>
  <si>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</si>
  <si>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</si>
  <si>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</si>
  <si>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</si>
  <si>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</si>
  <si>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</si>
  <si>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</si>
  <si>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</si>
  <si>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</si>
  <si>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</si>
  <si>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</si>
  <si>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</si>
  <si>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</si>
  <si>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</si>
  <si>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</si>
  <si>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</si>
  <si>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</si>
  <si>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</si>
  <si>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</si>
  <si>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</si>
  <si>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</si>
  <si>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</si>
  <si>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</si>
  <si>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</si>
  <si>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</si>
  <si>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</si>
  <si>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</si>
  <si>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</si>
  <si>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</si>
  <si>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</si>
  <si>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</si>
  <si>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</si>
  <si>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</si>
  <si>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</si>
  <si>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</si>
  <si>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</si>
  <si>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</si>
  <si>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</si>
  <si>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</si>
  <si>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</si>
  <si>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</si>
  <si>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</si>
  <si>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</si>
  <si>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</si>
  <si>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</si>
  <si>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</si>
  <si>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</si>
  <si>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</si>
  <si>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</si>
  <si>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</si>
  <si>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</si>
  <si>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</si>
  <si>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</si>
  <si>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</si>
  <si>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</si>
  <si>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</si>
  <si>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</si>
  <si>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</si>
  <si>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</si>
  <si>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</si>
  <si>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</si>
  <si>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</si>
  <si>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</si>
  <si>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</si>
  <si>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</si>
  <si>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</si>
  <si>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</si>
  <si>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</si>
  <si>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</si>
  <si>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</si>
  <si>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</si>
  <si>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</si>
  <si>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</si>
  <si>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</si>
  <si>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</si>
  <si>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</si>
  <si>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</si>
  <si>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</si>
  <si>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</si>
  <si>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</si>
  <si>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</si>
  <si>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</si>
  <si>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</si>
  <si>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</si>
  <si>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</si>
  <si>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</si>
  <si>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</si>
  <si>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</si>
  <si>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</si>
  <si>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</si>
  <si>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</si>
  <si>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</si>
  <si>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</si>
  <si>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</si>
  <si>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</si>
  <si>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</si>
  <si>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</si>
  <si>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</si>
  <si>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</si>
  <si>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</si>
  <si>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</si>
  <si>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</si>
  <si>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</si>
  <si>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</si>
  <si>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</si>
  <si>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</si>
  <si>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</si>
  <si>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</si>
  <si>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</si>
  <si>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</si>
  <si>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</si>
  <si>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</si>
  <si>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</si>
  <si>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</si>
  <si>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</si>
  <si>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</si>
  <si>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</si>
  <si>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</si>
  <si>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</si>
  <si>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</si>
  <si>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</si>
  <si>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</si>
  <si>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</si>
  <si>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</si>
  <si>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</si>
  <si>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</si>
  <si>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</si>
  <si>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</si>
  <si>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</si>
  <si>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</si>
  <si>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</si>
  <si>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</si>
  <si>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</si>
  <si>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</si>
  <si>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</si>
  <si>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</si>
  <si>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</si>
  <si>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</si>
  <si>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</si>
  <si>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</si>
  <si>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</si>
  <si>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</si>
  <si>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</si>
  <si>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</si>
  <si>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</si>
  <si>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</si>
  <si>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</si>
  <si>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</si>
  <si>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</si>
  <si>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</si>
  <si>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</si>
  <si>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</si>
  <si>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</si>
  <si>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</si>
  <si>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</si>
  <si>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</si>
  <si>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</si>
  <si>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</si>
  <si>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</si>
  <si>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</si>
  <si>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</si>
  <si>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</si>
  <si>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</si>
  <si>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</si>
  <si>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</si>
  <si>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</si>
  <si>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</si>
  <si>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</si>
  <si>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</si>
  <si>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</si>
  <si>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</si>
  <si>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</si>
  <si>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</si>
  <si>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</si>
  <si>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</si>
  <si>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</si>
  <si>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</si>
  <si>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</si>
  <si>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</si>
  <si>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</si>
  <si>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</si>
  <si>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</si>
  <si>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</si>
  <si>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</si>
  <si>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</si>
  <si>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</si>
  <si>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</si>
  <si>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</si>
  <si>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</si>
  <si>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</si>
  <si>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</si>
  <si>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</si>
  <si>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</si>
  <si>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</si>
  <si>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</si>
  <si>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</si>
  <si>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</si>
  <si>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</si>
  <si>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</si>
  <si>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</si>
  <si>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</si>
  <si>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</si>
  <si>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</si>
  <si>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</si>
  <si>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</si>
  <si>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</si>
  <si>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</si>
  <si>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</si>
  <si>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</si>
  <si>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</si>
  <si>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</si>
  <si>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</si>
  <si>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</si>
  <si>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</si>
  <si>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</si>
  <si>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</si>
  <si>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</si>
  <si>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</si>
  <si>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</si>
  <si>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</si>
  <si>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</si>
  <si>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</si>
  <si>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</si>
  <si>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</si>
  <si>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</si>
  <si>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</si>
  <si>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</si>
  <si>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</si>
  <si>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</si>
  <si>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</si>
  <si>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</si>
  <si>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</si>
  <si>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</si>
  <si>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</si>
  <si>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</si>
  <si>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</si>
  <si>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</si>
  <si>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</si>
  <si>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</si>
  <si>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</si>
  <si>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</si>
  <si>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</si>
  <si>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</si>
  <si>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</si>
  <si>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</si>
  <si>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</si>
  <si>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</si>
  <si>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</si>
  <si>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</si>
  <si>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</si>
  <si>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</si>
  <si>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</si>
  <si>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</si>
  <si>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</si>
  <si>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</si>
  <si>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</si>
  <si>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</si>
  <si>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</si>
  <si>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</si>
  <si>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</si>
  <si>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</si>
  <si>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</si>
  <si>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</si>
  <si>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</si>
  <si>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</si>
  <si>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</si>
  <si>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</si>
  <si>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</si>
  <si>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</si>
  <si>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</si>
  <si>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</si>
  <si>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</si>
  <si>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</si>
  <si>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</si>
  <si>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</si>
  <si>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</si>
  <si>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</si>
  <si>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</si>
  <si>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Усть-Каменогорский завод промышленной арматуры</t>
  </si>
  <si>
    <t>4,40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</si>
  <si>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</si>
  <si>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</si>
  <si>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</si>
  <si>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</si>
  <si>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</si>
  <si>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</si>
  <si>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</si>
  <si>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KZW100014353</t>
  </si>
  <si>
    <t>KFUSb73</t>
  </si>
  <si>
    <t>KZ2C00011997</t>
  </si>
  <si>
    <t>NTK028_2869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</si>
  <si>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</si>
  <si>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</si>
  <si>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</si>
  <si>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</si>
  <si>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</si>
  <si>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</si>
  <si>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</si>
  <si>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</si>
  <si>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</si>
  <si>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</si>
  <si>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</si>
  <si>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</si>
  <si>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</si>
  <si>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</si>
  <si>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</si>
  <si>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</si>
  <si>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</si>
  <si>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</si>
  <si>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</si>
  <si>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</si>
  <si>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</si>
  <si>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</si>
  <si>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</si>
  <si>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</si>
  <si>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</si>
  <si>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</si>
  <si>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</si>
  <si>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</si>
  <si>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</si>
  <si>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</si>
  <si>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</si>
  <si>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</si>
  <si>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</si>
  <si>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</si>
  <si>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</si>
  <si>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</si>
  <si>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</si>
  <si>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</si>
  <si>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</si>
  <si>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</si>
  <si>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</si>
  <si>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5,72</t>
  </si>
  <si>
    <t>BASS Gold</t>
  </si>
  <si>
    <t>16,62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</si>
  <si>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</si>
  <si>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</si>
  <si>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</si>
  <si>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</si>
  <si>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</si>
  <si>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</si>
  <si>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</si>
  <si>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</si>
  <si>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</si>
  <si>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</si>
  <si>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</si>
  <si>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</si>
  <si>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</si>
  <si>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</si>
  <si>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</si>
  <si>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Фонд развития промышленности</t>
  </si>
  <si>
    <t>23,01</t>
  </si>
  <si>
    <t>4,81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</si>
  <si>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</si>
  <si>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</si>
  <si>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</si>
  <si>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</si>
  <si>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</si>
  <si>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</si>
  <si>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</si>
  <si>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</si>
  <si>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</si>
  <si>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</si>
  <si>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19,49</t>
  </si>
  <si>
    <t>21,39</t>
  </si>
  <si>
    <t>16,69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</si>
  <si>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</si>
  <si>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</si>
  <si>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</si>
  <si>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</si>
  <si>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</si>
  <si>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3,07</t>
  </si>
  <si>
    <t>19,99</t>
  </si>
  <si>
    <t>569 (2)</t>
  </si>
  <si>
    <t>21,95</t>
  </si>
  <si>
    <t>21,40</t>
  </si>
  <si>
    <t>16,15</t>
  </si>
  <si>
    <t>12,33</t>
  </si>
  <si>
    <t>12,32</t>
  </si>
  <si>
    <t>12,35</t>
  </si>
  <si>
    <t>12,41</t>
  </si>
  <si>
    <t>12,40</t>
  </si>
  <si>
    <t>12,42</t>
  </si>
  <si>
    <t>12,45</t>
  </si>
  <si>
    <t>16,52</t>
  </si>
  <si>
    <t>16,32</t>
  </si>
  <si>
    <t>17,20</t>
  </si>
  <si>
    <t>16,36</t>
  </si>
  <si>
    <t>16,14</t>
  </si>
  <si>
    <t>14,89</t>
  </si>
  <si>
    <t>ALTYN SAMRUK QAZAQSTAN</t>
  </si>
  <si>
    <t>4,73</t>
  </si>
  <si>
    <t>5,42</t>
  </si>
  <si>
    <t>4,57</t>
  </si>
  <si>
    <t>Capital Leasing Group (Капитал Лизинг Груп)</t>
  </si>
  <si>
    <t>6,00</t>
  </si>
  <si>
    <t>11,03</t>
  </si>
  <si>
    <t>6,06</t>
  </si>
  <si>
    <t>5,13</t>
  </si>
  <si>
    <t>568 (2)</t>
  </si>
  <si>
    <t>22,04</t>
  </si>
  <si>
    <t>21,29</t>
  </si>
  <si>
    <t>20,42</t>
  </si>
  <si>
    <t>326 (1)</t>
  </si>
  <si>
    <t>16,57</t>
  </si>
  <si>
    <t>704 (2)</t>
  </si>
  <si>
    <t>15,94</t>
  </si>
  <si>
    <t>12,25</t>
  </si>
  <si>
    <t>12,19</t>
  </si>
  <si>
    <t>1 284 (4)</t>
  </si>
  <si>
    <t>17,27</t>
  </si>
  <si>
    <t>16,85</t>
  </si>
  <si>
    <t>16,63</t>
  </si>
  <si>
    <t>16,74</t>
  </si>
  <si>
    <t>16,42</t>
  </si>
  <si>
    <t>16,22</t>
  </si>
  <si>
    <t>16,65</t>
  </si>
  <si>
    <t>16,12</t>
  </si>
  <si>
    <t>16,03</t>
  </si>
  <si>
    <t>16,02</t>
  </si>
  <si>
    <t>16,00</t>
  </si>
  <si>
    <t>5,00</t>
  </si>
  <si>
    <t>2AIRAd</t>
  </si>
  <si>
    <t>3AKZM</t>
  </si>
  <si>
    <t>4ALMSb1</t>
  </si>
  <si>
    <t>741 (2)</t>
  </si>
  <si>
    <t>5ASKQb1</t>
  </si>
  <si>
    <t>14,51</t>
  </si>
  <si>
    <t>356 (1)</t>
  </si>
  <si>
    <t>6BCCI_cc</t>
  </si>
  <si>
    <t>7BCCIbe</t>
  </si>
  <si>
    <t>8BCCIrb</t>
  </si>
  <si>
    <t>9BIGDb1</t>
  </si>
  <si>
    <t>10BIGDb5</t>
  </si>
  <si>
    <t>534 (1)</t>
  </si>
  <si>
    <t>11BIGDb6</t>
  </si>
  <si>
    <t>19,57</t>
  </si>
  <si>
    <t>643 (2)</t>
  </si>
  <si>
    <t>12BRKZe12</t>
  </si>
  <si>
    <t>1 951 (5)</t>
  </si>
  <si>
    <t>13BRKZe16</t>
  </si>
  <si>
    <t>1 398 (4)</t>
  </si>
  <si>
    <t>14BRKZe18</t>
  </si>
  <si>
    <t>1 562 (4)</t>
  </si>
  <si>
    <t>15BRKZe21</t>
  </si>
  <si>
    <t>1 001 (3)</t>
  </si>
  <si>
    <t>16BRKZe22</t>
  </si>
  <si>
    <t>1 856 (5)</t>
  </si>
  <si>
    <t>17BRKZe4</t>
  </si>
  <si>
    <t>108 (0)</t>
  </si>
  <si>
    <t>18BTRKe1</t>
  </si>
  <si>
    <t>873 (2)</t>
  </si>
  <si>
    <t>19BTRKe2</t>
  </si>
  <si>
    <t>1 736 (5)</t>
  </si>
  <si>
    <t>20CCBN</t>
  </si>
  <si>
    <t>21CCBNp</t>
  </si>
  <si>
    <t>22CLSGb3</t>
  </si>
  <si>
    <t>23,82</t>
  </si>
  <si>
    <t>23CSECfe</t>
  </si>
  <si>
    <t>24CSECtf</t>
  </si>
  <si>
    <t>25EABRb40</t>
  </si>
  <si>
    <t>105 (0)</t>
  </si>
  <si>
    <t>26EABRb42</t>
  </si>
  <si>
    <t>812 (2)</t>
  </si>
  <si>
    <t>27EABRb53</t>
  </si>
  <si>
    <t>843 (2)</t>
  </si>
  <si>
    <t>28FFIN_or</t>
  </si>
  <si>
    <t>29FFINgw</t>
  </si>
  <si>
    <t>30FHJIag</t>
  </si>
  <si>
    <t>Alatau City Invest</t>
  </si>
  <si>
    <t>31FPSTb5</t>
  </si>
  <si>
    <t>269 (1)</t>
  </si>
  <si>
    <t>32FPSTb6</t>
  </si>
  <si>
    <t>18,13</t>
  </si>
  <si>
    <t>33HCBNb11</t>
  </si>
  <si>
    <t>963 (3)</t>
  </si>
  <si>
    <t>34HCBNb13</t>
  </si>
  <si>
    <t>802 (2)</t>
  </si>
  <si>
    <t>35HCBNb15</t>
  </si>
  <si>
    <t>1 290 (4)</t>
  </si>
  <si>
    <t>36HCBNb17</t>
  </si>
  <si>
    <t>18,23</t>
  </si>
  <si>
    <t>1 659 (5)</t>
  </si>
  <si>
    <t>37HCBNb19</t>
  </si>
  <si>
    <t>18,80</t>
  </si>
  <si>
    <t>38HFINhl</t>
  </si>
  <si>
    <t>39HFINhp</t>
  </si>
  <si>
    <t>40HFINhs</t>
  </si>
  <si>
    <t>41HFINhv</t>
  </si>
  <si>
    <t>42HSBK</t>
  </si>
  <si>
    <t>43HSBKb22</t>
  </si>
  <si>
    <t>18,61</t>
  </si>
  <si>
    <t>728 (2)</t>
  </si>
  <si>
    <t>44HSBKd</t>
  </si>
  <si>
    <t>45IDFRb4</t>
  </si>
  <si>
    <t>1 057 (3)</t>
  </si>
  <si>
    <t>46IFDR</t>
  </si>
  <si>
    <t>47KAFIb16</t>
  </si>
  <si>
    <t>18,63</t>
  </si>
  <si>
    <t>1 742 (5)</t>
  </si>
  <si>
    <t>48KAFIb17</t>
  </si>
  <si>
    <t>49KASAb1</t>
  </si>
  <si>
    <t>895 (2)</t>
  </si>
  <si>
    <t>50KCEL</t>
  </si>
  <si>
    <t>51KEGC</t>
  </si>
  <si>
    <t>52KFUSb48</t>
  </si>
  <si>
    <t>18,04</t>
  </si>
  <si>
    <t>1 507 (4)</t>
  </si>
  <si>
    <t>53KFUSb49</t>
  </si>
  <si>
    <t>1 451 (4)</t>
  </si>
  <si>
    <t>54KMGZ</t>
  </si>
  <si>
    <t>55KMGZe14</t>
  </si>
  <si>
    <t>1 579 (4)</t>
  </si>
  <si>
    <t>56KMGZe16</t>
  </si>
  <si>
    <t>5,05</t>
  </si>
  <si>
    <t>2 649 (7)</t>
  </si>
  <si>
    <t>57KSPI</t>
  </si>
  <si>
    <t>58KSPId</t>
  </si>
  <si>
    <t>59KZAP</t>
  </si>
  <si>
    <t>60KZTCb3</t>
  </si>
  <si>
    <t>18,48</t>
  </si>
  <si>
    <t>822 (2)</t>
  </si>
  <si>
    <t>61KZTK</t>
  </si>
  <si>
    <t>62KZTKp</t>
  </si>
  <si>
    <t>63KZTO</t>
  </si>
  <si>
    <t>64KZ_23_3504</t>
  </si>
  <si>
    <t>4,90</t>
  </si>
  <si>
    <t>3 364 (9)</t>
  </si>
  <si>
    <t>65MFMCb2</t>
  </si>
  <si>
    <t>339 (1)</t>
  </si>
  <si>
    <t>66MFMOb15</t>
  </si>
  <si>
    <t>23,02</t>
  </si>
  <si>
    <t>343 (1)</t>
  </si>
  <si>
    <t>67MFMOb23</t>
  </si>
  <si>
    <t>22,44</t>
  </si>
  <si>
    <t>521 (1)</t>
  </si>
  <si>
    <t>68MFMOb24</t>
  </si>
  <si>
    <t>567 (2)</t>
  </si>
  <si>
    <t>69MFMOb25</t>
  </si>
  <si>
    <t>22,53</t>
  </si>
  <si>
    <t>606 (2)</t>
  </si>
  <si>
    <t>70MFMOb29</t>
  </si>
  <si>
    <t>661 (2)</t>
  </si>
  <si>
    <t>71MFMOb33</t>
  </si>
  <si>
    <t>72MFOKb18</t>
  </si>
  <si>
    <t>21,53</t>
  </si>
  <si>
    <t>141 (0)</t>
  </si>
  <si>
    <t>73MFOKb19</t>
  </si>
  <si>
    <t>11,12</t>
  </si>
  <si>
    <t>463 (1)</t>
  </si>
  <si>
    <t>74MFOKb20</t>
  </si>
  <si>
    <t>610 (2)</t>
  </si>
  <si>
    <t>75MFOKb21</t>
  </si>
  <si>
    <t>773 (2)</t>
  </si>
  <si>
    <t>76MFOKb22</t>
  </si>
  <si>
    <t>22,74</t>
  </si>
  <si>
    <t>316 (1)</t>
  </si>
  <si>
    <t>77MFOKb24</t>
  </si>
  <si>
    <t>21,15</t>
  </si>
  <si>
    <t>817 (2)</t>
  </si>
  <si>
    <t>78MFOKb25</t>
  </si>
  <si>
    <t>836 (2)</t>
  </si>
  <si>
    <t>79MFOKb26</t>
  </si>
  <si>
    <t>20,62</t>
  </si>
  <si>
    <t>915 (3)</t>
  </si>
  <si>
    <t>80MFOKb31</t>
  </si>
  <si>
    <t>21,46</t>
  </si>
  <si>
    <t>1 066 (3)</t>
  </si>
  <si>
    <t>81MFRFb11</t>
  </si>
  <si>
    <t>23,00</t>
  </si>
  <si>
    <t>61 (0)</t>
  </si>
  <si>
    <t>82MFRFb13</t>
  </si>
  <si>
    <t>20,85</t>
  </si>
  <si>
    <t>570 (2)</t>
  </si>
  <si>
    <t>83MFRFb14</t>
  </si>
  <si>
    <t>325 (1)</t>
  </si>
  <si>
    <t>84MFRFb16</t>
  </si>
  <si>
    <t>25,21</t>
  </si>
  <si>
    <t>833 (2)</t>
  </si>
  <si>
    <t>85MFRFb19</t>
  </si>
  <si>
    <t>22,58</t>
  </si>
  <si>
    <t>921 (3)</t>
  </si>
  <si>
    <t>86MFRFb24</t>
  </si>
  <si>
    <t>21,94</t>
  </si>
  <si>
    <t>1 039 (3)</t>
  </si>
  <si>
    <t>87MFSCb5</t>
  </si>
  <si>
    <t>МФО "Swiss Capital (Свисс Капитал)</t>
  </si>
  <si>
    <t>14,91</t>
  </si>
  <si>
    <t>500 (1)</t>
  </si>
  <si>
    <t>88MFSLb3</t>
  </si>
  <si>
    <t>22,85</t>
  </si>
  <si>
    <t>297 (1)</t>
  </si>
  <si>
    <t>89MFTSb1</t>
  </si>
  <si>
    <t>31,53</t>
  </si>
  <si>
    <t>9 (0)</t>
  </si>
  <si>
    <t>90MFTSb2</t>
  </si>
  <si>
    <t>224 (1)</t>
  </si>
  <si>
    <t>91MFTSb3</t>
  </si>
  <si>
    <t>580 (2)</t>
  </si>
  <si>
    <t>92MKM012_0160</t>
  </si>
  <si>
    <t>63 (0)</t>
  </si>
  <si>
    <t>93MKM012_0161</t>
  </si>
  <si>
    <t>161 (0)</t>
  </si>
  <si>
    <t>94MOM048_0052</t>
  </si>
  <si>
    <t>46 (0)</t>
  </si>
  <si>
    <t>95MOM048_0053</t>
  </si>
  <si>
    <t>16,59</t>
  </si>
  <si>
    <t>199 (1)</t>
  </si>
  <si>
    <t>96MOM048_0054</t>
  </si>
  <si>
    <t>281 (1)</t>
  </si>
  <si>
    <t>97MOM048_0056</t>
  </si>
  <si>
    <t>16,04</t>
  </si>
  <si>
    <t>1 322 (4)</t>
  </si>
  <si>
    <t>98MOM060_0052</t>
  </si>
  <si>
    <t>16,64</t>
  </si>
  <si>
    <t>239 (1)</t>
  </si>
  <si>
    <t>99MOM060_0054</t>
  </si>
  <si>
    <t>703 (2)</t>
  </si>
  <si>
    <t>100MOM060_0055</t>
  </si>
  <si>
    <t>15,84</t>
  </si>
  <si>
    <t>1 744 (5)</t>
  </si>
  <si>
    <t>101MRDNb1</t>
  </si>
  <si>
    <t>Управляющая компания "Marden Property"</t>
  </si>
  <si>
    <t>10,26</t>
  </si>
  <si>
    <t>636 (2)</t>
  </si>
  <si>
    <t>102MTC048_0001</t>
  </si>
  <si>
    <t>17,56</t>
  </si>
  <si>
    <t>1 333 (4)</t>
  </si>
  <si>
    <t>103MTM048_0001</t>
  </si>
  <si>
    <t>17,43</t>
  </si>
  <si>
    <t>274 (1)</t>
  </si>
  <si>
    <t>104MTM060_0001</t>
  </si>
  <si>
    <t>17,66</t>
  </si>
  <si>
    <t>669 (2)</t>
  </si>
  <si>
    <t>105MTM072_0001</t>
  </si>
  <si>
    <t>17,90</t>
  </si>
  <si>
    <t>1 063 (3)</t>
  </si>
  <si>
    <t>106MTM084_0001</t>
  </si>
  <si>
    <t>17,98</t>
  </si>
  <si>
    <t>1 528 (4)</t>
  </si>
  <si>
    <t>107MTM096_0001</t>
  </si>
  <si>
    <t>18,09</t>
  </si>
  <si>
    <t>1 838 (5)</t>
  </si>
  <si>
    <t>108MUJ156_0004</t>
  </si>
  <si>
    <t>295 (1)</t>
  </si>
  <si>
    <t>109MUJ168_0004</t>
  </si>
  <si>
    <t>11,94</t>
  </si>
  <si>
    <t>114 (0)</t>
  </si>
  <si>
    <t>110MUJ168_0005</t>
  </si>
  <si>
    <t>263 (1)</t>
  </si>
  <si>
    <t>111MUJ180_0008</t>
  </si>
  <si>
    <t>1 088 (3)</t>
  </si>
  <si>
    <t>112MUJ192_0003</t>
  </si>
  <si>
    <t>12,06</t>
  </si>
  <si>
    <t>173 (0)</t>
  </si>
  <si>
    <t>113MUJ192_0004</t>
  </si>
  <si>
    <t>12,52</t>
  </si>
  <si>
    <t>1 519 (4)</t>
  </si>
  <si>
    <t>114MUJ204_0001</t>
  </si>
  <si>
    <t>115MUJ204_0002</t>
  </si>
  <si>
    <t>235 (1)</t>
  </si>
  <si>
    <t>116MUJ204_0003</t>
  </si>
  <si>
    <t>504 (1)</t>
  </si>
  <si>
    <t>117MUJ204_0004</t>
  </si>
  <si>
    <t>594 (2)</t>
  </si>
  <si>
    <t>118MUJ204_0005</t>
  </si>
  <si>
    <t>1 163 (3)</t>
  </si>
  <si>
    <t>119MUJ204_0006</t>
  </si>
  <si>
    <t>1 283 (4)</t>
  </si>
  <si>
    <t>120MUJ216_0001</t>
  </si>
  <si>
    <t>564 (2)</t>
  </si>
  <si>
    <t>121MUJ216_0002</t>
  </si>
  <si>
    <t>711 (2)</t>
  </si>
  <si>
    <t>122MUJ216_0003</t>
  </si>
  <si>
    <t>800 (2)</t>
  </si>
  <si>
    <t>123MUJ216_0004</t>
  </si>
  <si>
    <t>1 342 (4)</t>
  </si>
  <si>
    <t>124MUJ216_0005</t>
  </si>
  <si>
    <t>1 615 (4)</t>
  </si>
  <si>
    <t>125MUJ228_0001</t>
  </si>
  <si>
    <t>982 (3)</t>
  </si>
  <si>
    <t>126MUJ228_0002</t>
  </si>
  <si>
    <t>1 105 (3)</t>
  </si>
  <si>
    <t>127MUJ228_0003</t>
  </si>
  <si>
    <t>128MUJ228_0004</t>
  </si>
  <si>
    <t>1 493 (4)</t>
  </si>
  <si>
    <t>129MUJ228_0005</t>
  </si>
  <si>
    <t>1 734 (5)</t>
  </si>
  <si>
    <t>130MUJ228_0006</t>
  </si>
  <si>
    <t>2 092 (6)</t>
  </si>
  <si>
    <t>131MUJ240_0001</t>
  </si>
  <si>
    <t>2 184 (6)</t>
  </si>
  <si>
    <t>132MUM072_0013</t>
  </si>
  <si>
    <t>17,18</t>
  </si>
  <si>
    <t>524 (1)</t>
  </si>
  <si>
    <t>133MUM072_0014</t>
  </si>
  <si>
    <t>1 168 (3)</t>
  </si>
  <si>
    <t>134MUM072_0015</t>
  </si>
  <si>
    <t>1 532 (4)</t>
  </si>
  <si>
    <t>135MUM084_0018</t>
  </si>
  <si>
    <t>16,97</t>
  </si>
  <si>
    <t>847 (2)</t>
  </si>
  <si>
    <t>136MUM084_0019</t>
  </si>
  <si>
    <t>16,40</t>
  </si>
  <si>
    <t>1 877 (5)</t>
  </si>
  <si>
    <t>137MUM084_0020</t>
  </si>
  <si>
    <t>16,28</t>
  </si>
  <si>
    <t>2 251 (6)</t>
  </si>
  <si>
    <t>138MUM096_0011</t>
  </si>
  <si>
    <t>16,82</t>
  </si>
  <si>
    <t>1 042 (3)</t>
  </si>
  <si>
    <t>139MUM096_0012</t>
  </si>
  <si>
    <t>1 313 (4)</t>
  </si>
  <si>
    <t>140MUM096_0013</t>
  </si>
  <si>
    <t>16,56</t>
  </si>
  <si>
    <t>1 499 (4)</t>
  </si>
  <si>
    <t>141MUM096_0014</t>
  </si>
  <si>
    <t>1 957 (5)</t>
  </si>
  <si>
    <t>142MUM096_0015</t>
  </si>
  <si>
    <t>16,20</t>
  </si>
  <si>
    <t>2 700 (8)</t>
  </si>
  <si>
    <t>143MUM108_0012</t>
  </si>
  <si>
    <t>208 (1)</t>
  </si>
  <si>
    <t>144MUM108_0013</t>
  </si>
  <si>
    <t>16,72</t>
  </si>
  <si>
    <t>1 196 (3)</t>
  </si>
  <si>
    <t>145MUM108_0014</t>
  </si>
  <si>
    <t>16,26</t>
  </si>
  <si>
    <t>2 324 (6)</t>
  </si>
  <si>
    <t>146MUM108_0015</t>
  </si>
  <si>
    <t>2 971 (8)</t>
  </si>
  <si>
    <t>147MUM120_0017</t>
  </si>
  <si>
    <t>17,22</t>
  </si>
  <si>
    <t>451 (1)</t>
  </si>
  <si>
    <t>148MUM120_0018</t>
  </si>
  <si>
    <t>17,16</t>
  </si>
  <si>
    <t>149MUM120_0019</t>
  </si>
  <si>
    <t>16,35</t>
  </si>
  <si>
    <t>1 902 (5)</t>
  </si>
  <si>
    <t>150MUM120_0020</t>
  </si>
  <si>
    <t>3 308 (9)</t>
  </si>
  <si>
    <t>151MUM132_0007</t>
  </si>
  <si>
    <t>2 391 (7)</t>
  </si>
  <si>
    <t>152MUM144_0009</t>
  </si>
  <si>
    <t>2 778 (8)</t>
  </si>
  <si>
    <t>153MUM156_0005</t>
  </si>
  <si>
    <t>555 (2)</t>
  </si>
  <si>
    <t>154MUM156_0006</t>
  </si>
  <si>
    <t>1 955 (5)</t>
  </si>
  <si>
    <t>155MUM156_0007</t>
  </si>
  <si>
    <t>16,13</t>
  </si>
  <si>
    <t>2 952 (8)</t>
  </si>
  <si>
    <t>156MUM156_0008</t>
  </si>
  <si>
    <t>16,01</t>
  </si>
  <si>
    <t>4 487 (12)</t>
  </si>
  <si>
    <t>157MUM168_0003</t>
  </si>
  <si>
    <t>16,23</t>
  </si>
  <si>
    <t>2 291 (6)</t>
  </si>
  <si>
    <t>158MUM168_0005</t>
  </si>
  <si>
    <t>16,06</t>
  </si>
  <si>
    <t>3 335 (9)</t>
  </si>
  <si>
    <t>159MUM180_0004</t>
  </si>
  <si>
    <t>17,32</t>
  </si>
  <si>
    <t>253 (1)</t>
  </si>
  <si>
    <t>160MUM180_0005</t>
  </si>
  <si>
    <t>17,34</t>
  </si>
  <si>
    <t>348 (1)</t>
  </si>
  <si>
    <t>161MUM180_0006</t>
  </si>
  <si>
    <t>472 (1)</t>
  </si>
  <si>
    <t>162MUM180_0007</t>
  </si>
  <si>
    <t>17,13</t>
  </si>
  <si>
    <t>163MUM180_0008</t>
  </si>
  <si>
    <t>17,09</t>
  </si>
  <si>
    <t>679 (2)</t>
  </si>
  <si>
    <t>164MUM180_0009</t>
  </si>
  <si>
    <t>16,79</t>
  </si>
  <si>
    <t>1 085 (3)</t>
  </si>
  <si>
    <t>165MUM180_0011</t>
  </si>
  <si>
    <t>1 328 (4)</t>
  </si>
  <si>
    <t>166MUM180_0012</t>
  </si>
  <si>
    <t>16,54</t>
  </si>
  <si>
    <t>167MUM180_0013</t>
  </si>
  <si>
    <t>2 639 (7)</t>
  </si>
  <si>
    <t>168MUM180_0014</t>
  </si>
  <si>
    <t>2 658 (7)</t>
  </si>
  <si>
    <t>169MUM180_0015</t>
  </si>
  <si>
    <t>3 860 (11)</t>
  </si>
  <si>
    <t>170MUM180_0016</t>
  </si>
  <si>
    <t>4 013 (11)</t>
  </si>
  <si>
    <t>171MUM192_0001</t>
  </si>
  <si>
    <t>674 (2)</t>
  </si>
  <si>
    <t>172MUM192_0002</t>
  </si>
  <si>
    <t>16,95</t>
  </si>
  <si>
    <t>853 (2)</t>
  </si>
  <si>
    <t>173MUM192_0003</t>
  </si>
  <si>
    <t>1 005 (3)</t>
  </si>
  <si>
    <t>174MUM216_0001</t>
  </si>
  <si>
    <t>3 835 (11)</t>
  </si>
  <si>
    <t>175MUM216_0002</t>
  </si>
  <si>
    <t>4 026 (11)</t>
  </si>
  <si>
    <t>176MUM240_0001</t>
  </si>
  <si>
    <t>16,19</t>
  </si>
  <si>
    <t>2 299 (6)</t>
  </si>
  <si>
    <t>177MUM240_0002</t>
  </si>
  <si>
    <t>16,08</t>
  </si>
  <si>
    <t>3 037 (8)</t>
  </si>
  <si>
    <t>178MUM240_0004</t>
  </si>
  <si>
    <t>16,05</t>
  </si>
  <si>
    <t>3 294 (9)</t>
  </si>
  <si>
    <t>179MUM300_0001</t>
  </si>
  <si>
    <t>4 695 (13)</t>
  </si>
  <si>
    <t>180MUM300_0002</t>
  </si>
  <si>
    <t>4 910 (14)</t>
  </si>
  <si>
    <t>181MUM300_0003</t>
  </si>
  <si>
    <t>5 121 (14)</t>
  </si>
  <si>
    <t>182MUM360_0001</t>
  </si>
  <si>
    <t>15,91</t>
  </si>
  <si>
    <t>6 771 (19)</t>
  </si>
  <si>
    <t>183MUX072_0003</t>
  </si>
  <si>
    <t>1 916 (5)</t>
  </si>
  <si>
    <t>184NCOMb7</t>
  </si>
  <si>
    <t>10,98</t>
  </si>
  <si>
    <t>185NTK028_2869</t>
  </si>
  <si>
    <t>15,87</t>
  </si>
  <si>
    <t>5 (0)</t>
  </si>
  <si>
    <t>186PRKRe1</t>
  </si>
  <si>
    <t>111 (0)</t>
  </si>
  <si>
    <t>187SKKZe1</t>
  </si>
  <si>
    <t>323 (1)</t>
  </si>
  <si>
    <t>188UZPAb1</t>
  </si>
  <si>
    <t>23,40</t>
  </si>
  <si>
    <t>899 (2)</t>
  </si>
  <si>
    <t>Расчетная цена на 06.12.25</t>
  </si>
  <si>
    <t>Расчетная грязная цена 06.12.25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</si>
</sst>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176" fontId="10" fillId="0" borderId="4" xfId="134" applyNumberFormat="1" applyFont="1" applyFill="1" applyBorder="1" applyAlignment="1"/>
    <xf numFmtId="0" fontId="10" fillId="0" borderId="11" xfId="134" applyNumberFormat="1" applyFont="1" applyFill="1" applyBorder="1" applyAlignment="1"/>
    <xf numFmtId="0" fontId="10" fillId="0" borderId="4" xfId="134" applyNumberFormat="1" applyFont="1" applyFill="1" applyBorder="1" applyAlignment="1"/>
    <xf numFmtId="177" fontId="10" fillId="0" borderId="4" xfId="134" applyNumberFormat="1" applyFont="1" applyFill="1" applyBorder="1" applyAlignment="1"/>
    <xf numFmtId="176" fontId="10" fillId="0" borderId="0" xfId="134" applyNumberFormat="1" applyFont="1" applyFill="1" applyBorder="1" applyAlignment="1"/>
    <xf numFmtId="4" fontId="10" fillId="0" borderId="0" xfId="134" applyNumberFormat="1" applyFont="1" applyFill="1" applyBorder="1" applyAlignment="1"/>
    <xf numFmtId="169" fontId="10" fillId="0" borderId="0" xfId="134" applyNumberFormat="1" applyFont="1" applyFill="1" applyBorder="1" applyAlignment="1"/>
    <xf numFmtId="178" fontId="10" fillId="0" borderId="0" xfId="134" applyNumberFormat="1" applyFont="1" applyFill="1" applyBorder="1" applyAlignment="1"/>
    <xf numFmtId="3" fontId="10" fillId="0" borderId="0" xfId="134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62" xfId="134" xr:uid="{A336AF91-39C4-49A5-B5B6-481858CA312A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shares/KZAP" TargetMode="External"/><Relationship Id="rId299" Type="http://schemas.openxmlformats.org/officeDocument/2006/relationships/hyperlink" Target="https://kase.kz/ru/investors/gsecs/MUM120_0020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bonds/FPSTb6" TargetMode="External"/><Relationship Id="rId159" Type="http://schemas.openxmlformats.org/officeDocument/2006/relationships/hyperlink" Target="https://kase.kz/ru/investors/bonds/MFOKb31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CBN" TargetMode="External"/><Relationship Id="rId128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4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TSb3" TargetMode="External"/><Relationship Id="rId237" Type="http://schemas.openxmlformats.org/officeDocument/2006/relationships/hyperlink" Target="https://kase.kz/ru/investors/gsecs/MUJ204_0006" TargetMode="External"/><Relationship Id="rId279" Type="http://schemas.openxmlformats.org/officeDocument/2006/relationships/hyperlink" Target="https://kase.kz/ru/investors/gsecs/MUM096_0013" TargetMode="External"/><Relationship Id="rId43" Type="http://schemas.openxmlformats.org/officeDocument/2006/relationships/hyperlink" Target="https://kase.kz/ru/investors/bonds/CLSGb3" TargetMode="External"/><Relationship Id="rId139" Type="http://schemas.openxmlformats.org/officeDocument/2006/relationships/hyperlink" Target="https://kase.kz/ru/investors/bonds/MFMOb2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HSBKb22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68_0005" TargetMode="External"/><Relationship Id="rId357" Type="http://schemas.openxmlformats.org/officeDocument/2006/relationships/hyperlink" Target="https://kase.kz/ru/investors/gsecs/MUM300_0001" TargetMode="External"/><Relationship Id="rId54" Type="http://schemas.openxmlformats.org/officeDocument/2006/relationships/hyperlink" Target="https://kase.kz/ru/listing/issuers/EABR" TargetMode="External"/><Relationship Id="rId96" Type="http://schemas.openxmlformats.org/officeDocument/2006/relationships/hyperlink" Target="https://kase.kz/ru/listing/issuers/KAFI" TargetMode="External"/><Relationship Id="rId161" Type="http://schemas.openxmlformats.org/officeDocument/2006/relationships/hyperlink" Target="https://kase.kz/ru/investors/bonds/MFRFb11" TargetMode="External"/><Relationship Id="rId217" Type="http://schemas.openxmlformats.org/officeDocument/2006/relationships/hyperlink" Target="https://kase.kz/ru/investors/gsecs/MUJ168_0004" TargetMode="External"/><Relationship Id="rId259" Type="http://schemas.openxmlformats.org/officeDocument/2006/relationships/hyperlink" Target="https://kase.kz/ru/investors/gsecs/MUJ228_0006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KZTCb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1" TargetMode="External"/><Relationship Id="rId130" Type="http://schemas.openxmlformats.org/officeDocument/2006/relationships/hyperlink" Target="https://kase.kz/ru/listing/issuers/MFMC" TargetMode="External"/><Relationship Id="rId368" Type="http://schemas.openxmlformats.org/officeDocument/2006/relationships/hyperlink" Target="https://kase.kz/ru/listing/issuers/NCOM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4" TargetMode="External"/><Relationship Id="rId337" Type="http://schemas.openxmlformats.org/officeDocument/2006/relationships/hyperlink" Target="https://kase.kz/ru/investors/gsecs/MUM180_0015" TargetMode="External"/><Relationship Id="rId34" Type="http://schemas.openxmlformats.org/officeDocument/2006/relationships/hyperlink" Target="https://kase.kz/ru/listing/issuers/BRKZ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MOb33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KM012_0160" TargetMode="External"/><Relationship Id="rId239" Type="http://schemas.openxmlformats.org/officeDocument/2006/relationships/hyperlink" Target="https://kase.kz/ru/investors/gsecs/MUJ216_0001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fe" TargetMode="External"/><Relationship Id="rId87" Type="http://schemas.openxmlformats.org/officeDocument/2006/relationships/hyperlink" Target="https://kase.kz/ru/investors/depts/HSBKd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J240_0001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80_0004" TargetMode="External"/><Relationship Id="rId359" Type="http://schemas.openxmlformats.org/officeDocument/2006/relationships/hyperlink" Target="https://kase.kz/ru/investors/gsecs/MUM300_0002" TargetMode="External"/><Relationship Id="rId98" Type="http://schemas.openxmlformats.org/officeDocument/2006/relationships/hyperlink" Target="https://kase.kz/ru/listing/issuers/KASA" TargetMode="External"/><Relationship Id="rId121" Type="http://schemas.openxmlformats.org/officeDocument/2006/relationships/hyperlink" Target="https://kase.kz/ru/investors/shares/KZTK" TargetMode="External"/><Relationship Id="rId163" Type="http://schemas.openxmlformats.org/officeDocument/2006/relationships/hyperlink" Target="https://kase.kz/ru/investors/bonds/MFRFb13" TargetMode="External"/><Relationship Id="rId219" Type="http://schemas.openxmlformats.org/officeDocument/2006/relationships/hyperlink" Target="https://kase.kz/ru/investors/gsecs/MUJ168_0005" TargetMode="External"/><Relationship Id="rId370" Type="http://schemas.openxmlformats.org/officeDocument/2006/relationships/hyperlink" Target="https://kase.kz/ru/listing/issuers/NB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3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SC" TargetMode="External"/><Relationship Id="rId241" Type="http://schemas.openxmlformats.org/officeDocument/2006/relationships/hyperlink" Target="https://kase.kz/ru/investors/gsecs/MUJ216_0002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5" TargetMode="External"/><Relationship Id="rId339" Type="http://schemas.openxmlformats.org/officeDocument/2006/relationships/hyperlink" Target="https://kase.kz/ru/investors/gsecs/MUM180_0016" TargetMode="External"/><Relationship Id="rId78" Type="http://schemas.openxmlformats.org/officeDocument/2006/relationships/hyperlink" Target="https://kase.kz/ru/listing/issuers/HFIN" TargetMode="External"/><Relationship Id="rId99" Type="http://schemas.openxmlformats.org/officeDocument/2006/relationships/hyperlink" Target="https://kase.kz/ru/investors/shares/KCEL" TargetMode="External"/><Relationship Id="rId101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K" TargetMode="External"/><Relationship Id="rId143" Type="http://schemas.openxmlformats.org/officeDocument/2006/relationships/hyperlink" Target="https://kase.kz/ru/investors/bonds/MFOKb18" TargetMode="External"/><Relationship Id="rId164" Type="http://schemas.openxmlformats.org/officeDocument/2006/relationships/hyperlink" Target="https://kase.kz/ru/listing/issuers/MFRF" TargetMode="External"/><Relationship Id="rId185" Type="http://schemas.openxmlformats.org/officeDocument/2006/relationships/hyperlink" Target="https://kase.kz/ru/investors/gsecs/MKM012_0161" TargetMode="External"/><Relationship Id="rId350" Type="http://schemas.openxmlformats.org/officeDocument/2006/relationships/hyperlink" Target="https://kase.kz/ru/listing/issuers/MFRK" TargetMode="External"/><Relationship Id="rId371" Type="http://schemas.openxmlformats.org/officeDocument/2006/relationships/hyperlink" Target="https://kase.kz/ru/investors/bonds/PRKRe1" TargetMode="External"/><Relationship Id="rId9" Type="http://schemas.openxmlformats.org/officeDocument/2006/relationships/hyperlink" Target="https://kase.kz/ru/investors/bonds/ASKQb1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04_000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84_0020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1" TargetMode="External"/><Relationship Id="rId47" Type="http://schemas.openxmlformats.org/officeDocument/2006/relationships/hyperlink" Target="https://kase.kz/ru/investors/mifs/CSECtf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bonds/IDFRb4" TargetMode="External"/><Relationship Id="rId112" Type="http://schemas.openxmlformats.org/officeDocument/2006/relationships/hyperlink" Target="https://kase.kz/ru/listing/issuers/KMGZ" TargetMode="External"/><Relationship Id="rId133" Type="http://schemas.openxmlformats.org/officeDocument/2006/relationships/hyperlink" Target="https://kase.kz/ru/investors/bonds/MFMOb23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SLb3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300_0003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80_0008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72_001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5" TargetMode="External"/><Relationship Id="rId37" Type="http://schemas.openxmlformats.org/officeDocument/2006/relationships/hyperlink" Target="https://kase.kz/ru/investors/bonds/BTRKe2" TargetMode="External"/><Relationship Id="rId58" Type="http://schemas.openxmlformats.org/officeDocument/2006/relationships/hyperlink" Target="https://kase.kz/ru/listing/issuers/FFIN" TargetMode="External"/><Relationship Id="rId79" Type="http://schemas.openxmlformats.org/officeDocument/2006/relationships/hyperlink" Target="https://kase.kz/ru/investors/mifs/HFINhs" TargetMode="External"/><Relationship Id="rId102" Type="http://schemas.openxmlformats.org/officeDocument/2006/relationships/hyperlink" Target="https://kase.kz/ru/listing/issuers/KEGC" TargetMode="External"/><Relationship Id="rId123" Type="http://schemas.openxmlformats.org/officeDocument/2006/relationships/hyperlink" Target="https://kase.kz/ru/investors/shares/KZTKp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IDFR" TargetMode="External"/><Relationship Id="rId165" Type="http://schemas.openxmlformats.org/officeDocument/2006/relationships/hyperlink" Target="https://kase.kz/ru/investors/bonds/MFRFb14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240_0001" TargetMode="External"/><Relationship Id="rId372" Type="http://schemas.openxmlformats.org/officeDocument/2006/relationships/hyperlink" Target="https://kase.kz/ru/listing/issuers/PRKR" TargetMode="External"/><Relationship Id="rId211" Type="http://schemas.openxmlformats.org/officeDocument/2006/relationships/hyperlink" Target="https://kase.kz/ru/investors/gsecs/MTM084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28_0003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20_0018" TargetMode="External"/><Relationship Id="rId309" Type="http://schemas.openxmlformats.org/officeDocument/2006/relationships/hyperlink" Target="https://kase.kz/ru/investors/gsecs/MUM156_0007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CSEC" TargetMode="External"/><Relationship Id="rId69" Type="http://schemas.openxmlformats.org/officeDocument/2006/relationships/hyperlink" Target="https://kase.kz/ru/investors/bonds/HCBNb15" TargetMode="External"/><Relationship Id="rId113" Type="http://schemas.openxmlformats.org/officeDocument/2006/relationships/hyperlink" Target="https://kase.kz/ru/investors/shares/KSPI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5" TargetMode="External"/><Relationship Id="rId176" Type="http://schemas.openxmlformats.org/officeDocument/2006/relationships/hyperlink" Target="https://kase.kz/ru/listing/issuers/MFSL" TargetMode="External"/><Relationship Id="rId197" Type="http://schemas.openxmlformats.org/officeDocument/2006/relationships/hyperlink" Target="https://kase.kz/ru/investors/gsecs/MOM060_0054" TargetMode="External"/><Relationship Id="rId341" Type="http://schemas.openxmlformats.org/officeDocument/2006/relationships/hyperlink" Target="https://kase.kz/ru/investors/gsecs/MUM192_0001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bonds/MRDNb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16_0003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08_0012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BTRK" TargetMode="External"/><Relationship Id="rId59" Type="http://schemas.openxmlformats.org/officeDocument/2006/relationships/hyperlink" Target="https://kase.kz/ru/investors/mifs/FHJIag" TargetMode="External"/><Relationship Id="rId103" Type="http://schemas.openxmlformats.org/officeDocument/2006/relationships/hyperlink" Target="https://kase.kz/ru/investors/bonds/KFUSb48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shares/IFDR" TargetMode="External"/><Relationship Id="rId145" Type="http://schemas.openxmlformats.org/officeDocument/2006/relationships/hyperlink" Target="https://kase.kz/ru/investors/bonds/MFOKb19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gsecs/MOM048_0052" TargetMode="External"/><Relationship Id="rId331" Type="http://schemas.openxmlformats.org/officeDocument/2006/relationships/hyperlink" Target="https://kase.kz/ru/investors/gsecs/MUM180_0012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bonds/SKKZe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0" TargetMode="External"/><Relationship Id="rId114" Type="http://schemas.openxmlformats.org/officeDocument/2006/relationships/hyperlink" Target="https://kase.kz/ru/listing/issuers/KSPI" TargetMode="External"/><Relationship Id="rId275" Type="http://schemas.openxmlformats.org/officeDocument/2006/relationships/hyperlink" Target="https://kase.kz/ru/investors/gsecs/MUM096_0011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HJI" TargetMode="External"/><Relationship Id="rId81" Type="http://schemas.openxmlformats.org/officeDocument/2006/relationships/hyperlink" Target="https://kase.kz/ru/investors/mifs/HFINhv" TargetMode="External"/><Relationship Id="rId135" Type="http://schemas.openxmlformats.org/officeDocument/2006/relationships/hyperlink" Target="https://kase.kz/ru/investors/bonds/MFMOb24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TSb1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06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360_0001" TargetMode="External"/><Relationship Id="rId202" Type="http://schemas.openxmlformats.org/officeDocument/2006/relationships/hyperlink" Target="https://kase.kz/ru/listing/issuers/MRDN" TargetMode="External"/><Relationship Id="rId223" Type="http://schemas.openxmlformats.org/officeDocument/2006/relationships/hyperlink" Target="https://kase.kz/ru/investors/gsecs/MUJ192_0003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" TargetMode="External"/><Relationship Id="rId265" Type="http://schemas.openxmlformats.org/officeDocument/2006/relationships/hyperlink" Target="https://kase.kz/ru/investors/gsecs/MUM072_0014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O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6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56_0008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40_0002" TargetMode="External"/><Relationship Id="rId374" Type="http://schemas.openxmlformats.org/officeDocument/2006/relationships/hyperlink" Target="https://kase.kz/ru/listing/issuers/SKKZ" TargetMode="External"/><Relationship Id="rId71" Type="http://schemas.openxmlformats.org/officeDocument/2006/relationships/hyperlink" Target="https://kase.kz/ru/investors/bonds/HCBNb17" TargetMode="External"/><Relationship Id="rId92" Type="http://schemas.openxmlformats.org/officeDocument/2006/relationships/hyperlink" Target="https://kase.kz/ru/listing/issuers/TCIB" TargetMode="External"/><Relationship Id="rId213" Type="http://schemas.openxmlformats.org/officeDocument/2006/relationships/hyperlink" Target="https://kase.kz/ru/investors/gsecs/MTM096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28_0004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20_0019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depts/KSPId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6" TargetMode="External"/><Relationship Id="rId178" Type="http://schemas.openxmlformats.org/officeDocument/2006/relationships/hyperlink" Target="https://kase.kz/ru/listing/issuers/MFTS" TargetMode="External"/><Relationship Id="rId301" Type="http://schemas.openxmlformats.org/officeDocument/2006/relationships/hyperlink" Target="https://kase.kz/ru/investors/gsecs/MUM132_0007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92_0002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FPSTb5" TargetMode="External"/><Relationship Id="rId82" Type="http://schemas.openxmlformats.org/officeDocument/2006/relationships/hyperlink" Target="https://kase.kz/ru/listing/issuers/HFIN" TargetMode="External"/><Relationship Id="rId199" Type="http://schemas.openxmlformats.org/officeDocument/2006/relationships/hyperlink" Target="https://kase.kz/ru/investors/gsecs/MOM060_0055" TargetMode="External"/><Relationship Id="rId203" Type="http://schemas.openxmlformats.org/officeDocument/2006/relationships/hyperlink" Target="https://kase.kz/ru/investors/gsecs/MTC048_0001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4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08_0013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bonds/KFUSb49" TargetMode="External"/><Relationship Id="rId126" Type="http://schemas.openxmlformats.org/officeDocument/2006/relationships/hyperlink" Target="https://kase.kz/ru/listing/issuers/KZTO" TargetMode="External"/><Relationship Id="rId147" Type="http://schemas.openxmlformats.org/officeDocument/2006/relationships/hyperlink" Target="https://kase.kz/ru/investors/bonds/MFOKb20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13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42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6" TargetMode="External"/><Relationship Id="rId189" Type="http://schemas.openxmlformats.org/officeDocument/2006/relationships/hyperlink" Target="https://kase.kz/ru/investors/gsecs/MOM048_0053" TargetMode="External"/><Relationship Id="rId375" Type="http://schemas.openxmlformats.org/officeDocument/2006/relationships/hyperlink" Target="https://kase.kz/ru/investors/bonds/UZPAb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96_0012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SPI" TargetMode="External"/><Relationship Id="rId137" Type="http://schemas.openxmlformats.org/officeDocument/2006/relationships/hyperlink" Target="https://kase.kz/ru/investors/bonds/MFMOb25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7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shares/CCBNp" TargetMode="External"/><Relationship Id="rId62" Type="http://schemas.openxmlformats.org/officeDocument/2006/relationships/hyperlink" Target="https://kase.kz/ru/listing/issuers/FPST" TargetMode="External"/><Relationship Id="rId83" Type="http://schemas.openxmlformats.org/officeDocument/2006/relationships/hyperlink" Target="https://kase.kz/ru/investors/shares/HSBK" TargetMode="External"/><Relationship Id="rId179" Type="http://schemas.openxmlformats.org/officeDocument/2006/relationships/hyperlink" Target="https://kase.kz/ru/investors/bonds/MFTSb2" TargetMode="External"/><Relationship Id="rId365" Type="http://schemas.openxmlformats.org/officeDocument/2006/relationships/hyperlink" Target="https://kase.kz/ru/investors/gsecs/MUX072_0003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92_000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72_0015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FUS" TargetMode="External"/><Relationship Id="rId127" Type="http://schemas.openxmlformats.org/officeDocument/2006/relationships/hyperlink" Target="https://kase.kz/ru/investors/gsecs/KZ_23_3504" TargetMode="External"/><Relationship Id="rId313" Type="http://schemas.openxmlformats.org/officeDocument/2006/relationships/hyperlink" Target="https://kase.kz/ru/investors/gsecs/MUM168_0003" TargetMode="External"/><Relationship Id="rId10" Type="http://schemas.openxmlformats.org/officeDocument/2006/relationships/hyperlink" Target="https://kase.kz/ru/listing/issuers/ASKQ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bonds/HCBNb19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9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40_0004" TargetMode="External"/><Relationship Id="rId376" Type="http://schemas.openxmlformats.org/officeDocument/2006/relationships/hyperlink" Target="https://kase.kz/ru/listing/issuers/UZPA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TS" TargetMode="External"/><Relationship Id="rId215" Type="http://schemas.openxmlformats.org/officeDocument/2006/relationships/hyperlink" Target="https://kase.kz/ru/investors/gsecs/MUJ156_0004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5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44_0009" TargetMode="External"/><Relationship Id="rId42" Type="http://schemas.openxmlformats.org/officeDocument/2006/relationships/hyperlink" Target="https://kase.kz/ru/listing/issuers/CCBN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92_0003" TargetMode="External"/><Relationship Id="rId191" Type="http://schemas.openxmlformats.org/officeDocument/2006/relationships/hyperlink" Target="https://kase.kz/ru/investors/gsecs/MOM048_0054" TargetMode="External"/><Relationship Id="rId205" Type="http://schemas.openxmlformats.org/officeDocument/2006/relationships/hyperlink" Target="https://kase.kz/ru/investors/gsecs/MTM048_0001" TargetMode="External"/><Relationship Id="rId247" Type="http://schemas.openxmlformats.org/officeDocument/2006/relationships/hyperlink" Target="https://kase.kz/ru/investors/gsecs/MUJ216_0005" TargetMode="External"/><Relationship Id="rId107" Type="http://schemas.openxmlformats.org/officeDocument/2006/relationships/hyperlink" Target="https://kase.kz/ru/investors/shares/KMGZ" TargetMode="External"/><Relationship Id="rId289" Type="http://schemas.openxmlformats.org/officeDocument/2006/relationships/hyperlink" Target="https://kase.kz/ru/investors/gsecs/MUM108_0014" TargetMode="External"/><Relationship Id="rId11" Type="http://schemas.openxmlformats.org/officeDocument/2006/relationships/hyperlink" Target="https://kase.kz/ru/investors/mifs/BCCI_cc" TargetMode="External"/><Relationship Id="rId53" Type="http://schemas.openxmlformats.org/officeDocument/2006/relationships/hyperlink" Target="https://kase.kz/ru/investors/bonds/EABRb53" TargetMode="External"/><Relationship Id="rId149" Type="http://schemas.openxmlformats.org/officeDocument/2006/relationships/hyperlink" Target="https://kase.kz/ru/investors/bonds/MFOKb21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FIb17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FPST" TargetMode="External"/><Relationship Id="rId118" Type="http://schemas.openxmlformats.org/officeDocument/2006/relationships/hyperlink" Target="https://kase.kz/ru/listing/issuers/KZAP" TargetMode="External"/><Relationship Id="rId325" Type="http://schemas.openxmlformats.org/officeDocument/2006/relationships/hyperlink" Target="https://kase.kz/ru/investors/gsecs/MUM180_0008" TargetMode="External"/><Relationship Id="rId367" Type="http://schemas.openxmlformats.org/officeDocument/2006/relationships/hyperlink" Target="https://kase.kz/ru/investors/bonds/NCOMb7" TargetMode="External"/><Relationship Id="rId171" Type="http://schemas.openxmlformats.org/officeDocument/2006/relationships/hyperlink" Target="https://kase.kz/ru/investors/bonds/MFRFb24" TargetMode="External"/><Relationship Id="rId227" Type="http://schemas.openxmlformats.org/officeDocument/2006/relationships/hyperlink" Target="https://kase.kz/ru/investors/gsecs/MUJ204_0001" TargetMode="External"/><Relationship Id="rId269" Type="http://schemas.openxmlformats.org/officeDocument/2006/relationships/hyperlink" Target="https://kase.kz/ru/investors/gsecs/MUM084_0018" TargetMode="External"/><Relationship Id="rId33" Type="http://schemas.openxmlformats.org/officeDocument/2006/relationships/hyperlink" Target="https://kase.kz/ru/investors/bonds/BRKZe4" TargetMode="External"/><Relationship Id="rId129" Type="http://schemas.openxmlformats.org/officeDocument/2006/relationships/hyperlink" Target="https://kase.kz/ru/investors/bonds/MFMC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l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TS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08_0015" TargetMode="External"/><Relationship Id="rId305" Type="http://schemas.openxmlformats.org/officeDocument/2006/relationships/hyperlink" Target="https://kase.kz/ru/investors/gsecs/MUM156_0005" TargetMode="External"/><Relationship Id="rId347" Type="http://schemas.openxmlformats.org/officeDocument/2006/relationships/hyperlink" Target="https://kase.kz/ru/investors/gsecs/MUM216_0001" TargetMode="External"/><Relationship Id="rId44" Type="http://schemas.openxmlformats.org/officeDocument/2006/relationships/hyperlink" Target="https://kase.kz/ru/listing/issuers/CLSG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2" TargetMode="External"/><Relationship Id="rId193" Type="http://schemas.openxmlformats.org/officeDocument/2006/relationships/hyperlink" Target="https://kase.kz/ru/investors/gsecs/MOM048_0056" TargetMode="External"/><Relationship Id="rId207" Type="http://schemas.openxmlformats.org/officeDocument/2006/relationships/hyperlink" Target="https://kase.kz/ru/investors/gsecs/MTM060_0001" TargetMode="External"/><Relationship Id="rId249" Type="http://schemas.openxmlformats.org/officeDocument/2006/relationships/hyperlink" Target="https://kase.kz/ru/investors/gsecs/MUJ228_0001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KMGZe14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_or" TargetMode="External"/><Relationship Id="rId97" Type="http://schemas.openxmlformats.org/officeDocument/2006/relationships/hyperlink" Target="https://kase.kz/ru/investors/bonds/KASAb1" TargetMode="External"/><Relationship Id="rId120" Type="http://schemas.openxmlformats.org/officeDocument/2006/relationships/hyperlink" Target="https://kase.kz/ru/listing/issuers/KZTC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RF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84_0019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15" TargetMode="External"/><Relationship Id="rId327" Type="http://schemas.openxmlformats.org/officeDocument/2006/relationships/hyperlink" Target="https://kase.kz/ru/investors/gsecs/MUM180_0009" TargetMode="External"/><Relationship Id="rId369" Type="http://schemas.openxmlformats.org/officeDocument/2006/relationships/hyperlink" Target="https://kase.kz/ru/investors/gsecs/NTK028_2869" TargetMode="External"/><Relationship Id="rId173" Type="http://schemas.openxmlformats.org/officeDocument/2006/relationships/hyperlink" Target="https://kase.kz/ru/investors/bonds/MFSCb5" TargetMode="External"/><Relationship Id="rId229" Type="http://schemas.openxmlformats.org/officeDocument/2006/relationships/hyperlink" Target="https://kase.kz/ru/investors/gsecs/MUJ204_0002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1" TargetMode="External"/><Relationship Id="rId77" Type="http://schemas.openxmlformats.org/officeDocument/2006/relationships/hyperlink" Target="https://kase.kz/ru/investors/mifs/HFINhp" TargetMode="External"/><Relationship Id="rId100" Type="http://schemas.openxmlformats.org/officeDocument/2006/relationships/hyperlink" Target="https://kase.kz/ru/listing/issuers/KCEL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MO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J228_0002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20_0017" TargetMode="External"/><Relationship Id="rId307" Type="http://schemas.openxmlformats.org/officeDocument/2006/relationships/hyperlink" Target="https://kase.kz/ru/investors/gsecs/MUM156_0006" TargetMode="External"/><Relationship Id="rId349" Type="http://schemas.openxmlformats.org/officeDocument/2006/relationships/hyperlink" Target="https://kase.kz/ru/investors/gsecs/MUM216_0002" TargetMode="External"/><Relationship Id="rId88" Type="http://schemas.openxmlformats.org/officeDocument/2006/relationships/hyperlink" Target="https://kase.kz/ru/listing/issuers/HSBK" TargetMode="External"/><Relationship Id="rId111" Type="http://schemas.openxmlformats.org/officeDocument/2006/relationships/hyperlink" Target="https://kase.kz/ru/investors/bonds/KMGZe16" TargetMode="External"/><Relationship Id="rId153" Type="http://schemas.openxmlformats.org/officeDocument/2006/relationships/hyperlink" Target="https://kase.kz/ru/investors/bonds/MFOKb24" TargetMode="External"/><Relationship Id="rId195" Type="http://schemas.openxmlformats.org/officeDocument/2006/relationships/hyperlink" Target="https://kase.kz/ru/investors/gsecs/MOM060_0052" TargetMode="External"/><Relationship Id="rId209" Type="http://schemas.openxmlformats.org/officeDocument/2006/relationships/hyperlink" Target="https://kase.kz/ru/investors/gsecs/MTM072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57" Type="http://schemas.openxmlformats.org/officeDocument/2006/relationships/hyperlink" Target="https://kase.kz/ru/investors/mifs/FFINgw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zoomScale="90" zoomScaleNormal="90" workbookViewId="0">
      <pane ySplit="5" topLeftCell="A64" activePane="bottomLeft" state="frozen"/>
      <selection pane="bottomLeft" activeCell="D87" sqref="D87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229</v>
      </c>
      <c r="B1" s="14">
        <v>45997</v>
      </c>
    </row>
    <row r="2" spans="1:23" x14ac:dyDescent="0.25">
      <c r="A2" s="6" t="s">
        <v>230</v>
      </c>
    </row>
    <row r="3" spans="1:23" x14ac:dyDescent="0.25">
      <c r="H3" s="8"/>
      <c r="K3" s="8"/>
    </row>
    <row r="4" spans="1:23" ht="15.75" thickBot="1" x14ac:dyDescent="0.3">
      <c r="A4" s="5" t="s">
        <v>231</v>
      </c>
      <c r="H4" s="8"/>
      <c r="L4" s="8"/>
      <c r="M4" s="8"/>
    </row>
    <row r="5" spans="1:23" ht="34.5" thickBot="1" x14ac:dyDescent="0.3">
      <c r="A5" s="1" t="s">
        <v>234</v>
      </c>
      <c r="B5" s="1" t="s">
        <v>0</v>
      </c>
      <c r="C5" s="1" t="s">
        <v>260</v>
      </c>
      <c r="D5" s="2" t="s">
        <v>327</v>
      </c>
      <c r="E5" s="2" t="s">
        <v>228</v>
      </c>
      <c r="F5" s="2" t="s">
        <v>227</v>
      </c>
      <c r="G5" s="2" t="s">
        <v>1</v>
      </c>
      <c r="H5" s="2" t="s">
        <v>350</v>
      </c>
      <c r="I5" s="2" t="s">
        <v>3066</v>
      </c>
      <c r="J5" s="2" t="s">
        <v>3067</v>
      </c>
      <c r="K5" s="2" t="s">
        <v>2</v>
      </c>
      <c r="L5" s="2" t="s">
        <v>360</v>
      </c>
      <c r="M5" s="2" t="s">
        <v>3</v>
      </c>
      <c r="N5" s="8"/>
    </row>
    <row r="6" spans="1:23" x14ac:dyDescent="0.25">
      <c r="A6" s="27" t="s">
        <v>257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340</v>
      </c>
      <c r="H6" s="29">
        <f>2755458875/3250000000*D6</f>
        <v>1483708625</v>
      </c>
      <c r="I6" s="32">
        <f>VLOOKUP(B6,'KASE за 05.12.25'!$C$5:$F$183,4,0)</f>
        <v>87.12</v>
      </c>
      <c r="J6" s="32">
        <f>VLOOKUP(B6,'KASE за 05.12.25'!$C$5:$G$183,5,0)</f>
        <v>90.902000000000001</v>
      </c>
      <c r="K6" s="100">
        <v>66451875</v>
      </c>
      <c r="L6" s="29">
        <f>D6*I6/100+K6</f>
        <v>1591051875</v>
      </c>
      <c r="M6" s="33">
        <f t="shared" ref="M6:M37" si="0">L6/$L$63</f>
        <v>5.7760612065824661E-2</v>
      </c>
      <c r="N6" s="13">
        <f>D6*E6%/360</f>
        <v>266875.00000000006</v>
      </c>
      <c r="O6" s="12">
        <f>K6+N6</f>
        <v>66718750</v>
      </c>
      <c r="Q6" s="8"/>
      <c r="R6" s="8"/>
      <c r="S6" s="8"/>
      <c r="T6" s="8"/>
    </row>
    <row r="7" spans="1:23" x14ac:dyDescent="0.25">
      <c r="A7" s="27" t="s">
        <v>257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341</v>
      </c>
      <c r="H7" s="29">
        <v>1838876000</v>
      </c>
      <c r="I7" s="32">
        <f>VLOOKUP(B7,'KASE за 05.12.25'!$C$5:$F$162,4,0)</f>
        <v>87.875900000000001</v>
      </c>
      <c r="J7" s="32">
        <f>VLOOKUP(B7,'KASE за 05.12.25'!$C$5:$G$162,5,0)</f>
        <v>94.606999999999999</v>
      </c>
      <c r="K7" s="100">
        <v>131819999.99999955</v>
      </c>
      <c r="L7" s="29">
        <f>D7*I7/100+K7</f>
        <v>1845400049.9999995</v>
      </c>
      <c r="M7" s="33">
        <f t="shared" si="0"/>
        <v>6.6994318707743833E-2</v>
      </c>
      <c r="N7" s="13">
        <f t="shared" ref="N7:N15" si="1">D7*E7%/360</f>
        <v>563333.33333333337</v>
      </c>
      <c r="O7" s="12">
        <f t="shared" ref="O7:O41" si="2">K7+N7</f>
        <v>132383333.33333288</v>
      </c>
      <c r="Q7" s="8"/>
      <c r="R7" s="8"/>
    </row>
    <row r="8" spans="1:23" x14ac:dyDescent="0.25">
      <c r="A8" s="27" t="s">
        <v>258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342</v>
      </c>
      <c r="H8" s="29">
        <f>1855844250/1950000000*D8</f>
        <v>1311796370.25</v>
      </c>
      <c r="I8" s="32">
        <f>VLOOKUP(B8,'KASE за 05.12.25'!$C$5:$F$162,4,0)</f>
        <v>86.088999999999999</v>
      </c>
      <c r="J8" s="32">
        <f>VLOOKUP(B8,'KASE за 05.12.25'!$C$5:$G$162,5,0)</f>
        <v>93.575100000000006</v>
      </c>
      <c r="K8" s="100">
        <v>103605975</v>
      </c>
      <c r="L8" s="29">
        <f>D8*I8/100+K8</f>
        <v>1290213706.5</v>
      </c>
      <c r="M8" s="33">
        <f t="shared" si="0"/>
        <v>4.6839160026228725E-2</v>
      </c>
      <c r="N8" s="13">
        <f>D8*E8%/360</f>
        <v>421162.5</v>
      </c>
      <c r="O8" s="12">
        <f t="shared" si="2"/>
        <v>104027137.5</v>
      </c>
      <c r="Q8" s="8"/>
      <c r="R8" s="8"/>
    </row>
    <row r="9" spans="1:23" x14ac:dyDescent="0.25">
      <c r="A9" s="27" t="s">
        <v>257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332</v>
      </c>
      <c r="H9" s="29">
        <f>1504310166.66923/1500000000*D9</f>
        <v>844419440.22366107</v>
      </c>
      <c r="I9" s="32">
        <f>VLOOKUP(B9,'KASE за 05.12.25'!$C$5:$F$162,4,0)</f>
        <v>84.115700000000004</v>
      </c>
      <c r="J9" s="32">
        <f>VLOOKUP(B9,'KASE за 05.12.25'!$C$5:$G$162,5,0)</f>
        <v>87.837500000000006</v>
      </c>
      <c r="K9" s="100">
        <v>31584355.555555467</v>
      </c>
      <c r="L9" s="29">
        <f>D9*I9/100+K9</f>
        <v>739838549.55555546</v>
      </c>
      <c r="M9" s="33">
        <f t="shared" si="0"/>
        <v>2.6858663833459757E-2</v>
      </c>
      <c r="N9" s="13">
        <f>D9*E9%/360</f>
        <v>246752.77777777781</v>
      </c>
      <c r="O9" s="12">
        <f>K9+N9</f>
        <v>31831108.333333243</v>
      </c>
      <c r="Q9" s="8"/>
      <c r="R9" s="8"/>
    </row>
    <row r="10" spans="1:23" x14ac:dyDescent="0.25">
      <c r="A10" s="27" t="s">
        <v>257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343</v>
      </c>
      <c r="H10" s="29">
        <v>1307498994.4468999</v>
      </c>
      <c r="I10" s="32">
        <f>VLOOKUP(B10,'KASE за 05.12.25'!$C$5:$F$162,4,0)</f>
        <v>79.460800000000006</v>
      </c>
      <c r="J10" s="32">
        <f>VLOOKUP(B10,'KASE за 05.12.25'!$C$5:$G$162,5,0)</f>
        <v>86.842500000000001</v>
      </c>
      <c r="K10" s="100">
        <v>107449027.77777724</v>
      </c>
      <c r="L10" s="29">
        <f t="shared" ref="L10:L15" si="3">D10*I10/100+K10</f>
        <v>1259630627.7777774</v>
      </c>
      <c r="M10" s="33">
        <f t="shared" si="0"/>
        <v>4.5728889912721032E-2</v>
      </c>
      <c r="N10" s="13">
        <f>D10*E10%/360</f>
        <v>414861.11111111112</v>
      </c>
      <c r="O10" s="12">
        <f t="shared" si="2"/>
        <v>107863888.88888834</v>
      </c>
      <c r="Q10" s="8"/>
      <c r="R10" s="8"/>
    </row>
    <row r="11" spans="1:23" x14ac:dyDescent="0.25">
      <c r="A11" s="27" t="s">
        <v>258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344</v>
      </c>
      <c r="H11" s="29">
        <v>1540335116.6700001</v>
      </c>
      <c r="I11" s="32">
        <f>VLOOKUP(B11,'KASE за 05.12.25'!$C$5:$F$162,4,0)</f>
        <v>70.329700000000003</v>
      </c>
      <c r="J11" s="32">
        <f>VLOOKUP(B11,'KASE за 05.12.25'!$C$5:$G$162,5,0)</f>
        <v>75.704800000000006</v>
      </c>
      <c r="K11" s="100">
        <v>105272916.66666639</v>
      </c>
      <c r="L11" s="29">
        <f t="shared" si="3"/>
        <v>1476702066.6666665</v>
      </c>
      <c r="M11" s="33">
        <f t="shared" si="0"/>
        <v>5.3609323837750342E-2</v>
      </c>
      <c r="N11" s="13">
        <f t="shared" si="1"/>
        <v>457708.33333333326</v>
      </c>
      <c r="O11" s="12">
        <f t="shared" si="2"/>
        <v>105730624.99999972</v>
      </c>
      <c r="Q11" s="8"/>
      <c r="R11" s="8"/>
    </row>
    <row r="12" spans="1:23" x14ac:dyDescent="0.25">
      <c r="A12" s="27" t="s">
        <v>259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345</v>
      </c>
      <c r="H12" s="29">
        <f>1897171250/1950000000*D12</f>
        <v>955395983.33333337</v>
      </c>
      <c r="I12" s="32">
        <f>VLOOKUP(B12,'KASE за 05.12.25'!$C$5:$F$162,4,0)</f>
        <v>78.1297</v>
      </c>
      <c r="J12" s="32">
        <f>VLOOKUP(B12,'KASE за 05.12.25'!$C$5:$G$162,5,0)</f>
        <v>81.945999999999998</v>
      </c>
      <c r="K12" s="100">
        <v>37766083.333333313</v>
      </c>
      <c r="L12" s="29">
        <f>D12*I12/100+K12</f>
        <v>804999737.33333325</v>
      </c>
      <c r="M12" s="33">
        <f t="shared" si="0"/>
        <v>2.9224237293458088E-2</v>
      </c>
      <c r="N12" s="13">
        <f>D12*E12%/360</f>
        <v>290508.33333333331</v>
      </c>
      <c r="O12" s="12">
        <f t="shared" si="2"/>
        <v>38056591.666666649</v>
      </c>
      <c r="Q12" s="8"/>
      <c r="R12" s="8"/>
    </row>
    <row r="13" spans="1:23" x14ac:dyDescent="0.25">
      <c r="A13" s="27" t="s">
        <v>259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345</v>
      </c>
      <c r="H13" s="29">
        <f>227969916.67/250000000*D13</f>
        <v>227969916.66999999</v>
      </c>
      <c r="I13" s="32">
        <f>VLOOKUP(B13,'KASE за 05.12.25'!$C$5:$F$162,4,0)</f>
        <v>78.1297</v>
      </c>
      <c r="J13" s="32">
        <f>VLOOKUP(B13,'KASE за 05.12.25'!$C$5:$G$162,5,0)</f>
        <v>81.945999999999998</v>
      </c>
      <c r="K13" s="100">
        <v>9614583.3333333302</v>
      </c>
      <c r="L13" s="29">
        <f>D13*I13/100+K13</f>
        <v>204938833.33333334</v>
      </c>
      <c r="M13" s="33">
        <f t="shared" si="0"/>
        <v>7.4399789443630581E-3</v>
      </c>
      <c r="N13" s="13">
        <f>D13*E13%/360</f>
        <v>73958.333333333328</v>
      </c>
      <c r="O13" s="12">
        <f>K13+N13</f>
        <v>9688541.6666666642</v>
      </c>
      <c r="Q13" s="8"/>
      <c r="R13" s="8"/>
      <c r="S13" s="42"/>
    </row>
    <row r="14" spans="1:23" x14ac:dyDescent="0.25">
      <c r="A14" s="27" t="s">
        <v>257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346</v>
      </c>
      <c r="H14" s="29">
        <v>1425576750</v>
      </c>
      <c r="I14" s="32">
        <f>VLOOKUP(B14,'KASE за 05.12.25'!$C$5:$F$183,4,0)</f>
        <v>64.215299999999999</v>
      </c>
      <c r="J14" s="32">
        <f>VLOOKUP(B14,'KASE за 05.12.25'!$C$5:$G$183,5,0)</f>
        <v>68.765900000000002</v>
      </c>
      <c r="K14" s="100">
        <v>89173500.000000015</v>
      </c>
      <c r="L14" s="29">
        <f t="shared" si="3"/>
        <v>1341371850</v>
      </c>
      <c r="M14" s="33">
        <f t="shared" si="0"/>
        <v>4.8696375197614189E-2</v>
      </c>
      <c r="N14" s="13">
        <f t="shared" si="1"/>
        <v>437125.00000000006</v>
      </c>
      <c r="O14" s="12">
        <f t="shared" si="2"/>
        <v>89610625.000000015</v>
      </c>
      <c r="Q14" s="8"/>
      <c r="R14" s="8"/>
    </row>
    <row r="15" spans="1:23" x14ac:dyDescent="0.25">
      <c r="A15" s="27" t="s">
        <v>257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347</v>
      </c>
      <c r="H15" s="29">
        <v>1449433375</v>
      </c>
      <c r="I15" s="32">
        <f>VLOOKUP(B15,'KASE за 05.12.25'!$C$5:$F$183,4,0)</f>
        <v>62.936</v>
      </c>
      <c r="J15" s="32">
        <f>VLOOKUP(B15,'KASE за 05.12.25'!$C$5:$G$183,5,0)</f>
        <v>69.795500000000004</v>
      </c>
      <c r="K15" s="100">
        <v>134197375</v>
      </c>
      <c r="L15" s="29">
        <f t="shared" si="3"/>
        <v>1361449375</v>
      </c>
      <c r="M15" s="33">
        <f t="shared" si="0"/>
        <v>4.9425257863848375E-2</v>
      </c>
      <c r="N15" s="13">
        <f t="shared" si="1"/>
        <v>437125.00000000006</v>
      </c>
      <c r="O15" s="12">
        <f t="shared" si="2"/>
        <v>134634500</v>
      </c>
      <c r="Q15" s="8"/>
      <c r="R15" s="8"/>
    </row>
    <row r="16" spans="1:23" x14ac:dyDescent="0.25">
      <c r="A16" s="27" t="s">
        <v>262</v>
      </c>
      <c r="B16" s="28" t="s">
        <v>206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05.12.25'!$C$5:$F$183,4,0)</f>
        <v>59.195900000000002</v>
      </c>
      <c r="J16" s="32">
        <f>VLOOKUP(B16,'KASE за 05.12.25'!$C$5:$G$183,5,0)</f>
        <v>62.572299999999998</v>
      </c>
      <c r="K16" s="100">
        <v>10581966.08333331</v>
      </c>
      <c r="L16" s="29">
        <f t="shared" ref="L16:L30" si="4">D16*I16/100+K16</f>
        <v>195272582.12433332</v>
      </c>
      <c r="M16" s="33">
        <f t="shared" si="0"/>
        <v>7.0890610421960659E-3</v>
      </c>
      <c r="N16" s="13">
        <f>D16*E16%/360</f>
        <v>47666.513888888891</v>
      </c>
      <c r="O16" s="12">
        <f t="shared" si="2"/>
        <v>10629632.597222198</v>
      </c>
      <c r="Q16" s="8"/>
      <c r="R16" s="8"/>
      <c r="S16" s="91"/>
      <c r="T16" s="8"/>
      <c r="W16" s="10"/>
    </row>
    <row r="17" spans="1:23" x14ac:dyDescent="0.25">
      <c r="A17" s="27" t="s">
        <v>262</v>
      </c>
      <c r="B17" s="28" t="s">
        <v>206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05.12.25'!$C$5:$F$183,4,0)</f>
        <v>59.195900000000002</v>
      </c>
      <c r="J17" s="32">
        <f>VLOOKUP(B17,'KASE за 05.12.25'!$C$5:$G$183,5,0)</f>
        <v>62.572299999999998</v>
      </c>
      <c r="K17" s="100">
        <v>16958333.33333325</v>
      </c>
      <c r="L17" s="29">
        <f t="shared" si="4"/>
        <v>312937833.33333325</v>
      </c>
      <c r="M17" s="33">
        <f t="shared" si="0"/>
        <v>1.1360711159644847E-2</v>
      </c>
      <c r="N17" s="13">
        <f t="shared" ref="N17:N27" si="5">D17*E17%/360</f>
        <v>76388.888888888891</v>
      </c>
      <c r="O17" s="12">
        <f t="shared" si="2"/>
        <v>17034722.222222138</v>
      </c>
      <c r="Q17" s="8"/>
      <c r="R17" s="8"/>
      <c r="S17" s="91"/>
      <c r="W17" s="10"/>
    </row>
    <row r="18" spans="1:23" x14ac:dyDescent="0.25">
      <c r="A18" s="27" t="s">
        <v>262</v>
      </c>
      <c r="B18" s="28" t="s">
        <v>206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05.12.25'!$C$5:$F$183,4,0)</f>
        <v>59.195900000000002</v>
      </c>
      <c r="J18" s="32">
        <f>VLOOKUP(B18,'KASE за 05.12.25'!$C$5:$G$183,5,0)</f>
        <v>62.572299999999998</v>
      </c>
      <c r="K18" s="100">
        <v>16958333.33333325</v>
      </c>
      <c r="L18" s="29">
        <f>D18*I18/100+K18</f>
        <v>312937833.33333325</v>
      </c>
      <c r="M18" s="33">
        <f t="shared" si="0"/>
        <v>1.1360711159644847E-2</v>
      </c>
      <c r="N18" s="13">
        <f>D18*E18%/360</f>
        <v>76388.888888888891</v>
      </c>
      <c r="O18" s="12">
        <f t="shared" si="2"/>
        <v>17034722.222222138</v>
      </c>
      <c r="Q18" s="8"/>
      <c r="S18" s="42"/>
      <c r="W18" s="10"/>
    </row>
    <row r="19" spans="1:23" x14ac:dyDescent="0.25">
      <c r="A19" s="27" t="s">
        <v>262</v>
      </c>
      <c r="B19" s="28" t="s">
        <v>206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05.12.25'!$C$5:$F$183,4,0)</f>
        <v>59.195900000000002</v>
      </c>
      <c r="J19" s="32">
        <f>VLOOKUP(B19,'KASE за 05.12.25'!$C$5:$G$183,5,0)</f>
        <v>62.572299999999998</v>
      </c>
      <c r="K19" s="100">
        <v>10175000.000000002</v>
      </c>
      <c r="L19" s="29">
        <f>D19*I19/100+K19</f>
        <v>187762700</v>
      </c>
      <c r="M19" s="33">
        <f t="shared" si="0"/>
        <v>6.8164266957869094E-3</v>
      </c>
      <c r="N19" s="13">
        <f>D19*E19%/360</f>
        <v>45833.333333333336</v>
      </c>
      <c r="O19" s="12">
        <f t="shared" si="2"/>
        <v>10220833.333333336</v>
      </c>
      <c r="Q19" s="8"/>
      <c r="R19" s="8"/>
      <c r="S19" s="40"/>
    </row>
    <row r="20" spans="1:23" x14ac:dyDescent="0.25">
      <c r="A20" s="27" t="s">
        <v>262</v>
      </c>
      <c r="B20" s="28" t="s">
        <v>206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05.12.25'!$C$5:$F$183,4,0)</f>
        <v>59.195900000000002</v>
      </c>
      <c r="J20" s="32">
        <f>VLOOKUP(B20,'KASE за 05.12.25'!$C$5:$G$183,5,0)</f>
        <v>62.572299999999998</v>
      </c>
      <c r="K20" s="100">
        <v>10175000.000000002</v>
      </c>
      <c r="L20" s="29">
        <f>D20*I20/100+K20</f>
        <v>187762700</v>
      </c>
      <c r="M20" s="33">
        <f t="shared" si="0"/>
        <v>6.8164266957869094E-3</v>
      </c>
      <c r="N20" s="13">
        <f>D20*E20%/360</f>
        <v>45833.333333333336</v>
      </c>
      <c r="O20" s="12">
        <f t="shared" si="2"/>
        <v>10220833.333333336</v>
      </c>
      <c r="Q20" s="8"/>
      <c r="R20" s="8"/>
      <c r="S20" s="40"/>
    </row>
    <row r="21" spans="1:23" x14ac:dyDescent="0.25">
      <c r="A21" s="27" t="s">
        <v>257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332</v>
      </c>
      <c r="H21" s="29">
        <v>451940777.77999997</v>
      </c>
      <c r="I21" s="32">
        <f>VLOOKUP(B21,'KASE за 05.12.25'!$C$5:$F$162,4,0)</f>
        <v>84.115700000000004</v>
      </c>
      <c r="J21" s="32">
        <f>VLOOKUP(B21,'KASE за 05.12.25'!$C$5:$G$162,5,0)</f>
        <v>87.837500000000006</v>
      </c>
      <c r="K21" s="100">
        <v>18755555.555555552</v>
      </c>
      <c r="L21" s="29">
        <f t="shared" si="4"/>
        <v>439334055.55555558</v>
      </c>
      <c r="M21" s="33">
        <f t="shared" si="0"/>
        <v>1.5949325316781331E-2</v>
      </c>
      <c r="N21" s="13">
        <f>D21*E21%/360</f>
        <v>146527.77777777781</v>
      </c>
      <c r="O21" s="12">
        <f t="shared" si="2"/>
        <v>18902083.333333328</v>
      </c>
      <c r="Q21" s="8"/>
      <c r="R21" s="8"/>
    </row>
    <row r="22" spans="1:23" x14ac:dyDescent="0.25">
      <c r="A22" s="27" t="s">
        <v>257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332</v>
      </c>
      <c r="H22" s="29">
        <v>499999408.11000001</v>
      </c>
      <c r="I22" s="32">
        <f>VLOOKUP(B22,'KASE за 05.12.25'!$C$5:$F$162,4,0)</f>
        <v>84.115700000000004</v>
      </c>
      <c r="J22" s="32">
        <f>VLOOKUP(B22,'KASE за 05.12.25'!$C$5:$G$162,5,0)</f>
        <v>87.837500000000006</v>
      </c>
      <c r="K22" s="100">
        <v>20759774.22222228</v>
      </c>
      <c r="L22" s="29">
        <f t="shared" si="4"/>
        <v>486281292.73222226</v>
      </c>
      <c r="M22" s="33">
        <f t="shared" si="0"/>
        <v>1.7653670220132586E-2</v>
      </c>
      <c r="N22" s="13">
        <f t="shared" si="5"/>
        <v>162185.73611111112</v>
      </c>
      <c r="O22" s="12">
        <f t="shared" si="2"/>
        <v>20921959.958333392</v>
      </c>
      <c r="Q22" s="8"/>
      <c r="R22" s="8"/>
    </row>
    <row r="23" spans="1:23" x14ac:dyDescent="0.25">
      <c r="A23" s="27" t="s">
        <v>258</v>
      </c>
      <c r="B23" s="28" t="s">
        <v>198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05.12.25'!$C$5:$F$176,4,0)</f>
        <v>78.054699999999997</v>
      </c>
      <c r="J23" s="32">
        <f>VLOOKUP(B23,'KASE за 05.12.25'!$C$5:$G$176,5,0)</f>
        <v>81.207499999999996</v>
      </c>
      <c r="K23" s="100">
        <v>20141741.666666698</v>
      </c>
      <c r="L23" s="29">
        <f t="shared" si="4"/>
        <v>516612563.75166667</v>
      </c>
      <c r="M23" s="33">
        <f t="shared" si="0"/>
        <v>1.8754798854808633E-2</v>
      </c>
      <c r="N23" s="13">
        <f t="shared" si="5"/>
        <v>88340.972222222219</v>
      </c>
      <c r="O23" s="12">
        <f t="shared" si="2"/>
        <v>20230082.638888922</v>
      </c>
      <c r="Q23" s="8"/>
      <c r="R23" s="8"/>
    </row>
    <row r="24" spans="1:23" x14ac:dyDescent="0.25">
      <c r="A24" s="27" t="s">
        <v>257</v>
      </c>
      <c r="B24" s="28" t="s">
        <v>212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05.12.25'!$C$5:$F$192,4,0)</f>
        <v>58.591799999999999</v>
      </c>
      <c r="J24" s="32">
        <f>VLOOKUP(B24,'KASE за 05.12.25'!$C$5:$G$192,5,0)</f>
        <v>61.607100000000003</v>
      </c>
      <c r="K24" s="100">
        <v>21241533.91944449</v>
      </c>
      <c r="L24" s="29">
        <f>D24*I24/100+K24</f>
        <v>430848604.86744452</v>
      </c>
      <c r="M24" s="33">
        <f t="shared" si="0"/>
        <v>1.5641274502662107E-2</v>
      </c>
      <c r="N24" s="13">
        <f t="shared" si="5"/>
        <v>162149.11388888888</v>
      </c>
      <c r="O24" s="12">
        <f t="shared" si="2"/>
        <v>21403683.03333338</v>
      </c>
      <c r="Q24" s="8"/>
      <c r="R24" s="8"/>
    </row>
    <row r="25" spans="1:23" x14ac:dyDescent="0.25">
      <c r="A25" s="27" t="s">
        <v>257</v>
      </c>
      <c r="B25" s="28" t="s">
        <v>212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05.12.25'!$C$5:$F$192,4,0)</f>
        <v>58.591799999999999</v>
      </c>
      <c r="J25" s="32">
        <f>VLOOKUP(B25,'KASE за 05.12.25'!$C$5:$G$192,5,0)</f>
        <v>61.607100000000003</v>
      </c>
      <c r="K25" s="100">
        <v>8631479.195833344</v>
      </c>
      <c r="L25" s="29">
        <f>D25*I25/100+K25</f>
        <v>175074963.20983335</v>
      </c>
      <c r="M25" s="33">
        <f t="shared" si="0"/>
        <v>6.3558185570798623E-3</v>
      </c>
      <c r="N25" s="13">
        <f>D25*E25%/360</f>
        <v>65889.15416666666</v>
      </c>
      <c r="O25" s="12">
        <f t="shared" si="2"/>
        <v>8697368.3500000108</v>
      </c>
      <c r="Q25" s="8"/>
      <c r="R25" s="8"/>
      <c r="S25" s="38"/>
    </row>
    <row r="26" spans="1:23" x14ac:dyDescent="0.25">
      <c r="A26" s="27" t="s">
        <v>258</v>
      </c>
      <c r="B26" s="28" t="s">
        <v>186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05.12.25'!$C$5:$F$176,4,0)</f>
        <v>74.6678</v>
      </c>
      <c r="J26" s="32">
        <f>VLOOKUP(B26,'KASE за 05.12.25'!$C$5:$G$176,5,0)</f>
        <v>81.089100000000002</v>
      </c>
      <c r="K26" s="100">
        <v>32213333.333333097</v>
      </c>
      <c r="L26" s="29">
        <f t="shared" si="4"/>
        <v>405552333.33333308</v>
      </c>
      <c r="M26" s="33">
        <f t="shared" si="0"/>
        <v>1.4722933529779891E-2</v>
      </c>
      <c r="N26" s="13">
        <f t="shared" si="5"/>
        <v>106666.66666666667</v>
      </c>
      <c r="O26" s="12">
        <f t="shared" si="2"/>
        <v>32319999.999999765</v>
      </c>
      <c r="Q26" s="8"/>
      <c r="R26" s="8"/>
    </row>
    <row r="27" spans="1:23" x14ac:dyDescent="0.25">
      <c r="A27" s="27" t="s">
        <v>258</v>
      </c>
      <c r="B27" s="28" t="s">
        <v>186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05.12.25'!$C$5:$F$176,4,0)</f>
        <v>74.6678</v>
      </c>
      <c r="J27" s="32">
        <f>VLOOKUP(B27,'KASE за 05.12.25'!$C$5:$G$176,5,0)</f>
        <v>81.089100000000002</v>
      </c>
      <c r="K27" s="100">
        <v>32213333.333333097</v>
      </c>
      <c r="L27" s="29">
        <f t="shared" si="4"/>
        <v>405552333.33333308</v>
      </c>
      <c r="M27" s="33">
        <f t="shared" si="0"/>
        <v>1.4722933529779891E-2</v>
      </c>
      <c r="N27" s="13">
        <f t="shared" si="5"/>
        <v>106666.66666666667</v>
      </c>
      <c r="O27" s="12">
        <f t="shared" si="2"/>
        <v>32319999.999999765</v>
      </c>
      <c r="Q27" s="8"/>
      <c r="R27" s="8"/>
    </row>
    <row r="28" spans="1:23" x14ac:dyDescent="0.25">
      <c r="A28" s="27" t="s">
        <v>258</v>
      </c>
      <c r="B28" s="28" t="s">
        <v>186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05.12.25'!$C$5:$F$176,4,0)</f>
        <v>74.6678</v>
      </c>
      <c r="J28" s="32">
        <f>VLOOKUP(B28,'KASE за 05.12.25'!$C$5:$G$176,5,0)</f>
        <v>81.089100000000002</v>
      </c>
      <c r="K28" s="100">
        <v>32213333.333333097</v>
      </c>
      <c r="L28" s="29">
        <f>D28*I28/100+K28</f>
        <v>405552333.33333308</v>
      </c>
      <c r="M28" s="33">
        <f t="shared" si="0"/>
        <v>1.4722933529779891E-2</v>
      </c>
      <c r="N28" s="13">
        <f>D28*E28%/360</f>
        <v>106666.66666666667</v>
      </c>
      <c r="O28" s="12">
        <f t="shared" si="2"/>
        <v>32319999.999999765</v>
      </c>
      <c r="Q28" s="8"/>
      <c r="R28" s="8"/>
    </row>
    <row r="29" spans="1:23" x14ac:dyDescent="0.25">
      <c r="A29" s="27" t="s">
        <v>42</v>
      </c>
      <c r="B29" s="28" t="s">
        <v>348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05.12.25'!$C$4:$G$963,4,0)</f>
        <v>94.453081592475115</v>
      </c>
      <c r="J29" s="32">
        <f>VLOOKUP(B29,'Риск цены за 05.12.25'!$C$4:$G$963,5,0)</f>
        <v>98.107481592475111</v>
      </c>
      <c r="K29" s="100">
        <v>62800833.333333224</v>
      </c>
      <c r="L29" s="29">
        <f>D29*I29/100+K29</f>
        <v>1668503220.4054103</v>
      </c>
      <c r="M29" s="33">
        <f t="shared" si="0"/>
        <v>6.0572360184306402E-2</v>
      </c>
      <c r="N29" s="13">
        <f t="shared" ref="N29:N35" si="7">D29*E29%/360</f>
        <v>675277.77777777787</v>
      </c>
      <c r="O29" s="12">
        <f t="shared" si="2"/>
        <v>63476111.111111</v>
      </c>
      <c r="Q29" s="8"/>
      <c r="R29" s="8"/>
    </row>
    <row r="30" spans="1:23" x14ac:dyDescent="0.25">
      <c r="A30" s="27" t="s">
        <v>258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05.12.25'!$C$5:$F$162,4,0)</f>
        <v>85.170199999999994</v>
      </c>
      <c r="J30" s="32">
        <f>VLOOKUP(B30,'KASE за 05.12.25'!$C$5:$G$162,5,0)</f>
        <v>94.603499999999997</v>
      </c>
      <c r="K30" s="100">
        <v>47333333.333332911</v>
      </c>
      <c r="L30" s="29">
        <f t="shared" si="4"/>
        <v>473184333.3333329</v>
      </c>
      <c r="M30" s="33">
        <f t="shared" si="0"/>
        <v>1.7178205904375372E-2</v>
      </c>
      <c r="N30" s="13">
        <f t="shared" si="7"/>
        <v>166666.66666666666</v>
      </c>
      <c r="O30" s="12">
        <f t="shared" si="2"/>
        <v>47499999.999999575</v>
      </c>
      <c r="Q30" s="8"/>
      <c r="R30" s="8"/>
    </row>
    <row r="31" spans="1:23" x14ac:dyDescent="0.25">
      <c r="A31" s="27" t="s">
        <v>258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05.12.25'!$C$5:$F$162,4,0)</f>
        <v>86.742999999999995</v>
      </c>
      <c r="J31" s="32">
        <f>VLOOKUP(B31,'KASE за 05.12.25'!$C$5:$G$162,5,0)</f>
        <v>95.676299999999998</v>
      </c>
      <c r="K31" s="100">
        <v>26900000</v>
      </c>
      <c r="L31" s="29">
        <f t="shared" ref="L31:L46" si="9">D31*I31/100+K31</f>
        <v>287129000</v>
      </c>
      <c r="M31" s="33">
        <f t="shared" si="0"/>
        <v>1.0423762444482315E-2</v>
      </c>
      <c r="N31" s="13">
        <f t="shared" si="7"/>
        <v>100000</v>
      </c>
      <c r="O31" s="12">
        <f t="shared" si="2"/>
        <v>27000000</v>
      </c>
      <c r="Q31" s="8"/>
      <c r="R31" s="8"/>
    </row>
    <row r="32" spans="1:23" x14ac:dyDescent="0.25">
      <c r="A32" s="27" t="s">
        <v>258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05.12.25'!$C$5:$F$162,4,0)</f>
        <v>86.742999999999995</v>
      </c>
      <c r="J32" s="32">
        <f>VLOOKUP(B32,'KASE за 05.12.25'!$C$5:$G$162,5,0)</f>
        <v>95.676299999999998</v>
      </c>
      <c r="K32" s="100">
        <v>25875917</v>
      </c>
      <c r="L32" s="29">
        <f t="shared" si="9"/>
        <v>276197998.97000003</v>
      </c>
      <c r="M32" s="33">
        <f t="shared" si="0"/>
        <v>1.0026929808220874E-2</v>
      </c>
      <c r="N32" s="13">
        <f t="shared" si="7"/>
        <v>96193</v>
      </c>
      <c r="O32" s="12">
        <f t="shared" si="2"/>
        <v>25972110</v>
      </c>
      <c r="Q32" s="8"/>
      <c r="R32" s="8"/>
    </row>
    <row r="33" spans="1:19" x14ac:dyDescent="0.25">
      <c r="A33" s="27" t="s">
        <v>369</v>
      </c>
      <c r="B33" s="28" t="s">
        <v>384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05.12.25'!$C$4:$G$963,4,0)</f>
        <v>98.582846146795518</v>
      </c>
      <c r="J33" s="32">
        <f>VLOOKUP(B33,'Риск цены за 05.12.25'!$C$4:$G$963,5,0)</f>
        <v>98.852946146795517</v>
      </c>
      <c r="K33" s="112">
        <v>926000</v>
      </c>
      <c r="L33" s="29">
        <f t="shared" si="9"/>
        <v>296674538.44038653</v>
      </c>
      <c r="M33" s="33">
        <f t="shared" si="0"/>
        <v>1.0770298061251305E-2</v>
      </c>
      <c r="N33" s="13">
        <f t="shared" si="7"/>
        <v>115750</v>
      </c>
      <c r="O33" s="12">
        <f t="shared" si="2"/>
        <v>1041750</v>
      </c>
      <c r="Q33" s="8"/>
      <c r="R33" s="8"/>
    </row>
    <row r="34" spans="1:19" x14ac:dyDescent="0.25">
      <c r="A34" s="27" t="s">
        <v>258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05.12.25'!$C$5:$F$162,4,0)</f>
        <v>72.803100000000001</v>
      </c>
      <c r="J34" s="32">
        <f>VLOOKUP(B34,'KASE за 05.12.25'!$C$5:$G$162,5,0)</f>
        <v>77.609200000000001</v>
      </c>
      <c r="K34" s="100">
        <v>338068.88888889039</v>
      </c>
      <c r="L34" s="29">
        <f t="shared" si="9"/>
        <v>5434285.8888888899</v>
      </c>
      <c r="M34" s="33">
        <f t="shared" si="0"/>
        <v>1.9728312069202417E-4</v>
      </c>
      <c r="N34" s="13">
        <f t="shared" si="7"/>
        <v>1641.1111111111109</v>
      </c>
      <c r="O34" s="12">
        <f t="shared" si="2"/>
        <v>339710.00000000151</v>
      </c>
      <c r="Q34" s="8"/>
      <c r="R34" s="8"/>
      <c r="S34" s="39"/>
    </row>
    <row r="35" spans="1:19" x14ac:dyDescent="0.25">
      <c r="A35" s="27" t="s">
        <v>258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05.12.25'!$C$5:$F$162,4,0)</f>
        <v>91.085099999999997</v>
      </c>
      <c r="J35" s="32">
        <f>VLOOKUP(B35,'KASE за 05.12.25'!$C$5:$G$162,5,0)</f>
        <v>98.707300000000004</v>
      </c>
      <c r="K35" s="100">
        <v>766111.11111110903</v>
      </c>
      <c r="L35" s="29">
        <f t="shared" si="9"/>
        <v>9874621.1111111082</v>
      </c>
      <c r="M35" s="33">
        <f t="shared" si="0"/>
        <v>3.5848244061551497E-4</v>
      </c>
      <c r="N35" s="13">
        <f t="shared" si="7"/>
        <v>3888.8888888888896</v>
      </c>
      <c r="O35" s="12">
        <f t="shared" si="2"/>
        <v>769999.9999999979</v>
      </c>
      <c r="Q35" s="8"/>
      <c r="R35" s="8"/>
      <c r="S35" s="39"/>
    </row>
    <row r="36" spans="1:19" x14ac:dyDescent="0.25">
      <c r="A36" s="27" t="s">
        <v>258</v>
      </c>
      <c r="B36" s="28" t="s">
        <v>204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05.12.25'!$C$5:$F$183,4,0)</f>
        <v>62.9495</v>
      </c>
      <c r="J36" s="32">
        <f>VLOOKUP(B36,'KASE за 05.12.25'!$C$5:$G$183,5,0)</f>
        <v>70.054500000000004</v>
      </c>
      <c r="K36" s="100">
        <v>21387500</v>
      </c>
      <c r="L36" s="29">
        <f t="shared" si="9"/>
        <v>210236000</v>
      </c>
      <c r="M36" s="33">
        <f t="shared" si="0"/>
        <v>7.6322841694088156E-3</v>
      </c>
      <c r="N36" s="13">
        <f t="shared" ref="N36:N60" si="10">D36*E36%/360</f>
        <v>72500</v>
      </c>
      <c r="O36" s="12">
        <f t="shared" si="2"/>
        <v>21460000</v>
      </c>
      <c r="Q36" s="8"/>
      <c r="R36" s="8"/>
      <c r="S36" s="39"/>
    </row>
    <row r="37" spans="1:19" x14ac:dyDescent="0.25">
      <c r="A37" s="27" t="s">
        <v>258</v>
      </c>
      <c r="B37" s="28" t="s">
        <v>204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05.12.25'!$C$5:$F$183,4,0)</f>
        <v>62.9495</v>
      </c>
      <c r="J37" s="32">
        <f>VLOOKUP(B37,'KASE за 05.12.25'!$C$5:$G$183,5,0)</f>
        <v>70.054500000000004</v>
      </c>
      <c r="K37" s="100">
        <v>14258333.33333304</v>
      </c>
      <c r="L37" s="29">
        <f t="shared" si="9"/>
        <v>140157333.33333305</v>
      </c>
      <c r="M37" s="33">
        <f t="shared" si="0"/>
        <v>5.0881894462725336E-3</v>
      </c>
      <c r="N37" s="13">
        <f t="shared" si="10"/>
        <v>48333.333333333336</v>
      </c>
      <c r="O37" s="12">
        <f t="shared" si="2"/>
        <v>14306666.666666374</v>
      </c>
      <c r="Q37" s="8"/>
      <c r="R37" s="8"/>
      <c r="S37" s="39"/>
    </row>
    <row r="38" spans="1:19" x14ac:dyDescent="0.25">
      <c r="A38" s="27" t="s">
        <v>258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05.12.25'!$C$5:$F$162,4,0)</f>
        <v>84.037700000000001</v>
      </c>
      <c r="J38" s="32">
        <f>VLOOKUP(B38,'KASE за 05.12.25'!$C$5:$G$162,5,0)</f>
        <v>93.234899999999996</v>
      </c>
      <c r="K38" s="100">
        <v>24269055.555555835</v>
      </c>
      <c r="L38" s="29">
        <f t="shared" si="9"/>
        <v>245288206.55555582</v>
      </c>
      <c r="M38" s="33">
        <f t="shared" ref="M38:M62" si="11">L38/$L$63</f>
        <v>8.904798872869768E-3</v>
      </c>
      <c r="N38" s="13">
        <f t="shared" si="10"/>
        <v>80361.111111111109</v>
      </c>
      <c r="O38" s="12">
        <f t="shared" si="2"/>
        <v>24349416.666666947</v>
      </c>
      <c r="Q38" s="8"/>
      <c r="R38" s="8"/>
      <c r="S38" s="39"/>
    </row>
    <row r="39" spans="1:19" x14ac:dyDescent="0.25">
      <c r="A39" s="27" t="s">
        <v>258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05.12.25'!$C$5:$F$162,4,0)</f>
        <v>96.391300000000001</v>
      </c>
      <c r="J39" s="32">
        <f>VLOOKUP(B39,'KASE за 05.12.25'!$C$5:$G$162,5,0)</f>
        <v>107.9513</v>
      </c>
      <c r="K39" s="100">
        <v>39564525</v>
      </c>
      <c r="L39" s="29">
        <f t="shared" si="9"/>
        <v>368258858</v>
      </c>
      <c r="M39" s="33">
        <f t="shared" si="11"/>
        <v>1.3369053122005599E-2</v>
      </c>
      <c r="N39" s="13">
        <f t="shared" si="10"/>
        <v>144925</v>
      </c>
      <c r="O39" s="12">
        <f t="shared" si="2"/>
        <v>39709450</v>
      </c>
      <c r="Q39" s="8"/>
      <c r="R39" s="8"/>
      <c r="S39" s="39"/>
    </row>
    <row r="40" spans="1:19" x14ac:dyDescent="0.25">
      <c r="A40" s="27" t="s">
        <v>258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05.12.25'!$C$5:$F$162,4,0)</f>
        <v>86.240799999999993</v>
      </c>
      <c r="J40" s="32">
        <f>VLOOKUP(B40,'KASE за 05.12.25'!$C$5:$G$162,5,0)</f>
        <v>87.346000000000004</v>
      </c>
      <c r="K40" s="100">
        <v>938330.99750000006</v>
      </c>
      <c r="L40" s="29">
        <f t="shared" si="9"/>
        <v>72282757.613499999</v>
      </c>
      <c r="M40" s="33">
        <f t="shared" si="11"/>
        <v>2.6241107453277772E-3</v>
      </c>
      <c r="N40" s="13">
        <f t="shared" si="10"/>
        <v>24059.769166666669</v>
      </c>
      <c r="O40" s="12">
        <f t="shared" si="2"/>
        <v>962390.76666666672</v>
      </c>
      <c r="Q40" s="8"/>
      <c r="R40" s="8"/>
      <c r="S40" s="42"/>
    </row>
    <row r="41" spans="1:19" x14ac:dyDescent="0.25">
      <c r="A41" s="27" t="s">
        <v>258</v>
      </c>
      <c r="B41" s="28" t="s">
        <v>184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05.12.25'!$C$5:$F$176,4,0)</f>
        <v>76.593000000000004</v>
      </c>
      <c r="J41" s="32">
        <f>VLOOKUP(B41,'KASE за 05.12.25'!$C$5:$G$176,5,0)</f>
        <v>78.982299999999995</v>
      </c>
      <c r="K41" s="100">
        <v>5484266.6666666642</v>
      </c>
      <c r="L41" s="29">
        <f t="shared" si="9"/>
        <v>179733341.66666666</v>
      </c>
      <c r="M41" s="33">
        <f t="shared" si="11"/>
        <v>6.5249335904290695E-3</v>
      </c>
      <c r="N41" s="13">
        <f t="shared" si="10"/>
        <v>48533.333333333336</v>
      </c>
      <c r="O41" s="12">
        <f t="shared" si="2"/>
        <v>5532799.9999999972</v>
      </c>
      <c r="Q41" s="8"/>
      <c r="R41" s="8"/>
      <c r="S41" s="42"/>
    </row>
    <row r="42" spans="1:19" x14ac:dyDescent="0.25">
      <c r="A42" s="27" t="s">
        <v>378</v>
      </c>
      <c r="B42" s="28" t="s">
        <v>182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05.12.25'!$C$5:$F$176,4,0)</f>
        <v>78.705699999999993</v>
      </c>
      <c r="J42" s="32">
        <f>VLOOKUP(B42,'KASE за 05.12.25'!$C$5:$G$176,5,0)</f>
        <v>85.825400000000002</v>
      </c>
      <c r="K42" s="100">
        <v>35698888.888877481</v>
      </c>
      <c r="L42" s="29">
        <f t="shared" si="9"/>
        <v>429227388.88887751</v>
      </c>
      <c r="M42" s="33">
        <f t="shared" si="11"/>
        <v>1.5582418830710541E-2</v>
      </c>
      <c r="N42" s="13">
        <f t="shared" si="10"/>
        <v>100277.77777777778</v>
      </c>
      <c r="O42" s="12">
        <f t="shared" ref="O42:O60" si="12">K42+N42</f>
        <v>35799166.666655257</v>
      </c>
      <c r="Q42" s="8"/>
      <c r="R42" s="12"/>
    </row>
    <row r="43" spans="1:19" x14ac:dyDescent="0.25">
      <c r="A43" s="27" t="s">
        <v>378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05.12.25'!$C$5:$F$162,4,0)</f>
        <v>96.391300000000001</v>
      </c>
      <c r="J43" s="32">
        <f>VLOOKUP(B43,'KASE за 05.12.25'!$C$5:$G$162,5,0)</f>
        <v>107.9513</v>
      </c>
      <c r="K43" s="100">
        <v>30050475</v>
      </c>
      <c r="L43" s="29">
        <f t="shared" si="9"/>
        <v>279703942</v>
      </c>
      <c r="M43" s="33">
        <f t="shared" si="11"/>
        <v>1.0154207503224193E-2</v>
      </c>
      <c r="N43" s="13">
        <f t="shared" si="10"/>
        <v>110075</v>
      </c>
      <c r="O43" s="12">
        <f t="shared" si="12"/>
        <v>30160550</v>
      </c>
      <c r="Q43" s="8"/>
      <c r="R43" s="12"/>
    </row>
    <row r="44" spans="1:19" x14ac:dyDescent="0.25">
      <c r="A44" s="27" t="s">
        <v>369</v>
      </c>
      <c r="B44" s="28" t="s">
        <v>1999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05.12.25'!$C$4:$G$963,4,0)</f>
        <v>99.15477723121009</v>
      </c>
      <c r="J44" s="32">
        <f>VLOOKUP(B44,'Риск цены за 05.12.25'!$C$4:$G$963,5,0)</f>
        <v>101.70617723121009</v>
      </c>
      <c r="K44" s="100">
        <v>5195555.5555555616</v>
      </c>
      <c r="L44" s="29">
        <f t="shared" si="9"/>
        <v>203505110.01797575</v>
      </c>
      <c r="M44" s="33">
        <f t="shared" si="11"/>
        <v>7.3879298958503571E-3</v>
      </c>
      <c r="N44" s="13">
        <f t="shared" si="10"/>
        <v>92777.777777777766</v>
      </c>
      <c r="O44" s="12">
        <f t="shared" si="12"/>
        <v>5288333.3333333395</v>
      </c>
      <c r="Q44" s="8"/>
      <c r="R44" s="12"/>
    </row>
    <row r="45" spans="1:19" x14ac:dyDescent="0.25">
      <c r="A45" s="73" t="s">
        <v>378</v>
      </c>
      <c r="B45" s="72" t="s">
        <v>196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05.12.25'!$C$5:$F$176,4,0)</f>
        <v>82.308199999999999</v>
      </c>
      <c r="J45" s="81">
        <f>VLOOKUP(B45,'KASE за 05.12.25'!$C$5:$G$176,5,0)</f>
        <v>82.985399999999998</v>
      </c>
      <c r="K45" s="110">
        <v>3459722.2222222192</v>
      </c>
      <c r="L45" s="29">
        <f t="shared" si="9"/>
        <v>415000722.22222221</v>
      </c>
      <c r="M45" s="82">
        <f t="shared" si="11"/>
        <v>1.5065942286334842E-2</v>
      </c>
      <c r="N45" s="13">
        <f t="shared" si="10"/>
        <v>73611.111111111109</v>
      </c>
      <c r="O45" s="12">
        <f t="shared" si="12"/>
        <v>3533333.3333333302</v>
      </c>
      <c r="Q45" s="8"/>
      <c r="R45" s="12"/>
    </row>
    <row r="46" spans="1:19" x14ac:dyDescent="0.25">
      <c r="A46" s="80" t="s">
        <v>378</v>
      </c>
      <c r="B46" s="79" t="s">
        <v>147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05.12.25'!$C$5:$F$162,4,0)</f>
        <v>84.037700000000001</v>
      </c>
      <c r="J46" s="81">
        <f>VLOOKUP(B46,'KASE за 05.12.25'!$C$5:$G$162,5,0)</f>
        <v>93.234899999999996</v>
      </c>
      <c r="K46" s="110">
        <v>68008722.222222701</v>
      </c>
      <c r="L46" s="71">
        <f t="shared" si="9"/>
        <v>687366571.22222269</v>
      </c>
      <c r="M46" s="82">
        <f t="shared" si="11"/>
        <v>2.4953751974543786E-2</v>
      </c>
      <c r="N46" s="13">
        <f t="shared" si="10"/>
        <v>225194.44444444444</v>
      </c>
      <c r="O46" s="12">
        <f t="shared" si="12"/>
        <v>68233916.666667148</v>
      </c>
      <c r="Q46" s="8"/>
      <c r="R46" s="12"/>
    </row>
    <row r="47" spans="1:19" x14ac:dyDescent="0.25">
      <c r="A47" s="54" t="s">
        <v>378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05.12.25'!$C$5:$F$162,4,0)</f>
        <v>79.460800000000006</v>
      </c>
      <c r="J47" s="81">
        <f>VLOOKUP(B47,'KASE за 05.12.25'!$C$5:$G$162,5,0)</f>
        <v>86.842500000000001</v>
      </c>
      <c r="K47" s="100">
        <v>444616.6666666682</v>
      </c>
      <c r="L47" s="71">
        <f t="shared" ref="L47:L60" si="13">D47*I47/100+K47</f>
        <v>5212264.6666666688</v>
      </c>
      <c r="M47" s="82">
        <f t="shared" si="11"/>
        <v>1.8922299274229406E-4</v>
      </c>
      <c r="N47" s="13">
        <f t="shared" si="10"/>
        <v>1716.6666666666667</v>
      </c>
      <c r="O47" s="12">
        <f t="shared" si="12"/>
        <v>446333.33333333489</v>
      </c>
      <c r="Q47" s="8"/>
      <c r="R47" s="12"/>
    </row>
    <row r="48" spans="1:19" x14ac:dyDescent="0.25">
      <c r="A48" s="80" t="s">
        <v>378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05.12.25'!$C$5:$F$162,4,0)</f>
        <v>79.460800000000006</v>
      </c>
      <c r="J48" s="81">
        <f>VLOOKUP(B48,'KASE за 05.12.25'!$C$5:$G$162,5,0)</f>
        <v>86.842500000000001</v>
      </c>
      <c r="K48" s="110">
        <v>444616.6666666682</v>
      </c>
      <c r="L48" s="71">
        <f t="shared" si="13"/>
        <v>5212264.6666666688</v>
      </c>
      <c r="M48" s="82">
        <f t="shared" si="11"/>
        <v>1.8922299274229406E-4</v>
      </c>
      <c r="N48" s="13">
        <f t="shared" si="10"/>
        <v>1716.6666666666667</v>
      </c>
      <c r="O48" s="12">
        <f t="shared" si="12"/>
        <v>446333.33333333489</v>
      </c>
      <c r="Q48" s="8"/>
      <c r="R48" s="12"/>
    </row>
    <row r="49" spans="1:18" x14ac:dyDescent="0.25">
      <c r="A49" s="54" t="s">
        <v>29</v>
      </c>
      <c r="B49" s="55" t="s">
        <v>2022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7319444.4444444422</v>
      </c>
      <c r="L49" s="71">
        <f t="shared" si="13"/>
        <v>507319444.44444442</v>
      </c>
      <c r="M49" s="82">
        <f t="shared" si="11"/>
        <v>1.8417426913880632E-2</v>
      </c>
      <c r="N49" s="13">
        <f t="shared" si="10"/>
        <v>236111.11111111112</v>
      </c>
      <c r="O49" s="12">
        <f t="shared" si="12"/>
        <v>7555555.5555555532</v>
      </c>
      <c r="Q49" s="8"/>
      <c r="R49" s="12"/>
    </row>
    <row r="50" spans="1:18" x14ac:dyDescent="0.25">
      <c r="A50" s="80" t="s">
        <v>378</v>
      </c>
      <c r="B50" s="79" t="s">
        <v>166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05.12.25'!$C$5:$F$165,4,0)</f>
        <v>72.803100000000001</v>
      </c>
      <c r="J50" s="81">
        <f>VLOOKUP(B50,'KASE за 05.12.25'!$C$5:$G$165,5,0)</f>
        <v>77.609200000000001</v>
      </c>
      <c r="K50" s="111">
        <v>24147777.777777858</v>
      </c>
      <c r="L50" s="71">
        <f t="shared" si="13"/>
        <v>388163277.77777785</v>
      </c>
      <c r="M50" s="82">
        <f t="shared" si="11"/>
        <v>1.4091651478001725E-2</v>
      </c>
      <c r="N50" s="13">
        <f>D50*E50%/360</f>
        <v>117222.2222222222</v>
      </c>
      <c r="O50" s="12">
        <f>K50+N50</f>
        <v>24265000.000000082</v>
      </c>
      <c r="Q50" s="8"/>
      <c r="R50" s="12"/>
    </row>
    <row r="51" spans="1:18" x14ac:dyDescent="0.25">
      <c r="A51" s="54" t="s">
        <v>378</v>
      </c>
      <c r="B51" s="55" t="s">
        <v>184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05.12.25'!$C$5:$F$176,4,0)</f>
        <v>76.593000000000004</v>
      </c>
      <c r="J51" s="81">
        <f>VLOOKUP(B51,'KASE за 05.12.25'!$C$5:$G$176,5,0)</f>
        <v>78.982299999999995</v>
      </c>
      <c r="K51" s="101">
        <v>12053333.333333321</v>
      </c>
      <c r="L51" s="71">
        <f t="shared" si="13"/>
        <v>395018333.33333331</v>
      </c>
      <c r="M51" s="82">
        <f t="shared" si="11"/>
        <v>1.4340513385558395E-2</v>
      </c>
      <c r="N51" s="13">
        <f t="shared" si="10"/>
        <v>106666.66666666667</v>
      </c>
      <c r="O51" s="12">
        <f t="shared" si="12"/>
        <v>12159999.999999987</v>
      </c>
      <c r="Q51" s="8"/>
      <c r="R51" s="12"/>
    </row>
    <row r="52" spans="1:18" x14ac:dyDescent="0.25">
      <c r="A52" s="80" t="s">
        <v>378</v>
      </c>
      <c r="B52" s="79" t="s">
        <v>198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05.12.25'!$C$5:$F$176,4,0)</f>
        <v>78.054699999999997</v>
      </c>
      <c r="J52" s="81">
        <f>VLOOKUP(B52,'KASE за 05.12.25'!$C$5:$G$176,5,0)</f>
        <v>81.207499999999996</v>
      </c>
      <c r="K52" s="111">
        <v>15833333.333333265</v>
      </c>
      <c r="L52" s="71">
        <f t="shared" si="13"/>
        <v>406106833.33333325</v>
      </c>
      <c r="M52" s="82">
        <f t="shared" si="11"/>
        <v>1.4743063771850414E-2</v>
      </c>
      <c r="N52" s="13">
        <f t="shared" si="10"/>
        <v>69444.444444444438</v>
      </c>
      <c r="O52" s="12">
        <f t="shared" si="12"/>
        <v>15902777.777777709</v>
      </c>
      <c r="Q52" s="8"/>
      <c r="R52" s="12"/>
    </row>
    <row r="53" spans="1:18" x14ac:dyDescent="0.25">
      <c r="A53" s="80" t="s">
        <v>378</v>
      </c>
      <c r="B53" s="79" t="s">
        <v>8</v>
      </c>
      <c r="C53" s="83">
        <v>200000</v>
      </c>
      <c r="D53" s="71">
        <f t="shared" ref="D53:D62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05.12.25'!$C$5:$F$165,4,0)</f>
        <v>84.115700000000004</v>
      </c>
      <c r="J53" s="81">
        <f>VLOOKUP(B53,'KASE за 05.12.25'!$C$5:$G$165,5,0)</f>
        <v>87.837500000000006</v>
      </c>
      <c r="K53" s="111">
        <v>7502222.2222222118</v>
      </c>
      <c r="L53" s="71">
        <f t="shared" si="13"/>
        <v>175733622.22222221</v>
      </c>
      <c r="M53" s="82">
        <f t="shared" si="11"/>
        <v>6.3797301267125321E-3</v>
      </c>
      <c r="N53" s="13">
        <f t="shared" si="10"/>
        <v>58611.111111111124</v>
      </c>
      <c r="O53" s="12">
        <f t="shared" si="12"/>
        <v>7560833.3333333228</v>
      </c>
      <c r="Q53" s="8"/>
      <c r="R53" s="12"/>
    </row>
    <row r="54" spans="1:18" x14ac:dyDescent="0.25">
      <c r="A54" s="80" t="s">
        <v>378</v>
      </c>
      <c r="B54" s="79" t="s">
        <v>139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05.12.25'!$C$5:$F$165,4,0)</f>
        <v>86.742999999999995</v>
      </c>
      <c r="J54" s="81">
        <f>VLOOKUP(B54,'KASE за 05.12.25'!$C$5:$G$165,5,0)</f>
        <v>95.676299999999998</v>
      </c>
      <c r="K54" s="111">
        <v>44833333.333333284</v>
      </c>
      <c r="L54" s="71">
        <f>D54*I54/100+K54</f>
        <v>478548333.33333325</v>
      </c>
      <c r="M54" s="82">
        <f t="shared" si="11"/>
        <v>1.7372937407470521E-2</v>
      </c>
      <c r="N54" s="13">
        <f t="shared" si="10"/>
        <v>166666.66666666666</v>
      </c>
      <c r="O54" s="12">
        <f t="shared" si="12"/>
        <v>44999999.999999948</v>
      </c>
      <c r="Q54" s="3"/>
      <c r="R54" s="12"/>
    </row>
    <row r="55" spans="1:18" x14ac:dyDescent="0.25">
      <c r="A55" s="80" t="s">
        <v>378</v>
      </c>
      <c r="B55" s="79" t="s">
        <v>139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05.12.25'!$C$5:$F$165,4,0)</f>
        <v>86.742999999999995</v>
      </c>
      <c r="J55" s="81">
        <f>VLOOKUP(B55,'KASE за 05.12.25'!$C$5:$G$165,5,0)</f>
        <v>95.676299999999998</v>
      </c>
      <c r="K55" s="111">
        <v>44833333.333333284</v>
      </c>
      <c r="L55" s="71">
        <f t="shared" si="13"/>
        <v>478548333.33333325</v>
      </c>
      <c r="M55" s="82">
        <f t="shared" si="11"/>
        <v>1.7372937407470521E-2</v>
      </c>
      <c r="N55" s="13">
        <f t="shared" si="10"/>
        <v>166666.66666666666</v>
      </c>
      <c r="O55" s="12">
        <f t="shared" si="12"/>
        <v>44999999.999999948</v>
      </c>
      <c r="Q55" s="3"/>
      <c r="R55" s="12"/>
    </row>
    <row r="56" spans="1:18" x14ac:dyDescent="0.25">
      <c r="A56" s="54" t="s">
        <v>378</v>
      </c>
      <c r="B56" s="55" t="s">
        <v>139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05.12.25'!$C$5:$F$165,4,0)</f>
        <v>86.742999999999995</v>
      </c>
      <c r="J56" s="32">
        <f>VLOOKUP(B56,'KASE за 05.12.25'!$C$5:$G$165,5,0)</f>
        <v>95.676299999999998</v>
      </c>
      <c r="K56" s="101">
        <v>36890749.66666659</v>
      </c>
      <c r="L56" s="71">
        <f t="shared" si="13"/>
        <v>393769667.69666654</v>
      </c>
      <c r="M56" s="82">
        <f t="shared" si="11"/>
        <v>1.4295182562237857E-2</v>
      </c>
      <c r="N56" s="13">
        <f t="shared" si="10"/>
        <v>137140.33333333334</v>
      </c>
      <c r="O56" s="12">
        <f t="shared" si="12"/>
        <v>37027889.999999925</v>
      </c>
      <c r="Q56" s="3"/>
      <c r="R56" s="12"/>
    </row>
    <row r="57" spans="1:18" x14ac:dyDescent="0.25">
      <c r="A57" s="54" t="s">
        <v>378</v>
      </c>
      <c r="B57" s="55" t="s">
        <v>2099</v>
      </c>
      <c r="C57" s="86">
        <f>500000-271261</f>
        <v>228739</v>
      </c>
      <c r="D57" s="29">
        <f t="shared" si="14"/>
        <v>228739000</v>
      </c>
      <c r="E57" s="30">
        <v>14.45</v>
      </c>
      <c r="F57" s="85">
        <v>45848</v>
      </c>
      <c r="G57" s="85">
        <v>48735</v>
      </c>
      <c r="H57" s="86">
        <v>207428213.37400001</v>
      </c>
      <c r="I57" s="32">
        <f>VLOOKUP(B57,'KASE за 05.12.25'!$C$5:$F$170,4,0)</f>
        <v>92.444299999999998</v>
      </c>
      <c r="J57" s="32">
        <f>VLOOKUP(B57,'KASE за 05.12.25'!$C$5:$G$170,5,0)</f>
        <v>99.669300000000007</v>
      </c>
      <c r="K57" s="101">
        <v>16618206.043055497</v>
      </c>
      <c r="L57" s="71">
        <f>D57*I57/100+K57</f>
        <v>228074373.42005551</v>
      </c>
      <c r="M57" s="82">
        <f t="shared" si="11"/>
        <v>8.279877992835312E-3</v>
      </c>
      <c r="N57" s="13">
        <f t="shared" si="10"/>
        <v>91813.29305555555</v>
      </c>
      <c r="O57" s="12">
        <f t="shared" si="12"/>
        <v>16710019.336111052</v>
      </c>
      <c r="Q57" s="3"/>
      <c r="R57" s="12"/>
    </row>
    <row r="58" spans="1:18" x14ac:dyDescent="0.25">
      <c r="A58" s="80" t="s">
        <v>378</v>
      </c>
      <c r="B58" s="79" t="s">
        <v>166</v>
      </c>
      <c r="C58" s="83">
        <v>500000</v>
      </c>
      <c r="D58" s="71">
        <f t="shared" si="14"/>
        <v>500000000</v>
      </c>
      <c r="E58" s="70">
        <v>8.44</v>
      </c>
      <c r="F58" s="84">
        <v>45862</v>
      </c>
      <c r="G58" s="84">
        <v>47978</v>
      </c>
      <c r="H58" s="83">
        <v>357881944.44</v>
      </c>
      <c r="I58" s="81">
        <f>VLOOKUP(B58,'KASE за 05.12.25'!$C$5:$F$170,4,0)</f>
        <v>72.803100000000001</v>
      </c>
      <c r="J58" s="81">
        <f>VLOOKUP(B58,'KASE за 05.12.25'!$C$5:$G$170,5,0)</f>
        <v>77.609200000000001</v>
      </c>
      <c r="K58" s="111">
        <v>24147777.777777866</v>
      </c>
      <c r="L58" s="71">
        <f t="shared" si="13"/>
        <v>388163277.77777785</v>
      </c>
      <c r="M58" s="82">
        <f t="shared" si="11"/>
        <v>1.4091651478001725E-2</v>
      </c>
      <c r="N58" s="13">
        <f t="shared" si="10"/>
        <v>117222.2222222222</v>
      </c>
      <c r="O58" s="12">
        <f t="shared" si="12"/>
        <v>24265000.000000089</v>
      </c>
      <c r="Q58" s="3"/>
      <c r="R58" s="12"/>
    </row>
    <row r="59" spans="1:18" x14ac:dyDescent="0.25">
      <c r="A59" s="80" t="s">
        <v>378</v>
      </c>
      <c r="B59" s="79" t="s">
        <v>2099</v>
      </c>
      <c r="C59" s="83">
        <v>500000</v>
      </c>
      <c r="D59" s="71">
        <f t="shared" si="14"/>
        <v>500000000</v>
      </c>
      <c r="E59" s="70">
        <v>14.45</v>
      </c>
      <c r="F59" s="84">
        <v>45883</v>
      </c>
      <c r="G59" s="84">
        <v>48735</v>
      </c>
      <c r="H59" s="83">
        <v>460186416.67000002</v>
      </c>
      <c r="I59" s="81">
        <f>VLOOKUP(B59,'KASE за 05.12.25'!$C$5:$F$170,4,0)</f>
        <v>92.444299999999998</v>
      </c>
      <c r="J59" s="81">
        <f>VLOOKUP(B59,'KASE за 05.12.25'!$C$5:$G$170,5,0)</f>
        <v>99.669300000000007</v>
      </c>
      <c r="K59" s="111">
        <v>36325694.444444448</v>
      </c>
      <c r="L59" s="71">
        <f t="shared" si="13"/>
        <v>498547194.44444442</v>
      </c>
      <c r="M59" s="82">
        <f t="shared" si="11"/>
        <v>1.8098964306120322E-2</v>
      </c>
      <c r="N59" s="13">
        <f t="shared" si="10"/>
        <v>200694.44444444444</v>
      </c>
      <c r="O59" s="12">
        <f t="shared" si="12"/>
        <v>36526388.888888896</v>
      </c>
      <c r="Q59" s="3"/>
      <c r="R59" s="12"/>
    </row>
    <row r="60" spans="1:18" x14ac:dyDescent="0.25">
      <c r="A60" s="80" t="s">
        <v>378</v>
      </c>
      <c r="B60" s="79" t="s">
        <v>212</v>
      </c>
      <c r="C60" s="83">
        <v>16841</v>
      </c>
      <c r="D60" s="71">
        <f t="shared" si="14"/>
        <v>16841000</v>
      </c>
      <c r="E60" s="70">
        <v>8.35</v>
      </c>
      <c r="F60" s="84">
        <v>45890</v>
      </c>
      <c r="G60" s="84">
        <v>50976</v>
      </c>
      <c r="H60" s="83">
        <v>9465392.3599999994</v>
      </c>
      <c r="I60" s="81">
        <f>VLOOKUP(B60,'KASE за 05.12.25'!$C$5:$F$192,4,0)</f>
        <v>58.591799999999999</v>
      </c>
      <c r="J60" s="81">
        <f>VLOOKUP(B60,'KASE за 05.12.25'!$C$5:$G$192,5,0)</f>
        <v>61.607100000000003</v>
      </c>
      <c r="K60" s="111">
        <v>511709.10694444552</v>
      </c>
      <c r="L60" s="71">
        <f t="shared" si="13"/>
        <v>10379154.144944444</v>
      </c>
      <c r="M60" s="82">
        <f t="shared" si="11"/>
        <v>3.7679871131639383E-4</v>
      </c>
      <c r="N60" s="13">
        <f t="shared" si="10"/>
        <v>3906.1763888888881</v>
      </c>
      <c r="O60" s="12">
        <f t="shared" si="12"/>
        <v>515615.28333333443</v>
      </c>
      <c r="Q60" s="3"/>
      <c r="R60" s="12"/>
    </row>
    <row r="61" spans="1:18" x14ac:dyDescent="0.25">
      <c r="A61" s="80" t="s">
        <v>793</v>
      </c>
      <c r="B61" s="79" t="s">
        <v>2269</v>
      </c>
      <c r="C61" s="83">
        <v>500000</v>
      </c>
      <c r="D61" s="71">
        <f t="shared" si="14"/>
        <v>500000000</v>
      </c>
      <c r="E61" s="70">
        <v>18.7</v>
      </c>
      <c r="F61" s="84">
        <v>45896</v>
      </c>
      <c r="G61" s="84">
        <v>46992</v>
      </c>
      <c r="H61" s="83">
        <v>500000000</v>
      </c>
      <c r="I61" s="32">
        <f>VLOOKUP(B61,'Риск цены за 05.12.25'!$C$4:$G$963,4,0)</f>
        <v>97.325883560243383</v>
      </c>
      <c r="J61" s="32">
        <f>VLOOKUP(B61,'Риск цены за 05.12.25'!$C$4:$G$963,5,0)</f>
        <v>102.41648356024338</v>
      </c>
      <c r="K61" s="111">
        <v>25712500.000000045</v>
      </c>
      <c r="L61" s="71">
        <f>D61*I61/100+K61</f>
        <v>512341917.80121696</v>
      </c>
      <c r="M61" s="82">
        <f t="shared" si="11"/>
        <v>1.8599759834465938E-2</v>
      </c>
      <c r="N61" s="13">
        <f t="shared" ref="N61" si="15">D61*E61%/360</f>
        <v>259722.22222222222</v>
      </c>
      <c r="O61" s="12">
        <f t="shared" ref="O61" si="16">K61+N61</f>
        <v>25972222.222222269</v>
      </c>
      <c r="Q61" s="3"/>
      <c r="R61" s="12"/>
    </row>
    <row r="62" spans="1:18" ht="15.75" thickBot="1" x14ac:dyDescent="0.3">
      <c r="A62" s="80" t="s">
        <v>378</v>
      </c>
      <c r="B62" s="79" t="s">
        <v>8</v>
      </c>
      <c r="C62" s="83">
        <v>56500</v>
      </c>
      <c r="D62" s="71">
        <f t="shared" si="14"/>
        <v>56500000</v>
      </c>
      <c r="E62" s="70">
        <v>10.55</v>
      </c>
      <c r="F62" s="84">
        <v>45982</v>
      </c>
      <c r="G62" s="84">
        <v>47327</v>
      </c>
      <c r="H62" s="83">
        <v>48467241.189999998</v>
      </c>
      <c r="I62" s="81">
        <f>VLOOKUP(B62,'KASE за 05.12.25'!$C$5:$F$183,4,0)</f>
        <v>84.115700000000004</v>
      </c>
      <c r="J62" s="81">
        <f>VLOOKUP(B62,'KASE за 05.12.25'!$C$5:$G$183,5,0)</f>
        <v>87.837500000000006</v>
      </c>
      <c r="K62" s="111">
        <v>2119377.7777777794</v>
      </c>
      <c r="L62" s="71">
        <f>D62*I62/100+K62</f>
        <v>49644748.277777776</v>
      </c>
      <c r="M62" s="82">
        <f t="shared" si="11"/>
        <v>1.8022737607962904E-3</v>
      </c>
      <c r="N62" s="13">
        <f t="shared" ref="N62" si="17">D62*E62%/360</f>
        <v>16557.638888888891</v>
      </c>
      <c r="O62" s="12">
        <f>K62+N62</f>
        <v>2135935.4166666684</v>
      </c>
      <c r="Q62" s="3"/>
      <c r="R62" s="12"/>
    </row>
    <row r="63" spans="1:18" ht="15.75" thickBot="1" x14ac:dyDescent="0.3">
      <c r="A63" s="68" t="s">
        <v>14</v>
      </c>
      <c r="B63" s="67"/>
      <c r="C63" s="66">
        <f>SUM(C6:C62)</f>
        <v>32678300</v>
      </c>
      <c r="D63" s="66">
        <f>SUM(D6:D62)</f>
        <v>32678300000</v>
      </c>
      <c r="E63" s="64"/>
      <c r="F63" s="63"/>
      <c r="G63" s="63"/>
      <c r="H63" s="66">
        <f>SUM(H6:H62)</f>
        <v>28108969410.156197</v>
      </c>
      <c r="I63" s="62"/>
      <c r="J63" s="65"/>
      <c r="K63" s="102">
        <f>SUM(K6:K62)</f>
        <v>1780948074.0127645</v>
      </c>
      <c r="L63" s="102">
        <f>SUM(L6:L62)</f>
        <v>27545620070.417862</v>
      </c>
      <c r="M63" s="99">
        <f>SUM(M6:M62)</f>
        <v>1</v>
      </c>
      <c r="N63" s="13">
        <v>27545620070.417881</v>
      </c>
      <c r="O63" s="40">
        <f>L63-N63</f>
        <v>0</v>
      </c>
    </row>
    <row r="64" spans="1:18" x14ac:dyDescent="0.25">
      <c r="J64" s="4"/>
      <c r="K64" s="94"/>
      <c r="L64" s="41"/>
      <c r="M64" s="8"/>
      <c r="N64" s="39"/>
      <c r="O64" s="8"/>
    </row>
    <row r="65" spans="1:17" ht="15.75" thickBot="1" x14ac:dyDescent="0.3">
      <c r="A65" s="5" t="s">
        <v>365</v>
      </c>
      <c r="H65" s="93"/>
      <c r="K65" s="38"/>
      <c r="L65" s="43"/>
      <c r="M65" s="8"/>
      <c r="N65" s="103"/>
      <c r="O65" s="8"/>
    </row>
    <row r="66" spans="1:17" ht="15.75" thickBot="1" x14ac:dyDescent="0.3">
      <c r="A66" s="36" t="s">
        <v>232</v>
      </c>
      <c r="B66" s="37">
        <v>198997.2</v>
      </c>
      <c r="C66" s="8">
        <v>198997.2</v>
      </c>
      <c r="D66" s="8">
        <f>B66-C66</f>
        <v>0</v>
      </c>
      <c r="K66" s="38"/>
      <c r="L66" s="43"/>
      <c r="M66" s="90"/>
      <c r="N66" s="104"/>
      <c r="O66" s="8"/>
    </row>
    <row r="67" spans="1:17" x14ac:dyDescent="0.25">
      <c r="N67" s="87"/>
      <c r="O67" s="8"/>
      <c r="Q67" s="8"/>
    </row>
    <row r="68" spans="1:17" ht="15.75" thickBot="1" x14ac:dyDescent="0.3">
      <c r="A68" s="5" t="s">
        <v>233</v>
      </c>
      <c r="N68" s="88"/>
      <c r="O68" s="90"/>
    </row>
    <row r="69" spans="1:17" ht="34.5" customHeight="1" thickBot="1" x14ac:dyDescent="0.3">
      <c r="A69" s="1" t="s">
        <v>234</v>
      </c>
      <c r="B69" s="1" t="s">
        <v>235</v>
      </c>
      <c r="C69" s="1" t="s">
        <v>236</v>
      </c>
      <c r="D69" s="1" t="s">
        <v>237</v>
      </c>
      <c r="E69" s="1" t="s">
        <v>238</v>
      </c>
      <c r="F69" s="1" t="s">
        <v>239</v>
      </c>
      <c r="G69" s="1" t="s">
        <v>240</v>
      </c>
      <c r="H69" s="1" t="s">
        <v>241</v>
      </c>
      <c r="I69" s="1" t="s">
        <v>328</v>
      </c>
      <c r="J69" s="1" t="s">
        <v>329</v>
      </c>
      <c r="K69" s="1" t="s">
        <v>330</v>
      </c>
      <c r="L69" s="1" t="s">
        <v>242</v>
      </c>
      <c r="M69" s="1" t="s">
        <v>331</v>
      </c>
    </row>
    <row r="70" spans="1:17" s="17" customFormat="1" ht="15" customHeight="1" x14ac:dyDescent="0.25">
      <c r="A70" s="54" t="s">
        <v>25</v>
      </c>
      <c r="B70" s="55" t="s">
        <v>2250</v>
      </c>
      <c r="C70" s="56">
        <v>71856</v>
      </c>
      <c r="D70" s="57" t="s">
        <v>232</v>
      </c>
      <c r="E70" s="45">
        <v>45996</v>
      </c>
      <c r="F70" s="45">
        <v>45999</v>
      </c>
      <c r="G70" s="58">
        <v>1002.9039999443301</v>
      </c>
      <c r="H70" s="58">
        <v>1004.31356087174</v>
      </c>
      <c r="I70" s="56">
        <v>72064669.819999993</v>
      </c>
      <c r="J70" s="56">
        <v>72165955.230000004</v>
      </c>
      <c r="K70" s="59">
        <v>17.099999552411301</v>
      </c>
      <c r="L70" s="18">
        <f t="shared" ref="L70:L76" si="18">IF(($B$1-E70)=0,0,(J70-I70)/(F70-E70)*($B$1-E70))</f>
        <v>33761.803333337106</v>
      </c>
      <c r="M70" s="18">
        <f t="shared" ref="M70:M76" si="19">IF((F70=$B$1),0,(I70+L70))</f>
        <v>72098431.623333335</v>
      </c>
      <c r="N70" s="16"/>
    </row>
    <row r="71" spans="1:17" s="17" customFormat="1" ht="15" customHeight="1" x14ac:dyDescent="0.25">
      <c r="A71" s="54" t="s">
        <v>378</v>
      </c>
      <c r="B71" s="55" t="s">
        <v>1209</v>
      </c>
      <c r="C71" s="56">
        <v>158067</v>
      </c>
      <c r="D71" s="57" t="s">
        <v>232</v>
      </c>
      <c r="E71" s="45">
        <v>45996</v>
      </c>
      <c r="F71" s="45">
        <v>45999</v>
      </c>
      <c r="G71" s="58">
        <v>575.837900004429</v>
      </c>
      <c r="H71" s="58">
        <v>576.64722832722805</v>
      </c>
      <c r="I71" s="56">
        <v>91020969.340000004</v>
      </c>
      <c r="J71" s="56">
        <v>91148897.439999998</v>
      </c>
      <c r="K71" s="59">
        <v>17.099999717493699</v>
      </c>
      <c r="L71" s="18">
        <f t="shared" si="18"/>
        <v>42642.699999998011</v>
      </c>
      <c r="M71" s="18">
        <f t="shared" si="19"/>
        <v>91063612.040000007</v>
      </c>
      <c r="N71" s="16"/>
    </row>
    <row r="72" spans="1:17" s="17" customFormat="1" ht="15" customHeight="1" x14ac:dyDescent="0.25">
      <c r="A72" s="54" t="s">
        <v>25</v>
      </c>
      <c r="B72" s="55" t="s">
        <v>2250</v>
      </c>
      <c r="C72" s="56">
        <v>170658</v>
      </c>
      <c r="D72" s="57" t="s">
        <v>232</v>
      </c>
      <c r="E72" s="45">
        <v>45996</v>
      </c>
      <c r="F72" s="45">
        <v>45999</v>
      </c>
      <c r="G72" s="58">
        <v>1002.90399998828</v>
      </c>
      <c r="H72" s="58">
        <v>1004.31356098161</v>
      </c>
      <c r="I72" s="56">
        <v>171153590.83000001</v>
      </c>
      <c r="J72" s="56">
        <v>171394143.69</v>
      </c>
      <c r="K72" s="59">
        <v>17.100000351382199</v>
      </c>
      <c r="L72" s="18">
        <f t="shared" si="18"/>
        <v>80184.286666661501</v>
      </c>
      <c r="M72" s="18">
        <f t="shared" si="19"/>
        <v>171233775.11666667</v>
      </c>
      <c r="N72" s="16"/>
    </row>
    <row r="73" spans="1:17" s="17" customFormat="1" ht="15" customHeight="1" x14ac:dyDescent="0.25">
      <c r="A73" s="54" t="s">
        <v>25</v>
      </c>
      <c r="B73" s="55" t="s">
        <v>2250</v>
      </c>
      <c r="C73" s="56">
        <v>291416</v>
      </c>
      <c r="D73" s="57" t="s">
        <v>232</v>
      </c>
      <c r="E73" s="45">
        <v>45996</v>
      </c>
      <c r="F73" s="45">
        <v>45999</v>
      </c>
      <c r="G73" s="58">
        <v>1002.90399998627</v>
      </c>
      <c r="H73" s="58">
        <v>1004.3135609575299</v>
      </c>
      <c r="I73" s="56">
        <v>292262272.06</v>
      </c>
      <c r="J73" s="56">
        <v>292673040.68000001</v>
      </c>
      <c r="K73" s="59">
        <v>17.100000083625801</v>
      </c>
      <c r="L73" s="18">
        <f t="shared" si="18"/>
        <v>136922.87333333492</v>
      </c>
      <c r="M73" s="18">
        <f t="shared" si="19"/>
        <v>292399194.93333334</v>
      </c>
      <c r="N73" s="16"/>
    </row>
    <row r="74" spans="1:17" s="17" customFormat="1" ht="15" customHeight="1" x14ac:dyDescent="0.25">
      <c r="A74" s="54" t="s">
        <v>25</v>
      </c>
      <c r="B74" s="55" t="s">
        <v>2250</v>
      </c>
      <c r="C74" s="56">
        <v>207584</v>
      </c>
      <c r="D74" s="57" t="s">
        <v>232</v>
      </c>
      <c r="E74" s="45">
        <v>45996</v>
      </c>
      <c r="F74" s="45">
        <v>45999</v>
      </c>
      <c r="G74" s="58">
        <v>1002.90400001927</v>
      </c>
      <c r="H74" s="58">
        <v>1004.31356096809</v>
      </c>
      <c r="I74" s="56">
        <v>208186823.94</v>
      </c>
      <c r="J74" s="56">
        <v>208479426.24000001</v>
      </c>
      <c r="K74" s="59">
        <v>17.0999998108718</v>
      </c>
      <c r="L74" s="18">
        <f t="shared" si="18"/>
        <v>97534.100000003978</v>
      </c>
      <c r="M74" s="18">
        <f t="shared" si="19"/>
        <v>208284358.03999999</v>
      </c>
      <c r="N74" s="16"/>
    </row>
    <row r="75" spans="1:17" s="17" customFormat="1" ht="15" customHeight="1" x14ac:dyDescent="0.25">
      <c r="A75" s="54" t="s">
        <v>378</v>
      </c>
      <c r="B75" s="55" t="s">
        <v>1909</v>
      </c>
      <c r="C75" s="56">
        <v>6856093</v>
      </c>
      <c r="D75" s="57" t="s">
        <v>232</v>
      </c>
      <c r="E75" s="45">
        <v>45996</v>
      </c>
      <c r="F75" s="45">
        <v>45999</v>
      </c>
      <c r="G75" s="58">
        <v>97.288900000335502</v>
      </c>
      <c r="H75" s="58">
        <v>97.425637550424099</v>
      </c>
      <c r="I75" s="56">
        <v>667021746.26999998</v>
      </c>
      <c r="J75" s="56">
        <v>667959231.63</v>
      </c>
      <c r="K75" s="59">
        <v>17.100000028159499</v>
      </c>
      <c r="L75" s="18">
        <f t="shared" si="18"/>
        <v>312495.12000000477</v>
      </c>
      <c r="M75" s="18">
        <f t="shared" si="19"/>
        <v>667334241.38999999</v>
      </c>
      <c r="N75" s="16"/>
    </row>
    <row r="76" spans="1:17" s="17" customFormat="1" ht="15" customHeight="1" x14ac:dyDescent="0.25">
      <c r="A76" s="54" t="s">
        <v>378</v>
      </c>
      <c r="B76" s="55" t="s">
        <v>1211</v>
      </c>
      <c r="C76" s="56">
        <v>17955</v>
      </c>
      <c r="D76" s="57" t="s">
        <v>232</v>
      </c>
      <c r="E76" s="45">
        <v>45996</v>
      </c>
      <c r="F76" s="45">
        <v>45999</v>
      </c>
      <c r="G76" s="58">
        <v>501.34160011138999</v>
      </c>
      <c r="H76" s="58">
        <v>502.046229462545</v>
      </c>
      <c r="I76" s="56">
        <v>9001588.4299999997</v>
      </c>
      <c r="J76" s="56">
        <v>9014240.0500000007</v>
      </c>
      <c r="K76" s="59">
        <v>17.100097891648801</v>
      </c>
      <c r="L76" s="18">
        <f t="shared" si="18"/>
        <v>4217.2066666670144</v>
      </c>
      <c r="M76" s="18">
        <f t="shared" si="19"/>
        <v>9005805.6366666667</v>
      </c>
      <c r="N76" s="16"/>
    </row>
    <row r="77" spans="1:17" s="17" customFormat="1" ht="12" customHeight="1" thickBot="1" x14ac:dyDescent="0.3">
      <c r="A77" s="54"/>
      <c r="B77" s="55"/>
      <c r="C77" s="56"/>
      <c r="D77" s="57"/>
      <c r="E77" s="45"/>
      <c r="F77" s="45"/>
      <c r="G77" s="58"/>
      <c r="H77" s="58"/>
      <c r="I77" s="56"/>
      <c r="J77" s="56"/>
      <c r="K77" s="59"/>
      <c r="L77" s="18"/>
      <c r="M77" s="18"/>
      <c r="N77" s="16"/>
    </row>
    <row r="78" spans="1:17" ht="15.75" thickBot="1" x14ac:dyDescent="0.3">
      <c r="A78" s="78" t="s">
        <v>14</v>
      </c>
      <c r="B78" s="67"/>
      <c r="C78" s="66">
        <f>SUM(C70:C76)</f>
        <v>7773629</v>
      </c>
      <c r="D78" s="77"/>
      <c r="E78" s="76"/>
      <c r="F78" s="77"/>
      <c r="G78" s="75"/>
      <c r="H78" s="77"/>
      <c r="I78" s="66">
        <f>SUM(I70:I76)</f>
        <v>1510711660.6900001</v>
      </c>
      <c r="J78" s="66">
        <f>SUM(J70:J76)</f>
        <v>1512834934.9599998</v>
      </c>
      <c r="K78" s="74"/>
      <c r="L78" s="66">
        <f>SUM(L70:L76)</f>
        <v>707758.0900000073</v>
      </c>
      <c r="M78" s="66">
        <f>SUM(M70:M76)</f>
        <v>1511419418.7800002</v>
      </c>
      <c r="N78" s="125">
        <v>1511419418.7800002</v>
      </c>
      <c r="O78" s="8">
        <f>M78-N78</f>
        <v>0</v>
      </c>
    </row>
    <row r="79" spans="1:17" x14ac:dyDescent="0.25">
      <c r="A79" s="7"/>
      <c r="B79" s="46"/>
      <c r="C79" s="47"/>
      <c r="D79" s="48"/>
      <c r="E79" s="49"/>
      <c r="F79" s="50"/>
      <c r="G79" s="50"/>
      <c r="H79" s="51"/>
      <c r="I79" s="51"/>
      <c r="J79" s="48"/>
      <c r="K79" s="48"/>
      <c r="L79" s="52"/>
      <c r="M79" s="53"/>
      <c r="N79" s="53"/>
    </row>
    <row r="81" spans="1:14" ht="15.75" thickBot="1" x14ac:dyDescent="0.3">
      <c r="A81" s="5" t="s">
        <v>363</v>
      </c>
      <c r="L81" s="10"/>
      <c r="M81" s="11"/>
    </row>
    <row r="82" spans="1:14" ht="22.5" x14ac:dyDescent="0.25">
      <c r="A82" s="96" t="s">
        <v>16</v>
      </c>
      <c r="B82" s="96" t="s">
        <v>243</v>
      </c>
      <c r="C82" s="96" t="s">
        <v>237</v>
      </c>
      <c r="D82" s="96" t="s">
        <v>244</v>
      </c>
      <c r="E82" s="96" t="s">
        <v>236</v>
      </c>
      <c r="F82" s="96" t="s">
        <v>245</v>
      </c>
      <c r="G82" s="96" t="s">
        <v>246</v>
      </c>
      <c r="L82" s="10"/>
      <c r="M82" s="11"/>
    </row>
    <row r="83" spans="1:14" x14ac:dyDescent="0.25">
      <c r="A83" s="28">
        <v>1</v>
      </c>
      <c r="B83" s="28" t="s">
        <v>384</v>
      </c>
      <c r="C83" s="95" t="s">
        <v>232</v>
      </c>
      <c r="D83" s="31">
        <v>45989</v>
      </c>
      <c r="E83" s="29">
        <v>300000</v>
      </c>
      <c r="F83" s="29">
        <v>20835000</v>
      </c>
      <c r="G83" s="29">
        <v>20835000</v>
      </c>
      <c r="H83" s="125">
        <v>20835000</v>
      </c>
      <c r="I83" s="8">
        <f>G83-H83</f>
        <v>0</v>
      </c>
      <c r="L83" s="10"/>
      <c r="M83" s="11"/>
    </row>
    <row r="84" spans="1:14" ht="15.75" x14ac:dyDescent="0.25">
      <c r="A84" s="9" t="s">
        <v>14</v>
      </c>
      <c r="B84" s="97"/>
      <c r="C84" s="97"/>
      <c r="D84" s="97"/>
      <c r="E84" s="97"/>
      <c r="F84" s="97"/>
      <c r="G84" s="98">
        <f>SUM(G83:G83)</f>
        <v>20835000</v>
      </c>
      <c r="L84" s="10"/>
      <c r="M84" s="11"/>
    </row>
    <row r="85" spans="1:14" ht="15.75" thickBot="1" x14ac:dyDescent="0.3">
      <c r="L85" s="10"/>
      <c r="M85" s="11"/>
    </row>
    <row r="86" spans="1:14" ht="15.75" thickBot="1" x14ac:dyDescent="0.3">
      <c r="A86" s="34" t="s">
        <v>247</v>
      </c>
      <c r="B86" s="35">
        <f>L63+B66+M78+G84</f>
        <v>29078073486.397861</v>
      </c>
      <c r="C86" s="125">
        <v>29078073486.397881</v>
      </c>
      <c r="D86" s="3">
        <f>B86-C86</f>
        <v>0</v>
      </c>
      <c r="L86" s="10"/>
      <c r="M86" s="10"/>
    </row>
    <row r="87" spans="1:14" x14ac:dyDescent="0.25">
      <c r="B87" s="38"/>
      <c r="C87" s="105"/>
      <c r="L87" s="10"/>
    </row>
    <row r="88" spans="1:14" x14ac:dyDescent="0.25">
      <c r="B88" s="38"/>
      <c r="G88" s="8"/>
    </row>
    <row r="89" spans="1:14" ht="15.75" x14ac:dyDescent="0.25">
      <c r="A89" s="19"/>
      <c r="B89" s="92"/>
    </row>
    <row r="90" spans="1:14" x14ac:dyDescent="0.25">
      <c r="A90" s="6" t="s">
        <v>361</v>
      </c>
      <c r="L90" s="13"/>
      <c r="N90"/>
    </row>
    <row r="91" spans="1:14" ht="15.75" x14ac:dyDescent="0.25">
      <c r="A91" s="20" t="s">
        <v>248</v>
      </c>
      <c r="B91" s="21">
        <v>4030988.47</v>
      </c>
      <c r="K91" s="13"/>
      <c r="N91"/>
    </row>
    <row r="92" spans="1:14" ht="15.75" x14ac:dyDescent="0.25">
      <c r="A92" s="20" t="s">
        <v>249</v>
      </c>
      <c r="B92" s="22"/>
      <c r="K92" s="13"/>
      <c r="N92"/>
    </row>
    <row r="93" spans="1:14" ht="15.75" x14ac:dyDescent="0.25">
      <c r="A93" s="20" t="s">
        <v>250</v>
      </c>
      <c r="B93" s="23">
        <f>3000+3000+4000+2000+5000+2000+3000+2000+2000+2000+2000+3000+2000+3000+3000+2000+4000+5000+8000+2000+360738.18+3000+2000+2000+2000+7000</f>
        <v>438738.18</v>
      </c>
      <c r="C93" s="8"/>
      <c r="F93" s="8"/>
      <c r="K93" s="13"/>
      <c r="N93"/>
    </row>
    <row r="94" spans="1:14" ht="15.75" x14ac:dyDescent="0.25">
      <c r="A94" s="20" t="s">
        <v>251</v>
      </c>
      <c r="B94" s="22"/>
      <c r="K94" s="13"/>
      <c r="N94"/>
    </row>
    <row r="95" spans="1:14" ht="15.75" x14ac:dyDescent="0.25">
      <c r="A95" s="24" t="s">
        <v>364</v>
      </c>
      <c r="B95" s="21">
        <v>370131.49</v>
      </c>
      <c r="C95" s="8"/>
      <c r="D95" s="8"/>
      <c r="K95" s="13"/>
      <c r="N95"/>
    </row>
    <row r="96" spans="1:14" ht="15.75" x14ac:dyDescent="0.25">
      <c r="A96" s="20" t="s">
        <v>252</v>
      </c>
      <c r="B96" s="23">
        <f>2265.92+2268.65+2332.23+2331.42+6921.84+2335.92+2338.46+2339.56+2339.53+6945.87+2343.36+2361.9+2347.47+2346.57+9173.89+2279.02+2280.32+2281.66+2283.42+6772.91+2325.69+2286.36+2289.27+2291.14+6798.2</f>
        <v>82880.58</v>
      </c>
      <c r="K96" s="13"/>
      <c r="N96"/>
    </row>
    <row r="97" spans="1:14" ht="15.75" x14ac:dyDescent="0.25">
      <c r="A97" s="20" t="s">
        <v>253</v>
      </c>
      <c r="B97" s="23">
        <f>1120.05+1120.68+1153.21+1153.55+3459.26+1155.8+1156.32+1156.88+1157.6+3472.94+1159.53+1160.39+1160.82+1161.12+8221.98+1126.6+1127.25+1127.93+1128.81+3386.45+1131.03+1131.02+1131.73+1131.91+3399.11</f>
        <v>44791.969999999994</v>
      </c>
      <c r="K97" s="13"/>
      <c r="N97"/>
    </row>
    <row r="98" spans="1:14" ht="15.75" x14ac:dyDescent="0.25">
      <c r="A98" s="20" t="s">
        <v>254</v>
      </c>
      <c r="B98" s="22"/>
      <c r="K98" s="13"/>
      <c r="N98"/>
    </row>
    <row r="99" spans="1:14" ht="17.25" customHeight="1" x14ac:dyDescent="0.25">
      <c r="A99" s="24" t="s">
        <v>255</v>
      </c>
      <c r="B99" s="22"/>
      <c r="K99" s="13"/>
      <c r="N99"/>
    </row>
    <row r="100" spans="1:14" ht="15.75" x14ac:dyDescent="0.25">
      <c r="A100" s="24" t="s">
        <v>256</v>
      </c>
      <c r="B100" s="22"/>
      <c r="K100" s="13"/>
      <c r="N100"/>
    </row>
    <row r="101" spans="1:14" ht="15.75" x14ac:dyDescent="0.25">
      <c r="A101" s="26" t="s">
        <v>362</v>
      </c>
      <c r="B101" s="25">
        <f>SUM(B91:B100)</f>
        <v>4967530.6900000004</v>
      </c>
      <c r="L101" s="13"/>
      <c r="N101"/>
    </row>
    <row r="102" spans="1:14" x14ac:dyDescent="0.25">
      <c r="L102" s="13"/>
      <c r="N102"/>
    </row>
  </sheetData>
  <autoFilter ref="A69:T69" xr:uid="{00000000-0009-0000-0000-000000000000}"/>
  <conditionalFormatting sqref="F70:F7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4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45996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326</v>
      </c>
      <c r="C3" s="123" t="s">
        <v>0</v>
      </c>
      <c r="D3" s="123" t="s">
        <v>17</v>
      </c>
      <c r="E3" s="123" t="s">
        <v>321</v>
      </c>
      <c r="F3" s="123" t="s">
        <v>322</v>
      </c>
      <c r="G3" s="123" t="s">
        <v>323</v>
      </c>
      <c r="H3" s="123" t="s">
        <v>1919</v>
      </c>
      <c r="I3" s="123" t="s">
        <v>324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1" t="s">
        <v>2123</v>
      </c>
      <c r="C5" s="61" t="s">
        <v>21</v>
      </c>
      <c r="D5" s="61" t="s">
        <v>19</v>
      </c>
      <c r="E5" s="61" t="s">
        <v>2188</v>
      </c>
      <c r="F5" s="61">
        <v>866.71</v>
      </c>
      <c r="G5" s="61" t="s">
        <v>325</v>
      </c>
      <c r="H5" s="61" t="s">
        <v>325</v>
      </c>
      <c r="I5" s="61" t="s">
        <v>325</v>
      </c>
      <c r="J5" s="61" t="s">
        <v>232</v>
      </c>
    </row>
    <row r="6" spans="1:10" ht="15" x14ac:dyDescent="0.25">
      <c r="A6" s="15">
        <v>2</v>
      </c>
      <c r="B6" s="61" t="s">
        <v>2656</v>
      </c>
      <c r="C6" s="61" t="s">
        <v>501</v>
      </c>
      <c r="D6" s="61" t="s">
        <v>2189</v>
      </c>
      <c r="E6" s="61" t="s">
        <v>2188</v>
      </c>
      <c r="F6" s="61">
        <v>6.85</v>
      </c>
      <c r="G6" s="61" t="s">
        <v>325</v>
      </c>
      <c r="H6" s="61" t="s">
        <v>325</v>
      </c>
      <c r="I6" s="61" t="s">
        <v>325</v>
      </c>
      <c r="J6" s="61" t="s">
        <v>2474</v>
      </c>
    </row>
    <row r="7" spans="1:10" ht="15" x14ac:dyDescent="0.25">
      <c r="A7" s="15">
        <v>3</v>
      </c>
      <c r="B7" s="61" t="s">
        <v>2657</v>
      </c>
      <c r="C7" s="61" t="s">
        <v>24</v>
      </c>
      <c r="D7" s="61" t="s">
        <v>19</v>
      </c>
      <c r="E7" s="61" t="s">
        <v>2190</v>
      </c>
      <c r="F7" s="109">
        <v>6301.35</v>
      </c>
      <c r="G7" s="61" t="s">
        <v>325</v>
      </c>
      <c r="H7" s="61" t="s">
        <v>325</v>
      </c>
      <c r="I7" s="61" t="s">
        <v>325</v>
      </c>
      <c r="J7" s="61" t="s">
        <v>232</v>
      </c>
    </row>
    <row r="8" spans="1:10" ht="15" x14ac:dyDescent="0.25">
      <c r="A8" s="15">
        <v>4</v>
      </c>
      <c r="B8" s="61" t="s">
        <v>2658</v>
      </c>
      <c r="C8" s="61" t="s">
        <v>413</v>
      </c>
      <c r="D8" s="61" t="s">
        <v>2191</v>
      </c>
      <c r="E8" s="61" t="s">
        <v>2351</v>
      </c>
      <c r="F8" s="61">
        <v>100.0172</v>
      </c>
      <c r="G8" s="61">
        <v>101.5505</v>
      </c>
      <c r="H8" s="61" t="s">
        <v>2424</v>
      </c>
      <c r="I8" s="61" t="s">
        <v>2659</v>
      </c>
      <c r="J8" s="61" t="s">
        <v>263</v>
      </c>
    </row>
    <row r="9" spans="1:10" ht="15" x14ac:dyDescent="0.25">
      <c r="A9" s="15">
        <v>5</v>
      </c>
      <c r="B9" s="61" t="s">
        <v>2660</v>
      </c>
      <c r="C9" s="61" t="s">
        <v>641</v>
      </c>
      <c r="D9" s="61" t="s">
        <v>2191</v>
      </c>
      <c r="E9" s="61" t="s">
        <v>2624</v>
      </c>
      <c r="F9" s="61">
        <v>95.086299999999994</v>
      </c>
      <c r="G9" s="61">
        <v>95.186300000000003</v>
      </c>
      <c r="H9" s="61" t="s">
        <v>2661</v>
      </c>
      <c r="I9" s="61" t="s">
        <v>2662</v>
      </c>
      <c r="J9" s="61" t="s">
        <v>263</v>
      </c>
    </row>
    <row r="10" spans="1:10" ht="15" x14ac:dyDescent="0.25">
      <c r="A10" s="15">
        <v>6</v>
      </c>
      <c r="B10" s="61" t="s">
        <v>2663</v>
      </c>
      <c r="C10" s="61" t="s">
        <v>709</v>
      </c>
      <c r="D10" s="61" t="s">
        <v>2192</v>
      </c>
      <c r="E10" s="61" t="s">
        <v>2193</v>
      </c>
      <c r="F10" s="61">
        <v>131.19</v>
      </c>
      <c r="G10" s="61" t="s">
        <v>325</v>
      </c>
      <c r="H10" s="61" t="s">
        <v>325</v>
      </c>
      <c r="I10" s="61" t="s">
        <v>325</v>
      </c>
      <c r="J10" s="61" t="s">
        <v>2474</v>
      </c>
    </row>
    <row r="11" spans="1:10" ht="15" x14ac:dyDescent="0.25">
      <c r="A11" s="15">
        <v>7</v>
      </c>
      <c r="B11" s="61" t="s">
        <v>2664</v>
      </c>
      <c r="C11" s="61" t="s">
        <v>27</v>
      </c>
      <c r="D11" s="61" t="s">
        <v>2192</v>
      </c>
      <c r="E11" s="61" t="s">
        <v>2193</v>
      </c>
      <c r="F11" s="109">
        <v>1526.49</v>
      </c>
      <c r="G11" s="61" t="s">
        <v>325</v>
      </c>
      <c r="H11" s="61" t="s">
        <v>325</v>
      </c>
      <c r="I11" s="61" t="s">
        <v>325</v>
      </c>
      <c r="J11" s="61" t="s">
        <v>232</v>
      </c>
    </row>
    <row r="12" spans="1:10" ht="15" x14ac:dyDescent="0.25">
      <c r="A12" s="15">
        <v>8</v>
      </c>
      <c r="B12" s="61" t="s">
        <v>2665</v>
      </c>
      <c r="C12" s="61" t="s">
        <v>712</v>
      </c>
      <c r="D12" s="61" t="s">
        <v>2192</v>
      </c>
      <c r="E12" s="61" t="s">
        <v>2193</v>
      </c>
      <c r="F12" s="61">
        <v>7.21</v>
      </c>
      <c r="G12" s="61" t="s">
        <v>325</v>
      </c>
      <c r="H12" s="61" t="s">
        <v>325</v>
      </c>
      <c r="I12" s="61" t="s">
        <v>325</v>
      </c>
      <c r="J12" s="61" t="s">
        <v>232</v>
      </c>
    </row>
    <row r="13" spans="1:10" ht="15.75" customHeight="1" x14ac:dyDescent="0.25">
      <c r="A13" s="15">
        <v>9</v>
      </c>
      <c r="B13" s="61" t="s">
        <v>2666</v>
      </c>
      <c r="C13" s="61" t="s">
        <v>416</v>
      </c>
      <c r="D13" s="61" t="s">
        <v>2191</v>
      </c>
      <c r="E13" s="61" t="s">
        <v>2097</v>
      </c>
      <c r="F13" s="61">
        <v>98.550700000000006</v>
      </c>
      <c r="G13" s="61">
        <v>100.2278</v>
      </c>
      <c r="H13" s="61" t="s">
        <v>2511</v>
      </c>
      <c r="I13" s="61" t="s">
        <v>2637</v>
      </c>
      <c r="J13" s="61" t="s">
        <v>263</v>
      </c>
    </row>
    <row r="14" spans="1:10" ht="15.75" customHeight="1" x14ac:dyDescent="0.25">
      <c r="A14" s="15">
        <v>10</v>
      </c>
      <c r="B14" s="61" t="s">
        <v>2667</v>
      </c>
      <c r="C14" s="61" t="s">
        <v>2084</v>
      </c>
      <c r="D14" s="61" t="s">
        <v>2191</v>
      </c>
      <c r="E14" s="61" t="s">
        <v>2097</v>
      </c>
      <c r="F14" s="61">
        <v>99.997900000000001</v>
      </c>
      <c r="G14" s="61">
        <v>100.3229</v>
      </c>
      <c r="H14" s="61" t="s">
        <v>2597</v>
      </c>
      <c r="I14" s="61" t="s">
        <v>2668</v>
      </c>
      <c r="J14" s="61" t="s">
        <v>263</v>
      </c>
    </row>
    <row r="15" spans="1:10" ht="15.75" customHeight="1" x14ac:dyDescent="0.25">
      <c r="A15" s="15">
        <v>11</v>
      </c>
      <c r="B15" s="61" t="s">
        <v>2669</v>
      </c>
      <c r="C15" s="61" t="s">
        <v>2390</v>
      </c>
      <c r="D15" s="61" t="s">
        <v>2191</v>
      </c>
      <c r="E15" s="61" t="s">
        <v>2097</v>
      </c>
      <c r="F15" s="61">
        <v>101.22880000000001</v>
      </c>
      <c r="G15" s="61">
        <v>105.6135</v>
      </c>
      <c r="H15" s="61" t="s">
        <v>2670</v>
      </c>
      <c r="I15" s="61" t="s">
        <v>2671</v>
      </c>
      <c r="J15" s="61" t="s">
        <v>263</v>
      </c>
    </row>
    <row r="16" spans="1:10" ht="15" x14ac:dyDescent="0.25">
      <c r="A16" s="15">
        <v>12</v>
      </c>
      <c r="B16" s="61" t="s">
        <v>2672</v>
      </c>
      <c r="C16" s="61" t="s">
        <v>776</v>
      </c>
      <c r="D16" s="61" t="s">
        <v>2191</v>
      </c>
      <c r="E16" s="61" t="s">
        <v>2411</v>
      </c>
      <c r="F16" s="61">
        <v>87.232299999999995</v>
      </c>
      <c r="G16" s="61">
        <v>87.469899999999996</v>
      </c>
      <c r="H16" s="61" t="s">
        <v>2566</v>
      </c>
      <c r="I16" s="61" t="s">
        <v>2673</v>
      </c>
      <c r="J16" s="61" t="s">
        <v>263</v>
      </c>
    </row>
    <row r="17" spans="1:10" ht="15" x14ac:dyDescent="0.25">
      <c r="A17" s="15">
        <v>13</v>
      </c>
      <c r="B17" s="61" t="s">
        <v>2674</v>
      </c>
      <c r="C17" s="61" t="s">
        <v>782</v>
      </c>
      <c r="D17" s="61" t="s">
        <v>2191</v>
      </c>
      <c r="E17" s="61" t="s">
        <v>2411</v>
      </c>
      <c r="F17" s="61">
        <v>100.17440000000001</v>
      </c>
      <c r="G17" s="61">
        <v>100.7869</v>
      </c>
      <c r="H17" s="61" t="s">
        <v>2425</v>
      </c>
      <c r="I17" s="61" t="s">
        <v>2675</v>
      </c>
      <c r="J17" s="61" t="s">
        <v>263</v>
      </c>
    </row>
    <row r="18" spans="1:10" ht="15" x14ac:dyDescent="0.25">
      <c r="A18" s="15">
        <v>14</v>
      </c>
      <c r="B18" s="61" t="s">
        <v>2676</v>
      </c>
      <c r="C18" s="61" t="s">
        <v>2001</v>
      </c>
      <c r="D18" s="61" t="s">
        <v>2191</v>
      </c>
      <c r="E18" s="61" t="s">
        <v>2411</v>
      </c>
      <c r="F18" s="61">
        <v>103.48699999999999</v>
      </c>
      <c r="G18" s="61">
        <v>104.3933</v>
      </c>
      <c r="H18" s="61" t="s">
        <v>2625</v>
      </c>
      <c r="I18" s="61" t="s">
        <v>2677</v>
      </c>
      <c r="J18" s="61" t="s">
        <v>263</v>
      </c>
    </row>
    <row r="19" spans="1:10" ht="15" x14ac:dyDescent="0.25">
      <c r="A19" s="15">
        <v>15</v>
      </c>
      <c r="B19" s="61" t="s">
        <v>2678</v>
      </c>
      <c r="C19" s="61" t="s">
        <v>2353</v>
      </c>
      <c r="D19" s="61" t="s">
        <v>2191</v>
      </c>
      <c r="E19" s="61" t="s">
        <v>2411</v>
      </c>
      <c r="F19" s="61">
        <v>100.7085</v>
      </c>
      <c r="G19" s="61">
        <v>101.5804</v>
      </c>
      <c r="H19" s="61" t="s">
        <v>2605</v>
      </c>
      <c r="I19" s="61" t="s">
        <v>2679</v>
      </c>
      <c r="J19" s="61" t="s">
        <v>263</v>
      </c>
    </row>
    <row r="20" spans="1:10" ht="15" x14ac:dyDescent="0.25">
      <c r="A20" s="15">
        <v>16</v>
      </c>
      <c r="B20" s="61" t="s">
        <v>2680</v>
      </c>
      <c r="C20" s="61" t="s">
        <v>2466</v>
      </c>
      <c r="D20" s="61" t="s">
        <v>2191</v>
      </c>
      <c r="E20" s="61" t="s">
        <v>2411</v>
      </c>
      <c r="F20" s="61">
        <v>99.054400000000001</v>
      </c>
      <c r="G20" s="61">
        <v>99.680499999999995</v>
      </c>
      <c r="H20" s="61" t="s">
        <v>2586</v>
      </c>
      <c r="I20" s="61" t="s">
        <v>2681</v>
      </c>
      <c r="J20" s="61" t="s">
        <v>263</v>
      </c>
    </row>
    <row r="21" spans="1:10" ht="15" x14ac:dyDescent="0.25">
      <c r="A21" s="15">
        <v>17</v>
      </c>
      <c r="B21" s="61" t="s">
        <v>2682</v>
      </c>
      <c r="C21" s="61" t="s">
        <v>31</v>
      </c>
      <c r="D21" s="61" t="s">
        <v>2191</v>
      </c>
      <c r="E21" s="61" t="s">
        <v>2411</v>
      </c>
      <c r="F21" s="61">
        <v>100.1597</v>
      </c>
      <c r="G21" s="61">
        <v>101.3597</v>
      </c>
      <c r="H21" s="61" t="s">
        <v>2626</v>
      </c>
      <c r="I21" s="61" t="s">
        <v>2683</v>
      </c>
      <c r="J21" s="61" t="s">
        <v>263</v>
      </c>
    </row>
    <row r="22" spans="1:10" ht="15" x14ac:dyDescent="0.25">
      <c r="A22" s="15">
        <v>18</v>
      </c>
      <c r="B22" s="61" t="s">
        <v>2684</v>
      </c>
      <c r="C22" s="61" t="s">
        <v>2065</v>
      </c>
      <c r="D22" s="61" t="s">
        <v>2191</v>
      </c>
      <c r="E22" s="61" t="s">
        <v>2423</v>
      </c>
      <c r="F22" s="61">
        <v>102.0035</v>
      </c>
      <c r="G22" s="61">
        <v>102.4123</v>
      </c>
      <c r="H22" s="61" t="s">
        <v>2627</v>
      </c>
      <c r="I22" s="61" t="s">
        <v>2685</v>
      </c>
      <c r="J22" s="61" t="s">
        <v>263</v>
      </c>
    </row>
    <row r="23" spans="1:10" ht="15" x14ac:dyDescent="0.25">
      <c r="A23" s="15">
        <v>19</v>
      </c>
      <c r="B23" s="61" t="s">
        <v>2686</v>
      </c>
      <c r="C23" s="61" t="s">
        <v>2410</v>
      </c>
      <c r="D23" s="61" t="s">
        <v>2191</v>
      </c>
      <c r="E23" s="61" t="s">
        <v>2423</v>
      </c>
      <c r="F23" s="61">
        <v>101.09229999999999</v>
      </c>
      <c r="G23" s="61">
        <v>101.919</v>
      </c>
      <c r="H23" s="61" t="s">
        <v>2513</v>
      </c>
      <c r="I23" s="61" t="s">
        <v>2687</v>
      </c>
      <c r="J23" s="61" t="s">
        <v>263</v>
      </c>
    </row>
    <row r="24" spans="1:10" ht="15" x14ac:dyDescent="0.25">
      <c r="A24" s="15">
        <v>20</v>
      </c>
      <c r="B24" s="61" t="s">
        <v>2688</v>
      </c>
      <c r="C24" s="61" t="s">
        <v>33</v>
      </c>
      <c r="D24" s="61" t="s">
        <v>19</v>
      </c>
      <c r="E24" s="61" t="s">
        <v>2194</v>
      </c>
      <c r="F24" s="109">
        <v>4583.8100000000004</v>
      </c>
      <c r="G24" s="61" t="s">
        <v>325</v>
      </c>
      <c r="H24" s="61" t="s">
        <v>325</v>
      </c>
      <c r="I24" s="61" t="s">
        <v>325</v>
      </c>
      <c r="J24" s="61" t="s">
        <v>232</v>
      </c>
    </row>
    <row r="25" spans="1:10" ht="15" x14ac:dyDescent="0.25">
      <c r="A25" s="15">
        <v>21</v>
      </c>
      <c r="B25" s="61" t="s">
        <v>2689</v>
      </c>
      <c r="C25" s="61" t="s">
        <v>36</v>
      </c>
      <c r="D25" s="61" t="s">
        <v>19</v>
      </c>
      <c r="E25" s="61" t="s">
        <v>2194</v>
      </c>
      <c r="F25" s="109">
        <v>8952.2999999999993</v>
      </c>
      <c r="G25" s="61" t="s">
        <v>325</v>
      </c>
      <c r="H25" s="61" t="s">
        <v>325</v>
      </c>
      <c r="I25" s="61" t="s">
        <v>325</v>
      </c>
      <c r="J25" s="61" t="s">
        <v>232</v>
      </c>
    </row>
    <row r="26" spans="1:10" ht="15" x14ac:dyDescent="0.25">
      <c r="A26" s="15">
        <v>22</v>
      </c>
      <c r="B26" s="61" t="s">
        <v>2690</v>
      </c>
      <c r="C26" s="61" t="s">
        <v>825</v>
      </c>
      <c r="D26" s="61" t="s">
        <v>2191</v>
      </c>
      <c r="E26" s="61" t="s">
        <v>2628</v>
      </c>
      <c r="F26" s="61">
        <v>98.124899999999997</v>
      </c>
      <c r="G26" s="61">
        <v>100.2152</v>
      </c>
      <c r="H26" s="61" t="s">
        <v>2691</v>
      </c>
      <c r="I26" s="61" t="s">
        <v>2637</v>
      </c>
      <c r="J26" s="61" t="s">
        <v>263</v>
      </c>
    </row>
    <row r="27" spans="1:10" ht="15" x14ac:dyDescent="0.25">
      <c r="A27" s="15">
        <v>23</v>
      </c>
      <c r="B27" s="61" t="s">
        <v>2692</v>
      </c>
      <c r="C27" s="61" t="s">
        <v>38</v>
      </c>
      <c r="D27" s="61" t="s">
        <v>2192</v>
      </c>
      <c r="E27" s="61" t="s">
        <v>229</v>
      </c>
      <c r="F27" s="109">
        <v>5800671.4199999999</v>
      </c>
      <c r="G27" s="61" t="s">
        <v>325</v>
      </c>
      <c r="H27" s="61" t="s">
        <v>325</v>
      </c>
      <c r="I27" s="61" t="s">
        <v>325</v>
      </c>
      <c r="J27" s="61" t="s">
        <v>232</v>
      </c>
    </row>
    <row r="28" spans="1:10" ht="15" x14ac:dyDescent="0.25">
      <c r="A28" s="15">
        <v>24</v>
      </c>
      <c r="B28" s="61" t="s">
        <v>2693</v>
      </c>
      <c r="C28" s="61" t="s">
        <v>41</v>
      </c>
      <c r="D28" s="61" t="s">
        <v>2192</v>
      </c>
      <c r="E28" s="61" t="s">
        <v>229</v>
      </c>
      <c r="F28" s="109">
        <v>1851562.34</v>
      </c>
      <c r="G28" s="61" t="s">
        <v>325</v>
      </c>
      <c r="H28" s="61" t="s">
        <v>325</v>
      </c>
      <c r="I28" s="61" t="s">
        <v>325</v>
      </c>
      <c r="J28" s="61" t="s">
        <v>232</v>
      </c>
    </row>
    <row r="29" spans="1:10" ht="15" x14ac:dyDescent="0.25">
      <c r="A29" s="15">
        <v>25</v>
      </c>
      <c r="B29" s="61" t="s">
        <v>2694</v>
      </c>
      <c r="C29" s="61" t="s">
        <v>44</v>
      </c>
      <c r="D29" s="61" t="s">
        <v>2195</v>
      </c>
      <c r="E29" s="61" t="s">
        <v>42</v>
      </c>
      <c r="F29" s="61">
        <v>99.910600000000002</v>
      </c>
      <c r="G29" s="61">
        <v>101.1023</v>
      </c>
      <c r="H29" s="61" t="s">
        <v>2629</v>
      </c>
      <c r="I29" s="61" t="s">
        <v>2695</v>
      </c>
      <c r="J29" s="61" t="s">
        <v>263</v>
      </c>
    </row>
    <row r="30" spans="1:10" ht="15" x14ac:dyDescent="0.25">
      <c r="A30" s="15">
        <v>26</v>
      </c>
      <c r="B30" s="61" t="s">
        <v>2696</v>
      </c>
      <c r="C30" s="61" t="s">
        <v>1929</v>
      </c>
      <c r="D30" s="61" t="s">
        <v>2195</v>
      </c>
      <c r="E30" s="61" t="s">
        <v>42</v>
      </c>
      <c r="F30" s="61">
        <v>100</v>
      </c>
      <c r="G30" s="61">
        <v>105.3096</v>
      </c>
      <c r="H30" s="61" t="s">
        <v>2526</v>
      </c>
      <c r="I30" s="61" t="s">
        <v>2697</v>
      </c>
      <c r="J30" s="61" t="s">
        <v>263</v>
      </c>
    </row>
    <row r="31" spans="1:10" ht="15" x14ac:dyDescent="0.25">
      <c r="A31" s="15">
        <v>27</v>
      </c>
      <c r="B31" s="61" t="s">
        <v>2698</v>
      </c>
      <c r="C31" s="61" t="s">
        <v>1978</v>
      </c>
      <c r="D31" s="61" t="s">
        <v>2195</v>
      </c>
      <c r="E31" s="61" t="s">
        <v>42</v>
      </c>
      <c r="F31" s="61">
        <v>100</v>
      </c>
      <c r="G31" s="61">
        <v>103.59180000000001</v>
      </c>
      <c r="H31" s="61" t="s">
        <v>2526</v>
      </c>
      <c r="I31" s="61" t="s">
        <v>2699</v>
      </c>
      <c r="J31" s="61" t="s">
        <v>263</v>
      </c>
    </row>
    <row r="32" spans="1:10" ht="15" x14ac:dyDescent="0.25">
      <c r="A32" s="15">
        <v>28</v>
      </c>
      <c r="B32" s="61" t="s">
        <v>2700</v>
      </c>
      <c r="C32" s="61" t="s">
        <v>49</v>
      </c>
      <c r="D32" s="61" t="s">
        <v>2192</v>
      </c>
      <c r="E32" s="61" t="s">
        <v>2196</v>
      </c>
      <c r="F32" s="61">
        <v>168.28</v>
      </c>
      <c r="G32" s="61" t="s">
        <v>325</v>
      </c>
      <c r="H32" s="61" t="s">
        <v>325</v>
      </c>
      <c r="I32" s="61" t="s">
        <v>325</v>
      </c>
      <c r="J32" s="61" t="s">
        <v>2474</v>
      </c>
    </row>
    <row r="33" spans="1:10" ht="15" x14ac:dyDescent="0.25">
      <c r="A33" s="15">
        <v>29</v>
      </c>
      <c r="B33" s="61" t="s">
        <v>2701</v>
      </c>
      <c r="C33" s="61" t="s">
        <v>46</v>
      </c>
      <c r="D33" s="61" t="s">
        <v>2192</v>
      </c>
      <c r="E33" s="61" t="s">
        <v>2196</v>
      </c>
      <c r="F33" s="109">
        <v>5617.35</v>
      </c>
      <c r="G33" s="61" t="s">
        <v>325</v>
      </c>
      <c r="H33" s="61" t="s">
        <v>325</v>
      </c>
      <c r="I33" s="61" t="s">
        <v>325</v>
      </c>
      <c r="J33" s="61" t="s">
        <v>232</v>
      </c>
    </row>
    <row r="34" spans="1:10" ht="15" x14ac:dyDescent="0.25">
      <c r="A34" s="15">
        <v>30</v>
      </c>
      <c r="B34" s="61" t="s">
        <v>2702</v>
      </c>
      <c r="C34" s="61" t="s">
        <v>952</v>
      </c>
      <c r="D34" s="61" t="s">
        <v>2192</v>
      </c>
      <c r="E34" s="61" t="s">
        <v>2703</v>
      </c>
      <c r="F34" s="109">
        <v>1087.3699999999999</v>
      </c>
      <c r="G34" s="61" t="s">
        <v>325</v>
      </c>
      <c r="H34" s="61" t="s">
        <v>325</v>
      </c>
      <c r="I34" s="61" t="s">
        <v>325</v>
      </c>
      <c r="J34" s="61" t="s">
        <v>2474</v>
      </c>
    </row>
    <row r="35" spans="1:10" ht="15" x14ac:dyDescent="0.25">
      <c r="A35" s="15">
        <v>31</v>
      </c>
      <c r="B35" s="61" t="s">
        <v>2704</v>
      </c>
      <c r="C35" s="61" t="s">
        <v>974</v>
      </c>
      <c r="D35" s="61" t="s">
        <v>2191</v>
      </c>
      <c r="E35" s="61" t="s">
        <v>2567</v>
      </c>
      <c r="F35" s="61">
        <v>99.940299999999993</v>
      </c>
      <c r="G35" s="61">
        <v>102.7209</v>
      </c>
      <c r="H35" s="61" t="s">
        <v>2630</v>
      </c>
      <c r="I35" s="61" t="s">
        <v>2705</v>
      </c>
      <c r="J35" s="61" t="s">
        <v>263</v>
      </c>
    </row>
    <row r="36" spans="1:10" ht="15" x14ac:dyDescent="0.25">
      <c r="A36" s="15">
        <v>32</v>
      </c>
      <c r="B36" s="61" t="s">
        <v>2706</v>
      </c>
      <c r="C36" s="61" t="s">
        <v>1955</v>
      </c>
      <c r="D36" s="61" t="s">
        <v>2191</v>
      </c>
      <c r="E36" s="61" t="s">
        <v>2567</v>
      </c>
      <c r="F36" s="61">
        <v>98</v>
      </c>
      <c r="G36" s="61">
        <v>100.29170000000001</v>
      </c>
      <c r="H36" s="61" t="s">
        <v>2707</v>
      </c>
      <c r="I36" s="61" t="s">
        <v>2695</v>
      </c>
      <c r="J36" s="61" t="s">
        <v>263</v>
      </c>
    </row>
    <row r="37" spans="1:10" ht="15" x14ac:dyDescent="0.25">
      <c r="A37" s="15">
        <v>33</v>
      </c>
      <c r="B37" s="61" t="s">
        <v>2708</v>
      </c>
      <c r="C37" s="61" t="s">
        <v>54</v>
      </c>
      <c r="D37" s="61" t="s">
        <v>2191</v>
      </c>
      <c r="E37" s="61" t="s">
        <v>2407</v>
      </c>
      <c r="F37" s="61">
        <v>96.858000000000004</v>
      </c>
      <c r="G37" s="61">
        <v>102.2205</v>
      </c>
      <c r="H37" s="61" t="s">
        <v>2583</v>
      </c>
      <c r="I37" s="61" t="s">
        <v>2709</v>
      </c>
      <c r="J37" s="61" t="s">
        <v>263</v>
      </c>
    </row>
    <row r="38" spans="1:10" ht="15" x14ac:dyDescent="0.25">
      <c r="A38" s="15">
        <v>34</v>
      </c>
      <c r="B38" s="61" t="s">
        <v>2710</v>
      </c>
      <c r="C38" s="61" t="s">
        <v>1937</v>
      </c>
      <c r="D38" s="61" t="s">
        <v>2191</v>
      </c>
      <c r="E38" s="61" t="s">
        <v>2407</v>
      </c>
      <c r="F38" s="61">
        <v>96.704099999999997</v>
      </c>
      <c r="G38" s="61">
        <v>101.64490000000001</v>
      </c>
      <c r="H38" s="61" t="s">
        <v>2606</v>
      </c>
      <c r="I38" s="61" t="s">
        <v>2711</v>
      </c>
      <c r="J38" s="61" t="s">
        <v>263</v>
      </c>
    </row>
    <row r="39" spans="1:10" ht="15" x14ac:dyDescent="0.25">
      <c r="A39" s="15">
        <v>35</v>
      </c>
      <c r="B39" s="61" t="s">
        <v>2712</v>
      </c>
      <c r="C39" s="61" t="s">
        <v>355</v>
      </c>
      <c r="D39" s="61" t="s">
        <v>2191</v>
      </c>
      <c r="E39" s="61" t="s">
        <v>2407</v>
      </c>
      <c r="F39" s="61">
        <v>98.053399999999996</v>
      </c>
      <c r="G39" s="61">
        <v>105.2409</v>
      </c>
      <c r="H39" s="61" t="s">
        <v>2583</v>
      </c>
      <c r="I39" s="61" t="s">
        <v>2713</v>
      </c>
      <c r="J39" s="61" t="s">
        <v>263</v>
      </c>
    </row>
    <row r="40" spans="1:10" ht="15" x14ac:dyDescent="0.25">
      <c r="A40" s="15">
        <v>36</v>
      </c>
      <c r="B40" s="61" t="s">
        <v>2714</v>
      </c>
      <c r="C40" s="61" t="s">
        <v>2183</v>
      </c>
      <c r="D40" s="61" t="s">
        <v>2191</v>
      </c>
      <c r="E40" s="61" t="s">
        <v>2407</v>
      </c>
      <c r="F40" s="61">
        <v>102.5654</v>
      </c>
      <c r="G40" s="61">
        <v>110.0462</v>
      </c>
      <c r="H40" s="61" t="s">
        <v>2715</v>
      </c>
      <c r="I40" s="61" t="s">
        <v>2716</v>
      </c>
      <c r="J40" s="61" t="s">
        <v>263</v>
      </c>
    </row>
    <row r="41" spans="1:10" ht="15" x14ac:dyDescent="0.25">
      <c r="A41" s="15">
        <v>37</v>
      </c>
      <c r="B41" s="61" t="s">
        <v>2717</v>
      </c>
      <c r="C41" s="61" t="s">
        <v>2154</v>
      </c>
      <c r="D41" s="61" t="s">
        <v>2191</v>
      </c>
      <c r="E41" s="61" t="s">
        <v>2407</v>
      </c>
      <c r="F41" s="61">
        <v>100.5282</v>
      </c>
      <c r="G41" s="61">
        <v>108.60250000000001</v>
      </c>
      <c r="H41" s="61" t="s">
        <v>2718</v>
      </c>
      <c r="I41" s="61" t="s">
        <v>2607</v>
      </c>
      <c r="J41" s="61" t="s">
        <v>263</v>
      </c>
    </row>
    <row r="42" spans="1:10" ht="15" x14ac:dyDescent="0.25">
      <c r="A42" s="15">
        <v>38</v>
      </c>
      <c r="B42" s="61" t="s">
        <v>2719</v>
      </c>
      <c r="C42" s="61" t="s">
        <v>56</v>
      </c>
      <c r="D42" s="61" t="s">
        <v>2192</v>
      </c>
      <c r="E42" s="61" t="s">
        <v>2197</v>
      </c>
      <c r="F42" s="109">
        <v>50885.07</v>
      </c>
      <c r="G42" s="61" t="s">
        <v>325</v>
      </c>
      <c r="H42" s="61" t="s">
        <v>325</v>
      </c>
      <c r="I42" s="61" t="s">
        <v>325</v>
      </c>
      <c r="J42" s="61" t="s">
        <v>232</v>
      </c>
    </row>
    <row r="43" spans="1:10" ht="15" x14ac:dyDescent="0.25">
      <c r="A43" s="15">
        <v>39</v>
      </c>
      <c r="B43" s="61" t="s">
        <v>2720</v>
      </c>
      <c r="C43" s="61" t="s">
        <v>58</v>
      </c>
      <c r="D43" s="61" t="s">
        <v>2192</v>
      </c>
      <c r="E43" s="61" t="s">
        <v>2197</v>
      </c>
      <c r="F43" s="109">
        <v>71918.8</v>
      </c>
      <c r="G43" s="61" t="s">
        <v>325</v>
      </c>
      <c r="H43" s="61" t="s">
        <v>325</v>
      </c>
      <c r="I43" s="61" t="s">
        <v>325</v>
      </c>
      <c r="J43" s="61" t="s">
        <v>232</v>
      </c>
    </row>
    <row r="44" spans="1:10" ht="15" x14ac:dyDescent="0.25">
      <c r="A44" s="15">
        <v>40</v>
      </c>
      <c r="B44" s="61" t="s">
        <v>2721</v>
      </c>
      <c r="C44" s="61" t="s">
        <v>60</v>
      </c>
      <c r="D44" s="61" t="s">
        <v>2192</v>
      </c>
      <c r="E44" s="61" t="s">
        <v>2197</v>
      </c>
      <c r="F44" s="109">
        <v>71307.850000000006</v>
      </c>
      <c r="G44" s="61" t="s">
        <v>325</v>
      </c>
      <c r="H44" s="61" t="s">
        <v>325</v>
      </c>
      <c r="I44" s="61" t="s">
        <v>325</v>
      </c>
      <c r="J44" s="61" t="s">
        <v>232</v>
      </c>
    </row>
    <row r="45" spans="1:10" ht="15" x14ac:dyDescent="0.25">
      <c r="A45" s="15">
        <v>41</v>
      </c>
      <c r="B45" s="61" t="s">
        <v>2722</v>
      </c>
      <c r="C45" s="61" t="s">
        <v>62</v>
      </c>
      <c r="D45" s="61" t="s">
        <v>2192</v>
      </c>
      <c r="E45" s="61" t="s">
        <v>2197</v>
      </c>
      <c r="F45" s="109">
        <v>562842.18999999994</v>
      </c>
      <c r="G45" s="61" t="s">
        <v>325</v>
      </c>
      <c r="H45" s="61" t="s">
        <v>325</v>
      </c>
      <c r="I45" s="61" t="s">
        <v>325</v>
      </c>
      <c r="J45" s="61" t="s">
        <v>232</v>
      </c>
    </row>
    <row r="46" spans="1:10" ht="15" x14ac:dyDescent="0.25">
      <c r="A46" s="15">
        <v>42</v>
      </c>
      <c r="B46" s="61" t="s">
        <v>2723</v>
      </c>
      <c r="C46" s="61" t="s">
        <v>64</v>
      </c>
      <c r="D46" s="61" t="s">
        <v>19</v>
      </c>
      <c r="E46" s="61" t="s">
        <v>2198</v>
      </c>
      <c r="F46" s="61">
        <v>322.39</v>
      </c>
      <c r="G46" s="61" t="s">
        <v>325</v>
      </c>
      <c r="H46" s="61" t="s">
        <v>325</v>
      </c>
      <c r="I46" s="61" t="s">
        <v>325</v>
      </c>
      <c r="J46" s="61" t="s">
        <v>232</v>
      </c>
    </row>
    <row r="47" spans="1:10" ht="15" x14ac:dyDescent="0.25">
      <c r="A47" s="15">
        <v>43</v>
      </c>
      <c r="B47" s="61" t="s">
        <v>2724</v>
      </c>
      <c r="C47" s="61" t="s">
        <v>418</v>
      </c>
      <c r="D47" s="61" t="s">
        <v>2191</v>
      </c>
      <c r="E47" s="61" t="s">
        <v>2198</v>
      </c>
      <c r="F47" s="61">
        <v>100.01690000000001</v>
      </c>
      <c r="G47" s="61">
        <v>100.1189</v>
      </c>
      <c r="H47" s="61" t="s">
        <v>2725</v>
      </c>
      <c r="I47" s="61" t="s">
        <v>2726</v>
      </c>
      <c r="J47" s="61" t="s">
        <v>263</v>
      </c>
    </row>
    <row r="48" spans="1:10" ht="15" x14ac:dyDescent="0.25">
      <c r="A48" s="15">
        <v>44</v>
      </c>
      <c r="B48" s="61" t="s">
        <v>2727</v>
      </c>
      <c r="C48" s="61" t="s">
        <v>352</v>
      </c>
      <c r="D48" s="61" t="s">
        <v>2189</v>
      </c>
      <c r="E48" s="61" t="s">
        <v>2198</v>
      </c>
      <c r="F48" s="61">
        <v>25.39</v>
      </c>
      <c r="G48" s="61" t="s">
        <v>325</v>
      </c>
      <c r="H48" s="61" t="s">
        <v>325</v>
      </c>
      <c r="I48" s="61" t="s">
        <v>325</v>
      </c>
      <c r="J48" s="61" t="s">
        <v>2474</v>
      </c>
    </row>
    <row r="49" spans="1:10" ht="15" x14ac:dyDescent="0.25">
      <c r="A49" s="15">
        <v>45</v>
      </c>
      <c r="B49" s="61" t="s">
        <v>2728</v>
      </c>
      <c r="C49" s="61" t="s">
        <v>1023</v>
      </c>
      <c r="D49" s="61" t="s">
        <v>2191</v>
      </c>
      <c r="E49" s="61" t="s">
        <v>2584</v>
      </c>
      <c r="F49" s="61">
        <v>87.641000000000005</v>
      </c>
      <c r="G49" s="61">
        <v>88.433199999999999</v>
      </c>
      <c r="H49" s="61" t="s">
        <v>2583</v>
      </c>
      <c r="I49" s="61" t="s">
        <v>2729</v>
      </c>
      <c r="J49" s="61" t="s">
        <v>263</v>
      </c>
    </row>
    <row r="50" spans="1:10" ht="15" x14ac:dyDescent="0.25">
      <c r="A50" s="15">
        <v>46</v>
      </c>
      <c r="B50" s="61" t="s">
        <v>2730</v>
      </c>
      <c r="C50" s="61" t="s">
        <v>67</v>
      </c>
      <c r="D50" s="61" t="s">
        <v>19</v>
      </c>
      <c r="E50" s="61" t="s">
        <v>2199</v>
      </c>
      <c r="F50" s="109">
        <v>9490.25</v>
      </c>
      <c r="G50" s="61" t="s">
        <v>325</v>
      </c>
      <c r="H50" s="61" t="s">
        <v>325</v>
      </c>
      <c r="I50" s="61" t="s">
        <v>325</v>
      </c>
      <c r="J50" s="61" t="s">
        <v>232</v>
      </c>
    </row>
    <row r="51" spans="1:10" ht="15" x14ac:dyDescent="0.25">
      <c r="A51" s="15">
        <v>47</v>
      </c>
      <c r="B51" s="61" t="s">
        <v>2731</v>
      </c>
      <c r="C51" s="61" t="s">
        <v>2417</v>
      </c>
      <c r="D51" s="61" t="s">
        <v>2191</v>
      </c>
      <c r="E51" s="61" t="s">
        <v>2455</v>
      </c>
      <c r="F51" s="61">
        <v>101.0608</v>
      </c>
      <c r="G51" s="61">
        <v>104.1219</v>
      </c>
      <c r="H51" s="61" t="s">
        <v>2732</v>
      </c>
      <c r="I51" s="61" t="s">
        <v>2733</v>
      </c>
      <c r="J51" s="61" t="s">
        <v>263</v>
      </c>
    </row>
    <row r="52" spans="1:10" ht="15" x14ac:dyDescent="0.25">
      <c r="A52" s="15">
        <v>48</v>
      </c>
      <c r="B52" s="61" t="s">
        <v>2734</v>
      </c>
      <c r="C52" s="61" t="s">
        <v>2419</v>
      </c>
      <c r="D52" s="61" t="s">
        <v>2191</v>
      </c>
      <c r="E52" s="61" t="s">
        <v>2455</v>
      </c>
      <c r="F52" s="61">
        <v>101.0608</v>
      </c>
      <c r="G52" s="61">
        <v>104.1219</v>
      </c>
      <c r="H52" s="61" t="s">
        <v>2732</v>
      </c>
      <c r="I52" s="61" t="s">
        <v>2733</v>
      </c>
      <c r="J52" s="61" t="s">
        <v>263</v>
      </c>
    </row>
    <row r="53" spans="1:10" ht="15" x14ac:dyDescent="0.25">
      <c r="A53" s="15">
        <v>49</v>
      </c>
      <c r="B53" s="61" t="s">
        <v>2735</v>
      </c>
      <c r="C53" s="61" t="s">
        <v>2092</v>
      </c>
      <c r="D53" s="61" t="s">
        <v>2191</v>
      </c>
      <c r="E53" s="61" t="s">
        <v>2422</v>
      </c>
      <c r="F53" s="61">
        <v>101.0107</v>
      </c>
      <c r="G53" s="61">
        <v>101.101</v>
      </c>
      <c r="H53" s="61" t="s">
        <v>2631</v>
      </c>
      <c r="I53" s="61" t="s">
        <v>2736</v>
      </c>
      <c r="J53" s="61" t="s">
        <v>263</v>
      </c>
    </row>
    <row r="54" spans="1:10" ht="15" x14ac:dyDescent="0.25">
      <c r="A54" s="15">
        <v>50</v>
      </c>
      <c r="B54" s="61" t="s">
        <v>2737</v>
      </c>
      <c r="C54" s="61" t="s">
        <v>80</v>
      </c>
      <c r="D54" s="61" t="s">
        <v>19</v>
      </c>
      <c r="E54" s="61" t="s">
        <v>2200</v>
      </c>
      <c r="F54" s="109">
        <v>3358.25</v>
      </c>
      <c r="G54" s="61" t="s">
        <v>325</v>
      </c>
      <c r="H54" s="61" t="s">
        <v>325</v>
      </c>
      <c r="I54" s="61" t="s">
        <v>325</v>
      </c>
      <c r="J54" s="61" t="s">
        <v>232</v>
      </c>
    </row>
    <row r="55" spans="1:10" ht="15" x14ac:dyDescent="0.25">
      <c r="A55" s="15">
        <v>51</v>
      </c>
      <c r="B55" s="61" t="s">
        <v>2738</v>
      </c>
      <c r="C55" s="61" t="s">
        <v>83</v>
      </c>
      <c r="D55" s="61" t="s">
        <v>19</v>
      </c>
      <c r="E55" s="61" t="s">
        <v>2201</v>
      </c>
      <c r="F55" s="109">
        <v>1398.4</v>
      </c>
      <c r="G55" s="61" t="s">
        <v>325</v>
      </c>
      <c r="H55" s="61" t="s">
        <v>325</v>
      </c>
      <c r="I55" s="61" t="s">
        <v>325</v>
      </c>
      <c r="J55" s="61" t="s">
        <v>232</v>
      </c>
    </row>
    <row r="56" spans="1:10" ht="15" x14ac:dyDescent="0.25">
      <c r="A56" s="15">
        <v>52</v>
      </c>
      <c r="B56" s="61" t="s">
        <v>2739</v>
      </c>
      <c r="C56" s="61" t="s">
        <v>261</v>
      </c>
      <c r="D56" s="61" t="s">
        <v>2191</v>
      </c>
      <c r="E56" s="61" t="s">
        <v>2553</v>
      </c>
      <c r="F56" s="61">
        <v>103.91289999999999</v>
      </c>
      <c r="G56" s="61">
        <v>111.2666</v>
      </c>
      <c r="H56" s="61" t="s">
        <v>2740</v>
      </c>
      <c r="I56" s="61" t="s">
        <v>2741</v>
      </c>
      <c r="J56" s="61" t="s">
        <v>263</v>
      </c>
    </row>
    <row r="57" spans="1:10" ht="15" x14ac:dyDescent="0.25">
      <c r="A57" s="15">
        <v>53</v>
      </c>
      <c r="B57" s="61" t="s">
        <v>2742</v>
      </c>
      <c r="C57" s="61" t="s">
        <v>270</v>
      </c>
      <c r="D57" s="61" t="s">
        <v>2191</v>
      </c>
      <c r="E57" s="61" t="s">
        <v>2553</v>
      </c>
      <c r="F57" s="61">
        <v>104.9709</v>
      </c>
      <c r="G57" s="61">
        <v>105.5134</v>
      </c>
      <c r="H57" s="61" t="s">
        <v>2583</v>
      </c>
      <c r="I57" s="61" t="s">
        <v>2743</v>
      </c>
      <c r="J57" s="61" t="s">
        <v>263</v>
      </c>
    </row>
    <row r="58" spans="1:10" ht="15" x14ac:dyDescent="0.25">
      <c r="A58" s="15">
        <v>54</v>
      </c>
      <c r="B58" s="61" t="s">
        <v>2744</v>
      </c>
      <c r="C58" s="61" t="s">
        <v>86</v>
      </c>
      <c r="D58" s="61" t="s">
        <v>19</v>
      </c>
      <c r="E58" s="61" t="s">
        <v>2202</v>
      </c>
      <c r="F58" s="109">
        <v>21879.439999999999</v>
      </c>
      <c r="G58" s="61" t="s">
        <v>325</v>
      </c>
      <c r="H58" s="61" t="s">
        <v>325</v>
      </c>
      <c r="I58" s="61" t="s">
        <v>325</v>
      </c>
      <c r="J58" s="61" t="s">
        <v>232</v>
      </c>
    </row>
    <row r="59" spans="1:10" ht="15" x14ac:dyDescent="0.25">
      <c r="A59" s="15">
        <v>55</v>
      </c>
      <c r="B59" s="61" t="s">
        <v>2745</v>
      </c>
      <c r="C59" s="61" t="s">
        <v>91</v>
      </c>
      <c r="D59" s="61" t="s">
        <v>2191</v>
      </c>
      <c r="E59" s="61" t="s">
        <v>2202</v>
      </c>
      <c r="F59" s="61">
        <v>100.949</v>
      </c>
      <c r="G59" s="61">
        <v>101.5612</v>
      </c>
      <c r="H59" s="61" t="s">
        <v>2632</v>
      </c>
      <c r="I59" s="61" t="s">
        <v>2746</v>
      </c>
      <c r="J59" s="61" t="s">
        <v>263</v>
      </c>
    </row>
    <row r="60" spans="1:10" ht="15" x14ac:dyDescent="0.25">
      <c r="A60" s="15">
        <v>56</v>
      </c>
      <c r="B60" s="61" t="s">
        <v>2747</v>
      </c>
      <c r="C60" s="61" t="s">
        <v>95</v>
      </c>
      <c r="D60" s="61" t="s">
        <v>2191</v>
      </c>
      <c r="E60" s="61" t="s">
        <v>2202</v>
      </c>
      <c r="F60" s="61">
        <v>90.592299999999994</v>
      </c>
      <c r="G60" s="61">
        <v>91.088099999999997</v>
      </c>
      <c r="H60" s="61" t="s">
        <v>2748</v>
      </c>
      <c r="I60" s="61" t="s">
        <v>2749</v>
      </c>
      <c r="J60" s="61" t="s">
        <v>263</v>
      </c>
    </row>
    <row r="61" spans="1:10" ht="15" x14ac:dyDescent="0.25">
      <c r="A61" s="15">
        <v>57</v>
      </c>
      <c r="B61" s="61" t="s">
        <v>2750</v>
      </c>
      <c r="C61" s="61" t="s">
        <v>97</v>
      </c>
      <c r="D61" s="61" t="s">
        <v>19</v>
      </c>
      <c r="E61" s="61" t="s">
        <v>2203</v>
      </c>
      <c r="F61" s="109">
        <v>40060.69</v>
      </c>
      <c r="G61" s="61" t="s">
        <v>325</v>
      </c>
      <c r="H61" s="61" t="s">
        <v>325</v>
      </c>
      <c r="I61" s="61" t="s">
        <v>325</v>
      </c>
      <c r="J61" s="61" t="s">
        <v>232</v>
      </c>
    </row>
    <row r="62" spans="1:10" ht="15" x14ac:dyDescent="0.25">
      <c r="A62" s="15">
        <v>58</v>
      </c>
      <c r="B62" s="61" t="s">
        <v>2751</v>
      </c>
      <c r="C62" s="61" t="s">
        <v>100</v>
      </c>
      <c r="D62" s="61" t="s">
        <v>2189</v>
      </c>
      <c r="E62" s="61" t="s">
        <v>2203</v>
      </c>
      <c r="F62" s="61">
        <v>77.88</v>
      </c>
      <c r="G62" s="61" t="s">
        <v>325</v>
      </c>
      <c r="H62" s="61" t="s">
        <v>325</v>
      </c>
      <c r="I62" s="61" t="s">
        <v>325</v>
      </c>
      <c r="J62" s="61" t="s">
        <v>2474</v>
      </c>
    </row>
    <row r="63" spans="1:10" ht="15" x14ac:dyDescent="0.25">
      <c r="A63" s="15">
        <v>59</v>
      </c>
      <c r="B63" s="61" t="s">
        <v>2752</v>
      </c>
      <c r="C63" s="61" t="s">
        <v>102</v>
      </c>
      <c r="D63" s="61" t="s">
        <v>19</v>
      </c>
      <c r="E63" s="61" t="s">
        <v>2204</v>
      </c>
      <c r="F63" s="109">
        <v>28693.83</v>
      </c>
      <c r="G63" s="61" t="s">
        <v>325</v>
      </c>
      <c r="H63" s="61" t="s">
        <v>325</v>
      </c>
      <c r="I63" s="61" t="s">
        <v>325</v>
      </c>
      <c r="J63" s="61" t="s">
        <v>232</v>
      </c>
    </row>
    <row r="64" spans="1:10" ht="15" x14ac:dyDescent="0.25">
      <c r="A64" s="15">
        <v>60</v>
      </c>
      <c r="B64" s="61" t="s">
        <v>2753</v>
      </c>
      <c r="C64" s="61" t="s">
        <v>1961</v>
      </c>
      <c r="D64" s="61" t="s">
        <v>2191</v>
      </c>
      <c r="E64" s="61" t="s">
        <v>2527</v>
      </c>
      <c r="F64" s="61">
        <v>106.2139</v>
      </c>
      <c r="G64" s="61">
        <v>110.9806</v>
      </c>
      <c r="H64" s="61" t="s">
        <v>2754</v>
      </c>
      <c r="I64" s="61" t="s">
        <v>2755</v>
      </c>
      <c r="J64" s="61" t="s">
        <v>263</v>
      </c>
    </row>
    <row r="65" spans="1:10" ht="15" x14ac:dyDescent="0.25">
      <c r="A65" s="15">
        <v>61</v>
      </c>
      <c r="B65" s="61" t="s">
        <v>2756</v>
      </c>
      <c r="C65" s="61" t="s">
        <v>104</v>
      </c>
      <c r="D65" s="61" t="s">
        <v>19</v>
      </c>
      <c r="E65" s="61" t="s">
        <v>2205</v>
      </c>
      <c r="F65" s="109">
        <v>40411.4</v>
      </c>
      <c r="G65" s="61" t="s">
        <v>325</v>
      </c>
      <c r="H65" s="61" t="s">
        <v>325</v>
      </c>
      <c r="I65" s="61" t="s">
        <v>325</v>
      </c>
      <c r="J65" s="61" t="s">
        <v>232</v>
      </c>
    </row>
    <row r="66" spans="1:10" ht="15" x14ac:dyDescent="0.25">
      <c r="A66" s="15">
        <v>62</v>
      </c>
      <c r="B66" s="61" t="s">
        <v>2757</v>
      </c>
      <c r="C66" s="61" t="s">
        <v>107</v>
      </c>
      <c r="D66" s="61" t="s">
        <v>19</v>
      </c>
      <c r="E66" s="61" t="s">
        <v>2205</v>
      </c>
      <c r="F66" s="109">
        <v>27652.79</v>
      </c>
      <c r="G66" s="61" t="s">
        <v>325</v>
      </c>
      <c r="H66" s="61" t="s">
        <v>325</v>
      </c>
      <c r="I66" s="61" t="s">
        <v>325</v>
      </c>
      <c r="J66" s="61" t="s">
        <v>232</v>
      </c>
    </row>
    <row r="67" spans="1:10" ht="15" x14ac:dyDescent="0.25">
      <c r="A67" s="15">
        <v>63</v>
      </c>
      <c r="B67" s="61" t="s">
        <v>2758</v>
      </c>
      <c r="C67" s="61" t="s">
        <v>109</v>
      </c>
      <c r="D67" s="61" t="s">
        <v>19</v>
      </c>
      <c r="E67" s="61" t="s">
        <v>2206</v>
      </c>
      <c r="F67" s="61">
        <v>851.16</v>
      </c>
      <c r="G67" s="61" t="s">
        <v>325</v>
      </c>
      <c r="H67" s="61" t="s">
        <v>325</v>
      </c>
      <c r="I67" s="61" t="s">
        <v>325</v>
      </c>
      <c r="J67" s="61" t="s">
        <v>232</v>
      </c>
    </row>
    <row r="68" spans="1:10" ht="15" x14ac:dyDescent="0.25">
      <c r="A68" s="15">
        <v>64</v>
      </c>
      <c r="B68" s="61" t="s">
        <v>2759</v>
      </c>
      <c r="C68" s="61" t="s">
        <v>1211</v>
      </c>
      <c r="D68" s="61" t="s">
        <v>2207</v>
      </c>
      <c r="E68" s="61" t="s">
        <v>2208</v>
      </c>
      <c r="F68" s="61">
        <v>98.625</v>
      </c>
      <c r="G68" s="61">
        <v>99.3583</v>
      </c>
      <c r="H68" s="61" t="s">
        <v>2760</v>
      </c>
      <c r="I68" s="61" t="s">
        <v>2761</v>
      </c>
      <c r="J68" s="61" t="s">
        <v>263</v>
      </c>
    </row>
    <row r="69" spans="1:10" ht="15" x14ac:dyDescent="0.25">
      <c r="A69" s="15">
        <v>65</v>
      </c>
      <c r="B69" s="61" t="s">
        <v>2762</v>
      </c>
      <c r="C69" s="61" t="s">
        <v>1328</v>
      </c>
      <c r="D69" s="61" t="s">
        <v>2191</v>
      </c>
      <c r="E69" s="61" t="s">
        <v>2408</v>
      </c>
      <c r="F69" s="61">
        <v>98.719099999999997</v>
      </c>
      <c r="G69" s="61">
        <v>99.739900000000006</v>
      </c>
      <c r="H69" s="61" t="s">
        <v>2511</v>
      </c>
      <c r="I69" s="61" t="s">
        <v>2763</v>
      </c>
      <c r="J69" s="61" t="s">
        <v>263</v>
      </c>
    </row>
    <row r="70" spans="1:10" ht="15" x14ac:dyDescent="0.25">
      <c r="A70" s="15">
        <v>66</v>
      </c>
      <c r="B70" s="61" t="s">
        <v>2764</v>
      </c>
      <c r="C70" s="61" t="s">
        <v>2025</v>
      </c>
      <c r="D70" s="61" t="s">
        <v>2191</v>
      </c>
      <c r="E70" s="61" t="s">
        <v>2209</v>
      </c>
      <c r="F70" s="61">
        <v>99.132800000000003</v>
      </c>
      <c r="G70" s="61">
        <v>100.1717</v>
      </c>
      <c r="H70" s="61" t="s">
        <v>2765</v>
      </c>
      <c r="I70" s="61" t="s">
        <v>2766</v>
      </c>
      <c r="J70" s="61" t="s">
        <v>263</v>
      </c>
    </row>
    <row r="71" spans="1:10" ht="15" x14ac:dyDescent="0.25">
      <c r="A71" s="15">
        <v>67</v>
      </c>
      <c r="B71" s="61" t="s">
        <v>2767</v>
      </c>
      <c r="C71" s="61" t="s">
        <v>2049</v>
      </c>
      <c r="D71" s="61" t="s">
        <v>2191</v>
      </c>
      <c r="E71" s="61" t="s">
        <v>2209</v>
      </c>
      <c r="F71" s="61">
        <v>99.455399999999997</v>
      </c>
      <c r="G71" s="61">
        <v>100.6165</v>
      </c>
      <c r="H71" s="61" t="s">
        <v>2768</v>
      </c>
      <c r="I71" s="61" t="s">
        <v>2769</v>
      </c>
      <c r="J71" s="61" t="s">
        <v>263</v>
      </c>
    </row>
    <row r="72" spans="1:10" ht="15" x14ac:dyDescent="0.25">
      <c r="A72" s="15">
        <v>68</v>
      </c>
      <c r="B72" s="61" t="s">
        <v>2770</v>
      </c>
      <c r="C72" s="61" t="s">
        <v>2101</v>
      </c>
      <c r="D72" s="61" t="s">
        <v>2191</v>
      </c>
      <c r="E72" s="61" t="s">
        <v>2209</v>
      </c>
      <c r="F72" s="61">
        <v>98.674899999999994</v>
      </c>
      <c r="G72" s="61">
        <v>98.858199999999997</v>
      </c>
      <c r="H72" s="61" t="s">
        <v>2585</v>
      </c>
      <c r="I72" s="61" t="s">
        <v>2771</v>
      </c>
      <c r="J72" s="61" t="s">
        <v>263</v>
      </c>
    </row>
    <row r="73" spans="1:10" ht="15" x14ac:dyDescent="0.25">
      <c r="A73" s="15">
        <v>69</v>
      </c>
      <c r="B73" s="61" t="s">
        <v>2772</v>
      </c>
      <c r="C73" s="61" t="s">
        <v>2103</v>
      </c>
      <c r="D73" s="61" t="s">
        <v>2191</v>
      </c>
      <c r="E73" s="61" t="s">
        <v>2209</v>
      </c>
      <c r="F73" s="61">
        <v>99.259399999999999</v>
      </c>
      <c r="G73" s="61">
        <v>100.7261</v>
      </c>
      <c r="H73" s="61" t="s">
        <v>2773</v>
      </c>
      <c r="I73" s="61" t="s">
        <v>2774</v>
      </c>
      <c r="J73" s="61" t="s">
        <v>263</v>
      </c>
    </row>
    <row r="74" spans="1:10" ht="15" x14ac:dyDescent="0.25">
      <c r="A74" s="15">
        <v>70</v>
      </c>
      <c r="B74" s="61" t="s">
        <v>2775</v>
      </c>
      <c r="C74" s="61" t="s">
        <v>2402</v>
      </c>
      <c r="D74" s="61" t="s">
        <v>2191</v>
      </c>
      <c r="E74" s="61" t="s">
        <v>2209</v>
      </c>
      <c r="F74" s="61">
        <v>99.942499999999995</v>
      </c>
      <c r="G74" s="61">
        <v>101.71469999999999</v>
      </c>
      <c r="H74" s="61" t="s">
        <v>2634</v>
      </c>
      <c r="I74" s="61" t="s">
        <v>2776</v>
      </c>
      <c r="J74" s="61" t="s">
        <v>263</v>
      </c>
    </row>
    <row r="75" spans="1:10" ht="15" x14ac:dyDescent="0.25">
      <c r="A75" s="15">
        <v>71</v>
      </c>
      <c r="B75" s="61" t="s">
        <v>2777</v>
      </c>
      <c r="C75" s="61" t="s">
        <v>2500</v>
      </c>
      <c r="D75" s="61" t="s">
        <v>2191</v>
      </c>
      <c r="E75" s="61" t="s">
        <v>2209</v>
      </c>
      <c r="F75" s="61">
        <v>100</v>
      </c>
      <c r="G75" s="61">
        <v>100.4889</v>
      </c>
      <c r="H75" s="61" t="s">
        <v>2426</v>
      </c>
      <c r="I75" s="61" t="s">
        <v>2639</v>
      </c>
      <c r="J75" s="61" t="s">
        <v>263</v>
      </c>
    </row>
    <row r="76" spans="1:10" ht="15" x14ac:dyDescent="0.25">
      <c r="A76" s="15">
        <v>72</v>
      </c>
      <c r="B76" s="61" t="s">
        <v>2778</v>
      </c>
      <c r="C76" s="61" t="s">
        <v>114</v>
      </c>
      <c r="D76" s="61" t="s">
        <v>2191</v>
      </c>
      <c r="E76" s="61" t="s">
        <v>2210</v>
      </c>
      <c r="F76" s="61">
        <v>99.426599999999993</v>
      </c>
      <c r="G76" s="61">
        <v>99.926599999999993</v>
      </c>
      <c r="H76" s="61" t="s">
        <v>2779</v>
      </c>
      <c r="I76" s="61" t="s">
        <v>2780</v>
      </c>
      <c r="J76" s="61" t="s">
        <v>263</v>
      </c>
    </row>
    <row r="77" spans="1:10" ht="15" x14ac:dyDescent="0.25">
      <c r="A77" s="15">
        <v>73</v>
      </c>
      <c r="B77" s="61" t="s">
        <v>2781</v>
      </c>
      <c r="C77" s="61" t="s">
        <v>1335</v>
      </c>
      <c r="D77" s="61" t="s">
        <v>2191</v>
      </c>
      <c r="E77" s="61" t="s">
        <v>2210</v>
      </c>
      <c r="F77" s="61">
        <v>98.662899999999993</v>
      </c>
      <c r="G77" s="61">
        <v>99.135099999999994</v>
      </c>
      <c r="H77" s="61" t="s">
        <v>2782</v>
      </c>
      <c r="I77" s="61" t="s">
        <v>2783</v>
      </c>
      <c r="J77" s="61" t="s">
        <v>263</v>
      </c>
    </row>
    <row r="78" spans="1:10" ht="15" x14ac:dyDescent="0.25">
      <c r="A78" s="15">
        <v>74</v>
      </c>
      <c r="B78" s="61" t="s">
        <v>2784</v>
      </c>
      <c r="C78" s="61" t="s">
        <v>339</v>
      </c>
      <c r="D78" s="61" t="s">
        <v>2191</v>
      </c>
      <c r="E78" s="61" t="s">
        <v>2210</v>
      </c>
      <c r="F78" s="61">
        <v>100</v>
      </c>
      <c r="G78" s="61">
        <v>101.21939999999999</v>
      </c>
      <c r="H78" s="61" t="s">
        <v>2608</v>
      </c>
      <c r="I78" s="61" t="s">
        <v>2785</v>
      </c>
      <c r="J78" s="61" t="s">
        <v>263</v>
      </c>
    </row>
    <row r="79" spans="1:10" ht="15" x14ac:dyDescent="0.25">
      <c r="A79" s="15">
        <v>75</v>
      </c>
      <c r="B79" s="61" t="s">
        <v>2786</v>
      </c>
      <c r="C79" s="61" t="s">
        <v>1337</v>
      </c>
      <c r="D79" s="61" t="s">
        <v>2191</v>
      </c>
      <c r="E79" s="61" t="s">
        <v>2210</v>
      </c>
      <c r="F79" s="61">
        <v>96.071899999999999</v>
      </c>
      <c r="G79" s="61">
        <v>96.441299999999998</v>
      </c>
      <c r="H79" s="61" t="s">
        <v>2635</v>
      </c>
      <c r="I79" s="61" t="s">
        <v>2787</v>
      </c>
      <c r="J79" s="61" t="s">
        <v>263</v>
      </c>
    </row>
    <row r="80" spans="1:10" ht="15" x14ac:dyDescent="0.25">
      <c r="A80" s="15">
        <v>76</v>
      </c>
      <c r="B80" s="61" t="s">
        <v>2788</v>
      </c>
      <c r="C80" s="61" t="s">
        <v>368</v>
      </c>
      <c r="D80" s="61" t="s">
        <v>2191</v>
      </c>
      <c r="E80" s="61" t="s">
        <v>2210</v>
      </c>
      <c r="F80" s="61">
        <v>97.043700000000001</v>
      </c>
      <c r="G80" s="61">
        <v>97.782600000000002</v>
      </c>
      <c r="H80" s="61" t="s">
        <v>2789</v>
      </c>
      <c r="I80" s="61" t="s">
        <v>2790</v>
      </c>
      <c r="J80" s="61" t="s">
        <v>263</v>
      </c>
    </row>
    <row r="81" spans="1:10" ht="15" x14ac:dyDescent="0.25">
      <c r="A81" s="15">
        <v>77</v>
      </c>
      <c r="B81" s="61" t="s">
        <v>2791</v>
      </c>
      <c r="C81" s="61" t="s">
        <v>1951</v>
      </c>
      <c r="D81" s="61" t="s">
        <v>2191</v>
      </c>
      <c r="E81" s="61" t="s">
        <v>2210</v>
      </c>
      <c r="F81" s="61">
        <v>99.732399999999998</v>
      </c>
      <c r="G81" s="61">
        <v>101.0741</v>
      </c>
      <c r="H81" s="61" t="s">
        <v>2792</v>
      </c>
      <c r="I81" s="61" t="s">
        <v>2793</v>
      </c>
      <c r="J81" s="61" t="s">
        <v>263</v>
      </c>
    </row>
    <row r="82" spans="1:10" ht="15" x14ac:dyDescent="0.25">
      <c r="A82" s="15">
        <v>78</v>
      </c>
      <c r="B82" s="61" t="s">
        <v>2794</v>
      </c>
      <c r="C82" s="61" t="s">
        <v>1985</v>
      </c>
      <c r="D82" s="61" t="s">
        <v>2191</v>
      </c>
      <c r="E82" s="61" t="s">
        <v>2210</v>
      </c>
      <c r="F82" s="61">
        <v>102.1767</v>
      </c>
      <c r="G82" s="61">
        <v>102.47669999999999</v>
      </c>
      <c r="H82" s="61" t="s">
        <v>2636</v>
      </c>
      <c r="I82" s="61" t="s">
        <v>2795</v>
      </c>
      <c r="J82" s="61" t="s">
        <v>263</v>
      </c>
    </row>
    <row r="83" spans="1:10" ht="15" x14ac:dyDescent="0.25">
      <c r="A83" s="15">
        <v>79</v>
      </c>
      <c r="B83" s="61" t="s">
        <v>2796</v>
      </c>
      <c r="C83" s="61" t="s">
        <v>1987</v>
      </c>
      <c r="D83" s="61" t="s">
        <v>2191</v>
      </c>
      <c r="E83" s="61" t="s">
        <v>2210</v>
      </c>
      <c r="F83" s="61">
        <v>100.8001</v>
      </c>
      <c r="G83" s="61">
        <v>101.6764</v>
      </c>
      <c r="H83" s="61" t="s">
        <v>2797</v>
      </c>
      <c r="I83" s="61" t="s">
        <v>2798</v>
      </c>
      <c r="J83" s="61" t="s">
        <v>263</v>
      </c>
    </row>
    <row r="84" spans="1:10" ht="15" x14ac:dyDescent="0.25">
      <c r="A84" s="15">
        <v>80</v>
      </c>
      <c r="B84" s="61" t="s">
        <v>2799</v>
      </c>
      <c r="C84" s="61" t="s">
        <v>2557</v>
      </c>
      <c r="D84" s="61" t="s">
        <v>2191</v>
      </c>
      <c r="E84" s="61" t="s">
        <v>2210</v>
      </c>
      <c r="F84" s="61">
        <v>103.3515</v>
      </c>
      <c r="G84" s="61">
        <v>104.24590000000001</v>
      </c>
      <c r="H84" s="61" t="s">
        <v>2800</v>
      </c>
      <c r="I84" s="61" t="s">
        <v>2801</v>
      </c>
      <c r="J84" s="61" t="s">
        <v>263</v>
      </c>
    </row>
    <row r="85" spans="1:10" ht="15" x14ac:dyDescent="0.25">
      <c r="A85" s="15">
        <v>81</v>
      </c>
      <c r="B85" s="61" t="s">
        <v>2802</v>
      </c>
      <c r="C85" s="61" t="s">
        <v>1339</v>
      </c>
      <c r="D85" s="61" t="s">
        <v>2191</v>
      </c>
      <c r="E85" s="61" t="s">
        <v>2211</v>
      </c>
      <c r="F85" s="61">
        <v>99.999700000000004</v>
      </c>
      <c r="G85" s="61">
        <v>101.85250000000001</v>
      </c>
      <c r="H85" s="61" t="s">
        <v>2803</v>
      </c>
      <c r="I85" s="61" t="s">
        <v>2804</v>
      </c>
      <c r="J85" s="61" t="s">
        <v>263</v>
      </c>
    </row>
    <row r="86" spans="1:10" ht="15" x14ac:dyDescent="0.25">
      <c r="A86" s="15">
        <v>82</v>
      </c>
      <c r="B86" s="61" t="s">
        <v>2805</v>
      </c>
      <c r="C86" s="61" t="s">
        <v>380</v>
      </c>
      <c r="D86" s="61" t="s">
        <v>2191</v>
      </c>
      <c r="E86" s="61" t="s">
        <v>2211</v>
      </c>
      <c r="F86" s="61">
        <v>101.5463</v>
      </c>
      <c r="G86" s="61">
        <v>101.5463</v>
      </c>
      <c r="H86" s="61" t="s">
        <v>2806</v>
      </c>
      <c r="I86" s="61" t="s">
        <v>2807</v>
      </c>
      <c r="J86" s="61" t="s">
        <v>263</v>
      </c>
    </row>
    <row r="87" spans="1:10" ht="15" x14ac:dyDescent="0.25">
      <c r="A87" s="15">
        <v>83</v>
      </c>
      <c r="B87" s="61" t="s">
        <v>2808</v>
      </c>
      <c r="C87" s="61" t="s">
        <v>372</v>
      </c>
      <c r="D87" s="61" t="s">
        <v>2191</v>
      </c>
      <c r="E87" s="61" t="s">
        <v>2211</v>
      </c>
      <c r="F87" s="61">
        <v>99.668899999999994</v>
      </c>
      <c r="G87" s="61">
        <v>99.960599999999999</v>
      </c>
      <c r="H87" s="61" t="s">
        <v>2609</v>
      </c>
      <c r="I87" s="61" t="s">
        <v>2809</v>
      </c>
      <c r="J87" s="61" t="s">
        <v>263</v>
      </c>
    </row>
    <row r="88" spans="1:10" ht="15" x14ac:dyDescent="0.25">
      <c r="A88" s="15">
        <v>84</v>
      </c>
      <c r="B88" s="61" t="s">
        <v>2810</v>
      </c>
      <c r="C88" s="61" t="s">
        <v>1980</v>
      </c>
      <c r="D88" s="61" t="s">
        <v>2191</v>
      </c>
      <c r="E88" s="61" t="s">
        <v>2211</v>
      </c>
      <c r="F88" s="61">
        <v>92.667699999999996</v>
      </c>
      <c r="G88" s="61">
        <v>93.075999999999993</v>
      </c>
      <c r="H88" s="61" t="s">
        <v>2811</v>
      </c>
      <c r="I88" s="61" t="s">
        <v>2812</v>
      </c>
      <c r="J88" s="61" t="s">
        <v>263</v>
      </c>
    </row>
    <row r="89" spans="1:10" ht="15" x14ac:dyDescent="0.25">
      <c r="A89" s="15">
        <v>85</v>
      </c>
      <c r="B89" s="61" t="s">
        <v>2813</v>
      </c>
      <c r="C89" s="61" t="s">
        <v>2130</v>
      </c>
      <c r="D89" s="61" t="s">
        <v>2191</v>
      </c>
      <c r="E89" s="61" t="s">
        <v>2211</v>
      </c>
      <c r="F89" s="61">
        <v>96.954499999999996</v>
      </c>
      <c r="G89" s="61">
        <v>97.479500000000002</v>
      </c>
      <c r="H89" s="61" t="s">
        <v>2814</v>
      </c>
      <c r="I89" s="61" t="s">
        <v>2815</v>
      </c>
      <c r="J89" s="61" t="s">
        <v>263</v>
      </c>
    </row>
    <row r="90" spans="1:10" ht="15" x14ac:dyDescent="0.25">
      <c r="A90" s="15">
        <v>86</v>
      </c>
      <c r="B90" s="61" t="s">
        <v>2816</v>
      </c>
      <c r="C90" s="61" t="s">
        <v>2484</v>
      </c>
      <c r="D90" s="61" t="s">
        <v>2191</v>
      </c>
      <c r="E90" s="61" t="s">
        <v>2211</v>
      </c>
      <c r="F90" s="61">
        <v>102.24509999999999</v>
      </c>
      <c r="G90" s="61">
        <v>102.9479</v>
      </c>
      <c r="H90" s="61" t="s">
        <v>2817</v>
      </c>
      <c r="I90" s="61" t="s">
        <v>2818</v>
      </c>
      <c r="J90" s="61" t="s">
        <v>263</v>
      </c>
    </row>
    <row r="91" spans="1:10" ht="15" x14ac:dyDescent="0.25">
      <c r="A91" s="15">
        <v>87</v>
      </c>
      <c r="B91" s="61" t="s">
        <v>2819</v>
      </c>
      <c r="C91" s="61" t="s">
        <v>2016</v>
      </c>
      <c r="D91" s="61" t="s">
        <v>2191</v>
      </c>
      <c r="E91" s="61" t="s">
        <v>2820</v>
      </c>
      <c r="F91" s="61">
        <v>94.495000000000005</v>
      </c>
      <c r="G91" s="61">
        <v>94.786699999999996</v>
      </c>
      <c r="H91" s="61" t="s">
        <v>2821</v>
      </c>
      <c r="I91" s="61" t="s">
        <v>2822</v>
      </c>
      <c r="J91" s="61" t="s">
        <v>263</v>
      </c>
    </row>
    <row r="92" spans="1:10" ht="15" x14ac:dyDescent="0.25">
      <c r="A92" s="15">
        <v>88</v>
      </c>
      <c r="B92" s="61" t="s">
        <v>2823</v>
      </c>
      <c r="C92" s="61" t="s">
        <v>1352</v>
      </c>
      <c r="D92" s="61" t="s">
        <v>2191</v>
      </c>
      <c r="E92" s="61" t="s">
        <v>2475</v>
      </c>
      <c r="F92" s="61">
        <v>98.610699999999994</v>
      </c>
      <c r="G92" s="61">
        <v>102.28570000000001</v>
      </c>
      <c r="H92" s="61" t="s">
        <v>2824</v>
      </c>
      <c r="I92" s="61" t="s">
        <v>2825</v>
      </c>
      <c r="J92" s="61" t="s">
        <v>263</v>
      </c>
    </row>
    <row r="93" spans="1:10" ht="15" x14ac:dyDescent="0.25">
      <c r="A93" s="15">
        <v>89</v>
      </c>
      <c r="B93" s="61" t="s">
        <v>2826</v>
      </c>
      <c r="C93" s="61" t="s">
        <v>1367</v>
      </c>
      <c r="D93" s="61" t="s">
        <v>2191</v>
      </c>
      <c r="E93" s="61" t="s">
        <v>2262</v>
      </c>
      <c r="F93" s="61">
        <v>99.752600000000001</v>
      </c>
      <c r="G93" s="61">
        <v>104.7026</v>
      </c>
      <c r="H93" s="61" t="s">
        <v>2827</v>
      </c>
      <c r="I93" s="61" t="s">
        <v>2828</v>
      </c>
      <c r="J93" s="61" t="s">
        <v>263</v>
      </c>
    </row>
    <row r="94" spans="1:10" ht="15" x14ac:dyDescent="0.25">
      <c r="A94" s="15">
        <v>90</v>
      </c>
      <c r="B94" s="61" t="s">
        <v>2829</v>
      </c>
      <c r="C94" s="61" t="s">
        <v>1370</v>
      </c>
      <c r="D94" s="61" t="s">
        <v>2191</v>
      </c>
      <c r="E94" s="61" t="s">
        <v>2262</v>
      </c>
      <c r="F94" s="61">
        <v>99.450299999999999</v>
      </c>
      <c r="G94" s="61">
        <v>102.0697</v>
      </c>
      <c r="H94" s="61" t="s">
        <v>2546</v>
      </c>
      <c r="I94" s="61" t="s">
        <v>2830</v>
      </c>
      <c r="J94" s="61" t="s">
        <v>263</v>
      </c>
    </row>
    <row r="95" spans="1:10" ht="15" x14ac:dyDescent="0.25">
      <c r="A95" s="15">
        <v>91</v>
      </c>
      <c r="B95" s="61" t="s">
        <v>2831</v>
      </c>
      <c r="C95" s="61" t="s">
        <v>2163</v>
      </c>
      <c r="D95" s="61" t="s">
        <v>2191</v>
      </c>
      <c r="E95" s="61" t="s">
        <v>2262</v>
      </c>
      <c r="F95" s="61">
        <v>99.441299999999998</v>
      </c>
      <c r="G95" s="61">
        <v>102.358</v>
      </c>
      <c r="H95" s="61" t="s">
        <v>2598</v>
      </c>
      <c r="I95" s="61" t="s">
        <v>2832</v>
      </c>
      <c r="J95" s="61" t="s">
        <v>263</v>
      </c>
    </row>
    <row r="96" spans="1:10" ht="15" x14ac:dyDescent="0.25">
      <c r="A96" s="15">
        <v>92</v>
      </c>
      <c r="B96" s="61" t="s">
        <v>2833</v>
      </c>
      <c r="C96" s="61" t="s">
        <v>1909</v>
      </c>
      <c r="D96" s="61" t="s">
        <v>2207</v>
      </c>
      <c r="E96" s="61" t="s">
        <v>2208</v>
      </c>
      <c r="F96" s="61">
        <v>97.288899999999998</v>
      </c>
      <c r="G96" s="61">
        <v>97.288899999999998</v>
      </c>
      <c r="H96" s="61" t="s">
        <v>2622</v>
      </c>
      <c r="I96" s="61" t="s">
        <v>2834</v>
      </c>
      <c r="J96" s="61" t="s">
        <v>263</v>
      </c>
    </row>
    <row r="97" spans="1:10" ht="15" x14ac:dyDescent="0.25">
      <c r="A97" s="15">
        <v>93</v>
      </c>
      <c r="B97" s="61" t="s">
        <v>2835</v>
      </c>
      <c r="C97" s="61" t="s">
        <v>2047</v>
      </c>
      <c r="D97" s="61" t="s">
        <v>2207</v>
      </c>
      <c r="E97" s="61" t="s">
        <v>2208</v>
      </c>
      <c r="F97" s="61">
        <v>93.1905</v>
      </c>
      <c r="G97" s="61">
        <v>93.1905</v>
      </c>
      <c r="H97" s="61" t="s">
        <v>2638</v>
      </c>
      <c r="I97" s="61" t="s">
        <v>2836</v>
      </c>
      <c r="J97" s="61" t="s">
        <v>263</v>
      </c>
    </row>
    <row r="98" spans="1:10" ht="15" x14ac:dyDescent="0.25">
      <c r="A98" s="15">
        <v>94</v>
      </c>
      <c r="B98" s="61" t="s">
        <v>2837</v>
      </c>
      <c r="C98" s="61" t="s">
        <v>4</v>
      </c>
      <c r="D98" s="61" t="s">
        <v>2207</v>
      </c>
      <c r="E98" s="61" t="s">
        <v>2208</v>
      </c>
      <c r="F98" s="61">
        <v>99.227699999999999</v>
      </c>
      <c r="G98" s="61">
        <v>103.19929999999999</v>
      </c>
      <c r="H98" s="61" t="s">
        <v>2599</v>
      </c>
      <c r="I98" s="61" t="s">
        <v>2838</v>
      </c>
      <c r="J98" s="61" t="s">
        <v>263</v>
      </c>
    </row>
    <row r="99" spans="1:10" ht="15" x14ac:dyDescent="0.25">
      <c r="A99" s="15">
        <v>95</v>
      </c>
      <c r="B99" s="61" t="s">
        <v>2839</v>
      </c>
      <c r="C99" s="61" t="s">
        <v>117</v>
      </c>
      <c r="D99" s="61" t="s">
        <v>2207</v>
      </c>
      <c r="E99" s="61" t="s">
        <v>2208</v>
      </c>
      <c r="F99" s="61">
        <v>98.531000000000006</v>
      </c>
      <c r="G99" s="61">
        <v>104.6803</v>
      </c>
      <c r="H99" s="61" t="s">
        <v>2840</v>
      </c>
      <c r="I99" s="61" t="s">
        <v>2841</v>
      </c>
      <c r="J99" s="61" t="s">
        <v>263</v>
      </c>
    </row>
    <row r="100" spans="1:10" ht="15" x14ac:dyDescent="0.25">
      <c r="A100" s="15">
        <v>96</v>
      </c>
      <c r="B100" s="61" t="s">
        <v>2842</v>
      </c>
      <c r="C100" s="61" t="s">
        <v>119</v>
      </c>
      <c r="D100" s="61" t="s">
        <v>2207</v>
      </c>
      <c r="E100" s="61" t="s">
        <v>2208</v>
      </c>
      <c r="F100" s="61">
        <v>97.990399999999994</v>
      </c>
      <c r="G100" s="61">
        <v>101.0407</v>
      </c>
      <c r="H100" s="61" t="s">
        <v>2650</v>
      </c>
      <c r="I100" s="61" t="s">
        <v>2843</v>
      </c>
      <c r="J100" s="61" t="s">
        <v>263</v>
      </c>
    </row>
    <row r="101" spans="1:10" ht="15" x14ac:dyDescent="0.25">
      <c r="A101" s="15">
        <v>97</v>
      </c>
      <c r="B101" s="61" t="s">
        <v>2844</v>
      </c>
      <c r="C101" s="61" t="s">
        <v>2244</v>
      </c>
      <c r="D101" s="61" t="s">
        <v>2207</v>
      </c>
      <c r="E101" s="61" t="s">
        <v>2208</v>
      </c>
      <c r="F101" s="61">
        <v>102.5604</v>
      </c>
      <c r="G101" s="61">
        <v>108.13590000000001</v>
      </c>
      <c r="H101" s="61" t="s">
        <v>2845</v>
      </c>
      <c r="I101" s="61" t="s">
        <v>2846</v>
      </c>
      <c r="J101" s="61" t="s">
        <v>263</v>
      </c>
    </row>
    <row r="102" spans="1:10" ht="15" x14ac:dyDescent="0.25">
      <c r="A102" s="15">
        <v>98</v>
      </c>
      <c r="B102" s="61" t="s">
        <v>2847</v>
      </c>
      <c r="C102" s="61" t="s">
        <v>121</v>
      </c>
      <c r="D102" s="61" t="s">
        <v>2207</v>
      </c>
      <c r="E102" s="61" t="s">
        <v>2208</v>
      </c>
      <c r="F102" s="61">
        <v>96.238399999999999</v>
      </c>
      <c r="G102" s="61">
        <v>99.767600000000002</v>
      </c>
      <c r="H102" s="61" t="s">
        <v>2848</v>
      </c>
      <c r="I102" s="61" t="s">
        <v>2849</v>
      </c>
      <c r="J102" s="61" t="s">
        <v>263</v>
      </c>
    </row>
    <row r="103" spans="1:10" ht="15" x14ac:dyDescent="0.25">
      <c r="A103" s="15">
        <v>99</v>
      </c>
      <c r="B103" s="61" t="s">
        <v>2850</v>
      </c>
      <c r="C103" s="61" t="s">
        <v>123</v>
      </c>
      <c r="D103" s="61" t="s">
        <v>2207</v>
      </c>
      <c r="E103" s="61" t="s">
        <v>2208</v>
      </c>
      <c r="F103" s="61">
        <v>98.248400000000004</v>
      </c>
      <c r="G103" s="61">
        <v>98.973299999999995</v>
      </c>
      <c r="H103" s="61" t="s">
        <v>2648</v>
      </c>
      <c r="I103" s="61" t="s">
        <v>2851</v>
      </c>
      <c r="J103" s="61" t="s">
        <v>263</v>
      </c>
    </row>
    <row r="104" spans="1:10" ht="15" x14ac:dyDescent="0.25">
      <c r="A104" s="15">
        <v>100</v>
      </c>
      <c r="B104" s="61" t="s">
        <v>2852</v>
      </c>
      <c r="C104" s="61" t="s">
        <v>2421</v>
      </c>
      <c r="D104" s="61" t="s">
        <v>2207</v>
      </c>
      <c r="E104" s="61" t="s">
        <v>2208</v>
      </c>
      <c r="F104" s="61">
        <v>103.5822</v>
      </c>
      <c r="G104" s="61">
        <v>106.2189</v>
      </c>
      <c r="H104" s="61" t="s">
        <v>2853</v>
      </c>
      <c r="I104" s="61" t="s">
        <v>2854</v>
      </c>
      <c r="J104" s="61" t="s">
        <v>263</v>
      </c>
    </row>
    <row r="105" spans="1:10" ht="15" x14ac:dyDescent="0.25">
      <c r="A105" s="15">
        <v>101</v>
      </c>
      <c r="B105" s="61" t="s">
        <v>2855</v>
      </c>
      <c r="C105" s="61" t="s">
        <v>2339</v>
      </c>
      <c r="D105" s="61" t="s">
        <v>2191</v>
      </c>
      <c r="E105" s="61" t="s">
        <v>2856</v>
      </c>
      <c r="F105" s="61">
        <v>99.573999999999998</v>
      </c>
      <c r="G105" s="61">
        <v>100.2407</v>
      </c>
      <c r="H105" s="61" t="s">
        <v>2857</v>
      </c>
      <c r="I105" s="61" t="s">
        <v>2858</v>
      </c>
      <c r="J105" s="61" t="s">
        <v>263</v>
      </c>
    </row>
    <row r="106" spans="1:10" ht="15" x14ac:dyDescent="0.25">
      <c r="A106" s="15">
        <v>102</v>
      </c>
      <c r="B106" s="61" t="s">
        <v>2859</v>
      </c>
      <c r="C106" s="61" t="s">
        <v>2217</v>
      </c>
      <c r="D106" s="61" t="s">
        <v>2207</v>
      </c>
      <c r="E106" s="61" t="s">
        <v>2208</v>
      </c>
      <c r="F106" s="61">
        <v>100</v>
      </c>
      <c r="G106" s="61">
        <v>106.1682</v>
      </c>
      <c r="H106" s="61" t="s">
        <v>2860</v>
      </c>
      <c r="I106" s="61" t="s">
        <v>2861</v>
      </c>
      <c r="J106" s="61" t="s">
        <v>263</v>
      </c>
    </row>
    <row r="107" spans="1:10" ht="15" x14ac:dyDescent="0.25">
      <c r="A107" s="15">
        <v>103</v>
      </c>
      <c r="B107" s="61" t="s">
        <v>2862</v>
      </c>
      <c r="C107" s="61" t="s">
        <v>125</v>
      </c>
      <c r="D107" s="61" t="s">
        <v>2207</v>
      </c>
      <c r="E107" s="61" t="s">
        <v>2208</v>
      </c>
      <c r="F107" s="61">
        <v>100</v>
      </c>
      <c r="G107" s="61">
        <v>104.1947</v>
      </c>
      <c r="H107" s="61" t="s">
        <v>2863</v>
      </c>
      <c r="I107" s="61" t="s">
        <v>2864</v>
      </c>
      <c r="J107" s="61" t="s">
        <v>263</v>
      </c>
    </row>
    <row r="108" spans="1:10" ht="15" x14ac:dyDescent="0.25">
      <c r="A108" s="15">
        <v>104</v>
      </c>
      <c r="B108" s="61" t="s">
        <v>2865</v>
      </c>
      <c r="C108" s="61" t="s">
        <v>127</v>
      </c>
      <c r="D108" s="61" t="s">
        <v>2207</v>
      </c>
      <c r="E108" s="61" t="s">
        <v>2208</v>
      </c>
      <c r="F108" s="61">
        <v>100</v>
      </c>
      <c r="G108" s="61">
        <v>102.50879999999999</v>
      </c>
      <c r="H108" s="61" t="s">
        <v>2866</v>
      </c>
      <c r="I108" s="61" t="s">
        <v>2867</v>
      </c>
      <c r="J108" s="61" t="s">
        <v>263</v>
      </c>
    </row>
    <row r="109" spans="1:10" ht="15" x14ac:dyDescent="0.25">
      <c r="A109" s="15">
        <v>105</v>
      </c>
      <c r="B109" s="61" t="s">
        <v>2868</v>
      </c>
      <c r="C109" s="61" t="s">
        <v>129</v>
      </c>
      <c r="D109" s="61" t="s">
        <v>2207</v>
      </c>
      <c r="E109" s="61" t="s">
        <v>2208</v>
      </c>
      <c r="F109" s="61">
        <v>100</v>
      </c>
      <c r="G109" s="61">
        <v>100.84569999999999</v>
      </c>
      <c r="H109" s="61" t="s">
        <v>2869</v>
      </c>
      <c r="I109" s="61" t="s">
        <v>2870</v>
      </c>
      <c r="J109" s="61" t="s">
        <v>263</v>
      </c>
    </row>
    <row r="110" spans="1:10" ht="15" x14ac:dyDescent="0.25">
      <c r="A110" s="15">
        <v>106</v>
      </c>
      <c r="B110" s="61" t="s">
        <v>2871</v>
      </c>
      <c r="C110" s="61" t="s">
        <v>131</v>
      </c>
      <c r="D110" s="61" t="s">
        <v>2207</v>
      </c>
      <c r="E110" s="61" t="s">
        <v>2208</v>
      </c>
      <c r="F110" s="61">
        <v>100</v>
      </c>
      <c r="G110" s="61">
        <v>104.6023</v>
      </c>
      <c r="H110" s="61" t="s">
        <v>2872</v>
      </c>
      <c r="I110" s="61" t="s">
        <v>2873</v>
      </c>
      <c r="J110" s="61" t="s">
        <v>263</v>
      </c>
    </row>
    <row r="111" spans="1:10" ht="15" x14ac:dyDescent="0.25">
      <c r="A111" s="15">
        <v>107</v>
      </c>
      <c r="B111" s="61" t="s">
        <v>2874</v>
      </c>
      <c r="C111" s="61" t="s">
        <v>133</v>
      </c>
      <c r="D111" s="61" t="s">
        <v>2207</v>
      </c>
      <c r="E111" s="61" t="s">
        <v>2208</v>
      </c>
      <c r="F111" s="61">
        <v>100</v>
      </c>
      <c r="G111" s="61">
        <v>107.143</v>
      </c>
      <c r="H111" s="61" t="s">
        <v>2875</v>
      </c>
      <c r="I111" s="61" t="s">
        <v>2876</v>
      </c>
      <c r="J111" s="61" t="s">
        <v>263</v>
      </c>
    </row>
    <row r="112" spans="1:10" ht="15" x14ac:dyDescent="0.25">
      <c r="A112" s="15">
        <v>108</v>
      </c>
      <c r="B112" s="61" t="s">
        <v>2877</v>
      </c>
      <c r="C112" s="61" t="s">
        <v>274</v>
      </c>
      <c r="D112" s="61" t="s">
        <v>2207</v>
      </c>
      <c r="E112" s="61" t="s">
        <v>2208</v>
      </c>
      <c r="F112" s="61">
        <v>100</v>
      </c>
      <c r="G112" s="61">
        <v>102.25060000000001</v>
      </c>
      <c r="H112" s="61" t="s">
        <v>2612</v>
      </c>
      <c r="I112" s="61" t="s">
        <v>2878</v>
      </c>
      <c r="J112" s="61" t="s">
        <v>263</v>
      </c>
    </row>
    <row r="113" spans="1:10" ht="15" x14ac:dyDescent="0.25">
      <c r="A113" s="15">
        <v>109</v>
      </c>
      <c r="B113" s="61" t="s">
        <v>2879</v>
      </c>
      <c r="C113" s="61" t="s">
        <v>276</v>
      </c>
      <c r="D113" s="61" t="s">
        <v>2207</v>
      </c>
      <c r="E113" s="61" t="s">
        <v>2208</v>
      </c>
      <c r="F113" s="61">
        <v>100</v>
      </c>
      <c r="G113" s="61">
        <v>108.51779999999999</v>
      </c>
      <c r="H113" s="61" t="s">
        <v>2880</v>
      </c>
      <c r="I113" s="61" t="s">
        <v>2881</v>
      </c>
      <c r="J113" s="61" t="s">
        <v>263</v>
      </c>
    </row>
    <row r="114" spans="1:10" ht="15" x14ac:dyDescent="0.25">
      <c r="A114" s="15">
        <v>110</v>
      </c>
      <c r="B114" s="61" t="s">
        <v>2882</v>
      </c>
      <c r="C114" s="61" t="s">
        <v>278</v>
      </c>
      <c r="D114" s="61" t="s">
        <v>2207</v>
      </c>
      <c r="E114" s="61" t="s">
        <v>2208</v>
      </c>
      <c r="F114" s="61">
        <v>100</v>
      </c>
      <c r="G114" s="61">
        <v>103.3586</v>
      </c>
      <c r="H114" s="61" t="s">
        <v>2641</v>
      </c>
      <c r="I114" s="61" t="s">
        <v>2883</v>
      </c>
      <c r="J114" s="61" t="s">
        <v>263</v>
      </c>
    </row>
    <row r="115" spans="1:10" ht="15" x14ac:dyDescent="0.25">
      <c r="A115" s="15">
        <v>111</v>
      </c>
      <c r="B115" s="61" t="s">
        <v>2884</v>
      </c>
      <c r="C115" s="61" t="s">
        <v>280</v>
      </c>
      <c r="D115" s="61" t="s">
        <v>2207</v>
      </c>
      <c r="E115" s="61" t="s">
        <v>2208</v>
      </c>
      <c r="F115" s="61">
        <v>100</v>
      </c>
      <c r="G115" s="61">
        <v>112.276</v>
      </c>
      <c r="H115" s="61" t="s">
        <v>2525</v>
      </c>
      <c r="I115" s="61" t="s">
        <v>2885</v>
      </c>
      <c r="J115" s="61" t="s">
        <v>263</v>
      </c>
    </row>
    <row r="116" spans="1:10" ht="15" x14ac:dyDescent="0.25">
      <c r="A116" s="15">
        <v>112</v>
      </c>
      <c r="B116" s="61" t="s">
        <v>2886</v>
      </c>
      <c r="C116" s="61" t="s">
        <v>282</v>
      </c>
      <c r="D116" s="61" t="s">
        <v>2207</v>
      </c>
      <c r="E116" s="61" t="s">
        <v>2208</v>
      </c>
      <c r="F116" s="61">
        <v>100</v>
      </c>
      <c r="G116" s="61">
        <v>106.47490000000001</v>
      </c>
      <c r="H116" s="61" t="s">
        <v>2887</v>
      </c>
      <c r="I116" s="61" t="s">
        <v>2888</v>
      </c>
      <c r="J116" s="61" t="s">
        <v>263</v>
      </c>
    </row>
    <row r="117" spans="1:10" ht="15" x14ac:dyDescent="0.25">
      <c r="A117" s="15">
        <v>113</v>
      </c>
      <c r="B117" s="61" t="s">
        <v>2889</v>
      </c>
      <c r="C117" s="61" t="s">
        <v>284</v>
      </c>
      <c r="D117" s="61" t="s">
        <v>2207</v>
      </c>
      <c r="E117" s="61" t="s">
        <v>2208</v>
      </c>
      <c r="F117" s="61">
        <v>100</v>
      </c>
      <c r="G117" s="61">
        <v>109.79989999999999</v>
      </c>
      <c r="H117" s="61" t="s">
        <v>2890</v>
      </c>
      <c r="I117" s="61" t="s">
        <v>2891</v>
      </c>
      <c r="J117" s="61" t="s">
        <v>263</v>
      </c>
    </row>
    <row r="118" spans="1:10" ht="15" x14ac:dyDescent="0.25">
      <c r="A118" s="15">
        <v>114</v>
      </c>
      <c r="B118" s="61" t="s">
        <v>2892</v>
      </c>
      <c r="C118" s="61" t="s">
        <v>286</v>
      </c>
      <c r="D118" s="61" t="s">
        <v>2207</v>
      </c>
      <c r="E118" s="61" t="s">
        <v>2208</v>
      </c>
      <c r="F118" s="61">
        <v>100</v>
      </c>
      <c r="G118" s="61">
        <v>106.47490000000001</v>
      </c>
      <c r="H118" s="61" t="s">
        <v>2887</v>
      </c>
      <c r="I118" s="61" t="s">
        <v>2888</v>
      </c>
      <c r="J118" s="61" t="s">
        <v>263</v>
      </c>
    </row>
    <row r="119" spans="1:10" ht="15" x14ac:dyDescent="0.25">
      <c r="A119" s="15">
        <v>115</v>
      </c>
      <c r="B119" s="61" t="s">
        <v>2893</v>
      </c>
      <c r="C119" s="61" t="s">
        <v>288</v>
      </c>
      <c r="D119" s="61" t="s">
        <v>2207</v>
      </c>
      <c r="E119" s="61" t="s">
        <v>2208</v>
      </c>
      <c r="F119" s="61">
        <v>100</v>
      </c>
      <c r="G119" s="61">
        <v>104.32810000000001</v>
      </c>
      <c r="H119" s="61" t="s">
        <v>2642</v>
      </c>
      <c r="I119" s="61" t="s">
        <v>2894</v>
      </c>
      <c r="J119" s="61" t="s">
        <v>263</v>
      </c>
    </row>
    <row r="120" spans="1:10" ht="15" x14ac:dyDescent="0.25">
      <c r="A120" s="15">
        <v>116</v>
      </c>
      <c r="B120" s="61" t="s">
        <v>2895</v>
      </c>
      <c r="C120" s="61" t="s">
        <v>290</v>
      </c>
      <c r="D120" s="61" t="s">
        <v>2207</v>
      </c>
      <c r="E120" s="61" t="s">
        <v>2208</v>
      </c>
      <c r="F120" s="61">
        <v>100</v>
      </c>
      <c r="G120" s="61">
        <v>107.479</v>
      </c>
      <c r="H120" s="61" t="s">
        <v>2612</v>
      </c>
      <c r="I120" s="61" t="s">
        <v>2896</v>
      </c>
      <c r="J120" s="61" t="s">
        <v>263</v>
      </c>
    </row>
    <row r="121" spans="1:10" ht="15" x14ac:dyDescent="0.25">
      <c r="A121" s="15">
        <v>117</v>
      </c>
      <c r="B121" s="61" t="s">
        <v>2897</v>
      </c>
      <c r="C121" s="61" t="s">
        <v>292</v>
      </c>
      <c r="D121" s="61" t="s">
        <v>2207</v>
      </c>
      <c r="E121" s="61" t="s">
        <v>2208</v>
      </c>
      <c r="F121" s="61">
        <v>100</v>
      </c>
      <c r="G121" s="61">
        <v>104.36279999999999</v>
      </c>
      <c r="H121" s="61" t="s">
        <v>2613</v>
      </c>
      <c r="I121" s="61" t="s">
        <v>2898</v>
      </c>
      <c r="J121" s="61" t="s">
        <v>263</v>
      </c>
    </row>
    <row r="122" spans="1:10" ht="15" x14ac:dyDescent="0.25">
      <c r="A122" s="15">
        <v>118</v>
      </c>
      <c r="B122" s="61" t="s">
        <v>2899</v>
      </c>
      <c r="C122" s="61" t="s">
        <v>294</v>
      </c>
      <c r="D122" s="61" t="s">
        <v>2207</v>
      </c>
      <c r="E122" s="61" t="s">
        <v>2208</v>
      </c>
      <c r="F122" s="61">
        <v>100</v>
      </c>
      <c r="G122" s="61">
        <v>109.5911</v>
      </c>
      <c r="H122" s="61" t="s">
        <v>2614</v>
      </c>
      <c r="I122" s="61" t="s">
        <v>2900</v>
      </c>
      <c r="J122" s="61" t="s">
        <v>263</v>
      </c>
    </row>
    <row r="123" spans="1:10" ht="15" x14ac:dyDescent="0.25">
      <c r="A123" s="15">
        <v>119</v>
      </c>
      <c r="B123" s="61" t="s">
        <v>2901</v>
      </c>
      <c r="C123" s="61" t="s">
        <v>296</v>
      </c>
      <c r="D123" s="61" t="s">
        <v>2207</v>
      </c>
      <c r="E123" s="61" t="s">
        <v>2208</v>
      </c>
      <c r="F123" s="61">
        <v>100</v>
      </c>
      <c r="G123" s="61">
        <v>105.4361</v>
      </c>
      <c r="H123" s="61" t="s">
        <v>2615</v>
      </c>
      <c r="I123" s="61" t="s">
        <v>2902</v>
      </c>
      <c r="J123" s="61" t="s">
        <v>263</v>
      </c>
    </row>
    <row r="124" spans="1:10" ht="15" x14ac:dyDescent="0.25">
      <c r="A124" s="15">
        <v>120</v>
      </c>
      <c r="B124" s="61" t="s">
        <v>2903</v>
      </c>
      <c r="C124" s="61" t="s">
        <v>298</v>
      </c>
      <c r="D124" s="61" t="s">
        <v>2207</v>
      </c>
      <c r="E124" s="61" t="s">
        <v>2208</v>
      </c>
      <c r="F124" s="61">
        <v>100</v>
      </c>
      <c r="G124" s="61">
        <v>105.4015</v>
      </c>
      <c r="H124" s="61" t="s">
        <v>2611</v>
      </c>
      <c r="I124" s="61" t="s">
        <v>2904</v>
      </c>
      <c r="J124" s="61" t="s">
        <v>263</v>
      </c>
    </row>
    <row r="125" spans="1:10" ht="15" x14ac:dyDescent="0.25">
      <c r="A125" s="15">
        <v>121</v>
      </c>
      <c r="B125" s="61" t="s">
        <v>2905</v>
      </c>
      <c r="C125" s="61" t="s">
        <v>300</v>
      </c>
      <c r="D125" s="61" t="s">
        <v>2207</v>
      </c>
      <c r="E125" s="61" t="s">
        <v>2208</v>
      </c>
      <c r="F125" s="61">
        <v>100</v>
      </c>
      <c r="G125" s="61">
        <v>100.3116</v>
      </c>
      <c r="H125" s="61" t="s">
        <v>2617</v>
      </c>
      <c r="I125" s="61" t="s">
        <v>2906</v>
      </c>
      <c r="J125" s="61" t="s">
        <v>263</v>
      </c>
    </row>
    <row r="126" spans="1:10" ht="15" x14ac:dyDescent="0.25">
      <c r="A126" s="15">
        <v>122</v>
      </c>
      <c r="B126" s="61" t="s">
        <v>2907</v>
      </c>
      <c r="C126" s="61" t="s">
        <v>302</v>
      </c>
      <c r="D126" s="61" t="s">
        <v>2207</v>
      </c>
      <c r="E126" s="61" t="s">
        <v>2208</v>
      </c>
      <c r="F126" s="61">
        <v>100</v>
      </c>
      <c r="G126" s="61">
        <v>109.69499999999999</v>
      </c>
      <c r="H126" s="61" t="s">
        <v>2615</v>
      </c>
      <c r="I126" s="61" t="s">
        <v>2908</v>
      </c>
      <c r="J126" s="61" t="s">
        <v>263</v>
      </c>
    </row>
    <row r="127" spans="1:10" ht="15" x14ac:dyDescent="0.25">
      <c r="A127" s="15">
        <v>123</v>
      </c>
      <c r="B127" s="61" t="s">
        <v>2909</v>
      </c>
      <c r="C127" s="61" t="s">
        <v>304</v>
      </c>
      <c r="D127" s="61" t="s">
        <v>2207</v>
      </c>
      <c r="E127" s="61" t="s">
        <v>2208</v>
      </c>
      <c r="F127" s="61">
        <v>100</v>
      </c>
      <c r="G127" s="61">
        <v>103.3933</v>
      </c>
      <c r="H127" s="61" t="s">
        <v>2616</v>
      </c>
      <c r="I127" s="61" t="s">
        <v>2910</v>
      </c>
      <c r="J127" s="61" t="s">
        <v>263</v>
      </c>
    </row>
    <row r="128" spans="1:10" ht="15" x14ac:dyDescent="0.25">
      <c r="A128" s="15">
        <v>124</v>
      </c>
      <c r="B128" s="61" t="s">
        <v>2911</v>
      </c>
      <c r="C128" s="61" t="s">
        <v>306</v>
      </c>
      <c r="D128" s="61" t="s">
        <v>2207</v>
      </c>
      <c r="E128" s="61" t="s">
        <v>2208</v>
      </c>
      <c r="F128" s="61">
        <v>100</v>
      </c>
      <c r="G128" s="61">
        <v>106.40560000000001</v>
      </c>
      <c r="H128" s="61" t="s">
        <v>2614</v>
      </c>
      <c r="I128" s="61" t="s">
        <v>2912</v>
      </c>
      <c r="J128" s="61" t="s">
        <v>263</v>
      </c>
    </row>
    <row r="129" spans="1:10" ht="15" x14ac:dyDescent="0.25">
      <c r="A129" s="15">
        <v>125</v>
      </c>
      <c r="B129" s="61" t="s">
        <v>2913</v>
      </c>
      <c r="C129" s="61" t="s">
        <v>308</v>
      </c>
      <c r="D129" s="61" t="s">
        <v>2207</v>
      </c>
      <c r="E129" s="61" t="s">
        <v>2208</v>
      </c>
      <c r="F129" s="61">
        <v>100</v>
      </c>
      <c r="G129" s="61">
        <v>103.3933</v>
      </c>
      <c r="H129" s="61" t="s">
        <v>2615</v>
      </c>
      <c r="I129" s="61" t="s">
        <v>2914</v>
      </c>
      <c r="J129" s="61" t="s">
        <v>263</v>
      </c>
    </row>
    <row r="130" spans="1:10" ht="15" x14ac:dyDescent="0.25">
      <c r="A130" s="15">
        <v>126</v>
      </c>
      <c r="B130" s="61" t="s">
        <v>2915</v>
      </c>
      <c r="C130" s="61" t="s">
        <v>310</v>
      </c>
      <c r="D130" s="61" t="s">
        <v>2207</v>
      </c>
      <c r="E130" s="61" t="s">
        <v>2208</v>
      </c>
      <c r="F130" s="61">
        <v>100</v>
      </c>
      <c r="G130" s="61">
        <v>111.5994</v>
      </c>
      <c r="H130" s="61" t="s">
        <v>2617</v>
      </c>
      <c r="I130" s="61" t="s">
        <v>2916</v>
      </c>
      <c r="J130" s="61" t="s">
        <v>263</v>
      </c>
    </row>
    <row r="131" spans="1:10" ht="15" x14ac:dyDescent="0.25">
      <c r="A131" s="15">
        <v>127</v>
      </c>
      <c r="B131" s="61" t="s">
        <v>2917</v>
      </c>
      <c r="C131" s="61" t="s">
        <v>312</v>
      </c>
      <c r="D131" s="61" t="s">
        <v>2207</v>
      </c>
      <c r="E131" s="61" t="s">
        <v>2208</v>
      </c>
      <c r="F131" s="61">
        <v>100</v>
      </c>
      <c r="G131" s="61">
        <v>105.4015</v>
      </c>
      <c r="H131" s="61" t="s">
        <v>2615</v>
      </c>
      <c r="I131" s="61" t="s">
        <v>2643</v>
      </c>
      <c r="J131" s="61" t="s">
        <v>263</v>
      </c>
    </row>
    <row r="132" spans="1:10" ht="15" x14ac:dyDescent="0.25">
      <c r="A132" s="15">
        <v>128</v>
      </c>
      <c r="B132" s="61" t="s">
        <v>2918</v>
      </c>
      <c r="C132" s="61" t="s">
        <v>314</v>
      </c>
      <c r="D132" s="61" t="s">
        <v>2207</v>
      </c>
      <c r="E132" s="61" t="s">
        <v>2208</v>
      </c>
      <c r="F132" s="61">
        <v>100</v>
      </c>
      <c r="G132" s="61">
        <v>110.62990000000001</v>
      </c>
      <c r="H132" s="61" t="s">
        <v>2587</v>
      </c>
      <c r="I132" s="61" t="s">
        <v>2919</v>
      </c>
      <c r="J132" s="61" t="s">
        <v>263</v>
      </c>
    </row>
    <row r="133" spans="1:10" ht="15" x14ac:dyDescent="0.25">
      <c r="A133" s="15">
        <v>129</v>
      </c>
      <c r="B133" s="61" t="s">
        <v>2920</v>
      </c>
      <c r="C133" s="61" t="s">
        <v>316</v>
      </c>
      <c r="D133" s="61" t="s">
        <v>2207</v>
      </c>
      <c r="E133" s="61" t="s">
        <v>2208</v>
      </c>
      <c r="F133" s="61">
        <v>100</v>
      </c>
      <c r="G133" s="61">
        <v>102.28530000000001</v>
      </c>
      <c r="H133" s="61" t="s">
        <v>2514</v>
      </c>
      <c r="I133" s="61" t="s">
        <v>2921</v>
      </c>
      <c r="J133" s="61" t="s">
        <v>263</v>
      </c>
    </row>
    <row r="134" spans="1:10" ht="15" x14ac:dyDescent="0.25">
      <c r="A134" s="15">
        <v>130</v>
      </c>
      <c r="B134" s="61" t="s">
        <v>2922</v>
      </c>
      <c r="C134" s="61" t="s">
        <v>318</v>
      </c>
      <c r="D134" s="61" t="s">
        <v>2207</v>
      </c>
      <c r="E134" s="61" t="s">
        <v>2208</v>
      </c>
      <c r="F134" s="61">
        <v>100</v>
      </c>
      <c r="G134" s="61">
        <v>102.3545</v>
      </c>
      <c r="H134" s="61" t="s">
        <v>2587</v>
      </c>
      <c r="I134" s="61" t="s">
        <v>2923</v>
      </c>
      <c r="J134" s="61" t="s">
        <v>263</v>
      </c>
    </row>
    <row r="135" spans="1:10" ht="15" x14ac:dyDescent="0.25">
      <c r="A135" s="15">
        <v>131</v>
      </c>
      <c r="B135" s="61" t="s">
        <v>2924</v>
      </c>
      <c r="C135" s="61" t="s">
        <v>320</v>
      </c>
      <c r="D135" s="61" t="s">
        <v>2207</v>
      </c>
      <c r="E135" s="61" t="s">
        <v>2208</v>
      </c>
      <c r="F135" s="61">
        <v>100</v>
      </c>
      <c r="G135" s="61">
        <v>111.634</v>
      </c>
      <c r="H135" s="61" t="s">
        <v>2617</v>
      </c>
      <c r="I135" s="61" t="s">
        <v>2925</v>
      </c>
      <c r="J135" s="61" t="s">
        <v>263</v>
      </c>
    </row>
    <row r="136" spans="1:10" ht="15" x14ac:dyDescent="0.25">
      <c r="A136" s="15">
        <v>132</v>
      </c>
      <c r="B136" s="61" t="s">
        <v>2926</v>
      </c>
      <c r="C136" s="61" t="s">
        <v>135</v>
      </c>
      <c r="D136" s="61" t="s">
        <v>2207</v>
      </c>
      <c r="E136" s="61" t="s">
        <v>2208</v>
      </c>
      <c r="F136" s="61">
        <v>91.667100000000005</v>
      </c>
      <c r="G136" s="61">
        <v>97.329300000000003</v>
      </c>
      <c r="H136" s="61" t="s">
        <v>2927</v>
      </c>
      <c r="I136" s="61" t="s">
        <v>2928</v>
      </c>
      <c r="J136" s="61" t="s">
        <v>263</v>
      </c>
    </row>
    <row r="137" spans="1:10" ht="15" x14ac:dyDescent="0.25">
      <c r="A137" s="15">
        <v>133</v>
      </c>
      <c r="B137" s="61" t="s">
        <v>2929</v>
      </c>
      <c r="C137" s="61" t="s">
        <v>137</v>
      </c>
      <c r="D137" s="61" t="s">
        <v>2207</v>
      </c>
      <c r="E137" s="61" t="s">
        <v>2208</v>
      </c>
      <c r="F137" s="61">
        <v>96.391300000000001</v>
      </c>
      <c r="G137" s="61">
        <v>107.9513</v>
      </c>
      <c r="H137" s="61" t="s">
        <v>2647</v>
      </c>
      <c r="I137" s="61" t="s">
        <v>2930</v>
      </c>
      <c r="J137" s="61" t="s">
        <v>263</v>
      </c>
    </row>
    <row r="138" spans="1:10" ht="15" x14ac:dyDescent="0.25">
      <c r="A138" s="15">
        <v>134</v>
      </c>
      <c r="B138" s="61" t="s">
        <v>2931</v>
      </c>
      <c r="C138" s="61" t="s">
        <v>139</v>
      </c>
      <c r="D138" s="61" t="s">
        <v>2207</v>
      </c>
      <c r="E138" s="61" t="s">
        <v>2208</v>
      </c>
      <c r="F138" s="61">
        <v>86.742999999999995</v>
      </c>
      <c r="G138" s="61">
        <v>95.676299999999998</v>
      </c>
      <c r="H138" s="61" t="s">
        <v>2618</v>
      </c>
      <c r="I138" s="61" t="s">
        <v>2932</v>
      </c>
      <c r="J138" s="61" t="s">
        <v>263</v>
      </c>
    </row>
    <row r="139" spans="1:10" ht="15" x14ac:dyDescent="0.25">
      <c r="A139" s="15">
        <v>135</v>
      </c>
      <c r="B139" s="61" t="s">
        <v>2933</v>
      </c>
      <c r="C139" s="61" t="s">
        <v>6</v>
      </c>
      <c r="D139" s="61" t="s">
        <v>2207</v>
      </c>
      <c r="E139" s="61" t="s">
        <v>2208</v>
      </c>
      <c r="F139" s="61">
        <v>87.875900000000001</v>
      </c>
      <c r="G139" s="61">
        <v>94.606999999999999</v>
      </c>
      <c r="H139" s="61" t="s">
        <v>2934</v>
      </c>
      <c r="I139" s="61" t="s">
        <v>2935</v>
      </c>
      <c r="J139" s="61" t="s">
        <v>263</v>
      </c>
    </row>
    <row r="140" spans="1:10" ht="15" x14ac:dyDescent="0.25">
      <c r="A140" s="15">
        <v>136</v>
      </c>
      <c r="B140" s="61" t="s">
        <v>2936</v>
      </c>
      <c r="C140" s="61" t="s">
        <v>142</v>
      </c>
      <c r="D140" s="61" t="s">
        <v>2207</v>
      </c>
      <c r="E140" s="61" t="s">
        <v>2208</v>
      </c>
      <c r="F140" s="61">
        <v>85.170199999999994</v>
      </c>
      <c r="G140" s="61">
        <v>94.603499999999997</v>
      </c>
      <c r="H140" s="61" t="s">
        <v>2937</v>
      </c>
      <c r="I140" s="61" t="s">
        <v>2938</v>
      </c>
      <c r="J140" s="61" t="s">
        <v>263</v>
      </c>
    </row>
    <row r="141" spans="1:10" ht="15" x14ac:dyDescent="0.25">
      <c r="A141" s="15">
        <v>137</v>
      </c>
      <c r="B141" s="61" t="s">
        <v>2939</v>
      </c>
      <c r="C141" s="61" t="s">
        <v>1943</v>
      </c>
      <c r="D141" s="61" t="s">
        <v>2207</v>
      </c>
      <c r="E141" s="61" t="s">
        <v>2208</v>
      </c>
      <c r="F141" s="61">
        <v>93.475899999999996</v>
      </c>
      <c r="G141" s="61">
        <v>104.3853</v>
      </c>
      <c r="H141" s="61" t="s">
        <v>2940</v>
      </c>
      <c r="I141" s="61" t="s">
        <v>2941</v>
      </c>
      <c r="J141" s="61" t="s">
        <v>263</v>
      </c>
    </row>
    <row r="142" spans="1:10" ht="15" x14ac:dyDescent="0.25">
      <c r="A142" s="15">
        <v>138</v>
      </c>
      <c r="B142" s="61" t="s">
        <v>2942</v>
      </c>
      <c r="C142" s="61" t="s">
        <v>144</v>
      </c>
      <c r="D142" s="61" t="s">
        <v>2207</v>
      </c>
      <c r="E142" s="61" t="s">
        <v>2208</v>
      </c>
      <c r="F142" s="61">
        <v>86.240799999999993</v>
      </c>
      <c r="G142" s="61">
        <v>87.346000000000004</v>
      </c>
      <c r="H142" s="61" t="s">
        <v>2943</v>
      </c>
      <c r="I142" s="61" t="s">
        <v>2944</v>
      </c>
      <c r="J142" s="61" t="s">
        <v>263</v>
      </c>
    </row>
    <row r="143" spans="1:10" ht="15" x14ac:dyDescent="0.25">
      <c r="A143" s="15">
        <v>139</v>
      </c>
      <c r="B143" s="61" t="s">
        <v>2945</v>
      </c>
      <c r="C143" s="61" t="s">
        <v>8</v>
      </c>
      <c r="D143" s="61" t="s">
        <v>2207</v>
      </c>
      <c r="E143" s="61" t="s">
        <v>2208</v>
      </c>
      <c r="F143" s="61">
        <v>84.115700000000004</v>
      </c>
      <c r="G143" s="61">
        <v>87.837500000000006</v>
      </c>
      <c r="H143" s="61" t="s">
        <v>2646</v>
      </c>
      <c r="I143" s="61" t="s">
        <v>2946</v>
      </c>
      <c r="J143" s="61" t="s">
        <v>263</v>
      </c>
    </row>
    <row r="144" spans="1:10" ht="15" x14ac:dyDescent="0.25">
      <c r="A144" s="15">
        <v>140</v>
      </c>
      <c r="B144" s="61" t="s">
        <v>2947</v>
      </c>
      <c r="C144" s="61" t="s">
        <v>147</v>
      </c>
      <c r="D144" s="61" t="s">
        <v>2207</v>
      </c>
      <c r="E144" s="61" t="s">
        <v>2208</v>
      </c>
      <c r="F144" s="61">
        <v>84.037700000000001</v>
      </c>
      <c r="G144" s="61">
        <v>93.234899999999996</v>
      </c>
      <c r="H144" s="61" t="s">
        <v>2948</v>
      </c>
      <c r="I144" s="61" t="s">
        <v>2949</v>
      </c>
      <c r="J144" s="61" t="s">
        <v>263</v>
      </c>
    </row>
    <row r="145" spans="1:10" ht="15" x14ac:dyDescent="0.25">
      <c r="A145" s="15">
        <v>141</v>
      </c>
      <c r="B145" s="61" t="s">
        <v>2950</v>
      </c>
      <c r="C145" s="61" t="s">
        <v>149</v>
      </c>
      <c r="D145" s="61" t="s">
        <v>2207</v>
      </c>
      <c r="E145" s="61" t="s">
        <v>2208</v>
      </c>
      <c r="F145" s="61">
        <v>91.637600000000006</v>
      </c>
      <c r="G145" s="61">
        <v>99.531999999999996</v>
      </c>
      <c r="H145" s="61" t="s">
        <v>2621</v>
      </c>
      <c r="I145" s="61" t="s">
        <v>2951</v>
      </c>
      <c r="J145" s="61" t="s">
        <v>263</v>
      </c>
    </row>
    <row r="146" spans="1:10" ht="15" x14ac:dyDescent="0.25">
      <c r="A146" s="15">
        <v>142</v>
      </c>
      <c r="B146" s="61" t="s">
        <v>2952</v>
      </c>
      <c r="C146" s="61" t="s">
        <v>2099</v>
      </c>
      <c r="D146" s="61" t="s">
        <v>2207</v>
      </c>
      <c r="E146" s="61" t="s">
        <v>2208</v>
      </c>
      <c r="F146" s="61">
        <v>92.444299999999998</v>
      </c>
      <c r="G146" s="61">
        <v>99.669300000000007</v>
      </c>
      <c r="H146" s="61" t="s">
        <v>2953</v>
      </c>
      <c r="I146" s="61" t="s">
        <v>2954</v>
      </c>
      <c r="J146" s="61" t="s">
        <v>263</v>
      </c>
    </row>
    <row r="147" spans="1:10" ht="15" x14ac:dyDescent="0.25">
      <c r="A147" s="15">
        <v>143</v>
      </c>
      <c r="B147" s="61" t="s">
        <v>2955</v>
      </c>
      <c r="C147" s="61" t="s">
        <v>151</v>
      </c>
      <c r="D147" s="61" t="s">
        <v>2207</v>
      </c>
      <c r="E147" s="61" t="s">
        <v>2208</v>
      </c>
      <c r="F147" s="61">
        <v>95.662999999999997</v>
      </c>
      <c r="G147" s="61">
        <v>99.505200000000002</v>
      </c>
      <c r="H147" s="61" t="s">
        <v>2644</v>
      </c>
      <c r="I147" s="61" t="s">
        <v>2956</v>
      </c>
      <c r="J147" s="61" t="s">
        <v>263</v>
      </c>
    </row>
    <row r="148" spans="1:10" ht="15" x14ac:dyDescent="0.25">
      <c r="A148" s="15">
        <v>144</v>
      </c>
      <c r="B148" s="61" t="s">
        <v>2957</v>
      </c>
      <c r="C148" s="61" t="s">
        <v>7</v>
      </c>
      <c r="D148" s="61" t="s">
        <v>2207</v>
      </c>
      <c r="E148" s="61" t="s">
        <v>2208</v>
      </c>
      <c r="F148" s="61">
        <v>86.088999999999999</v>
      </c>
      <c r="G148" s="61">
        <v>93.575100000000006</v>
      </c>
      <c r="H148" s="61" t="s">
        <v>2958</v>
      </c>
      <c r="I148" s="61" t="s">
        <v>2959</v>
      </c>
      <c r="J148" s="61" t="s">
        <v>263</v>
      </c>
    </row>
    <row r="149" spans="1:10" ht="15" x14ac:dyDescent="0.25">
      <c r="A149" s="15">
        <v>145</v>
      </c>
      <c r="B149" s="61" t="s">
        <v>2960</v>
      </c>
      <c r="C149" s="61" t="s">
        <v>154</v>
      </c>
      <c r="D149" s="61" t="s">
        <v>2207</v>
      </c>
      <c r="E149" s="61" t="s">
        <v>2208</v>
      </c>
      <c r="F149" s="61">
        <v>91.085099999999997</v>
      </c>
      <c r="G149" s="61">
        <v>98.707300000000004</v>
      </c>
      <c r="H149" s="61" t="s">
        <v>2961</v>
      </c>
      <c r="I149" s="61" t="s">
        <v>2962</v>
      </c>
      <c r="J149" s="61" t="s">
        <v>263</v>
      </c>
    </row>
    <row r="150" spans="1:10" ht="15" x14ac:dyDescent="0.25">
      <c r="A150" s="15">
        <v>146</v>
      </c>
      <c r="B150" s="61" t="s">
        <v>2963</v>
      </c>
      <c r="C150" s="61" t="s">
        <v>1945</v>
      </c>
      <c r="D150" s="61" t="s">
        <v>2207</v>
      </c>
      <c r="E150" s="61" t="s">
        <v>2208</v>
      </c>
      <c r="F150" s="61">
        <v>92.568700000000007</v>
      </c>
      <c r="G150" s="61">
        <v>103.4034</v>
      </c>
      <c r="H150" s="61" t="s">
        <v>2622</v>
      </c>
      <c r="I150" s="61" t="s">
        <v>2964</v>
      </c>
      <c r="J150" s="61" t="s">
        <v>263</v>
      </c>
    </row>
    <row r="151" spans="1:10" ht="15" x14ac:dyDescent="0.25">
      <c r="A151" s="15">
        <v>147</v>
      </c>
      <c r="B151" s="61" t="s">
        <v>2965</v>
      </c>
      <c r="C151" s="61" t="s">
        <v>156</v>
      </c>
      <c r="D151" s="61" t="s">
        <v>2207</v>
      </c>
      <c r="E151" s="61" t="s">
        <v>2208</v>
      </c>
      <c r="F151" s="61">
        <v>91.250600000000006</v>
      </c>
      <c r="G151" s="61">
        <v>97.9756</v>
      </c>
      <c r="H151" s="61" t="s">
        <v>2966</v>
      </c>
      <c r="I151" s="61" t="s">
        <v>2967</v>
      </c>
      <c r="J151" s="61" t="s">
        <v>263</v>
      </c>
    </row>
    <row r="152" spans="1:10" ht="15" x14ac:dyDescent="0.25">
      <c r="A152" s="15">
        <v>148</v>
      </c>
      <c r="B152" s="61" t="s">
        <v>2968</v>
      </c>
      <c r="C152" s="61" t="s">
        <v>158</v>
      </c>
      <c r="D152" s="61" t="s">
        <v>2207</v>
      </c>
      <c r="E152" s="61" t="s">
        <v>2208</v>
      </c>
      <c r="F152" s="61">
        <v>89.3125</v>
      </c>
      <c r="G152" s="61">
        <v>93.112499999999997</v>
      </c>
      <c r="H152" s="61" t="s">
        <v>2969</v>
      </c>
      <c r="I152" s="61" t="s">
        <v>2633</v>
      </c>
      <c r="J152" s="61" t="s">
        <v>263</v>
      </c>
    </row>
    <row r="153" spans="1:10" ht="15" x14ac:dyDescent="0.25">
      <c r="A153" s="15">
        <v>149</v>
      </c>
      <c r="B153" s="61" t="s">
        <v>2970</v>
      </c>
      <c r="C153" s="61" t="s">
        <v>9</v>
      </c>
      <c r="D153" s="61" t="s">
        <v>2207</v>
      </c>
      <c r="E153" s="61" t="s">
        <v>2208</v>
      </c>
      <c r="F153" s="61">
        <v>79.460800000000006</v>
      </c>
      <c r="G153" s="61">
        <v>86.842500000000001</v>
      </c>
      <c r="H153" s="61" t="s">
        <v>2971</v>
      </c>
      <c r="I153" s="61" t="s">
        <v>2972</v>
      </c>
      <c r="J153" s="61" t="s">
        <v>263</v>
      </c>
    </row>
    <row r="154" spans="1:10" ht="15" x14ac:dyDescent="0.25">
      <c r="A154" s="15">
        <v>150</v>
      </c>
      <c r="B154" s="61" t="s">
        <v>2973</v>
      </c>
      <c r="C154" s="61" t="s">
        <v>1918</v>
      </c>
      <c r="D154" s="61" t="s">
        <v>2207</v>
      </c>
      <c r="E154" s="61" t="s">
        <v>2208</v>
      </c>
      <c r="F154" s="61">
        <v>90.025999999999996</v>
      </c>
      <c r="G154" s="61">
        <v>101.38160000000001</v>
      </c>
      <c r="H154" s="61" t="s">
        <v>2651</v>
      </c>
      <c r="I154" s="61" t="s">
        <v>2974</v>
      </c>
      <c r="J154" s="61" t="s">
        <v>263</v>
      </c>
    </row>
    <row r="155" spans="1:10" ht="15" x14ac:dyDescent="0.25">
      <c r="A155" s="15">
        <v>151</v>
      </c>
      <c r="B155" s="61" t="s">
        <v>2975</v>
      </c>
      <c r="C155" s="61" t="s">
        <v>11</v>
      </c>
      <c r="D155" s="61" t="s">
        <v>2207</v>
      </c>
      <c r="E155" s="61" t="s">
        <v>2208</v>
      </c>
      <c r="F155" s="61">
        <v>78.1297</v>
      </c>
      <c r="G155" s="61">
        <v>81.945999999999998</v>
      </c>
      <c r="H155" s="61" t="s">
        <v>2649</v>
      </c>
      <c r="I155" s="61" t="s">
        <v>2976</v>
      </c>
      <c r="J155" s="61" t="s">
        <v>263</v>
      </c>
    </row>
    <row r="156" spans="1:10" ht="15" x14ac:dyDescent="0.25">
      <c r="A156" s="15">
        <v>152</v>
      </c>
      <c r="B156" s="61" t="s">
        <v>2977</v>
      </c>
      <c r="C156" s="61" t="s">
        <v>162</v>
      </c>
      <c r="D156" s="61" t="s">
        <v>2207</v>
      </c>
      <c r="E156" s="61" t="s">
        <v>2208</v>
      </c>
      <c r="F156" s="61">
        <v>76.683899999999994</v>
      </c>
      <c r="G156" s="61">
        <v>79.712699999999998</v>
      </c>
      <c r="H156" s="61" t="s">
        <v>2610</v>
      </c>
      <c r="I156" s="61" t="s">
        <v>2978</v>
      </c>
      <c r="J156" s="61" t="s">
        <v>263</v>
      </c>
    </row>
    <row r="157" spans="1:10" ht="15" x14ac:dyDescent="0.25">
      <c r="A157" s="15">
        <v>153</v>
      </c>
      <c r="B157" s="61" t="s">
        <v>2979</v>
      </c>
      <c r="C157" s="61" t="s">
        <v>164</v>
      </c>
      <c r="D157" s="61" t="s">
        <v>2207</v>
      </c>
      <c r="E157" s="61" t="s">
        <v>2208</v>
      </c>
      <c r="F157" s="61">
        <v>87.603300000000004</v>
      </c>
      <c r="G157" s="61">
        <v>91.027100000000004</v>
      </c>
      <c r="H157" s="61" t="s">
        <v>2927</v>
      </c>
      <c r="I157" s="61" t="s">
        <v>2980</v>
      </c>
      <c r="J157" s="61" t="s">
        <v>263</v>
      </c>
    </row>
    <row r="158" spans="1:10" ht="15" x14ac:dyDescent="0.25">
      <c r="A158" s="15">
        <v>154</v>
      </c>
      <c r="B158" s="61" t="s">
        <v>2981</v>
      </c>
      <c r="C158" s="61" t="s">
        <v>166</v>
      </c>
      <c r="D158" s="61" t="s">
        <v>2207</v>
      </c>
      <c r="E158" s="61" t="s">
        <v>2208</v>
      </c>
      <c r="F158" s="61">
        <v>72.803100000000001</v>
      </c>
      <c r="G158" s="61">
        <v>77.609200000000001</v>
      </c>
      <c r="H158" s="61" t="s">
        <v>2619</v>
      </c>
      <c r="I158" s="61" t="s">
        <v>2982</v>
      </c>
      <c r="J158" s="61" t="s">
        <v>263</v>
      </c>
    </row>
    <row r="159" spans="1:10" ht="15" x14ac:dyDescent="0.25">
      <c r="A159" s="15">
        <v>155</v>
      </c>
      <c r="B159" s="61" t="s">
        <v>2983</v>
      </c>
      <c r="C159" s="61" t="s">
        <v>168</v>
      </c>
      <c r="D159" s="61" t="s">
        <v>2207</v>
      </c>
      <c r="E159" s="61" t="s">
        <v>2208</v>
      </c>
      <c r="F159" s="61">
        <v>73.555999999999997</v>
      </c>
      <c r="G159" s="61">
        <v>81.652000000000001</v>
      </c>
      <c r="H159" s="61" t="s">
        <v>2984</v>
      </c>
      <c r="I159" s="61" t="s">
        <v>2985</v>
      </c>
      <c r="J159" s="61" t="s">
        <v>263</v>
      </c>
    </row>
    <row r="160" spans="1:10" ht="15" x14ac:dyDescent="0.25">
      <c r="A160" s="15">
        <v>156</v>
      </c>
      <c r="B160" s="61" t="s">
        <v>2986</v>
      </c>
      <c r="C160" s="61" t="s">
        <v>2073</v>
      </c>
      <c r="D160" s="61" t="s">
        <v>2207</v>
      </c>
      <c r="E160" s="61" t="s">
        <v>2208</v>
      </c>
      <c r="F160" s="61">
        <v>89.688699999999997</v>
      </c>
      <c r="G160" s="61">
        <v>97.247900000000001</v>
      </c>
      <c r="H160" s="61" t="s">
        <v>2987</v>
      </c>
      <c r="I160" s="61" t="s">
        <v>2988</v>
      </c>
      <c r="J160" s="61" t="s">
        <v>263</v>
      </c>
    </row>
    <row r="161" spans="1:10" ht="15" x14ac:dyDescent="0.25">
      <c r="A161" s="15">
        <v>157</v>
      </c>
      <c r="B161" s="61" t="s">
        <v>2989</v>
      </c>
      <c r="C161" s="61" t="s">
        <v>10</v>
      </c>
      <c r="D161" s="61" t="s">
        <v>2207</v>
      </c>
      <c r="E161" s="61" t="s">
        <v>2208</v>
      </c>
      <c r="F161" s="61">
        <v>70.329700000000003</v>
      </c>
      <c r="G161" s="61">
        <v>75.704800000000006</v>
      </c>
      <c r="H161" s="61" t="s">
        <v>2990</v>
      </c>
      <c r="I161" s="61" t="s">
        <v>2991</v>
      </c>
      <c r="J161" s="61" t="s">
        <v>263</v>
      </c>
    </row>
    <row r="162" spans="1:10" ht="15" x14ac:dyDescent="0.25">
      <c r="A162" s="15">
        <v>158</v>
      </c>
      <c r="B162" s="61" t="s">
        <v>2992</v>
      </c>
      <c r="C162" s="61" t="s">
        <v>171</v>
      </c>
      <c r="D162" s="61" t="s">
        <v>2207</v>
      </c>
      <c r="E162" s="61" t="s">
        <v>2208</v>
      </c>
      <c r="F162" s="61">
        <v>72.775999999999996</v>
      </c>
      <c r="G162" s="61">
        <v>80.321100000000001</v>
      </c>
      <c r="H162" s="61" t="s">
        <v>2993</v>
      </c>
      <c r="I162" s="61" t="s">
        <v>2994</v>
      </c>
      <c r="J162" s="61" t="s">
        <v>263</v>
      </c>
    </row>
    <row r="163" spans="1:10" ht="17.25" customHeight="1" x14ac:dyDescent="0.25">
      <c r="A163" s="15">
        <v>159</v>
      </c>
      <c r="B163" s="61" t="s">
        <v>2995</v>
      </c>
      <c r="C163" s="61" t="s">
        <v>173</v>
      </c>
      <c r="D163" s="61" t="s">
        <v>2207</v>
      </c>
      <c r="E163" s="61" t="s">
        <v>2208</v>
      </c>
      <c r="F163" s="61">
        <v>92.665400000000005</v>
      </c>
      <c r="G163" s="61">
        <v>94.3001</v>
      </c>
      <c r="H163" s="61" t="s">
        <v>2996</v>
      </c>
      <c r="I163" s="61" t="s">
        <v>2997</v>
      </c>
      <c r="J163" s="61" t="s">
        <v>263</v>
      </c>
    </row>
    <row r="164" spans="1:10" ht="17.25" customHeight="1" x14ac:dyDescent="0.25">
      <c r="A164" s="15">
        <v>160</v>
      </c>
      <c r="B164" s="61" t="s">
        <v>2998</v>
      </c>
      <c r="C164" s="61" t="s">
        <v>175</v>
      </c>
      <c r="D164" s="61" t="s">
        <v>2207</v>
      </c>
      <c r="E164" s="61" t="s">
        <v>2208</v>
      </c>
      <c r="F164" s="61">
        <v>89.797499999999999</v>
      </c>
      <c r="G164" s="61">
        <v>89.964200000000005</v>
      </c>
      <c r="H164" s="61" t="s">
        <v>2999</v>
      </c>
      <c r="I164" s="61" t="s">
        <v>3000</v>
      </c>
      <c r="J164" s="61" t="s">
        <v>263</v>
      </c>
    </row>
    <row r="165" spans="1:10" ht="17.25" customHeight="1" x14ac:dyDescent="0.25">
      <c r="A165" s="15">
        <v>161</v>
      </c>
      <c r="B165" s="61" t="s">
        <v>3001</v>
      </c>
      <c r="C165" s="61" t="s">
        <v>5</v>
      </c>
      <c r="D165" s="61" t="s">
        <v>2207</v>
      </c>
      <c r="E165" s="61" t="s">
        <v>2208</v>
      </c>
      <c r="F165" s="61">
        <v>87.12</v>
      </c>
      <c r="G165" s="61">
        <v>90.902000000000001</v>
      </c>
      <c r="H165" s="61" t="s">
        <v>2620</v>
      </c>
      <c r="I165" s="61" t="s">
        <v>3002</v>
      </c>
      <c r="J165" s="61" t="s">
        <v>263</v>
      </c>
    </row>
    <row r="166" spans="1:10" ht="17.25" customHeight="1" x14ac:dyDescent="0.25">
      <c r="A166" s="15">
        <v>162</v>
      </c>
      <c r="B166" s="61" t="s">
        <v>3003</v>
      </c>
      <c r="C166" s="61" t="s">
        <v>178</v>
      </c>
      <c r="D166" s="61" t="s">
        <v>2207</v>
      </c>
      <c r="E166" s="61" t="s">
        <v>2208</v>
      </c>
      <c r="F166" s="61">
        <v>83.210300000000004</v>
      </c>
      <c r="G166" s="61">
        <v>84.384600000000006</v>
      </c>
      <c r="H166" s="61" t="s">
        <v>3004</v>
      </c>
      <c r="I166" s="61" t="s">
        <v>2671</v>
      </c>
      <c r="J166" s="61" t="s">
        <v>263</v>
      </c>
    </row>
    <row r="167" spans="1:10" ht="17.25" customHeight="1" x14ac:dyDescent="0.25">
      <c r="A167" s="15">
        <v>163</v>
      </c>
      <c r="B167" s="61" t="s">
        <v>3005</v>
      </c>
      <c r="C167" s="61" t="s">
        <v>180</v>
      </c>
      <c r="D167" s="61" t="s">
        <v>2207</v>
      </c>
      <c r="E167" s="61" t="s">
        <v>2208</v>
      </c>
      <c r="F167" s="61">
        <v>84.004199999999997</v>
      </c>
      <c r="G167" s="61">
        <v>84.744500000000002</v>
      </c>
      <c r="H167" s="61" t="s">
        <v>3006</v>
      </c>
      <c r="I167" s="61" t="s">
        <v>3007</v>
      </c>
      <c r="J167" s="61" t="s">
        <v>263</v>
      </c>
    </row>
    <row r="168" spans="1:10" ht="17.25" customHeight="1" x14ac:dyDescent="0.25">
      <c r="A168" s="15">
        <v>164</v>
      </c>
      <c r="B168" s="61" t="s">
        <v>3008</v>
      </c>
      <c r="C168" s="61" t="s">
        <v>182</v>
      </c>
      <c r="D168" s="61" t="s">
        <v>2207</v>
      </c>
      <c r="E168" s="61" t="s">
        <v>2208</v>
      </c>
      <c r="F168" s="61">
        <v>78.705699999999993</v>
      </c>
      <c r="G168" s="61">
        <v>85.825400000000002</v>
      </c>
      <c r="H168" s="61" t="s">
        <v>3009</v>
      </c>
      <c r="I168" s="61" t="s">
        <v>3010</v>
      </c>
      <c r="J168" s="61" t="s">
        <v>263</v>
      </c>
    </row>
    <row r="169" spans="1:10" ht="17.25" customHeight="1" x14ac:dyDescent="0.25">
      <c r="A169" s="15">
        <v>165</v>
      </c>
      <c r="B169" s="61" t="s">
        <v>3011</v>
      </c>
      <c r="C169" s="61" t="s">
        <v>184</v>
      </c>
      <c r="D169" s="61" t="s">
        <v>2207</v>
      </c>
      <c r="E169" s="61" t="s">
        <v>2208</v>
      </c>
      <c r="F169" s="61">
        <v>76.593000000000004</v>
      </c>
      <c r="G169" s="61">
        <v>78.982299999999995</v>
      </c>
      <c r="H169" s="61" t="s">
        <v>2568</v>
      </c>
      <c r="I169" s="61" t="s">
        <v>3012</v>
      </c>
      <c r="J169" s="61" t="s">
        <v>263</v>
      </c>
    </row>
    <row r="170" spans="1:10" ht="17.25" customHeight="1" x14ac:dyDescent="0.25">
      <c r="A170" s="15">
        <v>166</v>
      </c>
      <c r="B170" s="61" t="s">
        <v>3013</v>
      </c>
      <c r="C170" s="61" t="s">
        <v>186</v>
      </c>
      <c r="D170" s="61" t="s">
        <v>2207</v>
      </c>
      <c r="E170" s="61" t="s">
        <v>2208</v>
      </c>
      <c r="F170" s="61">
        <v>74.6678</v>
      </c>
      <c r="G170" s="61">
        <v>81.089100000000002</v>
      </c>
      <c r="H170" s="61" t="s">
        <v>3014</v>
      </c>
      <c r="I170" s="61" t="s">
        <v>2949</v>
      </c>
      <c r="J170" s="61" t="s">
        <v>263</v>
      </c>
    </row>
    <row r="171" spans="1:10" ht="17.25" customHeight="1" x14ac:dyDescent="0.25">
      <c r="A171" s="15">
        <v>167</v>
      </c>
      <c r="B171" s="61" t="s">
        <v>3015</v>
      </c>
      <c r="C171" s="61" t="s">
        <v>188</v>
      </c>
      <c r="D171" s="61" t="s">
        <v>2207</v>
      </c>
      <c r="E171" s="61" t="s">
        <v>2208</v>
      </c>
      <c r="F171" s="61">
        <v>68.946399999999997</v>
      </c>
      <c r="G171" s="61">
        <v>74.743799999999993</v>
      </c>
      <c r="H171" s="61" t="s">
        <v>2610</v>
      </c>
      <c r="I171" s="61" t="s">
        <v>3016</v>
      </c>
      <c r="J171" s="61" t="s">
        <v>263</v>
      </c>
    </row>
    <row r="172" spans="1:10" ht="17.25" customHeight="1" x14ac:dyDescent="0.25">
      <c r="A172" s="15">
        <v>168</v>
      </c>
      <c r="B172" s="61" t="s">
        <v>3017</v>
      </c>
      <c r="C172" s="61" t="s">
        <v>190</v>
      </c>
      <c r="D172" s="61" t="s">
        <v>2207</v>
      </c>
      <c r="E172" s="61" t="s">
        <v>2208</v>
      </c>
      <c r="F172" s="61">
        <v>68.016400000000004</v>
      </c>
      <c r="G172" s="61">
        <v>73.233400000000003</v>
      </c>
      <c r="H172" s="61" t="s">
        <v>2622</v>
      </c>
      <c r="I172" s="61" t="s">
        <v>3018</v>
      </c>
      <c r="J172" s="61" t="s">
        <v>263</v>
      </c>
    </row>
    <row r="173" spans="1:10" ht="17.25" customHeight="1" x14ac:dyDescent="0.25">
      <c r="A173" s="15">
        <v>169</v>
      </c>
      <c r="B173" s="61" t="s">
        <v>3019</v>
      </c>
      <c r="C173" s="61" t="s">
        <v>192</v>
      </c>
      <c r="D173" s="61" t="s">
        <v>2207</v>
      </c>
      <c r="E173" s="61" t="s">
        <v>2208</v>
      </c>
      <c r="F173" s="61">
        <v>73.759399999999999</v>
      </c>
      <c r="G173" s="61">
        <v>76.753799999999998</v>
      </c>
      <c r="H173" s="61" t="s">
        <v>2652</v>
      </c>
      <c r="I173" s="61" t="s">
        <v>3020</v>
      </c>
      <c r="J173" s="61" t="s">
        <v>263</v>
      </c>
    </row>
    <row r="174" spans="1:10" ht="17.25" customHeight="1" x14ac:dyDescent="0.25">
      <c r="A174" s="15">
        <v>170</v>
      </c>
      <c r="B174" s="61" t="s">
        <v>3021</v>
      </c>
      <c r="C174" s="61" t="s">
        <v>194</v>
      </c>
      <c r="D174" s="61" t="s">
        <v>2207</v>
      </c>
      <c r="E174" s="61" t="s">
        <v>2208</v>
      </c>
      <c r="F174" s="61">
        <v>74.784499999999994</v>
      </c>
      <c r="G174" s="61">
        <v>84.207700000000003</v>
      </c>
      <c r="H174" s="61" t="s">
        <v>2653</v>
      </c>
      <c r="I174" s="61" t="s">
        <v>3022</v>
      </c>
      <c r="J174" s="61" t="s">
        <v>263</v>
      </c>
    </row>
    <row r="175" spans="1:10" ht="17.25" customHeight="1" x14ac:dyDescent="0.25">
      <c r="A175" s="15">
        <v>171</v>
      </c>
      <c r="B175" s="61" t="s">
        <v>3023</v>
      </c>
      <c r="C175" s="61" t="s">
        <v>196</v>
      </c>
      <c r="D175" s="61" t="s">
        <v>2207</v>
      </c>
      <c r="E175" s="61" t="s">
        <v>2208</v>
      </c>
      <c r="F175" s="61">
        <v>82.308199999999999</v>
      </c>
      <c r="G175" s="61">
        <v>82.985399999999998</v>
      </c>
      <c r="H175" s="61" t="s">
        <v>3006</v>
      </c>
      <c r="I175" s="61" t="s">
        <v>3024</v>
      </c>
      <c r="J175" s="61" t="s">
        <v>263</v>
      </c>
    </row>
    <row r="176" spans="1:10" ht="17.25" customHeight="1" x14ac:dyDescent="0.25">
      <c r="A176" s="15">
        <v>172</v>
      </c>
      <c r="B176" s="61" t="s">
        <v>3025</v>
      </c>
      <c r="C176" s="61" t="s">
        <v>198</v>
      </c>
      <c r="D176" s="61" t="s">
        <v>2207</v>
      </c>
      <c r="E176" s="61" t="s">
        <v>2208</v>
      </c>
      <c r="F176" s="61">
        <v>78.054699999999997</v>
      </c>
      <c r="G176" s="61">
        <v>81.207499999999996</v>
      </c>
      <c r="H176" s="61" t="s">
        <v>3026</v>
      </c>
      <c r="I176" s="61" t="s">
        <v>3027</v>
      </c>
      <c r="J176" s="61" t="s">
        <v>263</v>
      </c>
    </row>
    <row r="177" spans="1:10" ht="17.25" customHeight="1" x14ac:dyDescent="0.25">
      <c r="A177" s="15">
        <v>173</v>
      </c>
      <c r="B177" s="61" t="s">
        <v>3028</v>
      </c>
      <c r="C177" s="61" t="s">
        <v>200</v>
      </c>
      <c r="D177" s="61" t="s">
        <v>2207</v>
      </c>
      <c r="E177" s="61" t="s">
        <v>2208</v>
      </c>
      <c r="F177" s="61">
        <v>76.191800000000001</v>
      </c>
      <c r="G177" s="61">
        <v>77.337599999999995</v>
      </c>
      <c r="H177" s="61" t="s">
        <v>2645</v>
      </c>
      <c r="I177" s="61" t="s">
        <v>3029</v>
      </c>
      <c r="J177" s="61" t="s">
        <v>263</v>
      </c>
    </row>
    <row r="178" spans="1:10" ht="17.25" customHeight="1" x14ac:dyDescent="0.25">
      <c r="A178" s="15">
        <v>174</v>
      </c>
      <c r="B178" s="61" t="s">
        <v>3030</v>
      </c>
      <c r="C178" s="61" t="s">
        <v>202</v>
      </c>
      <c r="D178" s="61" t="s">
        <v>2207</v>
      </c>
      <c r="E178" s="61" t="s">
        <v>2208</v>
      </c>
      <c r="F178" s="61">
        <v>62.541400000000003</v>
      </c>
      <c r="G178" s="61">
        <v>65.485799999999998</v>
      </c>
      <c r="H178" s="61" t="s">
        <v>2654</v>
      </c>
      <c r="I178" s="61" t="s">
        <v>3031</v>
      </c>
      <c r="J178" s="61" t="s">
        <v>263</v>
      </c>
    </row>
    <row r="179" spans="1:10" ht="17.25" customHeight="1" x14ac:dyDescent="0.25">
      <c r="A179" s="15">
        <v>175</v>
      </c>
      <c r="B179" s="61" t="s">
        <v>3032</v>
      </c>
      <c r="C179" s="61" t="s">
        <v>204</v>
      </c>
      <c r="D179" s="61" t="s">
        <v>2207</v>
      </c>
      <c r="E179" s="61" t="s">
        <v>2208</v>
      </c>
      <c r="F179" s="61">
        <v>62.9495</v>
      </c>
      <c r="G179" s="61">
        <v>70.054500000000004</v>
      </c>
      <c r="H179" s="61" t="s">
        <v>2654</v>
      </c>
      <c r="I179" s="61" t="s">
        <v>3033</v>
      </c>
      <c r="J179" s="61" t="s">
        <v>263</v>
      </c>
    </row>
    <row r="180" spans="1:10" ht="17.25" customHeight="1" x14ac:dyDescent="0.25">
      <c r="A180" s="15">
        <v>176</v>
      </c>
      <c r="B180" s="61" t="s">
        <v>3034</v>
      </c>
      <c r="C180" s="61" t="s">
        <v>206</v>
      </c>
      <c r="D180" s="61" t="s">
        <v>2207</v>
      </c>
      <c r="E180" s="61" t="s">
        <v>2208</v>
      </c>
      <c r="F180" s="61">
        <v>59.195900000000002</v>
      </c>
      <c r="G180" s="61">
        <v>62.572299999999998</v>
      </c>
      <c r="H180" s="61" t="s">
        <v>3035</v>
      </c>
      <c r="I180" s="61" t="s">
        <v>3036</v>
      </c>
      <c r="J180" s="61" t="s">
        <v>263</v>
      </c>
    </row>
    <row r="181" spans="1:10" ht="17.25" customHeight="1" x14ac:dyDescent="0.25">
      <c r="A181" s="15">
        <v>177</v>
      </c>
      <c r="B181" s="61" t="s">
        <v>3037</v>
      </c>
      <c r="C181" s="61" t="s">
        <v>12</v>
      </c>
      <c r="D181" s="61" t="s">
        <v>2207</v>
      </c>
      <c r="E181" s="61" t="s">
        <v>2208</v>
      </c>
      <c r="F181" s="61">
        <v>64.215299999999999</v>
      </c>
      <c r="G181" s="61">
        <v>68.765900000000002</v>
      </c>
      <c r="H181" s="61" t="s">
        <v>3038</v>
      </c>
      <c r="I181" s="61" t="s">
        <v>3039</v>
      </c>
      <c r="J181" s="61" t="s">
        <v>263</v>
      </c>
    </row>
    <row r="182" spans="1:10" ht="17.25" customHeight="1" x14ac:dyDescent="0.25">
      <c r="A182" s="15">
        <v>178</v>
      </c>
      <c r="B182" s="61" t="s">
        <v>3040</v>
      </c>
      <c r="C182" s="61" t="s">
        <v>13</v>
      </c>
      <c r="D182" s="61" t="s">
        <v>2207</v>
      </c>
      <c r="E182" s="61" t="s">
        <v>2208</v>
      </c>
      <c r="F182" s="61">
        <v>62.936</v>
      </c>
      <c r="G182" s="61">
        <v>69.795500000000004</v>
      </c>
      <c r="H182" s="61" t="s">
        <v>3041</v>
      </c>
      <c r="I182" s="61" t="s">
        <v>3042</v>
      </c>
      <c r="J182" s="61" t="s">
        <v>263</v>
      </c>
    </row>
    <row r="183" spans="1:10" ht="17.25" customHeight="1" x14ac:dyDescent="0.25">
      <c r="A183" s="15">
        <v>179</v>
      </c>
      <c r="B183" s="61" t="s">
        <v>3043</v>
      </c>
      <c r="C183" s="61" t="s">
        <v>210</v>
      </c>
      <c r="D183" s="61" t="s">
        <v>2207</v>
      </c>
      <c r="E183" s="61" t="s">
        <v>2208</v>
      </c>
      <c r="F183" s="61">
        <v>56.859299999999998</v>
      </c>
      <c r="G183" s="61">
        <v>64.430099999999996</v>
      </c>
      <c r="H183" s="61" t="s">
        <v>2640</v>
      </c>
      <c r="I183" s="61" t="s">
        <v>3044</v>
      </c>
      <c r="J183" s="61" t="s">
        <v>263</v>
      </c>
    </row>
    <row r="184" spans="1:10" ht="17.25" customHeight="1" x14ac:dyDescent="0.25">
      <c r="A184" s="15">
        <v>180</v>
      </c>
      <c r="B184" s="61" t="s">
        <v>3045</v>
      </c>
      <c r="C184" s="61" t="s">
        <v>212</v>
      </c>
      <c r="D184" s="61" t="s">
        <v>2207</v>
      </c>
      <c r="E184" s="61" t="s">
        <v>2208</v>
      </c>
      <c r="F184" s="61">
        <v>58.591799999999999</v>
      </c>
      <c r="G184" s="61">
        <v>61.607100000000003</v>
      </c>
      <c r="H184" s="61" t="s">
        <v>2640</v>
      </c>
      <c r="I184" s="61" t="s">
        <v>3046</v>
      </c>
      <c r="J184" s="61" t="s">
        <v>263</v>
      </c>
    </row>
    <row r="185" spans="1:10" ht="17.25" customHeight="1" x14ac:dyDescent="0.25">
      <c r="A185" s="15">
        <v>181</v>
      </c>
      <c r="B185" s="61" t="s">
        <v>3047</v>
      </c>
      <c r="C185" s="61" t="s">
        <v>214</v>
      </c>
      <c r="D185" s="61" t="s">
        <v>2207</v>
      </c>
      <c r="E185" s="61" t="s">
        <v>2208</v>
      </c>
      <c r="F185" s="61">
        <v>58.187199999999997</v>
      </c>
      <c r="G185" s="61">
        <v>64.674000000000007</v>
      </c>
      <c r="H185" s="61" t="s">
        <v>2640</v>
      </c>
      <c r="I185" s="61" t="s">
        <v>3048</v>
      </c>
      <c r="J185" s="61" t="s">
        <v>263</v>
      </c>
    </row>
    <row r="186" spans="1:10" ht="17.25" customHeight="1" x14ac:dyDescent="0.25">
      <c r="A186" s="15">
        <v>182</v>
      </c>
      <c r="B186" s="61" t="s">
        <v>3049</v>
      </c>
      <c r="C186" s="61" t="s">
        <v>216</v>
      </c>
      <c r="D186" s="61" t="s">
        <v>2207</v>
      </c>
      <c r="E186" s="61" t="s">
        <v>2208</v>
      </c>
      <c r="F186" s="61">
        <v>57.113399999999999</v>
      </c>
      <c r="G186" s="61">
        <v>58.771299999999997</v>
      </c>
      <c r="H186" s="61" t="s">
        <v>3050</v>
      </c>
      <c r="I186" s="61" t="s">
        <v>3051</v>
      </c>
      <c r="J186" s="61" t="s">
        <v>263</v>
      </c>
    </row>
    <row r="187" spans="1:10" ht="17.25" customHeight="1" x14ac:dyDescent="0.25">
      <c r="A187" s="15">
        <v>183</v>
      </c>
      <c r="B187" s="61" t="s">
        <v>3052</v>
      </c>
      <c r="C187" s="61" t="s">
        <v>1976</v>
      </c>
      <c r="D187" s="61" t="s">
        <v>2207</v>
      </c>
      <c r="E187" s="61" t="s">
        <v>2208</v>
      </c>
      <c r="F187" s="61">
        <v>100</v>
      </c>
      <c r="G187" s="61">
        <v>110.1777</v>
      </c>
      <c r="H187" s="61" t="s">
        <v>2623</v>
      </c>
      <c r="I187" s="61" t="s">
        <v>3053</v>
      </c>
      <c r="J187" s="61" t="s">
        <v>263</v>
      </c>
    </row>
    <row r="188" spans="1:10" ht="17.25" customHeight="1" x14ac:dyDescent="0.25">
      <c r="A188" s="15">
        <v>184</v>
      </c>
      <c r="B188" s="61" t="s">
        <v>3054</v>
      </c>
      <c r="C188" s="61" t="s">
        <v>2342</v>
      </c>
      <c r="D188" s="61" t="s">
        <v>2191</v>
      </c>
      <c r="E188" s="61" t="s">
        <v>2388</v>
      </c>
      <c r="F188" s="61">
        <v>99.979100000000003</v>
      </c>
      <c r="G188" s="61">
        <v>102.393</v>
      </c>
      <c r="H188" s="61" t="s">
        <v>3055</v>
      </c>
      <c r="I188" s="61" t="s">
        <v>2843</v>
      </c>
      <c r="J188" s="61" t="s">
        <v>263</v>
      </c>
    </row>
    <row r="189" spans="1:10" ht="17.25" customHeight="1" x14ac:dyDescent="0.25">
      <c r="A189" s="15">
        <v>185</v>
      </c>
      <c r="B189" s="61" t="s">
        <v>3056</v>
      </c>
      <c r="C189" s="61" t="s">
        <v>2521</v>
      </c>
      <c r="D189" s="61" t="s">
        <v>2207</v>
      </c>
      <c r="E189" s="61" t="s">
        <v>2212</v>
      </c>
      <c r="F189" s="61">
        <v>99.783100000000005</v>
      </c>
      <c r="G189" s="61">
        <v>99.783100000000005</v>
      </c>
      <c r="H189" s="61" t="s">
        <v>3057</v>
      </c>
      <c r="I189" s="61" t="s">
        <v>3058</v>
      </c>
      <c r="J189" s="61" t="s">
        <v>263</v>
      </c>
    </row>
    <row r="190" spans="1:10" ht="17.25" customHeight="1" x14ac:dyDescent="0.25">
      <c r="A190" s="15">
        <v>186</v>
      </c>
      <c r="B190" s="61" t="s">
        <v>3059</v>
      </c>
      <c r="C190" s="61" t="s">
        <v>1504</v>
      </c>
      <c r="D190" s="61" t="s">
        <v>2191</v>
      </c>
      <c r="E190" s="61" t="s">
        <v>2213</v>
      </c>
      <c r="F190" s="109">
        <v>1672.193</v>
      </c>
      <c r="G190" s="109">
        <v>1672.193</v>
      </c>
      <c r="H190" s="61" t="s">
        <v>325</v>
      </c>
      <c r="I190" s="61" t="s">
        <v>3060</v>
      </c>
      <c r="J190" s="61" t="s">
        <v>2224</v>
      </c>
    </row>
    <row r="191" spans="1:10" ht="17.25" customHeight="1" x14ac:dyDescent="0.25">
      <c r="A191" s="15">
        <v>187</v>
      </c>
      <c r="B191" s="61" t="s">
        <v>3061</v>
      </c>
      <c r="C191" s="61" t="s">
        <v>407</v>
      </c>
      <c r="D191" s="61" t="s">
        <v>2191</v>
      </c>
      <c r="E191" s="61" t="s">
        <v>2214</v>
      </c>
      <c r="F191" s="61">
        <v>97.398600000000002</v>
      </c>
      <c r="G191" s="61">
        <v>97.604200000000006</v>
      </c>
      <c r="H191" s="61" t="s">
        <v>2655</v>
      </c>
      <c r="I191" s="61" t="s">
        <v>3062</v>
      </c>
      <c r="J191" s="61" t="s">
        <v>263</v>
      </c>
    </row>
    <row r="192" spans="1:10" ht="17.25" customHeight="1" x14ac:dyDescent="0.25">
      <c r="A192" s="15">
        <v>188</v>
      </c>
      <c r="B192" s="61" t="s">
        <v>3063</v>
      </c>
      <c r="C192" s="61" t="s">
        <v>2095</v>
      </c>
      <c r="D192" s="61" t="s">
        <v>2191</v>
      </c>
      <c r="E192" s="61" t="s">
        <v>2512</v>
      </c>
      <c r="F192" s="61">
        <v>96.485699999999994</v>
      </c>
      <c r="G192" s="61">
        <v>96.545400000000001</v>
      </c>
      <c r="H192" s="61" t="s">
        <v>3064</v>
      </c>
      <c r="I192" s="61" t="s">
        <v>3065</v>
      </c>
      <c r="J192" s="61" t="s">
        <v>263</v>
      </c>
    </row>
    <row r="1048514" spans="6:6" ht="17.25" customHeight="1" x14ac:dyDescent="0.25">
      <c r="F1048514" t="s">
        <v>2335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8461E7EC-8BB4-485F-B9EC-C1D414D29DBF}"/>
    <hyperlink ref="E5" r:id="rId2" display="https://kase.kz/ru/listing/issuers/AIRA" xr:uid="{77CD61AC-8916-4DB6-95E1-2DD69D30F1F4}"/>
    <hyperlink ref="B6" r:id="rId3" display="https://kase.kz/ru/investors/depts/AIRAd" xr:uid="{01DFAE95-101D-4602-B4BE-4D1DF0FB96C5}"/>
    <hyperlink ref="E6" r:id="rId4" display="https://kase.kz/ru/listing/issuers/AIRA" xr:uid="{88FF3039-0E2B-49CA-AD0B-B13FF3B5E76B}"/>
    <hyperlink ref="B7" r:id="rId5" display="https://kase.kz/ru/investors/shares/AKZM" xr:uid="{C4F17DCE-1B7A-4877-8E6C-F71D58036978}"/>
    <hyperlink ref="E7" r:id="rId6" display="https://kase.kz/ru/listing/issuers/AKZM" xr:uid="{7C1A3AD1-6198-4C54-AB8F-EA779F677CAF}"/>
    <hyperlink ref="B8" r:id="rId7" display="https://kase.kz/ru/investors/bonds/ALMSb1" xr:uid="{09B33731-5F81-4624-AEB8-26EB77CA5224}"/>
    <hyperlink ref="E8" r:id="rId8" display="https://kase.kz/ru/listing/issuers/ALMS" xr:uid="{964C1BEC-4D93-4037-83A5-CA1290ED97A0}"/>
    <hyperlink ref="B9" r:id="rId9" display="https://kase.kz/ru/investors/bonds/ASKQb1" xr:uid="{2CD5C888-3CA3-4731-9DA3-C3487D95C726}"/>
    <hyperlink ref="E9" r:id="rId10" display="https://kase.kz/ru/listing/issuers/ASKQ" xr:uid="{93B2CA41-5DD3-4614-8EEA-2FA3F8BDCC90}"/>
    <hyperlink ref="B10" r:id="rId11" display="https://kase.kz/ru/investors/mifs/BCCI_cc" xr:uid="{B0CD9273-2A5C-42E1-A2C8-93DEE27642EC}"/>
    <hyperlink ref="E10" r:id="rId12" display="https://kase.kz/ru/listing/issuers/BCCI" xr:uid="{03F91CF9-E7C4-4EA5-AFF9-DB937FE9FEC3}"/>
    <hyperlink ref="B11" r:id="rId13" display="https://kase.kz/ru/investors/mifs/BCCIbe" xr:uid="{D8A84945-AEB5-4A32-B661-E585B6E25C3E}"/>
    <hyperlink ref="E11" r:id="rId14" display="https://kase.kz/ru/listing/issuers/BCCI" xr:uid="{2E709C3F-F50B-42D0-A77E-1CD0DC1DD186}"/>
    <hyperlink ref="B12" r:id="rId15" display="https://kase.kz/ru/investors/mifs/BCCIrb" xr:uid="{DE53F6A7-3DF6-4814-B710-52F1515ABB28}"/>
    <hyperlink ref="E12" r:id="rId16" display="https://kase.kz/ru/listing/issuers/BCCI" xr:uid="{DAB0A982-BD7D-4954-A469-C0863EA39C9E}"/>
    <hyperlink ref="B13" r:id="rId17" display="https://kase.kz/ru/investors/bonds/BIGDb1" xr:uid="{831702ED-AE1B-4BDE-8414-B674351F58C2}"/>
    <hyperlink ref="E13" r:id="rId18" display="https://kase.kz/ru/listing/issuers/BIGD" xr:uid="{49E1007C-470F-480F-838F-06AAC11C65B0}"/>
    <hyperlink ref="B14" r:id="rId19" display="https://kase.kz/ru/investors/bonds/BIGDb5" xr:uid="{0660F61C-FC6B-4096-BE8E-B3909110C894}"/>
    <hyperlink ref="E14" r:id="rId20" display="https://kase.kz/ru/listing/issuers/BIGD" xr:uid="{1B1A7353-8505-4998-A1BD-9F543A4E8995}"/>
    <hyperlink ref="B15" r:id="rId21" display="https://kase.kz/ru/investors/bonds/BIGDb6" xr:uid="{9A1473AB-9300-4AE7-B648-360F187A63D6}"/>
    <hyperlink ref="E15" r:id="rId22" display="https://kase.kz/ru/listing/issuers/BIGD" xr:uid="{2A1D25CF-0679-464E-82D6-C50B75F62931}"/>
    <hyperlink ref="B16" r:id="rId23" display="https://kase.kz/ru/investors/bonds/BRKZe12" xr:uid="{6B959DC6-743C-4589-9E8B-1689C2B0B622}"/>
    <hyperlink ref="E16" r:id="rId24" display="https://kase.kz/ru/listing/issuers/BRKZ" xr:uid="{847DFAE0-0E70-41A6-89F6-2B91D1086E16}"/>
    <hyperlink ref="B17" r:id="rId25" display="https://kase.kz/ru/investors/bonds/BRKZe16" xr:uid="{7F7CF644-451E-4BF3-BC31-848E553AC49A}"/>
    <hyperlink ref="E17" r:id="rId26" display="https://kase.kz/ru/listing/issuers/BRKZ" xr:uid="{887D5BE1-B1A1-4C9B-AE8B-062493919355}"/>
    <hyperlink ref="B18" r:id="rId27" display="https://kase.kz/ru/investors/bonds/BRKZe18" xr:uid="{FD69054B-7FF3-44D9-B154-D53D703C8CC6}"/>
    <hyperlink ref="E18" r:id="rId28" display="https://kase.kz/ru/listing/issuers/BRKZ" xr:uid="{AB17B5BC-3951-4109-B280-B78C6C19B0B1}"/>
    <hyperlink ref="B19" r:id="rId29" display="https://kase.kz/ru/investors/bonds/BRKZe21" xr:uid="{7D3DF555-0D2A-4557-819D-690E6A01EAB6}"/>
    <hyperlink ref="E19" r:id="rId30" display="https://kase.kz/ru/listing/issuers/BRKZ" xr:uid="{AFA7A138-8241-469C-81D0-B4A85CA64EDD}"/>
    <hyperlink ref="B20" r:id="rId31" display="https://kase.kz/ru/investors/bonds/BRKZe22" xr:uid="{15042F4E-D964-446A-9501-C9B0441E1BC7}"/>
    <hyperlink ref="E20" r:id="rId32" display="https://kase.kz/ru/listing/issuers/BRKZ" xr:uid="{2444E543-1EE4-4DCD-8B5C-230185674688}"/>
    <hyperlink ref="B21" r:id="rId33" display="https://kase.kz/ru/investors/bonds/BRKZe4" xr:uid="{DC07ABEA-EFAA-4350-80E9-FFBB9D5659A5}"/>
    <hyperlink ref="E21" r:id="rId34" display="https://kase.kz/ru/listing/issuers/BRKZ" xr:uid="{53315B34-AAA8-44A9-B5B5-54B16827937D}"/>
    <hyperlink ref="B22" r:id="rId35" display="https://kase.kz/ru/investors/bonds/BTRKe1" xr:uid="{B111EFA9-035A-492F-8C39-D7D0523CB7B2}"/>
    <hyperlink ref="E22" r:id="rId36" display="https://kase.kz/ru/listing/issuers/BTRK" xr:uid="{86CF6EE6-0076-4C3D-A0F7-82D247014323}"/>
    <hyperlink ref="B23" r:id="rId37" display="https://kase.kz/ru/investors/bonds/BTRKe2" xr:uid="{0A7D298C-C89A-4AF9-A435-9CEF4DAF5134}"/>
    <hyperlink ref="E23" r:id="rId38" display="https://kase.kz/ru/listing/issuers/BTRK" xr:uid="{1CA7F3D7-A9DE-4946-B7AD-9F822CD02AA5}"/>
    <hyperlink ref="B24" r:id="rId39" display="https://kase.kz/ru/investors/shares/CCBN" xr:uid="{F5AEC646-E585-452E-8737-DB97782E6A0A}"/>
    <hyperlink ref="E24" r:id="rId40" display="https://kase.kz/ru/listing/issuers/CCBN" xr:uid="{7176FEC4-1F4C-4EB8-B511-677D7429E708}"/>
    <hyperlink ref="B25" r:id="rId41" display="https://kase.kz/ru/investors/shares/CCBNp" xr:uid="{C5B1CFDF-7443-41BA-933C-0C00DAA0C3CF}"/>
    <hyperlink ref="E25" r:id="rId42" display="https://kase.kz/ru/listing/issuers/CCBN" xr:uid="{F28949E9-794F-4A29-8E8E-5970AE16857D}"/>
    <hyperlink ref="B26" r:id="rId43" display="https://kase.kz/ru/investors/bonds/CLSGb3" xr:uid="{81BDB4C7-BE4A-4341-ACD3-C4DEAB6A1EA7}"/>
    <hyperlink ref="E26" r:id="rId44" display="https://kase.kz/ru/listing/issuers/CLSG" xr:uid="{1C3891AC-1A67-423B-ABB9-013BE7694135}"/>
    <hyperlink ref="B27" r:id="rId45" display="https://kase.kz/ru/investors/mifs/CSECfe" xr:uid="{30F23420-3E1C-4B49-A06B-62EABCBFE509}"/>
    <hyperlink ref="E27" r:id="rId46" display="https://kase.kz/ru/listing/issuers/CSEC" xr:uid="{D263C58B-3C1D-4513-B99B-352031C3337C}"/>
    <hyperlink ref="B28" r:id="rId47" display="https://kase.kz/ru/investors/mifs/CSECtf" xr:uid="{7041FD58-0F4C-4A1B-A6B3-CDD3434B0312}"/>
    <hyperlink ref="E28" r:id="rId48" display="https://kase.kz/ru/listing/issuers/CSEC" xr:uid="{63196DCF-CA4E-4992-BE9C-AD0E9A8B8484}"/>
    <hyperlink ref="B29" r:id="rId49" display="https://kase.kz/ru/investors/bonds/EABRb40" xr:uid="{F3496DF5-FEBE-404C-AAEA-4980766FF7E8}"/>
    <hyperlink ref="E29" r:id="rId50" display="https://kase.kz/ru/listing/issuers/EABR" xr:uid="{1DD76740-D688-4A26-9F2F-26752C5056B2}"/>
    <hyperlink ref="B30" r:id="rId51" display="https://kase.kz/ru/investors/bonds/EABRb42" xr:uid="{7748F165-01DE-44BC-ADAB-AD7DFD341F81}"/>
    <hyperlink ref="E30" r:id="rId52" display="https://kase.kz/ru/listing/issuers/EABR" xr:uid="{7EC03383-587D-4116-AC69-EBA785047182}"/>
    <hyperlink ref="B31" r:id="rId53" display="https://kase.kz/ru/investors/bonds/EABRb53" xr:uid="{38FCE87C-F88D-4CAB-ACF0-4F2E4E44DF86}"/>
    <hyperlink ref="E31" r:id="rId54" display="https://kase.kz/ru/listing/issuers/EABR" xr:uid="{A9F19629-B3F3-4C95-AB40-0731DFB39864}"/>
    <hyperlink ref="B32" r:id="rId55" display="https://kase.kz/ru/investors/mifs/FFIN_or" xr:uid="{239F71E4-6CC9-42BF-94D5-829149FD168C}"/>
    <hyperlink ref="E32" r:id="rId56" display="https://kase.kz/ru/listing/issuers/FFIN" xr:uid="{860AE540-5C10-449F-9288-02067EDE4E2C}"/>
    <hyperlink ref="B33" r:id="rId57" display="https://kase.kz/ru/investors/mifs/FFINgw" xr:uid="{2F8912EA-B78A-4015-87FE-F4863B4D3D16}"/>
    <hyperlink ref="E33" r:id="rId58" display="https://kase.kz/ru/listing/issuers/FFIN" xr:uid="{6503C4CE-AC7C-47F7-B5BD-905B820DD80C}"/>
    <hyperlink ref="B34" r:id="rId59" display="https://kase.kz/ru/investors/mifs/FHJIag" xr:uid="{7E20760D-DD7A-4509-8810-B568F968EDF7}"/>
    <hyperlink ref="E34" r:id="rId60" display="https://kase.kz/ru/listing/issuers/FHJI" xr:uid="{CB07C16C-9263-4F4E-AD62-808AB0455504}"/>
    <hyperlink ref="B35" r:id="rId61" display="https://kase.kz/ru/investors/bonds/FPSTb5" xr:uid="{EB668B32-0A56-4FAE-BD9A-FB4020B21E74}"/>
    <hyperlink ref="E35" r:id="rId62" display="https://kase.kz/ru/listing/issuers/FPST" xr:uid="{225DE564-B293-489C-9D52-9EBB8FE522E2}"/>
    <hyperlink ref="B36" r:id="rId63" display="https://kase.kz/ru/investors/bonds/FPSTb6" xr:uid="{4F9DBB28-4EFC-400B-AEB7-E9A5F978972C}"/>
    <hyperlink ref="E36" r:id="rId64" display="https://kase.kz/ru/listing/issuers/FPST" xr:uid="{4DD20066-8C3F-4CD2-A5B2-0DD057F8BF46}"/>
    <hyperlink ref="B37" r:id="rId65" display="https://kase.kz/ru/investors/bonds/HCBNb11" xr:uid="{9D1A8B94-8E43-4E29-AC20-8E09BF3D52B4}"/>
    <hyperlink ref="E37" r:id="rId66" display="https://kase.kz/ru/listing/issuers/HCBN" xr:uid="{82987F91-E0E6-4065-92E0-048E56EC849D}"/>
    <hyperlink ref="B38" r:id="rId67" display="https://kase.kz/ru/investors/bonds/HCBNb13" xr:uid="{BA3D8D0B-5426-4737-8E23-5EB34B00BCB9}"/>
    <hyperlink ref="E38" r:id="rId68" display="https://kase.kz/ru/listing/issuers/HCBN" xr:uid="{25C76AA6-B516-4AC5-806E-66FE75598EE0}"/>
    <hyperlink ref="B39" r:id="rId69" display="https://kase.kz/ru/investors/bonds/HCBNb15" xr:uid="{97B4B119-7304-43F2-B216-89739C6F5EC3}"/>
    <hyperlink ref="E39" r:id="rId70" display="https://kase.kz/ru/listing/issuers/HCBN" xr:uid="{512F471F-A49A-4E72-B2BB-A75E2D6AC316}"/>
    <hyperlink ref="B40" r:id="rId71" display="https://kase.kz/ru/investors/bonds/HCBNb17" xr:uid="{794B7481-EC52-4C7B-8E59-EB7D83248FF8}"/>
    <hyperlink ref="E40" r:id="rId72" display="https://kase.kz/ru/listing/issuers/HCBN" xr:uid="{BFA8EB91-1174-478B-8B3D-8E95744B9990}"/>
    <hyperlink ref="B41" r:id="rId73" display="https://kase.kz/ru/investors/bonds/HCBNb19" xr:uid="{F5A262E5-C20C-485D-BABD-8C76C388F166}"/>
    <hyperlink ref="E41" r:id="rId74" display="https://kase.kz/ru/listing/issuers/HCBN" xr:uid="{2CF18458-2786-4966-98D0-DA3D8170B9F4}"/>
    <hyperlink ref="B42" r:id="rId75" display="https://kase.kz/ru/investors/mifs/HFINhl" xr:uid="{71EEC0BF-5199-4821-B4D5-AC23101E648E}"/>
    <hyperlink ref="E42" r:id="rId76" display="https://kase.kz/ru/listing/issuers/HFIN" xr:uid="{DBD518E2-351A-419D-8696-27C7854F71B9}"/>
    <hyperlink ref="B43" r:id="rId77" display="https://kase.kz/ru/investors/mifs/HFINhp" xr:uid="{103FB74A-0A4F-4A25-8BD4-2A5FA8457C1E}"/>
    <hyperlink ref="E43" r:id="rId78" display="https://kase.kz/ru/listing/issuers/HFIN" xr:uid="{E07D72D5-8510-4AFC-8975-1B08B313CF1F}"/>
    <hyperlink ref="B44" r:id="rId79" display="https://kase.kz/ru/investors/mifs/HFINhs" xr:uid="{B4C6F26E-C69B-486C-A693-AE51E749E595}"/>
    <hyperlink ref="E44" r:id="rId80" display="https://kase.kz/ru/listing/issuers/HFIN" xr:uid="{8CB0416C-FBAE-4F32-81FA-592504CCA515}"/>
    <hyperlink ref="B45" r:id="rId81" display="https://kase.kz/ru/investors/mifs/HFINhv" xr:uid="{04E5B626-CB31-4B88-AD3C-C25FD1189586}"/>
    <hyperlink ref="E45" r:id="rId82" display="https://kase.kz/ru/listing/issuers/HFIN" xr:uid="{A00802DF-D9DB-4EB5-943B-35D5D9C51E25}"/>
    <hyperlink ref="B46" r:id="rId83" display="https://kase.kz/ru/investors/shares/HSBK" xr:uid="{BFF9D31F-9BA6-4A2B-9B5D-F89B0023A5B2}"/>
    <hyperlink ref="E46" r:id="rId84" display="https://kase.kz/ru/listing/issuers/HSBK" xr:uid="{DCCE03B9-A1F2-4049-8780-B748D0A80CF6}"/>
    <hyperlink ref="B47" r:id="rId85" display="https://kase.kz/ru/investors/bonds/HSBKb22" xr:uid="{B00D12E9-193A-4619-8B7D-16A4373853BF}"/>
    <hyperlink ref="E47" r:id="rId86" display="https://kase.kz/ru/listing/issuers/HSBK" xr:uid="{1F0B5304-B602-4083-A392-2E621A62569D}"/>
    <hyperlink ref="B48" r:id="rId87" display="https://kase.kz/ru/investors/depts/HSBKd" xr:uid="{A8E1B935-F19E-4238-ADE4-6DA507B3FCF9}"/>
    <hyperlink ref="E48" r:id="rId88" display="https://kase.kz/ru/listing/issuers/HSBK" xr:uid="{81EEB198-481A-472F-8CF0-1258530A6A6A}"/>
    <hyperlink ref="B49" r:id="rId89" display="https://kase.kz/ru/investors/bonds/IDFRb4" xr:uid="{806FE02C-0964-4ECB-B48A-DD1493A9FD15}"/>
    <hyperlink ref="E49" r:id="rId90" display="https://kase.kz/ru/listing/issuers/IDFR" xr:uid="{02948B57-D9EE-42C8-8A54-8E79EBBAFE33}"/>
    <hyperlink ref="B50" r:id="rId91" display="https://kase.kz/ru/investors/shares/IFDR" xr:uid="{CFC82D12-69FB-4987-AD87-EDE8F2182AB8}"/>
    <hyperlink ref="E50" r:id="rId92" display="https://kase.kz/ru/listing/issuers/TCIB" xr:uid="{FCA8A35C-6754-486D-92F9-7B639364CF5A}"/>
    <hyperlink ref="B51" r:id="rId93" display="https://kase.kz/ru/investors/bonds/KAFIb16" xr:uid="{7DDAE5B0-3527-4A90-BDDC-789AB2A1E03E}"/>
    <hyperlink ref="E51" r:id="rId94" display="https://kase.kz/ru/listing/issuers/KAFI" xr:uid="{FFB95734-A2BD-40AC-8139-29FF979F39C3}"/>
    <hyperlink ref="B52" r:id="rId95" display="https://kase.kz/ru/investors/bonds/KAFIb17" xr:uid="{6D1784C4-93B2-492D-8EA2-33EF7CB5127D}"/>
    <hyperlink ref="E52" r:id="rId96" display="https://kase.kz/ru/listing/issuers/KAFI" xr:uid="{DC8F56BF-ABF1-4805-8924-3C515F63E83B}"/>
    <hyperlink ref="B53" r:id="rId97" display="https://kase.kz/ru/investors/bonds/KASAb1" xr:uid="{78CD14C7-E2CE-4383-B301-7279E801F216}"/>
    <hyperlink ref="E53" r:id="rId98" display="https://kase.kz/ru/listing/issuers/KASA" xr:uid="{EE49275A-66B6-496B-94F4-FD3B43C5E589}"/>
    <hyperlink ref="B54" r:id="rId99" display="https://kase.kz/ru/investors/shares/KCEL" xr:uid="{42ACE3AE-8BD0-4613-8090-636694243370}"/>
    <hyperlink ref="E54" r:id="rId100" display="https://kase.kz/ru/listing/issuers/KCEL" xr:uid="{76A0A44B-D893-41B2-B864-50843E12EF1A}"/>
    <hyperlink ref="B55" r:id="rId101" display="https://kase.kz/ru/investors/shares/KEGC" xr:uid="{3EE54CE7-3A1D-41B9-9F2A-EBE7B237EEE6}"/>
    <hyperlink ref="E55" r:id="rId102" display="https://kase.kz/ru/listing/issuers/KEGC" xr:uid="{8681080E-9E6E-4B1B-9276-FF86AD288B7E}"/>
    <hyperlink ref="B56" r:id="rId103" display="https://kase.kz/ru/investors/bonds/KFUSb48" xr:uid="{615E87AA-1783-47E5-AE14-4BF4A301B93D}"/>
    <hyperlink ref="E56" r:id="rId104" display="https://kase.kz/ru/listing/issuers/KFUS" xr:uid="{BB59D981-D01C-4585-A42B-6294AB667361}"/>
    <hyperlink ref="B57" r:id="rId105" display="https://kase.kz/ru/investors/bonds/KFUSb49" xr:uid="{DAEC5B9A-4031-438E-BFC6-D42032035AF1}"/>
    <hyperlink ref="E57" r:id="rId106" display="https://kase.kz/ru/listing/issuers/KFUS" xr:uid="{86B30D1E-6F48-4BD9-B378-B300AF940646}"/>
    <hyperlink ref="B58" r:id="rId107" display="https://kase.kz/ru/investors/shares/KMGZ" xr:uid="{7660519A-8057-49B2-91B1-BA02B4E76503}"/>
    <hyperlink ref="E58" r:id="rId108" display="https://kase.kz/ru/listing/issuers/KMGZ" xr:uid="{386FB56C-1017-4556-954A-B79AF718D941}"/>
    <hyperlink ref="B59" r:id="rId109" display="https://kase.kz/ru/investors/bonds/KMGZe14" xr:uid="{80CB9CD5-197A-471A-B380-40481238DD5D}"/>
    <hyperlink ref="E59" r:id="rId110" display="https://kase.kz/ru/listing/issuers/KMGZ" xr:uid="{BC99AC16-6CA4-415E-9013-1AF9CDE9C191}"/>
    <hyperlink ref="B60" r:id="rId111" display="https://kase.kz/ru/investors/bonds/KMGZe16" xr:uid="{D8EC4315-134E-439C-BEEB-0F2304CAC2E7}"/>
    <hyperlink ref="E60" r:id="rId112" display="https://kase.kz/ru/listing/issuers/KMGZ" xr:uid="{D318C59B-6D76-4E78-9487-069A8E870D8B}"/>
    <hyperlink ref="B61" r:id="rId113" display="https://kase.kz/ru/investors/shares/KSPI" xr:uid="{874FF975-2736-4EDE-A660-5CF386A417A6}"/>
    <hyperlink ref="E61" r:id="rId114" display="https://kase.kz/ru/listing/issuers/KSPI" xr:uid="{C04A6DD0-A433-4722-BFDB-19363FCD7337}"/>
    <hyperlink ref="B62" r:id="rId115" display="https://kase.kz/ru/investors/depts/KSPId" xr:uid="{C3EF2638-C2F7-4370-A888-F80AD62F9F71}"/>
    <hyperlink ref="E62" r:id="rId116" display="https://kase.kz/ru/listing/issuers/KSPI" xr:uid="{8BC875C0-529D-4444-8A27-01593F7B429E}"/>
    <hyperlink ref="B63" r:id="rId117" display="https://kase.kz/ru/investors/shares/KZAP" xr:uid="{2FE7A448-ED45-41F9-9035-C634BA32CBB8}"/>
    <hyperlink ref="E63" r:id="rId118" display="https://kase.kz/ru/listing/issuers/KZAP" xr:uid="{38BB20B2-E384-4472-AA05-84C60F905DA4}"/>
    <hyperlink ref="B64" r:id="rId119" display="https://kase.kz/ru/investors/bonds/KZTCb3" xr:uid="{B7186209-544F-44FD-BD7F-27C8474C62D4}"/>
    <hyperlink ref="E64" r:id="rId120" display="https://kase.kz/ru/listing/issuers/KZTC" xr:uid="{A1C7FAC4-DF8C-40C3-AE92-9381ECC00F35}"/>
    <hyperlink ref="B65" r:id="rId121" display="https://kase.kz/ru/investors/shares/KZTK" xr:uid="{871A7500-3843-49A6-8748-EAD8CBB92A58}"/>
    <hyperlink ref="E65" r:id="rId122" display="https://kase.kz/ru/listing/issuers/KZTK" xr:uid="{32E6DC7B-F08B-418A-B197-537A368F5B85}"/>
    <hyperlink ref="B66" r:id="rId123" display="https://kase.kz/ru/investors/shares/KZTKp" xr:uid="{3C034296-FBB7-4F96-B104-1EDC73E61E4F}"/>
    <hyperlink ref="E66" r:id="rId124" display="https://kase.kz/ru/listing/issuers/KZTK" xr:uid="{88538BE8-8EE7-4F90-B278-333360B85972}"/>
    <hyperlink ref="B67" r:id="rId125" display="https://kase.kz/ru/investors/shares/KZTO" xr:uid="{87C1AAC1-BC99-4C4B-A709-029FA9F9CD9D}"/>
    <hyperlink ref="E67" r:id="rId126" display="https://kase.kz/ru/listing/issuers/KZTO" xr:uid="{19A37825-3EC4-4D54-BBE9-D2ACEA3B988C}"/>
    <hyperlink ref="B68" r:id="rId127" display="https://kase.kz/ru/investors/gsecs/KZ_23_3504" xr:uid="{A76CD2C9-67F2-4F70-A478-6A9E850381D7}"/>
    <hyperlink ref="E68" r:id="rId128" display="https://kase.kz/ru/listing/issuers/MFRK" xr:uid="{3C71696F-D95A-435A-B8A4-51B48B89A382}"/>
    <hyperlink ref="B69" r:id="rId129" display="https://kase.kz/ru/investors/bonds/MFMCb2" xr:uid="{316DF0C4-42BD-4855-8B44-F530DA6022D9}"/>
    <hyperlink ref="E69" r:id="rId130" display="https://kase.kz/ru/listing/issuers/MFMC" xr:uid="{B06A0E06-F2D1-4CB3-B0BA-D6BEB04BB4FF}"/>
    <hyperlink ref="B70" r:id="rId131" display="https://kase.kz/ru/investors/bonds/MFMOb15" xr:uid="{2F4E0610-49CC-4B26-9C2B-E402B07B12BD}"/>
    <hyperlink ref="E70" r:id="rId132" display="https://kase.kz/ru/listing/issuers/MFMO" xr:uid="{3EA56EBB-AA02-4A2D-A183-8E9B84B489CD}"/>
    <hyperlink ref="B71" r:id="rId133" display="https://kase.kz/ru/investors/bonds/MFMOb23" xr:uid="{E5E91972-7DF8-4458-A211-F7EF037F4A23}"/>
    <hyperlink ref="E71" r:id="rId134" display="https://kase.kz/ru/listing/issuers/MFMO" xr:uid="{25844C51-6A12-4C06-BD85-16284DB90C31}"/>
    <hyperlink ref="B72" r:id="rId135" display="https://kase.kz/ru/investors/bonds/MFMOb24" xr:uid="{E32E50E7-9FF5-4513-BFCC-F3499CB98B31}"/>
    <hyperlink ref="E72" r:id="rId136" display="https://kase.kz/ru/listing/issuers/MFMO" xr:uid="{D70F28CF-9DB4-4993-ABEE-D4ABB0496F2C}"/>
    <hyperlink ref="B73" r:id="rId137" display="https://kase.kz/ru/investors/bonds/MFMOb25" xr:uid="{DADDCD21-FF4E-47B9-A26E-DCA90B37B093}"/>
    <hyperlink ref="E73" r:id="rId138" display="https://kase.kz/ru/listing/issuers/MFMO" xr:uid="{1D8E8C1E-566B-4A60-A6D8-456C843DC64B}"/>
    <hyperlink ref="B74" r:id="rId139" display="https://kase.kz/ru/investors/bonds/MFMOb29" xr:uid="{EE99DAC0-CA7F-40D4-B12A-E4FCE5ADCBC1}"/>
    <hyperlink ref="E74" r:id="rId140" display="https://kase.kz/ru/listing/issuers/MFMO" xr:uid="{D1755F8E-86DC-4FCE-A132-2980D998658C}"/>
    <hyperlink ref="B75" r:id="rId141" display="https://kase.kz/ru/investors/bonds/MFMOb33" xr:uid="{09DB3C5F-ECC2-4428-9B9D-7DD0AF5B93D5}"/>
    <hyperlink ref="E75" r:id="rId142" display="https://kase.kz/ru/listing/issuers/MFMO" xr:uid="{F4A18CEA-8F50-43B7-9F3B-073B78E6FA06}"/>
    <hyperlink ref="B76" r:id="rId143" display="https://kase.kz/ru/investors/bonds/MFOKb18" xr:uid="{47E73613-8FD9-46F3-BF22-3B12C98E9CB7}"/>
    <hyperlink ref="E76" r:id="rId144" display="https://kase.kz/ru/listing/issuers/MFOK" xr:uid="{F26757F3-996C-46AB-9145-06CD99C62A44}"/>
    <hyperlink ref="B77" r:id="rId145" display="https://kase.kz/ru/investors/bonds/MFOKb19" xr:uid="{71880D17-029E-4BF4-900C-260363BA2088}"/>
    <hyperlink ref="E77" r:id="rId146" display="https://kase.kz/ru/listing/issuers/MFOK" xr:uid="{D9B06F3B-272C-492E-91BF-AC086DF28761}"/>
    <hyperlink ref="B78" r:id="rId147" display="https://kase.kz/ru/investors/bonds/MFOKb20" xr:uid="{4FE1EFD6-2FBC-43ED-8697-E27ACC8AC710}"/>
    <hyperlink ref="E78" r:id="rId148" display="https://kase.kz/ru/listing/issuers/MFOK" xr:uid="{42A794CF-71E4-47E8-BC35-CEE328919D00}"/>
    <hyperlink ref="B79" r:id="rId149" display="https://kase.kz/ru/investors/bonds/MFOKb21" xr:uid="{42CE84F8-0D82-4263-8FDF-BB018297B971}"/>
    <hyperlink ref="E79" r:id="rId150" display="https://kase.kz/ru/listing/issuers/MFOK" xr:uid="{4E310F92-A9A5-4A58-B7E2-36B8AA532CBF}"/>
    <hyperlink ref="B80" r:id="rId151" display="https://kase.kz/ru/investors/bonds/MFOKb22" xr:uid="{716B0AC6-9EA1-4FFD-A281-28E4C272823E}"/>
    <hyperlink ref="E80" r:id="rId152" display="https://kase.kz/ru/listing/issuers/MFOK" xr:uid="{7224858E-70FB-49BC-9E73-EC66B7C7C041}"/>
    <hyperlink ref="B81" r:id="rId153" display="https://kase.kz/ru/investors/bonds/MFOKb24" xr:uid="{980A5727-F34D-4F97-B434-A185A06EFF4D}"/>
    <hyperlink ref="E81" r:id="rId154" display="https://kase.kz/ru/listing/issuers/MFOK" xr:uid="{989A8B06-1538-4B74-B5C1-63016450B9DC}"/>
    <hyperlink ref="B82" r:id="rId155" display="https://kase.kz/ru/investors/bonds/MFOKb25" xr:uid="{D1392911-4911-4689-A9A6-744DAD1727D0}"/>
    <hyperlink ref="E82" r:id="rId156" display="https://kase.kz/ru/listing/issuers/MFOK" xr:uid="{C3D1B189-4A25-41FA-AFBF-795043CE23B9}"/>
    <hyperlink ref="B83" r:id="rId157" display="https://kase.kz/ru/investors/bonds/MFOKb26" xr:uid="{A1467ADB-64FF-4290-A507-12EEE4D1AD5B}"/>
    <hyperlink ref="E83" r:id="rId158" display="https://kase.kz/ru/listing/issuers/MFOK" xr:uid="{17D8565A-0742-40BA-BAA6-AB014875E13D}"/>
    <hyperlink ref="B84" r:id="rId159" display="https://kase.kz/ru/investors/bonds/MFOKb31" xr:uid="{F7066A0F-AE61-45C4-867A-7C410C66517F}"/>
    <hyperlink ref="E84" r:id="rId160" display="https://kase.kz/ru/listing/issuers/MFOK" xr:uid="{7B861993-8DFF-443E-AF5D-0AAE04CEDDF8}"/>
    <hyperlink ref="B85" r:id="rId161" display="https://kase.kz/ru/investors/bonds/MFRFb11" xr:uid="{04F82E41-CE84-49C4-BE56-35BF062D1091}"/>
    <hyperlink ref="E85" r:id="rId162" display="https://kase.kz/ru/listing/issuers/MFRF" xr:uid="{EAF2920E-D378-45C7-90D9-32C8B51E2577}"/>
    <hyperlink ref="B86" r:id="rId163" display="https://kase.kz/ru/investors/bonds/MFRFb13" xr:uid="{492070EF-20A8-4625-9559-889AC51E18D9}"/>
    <hyperlink ref="E86" r:id="rId164" display="https://kase.kz/ru/listing/issuers/MFRF" xr:uid="{F406AB3A-FC00-41EE-B66F-D6FB4EA8D066}"/>
    <hyperlink ref="B87" r:id="rId165" display="https://kase.kz/ru/investors/bonds/MFRFb14" xr:uid="{272AA509-EF65-4CF0-851F-F76B3393A52D}"/>
    <hyperlink ref="E87" r:id="rId166" display="https://kase.kz/ru/listing/issuers/MFRF" xr:uid="{B2DFD8E8-C80E-40E4-B8ED-CBCCCD1F8FF6}"/>
    <hyperlink ref="B88" r:id="rId167" display="https://kase.kz/ru/investors/bonds/MFRFb16" xr:uid="{DF3A1B39-036C-402A-81E9-5C21B9D9AA2D}"/>
    <hyperlink ref="E88" r:id="rId168" display="https://kase.kz/ru/listing/issuers/MFRF" xr:uid="{99E7629C-FF02-44A4-AA8C-D4E3B8FA85BC}"/>
    <hyperlink ref="B89" r:id="rId169" display="https://kase.kz/ru/investors/bonds/MFRFb19" xr:uid="{645325D7-DB9C-4DD3-AC15-6BB9BFAD39C9}"/>
    <hyperlink ref="E89" r:id="rId170" display="https://kase.kz/ru/listing/issuers/MFRF" xr:uid="{526B5073-7DDA-4A8F-B396-665F0707A354}"/>
    <hyperlink ref="B90" r:id="rId171" display="https://kase.kz/ru/investors/bonds/MFRFb24" xr:uid="{69BFEEA1-444D-4EC7-945A-6FC278143697}"/>
    <hyperlink ref="E90" r:id="rId172" display="https://kase.kz/ru/listing/issuers/MFRF" xr:uid="{B5AA62CC-BF3C-49E6-968E-FA903F82D119}"/>
    <hyperlink ref="B91" r:id="rId173" display="https://kase.kz/ru/investors/bonds/MFSCb5" xr:uid="{8ADF46A9-86DC-4432-9F7F-6EFDD6FCF559}"/>
    <hyperlink ref="E91" r:id="rId174" display="https://kase.kz/ru/listing/issuers/MFSC" xr:uid="{50B82456-F413-46E0-B933-2182F7D60A31}"/>
    <hyperlink ref="B92" r:id="rId175" display="https://kase.kz/ru/investors/bonds/MFSLb3" xr:uid="{C8BD1763-2E14-4106-AC1D-73D06DD3D3FB}"/>
    <hyperlink ref="E92" r:id="rId176" display="https://kase.kz/ru/listing/issuers/MFSL" xr:uid="{668F7E80-4D20-4A97-8A51-8D5222856B1B}"/>
    <hyperlink ref="B93" r:id="rId177" display="https://kase.kz/ru/investors/bonds/MFTSb1" xr:uid="{B7CA5B4D-891A-492C-9908-D8EB2C1119A7}"/>
    <hyperlink ref="E93" r:id="rId178" display="https://kase.kz/ru/listing/issuers/MFTS" xr:uid="{0EEAA28D-1F4B-49D7-9A0C-FABAC3059E71}"/>
    <hyperlink ref="B94" r:id="rId179" display="https://kase.kz/ru/investors/bonds/MFTSb2" xr:uid="{6212611B-48EE-4BCE-8CF1-DA449B10E7D7}"/>
    <hyperlink ref="E94" r:id="rId180" display="https://kase.kz/ru/listing/issuers/MFTS" xr:uid="{03E552CC-1E4E-4064-9343-B9171ACA425B}"/>
    <hyperlink ref="B95" r:id="rId181" display="https://kase.kz/ru/investors/bonds/MFTSb3" xr:uid="{534BD0E0-D030-4D40-8BAC-D66A68CDB3FB}"/>
    <hyperlink ref="E95" r:id="rId182" display="https://kase.kz/ru/listing/issuers/MFTS" xr:uid="{5591D3BC-8094-488B-917C-696F74D42C36}"/>
    <hyperlink ref="B96" r:id="rId183" display="https://kase.kz/ru/investors/gsecs/MKM012_0160" xr:uid="{86E5437A-D9CC-458F-B9E1-AB0926A9C716}"/>
    <hyperlink ref="E96" r:id="rId184" display="https://kase.kz/ru/listing/issuers/MFRK" xr:uid="{41831376-2B9E-40A0-9D32-8D148F2D279B}"/>
    <hyperlink ref="B97" r:id="rId185" display="https://kase.kz/ru/investors/gsecs/MKM012_0161" xr:uid="{DDEA1DBF-F51F-41A0-A434-CEFE19CDC446}"/>
    <hyperlink ref="E97" r:id="rId186" display="https://kase.kz/ru/listing/issuers/MFRK" xr:uid="{232F404D-FC05-4B9E-88F0-C92D34D3011C}"/>
    <hyperlink ref="B98" r:id="rId187" display="https://kase.kz/ru/investors/gsecs/MOM048_0052" xr:uid="{339EA811-7712-413E-97CA-B70231244ADF}"/>
    <hyperlink ref="E98" r:id="rId188" display="https://kase.kz/ru/listing/issuers/MFRK" xr:uid="{EFB35229-A754-45DB-AC93-BE2855401F21}"/>
    <hyperlink ref="B99" r:id="rId189" display="https://kase.kz/ru/investors/gsecs/MOM048_0053" xr:uid="{A04981B9-CA5F-47B1-9C10-AE229BF5F5F6}"/>
    <hyperlink ref="E99" r:id="rId190" display="https://kase.kz/ru/listing/issuers/MFRK" xr:uid="{EFAE3DA0-DD3B-4595-B3A6-4F88AA0E7479}"/>
    <hyperlink ref="B100" r:id="rId191" display="https://kase.kz/ru/investors/gsecs/MOM048_0054" xr:uid="{A66EF585-694F-4D2D-A157-A393FC43FA89}"/>
    <hyperlink ref="E100" r:id="rId192" display="https://kase.kz/ru/listing/issuers/MFRK" xr:uid="{A6FA4C50-2022-41B2-AAF8-A6546D4667D8}"/>
    <hyperlink ref="B101" r:id="rId193" display="https://kase.kz/ru/investors/gsecs/MOM048_0056" xr:uid="{15047A72-39D6-4204-8C25-651236EE55FA}"/>
    <hyperlink ref="E101" r:id="rId194" display="https://kase.kz/ru/listing/issuers/MFRK" xr:uid="{FD22CB67-521A-4C07-9DEB-9000ADD058CB}"/>
    <hyperlink ref="B102" r:id="rId195" display="https://kase.kz/ru/investors/gsecs/MOM060_0052" xr:uid="{24B269E8-282F-4E3D-8094-6539B8E27CCB}"/>
    <hyperlink ref="E102" r:id="rId196" display="https://kase.kz/ru/listing/issuers/MFRK" xr:uid="{AE82C40B-A366-4935-BA74-FE6BBA0BA16E}"/>
    <hyperlink ref="B103" r:id="rId197" display="https://kase.kz/ru/investors/gsecs/MOM060_0054" xr:uid="{DC158838-B1F7-4B76-8900-6BB5CE806986}"/>
    <hyperlink ref="E103" r:id="rId198" display="https://kase.kz/ru/listing/issuers/MFRK" xr:uid="{A36FC57C-93F2-4788-A581-1FD994695E27}"/>
    <hyperlink ref="B104" r:id="rId199" display="https://kase.kz/ru/investors/gsecs/MOM060_0055" xr:uid="{4FD29BB6-11B6-41C9-A59B-7AE9F7355018}"/>
    <hyperlink ref="E104" r:id="rId200" display="https://kase.kz/ru/listing/issuers/MFRK" xr:uid="{A22EA7AE-A871-4ED9-A884-9043AE417B28}"/>
    <hyperlink ref="B105" r:id="rId201" display="https://kase.kz/ru/investors/bonds/MRDNb1" xr:uid="{BC9040AB-AB67-4439-9994-CB23EB0BA2B1}"/>
    <hyperlink ref="E105" r:id="rId202" display="https://kase.kz/ru/listing/issuers/MRDN" xr:uid="{12571182-B6FF-4E4E-A94D-247721B47B63}"/>
    <hyperlink ref="B106" r:id="rId203" display="https://kase.kz/ru/investors/gsecs/MTC048_0001" xr:uid="{20E2D1EC-E51F-4048-B324-75FD3D106D2B}"/>
    <hyperlink ref="E106" r:id="rId204" display="https://kase.kz/ru/listing/issuers/MFRK" xr:uid="{E6F36709-E9BA-4B04-A140-94C105E3DB1C}"/>
    <hyperlink ref="B107" r:id="rId205" display="https://kase.kz/ru/investors/gsecs/MTM048_0001" xr:uid="{4275D1C0-A7DB-4816-9C16-E845CAACBBF3}"/>
    <hyperlink ref="E107" r:id="rId206" display="https://kase.kz/ru/listing/issuers/MFRK" xr:uid="{DB97FE99-FF4D-4001-B4C4-2E49AF5539A5}"/>
    <hyperlink ref="B108" r:id="rId207" display="https://kase.kz/ru/investors/gsecs/MTM060_0001" xr:uid="{876666D8-C414-40A6-922D-192A8523E3F9}"/>
    <hyperlink ref="E108" r:id="rId208" display="https://kase.kz/ru/listing/issuers/MFRK" xr:uid="{3E1E44C1-FD41-4CB3-AAFD-18A06673BA14}"/>
    <hyperlink ref="B109" r:id="rId209" display="https://kase.kz/ru/investors/gsecs/MTM072_0001" xr:uid="{E96E7212-2EDE-492C-B179-A8654AAE0EA5}"/>
    <hyperlink ref="E109" r:id="rId210" display="https://kase.kz/ru/listing/issuers/MFRK" xr:uid="{70D82792-165E-4108-839B-EFFFA22D38D8}"/>
    <hyperlink ref="B110" r:id="rId211" display="https://kase.kz/ru/investors/gsecs/MTM084_0001" xr:uid="{7F8D53D9-CAEB-4833-BACB-178591AE3ADC}"/>
    <hyperlink ref="E110" r:id="rId212" display="https://kase.kz/ru/listing/issuers/MFRK" xr:uid="{AFCE058A-930B-4A02-922E-8362E19942EC}"/>
    <hyperlink ref="B111" r:id="rId213" display="https://kase.kz/ru/investors/gsecs/MTM096_0001" xr:uid="{A968579E-00B1-459E-B594-2AEE2861E288}"/>
    <hyperlink ref="E111" r:id="rId214" display="https://kase.kz/ru/listing/issuers/MFRK" xr:uid="{55DA8A25-C32D-4D9B-834D-FA3321E1C50D}"/>
    <hyperlink ref="B112" r:id="rId215" display="https://kase.kz/ru/investors/gsecs/MUJ156_0004" xr:uid="{03375C8D-62F8-4723-A260-82F344B9D247}"/>
    <hyperlink ref="E112" r:id="rId216" display="https://kase.kz/ru/listing/issuers/MFRK" xr:uid="{DE5E5A51-2036-4068-98A3-FFD60719A5D8}"/>
    <hyperlink ref="B113" r:id="rId217" display="https://kase.kz/ru/investors/gsecs/MUJ168_0004" xr:uid="{F8B4490E-5DFF-4CBA-B896-31A58BF39D95}"/>
    <hyperlink ref="E113" r:id="rId218" display="https://kase.kz/ru/listing/issuers/MFRK" xr:uid="{2A92B63A-C982-47B5-90D5-28AF99A5F948}"/>
    <hyperlink ref="B114" r:id="rId219" display="https://kase.kz/ru/investors/gsecs/MUJ168_0005" xr:uid="{DC583FAA-214F-49F1-85F9-15E34F540D73}"/>
    <hyperlink ref="E114" r:id="rId220" display="https://kase.kz/ru/listing/issuers/MFRK" xr:uid="{42601C5B-4C18-4A15-8A77-E60C0EB94BD8}"/>
    <hyperlink ref="B115" r:id="rId221" display="https://kase.kz/ru/investors/gsecs/MUJ180_0008" xr:uid="{A3626FC7-C39F-4EAC-BF9C-3B4A8AEA4DBE}"/>
    <hyperlink ref="E115" r:id="rId222" display="https://kase.kz/ru/listing/issuers/MFRK" xr:uid="{1C74F5AE-BF14-4556-82C8-B6F91CD28C9F}"/>
    <hyperlink ref="B116" r:id="rId223" display="https://kase.kz/ru/investors/gsecs/MUJ192_0003" xr:uid="{E48928B0-B0F5-4065-A931-A1ADE5588E34}"/>
    <hyperlink ref="E116" r:id="rId224" display="https://kase.kz/ru/listing/issuers/MFRK" xr:uid="{BF7E7AD0-925B-4EEE-9EEC-02ADACA09B5A}"/>
    <hyperlink ref="B117" r:id="rId225" display="https://kase.kz/ru/investors/gsecs/MUJ192_0004" xr:uid="{1952C953-6407-4EE1-A014-2141ABB904F4}"/>
    <hyperlink ref="E117" r:id="rId226" display="https://kase.kz/ru/listing/issuers/MFRK" xr:uid="{9BF3E1CB-E38B-4E99-A8A5-4E5A8CAA2968}"/>
    <hyperlink ref="B118" r:id="rId227" display="https://kase.kz/ru/investors/gsecs/MUJ204_0001" xr:uid="{A7CDDEC7-625C-4066-A9BF-D4FEF4B4D755}"/>
    <hyperlink ref="E118" r:id="rId228" display="https://kase.kz/ru/listing/issuers/MFRK" xr:uid="{DB6074FB-838B-4B64-AC41-819857274E97}"/>
    <hyperlink ref="B119" r:id="rId229" display="https://kase.kz/ru/investors/gsecs/MUJ204_0002" xr:uid="{C459BFBA-E202-4330-8EA8-0E90E21082A7}"/>
    <hyperlink ref="E119" r:id="rId230" display="https://kase.kz/ru/listing/issuers/MFRK" xr:uid="{A79D6F7F-23AC-4B44-A577-4FD7D55F965D}"/>
    <hyperlink ref="B120" r:id="rId231" display="https://kase.kz/ru/investors/gsecs/MUJ204_0003" xr:uid="{9842095C-6109-4E1A-BC26-BFE2F99ACD21}"/>
    <hyperlink ref="E120" r:id="rId232" display="https://kase.kz/ru/listing/issuers/MFRK" xr:uid="{D83E27B1-0C7E-4C9F-8E24-E06C6CC37454}"/>
    <hyperlink ref="B121" r:id="rId233" display="https://kase.kz/ru/investors/gsecs/MUJ204_0004" xr:uid="{A77A478D-6650-4262-8A95-414B57CB50F8}"/>
    <hyperlink ref="E121" r:id="rId234" display="https://kase.kz/ru/listing/issuers/MFRK" xr:uid="{B2BF2487-B78E-4280-9CB5-DAF95718883E}"/>
    <hyperlink ref="B122" r:id="rId235" display="https://kase.kz/ru/investors/gsecs/MUJ204_0005" xr:uid="{81984044-4821-42A9-84FD-4B1BF6EF5C1D}"/>
    <hyperlink ref="E122" r:id="rId236" display="https://kase.kz/ru/listing/issuers/MFRK" xr:uid="{12993680-6CB1-4246-A40E-BB2A6C4DB441}"/>
    <hyperlink ref="B123" r:id="rId237" display="https://kase.kz/ru/investors/gsecs/MUJ204_0006" xr:uid="{805E04B1-BF18-42B2-9C8A-B35E2A2D2B67}"/>
    <hyperlink ref="E123" r:id="rId238" display="https://kase.kz/ru/listing/issuers/MFRK" xr:uid="{C2B88C30-C348-4816-9AC3-5032D2DCC5D3}"/>
    <hyperlink ref="B124" r:id="rId239" display="https://kase.kz/ru/investors/gsecs/MUJ216_0001" xr:uid="{4B7CF972-6BA3-4A78-B639-9716F4649BCF}"/>
    <hyperlink ref="E124" r:id="rId240" display="https://kase.kz/ru/listing/issuers/MFRK" xr:uid="{7171B7A6-F3E4-446E-BE9C-F859152A742B}"/>
    <hyperlink ref="B125" r:id="rId241" display="https://kase.kz/ru/investors/gsecs/MUJ216_0002" xr:uid="{BFEFE85E-C1A8-4748-A510-BCF88983E2E6}"/>
    <hyperlink ref="E125" r:id="rId242" display="https://kase.kz/ru/listing/issuers/MFRK" xr:uid="{63364588-4E54-435A-B098-B892D8379825}"/>
    <hyperlink ref="B126" r:id="rId243" display="https://kase.kz/ru/investors/gsecs/MUJ216_0003" xr:uid="{2418B024-E19D-4026-89EF-A4591B8F2BA7}"/>
    <hyperlink ref="E126" r:id="rId244" display="https://kase.kz/ru/listing/issuers/MFRK" xr:uid="{D27C1566-FBA9-464F-87D4-865DA1E98D4F}"/>
    <hyperlink ref="B127" r:id="rId245" display="https://kase.kz/ru/investors/gsecs/MUJ216_0004" xr:uid="{484521FE-7F59-4D23-8DCE-4067F44B7B2F}"/>
    <hyperlink ref="E127" r:id="rId246" display="https://kase.kz/ru/listing/issuers/MFRK" xr:uid="{7F7D26CD-2977-44F6-8A47-D9D027FEF720}"/>
    <hyperlink ref="B128" r:id="rId247" display="https://kase.kz/ru/investors/gsecs/MUJ216_0005" xr:uid="{0271E194-0BB6-411A-95D2-347A87DB1DC3}"/>
    <hyperlink ref="E128" r:id="rId248" display="https://kase.kz/ru/listing/issuers/MFRK" xr:uid="{A4D9C8FB-8F02-41B3-BCC2-DED2898D09C1}"/>
    <hyperlink ref="B129" r:id="rId249" display="https://kase.kz/ru/investors/gsecs/MUJ228_0001" xr:uid="{67FDC2B3-7F85-42CD-8578-A0D860B92DC4}"/>
    <hyperlink ref="E129" r:id="rId250" display="https://kase.kz/ru/listing/issuers/MFRK" xr:uid="{2ADA0545-2881-47E5-8C64-8638F8B65B7B}"/>
    <hyperlink ref="B130" r:id="rId251" display="https://kase.kz/ru/investors/gsecs/MUJ228_0002" xr:uid="{71028809-EC32-4C1B-AA44-1AB8A6FD3B18}"/>
    <hyperlink ref="E130" r:id="rId252" display="https://kase.kz/ru/listing/issuers/MFRK" xr:uid="{E28C82CE-2106-4FD4-847E-DA420B8F277B}"/>
    <hyperlink ref="B131" r:id="rId253" display="https://kase.kz/ru/investors/gsecs/MUJ228_0003" xr:uid="{BCECD083-FA45-4823-9944-90421F078524}"/>
    <hyperlink ref="E131" r:id="rId254" display="https://kase.kz/ru/listing/issuers/MFRK" xr:uid="{2CF9F2B5-4A6D-495A-BCDB-B9BCB1D8A885}"/>
    <hyperlink ref="B132" r:id="rId255" display="https://kase.kz/ru/investors/gsecs/MUJ228_0004" xr:uid="{63F40B37-6791-48D2-BF05-F44C2A958165}"/>
    <hyperlink ref="E132" r:id="rId256" display="https://kase.kz/ru/listing/issuers/MFRK" xr:uid="{F8001919-B4E6-4DB9-BED0-672F81D3F36E}"/>
    <hyperlink ref="B133" r:id="rId257" display="https://kase.kz/ru/investors/gsecs/MUJ228_0005" xr:uid="{216887DC-2D26-4784-83BD-820E4CAE532F}"/>
    <hyperlink ref="E133" r:id="rId258" display="https://kase.kz/ru/listing/issuers/MFRK" xr:uid="{9AE68D0E-8F78-4334-BD92-35451FF8F0DC}"/>
    <hyperlink ref="B134" r:id="rId259" display="https://kase.kz/ru/investors/gsecs/MUJ228_0006" xr:uid="{D0AE3CD3-8116-4622-91E9-CDF96187CCF0}"/>
    <hyperlink ref="E134" r:id="rId260" display="https://kase.kz/ru/listing/issuers/MFRK" xr:uid="{34C30341-BABD-4311-ACEF-45B06F5D06A7}"/>
    <hyperlink ref="B135" r:id="rId261" display="https://kase.kz/ru/investors/gsecs/MUJ240_0001" xr:uid="{B277092E-07F5-4A3A-A4AF-87723C2E8C26}"/>
    <hyperlink ref="E135" r:id="rId262" display="https://kase.kz/ru/listing/issuers/MFRK" xr:uid="{57024BD9-828A-4AC7-896F-9E913351FFAD}"/>
    <hyperlink ref="B136" r:id="rId263" display="https://kase.kz/ru/investors/gsecs/MUM072_0013" xr:uid="{47D79F63-162A-498C-A45F-0FDE74E598DD}"/>
    <hyperlink ref="E136" r:id="rId264" display="https://kase.kz/ru/listing/issuers/MFRK" xr:uid="{B224194A-127B-4301-A38A-03ACB74B795F}"/>
    <hyperlink ref="B137" r:id="rId265" display="https://kase.kz/ru/investors/gsecs/MUM072_0014" xr:uid="{5350C561-E050-474D-9E75-5E10CEDFCF2C}"/>
    <hyperlink ref="E137" r:id="rId266" display="https://kase.kz/ru/listing/issuers/MFRK" xr:uid="{93A4E848-4BDC-405D-B4A2-A238D6BC36D5}"/>
    <hyperlink ref="B138" r:id="rId267" display="https://kase.kz/ru/investors/gsecs/MUM072_0015" xr:uid="{342328D9-7128-438D-B53D-5B4762F97799}"/>
    <hyperlink ref="E138" r:id="rId268" display="https://kase.kz/ru/listing/issuers/MFRK" xr:uid="{1B302099-FD15-490E-836C-890D1DEA4C35}"/>
    <hyperlink ref="B139" r:id="rId269" display="https://kase.kz/ru/investors/gsecs/MUM084_0018" xr:uid="{4962A6E6-6B94-404A-99F5-80F12AB644FE}"/>
    <hyperlink ref="E139" r:id="rId270" display="https://kase.kz/ru/listing/issuers/MFRK" xr:uid="{76B73F1E-BA8D-49C2-BC2D-9C78896AC010}"/>
    <hyperlink ref="B140" r:id="rId271" display="https://kase.kz/ru/investors/gsecs/MUM084_0019" xr:uid="{7F53B932-F7A8-449C-BE3B-4D9E4FAFFCE3}"/>
    <hyperlink ref="E140" r:id="rId272" display="https://kase.kz/ru/listing/issuers/MFRK" xr:uid="{C06CD0A4-3D4E-4147-A0C9-F2779B081577}"/>
    <hyperlink ref="B141" r:id="rId273" display="https://kase.kz/ru/investors/gsecs/MUM084_0020" xr:uid="{C25116CB-E92C-4486-9CAA-68B711B83B07}"/>
    <hyperlink ref="E141" r:id="rId274" display="https://kase.kz/ru/listing/issuers/MFRK" xr:uid="{AE7793D0-53D7-41AF-A7DF-14F4D060298C}"/>
    <hyperlink ref="B142" r:id="rId275" display="https://kase.kz/ru/investors/gsecs/MUM096_0011" xr:uid="{74984C06-D8A8-4BD3-8671-B962EC0FDF9E}"/>
    <hyperlink ref="E142" r:id="rId276" display="https://kase.kz/ru/listing/issuers/MFRK" xr:uid="{31DBA447-C019-4412-B40A-1FB052C94F98}"/>
    <hyperlink ref="B143" r:id="rId277" display="https://kase.kz/ru/investors/gsecs/MUM096_0012" xr:uid="{7DBD2453-556A-4682-83D9-8E11D1D6E140}"/>
    <hyperlink ref="E143" r:id="rId278" display="https://kase.kz/ru/listing/issuers/MFRK" xr:uid="{D6FCA4DC-E395-44C4-9164-99E0421375CC}"/>
    <hyperlink ref="B144" r:id="rId279" display="https://kase.kz/ru/investors/gsecs/MUM096_0013" xr:uid="{2F997030-C0F9-4B82-9AFE-25DFCA766266}"/>
    <hyperlink ref="E144" r:id="rId280" display="https://kase.kz/ru/listing/issuers/MFRK" xr:uid="{03E8F645-B9E8-4B52-828E-31781E284E17}"/>
    <hyperlink ref="B145" r:id="rId281" display="https://kase.kz/ru/investors/gsecs/MUM096_0014" xr:uid="{FA487927-4329-4AD4-ADA7-0381CCE2EB9F}"/>
    <hyperlink ref="E145" r:id="rId282" display="https://kase.kz/ru/listing/issuers/MFRK" xr:uid="{42F59E24-79F4-4C09-916A-4C01ACF45E68}"/>
    <hyperlink ref="B146" r:id="rId283" display="https://kase.kz/ru/investors/gsecs/MUM096_0015" xr:uid="{567589D7-1AA7-4510-BE7E-D38548EFCA50}"/>
    <hyperlink ref="E146" r:id="rId284" display="https://kase.kz/ru/listing/issuers/MFRK" xr:uid="{E0418764-FFD5-4E4F-8A0C-9A0AE98F1926}"/>
    <hyperlink ref="B147" r:id="rId285" display="https://kase.kz/ru/investors/gsecs/MUM108_0012" xr:uid="{E68F5527-74D5-4DED-8EB5-C47C5E18E1B1}"/>
    <hyperlink ref="E147" r:id="rId286" display="https://kase.kz/ru/listing/issuers/MFRK" xr:uid="{4891D5B3-7A79-46C9-8164-C7DF350009DA}"/>
    <hyperlink ref="B148" r:id="rId287" display="https://kase.kz/ru/investors/gsecs/MUM108_0013" xr:uid="{93026F26-ACFF-4172-BBE4-645D99683212}"/>
    <hyperlink ref="E148" r:id="rId288" display="https://kase.kz/ru/listing/issuers/MFRK" xr:uid="{E45E08B3-CCDC-4731-90D9-DDDD4B032FE9}"/>
    <hyperlink ref="B149" r:id="rId289" display="https://kase.kz/ru/investors/gsecs/MUM108_0014" xr:uid="{DB2EC651-67C1-4AA5-AD01-5499F43A36C5}"/>
    <hyperlink ref="E149" r:id="rId290" display="https://kase.kz/ru/listing/issuers/MFRK" xr:uid="{F5855497-D6D5-442C-9968-10FF64D7C520}"/>
    <hyperlink ref="B150" r:id="rId291" display="https://kase.kz/ru/investors/gsecs/MUM108_0015" xr:uid="{BAFB67B3-DFD4-4638-B025-EB08FC91C0E8}"/>
    <hyperlink ref="E150" r:id="rId292" display="https://kase.kz/ru/listing/issuers/MFRK" xr:uid="{3908C031-3DE6-421F-BCAD-065368EF1F80}"/>
    <hyperlink ref="B151" r:id="rId293" display="https://kase.kz/ru/investors/gsecs/MUM120_0017" xr:uid="{D46DADBC-FB33-4779-81B3-833AC39C5C01}"/>
    <hyperlink ref="E151" r:id="rId294" display="https://kase.kz/ru/listing/issuers/MFRK" xr:uid="{933001AA-9549-4DCB-80AA-A99C6A299DFA}"/>
    <hyperlink ref="B152" r:id="rId295" display="https://kase.kz/ru/investors/gsecs/MUM120_0018" xr:uid="{2C8B640C-4BA9-4763-8FF6-1EF349E12424}"/>
    <hyperlink ref="E152" r:id="rId296" display="https://kase.kz/ru/listing/issuers/MFRK" xr:uid="{A5871AE4-1BAA-416D-BEF9-CEE5EDFE91A9}"/>
    <hyperlink ref="B153" r:id="rId297" display="https://kase.kz/ru/investors/gsecs/MUM120_0019" xr:uid="{33DA9BE0-C8F7-4658-B48D-FC2668F394E5}"/>
    <hyperlink ref="E153" r:id="rId298" display="https://kase.kz/ru/listing/issuers/MFRK" xr:uid="{1271C318-08EB-48F7-955A-9E4C5462165F}"/>
    <hyperlink ref="B154" r:id="rId299" display="https://kase.kz/ru/investors/gsecs/MUM120_0020" xr:uid="{58FE953C-8DBB-4206-8802-33FCE8F4D320}"/>
    <hyperlink ref="E154" r:id="rId300" display="https://kase.kz/ru/listing/issuers/MFRK" xr:uid="{8F30FB24-5589-4205-B5D1-D5D9D86D562D}"/>
    <hyperlink ref="B155" r:id="rId301" display="https://kase.kz/ru/investors/gsecs/MUM132_0007" xr:uid="{ECE2E02E-AF13-4C6F-BA2D-920F3530EBCA}"/>
    <hyperlink ref="E155" r:id="rId302" display="https://kase.kz/ru/listing/issuers/MFRK" xr:uid="{D8848554-AB9D-4F41-9FAA-36803C7FC130}"/>
    <hyperlink ref="B156" r:id="rId303" display="https://kase.kz/ru/investors/gsecs/MUM144_0009" xr:uid="{9D5FBBE2-2310-4045-8372-74E2FABFAFB9}"/>
    <hyperlink ref="E156" r:id="rId304" display="https://kase.kz/ru/listing/issuers/MFRK" xr:uid="{D9AB99D1-020F-48F5-9897-A4E6069D5042}"/>
    <hyperlink ref="B157" r:id="rId305" display="https://kase.kz/ru/investors/gsecs/MUM156_0005" xr:uid="{BAD824E7-7A76-4A0B-B25D-762B3C081442}"/>
    <hyperlink ref="E157" r:id="rId306" display="https://kase.kz/ru/listing/issuers/MFRK" xr:uid="{2B384315-2CBF-4875-90C4-ED5764AEBDF8}"/>
    <hyperlink ref="B158" r:id="rId307" display="https://kase.kz/ru/investors/gsecs/MUM156_0006" xr:uid="{8EF2D920-10A3-4291-AEB6-482B1276B159}"/>
    <hyperlink ref="E158" r:id="rId308" display="https://kase.kz/ru/listing/issuers/MFRK" xr:uid="{5E81A8A6-DE59-4028-9146-169521206BD6}"/>
    <hyperlink ref="B159" r:id="rId309" display="https://kase.kz/ru/investors/gsecs/MUM156_0007" xr:uid="{28CFECE8-5917-41EC-BCD6-6AA60FB1D979}"/>
    <hyperlink ref="E159" r:id="rId310" display="https://kase.kz/ru/listing/issuers/MFRK" xr:uid="{1A919AEE-8FE4-43CC-8527-F1C5AE49AD75}"/>
    <hyperlink ref="B160" r:id="rId311" display="https://kase.kz/ru/investors/gsecs/MUM156_0008" xr:uid="{1145A71E-F5B3-4B42-A856-91C3E8B75F57}"/>
    <hyperlink ref="E160" r:id="rId312" display="https://kase.kz/ru/listing/issuers/MFRK" xr:uid="{9039B355-BB53-4026-872F-B151992D05C7}"/>
    <hyperlink ref="B161" r:id="rId313" display="https://kase.kz/ru/investors/gsecs/MUM168_0003" xr:uid="{759EA5FE-3DC7-4CAD-9B91-7FDAA6C5EEF3}"/>
    <hyperlink ref="E161" r:id="rId314" display="https://kase.kz/ru/listing/issuers/MFRK" xr:uid="{9E0C764F-B955-4D8D-8FBA-BFEF4D8E206E}"/>
    <hyperlink ref="B162" r:id="rId315" display="https://kase.kz/ru/investors/gsecs/MUM168_0005" xr:uid="{7CCD0AB2-D917-49F7-B140-5722F44CF738}"/>
    <hyperlink ref="E162" r:id="rId316" display="https://kase.kz/ru/listing/issuers/MFRK" xr:uid="{82CBFFF2-DC95-490E-B203-603008DC48E0}"/>
    <hyperlink ref="B163" r:id="rId317" display="https://kase.kz/ru/investors/gsecs/MUM180_0004" xr:uid="{1C33789F-182A-45DE-9167-70D94C7ABBA6}"/>
    <hyperlink ref="E163" r:id="rId318" display="https://kase.kz/ru/listing/issuers/MFRK" xr:uid="{EB935C70-A18D-4D74-9409-35DEB9298608}"/>
    <hyperlink ref="B164" r:id="rId319" display="https://kase.kz/ru/investors/gsecs/MUM180_0005" xr:uid="{91DC92A2-3628-4C81-8DD3-62F5CA568357}"/>
    <hyperlink ref="E164" r:id="rId320" display="https://kase.kz/ru/listing/issuers/MFRK" xr:uid="{805D2D79-F567-4757-93C6-59E77856684F}"/>
    <hyperlink ref="B165" r:id="rId321" display="https://kase.kz/ru/investors/gsecs/MUM180_0006" xr:uid="{AE0C0400-944C-4874-8ECA-919C0D62C2EE}"/>
    <hyperlink ref="E165" r:id="rId322" display="https://kase.kz/ru/listing/issuers/MFRK" xr:uid="{E0B7D06E-1CFD-4FBD-B16E-C675E2029E5E}"/>
    <hyperlink ref="B166" r:id="rId323" display="https://kase.kz/ru/investors/gsecs/MUM180_0007" xr:uid="{D1E41101-7CE0-4D27-A21D-81BF7DEACA43}"/>
    <hyperlink ref="E166" r:id="rId324" display="https://kase.kz/ru/listing/issuers/MFRK" xr:uid="{D5EA39F1-2D70-4FFF-B8A0-88615EDD8E26}"/>
    <hyperlink ref="B167" r:id="rId325" display="https://kase.kz/ru/investors/gsecs/MUM180_0008" xr:uid="{48FA5055-374C-4FE4-A2F3-BAADB33021F7}"/>
    <hyperlink ref="E167" r:id="rId326" display="https://kase.kz/ru/listing/issuers/MFRK" xr:uid="{A65ADBC7-1C92-4A9A-AD28-C7B5C5E2CB68}"/>
    <hyperlink ref="B168" r:id="rId327" display="https://kase.kz/ru/investors/gsecs/MUM180_0009" xr:uid="{50B771A5-7BE6-4641-B23C-0C227FF2A0C3}"/>
    <hyperlink ref="E168" r:id="rId328" display="https://kase.kz/ru/listing/issuers/MFRK" xr:uid="{30EF8F9F-FD10-44F2-A6CB-D0F4E1CA174F}"/>
    <hyperlink ref="B169" r:id="rId329" display="https://kase.kz/ru/investors/gsecs/MUM180_0011" xr:uid="{2B871720-A473-4A05-9312-F216F822C6EC}"/>
    <hyperlink ref="E169" r:id="rId330" display="https://kase.kz/ru/listing/issuers/MFRK" xr:uid="{63A240DA-01E4-456B-AF89-0AD3A1A59D06}"/>
    <hyperlink ref="B170" r:id="rId331" display="https://kase.kz/ru/investors/gsecs/MUM180_0012" xr:uid="{18C88906-C18F-47D4-A6E4-BB719355D6D7}"/>
    <hyperlink ref="E170" r:id="rId332" display="https://kase.kz/ru/listing/issuers/MFRK" xr:uid="{C11843AD-2045-442A-90F7-5EB65E4D3282}"/>
    <hyperlink ref="B171" r:id="rId333" display="https://kase.kz/ru/investors/gsecs/MUM180_0013" xr:uid="{FF3CED05-09D2-48D8-AE83-787B4E2DE190}"/>
    <hyperlink ref="E171" r:id="rId334" display="https://kase.kz/ru/listing/issuers/MFRK" xr:uid="{5EDFBE77-D942-47FD-9BD4-3BFFFB5C8025}"/>
    <hyperlink ref="B172" r:id="rId335" display="https://kase.kz/ru/investors/gsecs/MUM180_0014" xr:uid="{9686957C-5B3C-4242-8E04-7A337A60FFC4}"/>
    <hyperlink ref="E172" r:id="rId336" display="https://kase.kz/ru/listing/issuers/MFRK" xr:uid="{D6217FA9-AA18-4445-A490-86F242FBE656}"/>
    <hyperlink ref="B173" r:id="rId337" display="https://kase.kz/ru/investors/gsecs/MUM180_0015" xr:uid="{7369BB6E-97B5-4E12-A47C-4206C1F75ECE}"/>
    <hyperlink ref="E173" r:id="rId338" display="https://kase.kz/ru/listing/issuers/MFRK" xr:uid="{A8183873-231B-4A09-B3FB-2DF7B836AE2E}"/>
    <hyperlink ref="B174" r:id="rId339" display="https://kase.kz/ru/investors/gsecs/MUM180_0016" xr:uid="{50810831-D9E5-4ABA-9E75-0CCDF43C76F5}"/>
    <hyperlink ref="E174" r:id="rId340" display="https://kase.kz/ru/listing/issuers/MFRK" xr:uid="{12DE7BE8-2614-4A6B-A4B8-4BDDF26BF48A}"/>
    <hyperlink ref="B175" r:id="rId341" display="https://kase.kz/ru/investors/gsecs/MUM192_0001" xr:uid="{4D7FCDE6-CBCE-4961-9AAE-73152EDA4E3B}"/>
    <hyperlink ref="E175" r:id="rId342" display="https://kase.kz/ru/listing/issuers/MFRK" xr:uid="{C3ED6033-8D0A-4761-A3B1-732DC9F364AB}"/>
    <hyperlink ref="B176" r:id="rId343" display="https://kase.kz/ru/investors/gsecs/MUM192_0002" xr:uid="{BA8555BD-A542-4FE5-93CA-D62ACE728538}"/>
    <hyperlink ref="E176" r:id="rId344" display="https://kase.kz/ru/listing/issuers/MFRK" xr:uid="{F23F117F-FAFC-48AF-A3A1-050335654BCE}"/>
    <hyperlink ref="B177" r:id="rId345" display="https://kase.kz/ru/investors/gsecs/MUM192_0003" xr:uid="{F31504A1-D9F5-49B2-8CB0-BAE394D7FE97}"/>
    <hyperlink ref="E177" r:id="rId346" display="https://kase.kz/ru/listing/issuers/MFRK" xr:uid="{02774F71-F932-4DEE-B4BB-2198D38C7970}"/>
    <hyperlink ref="B178" r:id="rId347" display="https://kase.kz/ru/investors/gsecs/MUM216_0001" xr:uid="{E449806F-6369-4443-9B86-3D7C145240DB}"/>
    <hyperlink ref="E178" r:id="rId348" display="https://kase.kz/ru/listing/issuers/MFRK" xr:uid="{910AC520-D89F-452E-B6F4-953043E3F704}"/>
    <hyperlink ref="B179" r:id="rId349" display="https://kase.kz/ru/investors/gsecs/MUM216_0002" xr:uid="{49542E57-60B8-44D6-B5A4-240CC9D13A2E}"/>
    <hyperlink ref="E179" r:id="rId350" display="https://kase.kz/ru/listing/issuers/MFRK" xr:uid="{C1FC9FB9-3ABE-4F0E-8247-4A110CC85E80}"/>
    <hyperlink ref="B180" r:id="rId351" display="https://kase.kz/ru/investors/gsecs/MUM240_0001" xr:uid="{CFBF043B-DD2F-4E5E-BA6C-78E80E192E46}"/>
    <hyperlink ref="E180" r:id="rId352" display="https://kase.kz/ru/listing/issuers/MFRK" xr:uid="{C5C08E9E-A404-4D02-8C28-E65A232AEA03}"/>
    <hyperlink ref="B181" r:id="rId353" display="https://kase.kz/ru/investors/gsecs/MUM240_0002" xr:uid="{51228EF0-C879-4783-AE58-D5E9DCA51176}"/>
    <hyperlink ref="E181" r:id="rId354" display="https://kase.kz/ru/listing/issuers/MFRK" xr:uid="{92EABD0D-EDC5-420C-A354-9F0003262699}"/>
    <hyperlink ref="B182" r:id="rId355" display="https://kase.kz/ru/investors/gsecs/MUM240_0004" xr:uid="{35E35572-8A2A-493E-87A8-F8A9F5983EB8}"/>
    <hyperlink ref="E182" r:id="rId356" display="https://kase.kz/ru/listing/issuers/MFRK" xr:uid="{1A41DD6C-CD77-4B71-9274-BE5BE41D00F0}"/>
    <hyperlink ref="B183" r:id="rId357" display="https://kase.kz/ru/investors/gsecs/MUM300_0001" xr:uid="{581D78FB-8B28-43EA-98A2-DACD598C5D72}"/>
    <hyperlink ref="E183" r:id="rId358" display="https://kase.kz/ru/listing/issuers/MFRK" xr:uid="{1C394AB0-8B59-4926-B621-8B1F985D07A1}"/>
    <hyperlink ref="B184" r:id="rId359" display="https://kase.kz/ru/investors/gsecs/MUM300_0002" xr:uid="{C77D47B2-D35E-4466-B2B0-1851C853DF9C}"/>
    <hyperlink ref="E184" r:id="rId360" display="https://kase.kz/ru/listing/issuers/MFRK" xr:uid="{F52A4C57-B1D8-490B-BE21-7AE69B8EFA93}"/>
    <hyperlink ref="B185" r:id="rId361" display="https://kase.kz/ru/investors/gsecs/MUM300_0003" xr:uid="{DB45889F-1EDD-4556-8295-24F396366FF4}"/>
    <hyperlink ref="E185" r:id="rId362" display="https://kase.kz/ru/listing/issuers/MFRK" xr:uid="{56990823-3005-495F-98EF-3C3EB0F780BF}"/>
    <hyperlink ref="B186" r:id="rId363" display="https://kase.kz/ru/investors/gsecs/MUM360_0001" xr:uid="{104C8B80-7A9A-43E2-B476-046BE37A5096}"/>
    <hyperlink ref="E186" r:id="rId364" display="https://kase.kz/ru/listing/issuers/MFRK" xr:uid="{55E28272-5337-439E-8BEB-7DC288DE75FE}"/>
    <hyperlink ref="B187" r:id="rId365" display="https://kase.kz/ru/investors/gsecs/MUX072_0003" xr:uid="{B4AA75DC-C4B9-45CA-B53E-6D3008CA07D3}"/>
    <hyperlink ref="E187" r:id="rId366" display="https://kase.kz/ru/listing/issuers/MFRK" xr:uid="{48091860-09CC-468B-9FE3-B86AC5601BCC}"/>
    <hyperlink ref="B188" r:id="rId367" display="https://kase.kz/ru/investors/bonds/NCOMb7" xr:uid="{77428397-8236-49AD-852B-449803AEAC27}"/>
    <hyperlink ref="E188" r:id="rId368" display="https://kase.kz/ru/listing/issuers/NCOM" xr:uid="{779D825B-A7D3-4B8C-8934-4CB2DD821FAF}"/>
    <hyperlink ref="B189" r:id="rId369" display="https://kase.kz/ru/investors/gsecs/NTK028_2869" xr:uid="{3C57E326-E67B-45FB-83C3-BED97D1A156C}"/>
    <hyperlink ref="E189" r:id="rId370" display="https://kase.kz/ru/listing/issuers/NBRK" xr:uid="{9D386C0F-6775-4C96-920E-5B026432AACF}"/>
    <hyperlink ref="B190" r:id="rId371" display="https://kase.kz/ru/investors/bonds/PRKRe1" xr:uid="{0652C99C-3257-4225-835D-A2ABD6157D58}"/>
    <hyperlink ref="E190" r:id="rId372" display="https://kase.kz/ru/listing/issuers/PRKR" xr:uid="{28928525-F84C-4A0E-98B5-658ABD19AB3B}"/>
    <hyperlink ref="B191" r:id="rId373" display="https://kase.kz/ru/investors/bonds/SKKZe1" xr:uid="{57C0B838-9695-46E5-9D4C-6C8CA515620C}"/>
    <hyperlink ref="E191" r:id="rId374" display="https://kase.kz/ru/listing/issuers/SKKZ" xr:uid="{64DC83E3-FF98-488C-B768-96E494351F73}"/>
    <hyperlink ref="B192" r:id="rId375" display="https://kase.kz/ru/investors/bonds/UZPAb1" xr:uid="{69C45793-BFB6-435D-B661-482A8FD70CEB}"/>
    <hyperlink ref="E192" r:id="rId376" display="https://kase.kz/ru/listing/issuers/UZPA" xr:uid="{EDAA3984-B848-419C-9C4E-F333A9BC117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5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13">
        <v>45996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420</v>
      </c>
      <c r="C3" s="106" t="s">
        <v>0</v>
      </c>
      <c r="D3" s="106" t="s">
        <v>2063</v>
      </c>
      <c r="E3" s="106" t="s">
        <v>421</v>
      </c>
      <c r="F3" s="106" t="s">
        <v>422</v>
      </c>
      <c r="G3" s="106" t="s">
        <v>423</v>
      </c>
      <c r="H3" s="106" t="s">
        <v>1919</v>
      </c>
      <c r="I3" s="106" t="s">
        <v>424</v>
      </c>
      <c r="J3" s="106" t="s">
        <v>18</v>
      </c>
    </row>
    <row r="4" spans="1:10" x14ac:dyDescent="0.25">
      <c r="A4" s="114">
        <v>1</v>
      </c>
      <c r="B4" s="115" t="s">
        <v>425</v>
      </c>
      <c r="C4" s="116" t="s">
        <v>426</v>
      </c>
      <c r="D4" s="116" t="s">
        <v>427</v>
      </c>
      <c r="E4" s="116" t="s">
        <v>428</v>
      </c>
      <c r="F4" s="117">
        <v>100</v>
      </c>
      <c r="G4" s="116">
        <v>100</v>
      </c>
      <c r="H4" s="116">
        <v>0</v>
      </c>
      <c r="I4" s="116">
        <v>0</v>
      </c>
      <c r="J4" s="116" t="s">
        <v>232</v>
      </c>
    </row>
    <row r="5" spans="1:10" x14ac:dyDescent="0.25">
      <c r="A5" s="118">
        <v>2</v>
      </c>
      <c r="B5" s="115" t="s">
        <v>429</v>
      </c>
      <c r="C5" s="116" t="s">
        <v>430</v>
      </c>
      <c r="D5" s="116" t="s">
        <v>427</v>
      </c>
      <c r="E5" s="116" t="s">
        <v>431</v>
      </c>
      <c r="F5" s="119">
        <v>7369.8290500000003</v>
      </c>
      <c r="G5" s="117">
        <v>7369.8290500000003</v>
      </c>
      <c r="H5" s="117">
        <v>0</v>
      </c>
      <c r="I5" s="114">
        <v>0</v>
      </c>
      <c r="J5" s="116" t="s">
        <v>232</v>
      </c>
    </row>
    <row r="6" spans="1:10" x14ac:dyDescent="0.25">
      <c r="A6" s="118">
        <v>3</v>
      </c>
      <c r="B6" s="115" t="s">
        <v>432</v>
      </c>
      <c r="C6" s="116" t="s">
        <v>433</v>
      </c>
      <c r="D6" s="116" t="s">
        <v>427</v>
      </c>
      <c r="E6" s="116" t="s">
        <v>434</v>
      </c>
      <c r="F6" s="120">
        <v>143480.80739999999</v>
      </c>
      <c r="G6" s="121">
        <v>143480.80739999999</v>
      </c>
      <c r="H6" s="119">
        <v>0</v>
      </c>
      <c r="I6" s="122">
        <v>0</v>
      </c>
      <c r="J6" s="116" t="s">
        <v>232</v>
      </c>
    </row>
    <row r="7" spans="1:10" x14ac:dyDescent="0.25">
      <c r="A7" s="118">
        <v>4</v>
      </c>
      <c r="B7" s="115" t="s">
        <v>435</v>
      </c>
      <c r="C7" s="116" t="s">
        <v>436</v>
      </c>
      <c r="D7" s="116" t="s">
        <v>437</v>
      </c>
      <c r="E7" s="116" t="s">
        <v>438</v>
      </c>
      <c r="F7" s="119">
        <v>100</v>
      </c>
      <c r="G7" s="117">
        <v>100.2479</v>
      </c>
      <c r="H7" s="117">
        <v>4.24</v>
      </c>
      <c r="I7" s="114">
        <v>279</v>
      </c>
      <c r="J7" s="116" t="s">
        <v>263</v>
      </c>
    </row>
    <row r="8" spans="1:10" x14ac:dyDescent="0.25">
      <c r="A8" s="118">
        <v>5</v>
      </c>
      <c r="B8" s="115" t="s">
        <v>439</v>
      </c>
      <c r="C8" s="116" t="s">
        <v>440</v>
      </c>
      <c r="D8" s="116" t="s">
        <v>437</v>
      </c>
      <c r="E8" s="116" t="s">
        <v>438</v>
      </c>
      <c r="F8" s="119">
        <v>100</v>
      </c>
      <c r="G8" s="117">
        <v>100.0068</v>
      </c>
      <c r="H8" s="117">
        <v>0.35</v>
      </c>
      <c r="I8" s="114">
        <v>173</v>
      </c>
      <c r="J8" s="116" t="s">
        <v>263</v>
      </c>
    </row>
    <row r="9" spans="1:10" x14ac:dyDescent="0.25">
      <c r="A9" s="118">
        <v>6</v>
      </c>
      <c r="B9" s="115" t="s">
        <v>441</v>
      </c>
      <c r="C9" s="116" t="s">
        <v>442</v>
      </c>
      <c r="D9" s="116" t="s">
        <v>437</v>
      </c>
      <c r="E9" s="116" t="s">
        <v>438</v>
      </c>
      <c r="F9" s="120">
        <v>100</v>
      </c>
      <c r="G9" s="121">
        <v>100.0038</v>
      </c>
      <c r="H9" s="119">
        <v>0.02</v>
      </c>
      <c r="I9" s="122">
        <v>2995</v>
      </c>
      <c r="J9" s="116" t="s">
        <v>263</v>
      </c>
    </row>
    <row r="10" spans="1:10" x14ac:dyDescent="0.25">
      <c r="A10" s="118">
        <v>7</v>
      </c>
      <c r="B10" s="115" t="s">
        <v>443</v>
      </c>
      <c r="C10" s="116" t="s">
        <v>444</v>
      </c>
      <c r="D10" s="116" t="s">
        <v>437</v>
      </c>
      <c r="E10" s="116" t="s">
        <v>438</v>
      </c>
      <c r="F10" s="120">
        <v>100</v>
      </c>
      <c r="G10" s="121">
        <v>102.7111</v>
      </c>
      <c r="H10" s="119">
        <v>6.08</v>
      </c>
      <c r="I10" s="122">
        <v>1610</v>
      </c>
      <c r="J10" s="116" t="s">
        <v>263</v>
      </c>
    </row>
    <row r="11" spans="1:10" x14ac:dyDescent="0.25">
      <c r="A11" s="118">
        <v>8</v>
      </c>
      <c r="B11" s="115" t="s">
        <v>445</v>
      </c>
      <c r="C11" s="116" t="s">
        <v>446</v>
      </c>
      <c r="D11" s="116" t="s">
        <v>437</v>
      </c>
      <c r="E11" s="116" t="s">
        <v>438</v>
      </c>
      <c r="F11" s="120">
        <v>100</v>
      </c>
      <c r="G11" s="121">
        <v>100.74939999999999</v>
      </c>
      <c r="H11" s="119">
        <v>7.08</v>
      </c>
      <c r="I11" s="122">
        <v>2092</v>
      </c>
      <c r="J11" s="116" t="s">
        <v>263</v>
      </c>
    </row>
    <row r="12" spans="1:10" x14ac:dyDescent="0.25">
      <c r="A12" s="118">
        <v>9</v>
      </c>
      <c r="B12" s="115" t="s">
        <v>2489</v>
      </c>
      <c r="C12" s="116" t="s">
        <v>2490</v>
      </c>
      <c r="D12" s="116" t="s">
        <v>437</v>
      </c>
      <c r="E12" s="116" t="s">
        <v>438</v>
      </c>
      <c r="F12" s="120">
        <v>96.661158866675223</v>
      </c>
      <c r="G12" s="121">
        <v>98.498658866675214</v>
      </c>
      <c r="H12" s="119">
        <v>19.66</v>
      </c>
      <c r="I12" s="122">
        <v>3565</v>
      </c>
      <c r="J12" s="116" t="s">
        <v>263</v>
      </c>
    </row>
    <row r="13" spans="1:10" x14ac:dyDescent="0.25">
      <c r="A13" s="118">
        <v>10</v>
      </c>
      <c r="B13" s="115" t="s">
        <v>447</v>
      </c>
      <c r="C13" s="116" t="s">
        <v>448</v>
      </c>
      <c r="D13" s="116" t="s">
        <v>437</v>
      </c>
      <c r="E13" s="116" t="s">
        <v>438</v>
      </c>
      <c r="F13" s="120">
        <v>100</v>
      </c>
      <c r="G13" s="121">
        <v>101.88079999999999</v>
      </c>
      <c r="H13" s="119">
        <v>6.08</v>
      </c>
      <c r="I13" s="122">
        <v>2019</v>
      </c>
      <c r="J13" s="116" t="s">
        <v>263</v>
      </c>
    </row>
    <row r="14" spans="1:10" x14ac:dyDescent="0.25">
      <c r="A14" s="118">
        <v>11</v>
      </c>
      <c r="B14" s="115" t="s">
        <v>449</v>
      </c>
      <c r="C14" s="116" t="s">
        <v>450</v>
      </c>
      <c r="D14" s="116" t="s">
        <v>437</v>
      </c>
      <c r="E14" s="116" t="s">
        <v>438</v>
      </c>
      <c r="F14" s="120">
        <v>100</v>
      </c>
      <c r="G14" s="121">
        <v>100.7286</v>
      </c>
      <c r="H14" s="119">
        <v>6.09</v>
      </c>
      <c r="I14" s="122">
        <v>2447</v>
      </c>
      <c r="J14" s="116" t="s">
        <v>263</v>
      </c>
    </row>
    <row r="15" spans="1:10" x14ac:dyDescent="0.25">
      <c r="A15" s="118">
        <v>12</v>
      </c>
      <c r="B15" s="115" t="s">
        <v>451</v>
      </c>
      <c r="C15" s="116" t="s">
        <v>452</v>
      </c>
      <c r="D15" s="116" t="s">
        <v>437</v>
      </c>
      <c r="E15" s="116" t="s">
        <v>438</v>
      </c>
      <c r="F15" s="119">
        <v>100</v>
      </c>
      <c r="G15" s="117">
        <v>100.7286</v>
      </c>
      <c r="H15" s="117">
        <v>6.09</v>
      </c>
      <c r="I15" s="114">
        <v>2447</v>
      </c>
      <c r="J15" s="116" t="s">
        <v>263</v>
      </c>
    </row>
    <row r="16" spans="1:10" x14ac:dyDescent="0.25">
      <c r="A16" s="118">
        <v>13</v>
      </c>
      <c r="B16" s="115" t="s">
        <v>453</v>
      </c>
      <c r="C16" s="116" t="s">
        <v>454</v>
      </c>
      <c r="D16" s="116" t="s">
        <v>427</v>
      </c>
      <c r="E16" s="116" t="s">
        <v>455</v>
      </c>
      <c r="F16" s="119">
        <v>63149.418449999997</v>
      </c>
      <c r="G16" s="117">
        <v>63149.418449999997</v>
      </c>
      <c r="H16" s="117">
        <v>0</v>
      </c>
      <c r="I16" s="114">
        <v>0</v>
      </c>
      <c r="J16" s="116" t="s">
        <v>232</v>
      </c>
    </row>
    <row r="17" spans="1:10" x14ac:dyDescent="0.25">
      <c r="A17" s="118">
        <v>14</v>
      </c>
      <c r="B17" s="115" t="s">
        <v>456</v>
      </c>
      <c r="C17" s="116" t="s">
        <v>457</v>
      </c>
      <c r="D17" s="116" t="s">
        <v>437</v>
      </c>
      <c r="E17" s="116" t="s">
        <v>458</v>
      </c>
      <c r="F17" s="120">
        <v>96.638415456994494</v>
      </c>
      <c r="G17" s="121">
        <v>104.43841545699449</v>
      </c>
      <c r="H17" s="119">
        <v>22.04</v>
      </c>
      <c r="I17" s="122">
        <v>576</v>
      </c>
      <c r="J17" s="116" t="s">
        <v>263</v>
      </c>
    </row>
    <row r="18" spans="1:10" x14ac:dyDescent="0.25">
      <c r="A18" s="118">
        <v>15</v>
      </c>
      <c r="B18" s="115" t="s">
        <v>459</v>
      </c>
      <c r="C18" s="116" t="s">
        <v>460</v>
      </c>
      <c r="D18" s="116" t="s">
        <v>427</v>
      </c>
      <c r="E18" s="116" t="s">
        <v>461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232</v>
      </c>
    </row>
    <row r="19" spans="1:10" x14ac:dyDescent="0.25">
      <c r="A19" s="118">
        <v>16</v>
      </c>
      <c r="B19" s="115" t="s">
        <v>462</v>
      </c>
      <c r="C19" s="116" t="s">
        <v>463</v>
      </c>
      <c r="D19" s="116" t="s">
        <v>427</v>
      </c>
      <c r="E19" s="116" t="s">
        <v>464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232</v>
      </c>
    </row>
    <row r="20" spans="1:10" x14ac:dyDescent="0.25">
      <c r="A20" s="118">
        <v>17</v>
      </c>
      <c r="B20" s="115" t="s">
        <v>470</v>
      </c>
      <c r="C20" s="116" t="s">
        <v>471</v>
      </c>
      <c r="D20" s="116" t="s">
        <v>427</v>
      </c>
      <c r="E20" s="116" t="s">
        <v>2427</v>
      </c>
      <c r="F20" s="120">
        <v>59496.042049999996</v>
      </c>
      <c r="G20" s="121">
        <v>59496.042049999996</v>
      </c>
      <c r="H20" s="119">
        <v>0</v>
      </c>
      <c r="I20" s="122">
        <v>0</v>
      </c>
      <c r="J20" s="116" t="s">
        <v>232</v>
      </c>
    </row>
    <row r="21" spans="1:10" x14ac:dyDescent="0.25">
      <c r="A21" s="118">
        <v>18</v>
      </c>
      <c r="B21" s="115" t="s">
        <v>465</v>
      </c>
      <c r="C21" s="116" t="s">
        <v>466</v>
      </c>
      <c r="D21" s="116" t="s">
        <v>437</v>
      </c>
      <c r="E21" s="116" t="s">
        <v>467</v>
      </c>
      <c r="F21" s="120">
        <v>96.754999999999995</v>
      </c>
      <c r="G21" s="121">
        <v>97.180300000000003</v>
      </c>
      <c r="H21" s="119">
        <v>3.94</v>
      </c>
      <c r="I21" s="122">
        <v>1571</v>
      </c>
      <c r="J21" s="116" t="s">
        <v>263</v>
      </c>
    </row>
    <row r="22" spans="1:10" x14ac:dyDescent="0.25">
      <c r="A22" s="118">
        <v>19</v>
      </c>
      <c r="B22" s="115" t="s">
        <v>468</v>
      </c>
      <c r="C22" s="116" t="s">
        <v>469</v>
      </c>
      <c r="D22" s="116" t="s">
        <v>437</v>
      </c>
      <c r="E22" s="116" t="s">
        <v>467</v>
      </c>
      <c r="F22" s="120">
        <v>94.891999999999996</v>
      </c>
      <c r="G22" s="121">
        <v>95.343400000000003</v>
      </c>
      <c r="H22" s="119">
        <v>3.95</v>
      </c>
      <c r="I22" s="122">
        <v>1375</v>
      </c>
      <c r="J22" s="116" t="s">
        <v>263</v>
      </c>
    </row>
    <row r="23" spans="1:10" x14ac:dyDescent="0.25">
      <c r="A23" s="118">
        <v>20</v>
      </c>
      <c r="B23" s="115" t="s">
        <v>472</v>
      </c>
      <c r="C23" s="116" t="s">
        <v>473</v>
      </c>
      <c r="D23" s="116" t="s">
        <v>437</v>
      </c>
      <c r="E23" s="116" t="s">
        <v>474</v>
      </c>
      <c r="F23" s="120">
        <v>96.684676269203962</v>
      </c>
      <c r="G23" s="121">
        <v>96.940276269203963</v>
      </c>
      <c r="H23" s="119">
        <v>19.059999999999999</v>
      </c>
      <c r="I23" s="122">
        <v>172</v>
      </c>
      <c r="J23" s="116" t="s">
        <v>263</v>
      </c>
    </row>
    <row r="24" spans="1:10" x14ac:dyDescent="0.25">
      <c r="A24" s="118">
        <v>21</v>
      </c>
      <c r="B24" s="115" t="s">
        <v>475</v>
      </c>
      <c r="C24" s="116" t="s">
        <v>476</v>
      </c>
      <c r="D24" s="116" t="s">
        <v>437</v>
      </c>
      <c r="E24" s="116" t="s">
        <v>474</v>
      </c>
      <c r="F24" s="120">
        <v>93.625204916808727</v>
      </c>
      <c r="G24" s="121">
        <v>95.267604916808722</v>
      </c>
      <c r="H24" s="119">
        <v>19.190000000000001</v>
      </c>
      <c r="I24" s="122">
        <v>305</v>
      </c>
      <c r="J24" s="116" t="s">
        <v>263</v>
      </c>
    </row>
    <row r="25" spans="1:10" x14ac:dyDescent="0.25">
      <c r="A25" s="118">
        <v>22</v>
      </c>
      <c r="B25" s="115" t="s">
        <v>477</v>
      </c>
      <c r="C25" s="116" t="s">
        <v>478</v>
      </c>
      <c r="D25" s="116" t="s">
        <v>437</v>
      </c>
      <c r="E25" s="116" t="s">
        <v>474</v>
      </c>
      <c r="F25" s="120">
        <v>76.533827804014251</v>
      </c>
      <c r="G25" s="121">
        <v>79.49012780401425</v>
      </c>
      <c r="H25" s="119">
        <v>18.37</v>
      </c>
      <c r="I25" s="122">
        <v>1701</v>
      </c>
      <c r="J25" s="116" t="s">
        <v>263</v>
      </c>
    </row>
    <row r="26" spans="1:10" x14ac:dyDescent="0.25">
      <c r="A26" s="118">
        <v>23</v>
      </c>
      <c r="B26" s="115" t="s">
        <v>479</v>
      </c>
      <c r="C26" s="116" t="s">
        <v>480</v>
      </c>
      <c r="D26" s="116" t="s">
        <v>437</v>
      </c>
      <c r="E26" s="116" t="s">
        <v>474</v>
      </c>
      <c r="F26" s="120">
        <v>88.389036075325819</v>
      </c>
      <c r="G26" s="121">
        <v>95.680736075325825</v>
      </c>
      <c r="H26" s="119">
        <v>18.260000000000002</v>
      </c>
      <c r="I26" s="122">
        <v>2165</v>
      </c>
      <c r="J26" s="116" t="s">
        <v>263</v>
      </c>
    </row>
    <row r="27" spans="1:10" x14ac:dyDescent="0.25">
      <c r="A27" s="118">
        <v>24</v>
      </c>
      <c r="B27" s="115" t="s">
        <v>481</v>
      </c>
      <c r="C27" s="116" t="s">
        <v>482</v>
      </c>
      <c r="D27" s="116" t="s">
        <v>437</v>
      </c>
      <c r="E27" s="116" t="s">
        <v>474</v>
      </c>
      <c r="F27" s="120">
        <v>59.711568464428261</v>
      </c>
      <c r="G27" s="121">
        <v>60.460968464428262</v>
      </c>
      <c r="H27" s="119">
        <v>19.03</v>
      </c>
      <c r="I27" s="122">
        <v>2122</v>
      </c>
      <c r="J27" s="116" t="s">
        <v>263</v>
      </c>
    </row>
    <row r="28" spans="1:10" x14ac:dyDescent="0.25">
      <c r="A28" s="118">
        <v>25</v>
      </c>
      <c r="B28" s="115" t="s">
        <v>483</v>
      </c>
      <c r="C28" s="116" t="s">
        <v>484</v>
      </c>
      <c r="D28" s="116" t="s">
        <v>437</v>
      </c>
      <c r="E28" s="116" t="s">
        <v>474</v>
      </c>
      <c r="F28" s="120">
        <v>75.928464160128513</v>
      </c>
      <c r="G28" s="121">
        <v>81.167364160128514</v>
      </c>
      <c r="H28" s="119">
        <v>18.23</v>
      </c>
      <c r="I28" s="122">
        <v>2176</v>
      </c>
      <c r="J28" s="116" t="s">
        <v>263</v>
      </c>
    </row>
    <row r="29" spans="1:10" x14ac:dyDescent="0.25">
      <c r="A29" s="118">
        <v>26</v>
      </c>
      <c r="B29" s="115" t="s">
        <v>485</v>
      </c>
      <c r="C29" s="116" t="s">
        <v>486</v>
      </c>
      <c r="D29" s="116" t="s">
        <v>437</v>
      </c>
      <c r="E29" s="116" t="s">
        <v>474</v>
      </c>
      <c r="F29" s="120">
        <v>97.417178918293217</v>
      </c>
      <c r="G29" s="121">
        <v>103.75607891829323</v>
      </c>
      <c r="H29" s="119">
        <v>19.14</v>
      </c>
      <c r="I29" s="122">
        <v>197</v>
      </c>
      <c r="J29" s="116" t="s">
        <v>263</v>
      </c>
    </row>
    <row r="30" spans="1:10" x14ac:dyDescent="0.25">
      <c r="A30" s="118">
        <v>27</v>
      </c>
      <c r="B30" s="115" t="s">
        <v>487</v>
      </c>
      <c r="C30" s="116" t="s">
        <v>488</v>
      </c>
      <c r="D30" s="116" t="s">
        <v>427</v>
      </c>
      <c r="E30" s="116" t="s">
        <v>489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232</v>
      </c>
    </row>
    <row r="31" spans="1:10" x14ac:dyDescent="0.25">
      <c r="A31" s="118">
        <v>28</v>
      </c>
      <c r="B31" s="115" t="s">
        <v>490</v>
      </c>
      <c r="C31" s="116" t="s">
        <v>491</v>
      </c>
      <c r="D31" s="116" t="s">
        <v>437</v>
      </c>
      <c r="E31" s="116" t="s">
        <v>492</v>
      </c>
      <c r="F31" s="120">
        <v>100</v>
      </c>
      <c r="G31" s="121">
        <v>101.13330000000001</v>
      </c>
      <c r="H31" s="119">
        <v>4.2300000000000004</v>
      </c>
      <c r="I31" s="122">
        <v>204</v>
      </c>
      <c r="J31" s="116" t="s">
        <v>263</v>
      </c>
    </row>
    <row r="32" spans="1:10" x14ac:dyDescent="0.25">
      <c r="A32" s="118">
        <v>29</v>
      </c>
      <c r="B32" s="115" t="s">
        <v>493</v>
      </c>
      <c r="C32" s="116" t="s">
        <v>494</v>
      </c>
      <c r="D32" s="116" t="s">
        <v>437</v>
      </c>
      <c r="E32" s="116" t="s">
        <v>492</v>
      </c>
      <c r="F32" s="120">
        <v>100</v>
      </c>
      <c r="G32" s="121">
        <v>100.17310000000001</v>
      </c>
      <c r="H32" s="119">
        <v>0.35</v>
      </c>
      <c r="I32" s="122">
        <v>182</v>
      </c>
      <c r="J32" s="116" t="s">
        <v>263</v>
      </c>
    </row>
    <row r="33" spans="1:10" x14ac:dyDescent="0.25">
      <c r="A33" s="118">
        <v>30</v>
      </c>
      <c r="B33" s="115" t="s">
        <v>2074</v>
      </c>
      <c r="C33" s="116" t="s">
        <v>2075</v>
      </c>
      <c r="D33" s="116" t="s">
        <v>437</v>
      </c>
      <c r="E33" s="116" t="s">
        <v>492</v>
      </c>
      <c r="F33" s="120">
        <v>100</v>
      </c>
      <c r="G33" s="121">
        <v>100.0078</v>
      </c>
      <c r="H33" s="119">
        <v>0.35</v>
      </c>
      <c r="I33" s="122">
        <v>532</v>
      </c>
      <c r="J33" s="116" t="s">
        <v>263</v>
      </c>
    </row>
    <row r="34" spans="1:10" x14ac:dyDescent="0.25">
      <c r="A34" s="118">
        <v>31</v>
      </c>
      <c r="B34" s="115" t="s">
        <v>1856</v>
      </c>
      <c r="C34" s="116" t="s">
        <v>1857</v>
      </c>
      <c r="D34" s="116" t="s">
        <v>437</v>
      </c>
      <c r="E34" s="116" t="s">
        <v>492</v>
      </c>
      <c r="F34" s="120">
        <v>100</v>
      </c>
      <c r="G34" s="121">
        <v>100.0193</v>
      </c>
      <c r="H34" s="119">
        <v>0.02</v>
      </c>
      <c r="I34" s="122">
        <v>2995</v>
      </c>
      <c r="J34" s="116" t="s">
        <v>263</v>
      </c>
    </row>
    <row r="35" spans="1:10" x14ac:dyDescent="0.25">
      <c r="A35" s="118">
        <v>32</v>
      </c>
      <c r="B35" s="115" t="s">
        <v>495</v>
      </c>
      <c r="C35" s="116" t="s">
        <v>496</v>
      </c>
      <c r="D35" s="116" t="s">
        <v>437</v>
      </c>
      <c r="E35" s="116" t="s">
        <v>492</v>
      </c>
      <c r="F35" s="120">
        <v>100</v>
      </c>
      <c r="G35" s="121">
        <v>100.00920000000001</v>
      </c>
      <c r="H35" s="119">
        <v>0.02</v>
      </c>
      <c r="I35" s="122">
        <v>2995</v>
      </c>
      <c r="J35" s="116" t="s">
        <v>263</v>
      </c>
    </row>
    <row r="36" spans="1:10" x14ac:dyDescent="0.25">
      <c r="A36" s="118">
        <v>33</v>
      </c>
      <c r="B36" s="115" t="s">
        <v>2405</v>
      </c>
      <c r="C36" s="116" t="s">
        <v>2406</v>
      </c>
      <c r="D36" s="116" t="s">
        <v>437</v>
      </c>
      <c r="E36" s="116" t="s">
        <v>492</v>
      </c>
      <c r="F36" s="120">
        <v>93.495326025988874</v>
      </c>
      <c r="G36" s="121">
        <v>99.814726025988875</v>
      </c>
      <c r="H36" s="119">
        <v>19.670000000000002</v>
      </c>
      <c r="I36" s="122">
        <v>3475</v>
      </c>
      <c r="J36" s="116" t="s">
        <v>263</v>
      </c>
    </row>
    <row r="37" spans="1:10" x14ac:dyDescent="0.25">
      <c r="A37" s="118">
        <v>34</v>
      </c>
      <c r="B37" s="115" t="s">
        <v>2270</v>
      </c>
      <c r="C37" s="116" t="s">
        <v>2271</v>
      </c>
      <c r="D37" s="116" t="s">
        <v>437</v>
      </c>
      <c r="E37" s="116" t="s">
        <v>492</v>
      </c>
      <c r="F37" s="120">
        <v>96.473388500954783</v>
      </c>
      <c r="G37" s="121">
        <v>101.51338850095478</v>
      </c>
      <c r="H37" s="119">
        <v>19.66</v>
      </c>
      <c r="I37" s="122">
        <v>3504</v>
      </c>
      <c r="J37" s="116" t="s">
        <v>263</v>
      </c>
    </row>
    <row r="38" spans="1:10" x14ac:dyDescent="0.25">
      <c r="A38" s="118">
        <v>35</v>
      </c>
      <c r="B38" s="115" t="s">
        <v>2272</v>
      </c>
      <c r="C38" s="116" t="s">
        <v>2273</v>
      </c>
      <c r="D38" s="116" t="s">
        <v>437</v>
      </c>
      <c r="E38" s="116" t="s">
        <v>492</v>
      </c>
      <c r="F38" s="120">
        <v>96.473388500954783</v>
      </c>
      <c r="G38" s="121">
        <v>101.51338850095478</v>
      </c>
      <c r="H38" s="119">
        <v>19.66</v>
      </c>
      <c r="I38" s="122">
        <v>3504</v>
      </c>
      <c r="J38" s="116" t="s">
        <v>263</v>
      </c>
    </row>
    <row r="39" spans="1:10" x14ac:dyDescent="0.25">
      <c r="A39" s="118">
        <v>36</v>
      </c>
      <c r="B39" s="115" t="s">
        <v>2310</v>
      </c>
      <c r="C39" s="116" t="s">
        <v>2311</v>
      </c>
      <c r="D39" s="116" t="s">
        <v>437</v>
      </c>
      <c r="E39" s="116" t="s">
        <v>492</v>
      </c>
      <c r="F39" s="120">
        <v>96.43662793730698</v>
      </c>
      <c r="G39" s="121">
        <v>101.26662793730698</v>
      </c>
      <c r="H39" s="119">
        <v>19.670000000000002</v>
      </c>
      <c r="I39" s="122">
        <v>3508</v>
      </c>
      <c r="J39" s="116" t="s">
        <v>263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427</v>
      </c>
      <c r="E40" s="116" t="s">
        <v>22</v>
      </c>
      <c r="F40" s="119">
        <v>861.98599716222941</v>
      </c>
      <c r="G40" s="117">
        <v>861.98599716222941</v>
      </c>
      <c r="H40" s="117">
        <v>0</v>
      </c>
      <c r="I40" s="114">
        <v>0</v>
      </c>
      <c r="J40" s="116" t="s">
        <v>232</v>
      </c>
    </row>
    <row r="41" spans="1:10" x14ac:dyDescent="0.25">
      <c r="A41" s="118">
        <v>38</v>
      </c>
      <c r="B41" s="115" t="s">
        <v>500</v>
      </c>
      <c r="C41" s="116" t="s">
        <v>501</v>
      </c>
      <c r="D41" s="116" t="s">
        <v>502</v>
      </c>
      <c r="E41" s="116" t="s">
        <v>22</v>
      </c>
      <c r="F41" s="119">
        <v>3461.6246000000001</v>
      </c>
      <c r="G41" s="117">
        <v>3461.6246000000001</v>
      </c>
      <c r="H41" s="117">
        <v>0</v>
      </c>
      <c r="I41" s="114">
        <v>0</v>
      </c>
      <c r="J41" s="116" t="s">
        <v>232</v>
      </c>
    </row>
    <row r="42" spans="1:10" x14ac:dyDescent="0.25">
      <c r="A42" s="118">
        <v>39</v>
      </c>
      <c r="B42" s="115" t="s">
        <v>497</v>
      </c>
      <c r="C42" s="116" t="s">
        <v>498</v>
      </c>
      <c r="D42" s="116" t="s">
        <v>427</v>
      </c>
      <c r="E42" s="116" t="s">
        <v>499</v>
      </c>
      <c r="F42" s="120">
        <v>114948.63870000002</v>
      </c>
      <c r="G42" s="121">
        <v>114948.63870000002</v>
      </c>
      <c r="H42" s="119">
        <v>0</v>
      </c>
      <c r="I42" s="122">
        <v>0</v>
      </c>
      <c r="J42" s="116" t="s">
        <v>232</v>
      </c>
    </row>
    <row r="43" spans="1:10" x14ac:dyDescent="0.25">
      <c r="A43" s="118">
        <v>40</v>
      </c>
      <c r="B43" s="115" t="s">
        <v>503</v>
      </c>
      <c r="C43" s="116" t="s">
        <v>504</v>
      </c>
      <c r="D43" s="116" t="s">
        <v>427</v>
      </c>
      <c r="E43" s="116" t="s">
        <v>505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232</v>
      </c>
    </row>
    <row r="44" spans="1:10" x14ac:dyDescent="0.25">
      <c r="A44" s="118">
        <v>41</v>
      </c>
      <c r="B44" s="115" t="s">
        <v>506</v>
      </c>
      <c r="C44" s="116" t="s">
        <v>507</v>
      </c>
      <c r="D44" s="116" t="s">
        <v>437</v>
      </c>
      <c r="E44" s="116" t="s">
        <v>508</v>
      </c>
      <c r="F44" s="120">
        <v>100</v>
      </c>
      <c r="G44" s="121">
        <v>101.13330000000001</v>
      </c>
      <c r="H44" s="119">
        <v>4.2300000000000004</v>
      </c>
      <c r="I44" s="122">
        <v>204</v>
      </c>
      <c r="J44" s="116" t="s">
        <v>263</v>
      </c>
    </row>
    <row r="45" spans="1:10" x14ac:dyDescent="0.25">
      <c r="A45" s="118">
        <v>42</v>
      </c>
      <c r="B45" s="115" t="s">
        <v>509</v>
      </c>
      <c r="C45" s="116" t="s">
        <v>510</v>
      </c>
      <c r="D45" s="116" t="s">
        <v>437</v>
      </c>
      <c r="E45" s="116" t="s">
        <v>508</v>
      </c>
      <c r="F45" s="120">
        <v>100</v>
      </c>
      <c r="G45" s="121">
        <v>100.0068</v>
      </c>
      <c r="H45" s="119">
        <v>0.35</v>
      </c>
      <c r="I45" s="122">
        <v>173</v>
      </c>
      <c r="J45" s="116" t="s">
        <v>263</v>
      </c>
    </row>
    <row r="46" spans="1:10" x14ac:dyDescent="0.25">
      <c r="A46" s="118">
        <v>43</v>
      </c>
      <c r="B46" s="115" t="s">
        <v>2131</v>
      </c>
      <c r="C46" s="116" t="s">
        <v>2132</v>
      </c>
      <c r="D46" s="116" t="s">
        <v>437</v>
      </c>
      <c r="E46" s="116" t="s">
        <v>508</v>
      </c>
      <c r="F46" s="120">
        <v>100</v>
      </c>
      <c r="G46" s="121">
        <v>100.1507</v>
      </c>
      <c r="H46" s="119">
        <v>0.35</v>
      </c>
      <c r="I46" s="122">
        <v>565</v>
      </c>
      <c r="J46" s="116" t="s">
        <v>263</v>
      </c>
    </row>
    <row r="47" spans="1:10" x14ac:dyDescent="0.25">
      <c r="A47" s="118">
        <v>44</v>
      </c>
      <c r="B47" s="115" t="s">
        <v>511</v>
      </c>
      <c r="C47" s="116" t="s">
        <v>512</v>
      </c>
      <c r="D47" s="116" t="s">
        <v>437</v>
      </c>
      <c r="E47" s="116" t="s">
        <v>508</v>
      </c>
      <c r="F47" s="119">
        <v>100</v>
      </c>
      <c r="G47" s="117">
        <v>100.0067</v>
      </c>
      <c r="H47" s="117">
        <v>0.02</v>
      </c>
      <c r="I47" s="114">
        <v>2995</v>
      </c>
      <c r="J47" s="116" t="s">
        <v>263</v>
      </c>
    </row>
    <row r="48" spans="1:10" x14ac:dyDescent="0.25">
      <c r="A48" s="118">
        <v>45</v>
      </c>
      <c r="B48" s="115" t="s">
        <v>513</v>
      </c>
      <c r="C48" s="116" t="s">
        <v>514</v>
      </c>
      <c r="D48" s="116" t="s">
        <v>437</v>
      </c>
      <c r="E48" s="116" t="s">
        <v>508</v>
      </c>
      <c r="F48" s="119">
        <v>100</v>
      </c>
      <c r="G48" s="117">
        <v>102.7111</v>
      </c>
      <c r="H48" s="117">
        <v>6.08</v>
      </c>
      <c r="I48" s="114">
        <v>1610</v>
      </c>
      <c r="J48" s="116" t="s">
        <v>263</v>
      </c>
    </row>
    <row r="49" spans="1:10" x14ac:dyDescent="0.25">
      <c r="A49" s="118">
        <v>46</v>
      </c>
      <c r="B49" s="115" t="s">
        <v>515</v>
      </c>
      <c r="C49" s="116" t="s">
        <v>516</v>
      </c>
      <c r="D49" s="116" t="s">
        <v>437</v>
      </c>
      <c r="E49" s="116" t="s">
        <v>508</v>
      </c>
      <c r="F49" s="119">
        <v>100</v>
      </c>
      <c r="G49" s="117">
        <v>100.74939999999999</v>
      </c>
      <c r="H49" s="117">
        <v>7.08</v>
      </c>
      <c r="I49" s="114">
        <v>2092</v>
      </c>
      <c r="J49" s="116" t="s">
        <v>263</v>
      </c>
    </row>
    <row r="50" spans="1:10" x14ac:dyDescent="0.25">
      <c r="A50" s="118">
        <v>47</v>
      </c>
      <c r="B50" s="115" t="s">
        <v>2274</v>
      </c>
      <c r="C50" s="116" t="s">
        <v>2275</v>
      </c>
      <c r="D50" s="116" t="s">
        <v>437</v>
      </c>
      <c r="E50" s="116" t="s">
        <v>508</v>
      </c>
      <c r="F50" s="119">
        <v>96.473388500954783</v>
      </c>
      <c r="G50" s="117">
        <v>101.51338850095478</v>
      </c>
      <c r="H50" s="117">
        <v>19.66</v>
      </c>
      <c r="I50" s="114">
        <v>3504</v>
      </c>
      <c r="J50" s="116" t="s">
        <v>263</v>
      </c>
    </row>
    <row r="51" spans="1:10" x14ac:dyDescent="0.25">
      <c r="A51" s="118">
        <v>48</v>
      </c>
      <c r="B51" s="115" t="s">
        <v>517</v>
      </c>
      <c r="C51" s="116" t="s">
        <v>518</v>
      </c>
      <c r="D51" s="116" t="s">
        <v>437</v>
      </c>
      <c r="E51" s="116" t="s">
        <v>508</v>
      </c>
      <c r="F51" s="119">
        <v>100</v>
      </c>
      <c r="G51" s="117">
        <v>101.88079999999999</v>
      </c>
      <c r="H51" s="117">
        <v>6.08</v>
      </c>
      <c r="I51" s="114">
        <v>2019</v>
      </c>
      <c r="J51" s="116" t="s">
        <v>263</v>
      </c>
    </row>
    <row r="52" spans="1:10" x14ac:dyDescent="0.25">
      <c r="A52" s="118">
        <v>49</v>
      </c>
      <c r="B52" s="115" t="s">
        <v>519</v>
      </c>
      <c r="C52" s="116" t="s">
        <v>520</v>
      </c>
      <c r="D52" s="116" t="s">
        <v>437</v>
      </c>
      <c r="E52" s="116" t="s">
        <v>508</v>
      </c>
      <c r="F52" s="120">
        <v>100</v>
      </c>
      <c r="G52" s="121">
        <v>100.7286</v>
      </c>
      <c r="H52" s="119">
        <v>6.09</v>
      </c>
      <c r="I52" s="122">
        <v>2447</v>
      </c>
      <c r="J52" s="116" t="s">
        <v>263</v>
      </c>
    </row>
    <row r="53" spans="1:10" x14ac:dyDescent="0.25">
      <c r="A53" s="118">
        <v>50</v>
      </c>
      <c r="B53" s="115" t="s">
        <v>521</v>
      </c>
      <c r="C53" s="116" t="s">
        <v>522</v>
      </c>
      <c r="D53" s="116" t="s">
        <v>437</v>
      </c>
      <c r="E53" s="116" t="s">
        <v>508</v>
      </c>
      <c r="F53" s="119">
        <v>100</v>
      </c>
      <c r="G53" s="117">
        <v>100.7286</v>
      </c>
      <c r="H53" s="117">
        <v>6.09</v>
      </c>
      <c r="I53" s="114">
        <v>2447</v>
      </c>
      <c r="J53" s="116" t="s">
        <v>263</v>
      </c>
    </row>
    <row r="54" spans="1:10" x14ac:dyDescent="0.25">
      <c r="A54" s="118">
        <v>51</v>
      </c>
      <c r="B54" s="115" t="s">
        <v>523</v>
      </c>
      <c r="C54" s="116" t="s">
        <v>524</v>
      </c>
      <c r="D54" s="116" t="s">
        <v>437</v>
      </c>
      <c r="E54" s="116" t="s">
        <v>508</v>
      </c>
      <c r="F54" s="120">
        <v>100</v>
      </c>
      <c r="G54" s="121">
        <v>105.69329999999999</v>
      </c>
      <c r="H54" s="119">
        <v>6.09</v>
      </c>
      <c r="I54" s="122">
        <v>2514</v>
      </c>
      <c r="J54" s="116" t="s">
        <v>263</v>
      </c>
    </row>
    <row r="55" spans="1:10" x14ac:dyDescent="0.25">
      <c r="A55" s="118">
        <v>52</v>
      </c>
      <c r="B55" s="115" t="s">
        <v>525</v>
      </c>
      <c r="C55" s="116" t="s">
        <v>526</v>
      </c>
      <c r="D55" s="116" t="s">
        <v>427</v>
      </c>
      <c r="E55" s="116" t="s">
        <v>527</v>
      </c>
      <c r="F55" s="120">
        <v>1129.78</v>
      </c>
      <c r="G55" s="121">
        <v>1129.78</v>
      </c>
      <c r="H55" s="119">
        <v>0</v>
      </c>
      <c r="I55" s="122">
        <v>2888</v>
      </c>
      <c r="J55" s="116" t="s">
        <v>232</v>
      </c>
    </row>
    <row r="56" spans="1:10" x14ac:dyDescent="0.25">
      <c r="A56" s="118">
        <v>53</v>
      </c>
      <c r="B56" s="115" t="s">
        <v>528</v>
      </c>
      <c r="C56" s="116" t="s">
        <v>529</v>
      </c>
      <c r="D56" s="116" t="s">
        <v>427</v>
      </c>
      <c r="E56" s="116" t="s">
        <v>527</v>
      </c>
      <c r="F56" s="120">
        <v>0.01</v>
      </c>
      <c r="G56" s="121">
        <v>0.01</v>
      </c>
      <c r="H56" s="119">
        <v>0</v>
      </c>
      <c r="I56" s="122">
        <v>1289</v>
      </c>
      <c r="J56" s="116" t="s">
        <v>232</v>
      </c>
    </row>
    <row r="57" spans="1:10" x14ac:dyDescent="0.25">
      <c r="A57" s="118">
        <v>54</v>
      </c>
      <c r="B57" s="115" t="s">
        <v>530</v>
      </c>
      <c r="C57" s="116" t="s">
        <v>531</v>
      </c>
      <c r="D57" s="116" t="s">
        <v>427</v>
      </c>
      <c r="E57" s="116" t="s">
        <v>532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232</v>
      </c>
    </row>
    <row r="58" spans="1:10" x14ac:dyDescent="0.25">
      <c r="A58" s="118">
        <v>55</v>
      </c>
      <c r="B58" s="115" t="s">
        <v>2019</v>
      </c>
      <c r="C58" s="116" t="s">
        <v>2020</v>
      </c>
      <c r="D58" s="116" t="s">
        <v>437</v>
      </c>
      <c r="E58" s="116" t="s">
        <v>2021</v>
      </c>
      <c r="F58" s="120">
        <v>99.078963426682833</v>
      </c>
      <c r="G58" s="121">
        <v>101.75116342668284</v>
      </c>
      <c r="H58" s="119">
        <v>26.5</v>
      </c>
      <c r="I58" s="122">
        <v>863</v>
      </c>
      <c r="J58" s="116" t="s">
        <v>263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427</v>
      </c>
      <c r="E59" s="116" t="s">
        <v>533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232</v>
      </c>
    </row>
    <row r="60" spans="1:10" x14ac:dyDescent="0.25">
      <c r="A60" s="118">
        <v>57</v>
      </c>
      <c r="B60" s="115" t="s">
        <v>534</v>
      </c>
      <c r="C60" s="116" t="s">
        <v>535</v>
      </c>
      <c r="D60" s="116" t="s">
        <v>437</v>
      </c>
      <c r="E60" s="116" t="s">
        <v>34</v>
      </c>
      <c r="F60" s="119">
        <v>94.100100268297268</v>
      </c>
      <c r="G60" s="117">
        <v>95.294500268297256</v>
      </c>
      <c r="H60" s="117">
        <v>18.18</v>
      </c>
      <c r="I60" s="114">
        <v>320</v>
      </c>
      <c r="J60" s="116" t="s">
        <v>263</v>
      </c>
    </row>
    <row r="61" spans="1:10" x14ac:dyDescent="0.25">
      <c r="A61" s="118">
        <v>58</v>
      </c>
      <c r="B61" s="115" t="s">
        <v>536</v>
      </c>
      <c r="C61" s="116" t="s">
        <v>537</v>
      </c>
      <c r="D61" s="116" t="s">
        <v>437</v>
      </c>
      <c r="E61" s="116" t="s">
        <v>538</v>
      </c>
      <c r="F61" s="119">
        <v>100</v>
      </c>
      <c r="G61" s="117">
        <v>100.8146</v>
      </c>
      <c r="H61" s="117">
        <v>4.2300000000000004</v>
      </c>
      <c r="I61" s="114">
        <v>231</v>
      </c>
      <c r="J61" s="116" t="s">
        <v>263</v>
      </c>
    </row>
    <row r="62" spans="1:10" x14ac:dyDescent="0.25">
      <c r="A62" s="118">
        <v>59</v>
      </c>
      <c r="B62" s="115" t="s">
        <v>539</v>
      </c>
      <c r="C62" s="116" t="s">
        <v>540</v>
      </c>
      <c r="D62" s="116" t="s">
        <v>437</v>
      </c>
      <c r="E62" s="116" t="s">
        <v>538</v>
      </c>
      <c r="F62" s="120">
        <v>100</v>
      </c>
      <c r="G62" s="121">
        <v>100.00539999999999</v>
      </c>
      <c r="H62" s="119">
        <v>0.02</v>
      </c>
      <c r="I62" s="122">
        <v>2995</v>
      </c>
      <c r="J62" s="116" t="s">
        <v>263</v>
      </c>
    </row>
    <row r="63" spans="1:10" x14ac:dyDescent="0.25">
      <c r="A63" s="118">
        <v>60</v>
      </c>
      <c r="B63" s="115" t="s">
        <v>541</v>
      </c>
      <c r="C63" s="116" t="s">
        <v>542</v>
      </c>
      <c r="D63" s="116" t="s">
        <v>437</v>
      </c>
      <c r="E63" s="116" t="s">
        <v>538</v>
      </c>
      <c r="F63" s="120">
        <v>100</v>
      </c>
      <c r="G63" s="121">
        <v>106.7253</v>
      </c>
      <c r="H63" s="119">
        <v>7.05</v>
      </c>
      <c r="I63" s="122">
        <v>2092</v>
      </c>
      <c r="J63" s="116" t="s">
        <v>263</v>
      </c>
    </row>
    <row r="64" spans="1:10" x14ac:dyDescent="0.25">
      <c r="A64" s="118">
        <v>61</v>
      </c>
      <c r="B64" s="115" t="s">
        <v>543</v>
      </c>
      <c r="C64" s="116" t="s">
        <v>544</v>
      </c>
      <c r="D64" s="116" t="s">
        <v>437</v>
      </c>
      <c r="E64" s="116" t="s">
        <v>538</v>
      </c>
      <c r="F64" s="120">
        <v>100</v>
      </c>
      <c r="G64" s="121">
        <v>102.7111</v>
      </c>
      <c r="H64" s="119">
        <v>6.08</v>
      </c>
      <c r="I64" s="122">
        <v>1610</v>
      </c>
      <c r="J64" s="116" t="s">
        <v>263</v>
      </c>
    </row>
    <row r="65" spans="1:10" x14ac:dyDescent="0.25">
      <c r="A65" s="118">
        <v>62</v>
      </c>
      <c r="B65" s="115" t="s">
        <v>545</v>
      </c>
      <c r="C65" s="116" t="s">
        <v>546</v>
      </c>
      <c r="D65" s="116" t="s">
        <v>437</v>
      </c>
      <c r="E65" s="116" t="s">
        <v>538</v>
      </c>
      <c r="F65" s="120">
        <v>100</v>
      </c>
      <c r="G65" s="121">
        <v>100.74939999999999</v>
      </c>
      <c r="H65" s="119">
        <v>7.08</v>
      </c>
      <c r="I65" s="122">
        <v>2092</v>
      </c>
      <c r="J65" s="116" t="s">
        <v>263</v>
      </c>
    </row>
    <row r="66" spans="1:10" x14ac:dyDescent="0.25">
      <c r="A66" s="118">
        <v>63</v>
      </c>
      <c r="B66" s="115" t="s">
        <v>547</v>
      </c>
      <c r="C66" s="116" t="s">
        <v>548</v>
      </c>
      <c r="D66" s="116" t="s">
        <v>437</v>
      </c>
      <c r="E66" s="116" t="s">
        <v>538</v>
      </c>
      <c r="F66" s="120">
        <v>100</v>
      </c>
      <c r="G66" s="121">
        <v>101.88079999999999</v>
      </c>
      <c r="H66" s="119">
        <v>6.08</v>
      </c>
      <c r="I66" s="122">
        <v>2019</v>
      </c>
      <c r="J66" s="116" t="s">
        <v>263</v>
      </c>
    </row>
    <row r="67" spans="1:10" x14ac:dyDescent="0.25">
      <c r="A67" s="118">
        <v>64</v>
      </c>
      <c r="B67" s="115" t="s">
        <v>549</v>
      </c>
      <c r="C67" s="116" t="s">
        <v>550</v>
      </c>
      <c r="D67" s="116" t="s">
        <v>437</v>
      </c>
      <c r="E67" s="116" t="s">
        <v>538</v>
      </c>
      <c r="F67" s="120">
        <v>100</v>
      </c>
      <c r="G67" s="121">
        <v>100.7286</v>
      </c>
      <c r="H67" s="119">
        <v>6.09</v>
      </c>
      <c r="I67" s="122">
        <v>2447</v>
      </c>
      <c r="J67" s="116" t="s">
        <v>263</v>
      </c>
    </row>
    <row r="68" spans="1:10" x14ac:dyDescent="0.25">
      <c r="A68" s="118">
        <v>65</v>
      </c>
      <c r="B68" s="115" t="s">
        <v>551</v>
      </c>
      <c r="C68" s="116" t="s">
        <v>552</v>
      </c>
      <c r="D68" s="116" t="s">
        <v>437</v>
      </c>
      <c r="E68" s="116" t="s">
        <v>538</v>
      </c>
      <c r="F68" s="120">
        <v>100</v>
      </c>
      <c r="G68" s="121">
        <v>100.7286</v>
      </c>
      <c r="H68" s="119">
        <v>6.09</v>
      </c>
      <c r="I68" s="122">
        <v>2447</v>
      </c>
      <c r="J68" s="116" t="s">
        <v>263</v>
      </c>
    </row>
    <row r="69" spans="1:10" x14ac:dyDescent="0.25">
      <c r="A69" s="118">
        <v>66</v>
      </c>
      <c r="B69" s="115" t="s">
        <v>553</v>
      </c>
      <c r="C69" s="116" t="s">
        <v>554</v>
      </c>
      <c r="D69" s="116" t="s">
        <v>437</v>
      </c>
      <c r="E69" s="116" t="s">
        <v>538</v>
      </c>
      <c r="F69" s="120">
        <v>100</v>
      </c>
      <c r="G69" s="121">
        <v>105.69329999999999</v>
      </c>
      <c r="H69" s="119">
        <v>6.09</v>
      </c>
      <c r="I69" s="122">
        <v>2514</v>
      </c>
      <c r="J69" s="116" t="s">
        <v>263</v>
      </c>
    </row>
    <row r="70" spans="1:10" x14ac:dyDescent="0.25">
      <c r="A70" s="118">
        <v>67</v>
      </c>
      <c r="B70" s="115" t="s">
        <v>555</v>
      </c>
      <c r="C70" s="116" t="s">
        <v>556</v>
      </c>
      <c r="D70" s="116" t="s">
        <v>437</v>
      </c>
      <c r="E70" s="116" t="s">
        <v>1896</v>
      </c>
      <c r="F70" s="120">
        <v>89.938432738693479</v>
      </c>
      <c r="G70" s="121">
        <v>92.134232738693484</v>
      </c>
      <c r="H70" s="119">
        <v>28.93</v>
      </c>
      <c r="I70" s="122">
        <v>2399</v>
      </c>
      <c r="J70" s="116" t="s">
        <v>263</v>
      </c>
    </row>
    <row r="71" spans="1:10" x14ac:dyDescent="0.25">
      <c r="A71" s="118">
        <v>68</v>
      </c>
      <c r="B71" s="115" t="s">
        <v>557</v>
      </c>
      <c r="C71" s="116" t="s">
        <v>558</v>
      </c>
      <c r="D71" s="116" t="s">
        <v>427</v>
      </c>
      <c r="E71" s="116" t="s">
        <v>414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232</v>
      </c>
    </row>
    <row r="72" spans="1:10" x14ac:dyDescent="0.25">
      <c r="A72" s="118">
        <v>69</v>
      </c>
      <c r="B72" s="115" t="s">
        <v>412</v>
      </c>
      <c r="C72" s="116" t="s">
        <v>413</v>
      </c>
      <c r="D72" s="116" t="s">
        <v>437</v>
      </c>
      <c r="E72" s="116" t="s">
        <v>414</v>
      </c>
      <c r="F72" s="120">
        <v>98.561372507307553</v>
      </c>
      <c r="G72" s="121">
        <v>100.09467250730755</v>
      </c>
      <c r="H72" s="119">
        <v>8.77</v>
      </c>
      <c r="I72" s="122">
        <v>741</v>
      </c>
      <c r="J72" s="116" t="s">
        <v>263</v>
      </c>
    </row>
    <row r="73" spans="1:10" x14ac:dyDescent="0.25">
      <c r="A73" s="118">
        <v>70</v>
      </c>
      <c r="B73" s="115" t="s">
        <v>559</v>
      </c>
      <c r="C73" s="116" t="s">
        <v>560</v>
      </c>
      <c r="D73" s="116" t="s">
        <v>427</v>
      </c>
      <c r="E73" s="116" t="s">
        <v>561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232</v>
      </c>
    </row>
    <row r="74" spans="1:10" x14ac:dyDescent="0.25">
      <c r="A74" s="118">
        <v>71</v>
      </c>
      <c r="B74" s="115" t="s">
        <v>562</v>
      </c>
      <c r="C74" s="116" t="s">
        <v>563</v>
      </c>
      <c r="D74" s="116" t="s">
        <v>427</v>
      </c>
      <c r="E74" s="116" t="s">
        <v>564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232</v>
      </c>
    </row>
    <row r="75" spans="1:10" x14ac:dyDescent="0.25">
      <c r="A75" s="118">
        <v>72</v>
      </c>
      <c r="B75" s="115" t="s">
        <v>565</v>
      </c>
      <c r="C75" s="116" t="s">
        <v>566</v>
      </c>
      <c r="D75" s="116" t="s">
        <v>427</v>
      </c>
      <c r="E75" s="116" t="s">
        <v>2428</v>
      </c>
      <c r="F75" s="120">
        <v>109197.60400000001</v>
      </c>
      <c r="G75" s="121">
        <v>109197.60400000001</v>
      </c>
      <c r="H75" s="119">
        <v>0</v>
      </c>
      <c r="I75" s="122">
        <v>0</v>
      </c>
      <c r="J75" s="116" t="s">
        <v>232</v>
      </c>
    </row>
    <row r="76" spans="1:10" x14ac:dyDescent="0.25">
      <c r="A76" s="118">
        <v>73</v>
      </c>
      <c r="B76" s="115" t="s">
        <v>567</v>
      </c>
      <c r="C76" s="116" t="s">
        <v>568</v>
      </c>
      <c r="D76" s="116" t="s">
        <v>427</v>
      </c>
      <c r="E76" s="116" t="s">
        <v>569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232</v>
      </c>
    </row>
    <row r="77" spans="1:10" x14ac:dyDescent="0.25">
      <c r="A77" s="118">
        <v>74</v>
      </c>
      <c r="B77" s="115" t="s">
        <v>570</v>
      </c>
      <c r="C77" s="116" t="s">
        <v>571</v>
      </c>
      <c r="D77" s="116" t="s">
        <v>427</v>
      </c>
      <c r="E77" s="116" t="s">
        <v>572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232</v>
      </c>
    </row>
    <row r="78" spans="1:10" x14ac:dyDescent="0.25">
      <c r="A78" s="118">
        <v>75</v>
      </c>
      <c r="B78" s="115" t="s">
        <v>573</v>
      </c>
      <c r="C78" s="116" t="s">
        <v>574</v>
      </c>
      <c r="D78" s="116" t="s">
        <v>427</v>
      </c>
      <c r="E78" s="116" t="s">
        <v>575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232</v>
      </c>
    </row>
    <row r="79" spans="1:10" x14ac:dyDescent="0.25">
      <c r="A79" s="118">
        <v>76</v>
      </c>
      <c r="B79" s="115" t="s">
        <v>576</v>
      </c>
      <c r="C79" s="116" t="s">
        <v>577</v>
      </c>
      <c r="D79" s="116" t="s">
        <v>427</v>
      </c>
      <c r="E79" s="116" t="s">
        <v>2429</v>
      </c>
      <c r="F79" s="120">
        <v>117238.56435</v>
      </c>
      <c r="G79" s="121">
        <v>117238.56435</v>
      </c>
      <c r="H79" s="119">
        <v>0</v>
      </c>
      <c r="I79" s="122">
        <v>0</v>
      </c>
      <c r="J79" s="116" t="s">
        <v>232</v>
      </c>
    </row>
    <row r="80" spans="1:10" x14ac:dyDescent="0.25">
      <c r="A80" s="118">
        <v>77</v>
      </c>
      <c r="B80" s="115" t="s">
        <v>578</v>
      </c>
      <c r="C80" s="116" t="s">
        <v>579</v>
      </c>
      <c r="D80" s="116" t="s">
        <v>427</v>
      </c>
      <c r="E80" s="116" t="s">
        <v>580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232</v>
      </c>
    </row>
    <row r="81" spans="1:10" x14ac:dyDescent="0.25">
      <c r="A81" s="118">
        <v>78</v>
      </c>
      <c r="B81" s="115" t="s">
        <v>581</v>
      </c>
      <c r="C81" s="116" t="s">
        <v>582</v>
      </c>
      <c r="D81" s="116" t="s">
        <v>437</v>
      </c>
      <c r="E81" s="116" t="s">
        <v>583</v>
      </c>
      <c r="F81" s="120">
        <v>95.32013413231121</v>
      </c>
      <c r="G81" s="121">
        <v>98.932634132311208</v>
      </c>
      <c r="H81" s="119">
        <v>27.03</v>
      </c>
      <c r="I81" s="122">
        <v>2289</v>
      </c>
      <c r="J81" s="116" t="s">
        <v>263</v>
      </c>
    </row>
    <row r="82" spans="1:10" x14ac:dyDescent="0.25">
      <c r="A82" s="118">
        <v>79</v>
      </c>
      <c r="B82" s="115" t="s">
        <v>584</v>
      </c>
      <c r="C82" s="116" t="s">
        <v>585</v>
      </c>
      <c r="D82" s="116" t="s">
        <v>437</v>
      </c>
      <c r="E82" s="116" t="s">
        <v>583</v>
      </c>
      <c r="F82" s="119">
        <v>96.870932093022844</v>
      </c>
      <c r="G82" s="117">
        <v>108.78763209302285</v>
      </c>
      <c r="H82" s="117">
        <v>26.99</v>
      </c>
      <c r="I82" s="114">
        <v>2535</v>
      </c>
      <c r="J82" s="116" t="s">
        <v>263</v>
      </c>
    </row>
    <row r="83" spans="1:10" x14ac:dyDescent="0.25">
      <c r="A83" s="118">
        <v>80</v>
      </c>
      <c r="B83" s="115" t="s">
        <v>586</v>
      </c>
      <c r="C83" s="116" t="s">
        <v>587</v>
      </c>
      <c r="D83" s="116" t="s">
        <v>437</v>
      </c>
      <c r="E83" s="116" t="s">
        <v>583</v>
      </c>
      <c r="F83" s="119">
        <v>96.824658286599785</v>
      </c>
      <c r="G83" s="117">
        <v>99.496858286599789</v>
      </c>
      <c r="H83" s="117">
        <v>26.97</v>
      </c>
      <c r="I83" s="114">
        <v>2663</v>
      </c>
      <c r="J83" s="116" t="s">
        <v>263</v>
      </c>
    </row>
    <row r="84" spans="1:10" x14ac:dyDescent="0.25">
      <c r="A84" s="118">
        <v>81</v>
      </c>
      <c r="B84" s="115" t="s">
        <v>588</v>
      </c>
      <c r="C84" s="116" t="s">
        <v>589</v>
      </c>
      <c r="D84" s="116" t="s">
        <v>437</v>
      </c>
      <c r="E84" s="116" t="s">
        <v>590</v>
      </c>
      <c r="F84" s="119">
        <v>100</v>
      </c>
      <c r="G84" s="117">
        <v>100.0078</v>
      </c>
      <c r="H84" s="117">
        <v>0.02</v>
      </c>
      <c r="I84" s="114">
        <v>2995</v>
      </c>
      <c r="J84" s="116" t="s">
        <v>263</v>
      </c>
    </row>
    <row r="85" spans="1:10" x14ac:dyDescent="0.25">
      <c r="A85" s="118">
        <v>82</v>
      </c>
      <c r="B85" s="115" t="s">
        <v>591</v>
      </c>
      <c r="C85" s="116" t="s">
        <v>592</v>
      </c>
      <c r="D85" s="116" t="s">
        <v>437</v>
      </c>
      <c r="E85" s="116" t="s">
        <v>590</v>
      </c>
      <c r="F85" s="120">
        <v>100</v>
      </c>
      <c r="G85" s="121">
        <v>102.7111</v>
      </c>
      <c r="H85" s="119">
        <v>6.08</v>
      </c>
      <c r="I85" s="122">
        <v>1610</v>
      </c>
      <c r="J85" s="116" t="s">
        <v>263</v>
      </c>
    </row>
    <row r="86" spans="1:10" x14ac:dyDescent="0.25">
      <c r="A86" s="118">
        <v>83</v>
      </c>
      <c r="B86" s="115" t="s">
        <v>593</v>
      </c>
      <c r="C86" s="116" t="s">
        <v>594</v>
      </c>
      <c r="D86" s="116" t="s">
        <v>437</v>
      </c>
      <c r="E86" s="116" t="s">
        <v>590</v>
      </c>
      <c r="F86" s="119">
        <v>100</v>
      </c>
      <c r="G86" s="117">
        <v>100.74939999999999</v>
      </c>
      <c r="H86" s="117">
        <v>7.08</v>
      </c>
      <c r="I86" s="114">
        <v>2092</v>
      </c>
      <c r="J86" s="116" t="s">
        <v>263</v>
      </c>
    </row>
    <row r="87" spans="1:10" x14ac:dyDescent="0.25">
      <c r="A87" s="118">
        <v>84</v>
      </c>
      <c r="B87" s="115" t="s">
        <v>595</v>
      </c>
      <c r="C87" s="116" t="s">
        <v>596</v>
      </c>
      <c r="D87" s="116" t="s">
        <v>437</v>
      </c>
      <c r="E87" s="116" t="s">
        <v>590</v>
      </c>
      <c r="F87" s="119">
        <v>100</v>
      </c>
      <c r="G87" s="117">
        <v>101.88079999999999</v>
      </c>
      <c r="H87" s="117">
        <v>6.08</v>
      </c>
      <c r="I87" s="114">
        <v>2019</v>
      </c>
      <c r="J87" s="116" t="s">
        <v>263</v>
      </c>
    </row>
    <row r="88" spans="1:10" x14ac:dyDescent="0.25">
      <c r="A88" s="118">
        <v>85</v>
      </c>
      <c r="B88" s="115" t="s">
        <v>597</v>
      </c>
      <c r="C88" s="116" t="s">
        <v>598</v>
      </c>
      <c r="D88" s="116" t="s">
        <v>437</v>
      </c>
      <c r="E88" s="116" t="s">
        <v>590</v>
      </c>
      <c r="F88" s="119">
        <v>100</v>
      </c>
      <c r="G88" s="117">
        <v>100.7286</v>
      </c>
      <c r="H88" s="117">
        <v>6.09</v>
      </c>
      <c r="I88" s="114">
        <v>2447</v>
      </c>
      <c r="J88" s="116" t="s">
        <v>263</v>
      </c>
    </row>
    <row r="89" spans="1:10" x14ac:dyDescent="0.25">
      <c r="A89" s="118">
        <v>86</v>
      </c>
      <c r="B89" s="115" t="s">
        <v>599</v>
      </c>
      <c r="C89" s="116" t="s">
        <v>600</v>
      </c>
      <c r="D89" s="116" t="s">
        <v>437</v>
      </c>
      <c r="E89" s="116" t="s">
        <v>590</v>
      </c>
      <c r="F89" s="120">
        <v>100</v>
      </c>
      <c r="G89" s="121">
        <v>100.7286</v>
      </c>
      <c r="H89" s="119">
        <v>6.09</v>
      </c>
      <c r="I89" s="122">
        <v>2447</v>
      </c>
      <c r="J89" s="116" t="s">
        <v>263</v>
      </c>
    </row>
    <row r="90" spans="1:10" x14ac:dyDescent="0.25">
      <c r="A90" s="118">
        <v>87</v>
      </c>
      <c r="B90" s="115" t="s">
        <v>601</v>
      </c>
      <c r="C90" s="116" t="s">
        <v>602</v>
      </c>
      <c r="D90" s="116" t="s">
        <v>437</v>
      </c>
      <c r="E90" s="116" t="s">
        <v>590</v>
      </c>
      <c r="F90" s="120">
        <v>100</v>
      </c>
      <c r="G90" s="121">
        <v>105.69329999999999</v>
      </c>
      <c r="H90" s="119">
        <v>6.09</v>
      </c>
      <c r="I90" s="122">
        <v>2514</v>
      </c>
      <c r="J90" s="116" t="s">
        <v>263</v>
      </c>
    </row>
    <row r="91" spans="1:10" x14ac:dyDescent="0.25">
      <c r="A91" s="118">
        <v>88</v>
      </c>
      <c r="B91" s="115" t="s">
        <v>603</v>
      </c>
      <c r="C91" s="116" t="s">
        <v>604</v>
      </c>
      <c r="D91" s="116" t="s">
        <v>437</v>
      </c>
      <c r="E91" s="116" t="s">
        <v>605</v>
      </c>
      <c r="F91" s="120">
        <v>101.05847880079365</v>
      </c>
      <c r="G91" s="121">
        <v>101.37017880079365</v>
      </c>
      <c r="H91" s="119">
        <v>0.52</v>
      </c>
      <c r="I91" s="122">
        <v>4853</v>
      </c>
      <c r="J91" s="116" t="s">
        <v>263</v>
      </c>
    </row>
    <row r="92" spans="1:10" x14ac:dyDescent="0.25">
      <c r="A92" s="118">
        <v>89</v>
      </c>
      <c r="B92" s="115" t="s">
        <v>2159</v>
      </c>
      <c r="C92" s="116" t="s">
        <v>2160</v>
      </c>
      <c r="D92" s="116" t="s">
        <v>437</v>
      </c>
      <c r="E92" s="116" t="s">
        <v>2161</v>
      </c>
      <c r="F92" s="120">
        <v>97.406285361946445</v>
      </c>
      <c r="G92" s="121">
        <v>99.881285361946439</v>
      </c>
      <c r="H92" s="119">
        <v>21.55</v>
      </c>
      <c r="I92" s="122">
        <v>946</v>
      </c>
      <c r="J92" s="116" t="s">
        <v>263</v>
      </c>
    </row>
    <row r="93" spans="1:10" x14ac:dyDescent="0.25">
      <c r="A93" s="118">
        <v>90</v>
      </c>
      <c r="B93" s="115" t="s">
        <v>606</v>
      </c>
      <c r="C93" s="116" t="s">
        <v>607</v>
      </c>
      <c r="D93" s="116" t="s">
        <v>427</v>
      </c>
      <c r="E93" s="116" t="s">
        <v>608</v>
      </c>
      <c r="F93" s="120">
        <v>13.26</v>
      </c>
      <c r="G93" s="121">
        <v>13.26</v>
      </c>
      <c r="H93" s="119">
        <v>0</v>
      </c>
      <c r="I93" s="122">
        <v>0</v>
      </c>
      <c r="J93" s="116" t="s">
        <v>232</v>
      </c>
    </row>
    <row r="94" spans="1:10" x14ac:dyDescent="0.25">
      <c r="A94" s="118">
        <v>91</v>
      </c>
      <c r="B94" s="115" t="s">
        <v>609</v>
      </c>
      <c r="C94" s="116" t="s">
        <v>610</v>
      </c>
      <c r="D94" s="116" t="s">
        <v>502</v>
      </c>
      <c r="E94" s="116" t="s">
        <v>608</v>
      </c>
      <c r="F94" s="120">
        <v>2737.9090000000001</v>
      </c>
      <c r="G94" s="121">
        <v>2737.9090000000001</v>
      </c>
      <c r="H94" s="119">
        <v>0</v>
      </c>
      <c r="I94" s="122">
        <v>0</v>
      </c>
      <c r="J94" s="116" t="s">
        <v>232</v>
      </c>
    </row>
    <row r="95" spans="1:10" x14ac:dyDescent="0.25">
      <c r="A95" s="118">
        <v>92</v>
      </c>
      <c r="B95" s="115" t="s">
        <v>612</v>
      </c>
      <c r="C95" s="116" t="s">
        <v>613</v>
      </c>
      <c r="D95" s="116" t="s">
        <v>437</v>
      </c>
      <c r="E95" s="116" t="s">
        <v>611</v>
      </c>
      <c r="F95" s="120">
        <v>87.0835576946874</v>
      </c>
      <c r="G95" s="121">
        <v>90.138557694687393</v>
      </c>
      <c r="H95" s="119">
        <v>17.829999999999998</v>
      </c>
      <c r="I95" s="122">
        <v>1812</v>
      </c>
      <c r="J95" s="116" t="s">
        <v>263</v>
      </c>
    </row>
    <row r="96" spans="1:10" x14ac:dyDescent="0.25">
      <c r="A96" s="118">
        <v>93</v>
      </c>
      <c r="B96" s="115" t="s">
        <v>614</v>
      </c>
      <c r="C96" s="116" t="s">
        <v>615</v>
      </c>
      <c r="D96" s="116" t="s">
        <v>437</v>
      </c>
      <c r="E96" s="116" t="s">
        <v>611</v>
      </c>
      <c r="F96" s="120">
        <v>100.38</v>
      </c>
      <c r="G96" s="121">
        <v>100.7967</v>
      </c>
      <c r="H96" s="119">
        <v>3.58</v>
      </c>
      <c r="I96" s="122">
        <v>860</v>
      </c>
      <c r="J96" s="116" t="s">
        <v>263</v>
      </c>
    </row>
    <row r="97" spans="1:10" x14ac:dyDescent="0.25">
      <c r="A97" s="118">
        <v>94</v>
      </c>
      <c r="B97" s="115" t="s">
        <v>616</v>
      </c>
      <c r="C97" s="116" t="s">
        <v>617</v>
      </c>
      <c r="D97" s="116" t="s">
        <v>437</v>
      </c>
      <c r="E97" s="116" t="s">
        <v>611</v>
      </c>
      <c r="F97" s="120">
        <v>102.27500000000001</v>
      </c>
      <c r="G97" s="121">
        <v>103.3566</v>
      </c>
      <c r="H97" s="119">
        <v>3.63</v>
      </c>
      <c r="I97" s="122">
        <v>1171</v>
      </c>
      <c r="J97" s="116" t="s">
        <v>263</v>
      </c>
    </row>
    <row r="98" spans="1:10" x14ac:dyDescent="0.25">
      <c r="A98" s="118">
        <v>95</v>
      </c>
      <c r="B98" s="115" t="s">
        <v>1894</v>
      </c>
      <c r="C98" s="116" t="s">
        <v>1895</v>
      </c>
      <c r="D98" s="116" t="s">
        <v>437</v>
      </c>
      <c r="E98" s="116" t="s">
        <v>611</v>
      </c>
      <c r="F98" s="120">
        <v>95.64103871656944</v>
      </c>
      <c r="G98" s="121">
        <v>97.344838716569441</v>
      </c>
      <c r="H98" s="119">
        <v>18.23</v>
      </c>
      <c r="I98" s="122">
        <v>406</v>
      </c>
      <c r="J98" s="116" t="s">
        <v>263</v>
      </c>
    </row>
    <row r="99" spans="1:10" x14ac:dyDescent="0.25">
      <c r="A99" s="118">
        <v>96</v>
      </c>
      <c r="B99" s="115" t="s">
        <v>618</v>
      </c>
      <c r="C99" s="116" t="s">
        <v>619</v>
      </c>
      <c r="D99" s="116" t="s">
        <v>437</v>
      </c>
      <c r="E99" s="116" t="s">
        <v>611</v>
      </c>
      <c r="F99" s="120">
        <v>99.213390055030032</v>
      </c>
      <c r="G99" s="121">
        <v>100.31069005503004</v>
      </c>
      <c r="H99" s="119">
        <v>16.11</v>
      </c>
      <c r="I99" s="122">
        <v>55</v>
      </c>
      <c r="J99" s="116" t="s">
        <v>263</v>
      </c>
    </row>
    <row r="100" spans="1:10" x14ac:dyDescent="0.25">
      <c r="A100" s="118">
        <v>97</v>
      </c>
      <c r="B100" s="115" t="s">
        <v>1958</v>
      </c>
      <c r="C100" s="116" t="s">
        <v>1959</v>
      </c>
      <c r="D100" s="116" t="s">
        <v>437</v>
      </c>
      <c r="E100" s="116" t="s">
        <v>611</v>
      </c>
      <c r="F100" s="120">
        <v>91.67475779024565</v>
      </c>
      <c r="G100" s="121">
        <v>94.957957790245658</v>
      </c>
      <c r="H100" s="119">
        <v>18.2</v>
      </c>
      <c r="I100" s="122">
        <v>1543</v>
      </c>
      <c r="J100" s="116" t="s">
        <v>263</v>
      </c>
    </row>
    <row r="101" spans="1:10" x14ac:dyDescent="0.25">
      <c r="A101" s="118">
        <v>98</v>
      </c>
      <c r="B101" s="115" t="s">
        <v>2399</v>
      </c>
      <c r="C101" s="116" t="s">
        <v>2400</v>
      </c>
      <c r="D101" s="116" t="s">
        <v>437</v>
      </c>
      <c r="E101" s="116" t="s">
        <v>611</v>
      </c>
      <c r="F101" s="120">
        <v>96.651304199808607</v>
      </c>
      <c r="G101" s="121">
        <v>101.84570419980861</v>
      </c>
      <c r="H101" s="119">
        <v>18.52</v>
      </c>
      <c r="I101" s="122">
        <v>1002</v>
      </c>
      <c r="J101" s="116" t="s">
        <v>263</v>
      </c>
    </row>
    <row r="102" spans="1:10" x14ac:dyDescent="0.25">
      <c r="A102" s="118">
        <v>99</v>
      </c>
      <c r="B102" s="115" t="s">
        <v>2336</v>
      </c>
      <c r="C102" s="116" t="s">
        <v>2337</v>
      </c>
      <c r="D102" s="116" t="s">
        <v>437</v>
      </c>
      <c r="E102" s="116" t="s">
        <v>611</v>
      </c>
      <c r="F102" s="120">
        <v>100</v>
      </c>
      <c r="G102" s="121">
        <v>100.5941</v>
      </c>
      <c r="H102" s="119">
        <v>18.059999999999999</v>
      </c>
      <c r="I102" s="122">
        <v>1265</v>
      </c>
      <c r="J102" s="116" t="s">
        <v>263</v>
      </c>
    </row>
    <row r="103" spans="1:10" x14ac:dyDescent="0.25">
      <c r="A103" s="118">
        <v>100</v>
      </c>
      <c r="B103" s="115" t="s">
        <v>2577</v>
      </c>
      <c r="C103" s="116" t="s">
        <v>2578</v>
      </c>
      <c r="D103" s="116" t="s">
        <v>437</v>
      </c>
      <c r="E103" s="116" t="s">
        <v>611</v>
      </c>
      <c r="F103" s="120">
        <v>100</v>
      </c>
      <c r="G103" s="121">
        <v>100.49509999999999</v>
      </c>
      <c r="H103" s="119">
        <v>18.059999999999999</v>
      </c>
      <c r="I103" s="122">
        <v>1447</v>
      </c>
      <c r="J103" s="116" t="s">
        <v>263</v>
      </c>
    </row>
    <row r="104" spans="1:10" x14ac:dyDescent="0.25">
      <c r="A104" s="118">
        <v>101</v>
      </c>
      <c r="B104" s="115" t="s">
        <v>620</v>
      </c>
      <c r="C104" s="116" t="s">
        <v>621</v>
      </c>
      <c r="D104" s="116" t="s">
        <v>437</v>
      </c>
      <c r="E104" s="116" t="s">
        <v>611</v>
      </c>
      <c r="F104" s="120">
        <v>76.775000000000006</v>
      </c>
      <c r="G104" s="121">
        <v>78.974199999999996</v>
      </c>
      <c r="H104" s="119">
        <v>16.96</v>
      </c>
      <c r="I104" s="122">
        <v>1812</v>
      </c>
      <c r="J104" s="116" t="s">
        <v>263</v>
      </c>
    </row>
    <row r="105" spans="1:10" x14ac:dyDescent="0.25">
      <c r="A105" s="118">
        <v>102</v>
      </c>
      <c r="B105" s="115" t="s">
        <v>622</v>
      </c>
      <c r="C105" s="116" t="s">
        <v>623</v>
      </c>
      <c r="D105" s="116" t="s">
        <v>427</v>
      </c>
      <c r="E105" s="116" t="s">
        <v>611</v>
      </c>
      <c r="F105" s="120">
        <v>1.0115083333333332</v>
      </c>
      <c r="G105" s="121">
        <v>1.0115083333333332</v>
      </c>
      <c r="H105" s="119">
        <v>0</v>
      </c>
      <c r="I105" s="122">
        <v>102</v>
      </c>
      <c r="J105" s="116" t="s">
        <v>232</v>
      </c>
    </row>
    <row r="106" spans="1:10" x14ac:dyDescent="0.25">
      <c r="A106" s="118">
        <v>103</v>
      </c>
      <c r="B106" s="115" t="s">
        <v>624</v>
      </c>
      <c r="C106" s="116" t="s">
        <v>625</v>
      </c>
      <c r="D106" s="116" t="s">
        <v>427</v>
      </c>
      <c r="E106" s="116" t="s">
        <v>611</v>
      </c>
      <c r="F106" s="120">
        <v>0.87100166666666667</v>
      </c>
      <c r="G106" s="121">
        <v>0.87100166666666667</v>
      </c>
      <c r="H106" s="119">
        <v>0</v>
      </c>
      <c r="I106" s="122">
        <v>1363</v>
      </c>
      <c r="J106" s="116" t="s">
        <v>232</v>
      </c>
    </row>
    <row r="107" spans="1:10" x14ac:dyDescent="0.25">
      <c r="A107" s="118">
        <v>104</v>
      </c>
      <c r="B107" s="115" t="s">
        <v>626</v>
      </c>
      <c r="C107" s="116" t="s">
        <v>627</v>
      </c>
      <c r="D107" s="116" t="s">
        <v>437</v>
      </c>
      <c r="E107" s="116" t="s">
        <v>611</v>
      </c>
      <c r="F107" s="120">
        <v>79.555000000000007</v>
      </c>
      <c r="G107" s="121">
        <v>81.938299999999998</v>
      </c>
      <c r="H107" s="119">
        <v>16.96</v>
      </c>
      <c r="I107" s="122">
        <v>1812</v>
      </c>
      <c r="J107" s="116" t="s">
        <v>263</v>
      </c>
    </row>
    <row r="108" spans="1:10" x14ac:dyDescent="0.25">
      <c r="A108" s="118">
        <v>105</v>
      </c>
      <c r="B108" s="115" t="s">
        <v>628</v>
      </c>
      <c r="C108" s="116" t="s">
        <v>629</v>
      </c>
      <c r="D108" s="116" t="s">
        <v>437</v>
      </c>
      <c r="E108" s="116" t="s">
        <v>630</v>
      </c>
      <c r="F108" s="120">
        <v>100</v>
      </c>
      <c r="G108" s="121">
        <v>101.7118</v>
      </c>
      <c r="H108" s="119">
        <v>4.24</v>
      </c>
      <c r="I108" s="122">
        <v>155</v>
      </c>
      <c r="J108" s="116" t="s">
        <v>263</v>
      </c>
    </row>
    <row r="109" spans="1:10" x14ac:dyDescent="0.25">
      <c r="A109" s="118">
        <v>106</v>
      </c>
      <c r="B109" s="115" t="s">
        <v>2155</v>
      </c>
      <c r="C109" s="116" t="s">
        <v>2156</v>
      </c>
      <c r="D109" s="116" t="s">
        <v>437</v>
      </c>
      <c r="E109" s="116" t="s">
        <v>630</v>
      </c>
      <c r="F109" s="120">
        <v>100</v>
      </c>
      <c r="G109" s="121">
        <v>101.66459999999999</v>
      </c>
      <c r="H109" s="119">
        <v>4.24</v>
      </c>
      <c r="I109" s="122">
        <v>519</v>
      </c>
      <c r="J109" s="116" t="s">
        <v>263</v>
      </c>
    </row>
    <row r="110" spans="1:10" x14ac:dyDescent="0.25">
      <c r="A110" s="118">
        <v>107</v>
      </c>
      <c r="B110" s="115" t="s">
        <v>631</v>
      </c>
      <c r="C110" s="116" t="s">
        <v>632</v>
      </c>
      <c r="D110" s="116" t="s">
        <v>437</v>
      </c>
      <c r="E110" s="116" t="s">
        <v>630</v>
      </c>
      <c r="F110" s="120">
        <v>100</v>
      </c>
      <c r="G110" s="121">
        <v>100.0175</v>
      </c>
      <c r="H110" s="119">
        <v>0.35</v>
      </c>
      <c r="I110" s="122">
        <v>162</v>
      </c>
      <c r="J110" s="116" t="s">
        <v>263</v>
      </c>
    </row>
    <row r="111" spans="1:10" x14ac:dyDescent="0.25">
      <c r="A111" s="118">
        <v>108</v>
      </c>
      <c r="B111" s="115" t="s">
        <v>2221</v>
      </c>
      <c r="C111" s="116" t="s">
        <v>2222</v>
      </c>
      <c r="D111" s="116" t="s">
        <v>437</v>
      </c>
      <c r="E111" s="116" t="s">
        <v>630</v>
      </c>
      <c r="F111" s="120">
        <v>100</v>
      </c>
      <c r="G111" s="121">
        <v>100.1215</v>
      </c>
      <c r="H111" s="119">
        <v>0.35</v>
      </c>
      <c r="I111" s="122">
        <v>595</v>
      </c>
      <c r="J111" s="116" t="s">
        <v>263</v>
      </c>
    </row>
    <row r="112" spans="1:10" x14ac:dyDescent="0.25">
      <c r="A112" s="118">
        <v>109</v>
      </c>
      <c r="B112" s="115" t="s">
        <v>633</v>
      </c>
      <c r="C112" s="116" t="s">
        <v>634</v>
      </c>
      <c r="D112" s="116" t="s">
        <v>437</v>
      </c>
      <c r="E112" s="116" t="s">
        <v>630</v>
      </c>
      <c r="F112" s="120">
        <v>100</v>
      </c>
      <c r="G112" s="121">
        <v>100.0067</v>
      </c>
      <c r="H112" s="119">
        <v>0.02</v>
      </c>
      <c r="I112" s="122">
        <v>2995</v>
      </c>
      <c r="J112" s="116" t="s">
        <v>263</v>
      </c>
    </row>
    <row r="113" spans="1:10" x14ac:dyDescent="0.25">
      <c r="A113" s="118">
        <v>110</v>
      </c>
      <c r="B113" s="115" t="s">
        <v>635</v>
      </c>
      <c r="C113" s="116" t="s">
        <v>636</v>
      </c>
      <c r="D113" s="116" t="s">
        <v>437</v>
      </c>
      <c r="E113" s="116" t="s">
        <v>630</v>
      </c>
      <c r="F113" s="120">
        <v>100</v>
      </c>
      <c r="G113" s="121">
        <v>102.7111</v>
      </c>
      <c r="H113" s="119">
        <v>6.08</v>
      </c>
      <c r="I113" s="122">
        <v>1610</v>
      </c>
      <c r="J113" s="116" t="s">
        <v>263</v>
      </c>
    </row>
    <row r="114" spans="1:10" x14ac:dyDescent="0.25">
      <c r="A114" s="118">
        <v>111</v>
      </c>
      <c r="B114" s="115" t="s">
        <v>637</v>
      </c>
      <c r="C114" s="116" t="s">
        <v>638</v>
      </c>
      <c r="D114" s="116" t="s">
        <v>427</v>
      </c>
      <c r="E114" s="116" t="s">
        <v>639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232</v>
      </c>
    </row>
    <row r="115" spans="1:10" x14ac:dyDescent="0.25">
      <c r="A115" s="118">
        <v>112</v>
      </c>
      <c r="B115" s="115" t="s">
        <v>640</v>
      </c>
      <c r="C115" s="116" t="s">
        <v>641</v>
      </c>
      <c r="D115" s="116" t="s">
        <v>437</v>
      </c>
      <c r="E115" s="116" t="s">
        <v>639</v>
      </c>
      <c r="F115" s="120">
        <v>95.051458434052179</v>
      </c>
      <c r="G115" s="121">
        <v>95.151458434052174</v>
      </c>
      <c r="H115" s="119">
        <v>14.55</v>
      </c>
      <c r="I115" s="122">
        <v>356</v>
      </c>
      <c r="J115" s="116" t="s">
        <v>263</v>
      </c>
    </row>
    <row r="116" spans="1:10" x14ac:dyDescent="0.25">
      <c r="A116" s="118">
        <v>113</v>
      </c>
      <c r="B116" s="115" t="s">
        <v>642</v>
      </c>
      <c r="C116" s="116" t="s">
        <v>643</v>
      </c>
      <c r="D116" s="116" t="s">
        <v>427</v>
      </c>
      <c r="E116" s="116" t="s">
        <v>639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232</v>
      </c>
    </row>
    <row r="117" spans="1:10" x14ac:dyDescent="0.25">
      <c r="A117" s="118">
        <v>114</v>
      </c>
      <c r="B117" s="115" t="s">
        <v>644</v>
      </c>
      <c r="C117" s="116" t="s">
        <v>645</v>
      </c>
      <c r="D117" s="116" t="s">
        <v>427</v>
      </c>
      <c r="E117" s="116" t="s">
        <v>646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232</v>
      </c>
    </row>
    <row r="118" spans="1:10" x14ac:dyDescent="0.25">
      <c r="A118" s="118">
        <v>115</v>
      </c>
      <c r="B118" s="115" t="s">
        <v>647</v>
      </c>
      <c r="C118" s="116" t="s">
        <v>648</v>
      </c>
      <c r="D118" s="116" t="s">
        <v>437</v>
      </c>
      <c r="E118" s="116" t="s">
        <v>649</v>
      </c>
      <c r="F118" s="120">
        <v>94.46625698687474</v>
      </c>
      <c r="G118" s="121">
        <v>94.899556986874742</v>
      </c>
      <c r="H118" s="119">
        <v>27.81</v>
      </c>
      <c r="I118" s="122">
        <v>2514</v>
      </c>
      <c r="J118" s="116" t="s">
        <v>263</v>
      </c>
    </row>
    <row r="119" spans="1:10" x14ac:dyDescent="0.25">
      <c r="A119" s="118">
        <v>116</v>
      </c>
      <c r="B119" s="115" t="s">
        <v>650</v>
      </c>
      <c r="C119" s="116" t="s">
        <v>651</v>
      </c>
      <c r="D119" s="116" t="s">
        <v>437</v>
      </c>
      <c r="E119" s="116" t="s">
        <v>649</v>
      </c>
      <c r="F119" s="120">
        <v>91.045764570653176</v>
      </c>
      <c r="G119" s="121">
        <v>93.892964570653177</v>
      </c>
      <c r="H119" s="119">
        <v>27.76</v>
      </c>
      <c r="I119" s="122">
        <v>3019</v>
      </c>
      <c r="J119" s="116" t="s">
        <v>263</v>
      </c>
    </row>
    <row r="120" spans="1:10" x14ac:dyDescent="0.25">
      <c r="A120" s="118">
        <v>117</v>
      </c>
      <c r="B120" s="115" t="s">
        <v>652</v>
      </c>
      <c r="C120" s="116" t="s">
        <v>653</v>
      </c>
      <c r="D120" s="116" t="s">
        <v>427</v>
      </c>
      <c r="E120" s="116" t="s">
        <v>654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232</v>
      </c>
    </row>
    <row r="121" spans="1:10" x14ac:dyDescent="0.25">
      <c r="A121" s="118">
        <v>118</v>
      </c>
      <c r="B121" s="115" t="s">
        <v>658</v>
      </c>
      <c r="C121" s="116" t="s">
        <v>659</v>
      </c>
      <c r="D121" s="116" t="s">
        <v>427</v>
      </c>
      <c r="E121" s="116" t="s">
        <v>660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232</v>
      </c>
    </row>
    <row r="122" spans="1:10" x14ac:dyDescent="0.25">
      <c r="A122" s="118">
        <v>119</v>
      </c>
      <c r="B122" s="115" t="s">
        <v>661</v>
      </c>
      <c r="C122" s="116" t="s">
        <v>662</v>
      </c>
      <c r="D122" s="116" t="s">
        <v>437</v>
      </c>
      <c r="E122" s="116" t="s">
        <v>2122</v>
      </c>
      <c r="F122" s="120">
        <v>98.01264185690755</v>
      </c>
      <c r="G122" s="121">
        <v>100.47634185690755</v>
      </c>
      <c r="H122" s="119">
        <v>18.46</v>
      </c>
      <c r="I122" s="122">
        <v>99</v>
      </c>
      <c r="J122" s="116" t="s">
        <v>263</v>
      </c>
    </row>
    <row r="123" spans="1:10" x14ac:dyDescent="0.25">
      <c r="A123" s="118">
        <v>120</v>
      </c>
      <c r="B123" s="115" t="s">
        <v>663</v>
      </c>
      <c r="C123" s="116" t="s">
        <v>664</v>
      </c>
      <c r="D123" s="116" t="s">
        <v>437</v>
      </c>
      <c r="E123" s="116" t="s">
        <v>2122</v>
      </c>
      <c r="F123" s="120">
        <v>9.095361569950791</v>
      </c>
      <c r="G123" s="121">
        <v>9.1084615699507925</v>
      </c>
      <c r="H123" s="119">
        <v>16.55</v>
      </c>
      <c r="I123" s="122">
        <v>5366</v>
      </c>
      <c r="J123" s="116" t="s">
        <v>263</v>
      </c>
    </row>
    <row r="124" spans="1:10" x14ac:dyDescent="0.25">
      <c r="A124" s="118">
        <v>121</v>
      </c>
      <c r="B124" s="115" t="s">
        <v>665</v>
      </c>
      <c r="C124" s="116" t="s">
        <v>666</v>
      </c>
      <c r="D124" s="116" t="s">
        <v>437</v>
      </c>
      <c r="E124" s="116" t="s">
        <v>667</v>
      </c>
      <c r="F124" s="120">
        <v>100</v>
      </c>
      <c r="G124" s="121">
        <v>101.2278</v>
      </c>
      <c r="H124" s="119">
        <v>4.2300000000000004</v>
      </c>
      <c r="I124" s="122">
        <v>196</v>
      </c>
      <c r="J124" s="116" t="s">
        <v>263</v>
      </c>
    </row>
    <row r="125" spans="1:10" x14ac:dyDescent="0.25">
      <c r="A125" s="118">
        <v>122</v>
      </c>
      <c r="B125" s="115" t="s">
        <v>668</v>
      </c>
      <c r="C125" s="116" t="s">
        <v>669</v>
      </c>
      <c r="D125" s="116" t="s">
        <v>437</v>
      </c>
      <c r="E125" s="116" t="s">
        <v>667</v>
      </c>
      <c r="F125" s="120">
        <v>100</v>
      </c>
      <c r="G125" s="121">
        <v>100.17310000000001</v>
      </c>
      <c r="H125" s="119">
        <v>0.35</v>
      </c>
      <c r="I125" s="122">
        <v>182</v>
      </c>
      <c r="J125" s="116" t="s">
        <v>263</v>
      </c>
    </row>
    <row r="126" spans="1:10" x14ac:dyDescent="0.25">
      <c r="A126" s="118">
        <v>123</v>
      </c>
      <c r="B126" s="115" t="s">
        <v>2133</v>
      </c>
      <c r="C126" s="116" t="s">
        <v>2134</v>
      </c>
      <c r="D126" s="116" t="s">
        <v>437</v>
      </c>
      <c r="E126" s="116" t="s">
        <v>667</v>
      </c>
      <c r="F126" s="120">
        <v>100</v>
      </c>
      <c r="G126" s="121">
        <v>100.1507</v>
      </c>
      <c r="H126" s="119">
        <v>0.35</v>
      </c>
      <c r="I126" s="122">
        <v>565</v>
      </c>
      <c r="J126" s="116" t="s">
        <v>263</v>
      </c>
    </row>
    <row r="127" spans="1:10" x14ac:dyDescent="0.25">
      <c r="A127" s="118">
        <v>124</v>
      </c>
      <c r="B127" s="115" t="s">
        <v>670</v>
      </c>
      <c r="C127" s="116" t="s">
        <v>671</v>
      </c>
      <c r="D127" s="116" t="s">
        <v>437</v>
      </c>
      <c r="E127" s="116" t="s">
        <v>667</v>
      </c>
      <c r="F127" s="120">
        <v>100</v>
      </c>
      <c r="G127" s="121">
        <v>100.0038</v>
      </c>
      <c r="H127" s="119">
        <v>0.02</v>
      </c>
      <c r="I127" s="122">
        <v>2995</v>
      </c>
      <c r="J127" s="116" t="s">
        <v>263</v>
      </c>
    </row>
    <row r="128" spans="1:10" x14ac:dyDescent="0.25">
      <c r="A128" s="118">
        <v>125</v>
      </c>
      <c r="B128" s="115" t="s">
        <v>672</v>
      </c>
      <c r="C128" s="116" t="s">
        <v>673</v>
      </c>
      <c r="D128" s="116" t="s">
        <v>437</v>
      </c>
      <c r="E128" s="116" t="s">
        <v>667</v>
      </c>
      <c r="F128" s="120">
        <v>100</v>
      </c>
      <c r="G128" s="121">
        <v>100.0067</v>
      </c>
      <c r="H128" s="119">
        <v>0.02</v>
      </c>
      <c r="I128" s="122">
        <v>2995</v>
      </c>
      <c r="J128" s="116" t="s">
        <v>263</v>
      </c>
    </row>
    <row r="129" spans="1:10" x14ac:dyDescent="0.25">
      <c r="A129" s="118">
        <v>126</v>
      </c>
      <c r="B129" s="115" t="s">
        <v>674</v>
      </c>
      <c r="C129" s="116" t="s">
        <v>675</v>
      </c>
      <c r="D129" s="116" t="s">
        <v>437</v>
      </c>
      <c r="E129" s="116" t="s">
        <v>667</v>
      </c>
      <c r="F129" s="120">
        <v>100</v>
      </c>
      <c r="G129" s="121">
        <v>102.7111</v>
      </c>
      <c r="H129" s="119">
        <v>6.08</v>
      </c>
      <c r="I129" s="122">
        <v>1610</v>
      </c>
      <c r="J129" s="116" t="s">
        <v>263</v>
      </c>
    </row>
    <row r="130" spans="1:10" x14ac:dyDescent="0.25">
      <c r="A130" s="118">
        <v>127</v>
      </c>
      <c r="B130" s="115" t="s">
        <v>676</v>
      </c>
      <c r="C130" s="116" t="s">
        <v>677</v>
      </c>
      <c r="D130" s="116" t="s">
        <v>437</v>
      </c>
      <c r="E130" s="116" t="s">
        <v>667</v>
      </c>
      <c r="F130" s="120">
        <v>100</v>
      </c>
      <c r="G130" s="121">
        <v>100.74939999999999</v>
      </c>
      <c r="H130" s="119">
        <v>7.08</v>
      </c>
      <c r="I130" s="122">
        <v>2092</v>
      </c>
      <c r="J130" s="116" t="s">
        <v>263</v>
      </c>
    </row>
    <row r="131" spans="1:10" x14ac:dyDescent="0.25">
      <c r="A131" s="118">
        <v>128</v>
      </c>
      <c r="B131" s="115" t="s">
        <v>2225</v>
      </c>
      <c r="C131" s="116" t="s">
        <v>2226</v>
      </c>
      <c r="D131" s="116" t="s">
        <v>437</v>
      </c>
      <c r="E131" s="116" t="s">
        <v>667</v>
      </c>
      <c r="F131" s="120">
        <v>93.495326025988874</v>
      </c>
      <c r="G131" s="121">
        <v>99.814726025988875</v>
      </c>
      <c r="H131" s="119">
        <v>19.670000000000002</v>
      </c>
      <c r="I131" s="122">
        <v>3475</v>
      </c>
      <c r="J131" s="116" t="s">
        <v>263</v>
      </c>
    </row>
    <row r="132" spans="1:10" x14ac:dyDescent="0.25">
      <c r="A132" s="118">
        <v>129</v>
      </c>
      <c r="B132" s="115" t="s">
        <v>2276</v>
      </c>
      <c r="C132" s="116" t="s">
        <v>2277</v>
      </c>
      <c r="D132" s="116" t="s">
        <v>437</v>
      </c>
      <c r="E132" s="116" t="s">
        <v>667</v>
      </c>
      <c r="F132" s="120">
        <v>96.473388500954783</v>
      </c>
      <c r="G132" s="121">
        <v>101.51338850095478</v>
      </c>
      <c r="H132" s="119">
        <v>19.66</v>
      </c>
      <c r="I132" s="122">
        <v>3504</v>
      </c>
      <c r="J132" s="116" t="s">
        <v>263</v>
      </c>
    </row>
    <row r="133" spans="1:10" x14ac:dyDescent="0.25">
      <c r="A133" s="118">
        <v>130</v>
      </c>
      <c r="B133" s="115" t="s">
        <v>2278</v>
      </c>
      <c r="C133" s="116" t="s">
        <v>2279</v>
      </c>
      <c r="D133" s="116" t="s">
        <v>437</v>
      </c>
      <c r="E133" s="116" t="s">
        <v>667</v>
      </c>
      <c r="F133" s="120">
        <v>96.473388500954783</v>
      </c>
      <c r="G133" s="121">
        <v>101.51338850095478</v>
      </c>
      <c r="H133" s="119">
        <v>19.66</v>
      </c>
      <c r="I133" s="122">
        <v>3504</v>
      </c>
      <c r="J133" s="116" t="s">
        <v>263</v>
      </c>
    </row>
    <row r="134" spans="1:10" x14ac:dyDescent="0.25">
      <c r="A134" s="118">
        <v>131</v>
      </c>
      <c r="B134" s="115" t="s">
        <v>2312</v>
      </c>
      <c r="C134" s="116" t="s">
        <v>2313</v>
      </c>
      <c r="D134" s="116" t="s">
        <v>437</v>
      </c>
      <c r="E134" s="116" t="s">
        <v>667</v>
      </c>
      <c r="F134" s="120">
        <v>96.43662793730698</v>
      </c>
      <c r="G134" s="121">
        <v>101.26662793730698</v>
      </c>
      <c r="H134" s="119">
        <v>19.670000000000002</v>
      </c>
      <c r="I134" s="122">
        <v>3508</v>
      </c>
      <c r="J134" s="116" t="s">
        <v>263</v>
      </c>
    </row>
    <row r="135" spans="1:10" x14ac:dyDescent="0.25">
      <c r="A135" s="118">
        <v>132</v>
      </c>
      <c r="B135" s="115" t="s">
        <v>2364</v>
      </c>
      <c r="C135" s="116" t="s">
        <v>2365</v>
      </c>
      <c r="D135" s="116" t="s">
        <v>437</v>
      </c>
      <c r="E135" s="116" t="s">
        <v>667</v>
      </c>
      <c r="F135" s="120">
        <v>96.517299493850786</v>
      </c>
      <c r="G135" s="121">
        <v>100.13979949385079</v>
      </c>
      <c r="H135" s="119">
        <v>19.670000000000002</v>
      </c>
      <c r="I135" s="122">
        <v>3531</v>
      </c>
      <c r="J135" s="116" t="s">
        <v>263</v>
      </c>
    </row>
    <row r="136" spans="1:10" x14ac:dyDescent="0.25">
      <c r="A136" s="118">
        <v>133</v>
      </c>
      <c r="B136" s="115" t="s">
        <v>678</v>
      </c>
      <c r="C136" s="116" t="s">
        <v>679</v>
      </c>
      <c r="D136" s="116" t="s">
        <v>437</v>
      </c>
      <c r="E136" s="116" t="s">
        <v>667</v>
      </c>
      <c r="F136" s="120">
        <v>100</v>
      </c>
      <c r="G136" s="121">
        <v>101.88079999999999</v>
      </c>
      <c r="H136" s="119">
        <v>6.08</v>
      </c>
      <c r="I136" s="122">
        <v>2019</v>
      </c>
      <c r="J136" s="116" t="s">
        <v>263</v>
      </c>
    </row>
    <row r="137" spans="1:10" x14ac:dyDescent="0.25">
      <c r="A137" s="118">
        <v>134</v>
      </c>
      <c r="B137" s="115" t="s">
        <v>680</v>
      </c>
      <c r="C137" s="116" t="s">
        <v>681</v>
      </c>
      <c r="D137" s="116" t="s">
        <v>437</v>
      </c>
      <c r="E137" s="116" t="s">
        <v>667</v>
      </c>
      <c r="F137" s="120">
        <v>100</v>
      </c>
      <c r="G137" s="121">
        <v>100.7286</v>
      </c>
      <c r="H137" s="119">
        <v>6.09</v>
      </c>
      <c r="I137" s="122">
        <v>2447</v>
      </c>
      <c r="J137" s="116" t="s">
        <v>263</v>
      </c>
    </row>
    <row r="138" spans="1:10" x14ac:dyDescent="0.25">
      <c r="A138" s="118">
        <v>135</v>
      </c>
      <c r="B138" s="115" t="s">
        <v>682</v>
      </c>
      <c r="C138" s="116" t="s">
        <v>683</v>
      </c>
      <c r="D138" s="116" t="s">
        <v>437</v>
      </c>
      <c r="E138" s="116" t="s">
        <v>667</v>
      </c>
      <c r="F138" s="120">
        <v>100</v>
      </c>
      <c r="G138" s="121">
        <v>100.7286</v>
      </c>
      <c r="H138" s="119">
        <v>6.09</v>
      </c>
      <c r="I138" s="122">
        <v>2447</v>
      </c>
      <c r="J138" s="116" t="s">
        <v>263</v>
      </c>
    </row>
    <row r="139" spans="1:10" x14ac:dyDescent="0.25">
      <c r="A139" s="118">
        <v>136</v>
      </c>
      <c r="B139" s="115" t="s">
        <v>684</v>
      </c>
      <c r="C139" s="116" t="s">
        <v>685</v>
      </c>
      <c r="D139" s="116" t="s">
        <v>437</v>
      </c>
      <c r="E139" s="116" t="s">
        <v>667</v>
      </c>
      <c r="F139" s="120">
        <v>100</v>
      </c>
      <c r="G139" s="121">
        <v>105.69329999999999</v>
      </c>
      <c r="H139" s="119">
        <v>6.09</v>
      </c>
      <c r="I139" s="122">
        <v>2514</v>
      </c>
      <c r="J139" s="116" t="s">
        <v>263</v>
      </c>
    </row>
    <row r="140" spans="1:10" x14ac:dyDescent="0.25">
      <c r="A140" s="118">
        <v>137</v>
      </c>
      <c r="B140" s="115" t="s">
        <v>686</v>
      </c>
      <c r="C140" s="116" t="s">
        <v>687</v>
      </c>
      <c r="D140" s="116" t="s">
        <v>427</v>
      </c>
      <c r="E140" s="116" t="s">
        <v>688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232</v>
      </c>
    </row>
    <row r="141" spans="1:10" x14ac:dyDescent="0.25">
      <c r="A141" s="118">
        <v>138</v>
      </c>
      <c r="B141" s="115" t="s">
        <v>655</v>
      </c>
      <c r="C141" s="116" t="s">
        <v>656</v>
      </c>
      <c r="D141" s="116" t="s">
        <v>437</v>
      </c>
      <c r="E141" s="116" t="s">
        <v>657</v>
      </c>
      <c r="F141" s="120">
        <v>30.338000000000001</v>
      </c>
      <c r="G141" s="121">
        <v>30.7059</v>
      </c>
      <c r="H141" s="119">
        <v>3.2</v>
      </c>
      <c r="I141" s="122">
        <v>34540</v>
      </c>
      <c r="J141" s="116" t="s">
        <v>263</v>
      </c>
    </row>
    <row r="142" spans="1:10" x14ac:dyDescent="0.25">
      <c r="A142" s="118">
        <v>139</v>
      </c>
      <c r="B142" s="115" t="s">
        <v>689</v>
      </c>
      <c r="C142" s="116" t="s">
        <v>690</v>
      </c>
      <c r="D142" s="116" t="s">
        <v>437</v>
      </c>
      <c r="E142" s="116" t="s">
        <v>691</v>
      </c>
      <c r="F142" s="120">
        <v>93.704905654711609</v>
      </c>
      <c r="G142" s="121">
        <v>95.077105654711616</v>
      </c>
      <c r="H142" s="119">
        <v>28.1</v>
      </c>
      <c r="I142" s="122">
        <v>2411</v>
      </c>
      <c r="J142" s="116" t="s">
        <v>263</v>
      </c>
    </row>
    <row r="143" spans="1:10" x14ac:dyDescent="0.25">
      <c r="A143" s="118">
        <v>140</v>
      </c>
      <c r="B143" s="115" t="s">
        <v>692</v>
      </c>
      <c r="C143" s="116" t="s">
        <v>693</v>
      </c>
      <c r="D143" s="116" t="s">
        <v>437</v>
      </c>
      <c r="E143" s="116" t="s">
        <v>691</v>
      </c>
      <c r="F143" s="120">
        <v>90.259742960493426</v>
      </c>
      <c r="G143" s="121">
        <v>93.59304296049342</v>
      </c>
      <c r="H143" s="119">
        <v>28.03</v>
      </c>
      <c r="I143" s="122">
        <v>3012</v>
      </c>
      <c r="J143" s="116" t="s">
        <v>263</v>
      </c>
    </row>
    <row r="144" spans="1:10" x14ac:dyDescent="0.25">
      <c r="A144" s="118">
        <v>141</v>
      </c>
      <c r="B144" s="115" t="s">
        <v>694</v>
      </c>
      <c r="C144" s="116" t="s">
        <v>695</v>
      </c>
      <c r="D144" s="116" t="s">
        <v>427</v>
      </c>
      <c r="E144" s="116" t="s">
        <v>696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232</v>
      </c>
    </row>
    <row r="145" spans="1:10" x14ac:dyDescent="0.25">
      <c r="A145" s="118">
        <v>142</v>
      </c>
      <c r="B145" s="115" t="s">
        <v>697</v>
      </c>
      <c r="C145" s="116" t="s">
        <v>698</v>
      </c>
      <c r="D145" s="116" t="s">
        <v>427</v>
      </c>
      <c r="E145" s="116" t="s">
        <v>696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232</v>
      </c>
    </row>
    <row r="146" spans="1:10" x14ac:dyDescent="0.25">
      <c r="A146" s="118">
        <v>143</v>
      </c>
      <c r="B146" s="115" t="s">
        <v>702</v>
      </c>
      <c r="C146" s="116" t="s">
        <v>703</v>
      </c>
      <c r="D146" s="116" t="s">
        <v>427</v>
      </c>
      <c r="E146" s="116" t="s">
        <v>704</v>
      </c>
      <c r="F146" s="120">
        <v>27455.830099999999</v>
      </c>
      <c r="G146" s="121">
        <v>27455.830099999999</v>
      </c>
      <c r="H146" s="119">
        <v>0</v>
      </c>
      <c r="I146" s="122">
        <v>0</v>
      </c>
      <c r="J146" s="116" t="s">
        <v>232</v>
      </c>
    </row>
    <row r="147" spans="1:10" x14ac:dyDescent="0.25">
      <c r="A147" s="118">
        <v>144</v>
      </c>
      <c r="B147" s="115" t="s">
        <v>705</v>
      </c>
      <c r="C147" s="116" t="s">
        <v>706</v>
      </c>
      <c r="D147" s="116" t="s">
        <v>427</v>
      </c>
      <c r="E147" s="116" t="s">
        <v>707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232</v>
      </c>
    </row>
    <row r="148" spans="1:10" x14ac:dyDescent="0.25">
      <c r="A148" s="118">
        <v>145</v>
      </c>
      <c r="B148" s="115" t="s">
        <v>699</v>
      </c>
      <c r="C148" s="116" t="s">
        <v>700</v>
      </c>
      <c r="D148" s="116" t="s">
        <v>427</v>
      </c>
      <c r="E148" s="116" t="s">
        <v>701</v>
      </c>
      <c r="F148" s="120">
        <v>101653.6845</v>
      </c>
      <c r="G148" s="121">
        <v>101653.6845</v>
      </c>
      <c r="H148" s="119">
        <v>0</v>
      </c>
      <c r="I148" s="122">
        <v>0</v>
      </c>
      <c r="J148" s="116" t="s">
        <v>232</v>
      </c>
    </row>
    <row r="149" spans="1:10" x14ac:dyDescent="0.25">
      <c r="A149" s="118">
        <v>146</v>
      </c>
      <c r="B149" s="115" t="s">
        <v>708</v>
      </c>
      <c r="C149" s="116" t="s">
        <v>709</v>
      </c>
      <c r="D149" s="116" t="s">
        <v>710</v>
      </c>
      <c r="E149" s="116" t="s">
        <v>28</v>
      </c>
      <c r="F149" s="120">
        <v>66175.216586459588</v>
      </c>
      <c r="G149" s="121">
        <v>66175.216586459588</v>
      </c>
      <c r="H149" s="119">
        <v>0</v>
      </c>
      <c r="I149" s="122">
        <v>0</v>
      </c>
      <c r="J149" s="116" t="s">
        <v>232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710</v>
      </c>
      <c r="E150" s="116" t="s">
        <v>28</v>
      </c>
      <c r="F150" s="120">
        <v>1527.97</v>
      </c>
      <c r="G150" s="121">
        <v>1527.97</v>
      </c>
      <c r="H150" s="119">
        <v>0</v>
      </c>
      <c r="I150" s="122">
        <v>0</v>
      </c>
      <c r="J150" s="116" t="s">
        <v>232</v>
      </c>
    </row>
    <row r="151" spans="1:10" x14ac:dyDescent="0.25">
      <c r="A151" s="118">
        <v>148</v>
      </c>
      <c r="B151" s="115" t="s">
        <v>711</v>
      </c>
      <c r="C151" s="116" t="s">
        <v>712</v>
      </c>
      <c r="D151" s="116" t="s">
        <v>710</v>
      </c>
      <c r="E151" s="116" t="s">
        <v>28</v>
      </c>
      <c r="F151" s="120">
        <v>7.1904066000195286</v>
      </c>
      <c r="G151" s="121">
        <v>7.1904066000195286</v>
      </c>
      <c r="H151" s="119">
        <v>0</v>
      </c>
      <c r="I151" s="122">
        <v>0</v>
      </c>
      <c r="J151" s="116" t="s">
        <v>232</v>
      </c>
    </row>
    <row r="152" spans="1:10" x14ac:dyDescent="0.25">
      <c r="A152" s="118">
        <v>149</v>
      </c>
      <c r="B152" s="115" t="s">
        <v>1970</v>
      </c>
      <c r="C152" s="116" t="s">
        <v>1971</v>
      </c>
      <c r="D152" s="116" t="s">
        <v>710</v>
      </c>
      <c r="E152" s="116" t="s">
        <v>28</v>
      </c>
      <c r="F152" s="120">
        <v>51084.346228672206</v>
      </c>
      <c r="G152" s="121">
        <v>51084.346228672206</v>
      </c>
      <c r="H152" s="119">
        <v>0</v>
      </c>
      <c r="I152" s="122">
        <v>0</v>
      </c>
      <c r="J152" s="116" t="s">
        <v>232</v>
      </c>
    </row>
    <row r="153" spans="1:10" x14ac:dyDescent="0.25">
      <c r="A153" s="118">
        <v>150</v>
      </c>
      <c r="B153" s="115" t="s">
        <v>713</v>
      </c>
      <c r="C153" s="116" t="s">
        <v>714</v>
      </c>
      <c r="D153" s="116" t="s">
        <v>427</v>
      </c>
      <c r="E153" s="116" t="s">
        <v>715</v>
      </c>
      <c r="F153" s="120">
        <v>0.01</v>
      </c>
      <c r="G153" s="121">
        <v>0.01</v>
      </c>
      <c r="H153" s="119">
        <v>0</v>
      </c>
      <c r="I153" s="122">
        <v>0</v>
      </c>
      <c r="J153" s="116" t="s">
        <v>232</v>
      </c>
    </row>
    <row r="154" spans="1:10" x14ac:dyDescent="0.25">
      <c r="A154" s="118">
        <v>151</v>
      </c>
      <c r="B154" s="115" t="s">
        <v>716</v>
      </c>
      <c r="C154" s="116" t="s">
        <v>717</v>
      </c>
      <c r="D154" s="116" t="s">
        <v>437</v>
      </c>
      <c r="E154" s="116" t="s">
        <v>1964</v>
      </c>
      <c r="F154" s="120">
        <v>31.403954652057632</v>
      </c>
      <c r="G154" s="121">
        <v>31.406854652057632</v>
      </c>
      <c r="H154" s="119">
        <v>16.93</v>
      </c>
      <c r="I154" s="122">
        <v>2567</v>
      </c>
      <c r="J154" s="116" t="s">
        <v>263</v>
      </c>
    </row>
    <row r="155" spans="1:10" x14ac:dyDescent="0.25">
      <c r="A155" s="118">
        <v>152</v>
      </c>
      <c r="B155" s="115" t="s">
        <v>718</v>
      </c>
      <c r="C155" s="116" t="s">
        <v>719</v>
      </c>
      <c r="D155" s="116" t="s">
        <v>437</v>
      </c>
      <c r="E155" s="116" t="s">
        <v>1964</v>
      </c>
      <c r="F155" s="120">
        <v>99.41588241270972</v>
      </c>
      <c r="G155" s="121">
        <v>104.25148241270972</v>
      </c>
      <c r="H155" s="119">
        <v>18.39</v>
      </c>
      <c r="I155" s="122">
        <v>265</v>
      </c>
      <c r="J155" s="116" t="s">
        <v>263</v>
      </c>
    </row>
    <row r="156" spans="1:10" x14ac:dyDescent="0.25">
      <c r="A156" s="118">
        <v>153</v>
      </c>
      <c r="B156" s="115" t="s">
        <v>720</v>
      </c>
      <c r="C156" s="116" t="s">
        <v>721</v>
      </c>
      <c r="D156" s="116" t="s">
        <v>437</v>
      </c>
      <c r="E156" s="116" t="s">
        <v>1964</v>
      </c>
      <c r="F156" s="120">
        <v>99.163994517388431</v>
      </c>
      <c r="G156" s="121">
        <v>104.01329451738845</v>
      </c>
      <c r="H156" s="119">
        <v>18.21</v>
      </c>
      <c r="I156" s="122">
        <v>630</v>
      </c>
      <c r="J156" s="116" t="s">
        <v>263</v>
      </c>
    </row>
    <row r="157" spans="1:10" x14ac:dyDescent="0.25">
      <c r="A157" s="118">
        <v>154</v>
      </c>
      <c r="B157" s="115" t="s">
        <v>415</v>
      </c>
      <c r="C157" s="116" t="s">
        <v>416</v>
      </c>
      <c r="D157" s="116" t="s">
        <v>437</v>
      </c>
      <c r="E157" s="116" t="s">
        <v>722</v>
      </c>
      <c r="F157" s="120">
        <v>97.584304932735421</v>
      </c>
      <c r="G157" s="121">
        <v>99.261404932735431</v>
      </c>
      <c r="H157" s="119">
        <v>20.23</v>
      </c>
      <c r="I157" s="122">
        <v>325</v>
      </c>
      <c r="J157" s="116" t="s">
        <v>263</v>
      </c>
    </row>
    <row r="158" spans="1:10" x14ac:dyDescent="0.25">
      <c r="A158" s="118">
        <v>155</v>
      </c>
      <c r="B158" s="115" t="s">
        <v>723</v>
      </c>
      <c r="C158" s="116" t="s">
        <v>724</v>
      </c>
      <c r="D158" s="116" t="s">
        <v>437</v>
      </c>
      <c r="E158" s="116" t="s">
        <v>722</v>
      </c>
      <c r="F158" s="120">
        <v>100.95829906435297</v>
      </c>
      <c r="G158" s="121">
        <v>101.68749906435296</v>
      </c>
      <c r="H158" s="119">
        <v>6.38</v>
      </c>
      <c r="I158" s="122">
        <v>325</v>
      </c>
      <c r="J158" s="116" t="s">
        <v>263</v>
      </c>
    </row>
    <row r="159" spans="1:10" x14ac:dyDescent="0.25">
      <c r="A159" s="118">
        <v>156</v>
      </c>
      <c r="B159" s="115" t="s">
        <v>2083</v>
      </c>
      <c r="C159" s="116" t="s">
        <v>2084</v>
      </c>
      <c r="D159" s="116" t="s">
        <v>437</v>
      </c>
      <c r="E159" s="116" t="s">
        <v>722</v>
      </c>
      <c r="F159" s="120">
        <v>98.696326680201253</v>
      </c>
      <c r="G159" s="121">
        <v>99.021326680201255</v>
      </c>
      <c r="H159" s="119">
        <v>20.55</v>
      </c>
      <c r="I159" s="122">
        <v>534</v>
      </c>
      <c r="J159" s="116" t="s">
        <v>263</v>
      </c>
    </row>
    <row r="160" spans="1:10" x14ac:dyDescent="0.25">
      <c r="A160" s="118">
        <v>157</v>
      </c>
      <c r="B160" s="115" t="s">
        <v>2389</v>
      </c>
      <c r="C160" s="116" t="s">
        <v>2390</v>
      </c>
      <c r="D160" s="116" t="s">
        <v>437</v>
      </c>
      <c r="E160" s="116" t="s">
        <v>722</v>
      </c>
      <c r="F160" s="120">
        <v>99.83643030398359</v>
      </c>
      <c r="G160" s="121">
        <v>104.2211303039836</v>
      </c>
      <c r="H160" s="119">
        <v>20.53</v>
      </c>
      <c r="I160" s="122">
        <v>643</v>
      </c>
      <c r="J160" s="116" t="s">
        <v>263</v>
      </c>
    </row>
    <row r="161" spans="1:10" x14ac:dyDescent="0.25">
      <c r="A161" s="118">
        <v>158</v>
      </c>
      <c r="B161" s="115" t="s">
        <v>725</v>
      </c>
      <c r="C161" s="116" t="s">
        <v>726</v>
      </c>
      <c r="D161" s="116" t="s">
        <v>427</v>
      </c>
      <c r="E161" s="116" t="s">
        <v>727</v>
      </c>
      <c r="F161" s="120">
        <v>91485.793000000005</v>
      </c>
      <c r="G161" s="121">
        <v>91485.793000000005</v>
      </c>
      <c r="H161" s="119">
        <v>0</v>
      </c>
      <c r="I161" s="122">
        <v>0</v>
      </c>
      <c r="J161" s="116" t="s">
        <v>232</v>
      </c>
    </row>
    <row r="162" spans="1:10" x14ac:dyDescent="0.25">
      <c r="A162" s="118">
        <v>159</v>
      </c>
      <c r="B162" s="115" t="s">
        <v>1992</v>
      </c>
      <c r="C162" s="116" t="s">
        <v>1768</v>
      </c>
      <c r="D162" s="116" t="s">
        <v>730</v>
      </c>
      <c r="E162" s="116" t="s">
        <v>1769</v>
      </c>
      <c r="F162" s="120">
        <v>46171.815000000002</v>
      </c>
      <c r="G162" s="121">
        <v>46171.815000000002</v>
      </c>
      <c r="H162" s="119">
        <v>0</v>
      </c>
      <c r="I162" s="122">
        <v>0</v>
      </c>
      <c r="J162" s="116" t="s">
        <v>232</v>
      </c>
    </row>
    <row r="163" spans="1:10" x14ac:dyDescent="0.25">
      <c r="A163" s="118">
        <v>160</v>
      </c>
      <c r="B163" s="115" t="s">
        <v>2538</v>
      </c>
      <c r="C163" s="116" t="s">
        <v>2539</v>
      </c>
      <c r="D163" s="116" t="s">
        <v>730</v>
      </c>
      <c r="E163" s="116" t="s">
        <v>731</v>
      </c>
      <c r="F163" s="120">
        <v>11106.4661</v>
      </c>
      <c r="G163" s="121">
        <v>11106.4661</v>
      </c>
      <c r="H163" s="119">
        <v>0</v>
      </c>
      <c r="I163" s="122">
        <v>0</v>
      </c>
      <c r="J163" s="116" t="s">
        <v>232</v>
      </c>
    </row>
    <row r="164" spans="1:10" x14ac:dyDescent="0.25">
      <c r="A164" s="118">
        <v>161</v>
      </c>
      <c r="B164" s="115" t="s">
        <v>728</v>
      </c>
      <c r="C164" s="116" t="s">
        <v>729</v>
      </c>
      <c r="D164" s="116" t="s">
        <v>730</v>
      </c>
      <c r="E164" s="116" t="s">
        <v>731</v>
      </c>
      <c r="F164" s="120">
        <v>6905.5878499999999</v>
      </c>
      <c r="G164" s="121">
        <v>6905.5878499999999</v>
      </c>
      <c r="H164" s="119">
        <v>0</v>
      </c>
      <c r="I164" s="122">
        <v>0</v>
      </c>
      <c r="J164" s="116" t="s">
        <v>232</v>
      </c>
    </row>
    <row r="165" spans="1:10" x14ac:dyDescent="0.25">
      <c r="A165" s="118">
        <v>162</v>
      </c>
      <c r="B165" s="115" t="s">
        <v>732</v>
      </c>
      <c r="C165" s="116" t="s">
        <v>733</v>
      </c>
      <c r="D165" s="116" t="s">
        <v>437</v>
      </c>
      <c r="E165" s="116" t="s">
        <v>734</v>
      </c>
      <c r="F165" s="120">
        <v>98.543122719622076</v>
      </c>
      <c r="G165" s="121">
        <v>99.618122719622079</v>
      </c>
      <c r="H165" s="119">
        <v>23.23</v>
      </c>
      <c r="I165" s="122">
        <v>342</v>
      </c>
      <c r="J165" s="116" t="s">
        <v>263</v>
      </c>
    </row>
    <row r="166" spans="1:10" x14ac:dyDescent="0.25">
      <c r="A166" s="118">
        <v>163</v>
      </c>
      <c r="B166" s="115" t="s">
        <v>735</v>
      </c>
      <c r="C166" s="116" t="s">
        <v>736</v>
      </c>
      <c r="D166" s="116" t="s">
        <v>730</v>
      </c>
      <c r="E166" s="116" t="s">
        <v>737</v>
      </c>
      <c r="F166" s="120">
        <v>18370.32705</v>
      </c>
      <c r="G166" s="121">
        <v>18370.32705</v>
      </c>
      <c r="H166" s="119">
        <v>0</v>
      </c>
      <c r="I166" s="122">
        <v>0</v>
      </c>
      <c r="J166" s="116" t="s">
        <v>232</v>
      </c>
    </row>
    <row r="167" spans="1:10" x14ac:dyDescent="0.25">
      <c r="A167" s="118">
        <v>164</v>
      </c>
      <c r="B167" s="115" t="s">
        <v>738</v>
      </c>
      <c r="C167" s="116" t="s">
        <v>739</v>
      </c>
      <c r="D167" s="116" t="s">
        <v>437</v>
      </c>
      <c r="E167" s="116" t="s">
        <v>740</v>
      </c>
      <c r="F167" s="120">
        <v>92.220665306719283</v>
      </c>
      <c r="G167" s="121">
        <v>97.915065306719285</v>
      </c>
      <c r="H167" s="119">
        <v>24.51</v>
      </c>
      <c r="I167" s="122">
        <v>980</v>
      </c>
      <c r="J167" s="116" t="s">
        <v>263</v>
      </c>
    </row>
    <row r="168" spans="1:10" x14ac:dyDescent="0.25">
      <c r="A168" s="118">
        <v>165</v>
      </c>
      <c r="B168" s="115" t="s">
        <v>741</v>
      </c>
      <c r="C168" s="116" t="s">
        <v>742</v>
      </c>
      <c r="D168" s="116" t="s">
        <v>437</v>
      </c>
      <c r="E168" s="116" t="s">
        <v>29</v>
      </c>
      <c r="F168" s="120">
        <v>72.771468125643921</v>
      </c>
      <c r="G168" s="121">
        <v>75.990268125643922</v>
      </c>
      <c r="H168" s="119">
        <v>18.48</v>
      </c>
      <c r="I168" s="122">
        <v>2417</v>
      </c>
      <c r="J168" s="116" t="s">
        <v>263</v>
      </c>
    </row>
    <row r="169" spans="1:10" x14ac:dyDescent="0.25">
      <c r="A169" s="118">
        <v>166</v>
      </c>
      <c r="B169" s="115" t="s">
        <v>743</v>
      </c>
      <c r="C169" s="116" t="s">
        <v>744</v>
      </c>
      <c r="D169" s="116" t="s">
        <v>437</v>
      </c>
      <c r="E169" s="116" t="s">
        <v>29</v>
      </c>
      <c r="F169" s="120">
        <v>77.315532716592713</v>
      </c>
      <c r="G169" s="121">
        <v>80.503032716592713</v>
      </c>
      <c r="H169" s="119">
        <v>18.670000000000002</v>
      </c>
      <c r="I169" s="122">
        <v>1698</v>
      </c>
      <c r="J169" s="116" t="s">
        <v>263</v>
      </c>
    </row>
    <row r="170" spans="1:10" x14ac:dyDescent="0.25">
      <c r="A170" s="118">
        <v>167</v>
      </c>
      <c r="B170" s="115" t="s">
        <v>745</v>
      </c>
      <c r="C170" s="116" t="s">
        <v>746</v>
      </c>
      <c r="D170" s="116" t="s">
        <v>437</v>
      </c>
      <c r="E170" s="116" t="s">
        <v>29</v>
      </c>
      <c r="F170" s="120">
        <v>83.434015490834881</v>
      </c>
      <c r="G170" s="121">
        <v>86.520115490834883</v>
      </c>
      <c r="H170" s="119">
        <v>19.059999999999999</v>
      </c>
      <c r="I170" s="122">
        <v>979</v>
      </c>
      <c r="J170" s="116" t="s">
        <v>263</v>
      </c>
    </row>
    <row r="171" spans="1:10" x14ac:dyDescent="0.25">
      <c r="A171" s="118">
        <v>168</v>
      </c>
      <c r="B171" s="115" t="s">
        <v>747</v>
      </c>
      <c r="C171" s="116" t="s">
        <v>748</v>
      </c>
      <c r="D171" s="116" t="s">
        <v>437</v>
      </c>
      <c r="E171" s="116" t="s">
        <v>29</v>
      </c>
      <c r="F171" s="120">
        <v>78.782552875593453</v>
      </c>
      <c r="G171" s="121">
        <v>78.843652875593449</v>
      </c>
      <c r="H171" s="119">
        <v>18.79</v>
      </c>
      <c r="I171" s="122">
        <v>1438</v>
      </c>
      <c r="J171" s="116" t="s">
        <v>263</v>
      </c>
    </row>
    <row r="172" spans="1:10" x14ac:dyDescent="0.25">
      <c r="A172" s="118">
        <v>169</v>
      </c>
      <c r="B172" s="115" t="s">
        <v>389</v>
      </c>
      <c r="C172" s="116" t="s">
        <v>390</v>
      </c>
      <c r="D172" s="116" t="s">
        <v>437</v>
      </c>
      <c r="E172" s="116" t="s">
        <v>29</v>
      </c>
      <c r="F172" s="120">
        <v>77.48904489773598</v>
      </c>
      <c r="G172" s="121">
        <v>82.591844897735967</v>
      </c>
      <c r="H172" s="119">
        <v>18.55</v>
      </c>
      <c r="I172" s="122">
        <v>1633</v>
      </c>
      <c r="J172" s="116" t="s">
        <v>263</v>
      </c>
    </row>
    <row r="173" spans="1:10" x14ac:dyDescent="0.25">
      <c r="A173" s="118">
        <v>170</v>
      </c>
      <c r="B173" s="115" t="s">
        <v>749</v>
      </c>
      <c r="C173" s="116" t="s">
        <v>750</v>
      </c>
      <c r="D173" s="116" t="s">
        <v>437</v>
      </c>
      <c r="E173" s="116" t="s">
        <v>29</v>
      </c>
      <c r="F173" s="120">
        <v>95.37959191285681</v>
      </c>
      <c r="G173" s="121">
        <v>100.0184919128568</v>
      </c>
      <c r="H173" s="119">
        <v>19.46</v>
      </c>
      <c r="I173" s="122">
        <v>193</v>
      </c>
      <c r="J173" s="116" t="s">
        <v>263</v>
      </c>
    </row>
    <row r="174" spans="1:10" x14ac:dyDescent="0.25">
      <c r="A174" s="118">
        <v>171</v>
      </c>
      <c r="B174" s="115" t="s">
        <v>751</v>
      </c>
      <c r="C174" s="116" t="s">
        <v>752</v>
      </c>
      <c r="D174" s="116" t="s">
        <v>437</v>
      </c>
      <c r="E174" s="116" t="s">
        <v>29</v>
      </c>
      <c r="F174" s="120">
        <v>9.9883199508574059</v>
      </c>
      <c r="G174" s="121">
        <v>10.012519950857406</v>
      </c>
      <c r="H174" s="119">
        <v>17.98</v>
      </c>
      <c r="I174" s="122">
        <v>4982</v>
      </c>
      <c r="J174" s="116" t="s">
        <v>263</v>
      </c>
    </row>
    <row r="175" spans="1:10" x14ac:dyDescent="0.25">
      <c r="A175" s="118">
        <v>172</v>
      </c>
      <c r="B175" s="115" t="s">
        <v>753</v>
      </c>
      <c r="C175" s="116" t="s">
        <v>754</v>
      </c>
      <c r="D175" s="116" t="s">
        <v>437</v>
      </c>
      <c r="E175" s="116" t="s">
        <v>29</v>
      </c>
      <c r="F175" s="120">
        <v>9.1014598801219435</v>
      </c>
      <c r="G175" s="121">
        <v>9.1101598801219428</v>
      </c>
      <c r="H175" s="119">
        <v>17.97</v>
      </c>
      <c r="I175" s="122">
        <v>5199</v>
      </c>
      <c r="J175" s="116" t="s">
        <v>263</v>
      </c>
    </row>
    <row r="176" spans="1:10" x14ac:dyDescent="0.25">
      <c r="A176" s="118">
        <v>173</v>
      </c>
      <c r="B176" s="115" t="s">
        <v>755</v>
      </c>
      <c r="C176" s="116" t="s">
        <v>756</v>
      </c>
      <c r="D176" s="116" t="s">
        <v>437</v>
      </c>
      <c r="E176" s="116" t="s">
        <v>29</v>
      </c>
      <c r="F176" s="120">
        <v>78.330352470620383</v>
      </c>
      <c r="G176" s="121">
        <v>84.099252470620385</v>
      </c>
      <c r="H176" s="119">
        <v>18.64</v>
      </c>
      <c r="I176" s="122">
        <v>1804</v>
      </c>
      <c r="J176" s="116" t="s">
        <v>263</v>
      </c>
    </row>
    <row r="177" spans="1:10" x14ac:dyDescent="0.25">
      <c r="A177" s="118">
        <v>174</v>
      </c>
      <c r="B177" s="115" t="s">
        <v>757</v>
      </c>
      <c r="C177" s="116" t="s">
        <v>758</v>
      </c>
      <c r="D177" s="116" t="s">
        <v>437</v>
      </c>
      <c r="E177" s="116" t="s">
        <v>29</v>
      </c>
      <c r="F177" s="120">
        <v>88.064224848517497</v>
      </c>
      <c r="G177" s="121">
        <v>93.8331248485175</v>
      </c>
      <c r="H177" s="119">
        <v>19.23</v>
      </c>
      <c r="I177" s="122">
        <v>724</v>
      </c>
      <c r="J177" s="116" t="s">
        <v>263</v>
      </c>
    </row>
    <row r="178" spans="1:10" x14ac:dyDescent="0.25">
      <c r="A178" s="118">
        <v>175</v>
      </c>
      <c r="B178" s="115" t="s">
        <v>759</v>
      </c>
      <c r="C178" s="116" t="s">
        <v>760</v>
      </c>
      <c r="D178" s="116" t="s">
        <v>437</v>
      </c>
      <c r="E178" s="116" t="s">
        <v>29</v>
      </c>
      <c r="F178" s="120">
        <v>58.955507869851992</v>
      </c>
      <c r="G178" s="121">
        <v>59.704907869851993</v>
      </c>
      <c r="H178" s="119">
        <v>19.350000000000001</v>
      </c>
      <c r="I178" s="122">
        <v>2122</v>
      </c>
      <c r="J178" s="116" t="s">
        <v>263</v>
      </c>
    </row>
    <row r="179" spans="1:10" x14ac:dyDescent="0.25">
      <c r="A179" s="118">
        <v>176</v>
      </c>
      <c r="B179" s="115" t="s">
        <v>761</v>
      </c>
      <c r="C179" s="116" t="s">
        <v>762</v>
      </c>
      <c r="D179" s="116" t="s">
        <v>437</v>
      </c>
      <c r="E179" s="116" t="s">
        <v>29</v>
      </c>
      <c r="F179" s="120">
        <v>24.695149452186246</v>
      </c>
      <c r="G179" s="121">
        <v>25.160449452186246</v>
      </c>
      <c r="H179" s="119">
        <v>18.149999999999999</v>
      </c>
      <c r="I179" s="122">
        <v>3070</v>
      </c>
      <c r="J179" s="116" t="s">
        <v>263</v>
      </c>
    </row>
    <row r="180" spans="1:10" x14ac:dyDescent="0.25">
      <c r="A180" s="118">
        <v>177</v>
      </c>
      <c r="B180" s="115" t="s">
        <v>763</v>
      </c>
      <c r="C180" s="116" t="s">
        <v>764</v>
      </c>
      <c r="D180" s="116" t="s">
        <v>437</v>
      </c>
      <c r="E180" s="116" t="s">
        <v>29</v>
      </c>
      <c r="F180" s="120">
        <v>22.320072457752254</v>
      </c>
      <c r="G180" s="121">
        <v>22.722872457752253</v>
      </c>
      <c r="H180" s="119">
        <v>18.98</v>
      </c>
      <c r="I180" s="122">
        <v>3310</v>
      </c>
      <c r="J180" s="116" t="s">
        <v>263</v>
      </c>
    </row>
    <row r="181" spans="1:10" x14ac:dyDescent="0.25">
      <c r="A181" s="118">
        <v>178</v>
      </c>
      <c r="B181" s="115" t="s">
        <v>765</v>
      </c>
      <c r="C181" s="116" t="s">
        <v>766</v>
      </c>
      <c r="D181" s="116" t="s">
        <v>437</v>
      </c>
      <c r="E181" s="116" t="s">
        <v>29</v>
      </c>
      <c r="F181" s="120">
        <v>97.679374616371391</v>
      </c>
      <c r="G181" s="121">
        <v>98.068274616371397</v>
      </c>
      <c r="H181" s="119">
        <v>19.34</v>
      </c>
      <c r="I181" s="122">
        <v>170</v>
      </c>
      <c r="J181" s="116" t="s">
        <v>263</v>
      </c>
    </row>
    <row r="182" spans="1:10" x14ac:dyDescent="0.25">
      <c r="A182" s="118">
        <v>179</v>
      </c>
      <c r="B182" s="115" t="s">
        <v>767</v>
      </c>
      <c r="C182" s="116" t="s">
        <v>768</v>
      </c>
      <c r="D182" s="116" t="s">
        <v>437</v>
      </c>
      <c r="E182" s="116" t="s">
        <v>29</v>
      </c>
      <c r="F182" s="120">
        <v>100</v>
      </c>
      <c r="G182" s="121">
        <v>108.5577</v>
      </c>
      <c r="H182" s="119">
        <v>18.54</v>
      </c>
      <c r="I182" s="122">
        <v>114</v>
      </c>
      <c r="J182" s="116" t="s">
        <v>263</v>
      </c>
    </row>
    <row r="183" spans="1:10" x14ac:dyDescent="0.25">
      <c r="A183" s="118">
        <v>180</v>
      </c>
      <c r="B183" s="115" t="s">
        <v>769</v>
      </c>
      <c r="C183" s="116" t="s">
        <v>770</v>
      </c>
      <c r="D183" s="116" t="s">
        <v>427</v>
      </c>
      <c r="E183" s="116" t="s">
        <v>29</v>
      </c>
      <c r="F183" s="120">
        <v>1015.5</v>
      </c>
      <c r="G183" s="121">
        <v>1015.5</v>
      </c>
      <c r="H183" s="119">
        <v>0</v>
      </c>
      <c r="I183" s="122">
        <v>2875</v>
      </c>
      <c r="J183" s="116" t="s">
        <v>232</v>
      </c>
    </row>
    <row r="184" spans="1:10" x14ac:dyDescent="0.25">
      <c r="A184" s="118">
        <v>181</v>
      </c>
      <c r="B184" s="115" t="s">
        <v>1858</v>
      </c>
      <c r="C184" s="116" t="s">
        <v>1859</v>
      </c>
      <c r="D184" s="116" t="s">
        <v>437</v>
      </c>
      <c r="E184" s="116" t="s">
        <v>29</v>
      </c>
      <c r="F184" s="120">
        <v>49.283299170839221</v>
      </c>
      <c r="G184" s="121">
        <v>54.93329917083922</v>
      </c>
      <c r="H184" s="119">
        <v>18.239999999999998</v>
      </c>
      <c r="I184" s="122">
        <v>2871</v>
      </c>
      <c r="J184" s="116" t="s">
        <v>263</v>
      </c>
    </row>
    <row r="185" spans="1:10" x14ac:dyDescent="0.25">
      <c r="A185" s="118">
        <v>182</v>
      </c>
      <c r="B185" s="115" t="s">
        <v>771</v>
      </c>
      <c r="C185" s="116" t="s">
        <v>772</v>
      </c>
      <c r="D185" s="116" t="s">
        <v>437</v>
      </c>
      <c r="E185" s="116" t="s">
        <v>29</v>
      </c>
      <c r="F185" s="120">
        <v>96.698310820132605</v>
      </c>
      <c r="G185" s="121">
        <v>101.5205108201326</v>
      </c>
      <c r="H185" s="119">
        <v>19.489999999999998</v>
      </c>
      <c r="I185" s="122">
        <v>236</v>
      </c>
      <c r="J185" s="116" t="s">
        <v>263</v>
      </c>
    </row>
    <row r="186" spans="1:10" x14ac:dyDescent="0.25">
      <c r="A186" s="118">
        <v>183</v>
      </c>
      <c r="B186" s="115" t="s">
        <v>773</v>
      </c>
      <c r="C186" s="116" t="s">
        <v>774</v>
      </c>
      <c r="D186" s="116" t="s">
        <v>437</v>
      </c>
      <c r="E186" s="116" t="s">
        <v>29</v>
      </c>
      <c r="F186" s="120">
        <v>87.731965521232496</v>
      </c>
      <c r="G186" s="121">
        <v>93.023665521232502</v>
      </c>
      <c r="H186" s="119">
        <v>18.579999999999998</v>
      </c>
      <c r="I186" s="122">
        <v>2033</v>
      </c>
      <c r="J186" s="116" t="s">
        <v>263</v>
      </c>
    </row>
    <row r="187" spans="1:10" x14ac:dyDescent="0.25">
      <c r="A187" s="118">
        <v>184</v>
      </c>
      <c r="B187" s="115" t="s">
        <v>376</v>
      </c>
      <c r="C187" s="116" t="s">
        <v>377</v>
      </c>
      <c r="D187" s="116" t="s">
        <v>437</v>
      </c>
      <c r="E187" s="116" t="s">
        <v>29</v>
      </c>
      <c r="F187" s="120">
        <v>96.722442620813808</v>
      </c>
      <c r="G187" s="121">
        <v>97.604542620813803</v>
      </c>
      <c r="H187" s="119">
        <v>19.37</v>
      </c>
      <c r="I187" s="122">
        <v>151</v>
      </c>
      <c r="J187" s="116" t="s">
        <v>263</v>
      </c>
    </row>
    <row r="188" spans="1:10" x14ac:dyDescent="0.25">
      <c r="A188" s="118">
        <v>185</v>
      </c>
      <c r="B188" s="115" t="s">
        <v>775</v>
      </c>
      <c r="C188" s="116" t="s">
        <v>776</v>
      </c>
      <c r="D188" s="116" t="s">
        <v>437</v>
      </c>
      <c r="E188" s="116" t="s">
        <v>29</v>
      </c>
      <c r="F188" s="120">
        <v>90.059065367331883</v>
      </c>
      <c r="G188" s="121">
        <v>90.296665367331883</v>
      </c>
      <c r="H188" s="119">
        <v>5.07</v>
      </c>
      <c r="I188" s="122">
        <v>1951</v>
      </c>
      <c r="J188" s="116" t="s">
        <v>263</v>
      </c>
    </row>
    <row r="189" spans="1:10" x14ac:dyDescent="0.25">
      <c r="A189" s="118">
        <v>186</v>
      </c>
      <c r="B189" s="115" t="s">
        <v>777</v>
      </c>
      <c r="C189" s="116" t="s">
        <v>778</v>
      </c>
      <c r="D189" s="116" t="s">
        <v>437</v>
      </c>
      <c r="E189" s="116" t="s">
        <v>29</v>
      </c>
      <c r="F189" s="120">
        <v>101.19799999999999</v>
      </c>
      <c r="G189" s="121">
        <v>101.9619</v>
      </c>
      <c r="H189" s="119">
        <v>4.58</v>
      </c>
      <c r="I189" s="122">
        <v>490</v>
      </c>
      <c r="J189" s="116" t="s">
        <v>263</v>
      </c>
    </row>
    <row r="190" spans="1:10" x14ac:dyDescent="0.25">
      <c r="A190" s="118">
        <v>187</v>
      </c>
      <c r="B190" s="115" t="s">
        <v>779</v>
      </c>
      <c r="C190" s="116" t="s">
        <v>780</v>
      </c>
      <c r="D190" s="116" t="s">
        <v>437</v>
      </c>
      <c r="E190" s="116" t="s">
        <v>29</v>
      </c>
      <c r="F190" s="120">
        <v>92.989668325494918</v>
      </c>
      <c r="G190" s="121">
        <v>94.795268325494916</v>
      </c>
      <c r="H190" s="119">
        <v>19.04</v>
      </c>
      <c r="I190" s="122">
        <v>490</v>
      </c>
      <c r="J190" s="116" t="s">
        <v>263</v>
      </c>
    </row>
    <row r="191" spans="1:10" x14ac:dyDescent="0.25">
      <c r="A191" s="118">
        <v>188</v>
      </c>
      <c r="B191" s="115" t="s">
        <v>781</v>
      </c>
      <c r="C191" s="116" t="s">
        <v>782</v>
      </c>
      <c r="D191" s="116" t="s">
        <v>437</v>
      </c>
      <c r="E191" s="116" t="s">
        <v>29</v>
      </c>
      <c r="F191" s="120">
        <v>101.05314836174787</v>
      </c>
      <c r="G191" s="121">
        <v>101.66564836174787</v>
      </c>
      <c r="H191" s="119">
        <v>4.95</v>
      </c>
      <c r="I191" s="122">
        <v>1398</v>
      </c>
      <c r="J191" s="116" t="s">
        <v>263</v>
      </c>
    </row>
    <row r="192" spans="1:10" x14ac:dyDescent="0.25">
      <c r="A192" s="118">
        <v>189</v>
      </c>
      <c r="B192" s="115" t="s">
        <v>783</v>
      </c>
      <c r="C192" s="116" t="s">
        <v>784</v>
      </c>
      <c r="D192" s="116" t="s">
        <v>437</v>
      </c>
      <c r="E192" s="116" t="s">
        <v>29</v>
      </c>
      <c r="F192" s="120">
        <v>90.395200000000003</v>
      </c>
      <c r="G192" s="121">
        <v>90.844800000000006</v>
      </c>
      <c r="H192" s="119">
        <v>18.5</v>
      </c>
      <c r="I192" s="122">
        <v>888</v>
      </c>
      <c r="J192" s="116" t="s">
        <v>263</v>
      </c>
    </row>
    <row r="193" spans="1:10" x14ac:dyDescent="0.25">
      <c r="A193" s="118">
        <v>190</v>
      </c>
      <c r="B193" s="115" t="s">
        <v>2000</v>
      </c>
      <c r="C193" s="116" t="s">
        <v>2001</v>
      </c>
      <c r="D193" s="116" t="s">
        <v>437</v>
      </c>
      <c r="E193" s="116" t="s">
        <v>29</v>
      </c>
      <c r="F193" s="120">
        <v>103.209</v>
      </c>
      <c r="G193" s="121">
        <v>104.1153</v>
      </c>
      <c r="H193" s="119">
        <v>4.8</v>
      </c>
      <c r="I193" s="122">
        <v>1562</v>
      </c>
      <c r="J193" s="116" t="s">
        <v>263</v>
      </c>
    </row>
    <row r="194" spans="1:10" x14ac:dyDescent="0.25">
      <c r="A194" s="118">
        <v>191</v>
      </c>
      <c r="B194" s="115" t="s">
        <v>2352</v>
      </c>
      <c r="C194" s="116" t="s">
        <v>2353</v>
      </c>
      <c r="D194" s="116" t="s">
        <v>437</v>
      </c>
      <c r="E194" s="116" t="s">
        <v>29</v>
      </c>
      <c r="F194" s="120">
        <v>100.63409658383691</v>
      </c>
      <c r="G194" s="121">
        <v>101.50599658383692</v>
      </c>
      <c r="H194" s="119">
        <v>3.1</v>
      </c>
      <c r="I194" s="122">
        <v>1001</v>
      </c>
      <c r="J194" s="116" t="s">
        <v>263</v>
      </c>
    </row>
    <row r="195" spans="1:10" x14ac:dyDescent="0.25">
      <c r="A195" s="118">
        <v>192</v>
      </c>
      <c r="B195" s="115" t="s">
        <v>2465</v>
      </c>
      <c r="C195" s="116" t="s">
        <v>2466</v>
      </c>
      <c r="D195" s="116" t="s">
        <v>437</v>
      </c>
      <c r="E195" s="116" t="s">
        <v>29</v>
      </c>
      <c r="F195" s="120">
        <v>98.74</v>
      </c>
      <c r="G195" s="121">
        <v>99.366100000000003</v>
      </c>
      <c r="H195" s="119">
        <v>4.88</v>
      </c>
      <c r="I195" s="122">
        <v>1855</v>
      </c>
      <c r="J195" s="116" t="s">
        <v>263</v>
      </c>
    </row>
    <row r="196" spans="1:10" x14ac:dyDescent="0.25">
      <c r="A196" s="118">
        <v>193</v>
      </c>
      <c r="B196" s="115" t="s">
        <v>2467</v>
      </c>
      <c r="C196" s="116" t="s">
        <v>2468</v>
      </c>
      <c r="D196" s="116" t="s">
        <v>437</v>
      </c>
      <c r="E196" s="116" t="s">
        <v>29</v>
      </c>
      <c r="F196" s="120">
        <v>101.01</v>
      </c>
      <c r="G196" s="121">
        <v>103.6678</v>
      </c>
      <c r="H196" s="119">
        <v>17.829999999999998</v>
      </c>
      <c r="I196" s="122">
        <v>1031</v>
      </c>
      <c r="J196" s="116" t="s">
        <v>263</v>
      </c>
    </row>
    <row r="197" spans="1:10" x14ac:dyDescent="0.25">
      <c r="A197" s="118">
        <v>194</v>
      </c>
      <c r="B197" s="115" t="s">
        <v>30</v>
      </c>
      <c r="C197" s="116" t="s">
        <v>31</v>
      </c>
      <c r="D197" s="116" t="s">
        <v>437</v>
      </c>
      <c r="E197" s="116" t="s">
        <v>29</v>
      </c>
      <c r="F197" s="120">
        <v>100.306</v>
      </c>
      <c r="G197" s="121">
        <v>101.506</v>
      </c>
      <c r="H197" s="119">
        <v>4.93</v>
      </c>
      <c r="I197" s="122">
        <v>108</v>
      </c>
      <c r="J197" s="116" t="s">
        <v>263</v>
      </c>
    </row>
    <row r="198" spans="1:10" x14ac:dyDescent="0.25">
      <c r="A198" s="118">
        <v>195</v>
      </c>
      <c r="B198" s="115" t="s">
        <v>785</v>
      </c>
      <c r="C198" s="116" t="s">
        <v>786</v>
      </c>
      <c r="D198" s="116" t="s">
        <v>427</v>
      </c>
      <c r="E198" s="116" t="s">
        <v>787</v>
      </c>
      <c r="F198" s="120">
        <v>0.01</v>
      </c>
      <c r="G198" s="121">
        <v>0.01</v>
      </c>
      <c r="H198" s="119">
        <v>0</v>
      </c>
      <c r="I198" s="122">
        <v>0</v>
      </c>
      <c r="J198" s="116" t="s">
        <v>232</v>
      </c>
    </row>
    <row r="199" spans="1:10" x14ac:dyDescent="0.25">
      <c r="A199" s="118">
        <v>196</v>
      </c>
      <c r="B199" s="115" t="s">
        <v>1860</v>
      </c>
      <c r="C199" s="116" t="s">
        <v>1861</v>
      </c>
      <c r="D199" s="116" t="s">
        <v>437</v>
      </c>
      <c r="E199" s="116" t="s">
        <v>1910</v>
      </c>
      <c r="F199" s="120">
        <v>103.6890515608646</v>
      </c>
      <c r="G199" s="121">
        <v>106.36265156086459</v>
      </c>
      <c r="H199" s="119">
        <v>5.1100000000000003</v>
      </c>
      <c r="I199" s="122">
        <v>1286</v>
      </c>
      <c r="J199" s="116" t="s">
        <v>263</v>
      </c>
    </row>
    <row r="200" spans="1:10" x14ac:dyDescent="0.25">
      <c r="A200" s="118">
        <v>197</v>
      </c>
      <c r="B200" s="115" t="s">
        <v>788</v>
      </c>
      <c r="C200" s="116" t="s">
        <v>789</v>
      </c>
      <c r="D200" s="116" t="s">
        <v>427</v>
      </c>
      <c r="E200" s="116" t="s">
        <v>790</v>
      </c>
      <c r="F200" s="120">
        <v>294.35000000000002</v>
      </c>
      <c r="G200" s="121">
        <v>294.35000000000002</v>
      </c>
      <c r="H200" s="119">
        <v>0</v>
      </c>
      <c r="I200" s="122">
        <v>0</v>
      </c>
      <c r="J200" s="116" t="s">
        <v>232</v>
      </c>
    </row>
    <row r="201" spans="1:10" x14ac:dyDescent="0.25">
      <c r="A201" s="118">
        <v>198</v>
      </c>
      <c r="B201" s="115" t="s">
        <v>791</v>
      </c>
      <c r="C201" s="116" t="s">
        <v>792</v>
      </c>
      <c r="D201" s="116" t="s">
        <v>437</v>
      </c>
      <c r="E201" s="116" t="s">
        <v>793</v>
      </c>
      <c r="F201" s="120">
        <v>61.540656574645098</v>
      </c>
      <c r="G201" s="121">
        <v>64.216256574645101</v>
      </c>
      <c r="H201" s="119">
        <v>19.45</v>
      </c>
      <c r="I201" s="122">
        <v>1640</v>
      </c>
      <c r="J201" s="116" t="s">
        <v>263</v>
      </c>
    </row>
    <row r="202" spans="1:10" x14ac:dyDescent="0.25">
      <c r="A202" s="118">
        <v>199</v>
      </c>
      <c r="B202" s="115" t="s">
        <v>794</v>
      </c>
      <c r="C202" s="116" t="s">
        <v>795</v>
      </c>
      <c r="D202" s="116" t="s">
        <v>437</v>
      </c>
      <c r="E202" s="116" t="s">
        <v>793</v>
      </c>
      <c r="F202" s="120">
        <v>56.297040587155465</v>
      </c>
      <c r="G202" s="121">
        <v>58.153240587155466</v>
      </c>
      <c r="H202" s="119">
        <v>19.29</v>
      </c>
      <c r="I202" s="122">
        <v>2049</v>
      </c>
      <c r="J202" s="116" t="s">
        <v>263</v>
      </c>
    </row>
    <row r="203" spans="1:10" x14ac:dyDescent="0.25">
      <c r="A203" s="118">
        <v>200</v>
      </c>
      <c r="B203" s="115" t="s">
        <v>796</v>
      </c>
      <c r="C203" s="116" t="s">
        <v>797</v>
      </c>
      <c r="D203" s="116" t="s">
        <v>437</v>
      </c>
      <c r="E203" s="116" t="s">
        <v>793</v>
      </c>
      <c r="F203" s="120">
        <v>51.846969718719571</v>
      </c>
      <c r="G203" s="121">
        <v>52.566069718719575</v>
      </c>
      <c r="H203" s="119">
        <v>19.18</v>
      </c>
      <c r="I203" s="122">
        <v>2477</v>
      </c>
      <c r="J203" s="116" t="s">
        <v>263</v>
      </c>
    </row>
    <row r="204" spans="1:10" x14ac:dyDescent="0.25">
      <c r="A204" s="118">
        <v>201</v>
      </c>
      <c r="B204" s="115" t="s">
        <v>798</v>
      </c>
      <c r="C204" s="116" t="s">
        <v>799</v>
      </c>
      <c r="D204" s="116" t="s">
        <v>437</v>
      </c>
      <c r="E204" s="116" t="s">
        <v>793</v>
      </c>
      <c r="F204" s="120">
        <v>51.846969718719571</v>
      </c>
      <c r="G204" s="121">
        <v>52.566069718719575</v>
      </c>
      <c r="H204" s="119">
        <v>19.18</v>
      </c>
      <c r="I204" s="122">
        <v>2477</v>
      </c>
      <c r="J204" s="116" t="s">
        <v>263</v>
      </c>
    </row>
    <row r="205" spans="1:10" x14ac:dyDescent="0.25">
      <c r="A205" s="118">
        <v>202</v>
      </c>
      <c r="B205" s="115" t="s">
        <v>800</v>
      </c>
      <c r="C205" s="116" t="s">
        <v>801</v>
      </c>
      <c r="D205" s="116" t="s">
        <v>437</v>
      </c>
      <c r="E205" s="116" t="s">
        <v>369</v>
      </c>
      <c r="F205" s="120">
        <v>64.212522806879733</v>
      </c>
      <c r="G205" s="121">
        <v>68.381922806879729</v>
      </c>
      <c r="H205" s="119">
        <v>18.100000000000001</v>
      </c>
      <c r="I205" s="122">
        <v>2902</v>
      </c>
      <c r="J205" s="116" t="s">
        <v>263</v>
      </c>
    </row>
    <row r="206" spans="1:10" x14ac:dyDescent="0.25">
      <c r="A206" s="118">
        <v>203</v>
      </c>
      <c r="B206" s="115" t="s">
        <v>802</v>
      </c>
      <c r="C206" s="116" t="s">
        <v>803</v>
      </c>
      <c r="D206" s="116" t="s">
        <v>437</v>
      </c>
      <c r="E206" s="116" t="s">
        <v>369</v>
      </c>
      <c r="F206" s="120">
        <v>87.33641993875095</v>
      </c>
      <c r="G206" s="121">
        <v>87.785119938750952</v>
      </c>
      <c r="H206" s="119">
        <v>18.57</v>
      </c>
      <c r="I206" s="122">
        <v>1248</v>
      </c>
      <c r="J206" s="116" t="s">
        <v>263</v>
      </c>
    </row>
    <row r="207" spans="1:10" x14ac:dyDescent="0.25">
      <c r="A207" s="118">
        <v>204</v>
      </c>
      <c r="B207" s="115" t="s">
        <v>391</v>
      </c>
      <c r="C207" s="116" t="s">
        <v>384</v>
      </c>
      <c r="D207" s="116" t="s">
        <v>437</v>
      </c>
      <c r="E207" s="116" t="s">
        <v>369</v>
      </c>
      <c r="F207" s="120">
        <v>98.582846146795518</v>
      </c>
      <c r="G207" s="121">
        <v>98.852946146795517</v>
      </c>
      <c r="H207" s="119">
        <v>18.649999999999999</v>
      </c>
      <c r="I207" s="122">
        <v>113</v>
      </c>
      <c r="J207" s="116" t="s">
        <v>263</v>
      </c>
    </row>
    <row r="208" spans="1:10" x14ac:dyDescent="0.25">
      <c r="A208" s="118">
        <v>205</v>
      </c>
      <c r="B208" s="115" t="s">
        <v>1862</v>
      </c>
      <c r="C208" s="116" t="s">
        <v>1863</v>
      </c>
      <c r="D208" s="116" t="s">
        <v>437</v>
      </c>
      <c r="E208" s="116" t="s">
        <v>369</v>
      </c>
      <c r="F208" s="120">
        <v>98.916736412513501</v>
      </c>
      <c r="G208" s="121">
        <v>105.5417364125135</v>
      </c>
      <c r="H208" s="119">
        <v>18.510000000000002</v>
      </c>
      <c r="I208" s="122">
        <v>111</v>
      </c>
      <c r="J208" s="116" t="s">
        <v>263</v>
      </c>
    </row>
    <row r="209" spans="1:10" x14ac:dyDescent="0.25">
      <c r="A209" s="118">
        <v>206</v>
      </c>
      <c r="B209" s="115" t="s">
        <v>1997</v>
      </c>
      <c r="C209" s="116" t="s">
        <v>1998</v>
      </c>
      <c r="D209" s="116" t="s">
        <v>437</v>
      </c>
      <c r="E209" s="116" t="s">
        <v>369</v>
      </c>
      <c r="F209" s="120">
        <v>98.867897352422261</v>
      </c>
      <c r="G209" s="121">
        <v>101.60679735242226</v>
      </c>
      <c r="H209" s="119">
        <v>18.71</v>
      </c>
      <c r="I209" s="122">
        <v>212</v>
      </c>
      <c r="J209" s="116" t="s">
        <v>263</v>
      </c>
    </row>
    <row r="210" spans="1:10" x14ac:dyDescent="0.25">
      <c r="A210" s="118">
        <v>207</v>
      </c>
      <c r="B210" s="115" t="s">
        <v>2004</v>
      </c>
      <c r="C210" s="116" t="s">
        <v>1999</v>
      </c>
      <c r="D210" s="116" t="s">
        <v>437</v>
      </c>
      <c r="E210" s="116" t="s">
        <v>369</v>
      </c>
      <c r="F210" s="120">
        <v>99.15477723121009</v>
      </c>
      <c r="G210" s="121">
        <v>101.70617723121009</v>
      </c>
      <c r="H210" s="119">
        <v>19.079999999999998</v>
      </c>
      <c r="I210" s="122">
        <v>125</v>
      </c>
      <c r="J210" s="116" t="s">
        <v>263</v>
      </c>
    </row>
    <row r="211" spans="1:10" x14ac:dyDescent="0.25">
      <c r="A211" s="114">
        <v>208</v>
      </c>
      <c r="B211" s="115" t="s">
        <v>2034</v>
      </c>
      <c r="C211" s="116" t="s">
        <v>2023</v>
      </c>
      <c r="D211" s="116" t="s">
        <v>437</v>
      </c>
      <c r="E211" s="116" t="s">
        <v>369</v>
      </c>
      <c r="F211" s="117">
        <v>94.900698621896538</v>
      </c>
      <c r="G211" s="117">
        <v>104.61819862189654</v>
      </c>
      <c r="H211" s="117">
        <v>18.559999999999999</v>
      </c>
      <c r="I211" s="114">
        <v>1593</v>
      </c>
      <c r="J211" s="116" t="s">
        <v>263</v>
      </c>
    </row>
    <row r="212" spans="1:10" x14ac:dyDescent="0.25">
      <c r="A212" s="114">
        <v>209</v>
      </c>
      <c r="B212" s="115" t="s">
        <v>2112</v>
      </c>
      <c r="C212" s="116" t="s">
        <v>2113</v>
      </c>
      <c r="D212" s="116" t="s">
        <v>437</v>
      </c>
      <c r="E212" s="116" t="s">
        <v>369</v>
      </c>
      <c r="F212" s="117">
        <v>96.546951219512195</v>
      </c>
      <c r="G212" s="117">
        <v>104.9566512195122</v>
      </c>
      <c r="H212" s="117">
        <v>18.57</v>
      </c>
      <c r="I212" s="114">
        <v>1627</v>
      </c>
      <c r="J212" s="116" t="s">
        <v>263</v>
      </c>
    </row>
    <row r="213" spans="1:10" x14ac:dyDescent="0.25">
      <c r="A213" s="114">
        <v>210</v>
      </c>
      <c r="B213" s="115" t="s">
        <v>2114</v>
      </c>
      <c r="C213" s="116" t="s">
        <v>2115</v>
      </c>
      <c r="D213" s="116" t="s">
        <v>437</v>
      </c>
      <c r="E213" s="116" t="s">
        <v>369</v>
      </c>
      <c r="F213" s="117">
        <v>96.546951219512195</v>
      </c>
      <c r="G213" s="117">
        <v>104.9566512195122</v>
      </c>
      <c r="H213" s="117">
        <v>18.57</v>
      </c>
      <c r="I213" s="114">
        <v>1627</v>
      </c>
      <c r="J213" s="116" t="s">
        <v>263</v>
      </c>
    </row>
    <row r="214" spans="1:10" x14ac:dyDescent="0.25">
      <c r="A214" s="114">
        <v>211</v>
      </c>
      <c r="B214" s="115" t="s">
        <v>2343</v>
      </c>
      <c r="C214" s="116" t="s">
        <v>2344</v>
      </c>
      <c r="D214" s="116" t="s">
        <v>437</v>
      </c>
      <c r="E214" s="116" t="s">
        <v>369</v>
      </c>
      <c r="F214" s="117">
        <v>98.923463305260853</v>
      </c>
      <c r="G214" s="117">
        <v>103.24426330526086</v>
      </c>
      <c r="H214" s="117">
        <v>18.57</v>
      </c>
      <c r="I214" s="114">
        <v>1715</v>
      </c>
      <c r="J214" s="116" t="s">
        <v>263</v>
      </c>
    </row>
    <row r="215" spans="1:10" x14ac:dyDescent="0.25">
      <c r="A215" s="114">
        <v>212</v>
      </c>
      <c r="B215" s="115" t="s">
        <v>2055</v>
      </c>
      <c r="C215" s="116" t="s">
        <v>2056</v>
      </c>
      <c r="D215" s="116" t="s">
        <v>437</v>
      </c>
      <c r="E215" s="116" t="s">
        <v>369</v>
      </c>
      <c r="F215" s="117">
        <v>98.618464945860225</v>
      </c>
      <c r="G215" s="117">
        <v>108.08066494586022</v>
      </c>
      <c r="H215" s="117">
        <v>19.43</v>
      </c>
      <c r="I215" s="114">
        <v>166</v>
      </c>
      <c r="J215" s="116" t="s">
        <v>263</v>
      </c>
    </row>
    <row r="216" spans="1:10" x14ac:dyDescent="0.25">
      <c r="A216" s="114">
        <v>213</v>
      </c>
      <c r="B216" s="115" t="s">
        <v>2180</v>
      </c>
      <c r="C216" s="116" t="s">
        <v>2181</v>
      </c>
      <c r="D216" s="116" t="s">
        <v>437</v>
      </c>
      <c r="E216" s="116" t="s">
        <v>369</v>
      </c>
      <c r="F216" s="117">
        <v>99.03888161928927</v>
      </c>
      <c r="G216" s="117">
        <v>105.68248161928928</v>
      </c>
      <c r="H216" s="117">
        <v>19.239999999999998</v>
      </c>
      <c r="I216" s="114">
        <v>233</v>
      </c>
      <c r="J216" s="116" t="s">
        <v>263</v>
      </c>
    </row>
    <row r="217" spans="1:10" x14ac:dyDescent="0.25">
      <c r="A217" s="114">
        <v>214</v>
      </c>
      <c r="B217" s="115" t="s">
        <v>2575</v>
      </c>
      <c r="C217" s="116" t="s">
        <v>2576</v>
      </c>
      <c r="D217" s="116" t="s">
        <v>437</v>
      </c>
      <c r="E217" s="116" t="s">
        <v>369</v>
      </c>
      <c r="F217" s="117">
        <v>98.702149859839423</v>
      </c>
      <c r="G217" s="117">
        <v>99.250649859839413</v>
      </c>
      <c r="H217" s="117">
        <v>18.940000000000001</v>
      </c>
      <c r="I217" s="114">
        <v>499</v>
      </c>
      <c r="J217" s="116" t="s">
        <v>263</v>
      </c>
    </row>
    <row r="218" spans="1:10" x14ac:dyDescent="0.25">
      <c r="A218" s="114">
        <v>215</v>
      </c>
      <c r="B218" s="115" t="s">
        <v>804</v>
      </c>
      <c r="C218" s="116" t="s">
        <v>805</v>
      </c>
      <c r="D218" s="116" t="s">
        <v>437</v>
      </c>
      <c r="E218" s="116" t="s">
        <v>369</v>
      </c>
      <c r="F218" s="117">
        <v>77.645672353170369</v>
      </c>
      <c r="G218" s="117">
        <v>78.398972353170379</v>
      </c>
      <c r="H218" s="117">
        <v>18.37</v>
      </c>
      <c r="I218" s="114">
        <v>1776</v>
      </c>
      <c r="J218" s="116" t="s">
        <v>263</v>
      </c>
    </row>
    <row r="219" spans="1:10" x14ac:dyDescent="0.25">
      <c r="A219" s="114">
        <v>216</v>
      </c>
      <c r="B219" s="115" t="s">
        <v>392</v>
      </c>
      <c r="C219" s="116" t="s">
        <v>393</v>
      </c>
      <c r="D219" s="116" t="s">
        <v>437</v>
      </c>
      <c r="E219" s="116" t="s">
        <v>369</v>
      </c>
      <c r="F219" s="117">
        <v>89.711434977578477</v>
      </c>
      <c r="G219" s="117">
        <v>95.235834977578477</v>
      </c>
      <c r="H219" s="117">
        <v>17.59</v>
      </c>
      <c r="I219" s="114">
        <v>724</v>
      </c>
      <c r="J219" s="116" t="s">
        <v>263</v>
      </c>
    </row>
    <row r="220" spans="1:10" x14ac:dyDescent="0.25">
      <c r="A220" s="114">
        <v>217</v>
      </c>
      <c r="B220" s="115" t="s">
        <v>806</v>
      </c>
      <c r="C220" s="116" t="s">
        <v>807</v>
      </c>
      <c r="D220" s="116" t="s">
        <v>437</v>
      </c>
      <c r="E220" s="116" t="s">
        <v>369</v>
      </c>
      <c r="F220" s="117">
        <v>77.47992923634942</v>
      </c>
      <c r="G220" s="117">
        <v>83.00432923634942</v>
      </c>
      <c r="H220" s="117">
        <v>18.36</v>
      </c>
      <c r="I220" s="114">
        <v>1804</v>
      </c>
      <c r="J220" s="116" t="s">
        <v>263</v>
      </c>
    </row>
    <row r="221" spans="1:10" x14ac:dyDescent="0.25">
      <c r="A221" s="114">
        <v>218</v>
      </c>
      <c r="B221" s="115" t="s">
        <v>394</v>
      </c>
      <c r="C221" s="116" t="s">
        <v>395</v>
      </c>
      <c r="D221" s="116" t="s">
        <v>437</v>
      </c>
      <c r="E221" s="116" t="s">
        <v>369</v>
      </c>
      <c r="F221" s="117">
        <v>77.9625109373291</v>
      </c>
      <c r="G221" s="117">
        <v>80.284710937329109</v>
      </c>
      <c r="H221" s="117">
        <v>17.55</v>
      </c>
      <c r="I221" s="114">
        <v>1904</v>
      </c>
      <c r="J221" s="116" t="s">
        <v>263</v>
      </c>
    </row>
    <row r="222" spans="1:10" x14ac:dyDescent="0.25">
      <c r="A222" s="114">
        <v>219</v>
      </c>
      <c r="B222" s="115" t="s">
        <v>396</v>
      </c>
      <c r="C222" s="116" t="s">
        <v>397</v>
      </c>
      <c r="D222" s="116" t="s">
        <v>437</v>
      </c>
      <c r="E222" s="116" t="s">
        <v>369</v>
      </c>
      <c r="F222" s="117">
        <v>84.291326698020342</v>
      </c>
      <c r="G222" s="117">
        <v>89.302426698020341</v>
      </c>
      <c r="H222" s="117">
        <v>15.04</v>
      </c>
      <c r="I222" s="114">
        <v>2176</v>
      </c>
      <c r="J222" s="116" t="s">
        <v>263</v>
      </c>
    </row>
    <row r="223" spans="1:10" x14ac:dyDescent="0.25">
      <c r="A223" s="114">
        <v>220</v>
      </c>
      <c r="B223" s="115" t="s">
        <v>358</v>
      </c>
      <c r="C223" s="116" t="s">
        <v>359</v>
      </c>
      <c r="D223" s="116" t="s">
        <v>437</v>
      </c>
      <c r="E223" s="116" t="s">
        <v>369</v>
      </c>
      <c r="F223" s="117">
        <v>77.102906595209447</v>
      </c>
      <c r="G223" s="117">
        <v>88.261206595209444</v>
      </c>
      <c r="H223" s="117">
        <v>17.53</v>
      </c>
      <c r="I223" s="114">
        <v>4731</v>
      </c>
      <c r="J223" s="116" t="s">
        <v>263</v>
      </c>
    </row>
    <row r="224" spans="1:10" x14ac:dyDescent="0.25">
      <c r="A224" s="114">
        <v>221</v>
      </c>
      <c r="B224" s="115" t="s">
        <v>2064</v>
      </c>
      <c r="C224" s="116" t="s">
        <v>2065</v>
      </c>
      <c r="D224" s="116" t="s">
        <v>437</v>
      </c>
      <c r="E224" s="116" t="s">
        <v>369</v>
      </c>
      <c r="F224" s="117">
        <v>101.45941701131287</v>
      </c>
      <c r="G224" s="117">
        <v>101.86821701131286</v>
      </c>
      <c r="H224" s="117">
        <v>4.8</v>
      </c>
      <c r="I224" s="114">
        <v>873</v>
      </c>
      <c r="J224" s="116" t="s">
        <v>263</v>
      </c>
    </row>
    <row r="225" spans="1:10" x14ac:dyDescent="0.25">
      <c r="A225" s="114">
        <v>222</v>
      </c>
      <c r="B225" s="115" t="s">
        <v>2409</v>
      </c>
      <c r="C225" s="116" t="s">
        <v>2410</v>
      </c>
      <c r="D225" s="116" t="s">
        <v>437</v>
      </c>
      <c r="E225" s="116" t="s">
        <v>369</v>
      </c>
      <c r="F225" s="117">
        <v>98.998000000000005</v>
      </c>
      <c r="G225" s="117">
        <v>99.824700000000007</v>
      </c>
      <c r="H225" s="117">
        <v>4.88</v>
      </c>
      <c r="I225" s="114">
        <v>1736</v>
      </c>
      <c r="J225" s="116" t="s">
        <v>263</v>
      </c>
    </row>
    <row r="226" spans="1:10" x14ac:dyDescent="0.25">
      <c r="A226" s="114">
        <v>223</v>
      </c>
      <c r="B226" s="115" t="s">
        <v>811</v>
      </c>
      <c r="C226" s="116" t="s">
        <v>812</v>
      </c>
      <c r="D226" s="116" t="s">
        <v>427</v>
      </c>
      <c r="E226" s="116" t="s">
        <v>813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232</v>
      </c>
    </row>
    <row r="227" spans="1:10" x14ac:dyDescent="0.25">
      <c r="A227" s="114">
        <v>224</v>
      </c>
      <c r="B227" s="115" t="s">
        <v>814</v>
      </c>
      <c r="C227" s="116" t="s">
        <v>815</v>
      </c>
      <c r="D227" s="116" t="s">
        <v>427</v>
      </c>
      <c r="E227" s="116" t="s">
        <v>816</v>
      </c>
      <c r="F227" s="117">
        <v>297560.94785</v>
      </c>
      <c r="G227" s="117">
        <v>297560.94785</v>
      </c>
      <c r="H227" s="117">
        <v>0</v>
      </c>
      <c r="I227" s="114">
        <v>0</v>
      </c>
      <c r="J227" s="116" t="s">
        <v>232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427</v>
      </c>
      <c r="E228" s="116" t="s">
        <v>34</v>
      </c>
      <c r="F228" s="117">
        <v>4541.0423274636332</v>
      </c>
      <c r="G228" s="117">
        <v>4541.0423274636332</v>
      </c>
      <c r="H228" s="117">
        <v>0</v>
      </c>
      <c r="I228" s="114">
        <v>0</v>
      </c>
      <c r="J228" s="116" t="s">
        <v>232</v>
      </c>
    </row>
    <row r="229" spans="1:10" x14ac:dyDescent="0.25">
      <c r="A229" s="114">
        <v>226</v>
      </c>
      <c r="B229" s="115" t="s">
        <v>817</v>
      </c>
      <c r="C229" s="116" t="s">
        <v>818</v>
      </c>
      <c r="D229" s="116" t="s">
        <v>437</v>
      </c>
      <c r="E229" s="116" t="s">
        <v>34</v>
      </c>
      <c r="F229" s="117">
        <v>86.382663826303613</v>
      </c>
      <c r="G229" s="117">
        <v>90.382663826303613</v>
      </c>
      <c r="H229" s="117">
        <v>20.010000000000002</v>
      </c>
      <c r="I229" s="114">
        <v>780</v>
      </c>
      <c r="J229" s="116" t="s">
        <v>263</v>
      </c>
    </row>
    <row r="230" spans="1:10" x14ac:dyDescent="0.25">
      <c r="A230" s="114">
        <v>227</v>
      </c>
      <c r="B230" s="115" t="s">
        <v>819</v>
      </c>
      <c r="C230" s="116" t="s">
        <v>820</v>
      </c>
      <c r="D230" s="116" t="s">
        <v>437</v>
      </c>
      <c r="E230" s="116" t="s">
        <v>34</v>
      </c>
      <c r="F230" s="117">
        <v>99.431875568207644</v>
      </c>
      <c r="G230" s="117">
        <v>104.23767556820765</v>
      </c>
      <c r="H230" s="117">
        <v>20.27</v>
      </c>
      <c r="I230" s="114">
        <v>22</v>
      </c>
      <c r="J230" s="116" t="s">
        <v>263</v>
      </c>
    </row>
    <row r="231" spans="1:10" x14ac:dyDescent="0.25">
      <c r="A231" s="114">
        <v>228</v>
      </c>
      <c r="B231" s="115" t="s">
        <v>821</v>
      </c>
      <c r="C231" s="116" t="s">
        <v>822</v>
      </c>
      <c r="D231" s="116" t="s">
        <v>437</v>
      </c>
      <c r="E231" s="116" t="s">
        <v>34</v>
      </c>
      <c r="F231" s="117">
        <v>82.15142833053568</v>
      </c>
      <c r="G231" s="117">
        <v>82.98202833053567</v>
      </c>
      <c r="H231" s="117">
        <v>19.809999999999999</v>
      </c>
      <c r="I231" s="114">
        <v>1054</v>
      </c>
      <c r="J231" s="116" t="s">
        <v>263</v>
      </c>
    </row>
    <row r="232" spans="1:10" x14ac:dyDescent="0.25">
      <c r="A232" s="114">
        <v>229</v>
      </c>
      <c r="B232" s="115" t="s">
        <v>35</v>
      </c>
      <c r="C232" s="116" t="s">
        <v>36</v>
      </c>
      <c r="D232" s="116" t="s">
        <v>427</v>
      </c>
      <c r="E232" s="116" t="s">
        <v>34</v>
      </c>
      <c r="F232" s="117">
        <v>8952.2999999999993</v>
      </c>
      <c r="G232" s="117">
        <v>8952.2999999999993</v>
      </c>
      <c r="H232" s="117">
        <v>0</v>
      </c>
      <c r="I232" s="114">
        <v>0</v>
      </c>
      <c r="J232" s="116" t="s">
        <v>232</v>
      </c>
    </row>
    <row r="233" spans="1:10" x14ac:dyDescent="0.25">
      <c r="A233" s="114">
        <v>230</v>
      </c>
      <c r="B233" s="115" t="s">
        <v>2246</v>
      </c>
      <c r="C233" s="116" t="s">
        <v>2247</v>
      </c>
      <c r="D233" s="116" t="s">
        <v>437</v>
      </c>
      <c r="E233" s="116" t="s">
        <v>2248</v>
      </c>
      <c r="F233" s="117">
        <v>100</v>
      </c>
      <c r="G233" s="117">
        <v>109.88290000000001</v>
      </c>
      <c r="H233" s="117">
        <v>17.059999999999999</v>
      </c>
      <c r="I233" s="114">
        <v>562</v>
      </c>
      <c r="J233" s="116" t="s">
        <v>263</v>
      </c>
    </row>
    <row r="234" spans="1:10" x14ac:dyDescent="0.25">
      <c r="A234" s="114">
        <v>231</v>
      </c>
      <c r="B234" s="115" t="s">
        <v>824</v>
      </c>
      <c r="C234" s="116" t="s">
        <v>825</v>
      </c>
      <c r="D234" s="116" t="s">
        <v>437</v>
      </c>
      <c r="E234" s="116" t="s">
        <v>823</v>
      </c>
      <c r="F234" s="117">
        <v>99.999899999999997</v>
      </c>
      <c r="G234" s="117">
        <v>102.0902</v>
      </c>
      <c r="H234" s="117">
        <v>21.46</v>
      </c>
      <c r="I234" s="114">
        <v>325</v>
      </c>
      <c r="J234" s="116" t="s">
        <v>263</v>
      </c>
    </row>
    <row r="235" spans="1:10" x14ac:dyDescent="0.25">
      <c r="A235" s="114">
        <v>232</v>
      </c>
      <c r="B235" s="115" t="s">
        <v>826</v>
      </c>
      <c r="C235" s="116" t="s">
        <v>827</v>
      </c>
      <c r="D235" s="116" t="s">
        <v>437</v>
      </c>
      <c r="E235" s="116" t="s">
        <v>823</v>
      </c>
      <c r="F235" s="117">
        <v>98.5</v>
      </c>
      <c r="G235" s="117">
        <v>101.6319</v>
      </c>
      <c r="H235" s="117">
        <v>21.61</v>
      </c>
      <c r="I235" s="114">
        <v>575</v>
      </c>
      <c r="J235" s="116" t="s">
        <v>263</v>
      </c>
    </row>
    <row r="236" spans="1:10" x14ac:dyDescent="0.25">
      <c r="A236" s="114">
        <v>233</v>
      </c>
      <c r="B236" s="115" t="s">
        <v>828</v>
      </c>
      <c r="C236" s="116" t="s">
        <v>829</v>
      </c>
      <c r="D236" s="116" t="s">
        <v>437</v>
      </c>
      <c r="E236" s="116" t="s">
        <v>823</v>
      </c>
      <c r="F236" s="117">
        <v>97.150389746489495</v>
      </c>
      <c r="G236" s="117">
        <v>100.0947897464895</v>
      </c>
      <c r="H236" s="117">
        <v>22.14</v>
      </c>
      <c r="I236" s="114">
        <v>577</v>
      </c>
      <c r="J236" s="116" t="s">
        <v>263</v>
      </c>
    </row>
    <row r="237" spans="1:10" x14ac:dyDescent="0.25">
      <c r="A237" s="114">
        <v>234</v>
      </c>
      <c r="B237" s="115" t="s">
        <v>2184</v>
      </c>
      <c r="C237" s="116" t="s">
        <v>2185</v>
      </c>
      <c r="D237" s="116" t="s">
        <v>437</v>
      </c>
      <c r="E237" s="116" t="s">
        <v>823</v>
      </c>
      <c r="F237" s="117">
        <v>99.628267640120555</v>
      </c>
      <c r="G237" s="117">
        <v>107.26996764012056</v>
      </c>
      <c r="H237" s="117">
        <v>23.03</v>
      </c>
      <c r="I237" s="114">
        <v>49</v>
      </c>
      <c r="J237" s="116" t="s">
        <v>263</v>
      </c>
    </row>
    <row r="238" spans="1:10" x14ac:dyDescent="0.25">
      <c r="A238" s="114">
        <v>235</v>
      </c>
      <c r="B238" s="115" t="s">
        <v>2391</v>
      </c>
      <c r="C238" s="116" t="s">
        <v>2392</v>
      </c>
      <c r="D238" s="116" t="s">
        <v>437</v>
      </c>
      <c r="E238" s="116" t="s">
        <v>823</v>
      </c>
      <c r="F238" s="117">
        <v>98.102343932556892</v>
      </c>
      <c r="G238" s="117">
        <v>102.12734393255688</v>
      </c>
      <c r="H238" s="117">
        <v>21.91</v>
      </c>
      <c r="I238" s="114">
        <v>1011</v>
      </c>
      <c r="J238" s="116" t="s">
        <v>263</v>
      </c>
    </row>
    <row r="239" spans="1:10" x14ac:dyDescent="0.25">
      <c r="A239" s="114">
        <v>236</v>
      </c>
      <c r="B239" s="115" t="s">
        <v>830</v>
      </c>
      <c r="C239" s="116" t="s">
        <v>831</v>
      </c>
      <c r="D239" s="116" t="s">
        <v>427</v>
      </c>
      <c r="E239" s="116" t="s">
        <v>832</v>
      </c>
      <c r="F239" s="117">
        <v>46542.703350000003</v>
      </c>
      <c r="G239" s="117">
        <v>46542.703350000003</v>
      </c>
      <c r="H239" s="117">
        <v>0</v>
      </c>
      <c r="I239" s="114">
        <v>0</v>
      </c>
      <c r="J239" s="116" t="s">
        <v>232</v>
      </c>
    </row>
    <row r="240" spans="1:10" x14ac:dyDescent="0.25">
      <c r="A240" s="114">
        <v>237</v>
      </c>
      <c r="B240" s="115" t="s">
        <v>836</v>
      </c>
      <c r="C240" s="116" t="s">
        <v>837</v>
      </c>
      <c r="D240" s="116" t="s">
        <v>427</v>
      </c>
      <c r="E240" s="116" t="s">
        <v>838</v>
      </c>
      <c r="F240" s="117">
        <v>0.01</v>
      </c>
      <c r="G240" s="117">
        <v>0.01</v>
      </c>
      <c r="H240" s="117">
        <v>0</v>
      </c>
      <c r="I240" s="114">
        <v>0</v>
      </c>
      <c r="J240" s="116" t="s">
        <v>232</v>
      </c>
    </row>
    <row r="241" spans="1:10" x14ac:dyDescent="0.25">
      <c r="A241" s="114">
        <v>238</v>
      </c>
      <c r="B241" s="115" t="s">
        <v>833</v>
      </c>
      <c r="C241" s="116" t="s">
        <v>834</v>
      </c>
      <c r="D241" s="116" t="s">
        <v>427</v>
      </c>
      <c r="E241" s="116" t="s">
        <v>835</v>
      </c>
      <c r="F241" s="117">
        <v>121499.9958</v>
      </c>
      <c r="G241" s="117">
        <v>121499.9958</v>
      </c>
      <c r="H241" s="117">
        <v>0</v>
      </c>
      <c r="I241" s="114">
        <v>0</v>
      </c>
      <c r="J241" s="116" t="s">
        <v>232</v>
      </c>
    </row>
    <row r="242" spans="1:10" x14ac:dyDescent="0.25">
      <c r="A242" s="114">
        <v>239</v>
      </c>
      <c r="B242" s="115" t="s">
        <v>839</v>
      </c>
      <c r="C242" s="116" t="s">
        <v>840</v>
      </c>
      <c r="D242" s="116" t="s">
        <v>427</v>
      </c>
      <c r="E242" s="116" t="s">
        <v>39</v>
      </c>
      <c r="F242" s="117">
        <v>2898</v>
      </c>
      <c r="G242" s="117">
        <v>2898</v>
      </c>
      <c r="H242" s="117">
        <v>0</v>
      </c>
      <c r="I242" s="114">
        <v>0</v>
      </c>
      <c r="J242" s="116" t="s">
        <v>232</v>
      </c>
    </row>
    <row r="243" spans="1:10" x14ac:dyDescent="0.25">
      <c r="A243" s="114">
        <v>240</v>
      </c>
      <c r="B243" s="115" t="s">
        <v>37</v>
      </c>
      <c r="C243" s="116" t="s">
        <v>38</v>
      </c>
      <c r="D243" s="116" t="s">
        <v>710</v>
      </c>
      <c r="E243" s="116" t="s">
        <v>39</v>
      </c>
      <c r="F243" s="117">
        <v>5730447.5199999996</v>
      </c>
      <c r="G243" s="117">
        <v>5730447.5199999996</v>
      </c>
      <c r="H243" s="117">
        <v>0</v>
      </c>
      <c r="I243" s="114">
        <v>0</v>
      </c>
      <c r="J243" s="116" t="s">
        <v>232</v>
      </c>
    </row>
    <row r="244" spans="1:10" x14ac:dyDescent="0.25">
      <c r="A244" s="114">
        <v>241</v>
      </c>
      <c r="B244" s="115" t="s">
        <v>841</v>
      </c>
      <c r="C244" s="116" t="s">
        <v>842</v>
      </c>
      <c r="D244" s="116" t="s">
        <v>710</v>
      </c>
      <c r="E244" s="116" t="s">
        <v>39</v>
      </c>
      <c r="F244" s="117">
        <v>3206890</v>
      </c>
      <c r="G244" s="117">
        <v>3206890</v>
      </c>
      <c r="H244" s="117">
        <v>0</v>
      </c>
      <c r="I244" s="114">
        <v>0</v>
      </c>
      <c r="J244" s="116" t="s">
        <v>232</v>
      </c>
    </row>
    <row r="245" spans="1:10" x14ac:dyDescent="0.25">
      <c r="A245" s="114">
        <v>242</v>
      </c>
      <c r="B245" s="115" t="s">
        <v>40</v>
      </c>
      <c r="C245" s="116" t="s">
        <v>41</v>
      </c>
      <c r="D245" s="116" t="s">
        <v>710</v>
      </c>
      <c r="E245" s="116" t="s">
        <v>39</v>
      </c>
      <c r="F245" s="117">
        <v>1854137.7050000001</v>
      </c>
      <c r="G245" s="117">
        <v>1854137.7050000001</v>
      </c>
      <c r="H245" s="117">
        <v>0</v>
      </c>
      <c r="I245" s="114">
        <v>0</v>
      </c>
      <c r="J245" s="116" t="s">
        <v>232</v>
      </c>
    </row>
    <row r="246" spans="1:10" x14ac:dyDescent="0.25">
      <c r="A246" s="114">
        <v>243</v>
      </c>
      <c r="B246" s="115" t="s">
        <v>808</v>
      </c>
      <c r="C246" s="116" t="s">
        <v>809</v>
      </c>
      <c r="D246" s="116" t="s">
        <v>427</v>
      </c>
      <c r="E246" s="116" t="s">
        <v>810</v>
      </c>
      <c r="F246" s="117">
        <v>53874.686650000003</v>
      </c>
      <c r="G246" s="117">
        <v>53874.686650000003</v>
      </c>
      <c r="H246" s="117">
        <v>0</v>
      </c>
      <c r="I246" s="114">
        <v>0</v>
      </c>
      <c r="J246" s="116" t="s">
        <v>232</v>
      </c>
    </row>
    <row r="247" spans="1:10" x14ac:dyDescent="0.25">
      <c r="A247" s="114">
        <v>244</v>
      </c>
      <c r="B247" s="115" t="s">
        <v>843</v>
      </c>
      <c r="C247" s="116" t="s">
        <v>844</v>
      </c>
      <c r="D247" s="116" t="s">
        <v>427</v>
      </c>
      <c r="E247" s="116" t="s">
        <v>845</v>
      </c>
      <c r="F247" s="117">
        <v>53476.044750000001</v>
      </c>
      <c r="G247" s="117">
        <v>53476.044750000001</v>
      </c>
      <c r="H247" s="117">
        <v>0</v>
      </c>
      <c r="I247" s="114">
        <v>0</v>
      </c>
      <c r="J247" s="116" t="s">
        <v>232</v>
      </c>
    </row>
    <row r="248" spans="1:10" x14ac:dyDescent="0.25">
      <c r="A248" s="114">
        <v>245</v>
      </c>
      <c r="B248" s="115" t="s">
        <v>846</v>
      </c>
      <c r="C248" s="116" t="s">
        <v>847</v>
      </c>
      <c r="D248" s="116" t="s">
        <v>437</v>
      </c>
      <c r="E248" s="116" t="s">
        <v>848</v>
      </c>
      <c r="F248" s="117">
        <v>74.54702221335414</v>
      </c>
      <c r="G248" s="117">
        <v>78.561622213354141</v>
      </c>
      <c r="H248" s="117">
        <v>26</v>
      </c>
      <c r="I248" s="114">
        <v>957</v>
      </c>
      <c r="J248" s="116" t="s">
        <v>263</v>
      </c>
    </row>
    <row r="249" spans="1:10" x14ac:dyDescent="0.25">
      <c r="A249" s="114">
        <v>246</v>
      </c>
      <c r="B249" s="115" t="s">
        <v>849</v>
      </c>
      <c r="C249" s="116" t="s">
        <v>850</v>
      </c>
      <c r="D249" s="116" t="s">
        <v>437</v>
      </c>
      <c r="E249" s="116" t="s">
        <v>851</v>
      </c>
      <c r="F249" s="117">
        <v>100</v>
      </c>
      <c r="G249" s="117">
        <v>101.5583</v>
      </c>
      <c r="H249" s="117">
        <v>4.24</v>
      </c>
      <c r="I249" s="114">
        <v>168</v>
      </c>
      <c r="J249" s="116" t="s">
        <v>263</v>
      </c>
    </row>
    <row r="250" spans="1:10" x14ac:dyDescent="0.25">
      <c r="A250" s="114">
        <v>247</v>
      </c>
      <c r="B250" s="115" t="s">
        <v>852</v>
      </c>
      <c r="C250" s="116" t="s">
        <v>853</v>
      </c>
      <c r="D250" s="116" t="s">
        <v>437</v>
      </c>
      <c r="E250" s="116" t="s">
        <v>851</v>
      </c>
      <c r="F250" s="117">
        <v>100</v>
      </c>
      <c r="G250" s="117">
        <v>100.0185</v>
      </c>
      <c r="H250" s="117">
        <v>0.35</v>
      </c>
      <c r="I250" s="114">
        <v>161</v>
      </c>
      <c r="J250" s="116" t="s">
        <v>263</v>
      </c>
    </row>
    <row r="251" spans="1:10" x14ac:dyDescent="0.25">
      <c r="A251" s="114">
        <v>248</v>
      </c>
      <c r="B251" s="115" t="s">
        <v>2005</v>
      </c>
      <c r="C251" s="116" t="s">
        <v>2006</v>
      </c>
      <c r="D251" s="116" t="s">
        <v>437</v>
      </c>
      <c r="E251" s="116" t="s">
        <v>851</v>
      </c>
      <c r="F251" s="117">
        <v>100</v>
      </c>
      <c r="G251" s="117">
        <v>100.0457</v>
      </c>
      <c r="H251" s="117">
        <v>0.35</v>
      </c>
      <c r="I251" s="114">
        <v>493</v>
      </c>
      <c r="J251" s="116" t="s">
        <v>263</v>
      </c>
    </row>
    <row r="252" spans="1:10" x14ac:dyDescent="0.25">
      <c r="A252" s="114">
        <v>249</v>
      </c>
      <c r="B252" s="115" t="s">
        <v>854</v>
      </c>
      <c r="C252" s="116" t="s">
        <v>855</v>
      </c>
      <c r="D252" s="116" t="s">
        <v>437</v>
      </c>
      <c r="E252" s="116" t="s">
        <v>851</v>
      </c>
      <c r="F252" s="117">
        <v>100</v>
      </c>
      <c r="G252" s="117">
        <v>100.00920000000001</v>
      </c>
      <c r="H252" s="117">
        <v>0.02</v>
      </c>
      <c r="I252" s="114">
        <v>2995</v>
      </c>
      <c r="J252" s="116" t="s">
        <v>263</v>
      </c>
    </row>
    <row r="253" spans="1:10" x14ac:dyDescent="0.25">
      <c r="A253" s="114">
        <v>250</v>
      </c>
      <c r="B253" s="115" t="s">
        <v>856</v>
      </c>
      <c r="C253" s="116" t="s">
        <v>857</v>
      </c>
      <c r="D253" s="116" t="s">
        <v>437</v>
      </c>
      <c r="E253" s="116" t="s">
        <v>851</v>
      </c>
      <c r="F253" s="117">
        <v>100</v>
      </c>
      <c r="G253" s="117">
        <v>102.7111</v>
      </c>
      <c r="H253" s="117">
        <v>6.08</v>
      </c>
      <c r="I253" s="114">
        <v>1610</v>
      </c>
      <c r="J253" s="116" t="s">
        <v>263</v>
      </c>
    </row>
    <row r="254" spans="1:10" x14ac:dyDescent="0.25">
      <c r="A254" s="114">
        <v>251</v>
      </c>
      <c r="B254" s="115" t="s">
        <v>858</v>
      </c>
      <c r="C254" s="116" t="s">
        <v>859</v>
      </c>
      <c r="D254" s="116" t="s">
        <v>437</v>
      </c>
      <c r="E254" s="116" t="s">
        <v>851</v>
      </c>
      <c r="F254" s="117">
        <v>100</v>
      </c>
      <c r="G254" s="117">
        <v>100.74939999999999</v>
      </c>
      <c r="H254" s="117">
        <v>7.08</v>
      </c>
      <c r="I254" s="114">
        <v>2092</v>
      </c>
      <c r="J254" s="116" t="s">
        <v>263</v>
      </c>
    </row>
    <row r="255" spans="1:10" x14ac:dyDescent="0.25">
      <c r="A255" s="114">
        <v>252</v>
      </c>
      <c r="B255" s="115" t="s">
        <v>2280</v>
      </c>
      <c r="C255" s="116" t="s">
        <v>2281</v>
      </c>
      <c r="D255" s="116" t="s">
        <v>437</v>
      </c>
      <c r="E255" s="116" t="s">
        <v>851</v>
      </c>
      <c r="F255" s="117">
        <v>96.473388500954783</v>
      </c>
      <c r="G255" s="117">
        <v>101.51338850095478</v>
      </c>
      <c r="H255" s="117">
        <v>19.66</v>
      </c>
      <c r="I255" s="114">
        <v>3504</v>
      </c>
      <c r="J255" s="116" t="s">
        <v>263</v>
      </c>
    </row>
    <row r="256" spans="1:10" x14ac:dyDescent="0.25">
      <c r="A256" s="114">
        <v>253</v>
      </c>
      <c r="B256" s="115" t="s">
        <v>2366</v>
      </c>
      <c r="C256" s="116" t="s">
        <v>2367</v>
      </c>
      <c r="D256" s="116" t="s">
        <v>437</v>
      </c>
      <c r="E256" s="116" t="s">
        <v>851</v>
      </c>
      <c r="F256" s="117">
        <v>96.517299493850786</v>
      </c>
      <c r="G256" s="117">
        <v>100.13979949385079</v>
      </c>
      <c r="H256" s="117">
        <v>19.670000000000002</v>
      </c>
      <c r="I256" s="114">
        <v>3531</v>
      </c>
      <c r="J256" s="116" t="s">
        <v>263</v>
      </c>
    </row>
    <row r="257" spans="1:10" x14ac:dyDescent="0.25">
      <c r="A257" s="114">
        <v>254</v>
      </c>
      <c r="B257" s="115" t="s">
        <v>2491</v>
      </c>
      <c r="C257" s="116" t="s">
        <v>2492</v>
      </c>
      <c r="D257" s="116" t="s">
        <v>437</v>
      </c>
      <c r="E257" s="116" t="s">
        <v>851</v>
      </c>
      <c r="F257" s="117">
        <v>96.661158866675223</v>
      </c>
      <c r="G257" s="117">
        <v>98.498658866675214</v>
      </c>
      <c r="H257" s="117">
        <v>19.66</v>
      </c>
      <c r="I257" s="114">
        <v>3565</v>
      </c>
      <c r="J257" s="116" t="s">
        <v>263</v>
      </c>
    </row>
    <row r="258" spans="1:10" x14ac:dyDescent="0.25">
      <c r="A258" s="114">
        <v>255</v>
      </c>
      <c r="B258" s="115" t="s">
        <v>860</v>
      </c>
      <c r="C258" s="116" t="s">
        <v>861</v>
      </c>
      <c r="D258" s="116" t="s">
        <v>437</v>
      </c>
      <c r="E258" s="116" t="s">
        <v>851</v>
      </c>
      <c r="F258" s="117">
        <v>100</v>
      </c>
      <c r="G258" s="117">
        <v>101.88079999999999</v>
      </c>
      <c r="H258" s="117">
        <v>6.08</v>
      </c>
      <c r="I258" s="114">
        <v>2019</v>
      </c>
      <c r="J258" s="116" t="s">
        <v>263</v>
      </c>
    </row>
    <row r="259" spans="1:10" x14ac:dyDescent="0.25">
      <c r="A259" s="114">
        <v>256</v>
      </c>
      <c r="B259" s="115" t="s">
        <v>862</v>
      </c>
      <c r="C259" s="116" t="s">
        <v>863</v>
      </c>
      <c r="D259" s="116" t="s">
        <v>437</v>
      </c>
      <c r="E259" s="116" t="s">
        <v>851</v>
      </c>
      <c r="F259" s="117">
        <v>100</v>
      </c>
      <c r="G259" s="117">
        <v>100.7286</v>
      </c>
      <c r="H259" s="117">
        <v>6.09</v>
      </c>
      <c r="I259" s="114">
        <v>2447</v>
      </c>
      <c r="J259" s="116" t="s">
        <v>263</v>
      </c>
    </row>
    <row r="260" spans="1:10" x14ac:dyDescent="0.25">
      <c r="A260" s="114">
        <v>257</v>
      </c>
      <c r="B260" s="115" t="s">
        <v>864</v>
      </c>
      <c r="C260" s="116" t="s">
        <v>865</v>
      </c>
      <c r="D260" s="116" t="s">
        <v>437</v>
      </c>
      <c r="E260" s="116" t="s">
        <v>851</v>
      </c>
      <c r="F260" s="117">
        <v>100</v>
      </c>
      <c r="G260" s="117">
        <v>100.7286</v>
      </c>
      <c r="H260" s="117">
        <v>6.09</v>
      </c>
      <c r="I260" s="114">
        <v>2447</v>
      </c>
      <c r="J260" s="116" t="s">
        <v>263</v>
      </c>
    </row>
    <row r="261" spans="1:10" x14ac:dyDescent="0.25">
      <c r="A261" s="114">
        <v>258</v>
      </c>
      <c r="B261" s="115" t="s">
        <v>866</v>
      </c>
      <c r="C261" s="116" t="s">
        <v>867</v>
      </c>
      <c r="D261" s="116" t="s">
        <v>437</v>
      </c>
      <c r="E261" s="116" t="s">
        <v>851</v>
      </c>
      <c r="F261" s="117">
        <v>100</v>
      </c>
      <c r="G261" s="117">
        <v>105.69329999999999</v>
      </c>
      <c r="H261" s="117">
        <v>6.09</v>
      </c>
      <c r="I261" s="114">
        <v>2514</v>
      </c>
      <c r="J261" s="116" t="s">
        <v>263</v>
      </c>
    </row>
    <row r="262" spans="1:10" x14ac:dyDescent="0.25">
      <c r="A262" s="114">
        <v>259</v>
      </c>
      <c r="B262" s="115" t="s">
        <v>43</v>
      </c>
      <c r="C262" s="116" t="s">
        <v>44</v>
      </c>
      <c r="D262" s="116" t="s">
        <v>437</v>
      </c>
      <c r="E262" s="116" t="s">
        <v>42</v>
      </c>
      <c r="F262" s="117">
        <v>99.994151263261514</v>
      </c>
      <c r="G262" s="117">
        <v>101.18585126326151</v>
      </c>
      <c r="H262" s="117">
        <v>5.71</v>
      </c>
      <c r="I262" s="114">
        <v>105</v>
      </c>
      <c r="J262" s="116" t="s">
        <v>263</v>
      </c>
    </row>
    <row r="263" spans="1:10" x14ac:dyDescent="0.25">
      <c r="A263" s="114">
        <v>260</v>
      </c>
      <c r="B263" s="115" t="s">
        <v>1928</v>
      </c>
      <c r="C263" s="116" t="s">
        <v>1929</v>
      </c>
      <c r="D263" s="116" t="s">
        <v>437</v>
      </c>
      <c r="E263" s="116" t="s">
        <v>42</v>
      </c>
      <c r="F263" s="117">
        <v>101.0922154977129</v>
      </c>
      <c r="G263" s="117">
        <v>106.40181549771289</v>
      </c>
      <c r="H263" s="117">
        <v>18.329999999999998</v>
      </c>
      <c r="I263" s="114">
        <v>812</v>
      </c>
      <c r="J263" s="116" t="s">
        <v>263</v>
      </c>
    </row>
    <row r="264" spans="1:10" x14ac:dyDescent="0.25">
      <c r="A264" s="114">
        <v>261</v>
      </c>
      <c r="B264" s="115" t="s">
        <v>868</v>
      </c>
      <c r="C264" s="116" t="s">
        <v>869</v>
      </c>
      <c r="D264" s="116" t="s">
        <v>437</v>
      </c>
      <c r="E264" s="116" t="s">
        <v>42</v>
      </c>
      <c r="F264" s="117">
        <v>94.309365088045496</v>
      </c>
      <c r="G264" s="117">
        <v>107.6021650880455</v>
      </c>
      <c r="H264" s="117">
        <v>18.12</v>
      </c>
      <c r="I264" s="114">
        <v>563</v>
      </c>
      <c r="J264" s="116" t="s">
        <v>263</v>
      </c>
    </row>
    <row r="265" spans="1:10" x14ac:dyDescent="0.25">
      <c r="A265" s="114">
        <v>262</v>
      </c>
      <c r="B265" s="115" t="s">
        <v>870</v>
      </c>
      <c r="C265" s="116" t="s">
        <v>871</v>
      </c>
      <c r="D265" s="116" t="s">
        <v>437</v>
      </c>
      <c r="E265" s="116" t="s">
        <v>42</v>
      </c>
      <c r="F265" s="117">
        <v>90.541333577264197</v>
      </c>
      <c r="G265" s="117">
        <v>99.611033577264195</v>
      </c>
      <c r="H265" s="117">
        <v>18.510000000000002</v>
      </c>
      <c r="I265" s="114">
        <v>639</v>
      </c>
      <c r="J265" s="116" t="s">
        <v>263</v>
      </c>
    </row>
    <row r="266" spans="1:10" x14ac:dyDescent="0.25">
      <c r="A266" s="114">
        <v>263</v>
      </c>
      <c r="B266" s="115" t="s">
        <v>349</v>
      </c>
      <c r="C266" s="116" t="s">
        <v>348</v>
      </c>
      <c r="D266" s="116" t="s">
        <v>437</v>
      </c>
      <c r="E266" s="116" t="s">
        <v>42</v>
      </c>
      <c r="F266" s="117">
        <v>94.453081592475115</v>
      </c>
      <c r="G266" s="117">
        <v>98.107481592475111</v>
      </c>
      <c r="H266" s="117">
        <v>18.13</v>
      </c>
      <c r="I266" s="114">
        <v>628</v>
      </c>
      <c r="J266" s="116" t="s">
        <v>263</v>
      </c>
    </row>
    <row r="267" spans="1:10" x14ac:dyDescent="0.25">
      <c r="A267" s="114">
        <v>264</v>
      </c>
      <c r="B267" s="115" t="s">
        <v>1977</v>
      </c>
      <c r="C267" s="116" t="s">
        <v>1978</v>
      </c>
      <c r="D267" s="116" t="s">
        <v>437</v>
      </c>
      <c r="E267" s="116" t="s">
        <v>42</v>
      </c>
      <c r="F267" s="117">
        <v>101.17845531648861</v>
      </c>
      <c r="G267" s="117">
        <v>104.77025531648862</v>
      </c>
      <c r="H267" s="117">
        <v>18.3</v>
      </c>
      <c r="I267" s="114">
        <v>843</v>
      </c>
      <c r="J267" s="116" t="s">
        <v>263</v>
      </c>
    </row>
    <row r="268" spans="1:10" x14ac:dyDescent="0.25">
      <c r="A268" s="114">
        <v>265</v>
      </c>
      <c r="B268" s="115" t="s">
        <v>2354</v>
      </c>
      <c r="C268" s="116" t="s">
        <v>2355</v>
      </c>
      <c r="D268" s="116" t="s">
        <v>437</v>
      </c>
      <c r="E268" s="116" t="s">
        <v>42</v>
      </c>
      <c r="F268" s="117">
        <v>100.52695794402801</v>
      </c>
      <c r="G268" s="117">
        <v>101.05325794402802</v>
      </c>
      <c r="H268" s="117">
        <v>3.25</v>
      </c>
      <c r="I268" s="114">
        <v>1677</v>
      </c>
      <c r="J268" s="116" t="s">
        <v>263</v>
      </c>
    </row>
    <row r="269" spans="1:10" x14ac:dyDescent="0.25">
      <c r="A269" s="114">
        <v>266</v>
      </c>
      <c r="B269" s="115" t="s">
        <v>2403</v>
      </c>
      <c r="C269" s="116" t="s">
        <v>2404</v>
      </c>
      <c r="D269" s="116" t="s">
        <v>437</v>
      </c>
      <c r="E269" s="116" t="s">
        <v>42</v>
      </c>
      <c r="F269" s="117">
        <v>99.804024191475577</v>
      </c>
      <c r="G269" s="117">
        <v>99.804024191475577</v>
      </c>
      <c r="H269" s="117">
        <v>3.12</v>
      </c>
      <c r="I269" s="114">
        <v>23</v>
      </c>
      <c r="J269" s="116" t="s">
        <v>263</v>
      </c>
    </row>
    <row r="270" spans="1:10" x14ac:dyDescent="0.25">
      <c r="A270" s="114">
        <v>267</v>
      </c>
      <c r="B270" s="115" t="s">
        <v>872</v>
      </c>
      <c r="C270" s="116" t="s">
        <v>873</v>
      </c>
      <c r="D270" s="116" t="s">
        <v>437</v>
      </c>
      <c r="E270" s="116" t="s">
        <v>42</v>
      </c>
      <c r="F270" s="117">
        <v>106.92560854160394</v>
      </c>
      <c r="G270" s="117">
        <v>109.20060854160394</v>
      </c>
      <c r="H270" s="117">
        <v>4.62</v>
      </c>
      <c r="I270" s="114">
        <v>1670</v>
      </c>
      <c r="J270" s="116" t="s">
        <v>263</v>
      </c>
    </row>
    <row r="271" spans="1:10" x14ac:dyDescent="0.25">
      <c r="A271" s="114">
        <v>268</v>
      </c>
      <c r="B271" s="115" t="s">
        <v>874</v>
      </c>
      <c r="C271" s="116" t="s">
        <v>875</v>
      </c>
      <c r="D271" s="116" t="s">
        <v>437</v>
      </c>
      <c r="E271" s="116" t="s">
        <v>42</v>
      </c>
      <c r="F271" s="117">
        <v>98.028656444640305</v>
      </c>
      <c r="G271" s="117">
        <v>98.749156444640306</v>
      </c>
      <c r="H271" s="117">
        <v>8.4</v>
      </c>
      <c r="I271" s="114">
        <v>102</v>
      </c>
      <c r="J271" s="116" t="s">
        <v>263</v>
      </c>
    </row>
    <row r="272" spans="1:10" x14ac:dyDescent="0.25">
      <c r="A272" s="114">
        <v>269</v>
      </c>
      <c r="B272" s="115" t="s">
        <v>876</v>
      </c>
      <c r="C272" s="116" t="s">
        <v>877</v>
      </c>
      <c r="D272" s="116" t="s">
        <v>437</v>
      </c>
      <c r="E272" s="116" t="s">
        <v>878</v>
      </c>
      <c r="F272" s="117">
        <v>92.208127953165828</v>
      </c>
      <c r="G272" s="117">
        <v>99.578427953165829</v>
      </c>
      <c r="H272" s="117">
        <v>16.170000000000002</v>
      </c>
      <c r="I272" s="114">
        <v>734</v>
      </c>
      <c r="J272" s="116" t="s">
        <v>263</v>
      </c>
    </row>
    <row r="273" spans="1:10" x14ac:dyDescent="0.25">
      <c r="A273" s="114">
        <v>270</v>
      </c>
      <c r="B273" s="115" t="s">
        <v>879</v>
      </c>
      <c r="C273" s="116" t="s">
        <v>880</v>
      </c>
      <c r="D273" s="116" t="s">
        <v>437</v>
      </c>
      <c r="E273" s="116" t="s">
        <v>878</v>
      </c>
      <c r="F273" s="117">
        <v>91.954528690042892</v>
      </c>
      <c r="G273" s="117">
        <v>96.496828690042904</v>
      </c>
      <c r="H273" s="117">
        <v>15.99</v>
      </c>
      <c r="I273" s="114">
        <v>974</v>
      </c>
      <c r="J273" s="116" t="s">
        <v>263</v>
      </c>
    </row>
    <row r="274" spans="1:10" x14ac:dyDescent="0.25">
      <c r="A274" s="114">
        <v>271</v>
      </c>
      <c r="B274" s="115" t="s">
        <v>881</v>
      </c>
      <c r="C274" s="116" t="s">
        <v>882</v>
      </c>
      <c r="D274" s="116" t="s">
        <v>437</v>
      </c>
      <c r="E274" s="116" t="s">
        <v>878</v>
      </c>
      <c r="F274" s="117">
        <v>89.160494091563919</v>
      </c>
      <c r="G274" s="117">
        <v>97.260494091563928</v>
      </c>
      <c r="H274" s="117">
        <v>15.72</v>
      </c>
      <c r="I274" s="114">
        <v>1443</v>
      </c>
      <c r="J274" s="116" t="s">
        <v>263</v>
      </c>
    </row>
    <row r="275" spans="1:10" x14ac:dyDescent="0.25">
      <c r="A275" s="114">
        <v>272</v>
      </c>
      <c r="B275" s="115" t="s">
        <v>883</v>
      </c>
      <c r="C275" s="116" t="s">
        <v>884</v>
      </c>
      <c r="D275" s="116" t="s">
        <v>427</v>
      </c>
      <c r="E275" s="116" t="s">
        <v>878</v>
      </c>
      <c r="F275" s="117">
        <v>1</v>
      </c>
      <c r="G275" s="117">
        <v>1</v>
      </c>
      <c r="H275" s="117">
        <v>0</v>
      </c>
      <c r="I275" s="114">
        <v>252</v>
      </c>
      <c r="J275" s="116" t="s">
        <v>232</v>
      </c>
    </row>
    <row r="276" spans="1:10" x14ac:dyDescent="0.25">
      <c r="A276" s="114">
        <v>273</v>
      </c>
      <c r="B276" s="115" t="s">
        <v>885</v>
      </c>
      <c r="C276" s="116" t="s">
        <v>886</v>
      </c>
      <c r="D276" s="116" t="s">
        <v>427</v>
      </c>
      <c r="E276" s="116" t="s">
        <v>878</v>
      </c>
      <c r="F276" s="117">
        <v>0.8</v>
      </c>
      <c r="G276" s="117">
        <v>0.8</v>
      </c>
      <c r="H276" s="117">
        <v>0</v>
      </c>
      <c r="I276" s="114">
        <v>319</v>
      </c>
      <c r="J276" s="116" t="s">
        <v>232</v>
      </c>
    </row>
    <row r="277" spans="1:10" x14ac:dyDescent="0.25">
      <c r="A277" s="114">
        <v>274</v>
      </c>
      <c r="B277" s="115" t="s">
        <v>887</v>
      </c>
      <c r="C277" s="116" t="s">
        <v>888</v>
      </c>
      <c r="D277" s="116" t="s">
        <v>437</v>
      </c>
      <c r="E277" s="116" t="s">
        <v>878</v>
      </c>
      <c r="F277" s="117">
        <v>99.774615673688814</v>
      </c>
      <c r="G277" s="117">
        <v>112.77841567368883</v>
      </c>
      <c r="H277" s="117">
        <v>18.010000000000002</v>
      </c>
      <c r="I277" s="114">
        <v>16</v>
      </c>
      <c r="J277" s="116" t="s">
        <v>263</v>
      </c>
    </row>
    <row r="278" spans="1:10" x14ac:dyDescent="0.25">
      <c r="A278" s="114">
        <v>275</v>
      </c>
      <c r="B278" s="115" t="s">
        <v>889</v>
      </c>
      <c r="C278" s="116" t="s">
        <v>890</v>
      </c>
      <c r="D278" s="116" t="s">
        <v>437</v>
      </c>
      <c r="E278" s="116" t="s">
        <v>878</v>
      </c>
      <c r="F278" s="117">
        <v>100</v>
      </c>
      <c r="G278" s="117">
        <v>101.27160000000001</v>
      </c>
      <c r="H278" s="117">
        <v>17.170000000000002</v>
      </c>
      <c r="I278" s="114">
        <v>430</v>
      </c>
      <c r="J278" s="116" t="s">
        <v>263</v>
      </c>
    </row>
    <row r="279" spans="1:10" x14ac:dyDescent="0.25">
      <c r="A279" s="114">
        <v>276</v>
      </c>
      <c r="B279" s="115" t="s">
        <v>891</v>
      </c>
      <c r="C279" s="116" t="s">
        <v>892</v>
      </c>
      <c r="D279" s="116" t="s">
        <v>437</v>
      </c>
      <c r="E279" s="116" t="s">
        <v>878</v>
      </c>
      <c r="F279" s="117">
        <v>100</v>
      </c>
      <c r="G279" s="117">
        <v>103.1336</v>
      </c>
      <c r="H279" s="117">
        <v>16.809999999999999</v>
      </c>
      <c r="I279" s="114">
        <v>1209</v>
      </c>
      <c r="J279" s="116" t="s">
        <v>263</v>
      </c>
    </row>
    <row r="280" spans="1:10" x14ac:dyDescent="0.25">
      <c r="A280" s="114">
        <v>277</v>
      </c>
      <c r="B280" s="115" t="s">
        <v>893</v>
      </c>
      <c r="C280" s="116" t="s">
        <v>894</v>
      </c>
      <c r="D280" s="116" t="s">
        <v>437</v>
      </c>
      <c r="E280" s="116" t="s">
        <v>878</v>
      </c>
      <c r="F280" s="117">
        <v>101.697</v>
      </c>
      <c r="G280" s="117">
        <v>102.74209999999999</v>
      </c>
      <c r="H280" s="117">
        <v>3.58</v>
      </c>
      <c r="I280" s="114">
        <v>814</v>
      </c>
      <c r="J280" s="116" t="s">
        <v>263</v>
      </c>
    </row>
    <row r="281" spans="1:10" x14ac:dyDescent="0.25">
      <c r="A281" s="114">
        <v>278</v>
      </c>
      <c r="B281" s="115" t="s">
        <v>895</v>
      </c>
      <c r="C281" s="116" t="s">
        <v>896</v>
      </c>
      <c r="D281" s="116" t="s">
        <v>437</v>
      </c>
      <c r="E281" s="116" t="s">
        <v>878</v>
      </c>
      <c r="F281" s="117">
        <v>101.479</v>
      </c>
      <c r="G281" s="117">
        <v>102.9686</v>
      </c>
      <c r="H281" s="117">
        <v>3.62</v>
      </c>
      <c r="I281" s="114">
        <v>1130</v>
      </c>
      <c r="J281" s="116" t="s">
        <v>263</v>
      </c>
    </row>
    <row r="282" spans="1:10" x14ac:dyDescent="0.25">
      <c r="A282" s="114">
        <v>279</v>
      </c>
      <c r="B282" s="115" t="s">
        <v>1930</v>
      </c>
      <c r="C282" s="116" t="s">
        <v>1931</v>
      </c>
      <c r="D282" s="116" t="s">
        <v>437</v>
      </c>
      <c r="E282" s="116" t="s">
        <v>878</v>
      </c>
      <c r="F282" s="117">
        <v>100</v>
      </c>
      <c r="G282" s="117">
        <v>100.51439999999999</v>
      </c>
      <c r="H282" s="117">
        <v>17.059999999999999</v>
      </c>
      <c r="I282" s="114">
        <v>446</v>
      </c>
      <c r="J282" s="116" t="s">
        <v>263</v>
      </c>
    </row>
    <row r="283" spans="1:10" x14ac:dyDescent="0.25">
      <c r="A283" s="114">
        <v>280</v>
      </c>
      <c r="B283" s="115" t="s">
        <v>2035</v>
      </c>
      <c r="C283" s="116" t="s">
        <v>2036</v>
      </c>
      <c r="D283" s="116" t="s">
        <v>437</v>
      </c>
      <c r="E283" s="116" t="s">
        <v>878</v>
      </c>
      <c r="F283" s="117">
        <v>100</v>
      </c>
      <c r="G283" s="117">
        <v>101.28270000000001</v>
      </c>
      <c r="H283" s="117">
        <v>17.32</v>
      </c>
      <c r="I283" s="114">
        <v>885</v>
      </c>
      <c r="J283" s="116" t="s">
        <v>263</v>
      </c>
    </row>
    <row r="284" spans="1:10" x14ac:dyDescent="0.25">
      <c r="A284" s="114">
        <v>281</v>
      </c>
      <c r="B284" s="115" t="s">
        <v>897</v>
      </c>
      <c r="C284" s="116" t="s">
        <v>898</v>
      </c>
      <c r="D284" s="116" t="s">
        <v>437</v>
      </c>
      <c r="E284" s="116" t="s">
        <v>878</v>
      </c>
      <c r="F284" s="117">
        <v>99.424476501037802</v>
      </c>
      <c r="G284" s="117">
        <v>103.31327650103781</v>
      </c>
      <c r="H284" s="117">
        <v>16.399999999999999</v>
      </c>
      <c r="I284" s="114">
        <v>83</v>
      </c>
      <c r="J284" s="116" t="s">
        <v>263</v>
      </c>
    </row>
    <row r="285" spans="1:10" x14ac:dyDescent="0.25">
      <c r="A285" s="114">
        <v>282</v>
      </c>
      <c r="B285" s="115" t="s">
        <v>899</v>
      </c>
      <c r="C285" s="116" t="s">
        <v>900</v>
      </c>
      <c r="D285" s="116" t="s">
        <v>437</v>
      </c>
      <c r="E285" s="116" t="s">
        <v>878</v>
      </c>
      <c r="F285" s="117">
        <v>97.349516603077944</v>
      </c>
      <c r="G285" s="117">
        <v>104.27391660307795</v>
      </c>
      <c r="H285" s="117">
        <v>16.600000000000001</v>
      </c>
      <c r="I285" s="114">
        <v>196</v>
      </c>
      <c r="J285" s="116" t="s">
        <v>263</v>
      </c>
    </row>
    <row r="286" spans="1:10" x14ac:dyDescent="0.25">
      <c r="A286" s="114">
        <v>283</v>
      </c>
      <c r="B286" s="115" t="s">
        <v>901</v>
      </c>
      <c r="C286" s="116" t="s">
        <v>902</v>
      </c>
      <c r="D286" s="116" t="s">
        <v>437</v>
      </c>
      <c r="E286" s="116" t="s">
        <v>878</v>
      </c>
      <c r="F286" s="117">
        <v>93.079780152101563</v>
      </c>
      <c r="G286" s="117">
        <v>98.908380152101557</v>
      </c>
      <c r="H286" s="117">
        <v>16.27</v>
      </c>
      <c r="I286" s="114">
        <v>583</v>
      </c>
      <c r="J286" s="116" t="s">
        <v>263</v>
      </c>
    </row>
    <row r="287" spans="1:10" x14ac:dyDescent="0.25">
      <c r="A287" s="114">
        <v>284</v>
      </c>
      <c r="B287" s="115" t="s">
        <v>903</v>
      </c>
      <c r="C287" s="116" t="s">
        <v>904</v>
      </c>
      <c r="D287" s="116" t="s">
        <v>437</v>
      </c>
      <c r="E287" s="116" t="s">
        <v>878</v>
      </c>
      <c r="F287" s="117">
        <v>95.568005661846428</v>
      </c>
      <c r="G287" s="117">
        <v>102.93830566184643</v>
      </c>
      <c r="H287" s="117">
        <v>16.399999999999999</v>
      </c>
      <c r="I287" s="114">
        <v>374</v>
      </c>
      <c r="J287" s="116" t="s">
        <v>263</v>
      </c>
    </row>
    <row r="288" spans="1:10" x14ac:dyDescent="0.25">
      <c r="A288" s="114">
        <v>285</v>
      </c>
      <c r="B288" s="115" t="s">
        <v>905</v>
      </c>
      <c r="C288" s="116" t="s">
        <v>906</v>
      </c>
      <c r="D288" s="116" t="s">
        <v>437</v>
      </c>
      <c r="E288" s="116" t="s">
        <v>907</v>
      </c>
      <c r="F288" s="117">
        <v>99.441999999999993</v>
      </c>
      <c r="G288" s="117">
        <v>99.622600000000006</v>
      </c>
      <c r="H288" s="117">
        <v>3.55</v>
      </c>
      <c r="I288" s="114">
        <v>700</v>
      </c>
      <c r="J288" s="116" t="s">
        <v>263</v>
      </c>
    </row>
    <row r="289" spans="1:10" x14ac:dyDescent="0.25">
      <c r="A289" s="114">
        <v>286</v>
      </c>
      <c r="B289" s="115" t="s">
        <v>908</v>
      </c>
      <c r="C289" s="116" t="s">
        <v>909</v>
      </c>
      <c r="D289" s="116" t="s">
        <v>437</v>
      </c>
      <c r="E289" s="116" t="s">
        <v>907</v>
      </c>
      <c r="F289" s="117">
        <v>99.664000000000001</v>
      </c>
      <c r="G289" s="117">
        <v>101.0737</v>
      </c>
      <c r="H289" s="117">
        <v>3.7</v>
      </c>
      <c r="I289" s="114">
        <v>1660</v>
      </c>
      <c r="J289" s="116" t="s">
        <v>263</v>
      </c>
    </row>
    <row r="290" spans="1:10" x14ac:dyDescent="0.25">
      <c r="A290" s="114">
        <v>287</v>
      </c>
      <c r="B290" s="115" t="s">
        <v>910</v>
      </c>
      <c r="C290" s="116" t="s">
        <v>911</v>
      </c>
      <c r="D290" s="116" t="s">
        <v>427</v>
      </c>
      <c r="E290" s="116" t="s">
        <v>912</v>
      </c>
      <c r="F290" s="117">
        <v>40000</v>
      </c>
      <c r="G290" s="117">
        <v>40000</v>
      </c>
      <c r="H290" s="117">
        <v>0</v>
      </c>
      <c r="I290" s="114">
        <v>0</v>
      </c>
      <c r="J290" s="116" t="s">
        <v>232</v>
      </c>
    </row>
    <row r="291" spans="1:10" x14ac:dyDescent="0.25">
      <c r="A291" s="114">
        <v>288</v>
      </c>
      <c r="B291" s="115" t="s">
        <v>2540</v>
      </c>
      <c r="C291" s="116" t="s">
        <v>2541</v>
      </c>
      <c r="D291" s="116" t="s">
        <v>730</v>
      </c>
      <c r="E291" s="116" t="s">
        <v>731</v>
      </c>
      <c r="F291" s="117">
        <v>22558.590049999999</v>
      </c>
      <c r="G291" s="117">
        <v>22558.590049999999</v>
      </c>
      <c r="H291" s="117">
        <v>0</v>
      </c>
      <c r="I291" s="114">
        <v>0</v>
      </c>
      <c r="J291" s="116" t="s">
        <v>232</v>
      </c>
    </row>
    <row r="292" spans="1:10" x14ac:dyDescent="0.25">
      <c r="A292" s="114">
        <v>289</v>
      </c>
      <c r="B292" s="115" t="s">
        <v>914</v>
      </c>
      <c r="C292" s="116" t="s">
        <v>915</v>
      </c>
      <c r="D292" s="116" t="s">
        <v>437</v>
      </c>
      <c r="E292" s="116" t="s">
        <v>913</v>
      </c>
      <c r="F292" s="117">
        <v>49.081261101468272</v>
      </c>
      <c r="G292" s="117">
        <v>49.603461101468277</v>
      </c>
      <c r="H292" s="117">
        <v>17.170000000000002</v>
      </c>
      <c r="I292" s="114">
        <v>2473</v>
      </c>
      <c r="J292" s="116" t="s">
        <v>263</v>
      </c>
    </row>
    <row r="293" spans="1:10" x14ac:dyDescent="0.25">
      <c r="A293" s="114">
        <v>290</v>
      </c>
      <c r="B293" s="115" t="s">
        <v>916</v>
      </c>
      <c r="C293" s="116" t="s">
        <v>917</v>
      </c>
      <c r="D293" s="116" t="s">
        <v>437</v>
      </c>
      <c r="E293" s="116" t="s">
        <v>913</v>
      </c>
      <c r="F293" s="117">
        <v>95.762805407008457</v>
      </c>
      <c r="G293" s="117">
        <v>99.108605407008454</v>
      </c>
      <c r="H293" s="117">
        <v>17.61</v>
      </c>
      <c r="I293" s="114">
        <v>250</v>
      </c>
      <c r="J293" s="116" t="s">
        <v>263</v>
      </c>
    </row>
    <row r="294" spans="1:10" x14ac:dyDescent="0.25">
      <c r="A294" s="114">
        <v>291</v>
      </c>
      <c r="B294" s="115" t="s">
        <v>918</v>
      </c>
      <c r="C294" s="116" t="s">
        <v>919</v>
      </c>
      <c r="D294" s="116" t="s">
        <v>437</v>
      </c>
      <c r="E294" s="116" t="s">
        <v>920</v>
      </c>
      <c r="F294" s="117">
        <v>88.671750199914172</v>
      </c>
      <c r="G294" s="117">
        <v>93.421750199914172</v>
      </c>
      <c r="H294" s="117">
        <v>18.88</v>
      </c>
      <c r="I294" s="114">
        <v>549</v>
      </c>
      <c r="J294" s="116" t="s">
        <v>263</v>
      </c>
    </row>
    <row r="295" spans="1:10" x14ac:dyDescent="0.25">
      <c r="A295" s="114">
        <v>292</v>
      </c>
      <c r="B295" s="115" t="s">
        <v>921</v>
      </c>
      <c r="C295" s="116" t="s">
        <v>922</v>
      </c>
      <c r="D295" s="116" t="s">
        <v>730</v>
      </c>
      <c r="E295" s="116" t="s">
        <v>923</v>
      </c>
      <c r="F295" s="117">
        <v>22649.419849999998</v>
      </c>
      <c r="G295" s="117">
        <v>22649.419849999998</v>
      </c>
      <c r="H295" s="117">
        <v>0</v>
      </c>
      <c r="I295" s="114">
        <v>0</v>
      </c>
      <c r="J295" s="116" t="s">
        <v>232</v>
      </c>
    </row>
    <row r="296" spans="1:10" x14ac:dyDescent="0.25">
      <c r="A296" s="114">
        <v>293</v>
      </c>
      <c r="B296" s="115" t="s">
        <v>924</v>
      </c>
      <c r="C296" s="116" t="s">
        <v>925</v>
      </c>
      <c r="D296" s="116" t="s">
        <v>427</v>
      </c>
      <c r="E296" s="116" t="s">
        <v>926</v>
      </c>
      <c r="F296" s="117">
        <v>1000</v>
      </c>
      <c r="G296" s="117">
        <v>1000</v>
      </c>
      <c r="H296" s="117">
        <v>0</v>
      </c>
      <c r="I296" s="114">
        <v>0</v>
      </c>
      <c r="J296" s="116" t="s">
        <v>232</v>
      </c>
    </row>
    <row r="297" spans="1:10" x14ac:dyDescent="0.25">
      <c r="A297" s="114">
        <v>294</v>
      </c>
      <c r="B297" s="115" t="s">
        <v>927</v>
      </c>
      <c r="C297" s="116" t="s">
        <v>928</v>
      </c>
      <c r="D297" s="116" t="s">
        <v>427</v>
      </c>
      <c r="E297" s="116" t="s">
        <v>926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232</v>
      </c>
    </row>
    <row r="298" spans="1:10" x14ac:dyDescent="0.25">
      <c r="A298" s="114">
        <v>295</v>
      </c>
      <c r="B298" s="115" t="s">
        <v>929</v>
      </c>
      <c r="C298" s="116" t="s">
        <v>930</v>
      </c>
      <c r="D298" s="116" t="s">
        <v>427</v>
      </c>
      <c r="E298" s="116" t="s">
        <v>931</v>
      </c>
      <c r="F298" s="117">
        <v>0.01</v>
      </c>
      <c r="G298" s="117">
        <v>0.01</v>
      </c>
      <c r="H298" s="117">
        <v>0</v>
      </c>
      <c r="I298" s="114">
        <v>0</v>
      </c>
      <c r="J298" s="116" t="s">
        <v>232</v>
      </c>
    </row>
    <row r="299" spans="1:10" x14ac:dyDescent="0.25">
      <c r="A299" s="114">
        <v>296</v>
      </c>
      <c r="B299" s="115" t="s">
        <v>935</v>
      </c>
      <c r="C299" s="116" t="s">
        <v>936</v>
      </c>
      <c r="D299" s="116" t="s">
        <v>437</v>
      </c>
      <c r="E299" s="116" t="s">
        <v>474</v>
      </c>
      <c r="F299" s="117">
        <v>97.570582605204251</v>
      </c>
      <c r="G299" s="117">
        <v>101.90628260520424</v>
      </c>
      <c r="H299" s="117">
        <v>17.93</v>
      </c>
      <c r="I299" s="114">
        <v>115</v>
      </c>
      <c r="J299" s="116" t="s">
        <v>263</v>
      </c>
    </row>
    <row r="300" spans="1:10" x14ac:dyDescent="0.25">
      <c r="A300" s="114">
        <v>297</v>
      </c>
      <c r="B300" s="115" t="s">
        <v>937</v>
      </c>
      <c r="C300" s="116" t="s">
        <v>938</v>
      </c>
      <c r="D300" s="116" t="s">
        <v>437</v>
      </c>
      <c r="E300" s="116" t="s">
        <v>474</v>
      </c>
      <c r="F300" s="117">
        <v>97.024272786934574</v>
      </c>
      <c r="G300" s="117">
        <v>98.255072786934562</v>
      </c>
      <c r="H300" s="117">
        <v>18.47</v>
      </c>
      <c r="I300" s="114">
        <v>136</v>
      </c>
      <c r="J300" s="116" t="s">
        <v>263</v>
      </c>
    </row>
    <row r="301" spans="1:10" x14ac:dyDescent="0.25">
      <c r="A301" s="114">
        <v>298</v>
      </c>
      <c r="B301" s="115" t="s">
        <v>939</v>
      </c>
      <c r="C301" s="116" t="s">
        <v>940</v>
      </c>
      <c r="D301" s="116" t="s">
        <v>427</v>
      </c>
      <c r="E301" s="116" t="s">
        <v>941</v>
      </c>
      <c r="F301" s="117">
        <v>1054.2494300000001</v>
      </c>
      <c r="G301" s="117">
        <v>1054.2494300000001</v>
      </c>
      <c r="H301" s="117">
        <v>0</v>
      </c>
      <c r="I301" s="114">
        <v>1969</v>
      </c>
      <c r="J301" s="116" t="s">
        <v>232</v>
      </c>
    </row>
    <row r="302" spans="1:10" x14ac:dyDescent="0.25">
      <c r="A302" s="114">
        <v>299</v>
      </c>
      <c r="B302" s="115" t="s">
        <v>942</v>
      </c>
      <c r="C302" s="116" t="s">
        <v>943</v>
      </c>
      <c r="D302" s="116" t="s">
        <v>437</v>
      </c>
      <c r="E302" s="116" t="s">
        <v>941</v>
      </c>
      <c r="F302" s="117">
        <v>74.830878847617242</v>
      </c>
      <c r="G302" s="117">
        <v>78.833678847617236</v>
      </c>
      <c r="H302" s="117">
        <v>17.559999999999999</v>
      </c>
      <c r="I302" s="114">
        <v>2389</v>
      </c>
      <c r="J302" s="116" t="s">
        <v>263</v>
      </c>
    </row>
    <row r="303" spans="1:10" x14ac:dyDescent="0.25">
      <c r="A303" s="114">
        <v>300</v>
      </c>
      <c r="B303" s="115" t="s">
        <v>944</v>
      </c>
      <c r="C303" s="116" t="s">
        <v>945</v>
      </c>
      <c r="D303" s="116" t="s">
        <v>437</v>
      </c>
      <c r="E303" s="116" t="s">
        <v>941</v>
      </c>
      <c r="F303" s="117">
        <v>98.309623857259652</v>
      </c>
      <c r="G303" s="117">
        <v>101.37212385725965</v>
      </c>
      <c r="H303" s="117">
        <v>18.86</v>
      </c>
      <c r="I303" s="114">
        <v>75</v>
      </c>
      <c r="J303" s="116" t="s">
        <v>263</v>
      </c>
    </row>
    <row r="304" spans="1:10" x14ac:dyDescent="0.25">
      <c r="A304" s="114">
        <v>301</v>
      </c>
      <c r="B304" s="115" t="s">
        <v>946</v>
      </c>
      <c r="C304" s="116" t="s">
        <v>947</v>
      </c>
      <c r="D304" s="116" t="s">
        <v>427</v>
      </c>
      <c r="E304" s="116" t="s">
        <v>948</v>
      </c>
      <c r="F304" s="117">
        <v>22149.855950000001</v>
      </c>
      <c r="G304" s="117">
        <v>22149.855950000001</v>
      </c>
      <c r="H304" s="117">
        <v>0</v>
      </c>
      <c r="I304" s="114">
        <v>0</v>
      </c>
      <c r="J304" s="116" t="s">
        <v>232</v>
      </c>
    </row>
    <row r="305" spans="1:10" x14ac:dyDescent="0.25">
      <c r="A305" s="114">
        <v>302</v>
      </c>
      <c r="B305" s="115" t="s">
        <v>2529</v>
      </c>
      <c r="C305" s="116" t="s">
        <v>2530</v>
      </c>
      <c r="D305" s="116" t="s">
        <v>437</v>
      </c>
      <c r="E305" s="116" t="s">
        <v>2531</v>
      </c>
      <c r="F305" s="117">
        <v>87.440538891212839</v>
      </c>
      <c r="G305" s="117">
        <v>93.329438891212831</v>
      </c>
      <c r="H305" s="117">
        <v>25.93</v>
      </c>
      <c r="I305" s="114">
        <v>1154</v>
      </c>
      <c r="J305" s="116" t="s">
        <v>263</v>
      </c>
    </row>
    <row r="306" spans="1:10" x14ac:dyDescent="0.25">
      <c r="A306" s="114">
        <v>303</v>
      </c>
      <c r="B306" s="115" t="s">
        <v>949</v>
      </c>
      <c r="C306" s="116" t="s">
        <v>950</v>
      </c>
      <c r="D306" s="116" t="s">
        <v>427</v>
      </c>
      <c r="E306" s="116" t="s">
        <v>47</v>
      </c>
      <c r="F306" s="117">
        <v>5830</v>
      </c>
      <c r="G306" s="117">
        <v>5830</v>
      </c>
      <c r="H306" s="117">
        <v>0</v>
      </c>
      <c r="I306" s="114">
        <v>0</v>
      </c>
      <c r="J306" s="116" t="s">
        <v>232</v>
      </c>
    </row>
    <row r="307" spans="1:10" x14ac:dyDescent="0.25">
      <c r="A307" s="114">
        <v>304</v>
      </c>
      <c r="B307" s="115" t="s">
        <v>48</v>
      </c>
      <c r="C307" s="116" t="s">
        <v>49</v>
      </c>
      <c r="D307" s="116" t="s">
        <v>710</v>
      </c>
      <c r="E307" s="116" t="s">
        <v>47</v>
      </c>
      <c r="F307" s="117">
        <v>78620.775213323679</v>
      </c>
      <c r="G307" s="117">
        <v>78620.775213323679</v>
      </c>
      <c r="H307" s="117">
        <v>0</v>
      </c>
      <c r="I307" s="114">
        <v>0</v>
      </c>
      <c r="J307" s="116" t="s">
        <v>232</v>
      </c>
    </row>
    <row r="308" spans="1:10" x14ac:dyDescent="0.25">
      <c r="A308" s="114">
        <v>305</v>
      </c>
      <c r="B308" s="115" t="s">
        <v>45</v>
      </c>
      <c r="C308" s="116" t="s">
        <v>46</v>
      </c>
      <c r="D308" s="116" t="s">
        <v>710</v>
      </c>
      <c r="E308" s="116" t="s">
        <v>47</v>
      </c>
      <c r="F308" s="117">
        <v>5611.2113091982937</v>
      </c>
      <c r="G308" s="117">
        <v>5611.2113091982937</v>
      </c>
      <c r="H308" s="117">
        <v>0</v>
      </c>
      <c r="I308" s="114">
        <v>0</v>
      </c>
      <c r="J308" s="116" t="s">
        <v>232</v>
      </c>
    </row>
    <row r="309" spans="1:10" x14ac:dyDescent="0.25">
      <c r="A309" s="114">
        <v>306</v>
      </c>
      <c r="B309" s="115" t="s">
        <v>951</v>
      </c>
      <c r="C309" s="116" t="s">
        <v>952</v>
      </c>
      <c r="D309" s="116" t="s">
        <v>710</v>
      </c>
      <c r="E309" s="116" t="s">
        <v>2241</v>
      </c>
      <c r="F309" s="117">
        <v>550433.63410000002</v>
      </c>
      <c r="G309" s="117">
        <v>550433.63410000002</v>
      </c>
      <c r="H309" s="117">
        <v>0</v>
      </c>
      <c r="I309" s="114">
        <v>0</v>
      </c>
      <c r="J309" s="116" t="s">
        <v>232</v>
      </c>
    </row>
    <row r="310" spans="1:10" x14ac:dyDescent="0.25">
      <c r="A310" s="114">
        <v>307</v>
      </c>
      <c r="B310" s="115" t="s">
        <v>953</v>
      </c>
      <c r="C310" s="116" t="s">
        <v>954</v>
      </c>
      <c r="D310" s="116" t="s">
        <v>710</v>
      </c>
      <c r="E310" s="116" t="s">
        <v>2241</v>
      </c>
      <c r="F310" s="117">
        <v>12010.075000000001</v>
      </c>
      <c r="G310" s="117">
        <v>12010.075000000001</v>
      </c>
      <c r="H310" s="117">
        <v>0</v>
      </c>
      <c r="I310" s="114">
        <v>0</v>
      </c>
      <c r="J310" s="116" t="s">
        <v>232</v>
      </c>
    </row>
    <row r="311" spans="1:10" x14ac:dyDescent="0.25">
      <c r="A311" s="114">
        <v>308</v>
      </c>
      <c r="B311" s="115" t="s">
        <v>955</v>
      </c>
      <c r="C311" s="116" t="s">
        <v>956</v>
      </c>
      <c r="D311" s="116" t="s">
        <v>710</v>
      </c>
      <c r="E311" s="116" t="s">
        <v>2241</v>
      </c>
      <c r="F311" s="117">
        <v>15073.115</v>
      </c>
      <c r="G311" s="117">
        <v>15073.115</v>
      </c>
      <c r="H311" s="117">
        <v>0</v>
      </c>
      <c r="I311" s="114">
        <v>0</v>
      </c>
      <c r="J311" s="116" t="s">
        <v>232</v>
      </c>
    </row>
    <row r="312" spans="1:10" x14ac:dyDescent="0.25">
      <c r="A312" s="114">
        <v>309</v>
      </c>
      <c r="B312" s="115" t="s">
        <v>957</v>
      </c>
      <c r="C312" s="116" t="s">
        <v>958</v>
      </c>
      <c r="D312" s="116" t="s">
        <v>710</v>
      </c>
      <c r="E312" s="116" t="s">
        <v>2241</v>
      </c>
      <c r="F312" s="117">
        <v>595871.24155000004</v>
      </c>
      <c r="G312" s="117">
        <v>595871.24155000004</v>
      </c>
      <c r="H312" s="117">
        <v>0</v>
      </c>
      <c r="I312" s="114">
        <v>0</v>
      </c>
      <c r="J312" s="116" t="s">
        <v>232</v>
      </c>
    </row>
    <row r="313" spans="1:10" x14ac:dyDescent="0.25">
      <c r="A313" s="114">
        <v>310</v>
      </c>
      <c r="B313" s="115" t="s">
        <v>959</v>
      </c>
      <c r="C313" s="116" t="s">
        <v>960</v>
      </c>
      <c r="D313" s="116" t="s">
        <v>427</v>
      </c>
      <c r="E313" s="116" t="s">
        <v>961</v>
      </c>
      <c r="F313" s="117">
        <v>10691.67</v>
      </c>
      <c r="G313" s="117">
        <v>10691.67</v>
      </c>
      <c r="H313" s="117">
        <v>0</v>
      </c>
      <c r="I313" s="114">
        <v>0</v>
      </c>
      <c r="J313" s="116" t="s">
        <v>232</v>
      </c>
    </row>
    <row r="314" spans="1:10" x14ac:dyDescent="0.25">
      <c r="A314" s="114">
        <v>311</v>
      </c>
      <c r="B314" s="115" t="s">
        <v>962</v>
      </c>
      <c r="C314" s="116" t="s">
        <v>963</v>
      </c>
      <c r="D314" s="116" t="s">
        <v>437</v>
      </c>
      <c r="E314" s="116" t="s">
        <v>964</v>
      </c>
      <c r="F314" s="117">
        <v>100</v>
      </c>
      <c r="G314" s="117">
        <v>104.9833</v>
      </c>
      <c r="H314" s="117">
        <v>11.43</v>
      </c>
      <c r="I314" s="114">
        <v>924</v>
      </c>
      <c r="J314" s="116" t="s">
        <v>263</v>
      </c>
    </row>
    <row r="315" spans="1:10" x14ac:dyDescent="0.25">
      <c r="A315" s="114">
        <v>312</v>
      </c>
      <c r="B315" s="115" t="s">
        <v>965</v>
      </c>
      <c r="C315" s="116" t="s">
        <v>966</v>
      </c>
      <c r="D315" s="116" t="s">
        <v>437</v>
      </c>
      <c r="E315" s="116" t="s">
        <v>964</v>
      </c>
      <c r="F315" s="117">
        <v>100</v>
      </c>
      <c r="G315" s="117">
        <v>102.5278</v>
      </c>
      <c r="H315" s="117">
        <v>9.98</v>
      </c>
      <c r="I315" s="114">
        <v>3149</v>
      </c>
      <c r="J315" s="116" t="s">
        <v>263</v>
      </c>
    </row>
    <row r="316" spans="1:10" x14ac:dyDescent="0.25">
      <c r="A316" s="114">
        <v>313</v>
      </c>
      <c r="B316" s="115" t="s">
        <v>1940</v>
      </c>
      <c r="C316" s="116" t="s">
        <v>1941</v>
      </c>
      <c r="D316" s="116" t="s">
        <v>437</v>
      </c>
      <c r="E316" s="116" t="s">
        <v>967</v>
      </c>
      <c r="F316" s="117">
        <v>100.35043273215294</v>
      </c>
      <c r="G316" s="117">
        <v>106.04483273215294</v>
      </c>
      <c r="H316" s="117">
        <v>23.58</v>
      </c>
      <c r="I316" s="114">
        <v>98</v>
      </c>
      <c r="J316" s="116" t="s">
        <v>263</v>
      </c>
    </row>
    <row r="317" spans="1:10" x14ac:dyDescent="0.25">
      <c r="A317" s="114">
        <v>314</v>
      </c>
      <c r="B317" s="115" t="s">
        <v>968</v>
      </c>
      <c r="C317" s="116" t="s">
        <v>969</v>
      </c>
      <c r="D317" s="116" t="s">
        <v>730</v>
      </c>
      <c r="E317" s="116" t="s">
        <v>2430</v>
      </c>
      <c r="F317" s="117">
        <v>16836.31265</v>
      </c>
      <c r="G317" s="117">
        <v>16836.31265</v>
      </c>
      <c r="H317" s="117">
        <v>0</v>
      </c>
      <c r="I317" s="114">
        <v>0</v>
      </c>
      <c r="J317" s="116" t="s">
        <v>232</v>
      </c>
    </row>
    <row r="318" spans="1:10" x14ac:dyDescent="0.25">
      <c r="A318" s="114">
        <v>315</v>
      </c>
      <c r="B318" s="115" t="s">
        <v>970</v>
      </c>
      <c r="C318" s="116" t="s">
        <v>971</v>
      </c>
      <c r="D318" s="116" t="s">
        <v>437</v>
      </c>
      <c r="E318" s="116" t="s">
        <v>972</v>
      </c>
      <c r="F318" s="117">
        <v>98.59634669490606</v>
      </c>
      <c r="G318" s="117">
        <v>99.929646694906069</v>
      </c>
      <c r="H318" s="117">
        <v>15.75</v>
      </c>
      <c r="I318" s="114">
        <v>140</v>
      </c>
      <c r="J318" s="116" t="s">
        <v>263</v>
      </c>
    </row>
    <row r="319" spans="1:10" x14ac:dyDescent="0.25">
      <c r="A319" s="114">
        <v>316</v>
      </c>
      <c r="B319" s="115" t="s">
        <v>973</v>
      </c>
      <c r="C319" s="116" t="s">
        <v>974</v>
      </c>
      <c r="D319" s="116" t="s">
        <v>437</v>
      </c>
      <c r="E319" s="116" t="s">
        <v>972</v>
      </c>
      <c r="F319" s="117">
        <v>96.677140466677926</v>
      </c>
      <c r="G319" s="117">
        <v>99.457740466677919</v>
      </c>
      <c r="H319" s="117">
        <v>15.81</v>
      </c>
      <c r="I319" s="114">
        <v>269</v>
      </c>
      <c r="J319" s="116" t="s">
        <v>263</v>
      </c>
    </row>
    <row r="320" spans="1:10" x14ac:dyDescent="0.25">
      <c r="A320" s="114">
        <v>317</v>
      </c>
      <c r="B320" s="115" t="s">
        <v>1954</v>
      </c>
      <c r="C320" s="116" t="s">
        <v>1955</v>
      </c>
      <c r="D320" s="116" t="s">
        <v>437</v>
      </c>
      <c r="E320" s="116" t="s">
        <v>972</v>
      </c>
      <c r="F320" s="117">
        <v>98.664976107184685</v>
      </c>
      <c r="G320" s="117">
        <v>100.95667610718468</v>
      </c>
      <c r="H320" s="117">
        <v>15.68</v>
      </c>
      <c r="I320" s="114">
        <v>105</v>
      </c>
      <c r="J320" s="116" t="s">
        <v>263</v>
      </c>
    </row>
    <row r="321" spans="1:10" x14ac:dyDescent="0.25">
      <c r="A321" s="114">
        <v>318</v>
      </c>
      <c r="B321" s="115" t="s">
        <v>975</v>
      </c>
      <c r="C321" s="116" t="s">
        <v>976</v>
      </c>
      <c r="D321" s="116" t="s">
        <v>427</v>
      </c>
      <c r="E321" s="116" t="s">
        <v>977</v>
      </c>
      <c r="F321" s="117">
        <v>67826.192277190203</v>
      </c>
      <c r="G321" s="117">
        <v>67826.192277190203</v>
      </c>
      <c r="H321" s="117">
        <v>0</v>
      </c>
      <c r="I321" s="114">
        <v>0</v>
      </c>
      <c r="J321" s="116" t="s">
        <v>232</v>
      </c>
    </row>
    <row r="322" spans="1:10" x14ac:dyDescent="0.25">
      <c r="A322" s="114">
        <v>319</v>
      </c>
      <c r="B322" s="115" t="s">
        <v>978</v>
      </c>
      <c r="C322" s="116" t="s">
        <v>979</v>
      </c>
      <c r="D322" s="116" t="s">
        <v>437</v>
      </c>
      <c r="E322" s="116" t="s">
        <v>980</v>
      </c>
      <c r="F322" s="117">
        <v>95.152742521217888</v>
      </c>
      <c r="G322" s="117">
        <v>97.797142521217893</v>
      </c>
      <c r="H322" s="117">
        <v>18.79</v>
      </c>
      <c r="I322" s="114">
        <v>280</v>
      </c>
      <c r="J322" s="116" t="s">
        <v>263</v>
      </c>
    </row>
    <row r="323" spans="1:10" x14ac:dyDescent="0.25">
      <c r="A323" s="114">
        <v>320</v>
      </c>
      <c r="B323" s="115" t="s">
        <v>981</v>
      </c>
      <c r="C323" s="116" t="s">
        <v>982</v>
      </c>
      <c r="D323" s="116" t="s">
        <v>427</v>
      </c>
      <c r="E323" s="116" t="s">
        <v>2431</v>
      </c>
      <c r="F323" s="117">
        <v>41811.984600000003</v>
      </c>
      <c r="G323" s="117">
        <v>41811.984600000003</v>
      </c>
      <c r="H323" s="117">
        <v>0</v>
      </c>
      <c r="I323" s="114">
        <v>0</v>
      </c>
      <c r="J323" s="116" t="s">
        <v>232</v>
      </c>
    </row>
    <row r="324" spans="1:10" x14ac:dyDescent="0.25">
      <c r="A324" s="114">
        <v>321</v>
      </c>
      <c r="B324" s="115" t="s">
        <v>2442</v>
      </c>
      <c r="C324" s="116" t="s">
        <v>2443</v>
      </c>
      <c r="D324" s="116" t="s">
        <v>730</v>
      </c>
      <c r="E324" s="116" t="s">
        <v>1042</v>
      </c>
      <c r="F324" s="117">
        <v>19869.018749999999</v>
      </c>
      <c r="G324" s="117">
        <v>19869.018749999999</v>
      </c>
      <c r="H324" s="117">
        <v>0</v>
      </c>
      <c r="I324" s="114">
        <v>0</v>
      </c>
      <c r="J324" s="116" t="s">
        <v>232</v>
      </c>
    </row>
    <row r="325" spans="1:10" x14ac:dyDescent="0.25">
      <c r="A325" s="114">
        <v>322</v>
      </c>
      <c r="B325" s="115" t="s">
        <v>932</v>
      </c>
      <c r="C325" s="116" t="s">
        <v>933</v>
      </c>
      <c r="D325" s="116" t="s">
        <v>427</v>
      </c>
      <c r="E325" s="116" t="s">
        <v>934</v>
      </c>
      <c r="F325" s="117">
        <v>6653.2828499999996</v>
      </c>
      <c r="G325" s="117">
        <v>6653.2828499999996</v>
      </c>
      <c r="H325" s="117">
        <v>0</v>
      </c>
      <c r="I325" s="114">
        <v>0</v>
      </c>
      <c r="J325" s="116" t="s">
        <v>232</v>
      </c>
    </row>
    <row r="326" spans="1:10" x14ac:dyDescent="0.25">
      <c r="A326" s="114">
        <v>323</v>
      </c>
      <c r="B326" s="115" t="s">
        <v>983</v>
      </c>
      <c r="C326" s="116" t="s">
        <v>984</v>
      </c>
      <c r="D326" s="116" t="s">
        <v>427</v>
      </c>
      <c r="E326" s="116" t="s">
        <v>985</v>
      </c>
      <c r="F326" s="117">
        <v>6672.966300000001</v>
      </c>
      <c r="G326" s="117">
        <v>6672.966300000001</v>
      </c>
      <c r="H326" s="117">
        <v>0</v>
      </c>
      <c r="I326" s="114">
        <v>0</v>
      </c>
      <c r="J326" s="116" t="s">
        <v>232</v>
      </c>
    </row>
    <row r="327" spans="1:10" x14ac:dyDescent="0.25">
      <c r="A327" s="114">
        <v>324</v>
      </c>
      <c r="B327" s="115" t="s">
        <v>986</v>
      </c>
      <c r="C327" s="116" t="s">
        <v>987</v>
      </c>
      <c r="D327" s="116" t="s">
        <v>730</v>
      </c>
      <c r="E327" s="116" t="s">
        <v>988</v>
      </c>
      <c r="F327" s="117">
        <v>40616.058900000004</v>
      </c>
      <c r="G327" s="117">
        <v>40616.058900000004</v>
      </c>
      <c r="H327" s="117">
        <v>0</v>
      </c>
      <c r="I327" s="114">
        <v>0</v>
      </c>
      <c r="J327" s="116" t="s">
        <v>232</v>
      </c>
    </row>
    <row r="328" spans="1:10" x14ac:dyDescent="0.25">
      <c r="A328" s="114">
        <v>325</v>
      </c>
      <c r="B328" s="115" t="s">
        <v>1965</v>
      </c>
      <c r="C328" s="116" t="s">
        <v>1770</v>
      </c>
      <c r="D328" s="116" t="s">
        <v>730</v>
      </c>
      <c r="E328" s="116" t="s">
        <v>1771</v>
      </c>
      <c r="F328" s="117">
        <v>195185.67105</v>
      </c>
      <c r="G328" s="117">
        <v>195185.67105</v>
      </c>
      <c r="H328" s="117">
        <v>0</v>
      </c>
      <c r="I328" s="114">
        <v>0</v>
      </c>
      <c r="J328" s="116" t="s">
        <v>232</v>
      </c>
    </row>
    <row r="329" spans="1:10" x14ac:dyDescent="0.25">
      <c r="A329" s="114">
        <v>326</v>
      </c>
      <c r="B329" s="115" t="s">
        <v>989</v>
      </c>
      <c r="C329" s="116" t="s">
        <v>990</v>
      </c>
      <c r="D329" s="116" t="s">
        <v>427</v>
      </c>
      <c r="E329" s="116" t="s">
        <v>991</v>
      </c>
      <c r="F329" s="117">
        <v>162123.62385</v>
      </c>
      <c r="G329" s="117">
        <v>162123.62385</v>
      </c>
      <c r="H329" s="117">
        <v>0</v>
      </c>
      <c r="I329" s="114">
        <v>0</v>
      </c>
      <c r="J329" s="116" t="s">
        <v>232</v>
      </c>
    </row>
    <row r="330" spans="1:10" x14ac:dyDescent="0.25">
      <c r="A330" s="114">
        <v>327</v>
      </c>
      <c r="B330" s="115" t="s">
        <v>50</v>
      </c>
      <c r="C330" s="116" t="s">
        <v>51</v>
      </c>
      <c r="D330" s="116" t="s">
        <v>437</v>
      </c>
      <c r="E330" s="116" t="s">
        <v>52</v>
      </c>
      <c r="F330" s="117">
        <v>98.443200000000004</v>
      </c>
      <c r="G330" s="117">
        <v>104.1724</v>
      </c>
      <c r="H330" s="117">
        <v>19.010000000000002</v>
      </c>
      <c r="I330" s="114">
        <v>235</v>
      </c>
      <c r="J330" s="116" t="s">
        <v>263</v>
      </c>
    </row>
    <row r="331" spans="1:10" x14ac:dyDescent="0.25">
      <c r="A331" s="114">
        <v>328</v>
      </c>
      <c r="B331" s="115" t="s">
        <v>53</v>
      </c>
      <c r="C331" s="116" t="s">
        <v>54</v>
      </c>
      <c r="D331" s="116" t="s">
        <v>437</v>
      </c>
      <c r="E331" s="116" t="s">
        <v>52</v>
      </c>
      <c r="F331" s="117">
        <v>94.848799999999997</v>
      </c>
      <c r="G331" s="117">
        <v>100.21129999999999</v>
      </c>
      <c r="H331" s="117">
        <v>19</v>
      </c>
      <c r="I331" s="114">
        <v>963</v>
      </c>
      <c r="J331" s="116" t="s">
        <v>263</v>
      </c>
    </row>
    <row r="332" spans="1:10" x14ac:dyDescent="0.25">
      <c r="A332" s="114">
        <v>329</v>
      </c>
      <c r="B332" s="115" t="s">
        <v>1936</v>
      </c>
      <c r="C332" s="116" t="s">
        <v>1937</v>
      </c>
      <c r="D332" s="116" t="s">
        <v>437</v>
      </c>
      <c r="E332" s="116" t="s">
        <v>52</v>
      </c>
      <c r="F332" s="117">
        <v>97.176848364989269</v>
      </c>
      <c r="G332" s="117">
        <v>102.11764836498928</v>
      </c>
      <c r="H332" s="117">
        <v>19.72</v>
      </c>
      <c r="I332" s="114">
        <v>802</v>
      </c>
      <c r="J332" s="116" t="s">
        <v>263</v>
      </c>
    </row>
    <row r="333" spans="1:10" x14ac:dyDescent="0.25">
      <c r="A333" s="114">
        <v>330</v>
      </c>
      <c r="B333" s="115" t="s">
        <v>356</v>
      </c>
      <c r="C333" s="116" t="s">
        <v>357</v>
      </c>
      <c r="D333" s="116" t="s">
        <v>437</v>
      </c>
      <c r="E333" s="116" t="s">
        <v>52</v>
      </c>
      <c r="F333" s="117">
        <v>97.69</v>
      </c>
      <c r="G333" s="117">
        <v>105.3567</v>
      </c>
      <c r="H333" s="117">
        <v>19</v>
      </c>
      <c r="I333" s="114">
        <v>560</v>
      </c>
      <c r="J333" s="116" t="s">
        <v>263</v>
      </c>
    </row>
    <row r="334" spans="1:10" x14ac:dyDescent="0.25">
      <c r="A334" s="114">
        <v>331</v>
      </c>
      <c r="B334" s="115" t="s">
        <v>354</v>
      </c>
      <c r="C334" s="116" t="s">
        <v>355</v>
      </c>
      <c r="D334" s="116" t="s">
        <v>437</v>
      </c>
      <c r="E334" s="116" t="s">
        <v>52</v>
      </c>
      <c r="F334" s="117">
        <v>95.537099999999995</v>
      </c>
      <c r="G334" s="117">
        <v>102.7246</v>
      </c>
      <c r="H334" s="117">
        <v>19</v>
      </c>
      <c r="I334" s="114">
        <v>1290</v>
      </c>
      <c r="J334" s="116" t="s">
        <v>263</v>
      </c>
    </row>
    <row r="335" spans="1:10" x14ac:dyDescent="0.25">
      <c r="A335" s="114">
        <v>332</v>
      </c>
      <c r="B335" s="115" t="s">
        <v>2579</v>
      </c>
      <c r="C335" s="116" t="s">
        <v>2580</v>
      </c>
      <c r="D335" s="116" t="s">
        <v>437</v>
      </c>
      <c r="E335" s="116" t="s">
        <v>52</v>
      </c>
      <c r="F335" s="117">
        <v>99.566772257869161</v>
      </c>
      <c r="G335" s="117">
        <v>100.32507225786917</v>
      </c>
      <c r="H335" s="117">
        <v>19.98</v>
      </c>
      <c r="I335" s="114">
        <v>346</v>
      </c>
      <c r="J335" s="116" t="s">
        <v>263</v>
      </c>
    </row>
    <row r="336" spans="1:10" x14ac:dyDescent="0.25">
      <c r="A336" s="114">
        <v>333</v>
      </c>
      <c r="B336" s="115" t="s">
        <v>2182</v>
      </c>
      <c r="C336" s="116" t="s">
        <v>2183</v>
      </c>
      <c r="D336" s="116" t="s">
        <v>437</v>
      </c>
      <c r="E336" s="116" t="s">
        <v>52</v>
      </c>
      <c r="F336" s="117">
        <v>99.50843125901946</v>
      </c>
      <c r="G336" s="117">
        <v>106.98923125901946</v>
      </c>
      <c r="H336" s="117">
        <v>19.239999999999998</v>
      </c>
      <c r="I336" s="114">
        <v>1659</v>
      </c>
      <c r="J336" s="116" t="s">
        <v>263</v>
      </c>
    </row>
    <row r="337" spans="1:10" x14ac:dyDescent="0.25">
      <c r="A337" s="114">
        <v>334</v>
      </c>
      <c r="B337" s="115" t="s">
        <v>2588</v>
      </c>
      <c r="C337" s="116" t="s">
        <v>2589</v>
      </c>
      <c r="D337" s="116" t="s">
        <v>437</v>
      </c>
      <c r="E337" s="116" t="s">
        <v>52</v>
      </c>
      <c r="F337" s="117">
        <v>99.980500000000006</v>
      </c>
      <c r="G337" s="117">
        <v>100.4743</v>
      </c>
      <c r="H337" s="117">
        <v>19.75</v>
      </c>
      <c r="I337" s="114">
        <v>1071</v>
      </c>
      <c r="J337" s="116" t="s">
        <v>263</v>
      </c>
    </row>
    <row r="338" spans="1:10" x14ac:dyDescent="0.25">
      <c r="A338" s="114">
        <v>335</v>
      </c>
      <c r="B338" s="115" t="s">
        <v>2153</v>
      </c>
      <c r="C338" s="116" t="s">
        <v>2154</v>
      </c>
      <c r="D338" s="116" t="s">
        <v>437</v>
      </c>
      <c r="E338" s="116" t="s">
        <v>52</v>
      </c>
      <c r="F338" s="117">
        <v>99.61</v>
      </c>
      <c r="G338" s="117">
        <v>107.68429999999999</v>
      </c>
      <c r="H338" s="117">
        <v>19.5</v>
      </c>
      <c r="I338" s="114">
        <v>569</v>
      </c>
      <c r="J338" s="116" t="s">
        <v>263</v>
      </c>
    </row>
    <row r="339" spans="1:10" x14ac:dyDescent="0.25">
      <c r="A339" s="114">
        <v>336</v>
      </c>
      <c r="B339" s="115" t="s">
        <v>2590</v>
      </c>
      <c r="C339" s="116" t="s">
        <v>2591</v>
      </c>
      <c r="D339" s="116" t="s">
        <v>437</v>
      </c>
      <c r="E339" s="116" t="s">
        <v>52</v>
      </c>
      <c r="F339" s="117">
        <v>100.45581788595484</v>
      </c>
      <c r="G339" s="117">
        <v>100.94961788595484</v>
      </c>
      <c r="H339" s="117">
        <v>19.53</v>
      </c>
      <c r="I339" s="114">
        <v>1071</v>
      </c>
      <c r="J339" s="116" t="s">
        <v>263</v>
      </c>
    </row>
    <row r="340" spans="1:10" x14ac:dyDescent="0.25">
      <c r="A340" s="114">
        <v>337</v>
      </c>
      <c r="B340" s="115" t="s">
        <v>55</v>
      </c>
      <c r="C340" s="116" t="s">
        <v>56</v>
      </c>
      <c r="D340" s="116" t="s">
        <v>710</v>
      </c>
      <c r="E340" s="116" t="s">
        <v>992</v>
      </c>
      <c r="F340" s="117">
        <v>50022.144999999997</v>
      </c>
      <c r="G340" s="117">
        <v>50022.144999999997</v>
      </c>
      <c r="H340" s="117">
        <v>0</v>
      </c>
      <c r="I340" s="114">
        <v>0</v>
      </c>
      <c r="J340" s="116" t="s">
        <v>232</v>
      </c>
    </row>
    <row r="341" spans="1:10" x14ac:dyDescent="0.25">
      <c r="A341" s="114">
        <v>338</v>
      </c>
      <c r="B341" s="115" t="s">
        <v>57</v>
      </c>
      <c r="C341" s="116" t="s">
        <v>58</v>
      </c>
      <c r="D341" s="116" t="s">
        <v>710</v>
      </c>
      <c r="E341" s="116" t="s">
        <v>992</v>
      </c>
      <c r="F341" s="117">
        <v>70868.58</v>
      </c>
      <c r="G341" s="117">
        <v>70868.58</v>
      </c>
      <c r="H341" s="117">
        <v>0</v>
      </c>
      <c r="I341" s="114">
        <v>0</v>
      </c>
      <c r="J341" s="116" t="s">
        <v>232</v>
      </c>
    </row>
    <row r="342" spans="1:10" x14ac:dyDescent="0.25">
      <c r="A342" s="114">
        <v>339</v>
      </c>
      <c r="B342" s="115" t="s">
        <v>59</v>
      </c>
      <c r="C342" s="116" t="s">
        <v>60</v>
      </c>
      <c r="D342" s="116" t="s">
        <v>710</v>
      </c>
      <c r="E342" s="116" t="s">
        <v>992</v>
      </c>
      <c r="F342" s="117">
        <v>70232.53</v>
      </c>
      <c r="G342" s="117">
        <v>70232.53</v>
      </c>
      <c r="H342" s="117">
        <v>0</v>
      </c>
      <c r="I342" s="114">
        <v>0</v>
      </c>
      <c r="J342" s="116" t="s">
        <v>232</v>
      </c>
    </row>
    <row r="343" spans="1:10" x14ac:dyDescent="0.25">
      <c r="A343" s="114">
        <v>340</v>
      </c>
      <c r="B343" s="115" t="s">
        <v>61</v>
      </c>
      <c r="C343" s="116" t="s">
        <v>62</v>
      </c>
      <c r="D343" s="116" t="s">
        <v>710</v>
      </c>
      <c r="E343" s="116" t="s">
        <v>992</v>
      </c>
      <c r="F343" s="117">
        <v>553187.81000000006</v>
      </c>
      <c r="G343" s="117">
        <v>553187.81000000006</v>
      </c>
      <c r="H343" s="117">
        <v>0</v>
      </c>
      <c r="I343" s="114">
        <v>0</v>
      </c>
      <c r="J343" s="116" t="s">
        <v>232</v>
      </c>
    </row>
    <row r="344" spans="1:10" x14ac:dyDescent="0.25">
      <c r="A344" s="114">
        <v>341</v>
      </c>
      <c r="B344" s="115" t="s">
        <v>996</v>
      </c>
      <c r="C344" s="116" t="s">
        <v>997</v>
      </c>
      <c r="D344" s="116" t="s">
        <v>710</v>
      </c>
      <c r="E344" s="116" t="s">
        <v>992</v>
      </c>
      <c r="F344" s="117">
        <v>4308.0324000000001</v>
      </c>
      <c r="G344" s="117">
        <v>4308.0324000000001</v>
      </c>
      <c r="H344" s="117">
        <v>0</v>
      </c>
      <c r="I344" s="114">
        <v>0</v>
      </c>
      <c r="J344" s="116" t="s">
        <v>232</v>
      </c>
    </row>
    <row r="345" spans="1:10" x14ac:dyDescent="0.25">
      <c r="A345" s="114">
        <v>342</v>
      </c>
      <c r="B345" s="115" t="s">
        <v>993</v>
      </c>
      <c r="C345" s="116" t="s">
        <v>994</v>
      </c>
      <c r="D345" s="116" t="s">
        <v>427</v>
      </c>
      <c r="E345" s="116" t="s">
        <v>995</v>
      </c>
      <c r="F345" s="117">
        <v>502.37710075000001</v>
      </c>
      <c r="G345" s="117">
        <v>502.37710075000001</v>
      </c>
      <c r="H345" s="117">
        <v>0</v>
      </c>
      <c r="I345" s="114">
        <v>443</v>
      </c>
      <c r="J345" s="116" t="s">
        <v>232</v>
      </c>
    </row>
    <row r="346" spans="1:10" x14ac:dyDescent="0.25">
      <c r="A346" s="114">
        <v>343</v>
      </c>
      <c r="B346" s="115" t="s">
        <v>63</v>
      </c>
      <c r="C346" s="116" t="s">
        <v>64</v>
      </c>
      <c r="D346" s="116" t="s">
        <v>427</v>
      </c>
      <c r="E346" s="116" t="s">
        <v>65</v>
      </c>
      <c r="F346" s="117">
        <v>321.55415943660375</v>
      </c>
      <c r="G346" s="117">
        <v>321.55415943660375</v>
      </c>
      <c r="H346" s="117">
        <v>0</v>
      </c>
      <c r="I346" s="114">
        <v>0</v>
      </c>
      <c r="J346" s="116" t="s">
        <v>232</v>
      </c>
    </row>
    <row r="347" spans="1:10" x14ac:dyDescent="0.25">
      <c r="A347" s="114">
        <v>344</v>
      </c>
      <c r="B347" s="115" t="s">
        <v>998</v>
      </c>
      <c r="C347" s="116" t="s">
        <v>999</v>
      </c>
      <c r="D347" s="116" t="s">
        <v>437</v>
      </c>
      <c r="E347" s="116" t="s">
        <v>65</v>
      </c>
      <c r="F347" s="117">
        <v>104.93193724991485</v>
      </c>
      <c r="G347" s="117">
        <v>111.65943724991486</v>
      </c>
      <c r="H347" s="117">
        <v>17.21</v>
      </c>
      <c r="I347" s="114">
        <v>2030</v>
      </c>
      <c r="J347" s="116" t="s">
        <v>263</v>
      </c>
    </row>
    <row r="348" spans="1:10" x14ac:dyDescent="0.25">
      <c r="A348" s="114">
        <v>345</v>
      </c>
      <c r="B348" s="115" t="s">
        <v>417</v>
      </c>
      <c r="C348" s="116" t="s">
        <v>418</v>
      </c>
      <c r="D348" s="116" t="s">
        <v>437</v>
      </c>
      <c r="E348" s="116" t="s">
        <v>65</v>
      </c>
      <c r="F348" s="117">
        <v>100</v>
      </c>
      <c r="G348" s="117">
        <v>100.102</v>
      </c>
      <c r="H348" s="117">
        <v>18.62</v>
      </c>
      <c r="I348" s="114">
        <v>728</v>
      </c>
      <c r="J348" s="116" t="s">
        <v>263</v>
      </c>
    </row>
    <row r="349" spans="1:10" x14ac:dyDescent="0.25">
      <c r="A349" s="114">
        <v>346</v>
      </c>
      <c r="B349" s="115" t="s">
        <v>351</v>
      </c>
      <c r="C349" s="116" t="s">
        <v>352</v>
      </c>
      <c r="D349" s="116" t="s">
        <v>502</v>
      </c>
      <c r="E349" s="116" t="s">
        <v>65</v>
      </c>
      <c r="F349" s="117">
        <v>12993.7075</v>
      </c>
      <c r="G349" s="117">
        <v>12993.7075</v>
      </c>
      <c r="H349" s="117">
        <v>0</v>
      </c>
      <c r="I349" s="114">
        <v>0</v>
      </c>
      <c r="J349" s="116" t="s">
        <v>232</v>
      </c>
    </row>
    <row r="350" spans="1:10" x14ac:dyDescent="0.25">
      <c r="A350" s="114">
        <v>347</v>
      </c>
      <c r="B350" s="115" t="s">
        <v>1000</v>
      </c>
      <c r="C350" s="116" t="s">
        <v>1001</v>
      </c>
      <c r="D350" s="116" t="s">
        <v>730</v>
      </c>
      <c r="E350" s="116" t="s">
        <v>2432</v>
      </c>
      <c r="F350" s="117">
        <v>40724.550049999998</v>
      </c>
      <c r="G350" s="117">
        <v>40724.550049999998</v>
      </c>
      <c r="H350" s="117">
        <v>0</v>
      </c>
      <c r="I350" s="114">
        <v>0</v>
      </c>
      <c r="J350" s="116" t="s">
        <v>232</v>
      </c>
    </row>
    <row r="351" spans="1:10" x14ac:dyDescent="0.25">
      <c r="A351" s="114">
        <v>348</v>
      </c>
      <c r="B351" s="115" t="s">
        <v>1002</v>
      </c>
      <c r="C351" s="116" t="s">
        <v>1003</v>
      </c>
      <c r="D351" s="116" t="s">
        <v>427</v>
      </c>
      <c r="E351" s="116" t="s">
        <v>1004</v>
      </c>
      <c r="F351" s="117">
        <v>152864.03034999999</v>
      </c>
      <c r="G351" s="117">
        <v>152864.03034999999</v>
      </c>
      <c r="H351" s="117">
        <v>0</v>
      </c>
      <c r="I351" s="114">
        <v>0</v>
      </c>
      <c r="J351" s="116" t="s">
        <v>232</v>
      </c>
    </row>
    <row r="352" spans="1:10" x14ac:dyDescent="0.25">
      <c r="A352" s="114">
        <v>349</v>
      </c>
      <c r="B352" s="115" t="s">
        <v>1005</v>
      </c>
      <c r="C352" s="116" t="s">
        <v>1006</v>
      </c>
      <c r="D352" s="116" t="s">
        <v>437</v>
      </c>
      <c r="E352" s="116" t="s">
        <v>1007</v>
      </c>
      <c r="F352" s="117">
        <v>102.654</v>
      </c>
      <c r="G352" s="117">
        <v>104.2471</v>
      </c>
      <c r="H352" s="117">
        <v>3.57</v>
      </c>
      <c r="I352" s="114">
        <v>956</v>
      </c>
      <c r="J352" s="116" t="s">
        <v>263</v>
      </c>
    </row>
    <row r="353" spans="1:10" x14ac:dyDescent="0.25">
      <c r="A353" s="114">
        <v>350</v>
      </c>
      <c r="B353" s="115" t="s">
        <v>1008</v>
      </c>
      <c r="C353" s="116" t="s">
        <v>1009</v>
      </c>
      <c r="D353" s="116" t="s">
        <v>437</v>
      </c>
      <c r="E353" s="116" t="s">
        <v>1007</v>
      </c>
      <c r="F353" s="117">
        <v>99.962999999999994</v>
      </c>
      <c r="G353" s="117">
        <v>100.7081</v>
      </c>
      <c r="H353" s="117">
        <v>3.63</v>
      </c>
      <c r="I353" s="114">
        <v>1366</v>
      </c>
      <c r="J353" s="116" t="s">
        <v>263</v>
      </c>
    </row>
    <row r="354" spans="1:10" x14ac:dyDescent="0.25">
      <c r="A354" s="114">
        <v>351</v>
      </c>
      <c r="B354" s="115" t="s">
        <v>1010</v>
      </c>
      <c r="C354" s="116" t="s">
        <v>1011</v>
      </c>
      <c r="D354" s="116" t="s">
        <v>437</v>
      </c>
      <c r="E354" s="116" t="s">
        <v>1007</v>
      </c>
      <c r="F354" s="117">
        <v>101.13</v>
      </c>
      <c r="G354" s="117">
        <v>102.7411</v>
      </c>
      <c r="H354" s="117">
        <v>3.75</v>
      </c>
      <c r="I354" s="114">
        <v>1835</v>
      </c>
      <c r="J354" s="116" t="s">
        <v>263</v>
      </c>
    </row>
    <row r="355" spans="1:10" x14ac:dyDescent="0.25">
      <c r="A355" s="114">
        <v>352</v>
      </c>
      <c r="B355" s="115" t="s">
        <v>1012</v>
      </c>
      <c r="C355" s="116" t="s">
        <v>1013</v>
      </c>
      <c r="D355" s="116" t="s">
        <v>437</v>
      </c>
      <c r="E355" s="116" t="s">
        <v>1007</v>
      </c>
      <c r="F355" s="117">
        <v>103.477</v>
      </c>
      <c r="G355" s="117">
        <v>104.1645</v>
      </c>
      <c r="H355" s="117">
        <v>3.77</v>
      </c>
      <c r="I355" s="114">
        <v>1925</v>
      </c>
      <c r="J355" s="116" t="s">
        <v>263</v>
      </c>
    </row>
    <row r="356" spans="1:10" x14ac:dyDescent="0.25">
      <c r="A356" s="114">
        <v>353</v>
      </c>
      <c r="B356" s="115" t="s">
        <v>1014</v>
      </c>
      <c r="C356" s="116" t="s">
        <v>1015</v>
      </c>
      <c r="D356" s="116" t="s">
        <v>427</v>
      </c>
      <c r="E356" s="116" t="s">
        <v>1016</v>
      </c>
      <c r="F356" s="117">
        <v>1</v>
      </c>
      <c r="G356" s="117">
        <v>1</v>
      </c>
      <c r="H356" s="117">
        <v>0</v>
      </c>
      <c r="I356" s="114">
        <v>916</v>
      </c>
      <c r="J356" s="116" t="s">
        <v>232</v>
      </c>
    </row>
    <row r="357" spans="1:10" x14ac:dyDescent="0.25">
      <c r="A357" s="114">
        <v>354</v>
      </c>
      <c r="B357" s="115" t="s">
        <v>1966</v>
      </c>
      <c r="C357" s="116" t="s">
        <v>1772</v>
      </c>
      <c r="D357" s="116" t="s">
        <v>730</v>
      </c>
      <c r="E357" s="116" t="s">
        <v>1042</v>
      </c>
      <c r="F357" s="117">
        <v>8384.0951499999992</v>
      </c>
      <c r="G357" s="117">
        <v>8384.0951499999992</v>
      </c>
      <c r="H357" s="117">
        <v>0</v>
      </c>
      <c r="I357" s="114">
        <v>0</v>
      </c>
      <c r="J357" s="116" t="s">
        <v>232</v>
      </c>
    </row>
    <row r="358" spans="1:10" x14ac:dyDescent="0.25">
      <c r="A358" s="114">
        <v>355</v>
      </c>
      <c r="B358" s="115" t="s">
        <v>2476</v>
      </c>
      <c r="C358" s="116" t="s">
        <v>2477</v>
      </c>
      <c r="D358" s="116" t="s">
        <v>437</v>
      </c>
      <c r="E358" s="116" t="s">
        <v>2478</v>
      </c>
      <c r="F358" s="117">
        <v>102.289</v>
      </c>
      <c r="G358" s="117">
        <v>104.4036</v>
      </c>
      <c r="H358" s="117">
        <v>3.67</v>
      </c>
      <c r="I358" s="114">
        <v>1266</v>
      </c>
      <c r="J358" s="116" t="s">
        <v>263</v>
      </c>
    </row>
    <row r="359" spans="1:10" x14ac:dyDescent="0.25">
      <c r="A359" s="114">
        <v>356</v>
      </c>
      <c r="B359" s="115" t="s">
        <v>1017</v>
      </c>
      <c r="C359" s="116" t="s">
        <v>1018</v>
      </c>
      <c r="D359" s="116" t="s">
        <v>437</v>
      </c>
      <c r="E359" s="116" t="s">
        <v>1019</v>
      </c>
      <c r="F359" s="117">
        <v>77.452734274240441</v>
      </c>
      <c r="G359" s="117">
        <v>78.239434274240438</v>
      </c>
      <c r="H359" s="117">
        <v>19.04</v>
      </c>
      <c r="I359" s="114">
        <v>1776</v>
      </c>
      <c r="J359" s="116" t="s">
        <v>263</v>
      </c>
    </row>
    <row r="360" spans="1:10" x14ac:dyDescent="0.25">
      <c r="A360" s="114">
        <v>357</v>
      </c>
      <c r="B360" s="115" t="s">
        <v>1020</v>
      </c>
      <c r="C360" s="116" t="s">
        <v>1021</v>
      </c>
      <c r="D360" s="116" t="s">
        <v>437</v>
      </c>
      <c r="E360" s="116" t="s">
        <v>1019</v>
      </c>
      <c r="F360" s="117">
        <v>75.634349906546589</v>
      </c>
      <c r="G360" s="117">
        <v>78.06214990654658</v>
      </c>
      <c r="H360" s="117">
        <v>18.98</v>
      </c>
      <c r="I360" s="114">
        <v>1904</v>
      </c>
      <c r="J360" s="116" t="s">
        <v>263</v>
      </c>
    </row>
    <row r="361" spans="1:10" x14ac:dyDescent="0.25">
      <c r="A361" s="114">
        <v>358</v>
      </c>
      <c r="B361" s="115" t="s">
        <v>1022</v>
      </c>
      <c r="C361" s="116" t="s">
        <v>1023</v>
      </c>
      <c r="D361" s="116" t="s">
        <v>437</v>
      </c>
      <c r="E361" s="116" t="s">
        <v>1019</v>
      </c>
      <c r="F361" s="117">
        <v>85.477486875205074</v>
      </c>
      <c r="G361" s="117">
        <v>86.269686875205082</v>
      </c>
      <c r="H361" s="117">
        <v>19.07</v>
      </c>
      <c r="I361" s="114">
        <v>1057</v>
      </c>
      <c r="J361" s="116" t="s">
        <v>263</v>
      </c>
    </row>
    <row r="362" spans="1:10" x14ac:dyDescent="0.25">
      <c r="A362" s="114">
        <v>359</v>
      </c>
      <c r="B362" s="115" t="s">
        <v>1024</v>
      </c>
      <c r="C362" s="116" t="s">
        <v>1025</v>
      </c>
      <c r="D362" s="116" t="s">
        <v>437</v>
      </c>
      <c r="E362" s="116" t="s">
        <v>1019</v>
      </c>
      <c r="F362" s="117">
        <v>70.241311723398866</v>
      </c>
      <c r="G362" s="117">
        <v>81.528411723398861</v>
      </c>
      <c r="H362" s="117">
        <v>19.55</v>
      </c>
      <c r="I362" s="114">
        <v>4731</v>
      </c>
      <c r="J362" s="116" t="s">
        <v>263</v>
      </c>
    </row>
    <row r="363" spans="1:10" x14ac:dyDescent="0.25">
      <c r="A363" s="114">
        <v>360</v>
      </c>
      <c r="B363" s="115" t="s">
        <v>1026</v>
      </c>
      <c r="C363" s="116" t="s">
        <v>1027</v>
      </c>
      <c r="D363" s="116" t="s">
        <v>427</v>
      </c>
      <c r="E363" s="116" t="s">
        <v>1019</v>
      </c>
      <c r="F363" s="117">
        <v>1037.19</v>
      </c>
      <c r="G363" s="117">
        <v>1037.19</v>
      </c>
      <c r="H363" s="117">
        <v>0</v>
      </c>
      <c r="I363" s="114">
        <v>2875</v>
      </c>
      <c r="J363" s="116" t="s">
        <v>232</v>
      </c>
    </row>
    <row r="364" spans="1:10" x14ac:dyDescent="0.25">
      <c r="A364" s="114">
        <v>361</v>
      </c>
      <c r="B364" s="115" t="s">
        <v>2463</v>
      </c>
      <c r="C364" s="116" t="s">
        <v>2464</v>
      </c>
      <c r="D364" s="116" t="s">
        <v>437</v>
      </c>
      <c r="E364" s="116" t="s">
        <v>1019</v>
      </c>
      <c r="F364" s="117">
        <v>99.653470928284108</v>
      </c>
      <c r="G364" s="117">
        <v>102.60907092828411</v>
      </c>
      <c r="H364" s="117">
        <v>19.079999999999998</v>
      </c>
      <c r="I364" s="114">
        <v>1744</v>
      </c>
      <c r="J364" s="116" t="s">
        <v>263</v>
      </c>
    </row>
    <row r="365" spans="1:10" x14ac:dyDescent="0.25">
      <c r="A365" s="114">
        <v>362</v>
      </c>
      <c r="B365" s="115" t="s">
        <v>1028</v>
      </c>
      <c r="C365" s="116" t="s">
        <v>1029</v>
      </c>
      <c r="D365" s="116" t="s">
        <v>730</v>
      </c>
      <c r="E365" s="116" t="s">
        <v>1030</v>
      </c>
      <c r="F365" s="117">
        <v>4224.9882972727482</v>
      </c>
      <c r="G365" s="117">
        <v>4224.9882972727482</v>
      </c>
      <c r="H365" s="117">
        <v>0</v>
      </c>
      <c r="I365" s="114">
        <v>0</v>
      </c>
      <c r="J365" s="116" t="s">
        <v>232</v>
      </c>
    </row>
    <row r="366" spans="1:10" x14ac:dyDescent="0.25">
      <c r="A366" s="114">
        <v>363</v>
      </c>
      <c r="B366" s="115" t="s">
        <v>1031</v>
      </c>
      <c r="C366" s="116" t="s">
        <v>1032</v>
      </c>
      <c r="D366" s="116" t="s">
        <v>427</v>
      </c>
      <c r="E366" s="116" t="s">
        <v>1033</v>
      </c>
      <c r="F366" s="117">
        <v>76719.610145311104</v>
      </c>
      <c r="G366" s="117">
        <v>76719.610145311104</v>
      </c>
      <c r="H366" s="117">
        <v>0</v>
      </c>
      <c r="I366" s="114">
        <v>43</v>
      </c>
      <c r="J366" s="116" t="s">
        <v>232</v>
      </c>
    </row>
    <row r="367" spans="1:10" x14ac:dyDescent="0.25">
      <c r="A367" s="114">
        <v>364</v>
      </c>
      <c r="B367" s="115" t="s">
        <v>1034</v>
      </c>
      <c r="C367" s="116" t="s">
        <v>1035</v>
      </c>
      <c r="D367" s="116" t="s">
        <v>427</v>
      </c>
      <c r="E367" s="116" t="s">
        <v>1033</v>
      </c>
      <c r="F367" s="117">
        <v>1</v>
      </c>
      <c r="G367" s="117">
        <v>1</v>
      </c>
      <c r="H367" s="117">
        <v>0</v>
      </c>
      <c r="I367" s="114">
        <v>190</v>
      </c>
      <c r="J367" s="116" t="s">
        <v>232</v>
      </c>
    </row>
    <row r="368" spans="1:10" x14ac:dyDescent="0.25">
      <c r="A368" s="114">
        <v>365</v>
      </c>
      <c r="B368" s="115" t="s">
        <v>1036</v>
      </c>
      <c r="C368" s="116" t="s">
        <v>1037</v>
      </c>
      <c r="D368" s="116" t="s">
        <v>427</v>
      </c>
      <c r="E368" s="116" t="s">
        <v>1033</v>
      </c>
      <c r="F368" s="117">
        <v>1</v>
      </c>
      <c r="G368" s="117">
        <v>1</v>
      </c>
      <c r="H368" s="117">
        <v>0</v>
      </c>
      <c r="I368" s="114">
        <v>1012</v>
      </c>
      <c r="J368" s="116" t="s">
        <v>232</v>
      </c>
    </row>
    <row r="369" spans="1:10" x14ac:dyDescent="0.25">
      <c r="A369" s="114">
        <v>366</v>
      </c>
      <c r="B369" s="115" t="s">
        <v>1038</v>
      </c>
      <c r="C369" s="116" t="s">
        <v>1039</v>
      </c>
      <c r="D369" s="116" t="s">
        <v>437</v>
      </c>
      <c r="E369" s="116" t="s">
        <v>1033</v>
      </c>
      <c r="F369" s="117">
        <v>102.23</v>
      </c>
      <c r="G369" s="117">
        <v>104.005</v>
      </c>
      <c r="H369" s="117">
        <v>3.59</v>
      </c>
      <c r="I369" s="114">
        <v>938</v>
      </c>
      <c r="J369" s="116" t="s">
        <v>263</v>
      </c>
    </row>
    <row r="370" spans="1:10" x14ac:dyDescent="0.25">
      <c r="A370" s="114">
        <v>367</v>
      </c>
      <c r="B370" s="115" t="s">
        <v>66</v>
      </c>
      <c r="C370" s="116" t="s">
        <v>67</v>
      </c>
      <c r="D370" s="116" t="s">
        <v>427</v>
      </c>
      <c r="E370" s="116" t="s">
        <v>68</v>
      </c>
      <c r="F370" s="117">
        <v>9490.25</v>
      </c>
      <c r="G370" s="117">
        <v>9490.25</v>
      </c>
      <c r="H370" s="117">
        <v>0</v>
      </c>
      <c r="I370" s="114">
        <v>0</v>
      </c>
      <c r="J370" s="116" t="s">
        <v>232</v>
      </c>
    </row>
    <row r="371" spans="1:10" x14ac:dyDescent="0.25">
      <c r="A371" s="114">
        <v>368</v>
      </c>
      <c r="B371" s="115" t="s">
        <v>1040</v>
      </c>
      <c r="C371" s="116" t="s">
        <v>1041</v>
      </c>
      <c r="D371" s="116" t="s">
        <v>730</v>
      </c>
      <c r="E371" s="116" t="s">
        <v>1042</v>
      </c>
      <c r="F371" s="117">
        <v>25775.478800000001</v>
      </c>
      <c r="G371" s="117">
        <v>25775.478800000001</v>
      </c>
      <c r="H371" s="117">
        <v>0</v>
      </c>
      <c r="I371" s="114">
        <v>0</v>
      </c>
      <c r="J371" s="116" t="s">
        <v>232</v>
      </c>
    </row>
    <row r="372" spans="1:10" x14ac:dyDescent="0.25">
      <c r="A372" s="114">
        <v>369</v>
      </c>
      <c r="B372" s="115" t="s">
        <v>1043</v>
      </c>
      <c r="C372" s="116" t="s">
        <v>1044</v>
      </c>
      <c r="D372" s="116" t="s">
        <v>437</v>
      </c>
      <c r="E372" s="116" t="s">
        <v>1045</v>
      </c>
      <c r="F372" s="117">
        <v>94.703119467318999</v>
      </c>
      <c r="G372" s="117">
        <v>97.036419467319007</v>
      </c>
      <c r="H372" s="117">
        <v>18.89</v>
      </c>
      <c r="I372" s="114">
        <v>2472</v>
      </c>
      <c r="J372" s="116" t="s">
        <v>263</v>
      </c>
    </row>
    <row r="373" spans="1:10" x14ac:dyDescent="0.25">
      <c r="A373" s="114">
        <v>370</v>
      </c>
      <c r="B373" s="115" t="s">
        <v>1046</v>
      </c>
      <c r="C373" s="116" t="s">
        <v>1047</v>
      </c>
      <c r="D373" s="116" t="s">
        <v>437</v>
      </c>
      <c r="E373" s="116" t="s">
        <v>1045</v>
      </c>
      <c r="F373" s="117">
        <v>94.727049119754767</v>
      </c>
      <c r="G373" s="117">
        <v>102.99094911975477</v>
      </c>
      <c r="H373" s="117">
        <v>18.88</v>
      </c>
      <c r="I373" s="114">
        <v>2530</v>
      </c>
      <c r="J373" s="116" t="s">
        <v>263</v>
      </c>
    </row>
    <row r="374" spans="1:10" x14ac:dyDescent="0.25">
      <c r="A374" s="114">
        <v>371</v>
      </c>
      <c r="B374" s="115" t="s">
        <v>1048</v>
      </c>
      <c r="C374" s="116" t="s">
        <v>1049</v>
      </c>
      <c r="D374" s="116" t="s">
        <v>437</v>
      </c>
      <c r="E374" s="116" t="s">
        <v>1045</v>
      </c>
      <c r="F374" s="117">
        <v>40.902877372412888</v>
      </c>
      <c r="G374" s="117">
        <v>42.636177372412888</v>
      </c>
      <c r="H374" s="117">
        <v>19.579999999999998</v>
      </c>
      <c r="I374" s="114">
        <v>2724</v>
      </c>
      <c r="J374" s="116" t="s">
        <v>263</v>
      </c>
    </row>
    <row r="375" spans="1:10" x14ac:dyDescent="0.25">
      <c r="A375" s="114">
        <v>372</v>
      </c>
      <c r="B375" s="115" t="s">
        <v>1050</v>
      </c>
      <c r="C375" s="116" t="s">
        <v>1051</v>
      </c>
      <c r="D375" s="116" t="s">
        <v>437</v>
      </c>
      <c r="E375" s="116" t="s">
        <v>1045</v>
      </c>
      <c r="F375" s="117">
        <v>40.365370763375239</v>
      </c>
      <c r="G375" s="117">
        <v>41.465370763375233</v>
      </c>
      <c r="H375" s="117">
        <v>19.57</v>
      </c>
      <c r="I375" s="114">
        <v>2781</v>
      </c>
      <c r="J375" s="116" t="s">
        <v>263</v>
      </c>
    </row>
    <row r="376" spans="1:10" x14ac:dyDescent="0.25">
      <c r="A376" s="114">
        <v>373</v>
      </c>
      <c r="B376" s="115" t="s">
        <v>1052</v>
      </c>
      <c r="C376" s="116" t="s">
        <v>1053</v>
      </c>
      <c r="D376" s="116" t="s">
        <v>437</v>
      </c>
      <c r="E376" s="116" t="s">
        <v>1045</v>
      </c>
      <c r="F376" s="117">
        <v>96.402350867690544</v>
      </c>
      <c r="G376" s="117">
        <v>100.49095086769054</v>
      </c>
      <c r="H376" s="117">
        <v>18.97</v>
      </c>
      <c r="I376" s="114">
        <v>2078</v>
      </c>
      <c r="J376" s="116" t="s">
        <v>263</v>
      </c>
    </row>
    <row r="377" spans="1:10" x14ac:dyDescent="0.25">
      <c r="A377" s="114">
        <v>374</v>
      </c>
      <c r="B377" s="115" t="s">
        <v>2519</v>
      </c>
      <c r="C377" s="116" t="s">
        <v>2520</v>
      </c>
      <c r="D377" s="116" t="s">
        <v>437</v>
      </c>
      <c r="E377" s="116" t="s">
        <v>1045</v>
      </c>
      <c r="F377" s="117">
        <v>43.421285469004957</v>
      </c>
      <c r="G377" s="117">
        <v>43.810185469004956</v>
      </c>
      <c r="H377" s="117">
        <v>19.64</v>
      </c>
      <c r="I377" s="114">
        <v>2485</v>
      </c>
      <c r="J377" s="116" t="s">
        <v>263</v>
      </c>
    </row>
    <row r="378" spans="1:10" x14ac:dyDescent="0.25">
      <c r="A378" s="114">
        <v>375</v>
      </c>
      <c r="B378" s="115" t="s">
        <v>1054</v>
      </c>
      <c r="C378" s="116" t="s">
        <v>1055</v>
      </c>
      <c r="D378" s="116" t="s">
        <v>437</v>
      </c>
      <c r="E378" s="116" t="s">
        <v>1045</v>
      </c>
      <c r="F378" s="117">
        <v>43.206714009337681</v>
      </c>
      <c r="G378" s="117">
        <v>43.351114009337685</v>
      </c>
      <c r="H378" s="117">
        <v>19.64</v>
      </c>
      <c r="I378" s="114">
        <v>2507</v>
      </c>
      <c r="J378" s="116" t="s">
        <v>263</v>
      </c>
    </row>
    <row r="379" spans="1:10" x14ac:dyDescent="0.25">
      <c r="A379" s="114">
        <v>376</v>
      </c>
      <c r="B379" s="115" t="s">
        <v>1056</v>
      </c>
      <c r="C379" s="116" t="s">
        <v>1057</v>
      </c>
      <c r="D379" s="116" t="s">
        <v>437</v>
      </c>
      <c r="E379" s="116" t="s">
        <v>1045</v>
      </c>
      <c r="F379" s="117">
        <v>93.600131455323861</v>
      </c>
      <c r="G379" s="117">
        <v>95.759731455323859</v>
      </c>
      <c r="H379" s="117">
        <v>19.88</v>
      </c>
      <c r="I379" s="114">
        <v>289</v>
      </c>
      <c r="J379" s="116" t="s">
        <v>263</v>
      </c>
    </row>
    <row r="380" spans="1:10" x14ac:dyDescent="0.25">
      <c r="A380" s="114">
        <v>377</v>
      </c>
      <c r="B380" s="115" t="s">
        <v>1058</v>
      </c>
      <c r="C380" s="116" t="s">
        <v>1059</v>
      </c>
      <c r="D380" s="116" t="s">
        <v>437</v>
      </c>
      <c r="E380" s="116" t="s">
        <v>1045</v>
      </c>
      <c r="F380" s="117">
        <v>74.32210271297869</v>
      </c>
      <c r="G380" s="117">
        <v>79.566302712978683</v>
      </c>
      <c r="H380" s="117">
        <v>19.010000000000002</v>
      </c>
      <c r="I380" s="114">
        <v>1806</v>
      </c>
      <c r="J380" s="116" t="s">
        <v>263</v>
      </c>
    </row>
    <row r="381" spans="1:10" x14ac:dyDescent="0.25">
      <c r="A381" s="114">
        <v>378</v>
      </c>
      <c r="B381" s="115" t="s">
        <v>1060</v>
      </c>
      <c r="C381" s="116" t="s">
        <v>1061</v>
      </c>
      <c r="D381" s="116" t="s">
        <v>427</v>
      </c>
      <c r="E381" s="116" t="s">
        <v>1045</v>
      </c>
      <c r="F381" s="117">
        <v>10000</v>
      </c>
      <c r="G381" s="117">
        <v>10000</v>
      </c>
      <c r="H381" s="117">
        <v>0</v>
      </c>
      <c r="I381" s="114">
        <v>0</v>
      </c>
      <c r="J381" s="116" t="s">
        <v>232</v>
      </c>
    </row>
    <row r="382" spans="1:10" x14ac:dyDescent="0.25">
      <c r="A382" s="114">
        <v>379</v>
      </c>
      <c r="B382" s="115" t="s">
        <v>1062</v>
      </c>
      <c r="C382" s="116" t="s">
        <v>1063</v>
      </c>
      <c r="D382" s="116" t="s">
        <v>427</v>
      </c>
      <c r="E382" s="116" t="s">
        <v>1064</v>
      </c>
      <c r="F382" s="117">
        <v>21778.9676</v>
      </c>
      <c r="G382" s="117">
        <v>21778.9676</v>
      </c>
      <c r="H382" s="117">
        <v>0</v>
      </c>
      <c r="I382" s="114">
        <v>0</v>
      </c>
      <c r="J382" s="116" t="s">
        <v>232</v>
      </c>
    </row>
    <row r="383" spans="1:10" x14ac:dyDescent="0.25">
      <c r="A383" s="114">
        <v>380</v>
      </c>
      <c r="B383" s="115" t="s">
        <v>69</v>
      </c>
      <c r="C383" s="116" t="s">
        <v>70</v>
      </c>
      <c r="D383" s="116" t="s">
        <v>437</v>
      </c>
      <c r="E383" s="116" t="s">
        <v>71</v>
      </c>
      <c r="F383" s="117">
        <v>97.932569611850866</v>
      </c>
      <c r="G383" s="117">
        <v>107.38536961185086</v>
      </c>
      <c r="H383" s="117">
        <v>23.04</v>
      </c>
      <c r="I383" s="114">
        <v>376</v>
      </c>
      <c r="J383" s="116" t="s">
        <v>263</v>
      </c>
    </row>
    <row r="384" spans="1:10" x14ac:dyDescent="0.25">
      <c r="A384" s="114">
        <v>381</v>
      </c>
      <c r="B384" s="115" t="s">
        <v>1065</v>
      </c>
      <c r="C384" s="116" t="s">
        <v>1066</v>
      </c>
      <c r="D384" s="116" t="s">
        <v>427</v>
      </c>
      <c r="E384" s="116" t="s">
        <v>1067</v>
      </c>
      <c r="F384" s="117">
        <v>103260.86735</v>
      </c>
      <c r="G384" s="117">
        <v>103260.86735</v>
      </c>
      <c r="H384" s="117">
        <v>0</v>
      </c>
      <c r="I384" s="114">
        <v>0</v>
      </c>
      <c r="J384" s="116" t="s">
        <v>232</v>
      </c>
    </row>
    <row r="385" spans="1:10" x14ac:dyDescent="0.25">
      <c r="A385" s="114">
        <v>382</v>
      </c>
      <c r="B385" s="115" t="s">
        <v>1068</v>
      </c>
      <c r="C385" s="116" t="s">
        <v>1069</v>
      </c>
      <c r="D385" s="116" t="s">
        <v>427</v>
      </c>
      <c r="E385" s="116" t="s">
        <v>1070</v>
      </c>
      <c r="F385" s="117">
        <v>158465.20134999999</v>
      </c>
      <c r="G385" s="117">
        <v>158465.20134999999</v>
      </c>
      <c r="H385" s="117">
        <v>0</v>
      </c>
      <c r="I385" s="114">
        <v>0</v>
      </c>
      <c r="J385" s="116" t="s">
        <v>232</v>
      </c>
    </row>
    <row r="386" spans="1:10" x14ac:dyDescent="0.25">
      <c r="A386" s="114">
        <v>383</v>
      </c>
      <c r="B386" s="115" t="s">
        <v>1071</v>
      </c>
      <c r="C386" s="116" t="s">
        <v>1072</v>
      </c>
      <c r="D386" s="116" t="s">
        <v>427</v>
      </c>
      <c r="E386" s="116" t="s">
        <v>1073</v>
      </c>
      <c r="F386" s="117">
        <v>0.01</v>
      </c>
      <c r="G386" s="117">
        <v>0.01</v>
      </c>
      <c r="H386" s="117">
        <v>0</v>
      </c>
      <c r="I386" s="114">
        <v>0</v>
      </c>
      <c r="J386" s="116" t="s">
        <v>232</v>
      </c>
    </row>
    <row r="387" spans="1:10" x14ac:dyDescent="0.25">
      <c r="A387" s="114">
        <v>384</v>
      </c>
      <c r="B387" s="115" t="s">
        <v>1074</v>
      </c>
      <c r="C387" s="116" t="s">
        <v>1075</v>
      </c>
      <c r="D387" s="116" t="s">
        <v>437</v>
      </c>
      <c r="E387" s="116" t="s">
        <v>335</v>
      </c>
      <c r="F387" s="117">
        <v>95.158276076192635</v>
      </c>
      <c r="G387" s="117">
        <v>99.09507607619264</v>
      </c>
      <c r="H387" s="117">
        <v>18.88</v>
      </c>
      <c r="I387" s="114">
        <v>222</v>
      </c>
      <c r="J387" s="116" t="s">
        <v>263</v>
      </c>
    </row>
    <row r="388" spans="1:10" x14ac:dyDescent="0.25">
      <c r="A388" s="114">
        <v>385</v>
      </c>
      <c r="B388" s="115" t="s">
        <v>333</v>
      </c>
      <c r="C388" s="116" t="s">
        <v>334</v>
      </c>
      <c r="D388" s="116" t="s">
        <v>437</v>
      </c>
      <c r="E388" s="116" t="s">
        <v>335</v>
      </c>
      <c r="F388" s="117">
        <v>89.515648219636716</v>
      </c>
      <c r="G388" s="117">
        <v>94.701048219636718</v>
      </c>
      <c r="H388" s="117">
        <v>18.3</v>
      </c>
      <c r="I388" s="114">
        <v>1309</v>
      </c>
      <c r="J388" s="116" t="s">
        <v>263</v>
      </c>
    </row>
    <row r="389" spans="1:10" x14ac:dyDescent="0.25">
      <c r="A389" s="114">
        <v>386</v>
      </c>
      <c r="B389" s="115" t="s">
        <v>336</v>
      </c>
      <c r="C389" s="116" t="s">
        <v>337</v>
      </c>
      <c r="D389" s="116" t="s">
        <v>437</v>
      </c>
      <c r="E389" s="116" t="s">
        <v>335</v>
      </c>
      <c r="F389" s="117">
        <v>89.515648219636716</v>
      </c>
      <c r="G389" s="117">
        <v>94.701048219636718</v>
      </c>
      <c r="H389" s="117">
        <v>18.3</v>
      </c>
      <c r="I389" s="114">
        <v>1309</v>
      </c>
      <c r="J389" s="116" t="s">
        <v>263</v>
      </c>
    </row>
    <row r="390" spans="1:10" x14ac:dyDescent="0.25">
      <c r="A390" s="114">
        <v>387</v>
      </c>
      <c r="B390" s="115" t="s">
        <v>1864</v>
      </c>
      <c r="C390" s="116" t="s">
        <v>1865</v>
      </c>
      <c r="D390" s="116" t="s">
        <v>437</v>
      </c>
      <c r="E390" s="116" t="s">
        <v>335</v>
      </c>
      <c r="F390" s="117">
        <v>91.703394901297642</v>
      </c>
      <c r="G390" s="117">
        <v>98.989494901297647</v>
      </c>
      <c r="H390" s="117">
        <v>18.239999999999998</v>
      </c>
      <c r="I390" s="114">
        <v>1448</v>
      </c>
      <c r="J390" s="116" t="s">
        <v>263</v>
      </c>
    </row>
    <row r="391" spans="1:10" x14ac:dyDescent="0.25">
      <c r="A391" s="114">
        <v>388</v>
      </c>
      <c r="B391" s="115" t="s">
        <v>2057</v>
      </c>
      <c r="C391" s="116" t="s">
        <v>2058</v>
      </c>
      <c r="D391" s="116" t="s">
        <v>437</v>
      </c>
      <c r="E391" s="116" t="s">
        <v>335</v>
      </c>
      <c r="F391" s="117">
        <v>94.994548748832131</v>
      </c>
      <c r="G391" s="117">
        <v>96.873748748832128</v>
      </c>
      <c r="H391" s="117">
        <v>18.18</v>
      </c>
      <c r="I391" s="114">
        <v>1579</v>
      </c>
      <c r="J391" s="116" t="s">
        <v>263</v>
      </c>
    </row>
    <row r="392" spans="1:10" x14ac:dyDescent="0.25">
      <c r="A392" s="114">
        <v>389</v>
      </c>
      <c r="B392" s="115" t="s">
        <v>2120</v>
      </c>
      <c r="C392" s="116" t="s">
        <v>2121</v>
      </c>
      <c r="D392" s="116" t="s">
        <v>437</v>
      </c>
      <c r="E392" s="116" t="s">
        <v>335</v>
      </c>
      <c r="F392" s="117">
        <v>95.013570060615493</v>
      </c>
      <c r="G392" s="117">
        <v>95.701070060615493</v>
      </c>
      <c r="H392" s="117">
        <v>18.170000000000002</v>
      </c>
      <c r="I392" s="114">
        <v>1605</v>
      </c>
      <c r="J392" s="116" t="s">
        <v>263</v>
      </c>
    </row>
    <row r="393" spans="1:10" x14ac:dyDescent="0.25">
      <c r="A393" s="114">
        <v>390</v>
      </c>
      <c r="B393" s="115" t="s">
        <v>2327</v>
      </c>
      <c r="C393" s="116" t="s">
        <v>2328</v>
      </c>
      <c r="D393" s="116" t="s">
        <v>437</v>
      </c>
      <c r="E393" s="116" t="s">
        <v>335</v>
      </c>
      <c r="F393" s="117">
        <v>99.713504867111453</v>
      </c>
      <c r="G393" s="117">
        <v>105.31350486711145</v>
      </c>
      <c r="H393" s="117">
        <v>18.059999999999999</v>
      </c>
      <c r="I393" s="114">
        <v>1688</v>
      </c>
      <c r="J393" s="116" t="s">
        <v>263</v>
      </c>
    </row>
    <row r="394" spans="1:10" x14ac:dyDescent="0.25">
      <c r="A394" s="114">
        <v>391</v>
      </c>
      <c r="B394" s="115" t="s">
        <v>2329</v>
      </c>
      <c r="C394" s="116" t="s">
        <v>2330</v>
      </c>
      <c r="D394" s="116" t="s">
        <v>437</v>
      </c>
      <c r="E394" s="116" t="s">
        <v>335</v>
      </c>
      <c r="F394" s="117">
        <v>99.713504867111453</v>
      </c>
      <c r="G394" s="117">
        <v>105.31350486711145</v>
      </c>
      <c r="H394" s="117">
        <v>18.059999999999999</v>
      </c>
      <c r="I394" s="114">
        <v>1688</v>
      </c>
      <c r="J394" s="116" t="s">
        <v>263</v>
      </c>
    </row>
    <row r="395" spans="1:10" x14ac:dyDescent="0.25">
      <c r="A395" s="114">
        <v>392</v>
      </c>
      <c r="B395" s="115" t="s">
        <v>1076</v>
      </c>
      <c r="C395" s="116" t="s">
        <v>1077</v>
      </c>
      <c r="D395" s="116" t="s">
        <v>437</v>
      </c>
      <c r="E395" s="116" t="s">
        <v>1078</v>
      </c>
      <c r="F395" s="117">
        <v>100</v>
      </c>
      <c r="G395" s="117">
        <v>100.05540000000001</v>
      </c>
      <c r="H395" s="117">
        <v>0.35</v>
      </c>
      <c r="I395" s="114">
        <v>243</v>
      </c>
      <c r="J395" s="116" t="s">
        <v>263</v>
      </c>
    </row>
    <row r="396" spans="1:10" x14ac:dyDescent="0.25">
      <c r="A396" s="114">
        <v>393</v>
      </c>
      <c r="B396" s="115" t="s">
        <v>1079</v>
      </c>
      <c r="C396" s="116" t="s">
        <v>1080</v>
      </c>
      <c r="D396" s="116" t="s">
        <v>437</v>
      </c>
      <c r="E396" s="116" t="s">
        <v>1078</v>
      </c>
      <c r="F396" s="117">
        <v>100</v>
      </c>
      <c r="G396" s="117">
        <v>100.6493</v>
      </c>
      <c r="H396" s="117">
        <v>4.24</v>
      </c>
      <c r="I396" s="114">
        <v>245</v>
      </c>
      <c r="J396" s="116" t="s">
        <v>263</v>
      </c>
    </row>
    <row r="397" spans="1:10" x14ac:dyDescent="0.25">
      <c r="A397" s="114">
        <v>394</v>
      </c>
      <c r="B397" s="115" t="s">
        <v>2135</v>
      </c>
      <c r="C397" s="116" t="s">
        <v>2136</v>
      </c>
      <c r="D397" s="116" t="s">
        <v>437</v>
      </c>
      <c r="E397" s="116" t="s">
        <v>1078</v>
      </c>
      <c r="F397" s="117">
        <v>100</v>
      </c>
      <c r="G397" s="117">
        <v>100.1507</v>
      </c>
      <c r="H397" s="117">
        <v>0.35</v>
      </c>
      <c r="I397" s="114">
        <v>565</v>
      </c>
      <c r="J397" s="116" t="s">
        <v>263</v>
      </c>
    </row>
    <row r="398" spans="1:10" x14ac:dyDescent="0.25">
      <c r="A398" s="114">
        <v>395</v>
      </c>
      <c r="B398" s="115" t="s">
        <v>1081</v>
      </c>
      <c r="C398" s="116" t="s">
        <v>1082</v>
      </c>
      <c r="D398" s="116" t="s">
        <v>437</v>
      </c>
      <c r="E398" s="116" t="s">
        <v>1078</v>
      </c>
      <c r="F398" s="117">
        <v>100</v>
      </c>
      <c r="G398" s="117">
        <v>100.0078</v>
      </c>
      <c r="H398" s="117">
        <v>0.02</v>
      </c>
      <c r="I398" s="114">
        <v>2995</v>
      </c>
      <c r="J398" s="116" t="s">
        <v>263</v>
      </c>
    </row>
    <row r="399" spans="1:10" x14ac:dyDescent="0.25">
      <c r="A399" s="114">
        <v>396</v>
      </c>
      <c r="B399" s="115" t="s">
        <v>2227</v>
      </c>
      <c r="C399" s="116" t="s">
        <v>2228</v>
      </c>
      <c r="D399" s="116" t="s">
        <v>437</v>
      </c>
      <c r="E399" s="116" t="s">
        <v>1078</v>
      </c>
      <c r="F399" s="117">
        <v>93.495326025988874</v>
      </c>
      <c r="G399" s="117">
        <v>99.814726025988875</v>
      </c>
      <c r="H399" s="117">
        <v>19.670000000000002</v>
      </c>
      <c r="I399" s="114">
        <v>3475</v>
      </c>
      <c r="J399" s="116" t="s">
        <v>263</v>
      </c>
    </row>
    <row r="400" spans="1:10" x14ac:dyDescent="0.25">
      <c r="A400" s="114">
        <v>397</v>
      </c>
      <c r="B400" s="115" t="s">
        <v>2168</v>
      </c>
      <c r="C400" s="116" t="s">
        <v>2169</v>
      </c>
      <c r="D400" s="116" t="s">
        <v>437</v>
      </c>
      <c r="E400" s="116" t="s">
        <v>1078</v>
      </c>
      <c r="F400" s="117">
        <v>93.522983255825835</v>
      </c>
      <c r="G400" s="117">
        <v>100.44908325582584</v>
      </c>
      <c r="H400" s="117">
        <v>19.66</v>
      </c>
      <c r="I400" s="114">
        <v>3463</v>
      </c>
      <c r="J400" s="116" t="s">
        <v>263</v>
      </c>
    </row>
    <row r="401" spans="1:10" x14ac:dyDescent="0.25">
      <c r="A401" s="114">
        <v>398</v>
      </c>
      <c r="B401" s="115" t="s">
        <v>2368</v>
      </c>
      <c r="C401" s="116" t="s">
        <v>2369</v>
      </c>
      <c r="D401" s="116" t="s">
        <v>437</v>
      </c>
      <c r="E401" s="116" t="s">
        <v>1078</v>
      </c>
      <c r="F401" s="117">
        <v>96.517299493850786</v>
      </c>
      <c r="G401" s="117">
        <v>100.13979949385079</v>
      </c>
      <c r="H401" s="117">
        <v>19.670000000000002</v>
      </c>
      <c r="I401" s="114">
        <v>3531</v>
      </c>
      <c r="J401" s="116" t="s">
        <v>263</v>
      </c>
    </row>
    <row r="402" spans="1:10" x14ac:dyDescent="0.25">
      <c r="A402" s="114">
        <v>399</v>
      </c>
      <c r="B402" s="115" t="s">
        <v>2370</v>
      </c>
      <c r="C402" s="116" t="s">
        <v>2371</v>
      </c>
      <c r="D402" s="116" t="s">
        <v>437</v>
      </c>
      <c r="E402" s="116" t="s">
        <v>1078</v>
      </c>
      <c r="F402" s="117">
        <v>96.517299493850786</v>
      </c>
      <c r="G402" s="117">
        <v>100.13979949385079</v>
      </c>
      <c r="H402" s="117">
        <v>19.670000000000002</v>
      </c>
      <c r="I402" s="114">
        <v>3531</v>
      </c>
      <c r="J402" s="116" t="s">
        <v>263</v>
      </c>
    </row>
    <row r="403" spans="1:10" x14ac:dyDescent="0.25">
      <c r="A403" s="114">
        <v>400</v>
      </c>
      <c r="B403" s="115" t="s">
        <v>1083</v>
      </c>
      <c r="C403" s="116" t="s">
        <v>1084</v>
      </c>
      <c r="D403" s="116" t="s">
        <v>437</v>
      </c>
      <c r="E403" s="116" t="s">
        <v>1085</v>
      </c>
      <c r="F403" s="117">
        <v>100</v>
      </c>
      <c r="G403" s="117">
        <v>100.74939999999999</v>
      </c>
      <c r="H403" s="117">
        <v>7.1</v>
      </c>
      <c r="I403" s="114">
        <v>2122</v>
      </c>
      <c r="J403" s="116" t="s">
        <v>263</v>
      </c>
    </row>
    <row r="404" spans="1:10" x14ac:dyDescent="0.25">
      <c r="A404" s="114">
        <v>401</v>
      </c>
      <c r="B404" s="115" t="s">
        <v>73</v>
      </c>
      <c r="C404" s="116" t="s">
        <v>74</v>
      </c>
      <c r="D404" s="116" t="s">
        <v>437</v>
      </c>
      <c r="E404" s="116" t="s">
        <v>72</v>
      </c>
      <c r="F404" s="117">
        <v>88.10989418134092</v>
      </c>
      <c r="G404" s="117">
        <v>91.580694181340917</v>
      </c>
      <c r="H404" s="117">
        <v>17.579999999999998</v>
      </c>
      <c r="I404" s="114">
        <v>975</v>
      </c>
      <c r="J404" s="116" t="s">
        <v>263</v>
      </c>
    </row>
    <row r="405" spans="1:10" x14ac:dyDescent="0.25">
      <c r="A405" s="114">
        <v>402</v>
      </c>
      <c r="B405" s="115" t="s">
        <v>75</v>
      </c>
      <c r="C405" s="116" t="s">
        <v>76</v>
      </c>
      <c r="D405" s="116" t="s">
        <v>437</v>
      </c>
      <c r="E405" s="116" t="s">
        <v>72</v>
      </c>
      <c r="F405" s="117">
        <v>104.77901263261512</v>
      </c>
      <c r="G405" s="117">
        <v>110.72331263261512</v>
      </c>
      <c r="H405" s="117">
        <v>15.08</v>
      </c>
      <c r="I405" s="114">
        <v>1313</v>
      </c>
      <c r="J405" s="116" t="s">
        <v>263</v>
      </c>
    </row>
    <row r="406" spans="1:10" x14ac:dyDescent="0.25">
      <c r="A406" s="114">
        <v>403</v>
      </c>
      <c r="B406" s="115" t="s">
        <v>77</v>
      </c>
      <c r="C406" s="116" t="s">
        <v>78</v>
      </c>
      <c r="D406" s="116" t="s">
        <v>437</v>
      </c>
      <c r="E406" s="116" t="s">
        <v>72</v>
      </c>
      <c r="F406" s="117">
        <v>109.78344088373619</v>
      </c>
      <c r="G406" s="117">
        <v>117.42994088373619</v>
      </c>
      <c r="H406" s="117">
        <v>16.14</v>
      </c>
      <c r="I406" s="114">
        <v>1657</v>
      </c>
      <c r="J406" s="116" t="s">
        <v>263</v>
      </c>
    </row>
    <row r="407" spans="1:10" x14ac:dyDescent="0.25">
      <c r="A407" s="114">
        <v>404</v>
      </c>
      <c r="B407" s="115" t="s">
        <v>2416</v>
      </c>
      <c r="C407" s="116" t="s">
        <v>2417</v>
      </c>
      <c r="D407" s="116" t="s">
        <v>437</v>
      </c>
      <c r="E407" s="116" t="s">
        <v>72</v>
      </c>
      <c r="F407" s="117">
        <v>102.54145943884855</v>
      </c>
      <c r="G407" s="117">
        <v>105.60255943884854</v>
      </c>
      <c r="H407" s="117">
        <v>18.16</v>
      </c>
      <c r="I407" s="114">
        <v>1742</v>
      </c>
      <c r="J407" s="116" t="s">
        <v>263</v>
      </c>
    </row>
    <row r="408" spans="1:10" x14ac:dyDescent="0.25">
      <c r="A408" s="114">
        <v>405</v>
      </c>
      <c r="B408" s="115" t="s">
        <v>2418</v>
      </c>
      <c r="C408" s="116" t="s">
        <v>2419</v>
      </c>
      <c r="D408" s="116" t="s">
        <v>437</v>
      </c>
      <c r="E408" s="116" t="s">
        <v>72</v>
      </c>
      <c r="F408" s="117">
        <v>102.54145943884855</v>
      </c>
      <c r="G408" s="117">
        <v>105.60255943884854</v>
      </c>
      <c r="H408" s="117">
        <v>18.16</v>
      </c>
      <c r="I408" s="114">
        <v>1742</v>
      </c>
      <c r="J408" s="116" t="s">
        <v>263</v>
      </c>
    </row>
    <row r="409" spans="1:10" x14ac:dyDescent="0.25">
      <c r="A409" s="114">
        <v>406</v>
      </c>
      <c r="B409" s="115" t="s">
        <v>2091</v>
      </c>
      <c r="C409" s="116" t="s">
        <v>2092</v>
      </c>
      <c r="D409" s="116" t="s">
        <v>437</v>
      </c>
      <c r="E409" s="116" t="s">
        <v>2093</v>
      </c>
      <c r="F409" s="117">
        <v>100.01731287956029</v>
      </c>
      <c r="G409" s="117">
        <v>100.10761287956029</v>
      </c>
      <c r="H409" s="117">
        <v>6.49</v>
      </c>
      <c r="I409" s="114">
        <v>895</v>
      </c>
      <c r="J409" s="116" t="s">
        <v>263</v>
      </c>
    </row>
    <row r="410" spans="1:10" x14ac:dyDescent="0.25">
      <c r="A410" s="114">
        <v>407</v>
      </c>
      <c r="B410" s="115" t="s">
        <v>1086</v>
      </c>
      <c r="C410" s="116" t="s">
        <v>1087</v>
      </c>
      <c r="D410" s="116" t="s">
        <v>427</v>
      </c>
      <c r="E410" s="116" t="s">
        <v>1088</v>
      </c>
      <c r="F410" s="117">
        <v>67249.5</v>
      </c>
      <c r="G410" s="117">
        <v>67249.5</v>
      </c>
      <c r="H410" s="117">
        <v>0</v>
      </c>
      <c r="I410" s="114">
        <v>0</v>
      </c>
      <c r="J410" s="116" t="s">
        <v>232</v>
      </c>
    </row>
    <row r="411" spans="1:10" x14ac:dyDescent="0.25">
      <c r="A411" s="114">
        <v>408</v>
      </c>
      <c r="B411" s="115" t="s">
        <v>1089</v>
      </c>
      <c r="C411" s="116" t="s">
        <v>1090</v>
      </c>
      <c r="D411" s="116" t="s">
        <v>427</v>
      </c>
      <c r="E411" s="116" t="s">
        <v>1091</v>
      </c>
      <c r="F411" s="117">
        <v>0.01</v>
      </c>
      <c r="G411" s="117">
        <v>0.01</v>
      </c>
      <c r="H411" s="117">
        <v>0</v>
      </c>
      <c r="I411" s="114">
        <v>0</v>
      </c>
      <c r="J411" s="116" t="s">
        <v>232</v>
      </c>
    </row>
    <row r="412" spans="1:10" x14ac:dyDescent="0.25">
      <c r="A412" s="114">
        <v>409</v>
      </c>
      <c r="B412" s="115" t="s">
        <v>1092</v>
      </c>
      <c r="C412" s="116" t="s">
        <v>1093</v>
      </c>
      <c r="D412" s="116" t="s">
        <v>427</v>
      </c>
      <c r="E412" s="116" t="s">
        <v>1091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232</v>
      </c>
    </row>
    <row r="413" spans="1:10" x14ac:dyDescent="0.25">
      <c r="A413" s="114">
        <v>410</v>
      </c>
      <c r="B413" s="115" t="s">
        <v>79</v>
      </c>
      <c r="C413" s="116" t="s">
        <v>80</v>
      </c>
      <c r="D413" s="116" t="s">
        <v>427</v>
      </c>
      <c r="E413" s="116" t="s">
        <v>81</v>
      </c>
      <c r="F413" s="117">
        <v>3370.2149803639145</v>
      </c>
      <c r="G413" s="117">
        <v>3370.2149803639145</v>
      </c>
      <c r="H413" s="117">
        <v>0</v>
      </c>
      <c r="I413" s="114">
        <v>0</v>
      </c>
      <c r="J413" s="116" t="s">
        <v>232</v>
      </c>
    </row>
    <row r="414" spans="1:10" x14ac:dyDescent="0.25">
      <c r="A414" s="114">
        <v>411</v>
      </c>
      <c r="B414" s="115" t="s">
        <v>82</v>
      </c>
      <c r="C414" s="116" t="s">
        <v>83</v>
      </c>
      <c r="D414" s="116" t="s">
        <v>427</v>
      </c>
      <c r="E414" s="116" t="s">
        <v>84</v>
      </c>
      <c r="F414" s="117">
        <v>1396.8718878224877</v>
      </c>
      <c r="G414" s="117">
        <v>1396.8718878224877</v>
      </c>
      <c r="H414" s="117">
        <v>0</v>
      </c>
      <c r="I414" s="114">
        <v>0</v>
      </c>
      <c r="J414" s="116" t="s">
        <v>232</v>
      </c>
    </row>
    <row r="415" spans="1:10" x14ac:dyDescent="0.25">
      <c r="A415" s="114">
        <v>412</v>
      </c>
      <c r="B415" s="115" t="s">
        <v>1094</v>
      </c>
      <c r="C415" s="116" t="s">
        <v>1095</v>
      </c>
      <c r="D415" s="116" t="s">
        <v>437</v>
      </c>
      <c r="E415" s="116" t="s">
        <v>84</v>
      </c>
      <c r="F415" s="117">
        <v>83.900182592119975</v>
      </c>
      <c r="G415" s="117">
        <v>90.672682592119969</v>
      </c>
      <c r="H415" s="117">
        <v>17.64</v>
      </c>
      <c r="I415" s="114">
        <v>1971</v>
      </c>
      <c r="J415" s="116" t="s">
        <v>263</v>
      </c>
    </row>
    <row r="416" spans="1:10" x14ac:dyDescent="0.25">
      <c r="A416" s="114">
        <v>413</v>
      </c>
      <c r="B416" s="115" t="s">
        <v>1096</v>
      </c>
      <c r="C416" s="116" t="s">
        <v>1097</v>
      </c>
      <c r="D416" s="116" t="s">
        <v>437</v>
      </c>
      <c r="E416" s="116" t="s">
        <v>84</v>
      </c>
      <c r="F416" s="117">
        <v>77.037739265559907</v>
      </c>
      <c r="G416" s="117">
        <v>80.104439265559904</v>
      </c>
      <c r="H416" s="117">
        <v>17.52</v>
      </c>
      <c r="I416" s="114">
        <v>2424</v>
      </c>
      <c r="J416" s="116" t="s">
        <v>263</v>
      </c>
    </row>
    <row r="417" spans="1:10" x14ac:dyDescent="0.25">
      <c r="A417" s="114">
        <v>414</v>
      </c>
      <c r="B417" s="115" t="s">
        <v>1098</v>
      </c>
      <c r="C417" s="116" t="s">
        <v>1099</v>
      </c>
      <c r="D417" s="116" t="s">
        <v>437</v>
      </c>
      <c r="E417" s="116" t="s">
        <v>84</v>
      </c>
      <c r="F417" s="117">
        <v>75.86145548507055</v>
      </c>
      <c r="G417" s="117">
        <v>76.075355485070546</v>
      </c>
      <c r="H417" s="117">
        <v>16.04</v>
      </c>
      <c r="I417" s="114">
        <v>3413</v>
      </c>
      <c r="J417" s="116" t="s">
        <v>263</v>
      </c>
    </row>
    <row r="418" spans="1:10" x14ac:dyDescent="0.25">
      <c r="A418" s="114">
        <v>415</v>
      </c>
      <c r="B418" s="115" t="s">
        <v>1100</v>
      </c>
      <c r="C418" s="116" t="s">
        <v>1101</v>
      </c>
      <c r="D418" s="116" t="s">
        <v>437</v>
      </c>
      <c r="E418" s="116" t="s">
        <v>84</v>
      </c>
      <c r="F418" s="117">
        <v>100</v>
      </c>
      <c r="G418" s="117">
        <v>108.9462</v>
      </c>
      <c r="H418" s="117">
        <v>19.55</v>
      </c>
      <c r="I418" s="114">
        <v>4399</v>
      </c>
      <c r="J418" s="116" t="s">
        <v>263</v>
      </c>
    </row>
    <row r="419" spans="1:10" x14ac:dyDescent="0.25">
      <c r="A419" s="114">
        <v>416</v>
      </c>
      <c r="B419" s="115" t="s">
        <v>1102</v>
      </c>
      <c r="C419" s="116" t="s">
        <v>1103</v>
      </c>
      <c r="D419" s="116" t="s">
        <v>437</v>
      </c>
      <c r="E419" s="116" t="s">
        <v>25</v>
      </c>
      <c r="F419" s="117">
        <v>87.391211856064743</v>
      </c>
      <c r="G419" s="117">
        <v>88.857911856064746</v>
      </c>
      <c r="H419" s="117">
        <v>15.04</v>
      </c>
      <c r="I419" s="114">
        <v>2476</v>
      </c>
      <c r="J419" s="116" t="s">
        <v>263</v>
      </c>
    </row>
    <row r="420" spans="1:10" x14ac:dyDescent="0.25">
      <c r="A420" s="114">
        <v>417</v>
      </c>
      <c r="B420" s="115" t="s">
        <v>387</v>
      </c>
      <c r="C420" s="116" t="s">
        <v>388</v>
      </c>
      <c r="D420" s="116" t="s">
        <v>437</v>
      </c>
      <c r="E420" s="116" t="s">
        <v>25</v>
      </c>
      <c r="F420" s="117">
        <v>90.10186481461227</v>
      </c>
      <c r="G420" s="117">
        <v>97.833764814612266</v>
      </c>
      <c r="H420" s="117">
        <v>15.09</v>
      </c>
      <c r="I420" s="114">
        <v>787</v>
      </c>
      <c r="J420" s="116" t="s">
        <v>263</v>
      </c>
    </row>
    <row r="421" spans="1:10" x14ac:dyDescent="0.25">
      <c r="A421" s="114">
        <v>418</v>
      </c>
      <c r="B421" s="115" t="s">
        <v>2456</v>
      </c>
      <c r="C421" s="116" t="s">
        <v>2457</v>
      </c>
      <c r="D421" s="116" t="s">
        <v>437</v>
      </c>
      <c r="E421" s="116" t="s">
        <v>25</v>
      </c>
      <c r="F421" s="117">
        <v>91.270320311764692</v>
      </c>
      <c r="G421" s="117">
        <v>93.214720311764694</v>
      </c>
      <c r="H421" s="117">
        <v>18.41</v>
      </c>
      <c r="I421" s="114">
        <v>664</v>
      </c>
      <c r="J421" s="116" t="s">
        <v>263</v>
      </c>
    </row>
    <row r="422" spans="1:10" x14ac:dyDescent="0.25">
      <c r="A422" s="114">
        <v>419</v>
      </c>
      <c r="B422" s="115" t="s">
        <v>398</v>
      </c>
      <c r="C422" s="116" t="s">
        <v>399</v>
      </c>
      <c r="D422" s="116" t="s">
        <v>437</v>
      </c>
      <c r="E422" s="116" t="s">
        <v>25</v>
      </c>
      <c r="F422" s="117">
        <v>74.902601998404833</v>
      </c>
      <c r="G422" s="117">
        <v>82.027601998404833</v>
      </c>
      <c r="H422" s="117">
        <v>17.07</v>
      </c>
      <c r="I422" s="114">
        <v>1890</v>
      </c>
      <c r="J422" s="116" t="s">
        <v>263</v>
      </c>
    </row>
    <row r="423" spans="1:10" x14ac:dyDescent="0.25">
      <c r="A423" s="114">
        <v>420</v>
      </c>
      <c r="B423" s="115" t="s">
        <v>2360</v>
      </c>
      <c r="C423" s="116" t="s">
        <v>2361</v>
      </c>
      <c r="D423" s="116" t="s">
        <v>437</v>
      </c>
      <c r="E423" s="116" t="s">
        <v>25</v>
      </c>
      <c r="F423" s="117">
        <v>91.429236844558503</v>
      </c>
      <c r="G423" s="117">
        <v>94.102836844558496</v>
      </c>
      <c r="H423" s="117">
        <v>18.43</v>
      </c>
      <c r="I423" s="114">
        <v>643</v>
      </c>
      <c r="J423" s="116" t="s">
        <v>263</v>
      </c>
    </row>
    <row r="424" spans="1:10" x14ac:dyDescent="0.25">
      <c r="A424" s="114">
        <v>421</v>
      </c>
      <c r="B424" s="115" t="s">
        <v>264</v>
      </c>
      <c r="C424" s="116" t="s">
        <v>265</v>
      </c>
      <c r="D424" s="116" t="s">
        <v>437</v>
      </c>
      <c r="E424" s="116" t="s">
        <v>25</v>
      </c>
      <c r="F424" s="117">
        <v>100</v>
      </c>
      <c r="G424" s="117">
        <v>100.5397</v>
      </c>
      <c r="H424" s="117">
        <v>19.690000000000001</v>
      </c>
      <c r="I424" s="114">
        <v>720</v>
      </c>
      <c r="J424" s="116" t="s">
        <v>263</v>
      </c>
    </row>
    <row r="425" spans="1:10" x14ac:dyDescent="0.25">
      <c r="A425" s="114">
        <v>422</v>
      </c>
      <c r="B425" s="115" t="s">
        <v>266</v>
      </c>
      <c r="C425" s="116" t="s">
        <v>267</v>
      </c>
      <c r="D425" s="116" t="s">
        <v>437</v>
      </c>
      <c r="E425" s="116" t="s">
        <v>25</v>
      </c>
      <c r="F425" s="117">
        <v>100</v>
      </c>
      <c r="G425" s="117">
        <v>107.27809999999999</v>
      </c>
      <c r="H425" s="117">
        <v>19.21</v>
      </c>
      <c r="I425" s="114">
        <v>776</v>
      </c>
      <c r="J425" s="116" t="s">
        <v>263</v>
      </c>
    </row>
    <row r="426" spans="1:10" x14ac:dyDescent="0.25">
      <c r="A426" s="114">
        <v>423</v>
      </c>
      <c r="B426" s="115" t="s">
        <v>268</v>
      </c>
      <c r="C426" s="116" t="s">
        <v>261</v>
      </c>
      <c r="D426" s="116" t="s">
        <v>437</v>
      </c>
      <c r="E426" s="116" t="s">
        <v>25</v>
      </c>
      <c r="F426" s="117">
        <v>100</v>
      </c>
      <c r="G426" s="117">
        <v>107.3537</v>
      </c>
      <c r="H426" s="117">
        <v>19.420000000000002</v>
      </c>
      <c r="I426" s="114">
        <v>1507</v>
      </c>
      <c r="J426" s="116" t="s">
        <v>263</v>
      </c>
    </row>
    <row r="427" spans="1:10" x14ac:dyDescent="0.25">
      <c r="A427" s="114">
        <v>424</v>
      </c>
      <c r="B427" s="115" t="s">
        <v>269</v>
      </c>
      <c r="C427" s="116" t="s">
        <v>270</v>
      </c>
      <c r="D427" s="116" t="s">
        <v>437</v>
      </c>
      <c r="E427" s="116" t="s">
        <v>25</v>
      </c>
      <c r="F427" s="117">
        <v>100</v>
      </c>
      <c r="G427" s="117">
        <v>100.5425</v>
      </c>
      <c r="H427" s="117">
        <v>19.8</v>
      </c>
      <c r="I427" s="114">
        <v>1451</v>
      </c>
      <c r="J427" s="116" t="s">
        <v>263</v>
      </c>
    </row>
    <row r="428" spans="1:10" x14ac:dyDescent="0.25">
      <c r="A428" s="114">
        <v>425</v>
      </c>
      <c r="B428" s="115" t="s">
        <v>383</v>
      </c>
      <c r="C428" s="116" t="s">
        <v>382</v>
      </c>
      <c r="D428" s="116" t="s">
        <v>437</v>
      </c>
      <c r="E428" s="116" t="s">
        <v>25</v>
      </c>
      <c r="F428" s="117">
        <v>99.754923165263037</v>
      </c>
      <c r="G428" s="117">
        <v>109.09662316526304</v>
      </c>
      <c r="H428" s="117">
        <v>24.79</v>
      </c>
      <c r="I428" s="114">
        <v>6</v>
      </c>
      <c r="J428" s="116" t="s">
        <v>263</v>
      </c>
    </row>
    <row r="429" spans="1:10" x14ac:dyDescent="0.25">
      <c r="A429" s="114">
        <v>426</v>
      </c>
      <c r="B429" s="115" t="s">
        <v>271</v>
      </c>
      <c r="C429" s="116" t="s">
        <v>272</v>
      </c>
      <c r="D429" s="116" t="s">
        <v>437</v>
      </c>
      <c r="E429" s="116" t="s">
        <v>25</v>
      </c>
      <c r="F429" s="117">
        <v>100</v>
      </c>
      <c r="G429" s="117">
        <v>103.42659999999999</v>
      </c>
      <c r="H429" s="117">
        <v>18.62</v>
      </c>
      <c r="I429" s="114">
        <v>116</v>
      </c>
      <c r="J429" s="116" t="s">
        <v>263</v>
      </c>
    </row>
    <row r="430" spans="1:10" x14ac:dyDescent="0.25">
      <c r="A430" s="114">
        <v>427</v>
      </c>
      <c r="B430" s="115" t="s">
        <v>1104</v>
      </c>
      <c r="C430" s="116" t="s">
        <v>1105</v>
      </c>
      <c r="D430" s="116" t="s">
        <v>437</v>
      </c>
      <c r="E430" s="116" t="s">
        <v>25</v>
      </c>
      <c r="F430" s="117">
        <v>100</v>
      </c>
      <c r="G430" s="117">
        <v>107.0146</v>
      </c>
      <c r="H430" s="117">
        <v>17.66</v>
      </c>
      <c r="I430" s="114">
        <v>221</v>
      </c>
      <c r="J430" s="116" t="s">
        <v>263</v>
      </c>
    </row>
    <row r="431" spans="1:10" x14ac:dyDescent="0.25">
      <c r="A431" s="114">
        <v>428</v>
      </c>
      <c r="B431" s="115" t="s">
        <v>373</v>
      </c>
      <c r="C431" s="116" t="s">
        <v>374</v>
      </c>
      <c r="D431" s="116" t="s">
        <v>437</v>
      </c>
      <c r="E431" s="116" t="s">
        <v>25</v>
      </c>
      <c r="F431" s="117">
        <v>86.024569421337105</v>
      </c>
      <c r="G431" s="117">
        <v>95.287069421337108</v>
      </c>
      <c r="H431" s="117">
        <v>18.36</v>
      </c>
      <c r="I431" s="114">
        <v>729</v>
      </c>
      <c r="J431" s="116" t="s">
        <v>263</v>
      </c>
    </row>
    <row r="432" spans="1:10" x14ac:dyDescent="0.25">
      <c r="A432" s="114">
        <v>429</v>
      </c>
      <c r="B432" s="115" t="s">
        <v>1106</v>
      </c>
      <c r="C432" s="116" t="s">
        <v>1107</v>
      </c>
      <c r="D432" s="116" t="s">
        <v>437</v>
      </c>
      <c r="E432" s="116" t="s">
        <v>25</v>
      </c>
      <c r="F432" s="117">
        <v>98.795705477803594</v>
      </c>
      <c r="G432" s="117">
        <v>109.07350547780359</v>
      </c>
      <c r="H432" s="117">
        <v>19</v>
      </c>
      <c r="I432" s="114">
        <v>64</v>
      </c>
      <c r="J432" s="116" t="s">
        <v>263</v>
      </c>
    </row>
    <row r="433" spans="1:10" x14ac:dyDescent="0.25">
      <c r="A433" s="114">
        <v>430</v>
      </c>
      <c r="B433" s="115" t="s">
        <v>400</v>
      </c>
      <c r="C433" s="116" t="s">
        <v>401</v>
      </c>
      <c r="D433" s="116" t="s">
        <v>437</v>
      </c>
      <c r="E433" s="116" t="s">
        <v>25</v>
      </c>
      <c r="F433" s="117">
        <v>75.979023569944218</v>
      </c>
      <c r="G433" s="117">
        <v>76.374823569944226</v>
      </c>
      <c r="H433" s="117">
        <v>17.05</v>
      </c>
      <c r="I433" s="114">
        <v>1785</v>
      </c>
      <c r="J433" s="116" t="s">
        <v>263</v>
      </c>
    </row>
    <row r="434" spans="1:10" x14ac:dyDescent="0.25">
      <c r="A434" s="114">
        <v>431</v>
      </c>
      <c r="B434" s="115" t="s">
        <v>1108</v>
      </c>
      <c r="C434" s="116" t="s">
        <v>1109</v>
      </c>
      <c r="D434" s="116" t="s">
        <v>437</v>
      </c>
      <c r="E434" s="116" t="s">
        <v>25</v>
      </c>
      <c r="F434" s="117">
        <v>95.73454143539854</v>
      </c>
      <c r="G434" s="117">
        <v>98.616441435398542</v>
      </c>
      <c r="H434" s="117">
        <v>18.670000000000002</v>
      </c>
      <c r="I434" s="114">
        <v>277</v>
      </c>
      <c r="J434" s="116" t="s">
        <v>263</v>
      </c>
    </row>
    <row r="435" spans="1:10" x14ac:dyDescent="0.25">
      <c r="A435" s="114">
        <v>432</v>
      </c>
      <c r="B435" s="115" t="s">
        <v>1110</v>
      </c>
      <c r="C435" s="116" t="s">
        <v>1111</v>
      </c>
      <c r="D435" s="116" t="s">
        <v>437</v>
      </c>
      <c r="E435" s="116" t="s">
        <v>25</v>
      </c>
      <c r="F435" s="117">
        <v>95.578343297881645</v>
      </c>
      <c r="G435" s="117">
        <v>97.974143297881639</v>
      </c>
      <c r="H435" s="117">
        <v>18.649999999999999</v>
      </c>
      <c r="I435" s="114">
        <v>291</v>
      </c>
      <c r="J435" s="116" t="s">
        <v>263</v>
      </c>
    </row>
    <row r="436" spans="1:10" x14ac:dyDescent="0.25">
      <c r="A436" s="114">
        <v>433</v>
      </c>
      <c r="B436" s="115" t="s">
        <v>2249</v>
      </c>
      <c r="C436" s="116" t="s">
        <v>2250</v>
      </c>
      <c r="D436" s="116" t="s">
        <v>437</v>
      </c>
      <c r="E436" s="116" t="s">
        <v>25</v>
      </c>
      <c r="F436" s="117">
        <v>96.193226507788808</v>
      </c>
      <c r="G436" s="117">
        <v>100.29042650778881</v>
      </c>
      <c r="H436" s="117">
        <v>18.64</v>
      </c>
      <c r="I436" s="114">
        <v>242</v>
      </c>
      <c r="J436" s="116" t="s">
        <v>263</v>
      </c>
    </row>
    <row r="437" spans="1:10" x14ac:dyDescent="0.25">
      <c r="A437" s="114">
        <v>434</v>
      </c>
      <c r="B437" s="115" t="s">
        <v>2522</v>
      </c>
      <c r="C437" s="116" t="s">
        <v>2523</v>
      </c>
      <c r="D437" s="116" t="s">
        <v>437</v>
      </c>
      <c r="E437" s="116" t="s">
        <v>25</v>
      </c>
      <c r="F437" s="117">
        <v>95.114128847617508</v>
      </c>
      <c r="G437" s="117">
        <v>96.121028847617509</v>
      </c>
      <c r="H437" s="117">
        <v>18.66</v>
      </c>
      <c r="I437" s="114">
        <v>331</v>
      </c>
      <c r="J437" s="116" t="s">
        <v>263</v>
      </c>
    </row>
    <row r="438" spans="1:10" x14ac:dyDescent="0.25">
      <c r="A438" s="114">
        <v>435</v>
      </c>
      <c r="B438" s="115" t="s">
        <v>2333</v>
      </c>
      <c r="C438" s="116" t="s">
        <v>2334</v>
      </c>
      <c r="D438" s="116" t="s">
        <v>437</v>
      </c>
      <c r="E438" s="116" t="s">
        <v>25</v>
      </c>
      <c r="F438" s="117">
        <v>95.814463819905825</v>
      </c>
      <c r="G438" s="117">
        <v>98.939463819905825</v>
      </c>
      <c r="H438" s="117">
        <v>18.68</v>
      </c>
      <c r="I438" s="114">
        <v>270</v>
      </c>
      <c r="J438" s="116" t="s">
        <v>263</v>
      </c>
    </row>
    <row r="439" spans="1:10" x14ac:dyDescent="0.25">
      <c r="A439" s="114">
        <v>436</v>
      </c>
      <c r="B439" s="115" t="s">
        <v>2002</v>
      </c>
      <c r="C439" s="116" t="s">
        <v>2003</v>
      </c>
      <c r="D439" s="116" t="s">
        <v>437</v>
      </c>
      <c r="E439" s="116" t="s">
        <v>25</v>
      </c>
      <c r="F439" s="117">
        <v>97.994185765080914</v>
      </c>
      <c r="G439" s="117">
        <v>106.39698576508091</v>
      </c>
      <c r="H439" s="117">
        <v>18.55</v>
      </c>
      <c r="I439" s="114">
        <v>118</v>
      </c>
      <c r="J439" s="116" t="s">
        <v>263</v>
      </c>
    </row>
    <row r="440" spans="1:10" x14ac:dyDescent="0.25">
      <c r="A440" s="114">
        <v>437</v>
      </c>
      <c r="B440" s="115" t="s">
        <v>2028</v>
      </c>
      <c r="C440" s="116" t="s">
        <v>2029</v>
      </c>
      <c r="D440" s="116" t="s">
        <v>437</v>
      </c>
      <c r="E440" s="116" t="s">
        <v>25</v>
      </c>
      <c r="F440" s="117">
        <v>97.562537571675961</v>
      </c>
      <c r="G440" s="117">
        <v>104.95833757167597</v>
      </c>
      <c r="H440" s="117">
        <v>18.52</v>
      </c>
      <c r="I440" s="114">
        <v>147</v>
      </c>
      <c r="J440" s="116" t="s">
        <v>263</v>
      </c>
    </row>
    <row r="441" spans="1:10" x14ac:dyDescent="0.25">
      <c r="A441" s="114">
        <v>438</v>
      </c>
      <c r="B441" s="115" t="s">
        <v>1915</v>
      </c>
      <c r="C441" s="116" t="s">
        <v>1916</v>
      </c>
      <c r="D441" s="116" t="s">
        <v>437</v>
      </c>
      <c r="E441" s="116" t="s">
        <v>25</v>
      </c>
      <c r="F441" s="117">
        <v>98.84478358799953</v>
      </c>
      <c r="G441" s="117">
        <v>109.22668358799953</v>
      </c>
      <c r="H441" s="117">
        <v>19.04</v>
      </c>
      <c r="I441" s="114">
        <v>61</v>
      </c>
      <c r="J441" s="116" t="s">
        <v>263</v>
      </c>
    </row>
    <row r="442" spans="1:10" x14ac:dyDescent="0.25">
      <c r="A442" s="114">
        <v>439</v>
      </c>
      <c r="B442" s="115" t="s">
        <v>2118</v>
      </c>
      <c r="C442" s="116" t="s">
        <v>2119</v>
      </c>
      <c r="D442" s="116" t="s">
        <v>437</v>
      </c>
      <c r="E442" s="116" t="s">
        <v>25</v>
      </c>
      <c r="F442" s="117">
        <v>96.950785669296621</v>
      </c>
      <c r="G442" s="117">
        <v>102.95768566929662</v>
      </c>
      <c r="H442" s="117">
        <v>18.61</v>
      </c>
      <c r="I442" s="114">
        <v>187</v>
      </c>
      <c r="J442" s="116" t="s">
        <v>263</v>
      </c>
    </row>
    <row r="443" spans="1:10" x14ac:dyDescent="0.25">
      <c r="A443" s="114">
        <v>440</v>
      </c>
      <c r="B443" s="115" t="s">
        <v>2108</v>
      </c>
      <c r="C443" s="116" t="s">
        <v>2109</v>
      </c>
      <c r="D443" s="116" t="s">
        <v>437</v>
      </c>
      <c r="E443" s="116" t="s">
        <v>25</v>
      </c>
      <c r="F443" s="117">
        <v>97.046482616617737</v>
      </c>
      <c r="G443" s="117">
        <v>103.29648261661774</v>
      </c>
      <c r="H443" s="117">
        <v>18.61</v>
      </c>
      <c r="I443" s="114">
        <v>180</v>
      </c>
      <c r="J443" s="116" t="s">
        <v>263</v>
      </c>
    </row>
    <row r="444" spans="1:10" x14ac:dyDescent="0.25">
      <c r="A444" s="114">
        <v>441</v>
      </c>
      <c r="B444" s="115" t="s">
        <v>2151</v>
      </c>
      <c r="C444" s="116" t="s">
        <v>2152</v>
      </c>
      <c r="D444" s="116" t="s">
        <v>437</v>
      </c>
      <c r="E444" s="116" t="s">
        <v>25</v>
      </c>
      <c r="F444" s="117">
        <v>96.670773343994526</v>
      </c>
      <c r="G444" s="117">
        <v>101.94857334399452</v>
      </c>
      <c r="H444" s="117">
        <v>18.579999999999998</v>
      </c>
      <c r="I444" s="114">
        <v>208</v>
      </c>
      <c r="J444" s="116" t="s">
        <v>263</v>
      </c>
    </row>
    <row r="445" spans="1:10" x14ac:dyDescent="0.25">
      <c r="A445" s="114">
        <v>442</v>
      </c>
      <c r="B445" s="115" t="s">
        <v>2412</v>
      </c>
      <c r="C445" s="116" t="s">
        <v>2413</v>
      </c>
      <c r="D445" s="116" t="s">
        <v>437</v>
      </c>
      <c r="E445" s="116" t="s">
        <v>25</v>
      </c>
      <c r="F445" s="117">
        <v>95.512894681157263</v>
      </c>
      <c r="G445" s="117">
        <v>97.700394681157263</v>
      </c>
      <c r="H445" s="117">
        <v>18.649999999999999</v>
      </c>
      <c r="I445" s="114">
        <v>297</v>
      </c>
      <c r="J445" s="116" t="s">
        <v>263</v>
      </c>
    </row>
    <row r="446" spans="1:10" x14ac:dyDescent="0.25">
      <c r="A446" s="114">
        <v>443</v>
      </c>
      <c r="B446" s="115" t="s">
        <v>385</v>
      </c>
      <c r="C446" s="116" t="s">
        <v>386</v>
      </c>
      <c r="D446" s="116" t="s">
        <v>437</v>
      </c>
      <c r="E446" s="116" t="s">
        <v>25</v>
      </c>
      <c r="F446" s="117">
        <v>98.795124471729352</v>
      </c>
      <c r="G446" s="117">
        <v>107.05482447172935</v>
      </c>
      <c r="H446" s="117">
        <v>18.88</v>
      </c>
      <c r="I446" s="114">
        <v>47</v>
      </c>
      <c r="J446" s="116" t="s">
        <v>263</v>
      </c>
    </row>
    <row r="447" spans="1:10" x14ac:dyDescent="0.25">
      <c r="A447" s="114">
        <v>444</v>
      </c>
      <c r="B447" s="115" t="s">
        <v>1956</v>
      </c>
      <c r="C447" s="116" t="s">
        <v>1957</v>
      </c>
      <c r="D447" s="116" t="s">
        <v>437</v>
      </c>
      <c r="E447" s="116" t="s">
        <v>25</v>
      </c>
      <c r="F447" s="117">
        <v>93.770531230172054</v>
      </c>
      <c r="G447" s="117">
        <v>103.90943123017205</v>
      </c>
      <c r="H447" s="117">
        <v>18.649999999999999</v>
      </c>
      <c r="I447" s="114">
        <v>428</v>
      </c>
      <c r="J447" s="116" t="s">
        <v>263</v>
      </c>
    </row>
    <row r="448" spans="1:10" x14ac:dyDescent="0.25">
      <c r="A448" s="114">
        <v>445</v>
      </c>
      <c r="B448" s="115" t="s">
        <v>1972</v>
      </c>
      <c r="C448" s="116" t="s">
        <v>1973</v>
      </c>
      <c r="D448" s="116" t="s">
        <v>437</v>
      </c>
      <c r="E448" s="116" t="s">
        <v>25</v>
      </c>
      <c r="F448" s="117">
        <v>93.393108973191133</v>
      </c>
      <c r="G448" s="117">
        <v>102.24730897319114</v>
      </c>
      <c r="H448" s="117">
        <v>18.5</v>
      </c>
      <c r="I448" s="114">
        <v>465</v>
      </c>
      <c r="J448" s="116" t="s">
        <v>263</v>
      </c>
    </row>
    <row r="449" spans="1:10" x14ac:dyDescent="0.25">
      <c r="A449" s="114">
        <v>446</v>
      </c>
      <c r="B449" s="115" t="s">
        <v>2030</v>
      </c>
      <c r="C449" s="116" t="s">
        <v>2031</v>
      </c>
      <c r="D449" s="116" t="s">
        <v>437</v>
      </c>
      <c r="E449" s="116" t="s">
        <v>25</v>
      </c>
      <c r="F449" s="117">
        <v>92.918808104560867</v>
      </c>
      <c r="G449" s="117">
        <v>100.31460810456086</v>
      </c>
      <c r="H449" s="117">
        <v>18.43</v>
      </c>
      <c r="I449" s="114">
        <v>507</v>
      </c>
      <c r="J449" s="116" t="s">
        <v>263</v>
      </c>
    </row>
    <row r="450" spans="1:10" x14ac:dyDescent="0.25">
      <c r="A450" s="114">
        <v>447</v>
      </c>
      <c r="B450" s="115" t="s">
        <v>1113</v>
      </c>
      <c r="C450" s="116" t="s">
        <v>1114</v>
      </c>
      <c r="D450" s="116" t="s">
        <v>437</v>
      </c>
      <c r="E450" s="116" t="s">
        <v>1112</v>
      </c>
      <c r="F450" s="117">
        <v>100</v>
      </c>
      <c r="G450" s="117">
        <v>100.1322</v>
      </c>
      <c r="H450" s="117">
        <v>0.35</v>
      </c>
      <c r="I450" s="114">
        <v>224</v>
      </c>
      <c r="J450" s="116" t="s">
        <v>263</v>
      </c>
    </row>
    <row r="451" spans="1:10" x14ac:dyDescent="0.25">
      <c r="A451" s="114">
        <v>448</v>
      </c>
      <c r="B451" s="115" t="s">
        <v>2260</v>
      </c>
      <c r="C451" s="116" t="s">
        <v>2261</v>
      </c>
      <c r="D451" s="116" t="s">
        <v>437</v>
      </c>
      <c r="E451" s="116" t="s">
        <v>1112</v>
      </c>
      <c r="F451" s="117">
        <v>100</v>
      </c>
      <c r="G451" s="117">
        <v>100.10209999999999</v>
      </c>
      <c r="H451" s="117">
        <v>0.35</v>
      </c>
      <c r="I451" s="114">
        <v>615</v>
      </c>
      <c r="J451" s="116" t="s">
        <v>263</v>
      </c>
    </row>
    <row r="452" spans="1:10" x14ac:dyDescent="0.25">
      <c r="A452" s="114">
        <v>449</v>
      </c>
      <c r="B452" s="115" t="s">
        <v>1115</v>
      </c>
      <c r="C452" s="116" t="s">
        <v>1116</v>
      </c>
      <c r="D452" s="116" t="s">
        <v>437</v>
      </c>
      <c r="E452" s="116" t="s">
        <v>1112</v>
      </c>
      <c r="F452" s="117">
        <v>100</v>
      </c>
      <c r="G452" s="117">
        <v>100.0078</v>
      </c>
      <c r="H452" s="117">
        <v>0.02</v>
      </c>
      <c r="I452" s="114">
        <v>2995</v>
      </c>
      <c r="J452" s="116" t="s">
        <v>263</v>
      </c>
    </row>
    <row r="453" spans="1:10" x14ac:dyDescent="0.25">
      <c r="A453" s="114">
        <v>450</v>
      </c>
      <c r="B453" s="115" t="s">
        <v>1117</v>
      </c>
      <c r="C453" s="116" t="s">
        <v>1118</v>
      </c>
      <c r="D453" s="116" t="s">
        <v>437</v>
      </c>
      <c r="E453" s="116" t="s">
        <v>1112</v>
      </c>
      <c r="F453" s="117">
        <v>100</v>
      </c>
      <c r="G453" s="117">
        <v>106.7253</v>
      </c>
      <c r="H453" s="117">
        <v>7.05</v>
      </c>
      <c r="I453" s="114">
        <v>2092</v>
      </c>
      <c r="J453" s="116" t="s">
        <v>263</v>
      </c>
    </row>
    <row r="454" spans="1:10" x14ac:dyDescent="0.25">
      <c r="A454" s="114">
        <v>451</v>
      </c>
      <c r="B454" s="115" t="s">
        <v>1119</v>
      </c>
      <c r="C454" s="116" t="s">
        <v>1120</v>
      </c>
      <c r="D454" s="116" t="s">
        <v>437</v>
      </c>
      <c r="E454" s="116" t="s">
        <v>1112</v>
      </c>
      <c r="F454" s="117">
        <v>100</v>
      </c>
      <c r="G454" s="117">
        <v>102.7111</v>
      </c>
      <c r="H454" s="117">
        <v>6.08</v>
      </c>
      <c r="I454" s="114">
        <v>1610</v>
      </c>
      <c r="J454" s="116" t="s">
        <v>263</v>
      </c>
    </row>
    <row r="455" spans="1:10" x14ac:dyDescent="0.25">
      <c r="A455" s="114">
        <v>452</v>
      </c>
      <c r="B455" s="115" t="s">
        <v>1121</v>
      </c>
      <c r="C455" s="116" t="s">
        <v>1122</v>
      </c>
      <c r="D455" s="116" t="s">
        <v>437</v>
      </c>
      <c r="E455" s="116" t="s">
        <v>1112</v>
      </c>
      <c r="F455" s="117">
        <v>100</v>
      </c>
      <c r="G455" s="117">
        <v>100.74939999999999</v>
      </c>
      <c r="H455" s="117">
        <v>7.08</v>
      </c>
      <c r="I455" s="114">
        <v>2092</v>
      </c>
      <c r="J455" s="116" t="s">
        <v>263</v>
      </c>
    </row>
    <row r="456" spans="1:10" x14ac:dyDescent="0.25">
      <c r="A456" s="114">
        <v>453</v>
      </c>
      <c r="B456" s="115" t="s">
        <v>2302</v>
      </c>
      <c r="C456" s="116" t="s">
        <v>2303</v>
      </c>
      <c r="D456" s="116" t="s">
        <v>437</v>
      </c>
      <c r="E456" s="116" t="s">
        <v>1112</v>
      </c>
      <c r="F456" s="117">
        <v>96.433433229027273</v>
      </c>
      <c r="G456" s="117">
        <v>101.31593322902727</v>
      </c>
      <c r="H456" s="117">
        <v>19.670000000000002</v>
      </c>
      <c r="I456" s="114">
        <v>3507</v>
      </c>
      <c r="J456" s="116" t="s">
        <v>263</v>
      </c>
    </row>
    <row r="457" spans="1:10" x14ac:dyDescent="0.25">
      <c r="A457" s="114">
        <v>454</v>
      </c>
      <c r="B457" s="115" t="s">
        <v>2282</v>
      </c>
      <c r="C457" s="116" t="s">
        <v>2283</v>
      </c>
      <c r="D457" s="116" t="s">
        <v>437</v>
      </c>
      <c r="E457" s="116" t="s">
        <v>1112</v>
      </c>
      <c r="F457" s="117">
        <v>96.473388500954783</v>
      </c>
      <c r="G457" s="117">
        <v>101.51338850095478</v>
      </c>
      <c r="H457" s="117">
        <v>19.66</v>
      </c>
      <c r="I457" s="114">
        <v>3504</v>
      </c>
      <c r="J457" s="116" t="s">
        <v>263</v>
      </c>
    </row>
    <row r="458" spans="1:10" x14ac:dyDescent="0.25">
      <c r="A458" s="114">
        <v>455</v>
      </c>
      <c r="B458" s="115" t="s">
        <v>2304</v>
      </c>
      <c r="C458" s="116" t="s">
        <v>2305</v>
      </c>
      <c r="D458" s="116" t="s">
        <v>437</v>
      </c>
      <c r="E458" s="116" t="s">
        <v>1112</v>
      </c>
      <c r="F458" s="117">
        <v>96.433433229027273</v>
      </c>
      <c r="G458" s="117">
        <v>101.31593322902727</v>
      </c>
      <c r="H458" s="117">
        <v>19.670000000000002</v>
      </c>
      <c r="I458" s="114">
        <v>3507</v>
      </c>
      <c r="J458" s="116" t="s">
        <v>263</v>
      </c>
    </row>
    <row r="459" spans="1:10" x14ac:dyDescent="0.25">
      <c r="A459" s="114">
        <v>456</v>
      </c>
      <c r="B459" s="115" t="s">
        <v>2372</v>
      </c>
      <c r="C459" s="116" t="s">
        <v>2373</v>
      </c>
      <c r="D459" s="116" t="s">
        <v>437</v>
      </c>
      <c r="E459" s="116" t="s">
        <v>1112</v>
      </c>
      <c r="F459" s="117">
        <v>96.517299493850786</v>
      </c>
      <c r="G459" s="117">
        <v>100.13979949385079</v>
      </c>
      <c r="H459" s="117">
        <v>19.670000000000002</v>
      </c>
      <c r="I459" s="114">
        <v>3531</v>
      </c>
      <c r="J459" s="116" t="s">
        <v>263</v>
      </c>
    </row>
    <row r="460" spans="1:10" x14ac:dyDescent="0.25">
      <c r="A460" s="114">
        <v>457</v>
      </c>
      <c r="B460" s="115" t="s">
        <v>2493</v>
      </c>
      <c r="C460" s="116" t="s">
        <v>2494</v>
      </c>
      <c r="D460" s="116" t="s">
        <v>437</v>
      </c>
      <c r="E460" s="116" t="s">
        <v>1112</v>
      </c>
      <c r="F460" s="117">
        <v>102.11679474634693</v>
      </c>
      <c r="G460" s="117">
        <v>104.08069474634692</v>
      </c>
      <c r="H460" s="117">
        <v>19.66</v>
      </c>
      <c r="I460" s="114">
        <v>3565</v>
      </c>
      <c r="J460" s="116" t="s">
        <v>263</v>
      </c>
    </row>
    <row r="461" spans="1:10" x14ac:dyDescent="0.25">
      <c r="A461" s="114">
        <v>458</v>
      </c>
      <c r="B461" s="115" t="s">
        <v>1123</v>
      </c>
      <c r="C461" s="116" t="s">
        <v>1124</v>
      </c>
      <c r="D461" s="116" t="s">
        <v>437</v>
      </c>
      <c r="E461" s="116" t="s">
        <v>1112</v>
      </c>
      <c r="F461" s="117">
        <v>100</v>
      </c>
      <c r="G461" s="117">
        <v>101.88079999999999</v>
      </c>
      <c r="H461" s="117">
        <v>6.08</v>
      </c>
      <c r="I461" s="114">
        <v>2019</v>
      </c>
      <c r="J461" s="116" t="s">
        <v>263</v>
      </c>
    </row>
    <row r="462" spans="1:10" x14ac:dyDescent="0.25">
      <c r="A462" s="114">
        <v>459</v>
      </c>
      <c r="B462" s="115" t="s">
        <v>1125</v>
      </c>
      <c r="C462" s="116" t="s">
        <v>1126</v>
      </c>
      <c r="D462" s="116" t="s">
        <v>437</v>
      </c>
      <c r="E462" s="116" t="s">
        <v>1112</v>
      </c>
      <c r="F462" s="117">
        <v>100</v>
      </c>
      <c r="G462" s="117">
        <v>100.7286</v>
      </c>
      <c r="H462" s="117">
        <v>6.09</v>
      </c>
      <c r="I462" s="114">
        <v>2447</v>
      </c>
      <c r="J462" s="116" t="s">
        <v>263</v>
      </c>
    </row>
    <row r="463" spans="1:10" x14ac:dyDescent="0.25">
      <c r="A463" s="114">
        <v>460</v>
      </c>
      <c r="B463" s="115" t="s">
        <v>1127</v>
      </c>
      <c r="C463" s="116" t="s">
        <v>1128</v>
      </c>
      <c r="D463" s="116" t="s">
        <v>437</v>
      </c>
      <c r="E463" s="116" t="s">
        <v>1112</v>
      </c>
      <c r="F463" s="117">
        <v>100</v>
      </c>
      <c r="G463" s="117">
        <v>100.7286</v>
      </c>
      <c r="H463" s="117">
        <v>6.09</v>
      </c>
      <c r="I463" s="114">
        <v>2447</v>
      </c>
      <c r="J463" s="116" t="s">
        <v>263</v>
      </c>
    </row>
    <row r="464" spans="1:10" x14ac:dyDescent="0.25">
      <c r="A464" s="114">
        <v>461</v>
      </c>
      <c r="B464" s="115" t="s">
        <v>1129</v>
      </c>
      <c r="C464" s="116" t="s">
        <v>1130</v>
      </c>
      <c r="D464" s="116" t="s">
        <v>427</v>
      </c>
      <c r="E464" s="116" t="s">
        <v>1131</v>
      </c>
      <c r="F464" s="117">
        <v>0.01</v>
      </c>
      <c r="G464" s="117">
        <v>0.01</v>
      </c>
      <c r="H464" s="117">
        <v>0</v>
      </c>
      <c r="I464" s="114">
        <v>0</v>
      </c>
      <c r="J464" s="116" t="s">
        <v>232</v>
      </c>
    </row>
    <row r="465" spans="1:10" x14ac:dyDescent="0.25">
      <c r="A465" s="114">
        <v>462</v>
      </c>
      <c r="B465" s="115" t="s">
        <v>1132</v>
      </c>
      <c r="C465" s="116" t="s">
        <v>1133</v>
      </c>
      <c r="D465" s="116" t="s">
        <v>427</v>
      </c>
      <c r="E465" s="116" t="s">
        <v>1134</v>
      </c>
      <c r="F465" s="117">
        <v>71</v>
      </c>
      <c r="G465" s="117">
        <v>71</v>
      </c>
      <c r="H465" s="117">
        <v>0</v>
      </c>
      <c r="I465" s="114">
        <v>0</v>
      </c>
      <c r="J465" s="116" t="s">
        <v>232</v>
      </c>
    </row>
    <row r="466" spans="1:10" x14ac:dyDescent="0.25">
      <c r="A466" s="114">
        <v>463</v>
      </c>
      <c r="B466" s="115" t="s">
        <v>85</v>
      </c>
      <c r="C466" s="116" t="s">
        <v>86</v>
      </c>
      <c r="D466" s="116" t="s">
        <v>427</v>
      </c>
      <c r="E466" s="116" t="s">
        <v>87</v>
      </c>
      <c r="F466" s="117">
        <v>21811.97364103686</v>
      </c>
      <c r="G466" s="117">
        <v>21811.97364103686</v>
      </c>
      <c r="H466" s="117">
        <v>0</v>
      </c>
      <c r="I466" s="114">
        <v>0</v>
      </c>
      <c r="J466" s="116" t="s">
        <v>232</v>
      </c>
    </row>
    <row r="467" spans="1:10" x14ac:dyDescent="0.25">
      <c r="A467" s="114">
        <v>464</v>
      </c>
      <c r="B467" s="115" t="s">
        <v>1135</v>
      </c>
      <c r="C467" s="116" t="s">
        <v>1136</v>
      </c>
      <c r="D467" s="116" t="s">
        <v>437</v>
      </c>
      <c r="E467" s="116" t="s">
        <v>87</v>
      </c>
      <c r="F467" s="117">
        <v>100.32599999999999</v>
      </c>
      <c r="G467" s="117">
        <v>100.9329</v>
      </c>
      <c r="H467" s="117">
        <v>4.5</v>
      </c>
      <c r="I467" s="114">
        <v>494</v>
      </c>
      <c r="J467" s="116" t="s">
        <v>263</v>
      </c>
    </row>
    <row r="468" spans="1:10" x14ac:dyDescent="0.25">
      <c r="A468" s="114">
        <v>465</v>
      </c>
      <c r="B468" s="115" t="s">
        <v>88</v>
      </c>
      <c r="C468" s="116" t="s">
        <v>89</v>
      </c>
      <c r="D468" s="116" t="s">
        <v>437</v>
      </c>
      <c r="E468" s="116" t="s">
        <v>87</v>
      </c>
      <c r="F468" s="117">
        <v>95.287999999999997</v>
      </c>
      <c r="G468" s="117">
        <v>96.0227</v>
      </c>
      <c r="H468" s="117">
        <v>6.15</v>
      </c>
      <c r="I468" s="114">
        <v>7694</v>
      </c>
      <c r="J468" s="116" t="s">
        <v>263</v>
      </c>
    </row>
    <row r="469" spans="1:10" x14ac:dyDescent="0.25">
      <c r="A469" s="114">
        <v>466</v>
      </c>
      <c r="B469" s="115" t="s">
        <v>90</v>
      </c>
      <c r="C469" s="116" t="s">
        <v>91</v>
      </c>
      <c r="D469" s="116" t="s">
        <v>437</v>
      </c>
      <c r="E469" s="116" t="s">
        <v>87</v>
      </c>
      <c r="F469" s="117">
        <v>102.214</v>
      </c>
      <c r="G469" s="117">
        <v>102.8262</v>
      </c>
      <c r="H469" s="117">
        <v>4.8099999999999996</v>
      </c>
      <c r="I469" s="114">
        <v>1579</v>
      </c>
      <c r="J469" s="116" t="s">
        <v>263</v>
      </c>
    </row>
    <row r="470" spans="1:10" x14ac:dyDescent="0.25">
      <c r="A470" s="114">
        <v>467</v>
      </c>
      <c r="B470" s="115" t="s">
        <v>92</v>
      </c>
      <c r="C470" s="116" t="s">
        <v>93</v>
      </c>
      <c r="D470" s="116" t="s">
        <v>437</v>
      </c>
      <c r="E470" s="116" t="s">
        <v>87</v>
      </c>
      <c r="F470" s="117">
        <v>101.577</v>
      </c>
      <c r="G470" s="117">
        <v>102.303</v>
      </c>
      <c r="H470" s="117">
        <v>6.24</v>
      </c>
      <c r="I470" s="114">
        <v>8239</v>
      </c>
      <c r="J470" s="116" t="s">
        <v>263</v>
      </c>
    </row>
    <row r="471" spans="1:10" x14ac:dyDescent="0.25">
      <c r="A471" s="114">
        <v>468</v>
      </c>
      <c r="B471" s="115" t="s">
        <v>94</v>
      </c>
      <c r="C471" s="116" t="s">
        <v>95</v>
      </c>
      <c r="D471" s="116" t="s">
        <v>437</v>
      </c>
      <c r="E471" s="116" t="s">
        <v>87</v>
      </c>
      <c r="F471" s="117">
        <v>90.409000000000006</v>
      </c>
      <c r="G471" s="117">
        <v>90.904799999999994</v>
      </c>
      <c r="H471" s="117">
        <v>5.08</v>
      </c>
      <c r="I471" s="114">
        <v>2649</v>
      </c>
      <c r="J471" s="116" t="s">
        <v>263</v>
      </c>
    </row>
    <row r="472" spans="1:10" x14ac:dyDescent="0.25">
      <c r="A472" s="114">
        <v>469</v>
      </c>
      <c r="B472" s="115" t="s">
        <v>1140</v>
      </c>
      <c r="C472" s="116" t="s">
        <v>1141</v>
      </c>
      <c r="D472" s="116" t="s">
        <v>437</v>
      </c>
      <c r="E472" s="116" t="s">
        <v>1142</v>
      </c>
      <c r="F472" s="117">
        <v>100</v>
      </c>
      <c r="G472" s="117">
        <v>101.3104</v>
      </c>
      <c r="H472" s="117">
        <v>4.2300000000000004</v>
      </c>
      <c r="I472" s="114">
        <v>189</v>
      </c>
      <c r="J472" s="116" t="s">
        <v>263</v>
      </c>
    </row>
    <row r="473" spans="1:10" x14ac:dyDescent="0.25">
      <c r="A473" s="114">
        <v>470</v>
      </c>
      <c r="B473" s="115" t="s">
        <v>1143</v>
      </c>
      <c r="C473" s="116" t="s">
        <v>1144</v>
      </c>
      <c r="D473" s="116" t="s">
        <v>437</v>
      </c>
      <c r="E473" s="116" t="s">
        <v>1142</v>
      </c>
      <c r="F473" s="117">
        <v>100</v>
      </c>
      <c r="G473" s="117">
        <v>100.14100000000001</v>
      </c>
      <c r="H473" s="117">
        <v>0.35</v>
      </c>
      <c r="I473" s="114">
        <v>215</v>
      </c>
      <c r="J473" s="116" t="s">
        <v>263</v>
      </c>
    </row>
    <row r="474" spans="1:10" x14ac:dyDescent="0.25">
      <c r="A474" s="114">
        <v>471</v>
      </c>
      <c r="B474" s="115" t="s">
        <v>2040</v>
      </c>
      <c r="C474" s="116" t="s">
        <v>2041</v>
      </c>
      <c r="D474" s="116" t="s">
        <v>437</v>
      </c>
      <c r="E474" s="116" t="s">
        <v>1142</v>
      </c>
      <c r="F474" s="117">
        <v>100</v>
      </c>
      <c r="G474" s="117">
        <v>100.0204</v>
      </c>
      <c r="H474" s="117">
        <v>0.35</v>
      </c>
      <c r="I474" s="114">
        <v>519</v>
      </c>
      <c r="J474" s="116" t="s">
        <v>263</v>
      </c>
    </row>
    <row r="475" spans="1:10" x14ac:dyDescent="0.25">
      <c r="A475" s="114">
        <v>472</v>
      </c>
      <c r="B475" s="115" t="s">
        <v>1866</v>
      </c>
      <c r="C475" s="116" t="s">
        <v>1867</v>
      </c>
      <c r="D475" s="116" t="s">
        <v>437</v>
      </c>
      <c r="E475" s="116" t="s">
        <v>1142</v>
      </c>
      <c r="F475" s="117">
        <v>100</v>
      </c>
      <c r="G475" s="117">
        <v>100.0193</v>
      </c>
      <c r="H475" s="117">
        <v>0.02</v>
      </c>
      <c r="I475" s="114">
        <v>2995</v>
      </c>
      <c r="J475" s="116" t="s">
        <v>263</v>
      </c>
    </row>
    <row r="476" spans="1:10" x14ac:dyDescent="0.25">
      <c r="A476" s="114">
        <v>473</v>
      </c>
      <c r="B476" s="115" t="s">
        <v>1145</v>
      </c>
      <c r="C476" s="116" t="s">
        <v>1146</v>
      </c>
      <c r="D476" s="116" t="s">
        <v>437</v>
      </c>
      <c r="E476" s="116" t="s">
        <v>1142</v>
      </c>
      <c r="F476" s="117">
        <v>100</v>
      </c>
      <c r="G476" s="117">
        <v>100.00920000000001</v>
      </c>
      <c r="H476" s="117">
        <v>0.02</v>
      </c>
      <c r="I476" s="114">
        <v>2995</v>
      </c>
      <c r="J476" s="116" t="s">
        <v>263</v>
      </c>
    </row>
    <row r="477" spans="1:10" x14ac:dyDescent="0.25">
      <c r="A477" s="114">
        <v>474</v>
      </c>
      <c r="B477" s="115" t="s">
        <v>1147</v>
      </c>
      <c r="C477" s="116" t="s">
        <v>1148</v>
      </c>
      <c r="D477" s="116" t="s">
        <v>437</v>
      </c>
      <c r="E477" s="116" t="s">
        <v>1142</v>
      </c>
      <c r="F477" s="117">
        <v>100</v>
      </c>
      <c r="G477" s="117">
        <v>102.7111</v>
      </c>
      <c r="H477" s="117">
        <v>6.08</v>
      </c>
      <c r="I477" s="114">
        <v>1610</v>
      </c>
      <c r="J477" s="116" t="s">
        <v>263</v>
      </c>
    </row>
    <row r="478" spans="1:10" x14ac:dyDescent="0.25">
      <c r="A478" s="114">
        <v>475</v>
      </c>
      <c r="B478" s="115" t="s">
        <v>2229</v>
      </c>
      <c r="C478" s="116" t="s">
        <v>2230</v>
      </c>
      <c r="D478" s="116" t="s">
        <v>437</v>
      </c>
      <c r="E478" s="116" t="s">
        <v>1142</v>
      </c>
      <c r="F478" s="117">
        <v>93.495326025988874</v>
      </c>
      <c r="G478" s="117">
        <v>99.814726025988875</v>
      </c>
      <c r="H478" s="117">
        <v>19.670000000000002</v>
      </c>
      <c r="I478" s="114">
        <v>3475</v>
      </c>
      <c r="J478" s="116" t="s">
        <v>263</v>
      </c>
    </row>
    <row r="479" spans="1:10" x14ac:dyDescent="0.25">
      <c r="A479" s="114">
        <v>476</v>
      </c>
      <c r="B479" s="115" t="s">
        <v>2284</v>
      </c>
      <c r="C479" s="116" t="s">
        <v>2285</v>
      </c>
      <c r="D479" s="116" t="s">
        <v>437</v>
      </c>
      <c r="E479" s="116" t="s">
        <v>1142</v>
      </c>
      <c r="F479" s="117">
        <v>96.473388500954783</v>
      </c>
      <c r="G479" s="117">
        <v>101.51338850095478</v>
      </c>
      <c r="H479" s="117">
        <v>19.66</v>
      </c>
      <c r="I479" s="114">
        <v>3504</v>
      </c>
      <c r="J479" s="116" t="s">
        <v>263</v>
      </c>
    </row>
    <row r="480" spans="1:10" x14ac:dyDescent="0.25">
      <c r="A480" s="114">
        <v>477</v>
      </c>
      <c r="B480" s="115" t="s">
        <v>2495</v>
      </c>
      <c r="C480" s="116" t="s">
        <v>2496</v>
      </c>
      <c r="D480" s="116" t="s">
        <v>437</v>
      </c>
      <c r="E480" s="116" t="s">
        <v>1142</v>
      </c>
      <c r="F480" s="117">
        <v>96.661158866675223</v>
      </c>
      <c r="G480" s="117">
        <v>98.498658866675214</v>
      </c>
      <c r="H480" s="117">
        <v>19.66</v>
      </c>
      <c r="I480" s="114">
        <v>3565</v>
      </c>
      <c r="J480" s="116" t="s">
        <v>263</v>
      </c>
    </row>
    <row r="481" spans="1:10" x14ac:dyDescent="0.25">
      <c r="A481" s="114">
        <v>478</v>
      </c>
      <c r="B481" s="115" t="s">
        <v>2286</v>
      </c>
      <c r="C481" s="116" t="s">
        <v>2287</v>
      </c>
      <c r="D481" s="116" t="s">
        <v>437</v>
      </c>
      <c r="E481" s="116" t="s">
        <v>1142</v>
      </c>
      <c r="F481" s="117">
        <v>96.473388500954783</v>
      </c>
      <c r="G481" s="117">
        <v>101.51338850095478</v>
      </c>
      <c r="H481" s="117">
        <v>19.66</v>
      </c>
      <c r="I481" s="114">
        <v>3504</v>
      </c>
      <c r="J481" s="116" t="s">
        <v>263</v>
      </c>
    </row>
    <row r="482" spans="1:10" x14ac:dyDescent="0.25">
      <c r="A482" s="114">
        <v>479</v>
      </c>
      <c r="B482" s="115" t="s">
        <v>2497</v>
      </c>
      <c r="C482" s="116" t="s">
        <v>2498</v>
      </c>
      <c r="D482" s="116" t="s">
        <v>437</v>
      </c>
      <c r="E482" s="116" t="s">
        <v>1142</v>
      </c>
      <c r="F482" s="117">
        <v>96.661158866675223</v>
      </c>
      <c r="G482" s="117">
        <v>98.498658866675214</v>
      </c>
      <c r="H482" s="117">
        <v>19.66</v>
      </c>
      <c r="I482" s="114">
        <v>3565</v>
      </c>
      <c r="J482" s="116" t="s">
        <v>263</v>
      </c>
    </row>
    <row r="483" spans="1:10" x14ac:dyDescent="0.25">
      <c r="A483" s="114">
        <v>480</v>
      </c>
      <c r="B483" s="115" t="s">
        <v>1149</v>
      </c>
      <c r="C483" s="116" t="s">
        <v>1150</v>
      </c>
      <c r="D483" s="116" t="s">
        <v>437</v>
      </c>
      <c r="E483" s="116" t="s">
        <v>1142</v>
      </c>
      <c r="F483" s="117">
        <v>100</v>
      </c>
      <c r="G483" s="117">
        <v>101.88079999999999</v>
      </c>
      <c r="H483" s="117">
        <v>6.08</v>
      </c>
      <c r="I483" s="114">
        <v>2019</v>
      </c>
      <c r="J483" s="116" t="s">
        <v>263</v>
      </c>
    </row>
    <row r="484" spans="1:10" x14ac:dyDescent="0.25">
      <c r="A484" s="114">
        <v>481</v>
      </c>
      <c r="B484" s="115" t="s">
        <v>1151</v>
      </c>
      <c r="C484" s="116" t="s">
        <v>1152</v>
      </c>
      <c r="D484" s="116" t="s">
        <v>437</v>
      </c>
      <c r="E484" s="116" t="s">
        <v>1142</v>
      </c>
      <c r="F484" s="117">
        <v>100</v>
      </c>
      <c r="G484" s="117">
        <v>100.7286</v>
      </c>
      <c r="H484" s="117">
        <v>6.09</v>
      </c>
      <c r="I484" s="114">
        <v>2447</v>
      </c>
      <c r="J484" s="116" t="s">
        <v>263</v>
      </c>
    </row>
    <row r="485" spans="1:10" x14ac:dyDescent="0.25">
      <c r="A485" s="114">
        <v>482</v>
      </c>
      <c r="B485" s="115" t="s">
        <v>1153</v>
      </c>
      <c r="C485" s="116" t="s">
        <v>1154</v>
      </c>
      <c r="D485" s="116" t="s">
        <v>437</v>
      </c>
      <c r="E485" s="116" t="s">
        <v>1142</v>
      </c>
      <c r="F485" s="117">
        <v>100</v>
      </c>
      <c r="G485" s="117">
        <v>100.7286</v>
      </c>
      <c r="H485" s="117">
        <v>6.09</v>
      </c>
      <c r="I485" s="114">
        <v>2447</v>
      </c>
      <c r="J485" s="116" t="s">
        <v>263</v>
      </c>
    </row>
    <row r="486" spans="1:10" x14ac:dyDescent="0.25">
      <c r="A486" s="114">
        <v>483</v>
      </c>
      <c r="B486" s="115" t="s">
        <v>1155</v>
      </c>
      <c r="C486" s="116" t="s">
        <v>1156</v>
      </c>
      <c r="D486" s="116" t="s">
        <v>437</v>
      </c>
      <c r="E486" s="116" t="s">
        <v>1142</v>
      </c>
      <c r="F486" s="117">
        <v>100</v>
      </c>
      <c r="G486" s="117">
        <v>105.69329999999999</v>
      </c>
      <c r="H486" s="117">
        <v>6.09</v>
      </c>
      <c r="I486" s="114">
        <v>2514</v>
      </c>
      <c r="J486" s="116" t="s">
        <v>263</v>
      </c>
    </row>
    <row r="487" spans="1:10" x14ac:dyDescent="0.25">
      <c r="A487" s="114">
        <v>484</v>
      </c>
      <c r="B487" s="115" t="s">
        <v>1157</v>
      </c>
      <c r="C487" s="116" t="s">
        <v>1158</v>
      </c>
      <c r="D487" s="116" t="s">
        <v>427</v>
      </c>
      <c r="E487" s="116" t="s">
        <v>1159</v>
      </c>
      <c r="F487" s="117">
        <v>0.01</v>
      </c>
      <c r="G487" s="117">
        <v>0.01</v>
      </c>
      <c r="H487" s="117">
        <v>0</v>
      </c>
      <c r="I487" s="114">
        <v>0</v>
      </c>
      <c r="J487" s="116" t="s">
        <v>232</v>
      </c>
    </row>
    <row r="488" spans="1:10" x14ac:dyDescent="0.25">
      <c r="A488" s="114">
        <v>485</v>
      </c>
      <c r="B488" s="115" t="s">
        <v>1137</v>
      </c>
      <c r="C488" s="116" t="s">
        <v>1138</v>
      </c>
      <c r="D488" s="116" t="s">
        <v>427</v>
      </c>
      <c r="E488" s="116" t="s">
        <v>1139</v>
      </c>
      <c r="F488" s="117">
        <v>35880.294049999997</v>
      </c>
      <c r="G488" s="117">
        <v>35880.294049999997</v>
      </c>
      <c r="H488" s="117">
        <v>0</v>
      </c>
      <c r="I488" s="114">
        <v>0</v>
      </c>
      <c r="J488" s="116" t="s">
        <v>232</v>
      </c>
    </row>
    <row r="489" spans="1:10" x14ac:dyDescent="0.25">
      <c r="A489" s="114">
        <v>486</v>
      </c>
      <c r="B489" s="115" t="s">
        <v>1160</v>
      </c>
      <c r="C489" s="116" t="s">
        <v>1161</v>
      </c>
      <c r="D489" s="116" t="s">
        <v>437</v>
      </c>
      <c r="E489" s="116" t="s">
        <v>1162</v>
      </c>
      <c r="F489" s="117">
        <v>100</v>
      </c>
      <c r="G489" s="117">
        <v>100.2715</v>
      </c>
      <c r="H489" s="117">
        <v>4.24</v>
      </c>
      <c r="I489" s="114">
        <v>277</v>
      </c>
      <c r="J489" s="116" t="s">
        <v>263</v>
      </c>
    </row>
    <row r="490" spans="1:10" x14ac:dyDescent="0.25">
      <c r="A490" s="114">
        <v>487</v>
      </c>
      <c r="B490" s="115" t="s">
        <v>1163</v>
      </c>
      <c r="C490" s="116" t="s">
        <v>1164</v>
      </c>
      <c r="D490" s="116" t="s">
        <v>437</v>
      </c>
      <c r="E490" s="116" t="s">
        <v>1162</v>
      </c>
      <c r="F490" s="117">
        <v>100</v>
      </c>
      <c r="G490" s="117">
        <v>100.1215</v>
      </c>
      <c r="H490" s="117">
        <v>0.35</v>
      </c>
      <c r="I490" s="114">
        <v>235</v>
      </c>
      <c r="J490" s="116" t="s">
        <v>263</v>
      </c>
    </row>
    <row r="491" spans="1:10" x14ac:dyDescent="0.25">
      <c r="A491" s="114">
        <v>488</v>
      </c>
      <c r="B491" s="115" t="s">
        <v>2007</v>
      </c>
      <c r="C491" s="116" t="s">
        <v>2008</v>
      </c>
      <c r="D491" s="116" t="s">
        <v>437</v>
      </c>
      <c r="E491" s="116" t="s">
        <v>1162</v>
      </c>
      <c r="F491" s="117">
        <v>100</v>
      </c>
      <c r="G491" s="117">
        <v>100.0457</v>
      </c>
      <c r="H491" s="117">
        <v>0.35</v>
      </c>
      <c r="I491" s="114">
        <v>493</v>
      </c>
      <c r="J491" s="116" t="s">
        <v>263</v>
      </c>
    </row>
    <row r="492" spans="1:10" x14ac:dyDescent="0.25">
      <c r="A492" s="114">
        <v>489</v>
      </c>
      <c r="B492" s="115" t="s">
        <v>1165</v>
      </c>
      <c r="C492" s="116" t="s">
        <v>1166</v>
      </c>
      <c r="D492" s="116" t="s">
        <v>437</v>
      </c>
      <c r="E492" s="116" t="s">
        <v>1162</v>
      </c>
      <c r="F492" s="117">
        <v>100</v>
      </c>
      <c r="G492" s="117">
        <v>100.0067</v>
      </c>
      <c r="H492" s="117">
        <v>0.02</v>
      </c>
      <c r="I492" s="114">
        <v>2995</v>
      </c>
      <c r="J492" s="116" t="s">
        <v>263</v>
      </c>
    </row>
    <row r="493" spans="1:10" x14ac:dyDescent="0.25">
      <c r="A493" s="114">
        <v>490</v>
      </c>
      <c r="B493" s="115" t="s">
        <v>1167</v>
      </c>
      <c r="C493" s="116" t="s">
        <v>1168</v>
      </c>
      <c r="D493" s="116" t="s">
        <v>437</v>
      </c>
      <c r="E493" s="116" t="s">
        <v>1162</v>
      </c>
      <c r="F493" s="117">
        <v>100</v>
      </c>
      <c r="G493" s="117">
        <v>100.00960000000001</v>
      </c>
      <c r="H493" s="117">
        <v>0.02</v>
      </c>
      <c r="I493" s="114">
        <v>2995</v>
      </c>
      <c r="J493" s="116" t="s">
        <v>263</v>
      </c>
    </row>
    <row r="494" spans="1:10" x14ac:dyDescent="0.25">
      <c r="A494" s="114">
        <v>491</v>
      </c>
      <c r="B494" s="115" t="s">
        <v>1169</v>
      </c>
      <c r="C494" s="116" t="s">
        <v>1170</v>
      </c>
      <c r="D494" s="116" t="s">
        <v>437</v>
      </c>
      <c r="E494" s="116" t="s">
        <v>1162</v>
      </c>
      <c r="F494" s="117">
        <v>100</v>
      </c>
      <c r="G494" s="117">
        <v>102.7111</v>
      </c>
      <c r="H494" s="117">
        <v>6.08</v>
      </c>
      <c r="I494" s="114">
        <v>1610</v>
      </c>
      <c r="J494" s="116" t="s">
        <v>263</v>
      </c>
    </row>
    <row r="495" spans="1:10" x14ac:dyDescent="0.25">
      <c r="A495" s="114">
        <v>492</v>
      </c>
      <c r="B495" s="115" t="s">
        <v>1171</v>
      </c>
      <c r="C495" s="116" t="s">
        <v>1172</v>
      </c>
      <c r="D495" s="116" t="s">
        <v>437</v>
      </c>
      <c r="E495" s="116" t="s">
        <v>1162</v>
      </c>
      <c r="F495" s="117">
        <v>100</v>
      </c>
      <c r="G495" s="117">
        <v>100.74939999999999</v>
      </c>
      <c r="H495" s="117">
        <v>7.08</v>
      </c>
      <c r="I495" s="114">
        <v>2092</v>
      </c>
      <c r="J495" s="116" t="s">
        <v>263</v>
      </c>
    </row>
    <row r="496" spans="1:10" x14ac:dyDescent="0.25">
      <c r="A496" s="114">
        <v>493</v>
      </c>
      <c r="B496" s="115" t="s">
        <v>2170</v>
      </c>
      <c r="C496" s="116" t="s">
        <v>2171</v>
      </c>
      <c r="D496" s="116" t="s">
        <v>437</v>
      </c>
      <c r="E496" s="116" t="s">
        <v>1162</v>
      </c>
      <c r="F496" s="117">
        <v>93.522983255825835</v>
      </c>
      <c r="G496" s="117">
        <v>100.44908325582584</v>
      </c>
      <c r="H496" s="117">
        <v>19.66</v>
      </c>
      <c r="I496" s="114">
        <v>3463</v>
      </c>
      <c r="J496" s="116" t="s">
        <v>263</v>
      </c>
    </row>
    <row r="497" spans="1:10" x14ac:dyDescent="0.25">
      <c r="A497" s="114">
        <v>494</v>
      </c>
      <c r="B497" s="115" t="s">
        <v>2288</v>
      </c>
      <c r="C497" s="116" t="s">
        <v>2289</v>
      </c>
      <c r="D497" s="116" t="s">
        <v>437</v>
      </c>
      <c r="E497" s="116" t="s">
        <v>1162</v>
      </c>
      <c r="F497" s="117">
        <v>96.473388500954783</v>
      </c>
      <c r="G497" s="117">
        <v>101.51338850095478</v>
      </c>
      <c r="H497" s="117">
        <v>19.66</v>
      </c>
      <c r="I497" s="114">
        <v>3504</v>
      </c>
      <c r="J497" s="116" t="s">
        <v>263</v>
      </c>
    </row>
    <row r="498" spans="1:10" x14ac:dyDescent="0.25">
      <c r="A498" s="114">
        <v>495</v>
      </c>
      <c r="B498" s="115" t="s">
        <v>1173</v>
      </c>
      <c r="C498" s="116" t="s">
        <v>1174</v>
      </c>
      <c r="D498" s="116" t="s">
        <v>437</v>
      </c>
      <c r="E498" s="116" t="s">
        <v>1162</v>
      </c>
      <c r="F498" s="117">
        <v>100</v>
      </c>
      <c r="G498" s="117">
        <v>101.88079999999999</v>
      </c>
      <c r="H498" s="117">
        <v>6.08</v>
      </c>
      <c r="I498" s="114">
        <v>2019</v>
      </c>
      <c r="J498" s="116" t="s">
        <v>263</v>
      </c>
    </row>
    <row r="499" spans="1:10" x14ac:dyDescent="0.25">
      <c r="A499" s="114">
        <v>496</v>
      </c>
      <c r="B499" s="115" t="s">
        <v>1175</v>
      </c>
      <c r="C499" s="116" t="s">
        <v>1176</v>
      </c>
      <c r="D499" s="116" t="s">
        <v>437</v>
      </c>
      <c r="E499" s="116" t="s">
        <v>1162</v>
      </c>
      <c r="F499" s="117">
        <v>100</v>
      </c>
      <c r="G499" s="117">
        <v>100.7286</v>
      </c>
      <c r="H499" s="117">
        <v>6.09</v>
      </c>
      <c r="I499" s="114">
        <v>2447</v>
      </c>
      <c r="J499" s="116" t="s">
        <v>263</v>
      </c>
    </row>
    <row r="500" spans="1:10" x14ac:dyDescent="0.25">
      <c r="A500" s="114">
        <v>497</v>
      </c>
      <c r="B500" s="115" t="s">
        <v>1177</v>
      </c>
      <c r="C500" s="116" t="s">
        <v>1178</v>
      </c>
      <c r="D500" s="116" t="s">
        <v>437</v>
      </c>
      <c r="E500" s="116" t="s">
        <v>1162</v>
      </c>
      <c r="F500" s="117">
        <v>100</v>
      </c>
      <c r="G500" s="117">
        <v>100.7286</v>
      </c>
      <c r="H500" s="117">
        <v>6.09</v>
      </c>
      <c r="I500" s="114">
        <v>2447</v>
      </c>
      <c r="J500" s="116" t="s">
        <v>263</v>
      </c>
    </row>
    <row r="501" spans="1:10" x14ac:dyDescent="0.25">
      <c r="A501" s="114">
        <v>498</v>
      </c>
      <c r="B501" s="115" t="s">
        <v>1179</v>
      </c>
      <c r="C501" s="116" t="s">
        <v>1180</v>
      </c>
      <c r="D501" s="116" t="s">
        <v>437</v>
      </c>
      <c r="E501" s="116" t="s">
        <v>1162</v>
      </c>
      <c r="F501" s="117">
        <v>100</v>
      </c>
      <c r="G501" s="117">
        <v>105.69329999999999</v>
      </c>
      <c r="H501" s="117">
        <v>6.09</v>
      </c>
      <c r="I501" s="114">
        <v>2514</v>
      </c>
      <c r="J501" s="116" t="s">
        <v>263</v>
      </c>
    </row>
    <row r="502" spans="1:10" x14ac:dyDescent="0.25">
      <c r="A502" s="114">
        <v>499</v>
      </c>
      <c r="B502" s="115" t="s">
        <v>1181</v>
      </c>
      <c r="C502" s="116" t="s">
        <v>1182</v>
      </c>
      <c r="D502" s="116" t="s">
        <v>427</v>
      </c>
      <c r="E502" s="116" t="s">
        <v>1183</v>
      </c>
      <c r="F502" s="117">
        <v>0.01</v>
      </c>
      <c r="G502" s="117">
        <v>0.01</v>
      </c>
      <c r="H502" s="117">
        <v>0</v>
      </c>
      <c r="I502" s="114">
        <v>0</v>
      </c>
      <c r="J502" s="116" t="s">
        <v>232</v>
      </c>
    </row>
    <row r="503" spans="1:10" x14ac:dyDescent="0.25">
      <c r="A503" s="114">
        <v>500</v>
      </c>
      <c r="B503" s="115" t="s">
        <v>96</v>
      </c>
      <c r="C503" s="116" t="s">
        <v>97</v>
      </c>
      <c r="D503" s="116" t="s">
        <v>427</v>
      </c>
      <c r="E503" s="116" t="s">
        <v>98</v>
      </c>
      <c r="F503" s="117">
        <v>39621.841846221156</v>
      </c>
      <c r="G503" s="117">
        <v>39621.841846221156</v>
      </c>
      <c r="H503" s="117">
        <v>0</v>
      </c>
      <c r="I503" s="114">
        <v>0</v>
      </c>
      <c r="J503" s="116" t="s">
        <v>232</v>
      </c>
    </row>
    <row r="504" spans="1:10" x14ac:dyDescent="0.25">
      <c r="A504" s="114">
        <v>501</v>
      </c>
      <c r="B504" s="115" t="s">
        <v>99</v>
      </c>
      <c r="C504" s="116" t="s">
        <v>100</v>
      </c>
      <c r="D504" s="116" t="s">
        <v>502</v>
      </c>
      <c r="E504" s="116" t="s">
        <v>98</v>
      </c>
      <c r="F504" s="117">
        <v>40284.28900114842</v>
      </c>
      <c r="G504" s="117">
        <v>40284.28900114842</v>
      </c>
      <c r="H504" s="117">
        <v>0</v>
      </c>
      <c r="I504" s="114">
        <v>0</v>
      </c>
      <c r="J504" s="116" t="s">
        <v>232</v>
      </c>
    </row>
    <row r="505" spans="1:10" x14ac:dyDescent="0.25">
      <c r="A505" s="114">
        <v>502</v>
      </c>
      <c r="B505" s="115" t="s">
        <v>1184</v>
      </c>
      <c r="C505" s="116" t="s">
        <v>1185</v>
      </c>
      <c r="D505" s="116" t="s">
        <v>437</v>
      </c>
      <c r="E505" s="116" t="s">
        <v>1186</v>
      </c>
      <c r="F505" s="117">
        <v>99.555379967507292</v>
      </c>
      <c r="G505" s="117">
        <v>103.03457996750728</v>
      </c>
      <c r="H505" s="117">
        <v>20.11</v>
      </c>
      <c r="I505" s="114">
        <v>13</v>
      </c>
      <c r="J505" s="116" t="s">
        <v>263</v>
      </c>
    </row>
    <row r="506" spans="1:10" x14ac:dyDescent="0.25">
      <c r="A506" s="114">
        <v>503</v>
      </c>
      <c r="B506" s="115" t="s">
        <v>1187</v>
      </c>
      <c r="C506" s="116" t="s">
        <v>1188</v>
      </c>
      <c r="D506" s="116" t="s">
        <v>427</v>
      </c>
      <c r="E506" s="116" t="s">
        <v>1189</v>
      </c>
      <c r="F506" s="117">
        <v>254.86263600000004</v>
      </c>
      <c r="G506" s="117">
        <v>254.86263600000004</v>
      </c>
      <c r="H506" s="117">
        <v>0</v>
      </c>
      <c r="I506" s="114">
        <v>0</v>
      </c>
      <c r="J506" s="116" t="s">
        <v>232</v>
      </c>
    </row>
    <row r="507" spans="1:10" x14ac:dyDescent="0.25">
      <c r="A507" s="114">
        <v>504</v>
      </c>
      <c r="B507" s="115" t="s">
        <v>1212</v>
      </c>
      <c r="C507" s="116" t="s">
        <v>1213</v>
      </c>
      <c r="D507" s="116" t="s">
        <v>437</v>
      </c>
      <c r="E507" s="116" t="s">
        <v>369</v>
      </c>
      <c r="F507" s="117">
        <v>84.433693030023676</v>
      </c>
      <c r="G507" s="117">
        <v>91.183693030023676</v>
      </c>
      <c r="H507" s="117">
        <v>19.48</v>
      </c>
      <c r="I507" s="114">
        <v>2178</v>
      </c>
      <c r="J507" s="116" t="s">
        <v>263</v>
      </c>
    </row>
    <row r="508" spans="1:10" x14ac:dyDescent="0.25">
      <c r="A508" s="114">
        <v>505</v>
      </c>
      <c r="B508" s="115" t="s">
        <v>1214</v>
      </c>
      <c r="C508" s="116" t="s">
        <v>1215</v>
      </c>
      <c r="D508" s="116" t="s">
        <v>437</v>
      </c>
      <c r="E508" s="116" t="s">
        <v>369</v>
      </c>
      <c r="F508" s="117">
        <v>94.217216810252367</v>
      </c>
      <c r="G508" s="117">
        <v>100.55611681025236</v>
      </c>
      <c r="H508" s="117">
        <v>20.38</v>
      </c>
      <c r="I508" s="114">
        <v>377</v>
      </c>
      <c r="J508" s="116" t="s">
        <v>263</v>
      </c>
    </row>
    <row r="509" spans="1:10" x14ac:dyDescent="0.25">
      <c r="A509" s="114">
        <v>506</v>
      </c>
      <c r="B509" s="115" t="s">
        <v>1216</v>
      </c>
      <c r="C509" s="116" t="s">
        <v>1217</v>
      </c>
      <c r="D509" s="116" t="s">
        <v>427</v>
      </c>
      <c r="E509" s="116" t="s">
        <v>369</v>
      </c>
      <c r="F509" s="117">
        <v>0.01</v>
      </c>
      <c r="G509" s="117">
        <v>0.01</v>
      </c>
      <c r="H509" s="117">
        <v>0</v>
      </c>
      <c r="I509" s="114">
        <v>924</v>
      </c>
      <c r="J509" s="116" t="s">
        <v>232</v>
      </c>
    </row>
    <row r="510" spans="1:10" x14ac:dyDescent="0.25">
      <c r="A510" s="114">
        <v>507</v>
      </c>
      <c r="B510" s="115" t="s">
        <v>1218</v>
      </c>
      <c r="C510" s="116" t="s">
        <v>1219</v>
      </c>
      <c r="D510" s="116" t="s">
        <v>437</v>
      </c>
      <c r="E510" s="116" t="s">
        <v>369</v>
      </c>
      <c r="F510" s="117">
        <v>60.970235115475113</v>
      </c>
      <c r="G510" s="117">
        <v>61.136935115475112</v>
      </c>
      <c r="H510" s="117">
        <v>20.25</v>
      </c>
      <c r="I510" s="114">
        <v>2874</v>
      </c>
      <c r="J510" s="116" t="s">
        <v>263</v>
      </c>
    </row>
    <row r="511" spans="1:10" x14ac:dyDescent="0.25">
      <c r="A511" s="114">
        <v>508</v>
      </c>
      <c r="B511" s="115" t="s">
        <v>101</v>
      </c>
      <c r="C511" s="116" t="s">
        <v>102</v>
      </c>
      <c r="D511" s="116" t="s">
        <v>427</v>
      </c>
      <c r="E511" s="116" t="s">
        <v>370</v>
      </c>
      <c r="F511" s="117">
        <v>29138.578937516701</v>
      </c>
      <c r="G511" s="117">
        <v>29138.578937516701</v>
      </c>
      <c r="H511" s="117">
        <v>0</v>
      </c>
      <c r="I511" s="114">
        <v>0</v>
      </c>
      <c r="J511" s="116" t="s">
        <v>232</v>
      </c>
    </row>
    <row r="512" spans="1:10" x14ac:dyDescent="0.25">
      <c r="A512" s="114">
        <v>509</v>
      </c>
      <c r="B512" s="115" t="s">
        <v>1220</v>
      </c>
      <c r="C512" s="116" t="s">
        <v>1221</v>
      </c>
      <c r="D512" s="116" t="s">
        <v>502</v>
      </c>
      <c r="E512" s="116" t="s">
        <v>370</v>
      </c>
      <c r="F512" s="117">
        <v>29662.042214428951</v>
      </c>
      <c r="G512" s="117">
        <v>29662.042214428951</v>
      </c>
      <c r="H512" s="117">
        <v>0</v>
      </c>
      <c r="I512" s="114">
        <v>0</v>
      </c>
      <c r="J512" s="116" t="s">
        <v>232</v>
      </c>
    </row>
    <row r="513" spans="1:10" x14ac:dyDescent="0.25">
      <c r="A513" s="114">
        <v>510</v>
      </c>
      <c r="B513" s="115" t="s">
        <v>1222</v>
      </c>
      <c r="C513" s="116" t="s">
        <v>1223</v>
      </c>
      <c r="D513" s="116" t="s">
        <v>427</v>
      </c>
      <c r="E513" s="116" t="s">
        <v>1224</v>
      </c>
      <c r="F513" s="117">
        <v>0.01</v>
      </c>
      <c r="G513" s="117">
        <v>0.01</v>
      </c>
      <c r="H513" s="117">
        <v>0</v>
      </c>
      <c r="I513" s="114">
        <v>0</v>
      </c>
      <c r="J513" s="116" t="s">
        <v>232</v>
      </c>
    </row>
    <row r="514" spans="1:10" x14ac:dyDescent="0.25">
      <c r="A514" s="114">
        <v>511</v>
      </c>
      <c r="B514" s="115" t="s">
        <v>1225</v>
      </c>
      <c r="C514" s="116" t="s">
        <v>1226</v>
      </c>
      <c r="D514" s="116" t="s">
        <v>427</v>
      </c>
      <c r="E514" s="116" t="s">
        <v>1227</v>
      </c>
      <c r="F514" s="117">
        <v>13473.57</v>
      </c>
      <c r="G514" s="117">
        <v>13473.57</v>
      </c>
      <c r="H514" s="117">
        <v>0</v>
      </c>
      <c r="I514" s="114">
        <v>0</v>
      </c>
      <c r="J514" s="116" t="s">
        <v>232</v>
      </c>
    </row>
    <row r="515" spans="1:10" x14ac:dyDescent="0.25">
      <c r="A515" s="114">
        <v>512</v>
      </c>
      <c r="B515" s="115" t="s">
        <v>1228</v>
      </c>
      <c r="C515" s="116" t="s">
        <v>1229</v>
      </c>
      <c r="D515" s="116" t="s">
        <v>437</v>
      </c>
      <c r="E515" s="116" t="s">
        <v>1227</v>
      </c>
      <c r="F515" s="117">
        <v>80.590256461050103</v>
      </c>
      <c r="G515" s="117">
        <v>82.806956461050092</v>
      </c>
      <c r="H515" s="117">
        <v>19.72</v>
      </c>
      <c r="I515" s="114">
        <v>2103</v>
      </c>
      <c r="J515" s="116" t="s">
        <v>263</v>
      </c>
    </row>
    <row r="516" spans="1:10" x14ac:dyDescent="0.25">
      <c r="A516" s="114">
        <v>513</v>
      </c>
      <c r="B516" s="115" t="s">
        <v>1230</v>
      </c>
      <c r="C516" s="116" t="s">
        <v>1231</v>
      </c>
      <c r="D516" s="116" t="s">
        <v>427</v>
      </c>
      <c r="E516" s="116" t="s">
        <v>793</v>
      </c>
      <c r="F516" s="117">
        <v>0.01</v>
      </c>
      <c r="G516" s="117">
        <v>0.01</v>
      </c>
      <c r="H516" s="117">
        <v>0</v>
      </c>
      <c r="I516" s="114">
        <v>0</v>
      </c>
      <c r="J516" s="116" t="s">
        <v>232</v>
      </c>
    </row>
    <row r="517" spans="1:10" x14ac:dyDescent="0.25">
      <c r="A517" s="114">
        <v>514</v>
      </c>
      <c r="B517" s="115" t="s">
        <v>1232</v>
      </c>
      <c r="C517" s="116" t="s">
        <v>1233</v>
      </c>
      <c r="D517" s="116" t="s">
        <v>437</v>
      </c>
      <c r="E517" s="116" t="s">
        <v>793</v>
      </c>
      <c r="F517" s="117">
        <v>86.09247375041015</v>
      </c>
      <c r="G517" s="117">
        <v>91.050773750410144</v>
      </c>
      <c r="H517" s="117">
        <v>19.079999999999998</v>
      </c>
      <c r="I517" s="114">
        <v>730</v>
      </c>
      <c r="J517" s="116" t="s">
        <v>263</v>
      </c>
    </row>
    <row r="518" spans="1:10" x14ac:dyDescent="0.25">
      <c r="A518" s="114">
        <v>515</v>
      </c>
      <c r="B518" s="115" t="s">
        <v>1234</v>
      </c>
      <c r="C518" s="116" t="s">
        <v>1235</v>
      </c>
      <c r="D518" s="116" t="s">
        <v>437</v>
      </c>
      <c r="E518" s="116" t="s">
        <v>793</v>
      </c>
      <c r="F518" s="117">
        <v>2.3688873990785511</v>
      </c>
      <c r="G518" s="117">
        <v>2.389487399078551</v>
      </c>
      <c r="H518" s="117">
        <v>17.420000000000002</v>
      </c>
      <c r="I518" s="114">
        <v>8476</v>
      </c>
      <c r="J518" s="116" t="s">
        <v>263</v>
      </c>
    </row>
    <row r="519" spans="1:10" x14ac:dyDescent="0.25">
      <c r="A519" s="114">
        <v>516</v>
      </c>
      <c r="B519" s="115" t="s">
        <v>1236</v>
      </c>
      <c r="C519" s="116" t="s">
        <v>1237</v>
      </c>
      <c r="D519" s="116" t="s">
        <v>437</v>
      </c>
      <c r="E519" s="116" t="s">
        <v>793</v>
      </c>
      <c r="F519" s="117">
        <v>2.0567696223339098</v>
      </c>
      <c r="G519" s="117">
        <v>2.06486962233391</v>
      </c>
      <c r="H519" s="117">
        <v>17.420000000000002</v>
      </c>
      <c r="I519" s="114">
        <v>8881</v>
      </c>
      <c r="J519" s="116" t="s">
        <v>263</v>
      </c>
    </row>
    <row r="520" spans="1:10" x14ac:dyDescent="0.25">
      <c r="A520" s="114">
        <v>517</v>
      </c>
      <c r="B520" s="115" t="s">
        <v>1238</v>
      </c>
      <c r="C520" s="116" t="s">
        <v>1239</v>
      </c>
      <c r="D520" s="116" t="s">
        <v>437</v>
      </c>
      <c r="E520" s="116" t="s">
        <v>793</v>
      </c>
      <c r="F520" s="117">
        <v>98.018548342994634</v>
      </c>
      <c r="G520" s="117">
        <v>100.89424834299464</v>
      </c>
      <c r="H520" s="117">
        <v>19.62</v>
      </c>
      <c r="I520" s="114">
        <v>79</v>
      </c>
      <c r="J520" s="116" t="s">
        <v>263</v>
      </c>
    </row>
    <row r="521" spans="1:10" x14ac:dyDescent="0.25">
      <c r="A521" s="114">
        <v>518</v>
      </c>
      <c r="B521" s="115" t="s">
        <v>1240</v>
      </c>
      <c r="C521" s="116" t="s">
        <v>1241</v>
      </c>
      <c r="D521" s="116" t="s">
        <v>437</v>
      </c>
      <c r="E521" s="116" t="s">
        <v>793</v>
      </c>
      <c r="F521" s="117">
        <v>1.4016504126636129</v>
      </c>
      <c r="G521" s="117">
        <v>1.4174504126636129</v>
      </c>
      <c r="H521" s="117">
        <v>17.420000000000002</v>
      </c>
      <c r="I521" s="114">
        <v>10113</v>
      </c>
      <c r="J521" s="116" t="s">
        <v>263</v>
      </c>
    </row>
    <row r="522" spans="1:10" x14ac:dyDescent="0.25">
      <c r="A522" s="114">
        <v>519</v>
      </c>
      <c r="B522" s="115" t="s">
        <v>1242</v>
      </c>
      <c r="C522" s="116" t="s">
        <v>1243</v>
      </c>
      <c r="D522" s="116" t="s">
        <v>437</v>
      </c>
      <c r="E522" s="116" t="s">
        <v>793</v>
      </c>
      <c r="F522" s="117">
        <v>1.9014743956409859</v>
      </c>
      <c r="G522" s="117">
        <v>1.9192743956409859</v>
      </c>
      <c r="H522" s="117">
        <v>17.41</v>
      </c>
      <c r="I522" s="114">
        <v>9116</v>
      </c>
      <c r="J522" s="116" t="s">
        <v>263</v>
      </c>
    </row>
    <row r="523" spans="1:10" x14ac:dyDescent="0.25">
      <c r="A523" s="114">
        <v>520</v>
      </c>
      <c r="B523" s="115" t="s">
        <v>1244</v>
      </c>
      <c r="C523" s="116" t="s">
        <v>1245</v>
      </c>
      <c r="D523" s="116" t="s">
        <v>437</v>
      </c>
      <c r="E523" s="116" t="s">
        <v>793</v>
      </c>
      <c r="F523" s="117">
        <v>51.2419895596177</v>
      </c>
      <c r="G523" s="117">
        <v>56.860689559617697</v>
      </c>
      <c r="H523" s="117">
        <v>19.170000000000002</v>
      </c>
      <c r="I523" s="114">
        <v>2544</v>
      </c>
      <c r="J523" s="116" t="s">
        <v>263</v>
      </c>
    </row>
    <row r="524" spans="1:10" x14ac:dyDescent="0.25">
      <c r="A524" s="114">
        <v>521</v>
      </c>
      <c r="B524" s="115" t="s">
        <v>1246</v>
      </c>
      <c r="C524" s="116" t="s">
        <v>1247</v>
      </c>
      <c r="D524" s="116" t="s">
        <v>437</v>
      </c>
      <c r="E524" s="116" t="s">
        <v>793</v>
      </c>
      <c r="F524" s="117">
        <v>70.55540703079491</v>
      </c>
      <c r="G524" s="117">
        <v>74.217907030794905</v>
      </c>
      <c r="H524" s="117">
        <v>18.61</v>
      </c>
      <c r="I524" s="114">
        <v>1650</v>
      </c>
      <c r="J524" s="116" t="s">
        <v>263</v>
      </c>
    </row>
    <row r="525" spans="1:10" x14ac:dyDescent="0.25">
      <c r="A525" s="114">
        <v>522</v>
      </c>
      <c r="B525" s="115" t="s">
        <v>1248</v>
      </c>
      <c r="C525" s="116" t="s">
        <v>1249</v>
      </c>
      <c r="D525" s="116" t="s">
        <v>437</v>
      </c>
      <c r="E525" s="116" t="s">
        <v>793</v>
      </c>
      <c r="F525" s="117">
        <v>1.7235218073147753</v>
      </c>
      <c r="G525" s="117">
        <v>1.7321218073147753</v>
      </c>
      <c r="H525" s="117">
        <v>17.420000000000002</v>
      </c>
      <c r="I525" s="114">
        <v>9419</v>
      </c>
      <c r="J525" s="116" t="s">
        <v>263</v>
      </c>
    </row>
    <row r="526" spans="1:10" x14ac:dyDescent="0.25">
      <c r="A526" s="114">
        <v>523</v>
      </c>
      <c r="B526" s="115" t="s">
        <v>1250</v>
      </c>
      <c r="C526" s="116" t="s">
        <v>1251</v>
      </c>
      <c r="D526" s="116" t="s">
        <v>437</v>
      </c>
      <c r="E526" s="116" t="s">
        <v>793</v>
      </c>
      <c r="F526" s="117">
        <v>58.850196749336298</v>
      </c>
      <c r="G526" s="117">
        <v>59.591196749336298</v>
      </c>
      <c r="H526" s="117">
        <v>19.28</v>
      </c>
      <c r="I526" s="114">
        <v>2122</v>
      </c>
      <c r="J526" s="116" t="s">
        <v>263</v>
      </c>
    </row>
    <row r="527" spans="1:10" x14ac:dyDescent="0.25">
      <c r="A527" s="114">
        <v>524</v>
      </c>
      <c r="B527" s="115" t="s">
        <v>1252</v>
      </c>
      <c r="C527" s="116" t="s">
        <v>1253</v>
      </c>
      <c r="D527" s="116" t="s">
        <v>427</v>
      </c>
      <c r="E527" s="116" t="s">
        <v>793</v>
      </c>
      <c r="F527" s="117">
        <v>1000</v>
      </c>
      <c r="G527" s="117">
        <v>1000</v>
      </c>
      <c r="H527" s="117">
        <v>0</v>
      </c>
      <c r="I527" s="114">
        <v>1647</v>
      </c>
      <c r="J527" s="116" t="s">
        <v>232</v>
      </c>
    </row>
    <row r="528" spans="1:10" x14ac:dyDescent="0.25">
      <c r="A528" s="114">
        <v>525</v>
      </c>
      <c r="B528" s="115" t="s">
        <v>1254</v>
      </c>
      <c r="C528" s="116" t="s">
        <v>1255</v>
      </c>
      <c r="D528" s="116" t="s">
        <v>437</v>
      </c>
      <c r="E528" s="116" t="s">
        <v>793</v>
      </c>
      <c r="F528" s="117">
        <v>34.642479440062637</v>
      </c>
      <c r="G528" s="117">
        <v>36.262479440062634</v>
      </c>
      <c r="H528" s="117">
        <v>18.14</v>
      </c>
      <c r="I528" s="114">
        <v>3816</v>
      </c>
      <c r="J528" s="116" t="s">
        <v>263</v>
      </c>
    </row>
    <row r="529" spans="1:10" x14ac:dyDescent="0.25">
      <c r="A529" s="114">
        <v>526</v>
      </c>
      <c r="B529" s="115" t="s">
        <v>2215</v>
      </c>
      <c r="C529" s="116" t="s">
        <v>2216</v>
      </c>
      <c r="D529" s="116" t="s">
        <v>437</v>
      </c>
      <c r="E529" s="116" t="s">
        <v>793</v>
      </c>
      <c r="F529" s="117">
        <v>95.294295674659338</v>
      </c>
      <c r="G529" s="117">
        <v>101.84429567465935</v>
      </c>
      <c r="H529" s="117">
        <v>19.5</v>
      </c>
      <c r="I529" s="114">
        <v>1669</v>
      </c>
      <c r="J529" s="116" t="s">
        <v>263</v>
      </c>
    </row>
    <row r="530" spans="1:10" x14ac:dyDescent="0.25">
      <c r="A530" s="114">
        <v>527</v>
      </c>
      <c r="B530" s="115" t="s">
        <v>2345</v>
      </c>
      <c r="C530" s="116" t="s">
        <v>2269</v>
      </c>
      <c r="D530" s="116" t="s">
        <v>437</v>
      </c>
      <c r="E530" s="116" t="s">
        <v>793</v>
      </c>
      <c r="F530" s="117">
        <v>97.325883560243383</v>
      </c>
      <c r="G530" s="117">
        <v>102.41648356024338</v>
      </c>
      <c r="H530" s="117">
        <v>19.89</v>
      </c>
      <c r="I530" s="114">
        <v>982</v>
      </c>
      <c r="J530" s="116" t="s">
        <v>263</v>
      </c>
    </row>
    <row r="531" spans="1:10" x14ac:dyDescent="0.25">
      <c r="A531" s="114">
        <v>528</v>
      </c>
      <c r="B531" s="115" t="s">
        <v>2346</v>
      </c>
      <c r="C531" s="116" t="s">
        <v>2347</v>
      </c>
      <c r="D531" s="116" t="s">
        <v>437</v>
      </c>
      <c r="E531" s="116" t="s">
        <v>793</v>
      </c>
      <c r="F531" s="117">
        <v>97.325883560243383</v>
      </c>
      <c r="G531" s="117">
        <v>102.41648356024338</v>
      </c>
      <c r="H531" s="117">
        <v>19.89</v>
      </c>
      <c r="I531" s="114">
        <v>982</v>
      </c>
      <c r="J531" s="116" t="s">
        <v>263</v>
      </c>
    </row>
    <row r="532" spans="1:10" x14ac:dyDescent="0.25">
      <c r="A532" s="114">
        <v>529</v>
      </c>
      <c r="B532" s="115" t="s">
        <v>2515</v>
      </c>
      <c r="C532" s="116" t="s">
        <v>2516</v>
      </c>
      <c r="D532" s="116" t="s">
        <v>437</v>
      </c>
      <c r="E532" s="116" t="s">
        <v>793</v>
      </c>
      <c r="F532" s="117">
        <v>97.651276523445276</v>
      </c>
      <c r="G532" s="117">
        <v>101.36887652344528</v>
      </c>
      <c r="H532" s="117">
        <v>19.89</v>
      </c>
      <c r="I532" s="114">
        <v>1009</v>
      </c>
      <c r="J532" s="116" t="s">
        <v>263</v>
      </c>
    </row>
    <row r="533" spans="1:10" x14ac:dyDescent="0.25">
      <c r="A533" s="114">
        <v>530</v>
      </c>
      <c r="B533" s="115" t="s">
        <v>1960</v>
      </c>
      <c r="C533" s="116" t="s">
        <v>1961</v>
      </c>
      <c r="D533" s="116" t="s">
        <v>437</v>
      </c>
      <c r="E533" s="116" t="s">
        <v>1962</v>
      </c>
      <c r="F533" s="117">
        <v>104.31699999999999</v>
      </c>
      <c r="G533" s="117">
        <v>109.08369999999999</v>
      </c>
      <c r="H533" s="117">
        <v>19.5</v>
      </c>
      <c r="I533" s="114">
        <v>822</v>
      </c>
      <c r="J533" s="116" t="s">
        <v>263</v>
      </c>
    </row>
    <row r="534" spans="1:10" x14ac:dyDescent="0.25">
      <c r="A534" s="114">
        <v>531</v>
      </c>
      <c r="B534" s="115" t="s">
        <v>1256</v>
      </c>
      <c r="C534" s="116" t="s">
        <v>1257</v>
      </c>
      <c r="D534" s="116" t="s">
        <v>437</v>
      </c>
      <c r="E534" s="116" t="s">
        <v>1258</v>
      </c>
      <c r="F534" s="117">
        <v>99.244</v>
      </c>
      <c r="G534" s="117">
        <v>100.0825</v>
      </c>
      <c r="H534" s="117">
        <v>4.8099999999999996</v>
      </c>
      <c r="I534" s="114">
        <v>651</v>
      </c>
      <c r="J534" s="116" t="s">
        <v>263</v>
      </c>
    </row>
    <row r="535" spans="1:10" x14ac:dyDescent="0.25">
      <c r="A535" s="114">
        <v>532</v>
      </c>
      <c r="B535" s="115" t="s">
        <v>103</v>
      </c>
      <c r="C535" s="116" t="s">
        <v>104</v>
      </c>
      <c r="D535" s="116" t="s">
        <v>427</v>
      </c>
      <c r="E535" s="116" t="s">
        <v>105</v>
      </c>
      <c r="F535" s="117">
        <v>40021.054358525646</v>
      </c>
      <c r="G535" s="117">
        <v>40021.054358525646</v>
      </c>
      <c r="H535" s="117">
        <v>0</v>
      </c>
      <c r="I535" s="114">
        <v>0</v>
      </c>
      <c r="J535" s="116" t="s">
        <v>232</v>
      </c>
    </row>
    <row r="536" spans="1:10" x14ac:dyDescent="0.25">
      <c r="A536" s="114">
        <v>533</v>
      </c>
      <c r="B536" s="115" t="s">
        <v>1259</v>
      </c>
      <c r="C536" s="116" t="s">
        <v>1260</v>
      </c>
      <c r="D536" s="116" t="s">
        <v>437</v>
      </c>
      <c r="E536" s="116" t="s">
        <v>105</v>
      </c>
      <c r="F536" s="117">
        <v>96.171092639177516</v>
      </c>
      <c r="G536" s="117">
        <v>101.47389263917751</v>
      </c>
      <c r="H536" s="117">
        <v>19.28</v>
      </c>
      <c r="I536" s="114">
        <v>194</v>
      </c>
      <c r="J536" s="116" t="s">
        <v>263</v>
      </c>
    </row>
    <row r="537" spans="1:10" x14ac:dyDescent="0.25">
      <c r="A537" s="114">
        <v>534</v>
      </c>
      <c r="B537" s="115" t="s">
        <v>106</v>
      </c>
      <c r="C537" s="116" t="s">
        <v>107</v>
      </c>
      <c r="D537" s="116" t="s">
        <v>427</v>
      </c>
      <c r="E537" s="116" t="s">
        <v>105</v>
      </c>
      <c r="F537" s="117">
        <v>27294.01</v>
      </c>
      <c r="G537" s="117">
        <v>27294.01</v>
      </c>
      <c r="H537" s="117">
        <v>0</v>
      </c>
      <c r="I537" s="114">
        <v>0</v>
      </c>
      <c r="J537" s="116" t="s">
        <v>232</v>
      </c>
    </row>
    <row r="538" spans="1:10" x14ac:dyDescent="0.25">
      <c r="A538" s="114">
        <v>535</v>
      </c>
      <c r="B538" s="115" t="s">
        <v>108</v>
      </c>
      <c r="C538" s="116" t="s">
        <v>109</v>
      </c>
      <c r="D538" s="116" t="s">
        <v>427</v>
      </c>
      <c r="E538" s="116" t="s">
        <v>110</v>
      </c>
      <c r="F538" s="117">
        <v>839.77606094896589</v>
      </c>
      <c r="G538" s="117">
        <v>839.77606094896589</v>
      </c>
      <c r="H538" s="117">
        <v>0</v>
      </c>
      <c r="I538" s="114">
        <v>0</v>
      </c>
      <c r="J538" s="116" t="s">
        <v>232</v>
      </c>
    </row>
    <row r="539" spans="1:10" x14ac:dyDescent="0.25">
      <c r="A539" s="114">
        <v>536</v>
      </c>
      <c r="B539" s="115" t="s">
        <v>1261</v>
      </c>
      <c r="C539" s="116" t="s">
        <v>1262</v>
      </c>
      <c r="D539" s="116" t="s">
        <v>437</v>
      </c>
      <c r="E539" s="116" t="s">
        <v>1263</v>
      </c>
      <c r="F539" s="117">
        <v>93.237972112308967</v>
      </c>
      <c r="G539" s="117">
        <v>96.137972112308958</v>
      </c>
      <c r="H539" s="117">
        <v>25.14</v>
      </c>
      <c r="I539" s="114">
        <v>1032</v>
      </c>
      <c r="J539" s="116" t="s">
        <v>263</v>
      </c>
    </row>
    <row r="540" spans="1:10" x14ac:dyDescent="0.25">
      <c r="A540" s="114">
        <v>537</v>
      </c>
      <c r="B540" s="115" t="s">
        <v>1190</v>
      </c>
      <c r="C540" s="116" t="s">
        <v>1191</v>
      </c>
      <c r="D540" s="116" t="s">
        <v>437</v>
      </c>
      <c r="E540" s="116" t="s">
        <v>111</v>
      </c>
      <c r="F540" s="117">
        <v>92.796999999999997</v>
      </c>
      <c r="G540" s="117">
        <v>93.4876</v>
      </c>
      <c r="H540" s="117">
        <v>5.49</v>
      </c>
      <c r="I540" s="114">
        <v>6789</v>
      </c>
      <c r="J540" s="116" t="s">
        <v>263</v>
      </c>
    </row>
    <row r="541" spans="1:10" x14ac:dyDescent="0.25">
      <c r="A541" s="114">
        <v>538</v>
      </c>
      <c r="B541" s="115" t="s">
        <v>1192</v>
      </c>
      <c r="C541" s="116" t="s">
        <v>1193</v>
      </c>
      <c r="D541" s="116" t="s">
        <v>437</v>
      </c>
      <c r="E541" s="116" t="s">
        <v>111</v>
      </c>
      <c r="F541" s="117">
        <v>98.476639043097663</v>
      </c>
      <c r="G541" s="117">
        <v>98.645839043097666</v>
      </c>
      <c r="H541" s="117">
        <v>2.92</v>
      </c>
      <c r="I541" s="114">
        <v>1070</v>
      </c>
      <c r="J541" s="116" t="s">
        <v>263</v>
      </c>
    </row>
    <row r="542" spans="1:10" x14ac:dyDescent="0.25">
      <c r="A542" s="114">
        <v>539</v>
      </c>
      <c r="B542" s="115" t="s">
        <v>1194</v>
      </c>
      <c r="C542" s="116" t="s">
        <v>1195</v>
      </c>
      <c r="D542" s="116" t="s">
        <v>437</v>
      </c>
      <c r="E542" s="116" t="s">
        <v>111</v>
      </c>
      <c r="F542" s="117">
        <v>98.244033042037529</v>
      </c>
      <c r="G542" s="117">
        <v>98.352533042037535</v>
      </c>
      <c r="H542" s="117">
        <v>2.8</v>
      </c>
      <c r="I542" s="114">
        <v>299</v>
      </c>
      <c r="J542" s="116" t="s">
        <v>263</v>
      </c>
    </row>
    <row r="543" spans="1:10" x14ac:dyDescent="0.25">
      <c r="A543" s="114">
        <v>540</v>
      </c>
      <c r="B543" s="115" t="s">
        <v>1196</v>
      </c>
      <c r="C543" s="116" t="s">
        <v>1197</v>
      </c>
      <c r="D543" s="116" t="s">
        <v>437</v>
      </c>
      <c r="E543" s="116" t="s">
        <v>111</v>
      </c>
      <c r="F543" s="117">
        <v>85.660555847244979</v>
      </c>
      <c r="G543" s="117">
        <v>87.078255847244975</v>
      </c>
      <c r="H543" s="117">
        <v>16.12</v>
      </c>
      <c r="I543" s="114">
        <v>649</v>
      </c>
      <c r="J543" s="116" t="s">
        <v>263</v>
      </c>
    </row>
    <row r="544" spans="1:10" x14ac:dyDescent="0.25">
      <c r="A544" s="114">
        <v>541</v>
      </c>
      <c r="B544" s="115" t="s">
        <v>1198</v>
      </c>
      <c r="C544" s="116" t="s">
        <v>1199</v>
      </c>
      <c r="D544" s="116" t="s">
        <v>437</v>
      </c>
      <c r="E544" s="116" t="s">
        <v>111</v>
      </c>
      <c r="F544" s="117">
        <v>69.916821457561483</v>
      </c>
      <c r="G544" s="117">
        <v>71.431921457561486</v>
      </c>
      <c r="H544" s="117">
        <v>16.3</v>
      </c>
      <c r="I544" s="114">
        <v>1741</v>
      </c>
      <c r="J544" s="116" t="s">
        <v>263</v>
      </c>
    </row>
    <row r="545" spans="1:10" x14ac:dyDescent="0.25">
      <c r="A545" s="114">
        <v>542</v>
      </c>
      <c r="B545" s="115" t="s">
        <v>1200</v>
      </c>
      <c r="C545" s="116" t="s">
        <v>1201</v>
      </c>
      <c r="D545" s="116" t="s">
        <v>437</v>
      </c>
      <c r="E545" s="116" t="s">
        <v>111</v>
      </c>
      <c r="F545" s="117">
        <v>95.972207318927687</v>
      </c>
      <c r="G545" s="117">
        <v>99.353607318927686</v>
      </c>
      <c r="H545" s="117">
        <v>15.44</v>
      </c>
      <c r="I545" s="114">
        <v>199</v>
      </c>
      <c r="J545" s="116" t="s">
        <v>263</v>
      </c>
    </row>
    <row r="546" spans="1:10" x14ac:dyDescent="0.25">
      <c r="A546" s="114">
        <v>543</v>
      </c>
      <c r="B546" s="115" t="s">
        <v>1202</v>
      </c>
      <c r="C546" s="116" t="s">
        <v>1203</v>
      </c>
      <c r="D546" s="116" t="s">
        <v>437</v>
      </c>
      <c r="E546" s="116" t="s">
        <v>111</v>
      </c>
      <c r="F546" s="117">
        <v>82.667729072493799</v>
      </c>
      <c r="G546" s="117">
        <v>86.144029072493794</v>
      </c>
      <c r="H546" s="117">
        <v>16.29</v>
      </c>
      <c r="I546" s="114">
        <v>927</v>
      </c>
      <c r="J546" s="116" t="s">
        <v>263</v>
      </c>
    </row>
    <row r="547" spans="1:10" x14ac:dyDescent="0.25">
      <c r="A547" s="114">
        <v>544</v>
      </c>
      <c r="B547" s="115" t="s">
        <v>1204</v>
      </c>
      <c r="C547" s="116" t="s">
        <v>1205</v>
      </c>
      <c r="D547" s="116" t="s">
        <v>437</v>
      </c>
      <c r="E547" s="116" t="s">
        <v>111</v>
      </c>
      <c r="F547" s="117">
        <v>70.3275392808238</v>
      </c>
      <c r="G547" s="117">
        <v>73.907839280823794</v>
      </c>
      <c r="H547" s="117">
        <v>16.25</v>
      </c>
      <c r="I547" s="114">
        <v>2019</v>
      </c>
      <c r="J547" s="116" t="s">
        <v>263</v>
      </c>
    </row>
    <row r="548" spans="1:10" x14ac:dyDescent="0.25">
      <c r="A548" s="114">
        <v>545</v>
      </c>
      <c r="B548" s="115" t="s">
        <v>1206</v>
      </c>
      <c r="C548" s="116" t="s">
        <v>1207</v>
      </c>
      <c r="D548" s="116" t="s">
        <v>437</v>
      </c>
      <c r="E548" s="116" t="s">
        <v>111</v>
      </c>
      <c r="F548" s="117">
        <v>70.3275392808238</v>
      </c>
      <c r="G548" s="117">
        <v>73.907839280823794</v>
      </c>
      <c r="H548" s="117">
        <v>16.25</v>
      </c>
      <c r="I548" s="114">
        <v>2019</v>
      </c>
      <c r="J548" s="116" t="s">
        <v>263</v>
      </c>
    </row>
    <row r="549" spans="1:10" x14ac:dyDescent="0.25">
      <c r="A549" s="114">
        <v>546</v>
      </c>
      <c r="B549" s="115" t="s">
        <v>1208</v>
      </c>
      <c r="C549" s="116" t="s">
        <v>1209</v>
      </c>
      <c r="D549" s="116" t="s">
        <v>437</v>
      </c>
      <c r="E549" s="116" t="s">
        <v>111</v>
      </c>
      <c r="F549" s="117">
        <v>111.696</v>
      </c>
      <c r="G549" s="117">
        <v>114.11539999999999</v>
      </c>
      <c r="H549" s="117">
        <v>5.52</v>
      </c>
      <c r="I549" s="114">
        <v>7066</v>
      </c>
      <c r="J549" s="116" t="s">
        <v>263</v>
      </c>
    </row>
    <row r="550" spans="1:10" x14ac:dyDescent="0.25">
      <c r="A550" s="114">
        <v>547</v>
      </c>
      <c r="B550" s="115" t="s">
        <v>1210</v>
      </c>
      <c r="C550" s="116" t="s">
        <v>1211</v>
      </c>
      <c r="D550" s="116" t="s">
        <v>437</v>
      </c>
      <c r="E550" s="116" t="s">
        <v>111</v>
      </c>
      <c r="F550" s="117">
        <v>98.619</v>
      </c>
      <c r="G550" s="117">
        <v>99.3523</v>
      </c>
      <c r="H550" s="117">
        <v>4.9000000000000004</v>
      </c>
      <c r="I550" s="114">
        <v>3364</v>
      </c>
      <c r="J550" s="116" t="s">
        <v>263</v>
      </c>
    </row>
    <row r="551" spans="1:10" x14ac:dyDescent="0.25">
      <c r="A551" s="114">
        <v>548</v>
      </c>
      <c r="B551" s="115" t="s">
        <v>2137</v>
      </c>
      <c r="C551" s="116" t="s">
        <v>2138</v>
      </c>
      <c r="D551" s="116" t="s">
        <v>437</v>
      </c>
      <c r="E551" s="116" t="s">
        <v>111</v>
      </c>
      <c r="F551" s="117">
        <v>101.627</v>
      </c>
      <c r="G551" s="117">
        <v>103.7659</v>
      </c>
      <c r="H551" s="117">
        <v>4.71</v>
      </c>
      <c r="I551" s="114">
        <v>2366</v>
      </c>
      <c r="J551" s="116" t="s">
        <v>263</v>
      </c>
    </row>
    <row r="552" spans="1:10" x14ac:dyDescent="0.25">
      <c r="A552" s="114">
        <v>549</v>
      </c>
      <c r="B552" s="115" t="s">
        <v>2139</v>
      </c>
      <c r="C552" s="116" t="s">
        <v>2140</v>
      </c>
      <c r="D552" s="116" t="s">
        <v>437</v>
      </c>
      <c r="E552" s="116" t="s">
        <v>111</v>
      </c>
      <c r="F552" s="117">
        <v>102.83199999999999</v>
      </c>
      <c r="G552" s="117">
        <v>105.1848</v>
      </c>
      <c r="H552" s="117">
        <v>5.17</v>
      </c>
      <c r="I552" s="114">
        <v>4166</v>
      </c>
      <c r="J552" s="116" t="s">
        <v>263</v>
      </c>
    </row>
    <row r="553" spans="1:10" x14ac:dyDescent="0.25">
      <c r="A553" s="114">
        <v>550</v>
      </c>
      <c r="B553" s="115" t="s">
        <v>2481</v>
      </c>
      <c r="C553" s="116" t="s">
        <v>2482</v>
      </c>
      <c r="D553" s="116" t="s">
        <v>437</v>
      </c>
      <c r="E553" s="116" t="s">
        <v>111</v>
      </c>
      <c r="F553" s="117">
        <v>99.38</v>
      </c>
      <c r="G553" s="117">
        <v>99.833500000000001</v>
      </c>
      <c r="H553" s="117">
        <v>4.55</v>
      </c>
      <c r="I553" s="114">
        <v>1763</v>
      </c>
      <c r="J553" s="116" t="s">
        <v>263</v>
      </c>
    </row>
    <row r="554" spans="1:10" x14ac:dyDescent="0.25">
      <c r="A554" s="114">
        <v>551</v>
      </c>
      <c r="B554" s="115" t="s">
        <v>1264</v>
      </c>
      <c r="C554" s="116" t="s">
        <v>1265</v>
      </c>
      <c r="D554" s="116" t="s">
        <v>427</v>
      </c>
      <c r="E554" s="116" t="s">
        <v>1266</v>
      </c>
      <c r="F554" s="117">
        <v>0.01</v>
      </c>
      <c r="G554" s="117">
        <v>0.01</v>
      </c>
      <c r="H554" s="117">
        <v>0</v>
      </c>
      <c r="I554" s="114">
        <v>0</v>
      </c>
      <c r="J554" s="116" t="s">
        <v>232</v>
      </c>
    </row>
    <row r="555" spans="1:10" x14ac:dyDescent="0.25">
      <c r="A555" s="114">
        <v>552</v>
      </c>
      <c r="B555" s="115" t="s">
        <v>1267</v>
      </c>
      <c r="C555" s="116" t="s">
        <v>1268</v>
      </c>
      <c r="D555" s="116" t="s">
        <v>427</v>
      </c>
      <c r="E555" s="116" t="s">
        <v>1269</v>
      </c>
      <c r="F555" s="117">
        <v>0.01</v>
      </c>
      <c r="G555" s="117">
        <v>0.01</v>
      </c>
      <c r="H555" s="117">
        <v>0</v>
      </c>
      <c r="I555" s="114">
        <v>0</v>
      </c>
      <c r="J555" s="116" t="s">
        <v>232</v>
      </c>
    </row>
    <row r="556" spans="1:10" x14ac:dyDescent="0.25">
      <c r="A556" s="114">
        <v>553</v>
      </c>
      <c r="B556" s="115" t="s">
        <v>1270</v>
      </c>
      <c r="C556" s="116" t="s">
        <v>1271</v>
      </c>
      <c r="D556" s="116" t="s">
        <v>437</v>
      </c>
      <c r="E556" s="116" t="s">
        <v>1269</v>
      </c>
      <c r="F556" s="117">
        <v>92.398766481904161</v>
      </c>
      <c r="G556" s="117">
        <v>96.493166481904154</v>
      </c>
      <c r="H556" s="117">
        <v>26.51</v>
      </c>
      <c r="I556" s="114">
        <v>833</v>
      </c>
      <c r="J556" s="116" t="s">
        <v>263</v>
      </c>
    </row>
    <row r="557" spans="1:10" x14ac:dyDescent="0.25">
      <c r="A557" s="114">
        <v>554</v>
      </c>
      <c r="B557" s="115" t="s">
        <v>1272</v>
      </c>
      <c r="C557" s="116" t="s">
        <v>1273</v>
      </c>
      <c r="D557" s="116" t="s">
        <v>730</v>
      </c>
      <c r="E557" s="116" t="s">
        <v>2432</v>
      </c>
      <c r="F557" s="117">
        <v>56034.417450000001</v>
      </c>
      <c r="G557" s="117">
        <v>56034.417450000001</v>
      </c>
      <c r="H557" s="117">
        <v>0</v>
      </c>
      <c r="I557" s="114">
        <v>0</v>
      </c>
      <c r="J557" s="116" t="s">
        <v>232</v>
      </c>
    </row>
    <row r="558" spans="1:10" x14ac:dyDescent="0.25">
      <c r="A558" s="114">
        <v>555</v>
      </c>
      <c r="B558" s="115" t="s">
        <v>1274</v>
      </c>
      <c r="C558" s="116" t="s">
        <v>1275</v>
      </c>
      <c r="D558" s="116" t="s">
        <v>427</v>
      </c>
      <c r="E558" s="116" t="s">
        <v>1276</v>
      </c>
      <c r="F558" s="117">
        <v>1.81</v>
      </c>
      <c r="G558" s="117">
        <v>1.81</v>
      </c>
      <c r="H558" s="117">
        <v>0</v>
      </c>
      <c r="I558" s="114">
        <v>0</v>
      </c>
      <c r="J558" s="116" t="s">
        <v>232</v>
      </c>
    </row>
    <row r="559" spans="1:10" x14ac:dyDescent="0.25">
      <c r="A559" s="114">
        <v>556</v>
      </c>
      <c r="B559" s="115" t="s">
        <v>2444</v>
      </c>
      <c r="C559" s="116" t="s">
        <v>2445</v>
      </c>
      <c r="D559" s="116" t="s">
        <v>437</v>
      </c>
      <c r="E559" s="116" t="s">
        <v>1276</v>
      </c>
      <c r="F559" s="117">
        <v>100.3066948033583</v>
      </c>
      <c r="G559" s="117">
        <v>101.6677948033583</v>
      </c>
      <c r="H559" s="117">
        <v>9.59</v>
      </c>
      <c r="I559" s="114">
        <v>311</v>
      </c>
      <c r="J559" s="116" t="s">
        <v>263</v>
      </c>
    </row>
    <row r="560" spans="1:10" x14ac:dyDescent="0.25">
      <c r="A560" s="114">
        <v>557</v>
      </c>
      <c r="B560" s="115" t="s">
        <v>2446</v>
      </c>
      <c r="C560" s="116" t="s">
        <v>2447</v>
      </c>
      <c r="D560" s="116" t="s">
        <v>437</v>
      </c>
      <c r="E560" s="116" t="s">
        <v>1276</v>
      </c>
      <c r="F560" s="117">
        <v>99.993575304633055</v>
      </c>
      <c r="G560" s="117">
        <v>102.98797530463305</v>
      </c>
      <c r="H560" s="117">
        <v>21.73</v>
      </c>
      <c r="I560" s="114">
        <v>41</v>
      </c>
      <c r="J560" s="116" t="s">
        <v>263</v>
      </c>
    </row>
    <row r="561" spans="1:10" x14ac:dyDescent="0.25">
      <c r="A561" s="114">
        <v>558</v>
      </c>
      <c r="B561" s="115" t="s">
        <v>2448</v>
      </c>
      <c r="C561" s="116" t="s">
        <v>2449</v>
      </c>
      <c r="D561" s="116" t="s">
        <v>437</v>
      </c>
      <c r="E561" s="116" t="s">
        <v>1276</v>
      </c>
      <c r="F561" s="117">
        <v>100.02488556650404</v>
      </c>
      <c r="G561" s="117">
        <v>101.38598556650405</v>
      </c>
      <c r="H561" s="117">
        <v>9.7100000000000009</v>
      </c>
      <c r="I561" s="114">
        <v>41</v>
      </c>
      <c r="J561" s="116" t="s">
        <v>263</v>
      </c>
    </row>
    <row r="562" spans="1:10" x14ac:dyDescent="0.25">
      <c r="A562" s="114">
        <v>559</v>
      </c>
      <c r="B562" s="115" t="s">
        <v>2450</v>
      </c>
      <c r="C562" s="116" t="s">
        <v>2451</v>
      </c>
      <c r="D562" s="116" t="s">
        <v>437</v>
      </c>
      <c r="E562" s="116" t="s">
        <v>1276</v>
      </c>
      <c r="F562" s="117">
        <v>98.747083152217428</v>
      </c>
      <c r="G562" s="117">
        <v>101.74148315221743</v>
      </c>
      <c r="H562" s="117">
        <v>23.39</v>
      </c>
      <c r="I562" s="114">
        <v>311</v>
      </c>
      <c r="J562" s="116" t="s">
        <v>263</v>
      </c>
    </row>
    <row r="563" spans="1:10" x14ac:dyDescent="0.25">
      <c r="A563" s="114">
        <v>560</v>
      </c>
      <c r="B563" s="115" t="s">
        <v>1282</v>
      </c>
      <c r="C563" s="116" t="s">
        <v>1283</v>
      </c>
      <c r="D563" s="116" t="s">
        <v>427</v>
      </c>
      <c r="E563" s="116" t="s">
        <v>1284</v>
      </c>
      <c r="F563" s="117">
        <v>7350</v>
      </c>
      <c r="G563" s="117">
        <v>7350</v>
      </c>
      <c r="H563" s="117">
        <v>0</v>
      </c>
      <c r="I563" s="114">
        <v>0</v>
      </c>
      <c r="J563" s="116" t="s">
        <v>232</v>
      </c>
    </row>
    <row r="564" spans="1:10" x14ac:dyDescent="0.25">
      <c r="A564" s="114">
        <v>561</v>
      </c>
      <c r="B564" s="115" t="s">
        <v>1280</v>
      </c>
      <c r="C564" s="116" t="s">
        <v>1281</v>
      </c>
      <c r="D564" s="116" t="s">
        <v>427</v>
      </c>
      <c r="E564" s="116" t="s">
        <v>2433</v>
      </c>
      <c r="F564" s="117">
        <v>281491.64240000001</v>
      </c>
      <c r="G564" s="117">
        <v>281491.64240000001</v>
      </c>
      <c r="H564" s="117">
        <v>0</v>
      </c>
      <c r="I564" s="114">
        <v>0</v>
      </c>
      <c r="J564" s="116" t="s">
        <v>232</v>
      </c>
    </row>
    <row r="565" spans="1:10" x14ac:dyDescent="0.25">
      <c r="A565" s="114">
        <v>562</v>
      </c>
      <c r="B565" s="115" t="s">
        <v>1285</v>
      </c>
      <c r="C565" s="116" t="s">
        <v>1286</v>
      </c>
      <c r="D565" s="116" t="s">
        <v>427</v>
      </c>
      <c r="E565" s="116" t="s">
        <v>2434</v>
      </c>
      <c r="F565" s="117">
        <v>336198.93554999999</v>
      </c>
      <c r="G565" s="117">
        <v>336198.93554999999</v>
      </c>
      <c r="H565" s="117">
        <v>0</v>
      </c>
      <c r="I565" s="114">
        <v>0</v>
      </c>
      <c r="J565" s="116" t="s">
        <v>232</v>
      </c>
    </row>
    <row r="566" spans="1:10" x14ac:dyDescent="0.25">
      <c r="A566" s="114">
        <v>563</v>
      </c>
      <c r="B566" s="115" t="s">
        <v>1981</v>
      </c>
      <c r="C566" s="116" t="s">
        <v>1982</v>
      </c>
      <c r="D566" s="116" t="s">
        <v>437</v>
      </c>
      <c r="E566" s="116" t="s">
        <v>1983</v>
      </c>
      <c r="F566" s="117">
        <v>100.77229269759481</v>
      </c>
      <c r="G566" s="117">
        <v>100.83059269759481</v>
      </c>
      <c r="H566" s="117">
        <v>20.81</v>
      </c>
      <c r="I566" s="114">
        <v>3329</v>
      </c>
      <c r="J566" s="116" t="s">
        <v>263</v>
      </c>
    </row>
    <row r="567" spans="1:10" x14ac:dyDescent="0.25">
      <c r="A567" s="114">
        <v>564</v>
      </c>
      <c r="B567" s="115" t="s">
        <v>1287</v>
      </c>
      <c r="C567" s="116" t="s">
        <v>1288</v>
      </c>
      <c r="D567" s="116" t="s">
        <v>437</v>
      </c>
      <c r="E567" s="116" t="s">
        <v>1289</v>
      </c>
      <c r="F567" s="117">
        <v>99.964804747209854</v>
      </c>
      <c r="G567" s="117">
        <v>104.55650474720986</v>
      </c>
      <c r="H567" s="117">
        <v>22.82</v>
      </c>
      <c r="I567" s="114">
        <v>3</v>
      </c>
      <c r="J567" s="116" t="s">
        <v>263</v>
      </c>
    </row>
    <row r="568" spans="1:10" x14ac:dyDescent="0.25">
      <c r="A568" s="114">
        <v>565</v>
      </c>
      <c r="B568" s="115" t="s">
        <v>2231</v>
      </c>
      <c r="C568" s="116" t="s">
        <v>2232</v>
      </c>
      <c r="D568" s="116" t="s">
        <v>437</v>
      </c>
      <c r="E568" s="116" t="s">
        <v>1289</v>
      </c>
      <c r="F568" s="117">
        <v>97.744132161590613</v>
      </c>
      <c r="G568" s="117">
        <v>98.021932161590613</v>
      </c>
      <c r="H568" s="117">
        <v>21.63</v>
      </c>
      <c r="I568" s="114">
        <v>595</v>
      </c>
      <c r="J568" s="116" t="s">
        <v>263</v>
      </c>
    </row>
    <row r="569" spans="1:10" x14ac:dyDescent="0.25">
      <c r="A569" s="114">
        <v>566</v>
      </c>
      <c r="B569" s="115" t="s">
        <v>2267</v>
      </c>
      <c r="C569" s="116" t="s">
        <v>2268</v>
      </c>
      <c r="D569" s="116" t="s">
        <v>437</v>
      </c>
      <c r="E569" s="116" t="s">
        <v>1290</v>
      </c>
      <c r="F569" s="117">
        <v>100.47340324742069</v>
      </c>
      <c r="G569" s="117">
        <v>101.34010324742069</v>
      </c>
      <c r="H569" s="117">
        <v>11.35</v>
      </c>
      <c r="I569" s="114">
        <v>274</v>
      </c>
      <c r="J569" s="116" t="s">
        <v>263</v>
      </c>
    </row>
    <row r="570" spans="1:10" x14ac:dyDescent="0.25">
      <c r="A570" s="114">
        <v>567</v>
      </c>
      <c r="B570" s="115" t="s">
        <v>2356</v>
      </c>
      <c r="C570" s="116" t="s">
        <v>2357</v>
      </c>
      <c r="D570" s="116" t="s">
        <v>437</v>
      </c>
      <c r="E570" s="116" t="s">
        <v>1290</v>
      </c>
      <c r="F570" s="117">
        <v>101.37470453094924</v>
      </c>
      <c r="G570" s="117">
        <v>101.69410453094925</v>
      </c>
      <c r="H570" s="117">
        <v>21.15</v>
      </c>
      <c r="I570" s="114">
        <v>295</v>
      </c>
      <c r="J570" s="116" t="s">
        <v>263</v>
      </c>
    </row>
    <row r="571" spans="1:10" x14ac:dyDescent="0.25">
      <c r="A571" s="114">
        <v>568</v>
      </c>
      <c r="B571" s="115" t="s">
        <v>2547</v>
      </c>
      <c r="C571" s="116" t="s">
        <v>2548</v>
      </c>
      <c r="D571" s="116" t="s">
        <v>427</v>
      </c>
      <c r="E571" s="116" t="s">
        <v>1290</v>
      </c>
      <c r="F571" s="117">
        <v>50695.000000000007</v>
      </c>
      <c r="G571" s="117">
        <v>50695.000000000007</v>
      </c>
      <c r="H571" s="117">
        <v>0</v>
      </c>
      <c r="I571" s="114">
        <v>0</v>
      </c>
      <c r="J571" s="116" t="s">
        <v>232</v>
      </c>
    </row>
    <row r="572" spans="1:10" x14ac:dyDescent="0.25">
      <c r="A572" s="114">
        <v>569</v>
      </c>
      <c r="B572" s="115" t="s">
        <v>2549</v>
      </c>
      <c r="C572" s="116" t="s">
        <v>2550</v>
      </c>
      <c r="D572" s="116" t="s">
        <v>437</v>
      </c>
      <c r="E572" s="116" t="s">
        <v>1290</v>
      </c>
      <c r="F572" s="117">
        <v>100.72529244494399</v>
      </c>
      <c r="G572" s="117">
        <v>101.39749244494399</v>
      </c>
      <c r="H572" s="117">
        <v>21.16</v>
      </c>
      <c r="I572" s="114">
        <v>349</v>
      </c>
      <c r="J572" s="116" t="s">
        <v>263</v>
      </c>
    </row>
    <row r="573" spans="1:10" x14ac:dyDescent="0.25">
      <c r="A573" s="114">
        <v>570</v>
      </c>
      <c r="B573" s="115" t="s">
        <v>2116</v>
      </c>
      <c r="C573" s="116" t="s">
        <v>2117</v>
      </c>
      <c r="D573" s="116" t="s">
        <v>437</v>
      </c>
      <c r="E573" s="116" t="s">
        <v>1290</v>
      </c>
      <c r="F573" s="117">
        <v>100.29468408484408</v>
      </c>
      <c r="G573" s="117">
        <v>102.62798408484407</v>
      </c>
      <c r="H573" s="117">
        <v>11.43</v>
      </c>
      <c r="I573" s="114">
        <v>200</v>
      </c>
      <c r="J573" s="116" t="s">
        <v>263</v>
      </c>
    </row>
    <row r="574" spans="1:10" x14ac:dyDescent="0.25">
      <c r="A574" s="114">
        <v>571</v>
      </c>
      <c r="B574" s="115" t="s">
        <v>2324</v>
      </c>
      <c r="C574" s="116" t="s">
        <v>2325</v>
      </c>
      <c r="D574" s="116" t="s">
        <v>437</v>
      </c>
      <c r="E574" s="116" t="s">
        <v>2326</v>
      </c>
      <c r="F574" s="117">
        <v>99.816100000000006</v>
      </c>
      <c r="G574" s="117">
        <v>106.06610000000001</v>
      </c>
      <c r="H574" s="117">
        <v>25</v>
      </c>
      <c r="I574" s="114">
        <v>630</v>
      </c>
      <c r="J574" s="116" t="s">
        <v>263</v>
      </c>
    </row>
    <row r="575" spans="1:10" x14ac:dyDescent="0.25">
      <c r="A575" s="114">
        <v>572</v>
      </c>
      <c r="B575" s="115" t="s">
        <v>2393</v>
      </c>
      <c r="C575" s="116" t="s">
        <v>2394</v>
      </c>
      <c r="D575" s="116" t="s">
        <v>437</v>
      </c>
      <c r="E575" s="116" t="s">
        <v>1291</v>
      </c>
      <c r="F575" s="117">
        <v>98.025056693574868</v>
      </c>
      <c r="G575" s="117">
        <v>102.45835669357487</v>
      </c>
      <c r="H575" s="117">
        <v>21.67</v>
      </c>
      <c r="I575" s="114">
        <v>1724</v>
      </c>
      <c r="J575" s="116" t="s">
        <v>263</v>
      </c>
    </row>
    <row r="576" spans="1:10" x14ac:dyDescent="0.25">
      <c r="A576" s="114">
        <v>573</v>
      </c>
      <c r="B576" s="115" t="s">
        <v>2395</v>
      </c>
      <c r="C576" s="116" t="s">
        <v>2396</v>
      </c>
      <c r="D576" s="116" t="s">
        <v>437</v>
      </c>
      <c r="E576" s="116" t="s">
        <v>1291</v>
      </c>
      <c r="F576" s="117">
        <v>96.915800000000004</v>
      </c>
      <c r="G576" s="117">
        <v>101.0575</v>
      </c>
      <c r="H576" s="117">
        <v>22.5</v>
      </c>
      <c r="I576" s="114">
        <v>1009</v>
      </c>
      <c r="J576" s="116" t="s">
        <v>263</v>
      </c>
    </row>
    <row r="577" spans="1:10" x14ac:dyDescent="0.25">
      <c r="A577" s="114">
        <v>574</v>
      </c>
      <c r="B577" s="115" t="s">
        <v>1292</v>
      </c>
      <c r="C577" s="116" t="s">
        <v>1293</v>
      </c>
      <c r="D577" s="116" t="s">
        <v>437</v>
      </c>
      <c r="E577" s="116" t="s">
        <v>1294</v>
      </c>
      <c r="F577" s="117">
        <v>98.693663078064361</v>
      </c>
      <c r="G577" s="117">
        <v>109.13536307806436</v>
      </c>
      <c r="H577" s="117">
        <v>21.84</v>
      </c>
      <c r="I577" s="114">
        <v>721</v>
      </c>
      <c r="J577" s="116" t="s">
        <v>263</v>
      </c>
    </row>
    <row r="578" spans="1:10" x14ac:dyDescent="0.25">
      <c r="A578" s="114">
        <v>575</v>
      </c>
      <c r="B578" s="115" t="s">
        <v>2141</v>
      </c>
      <c r="C578" s="116" t="s">
        <v>2142</v>
      </c>
      <c r="D578" s="116" t="s">
        <v>437</v>
      </c>
      <c r="E578" s="116" t="s">
        <v>1294</v>
      </c>
      <c r="F578" s="117">
        <v>99</v>
      </c>
      <c r="G578" s="117">
        <v>101.98609999999999</v>
      </c>
      <c r="H578" s="117">
        <v>22.5</v>
      </c>
      <c r="I578" s="114">
        <v>400</v>
      </c>
      <c r="J578" s="116" t="s">
        <v>263</v>
      </c>
    </row>
    <row r="579" spans="1:10" x14ac:dyDescent="0.25">
      <c r="A579" s="114">
        <v>576</v>
      </c>
      <c r="B579" s="115" t="s">
        <v>2143</v>
      </c>
      <c r="C579" s="116" t="s">
        <v>2144</v>
      </c>
      <c r="D579" s="116" t="s">
        <v>427</v>
      </c>
      <c r="E579" s="116" t="s">
        <v>1294</v>
      </c>
      <c r="F579" s="117">
        <v>1000</v>
      </c>
      <c r="G579" s="117">
        <v>1000</v>
      </c>
      <c r="H579" s="117">
        <v>0</v>
      </c>
      <c r="I579" s="114">
        <v>0</v>
      </c>
      <c r="J579" s="116" t="s">
        <v>232</v>
      </c>
    </row>
    <row r="580" spans="1:10" x14ac:dyDescent="0.25">
      <c r="A580" s="114">
        <v>577</v>
      </c>
      <c r="B580" s="115" t="s">
        <v>1295</v>
      </c>
      <c r="C580" s="116" t="s">
        <v>1296</v>
      </c>
      <c r="D580" s="116" t="s">
        <v>437</v>
      </c>
      <c r="E580" s="116" t="s">
        <v>1297</v>
      </c>
      <c r="F580" s="117">
        <v>99.087000000000003</v>
      </c>
      <c r="G580" s="117">
        <v>99.553700000000006</v>
      </c>
      <c r="H580" s="117">
        <v>22.05</v>
      </c>
      <c r="I580" s="114">
        <v>352</v>
      </c>
      <c r="J580" s="116" t="s">
        <v>263</v>
      </c>
    </row>
    <row r="581" spans="1:10" x14ac:dyDescent="0.25">
      <c r="A581" s="114">
        <v>578</v>
      </c>
      <c r="B581" s="115" t="s">
        <v>2258</v>
      </c>
      <c r="C581" s="116" t="s">
        <v>2259</v>
      </c>
      <c r="D581" s="116" t="s">
        <v>437</v>
      </c>
      <c r="E581" s="116" t="s">
        <v>1297</v>
      </c>
      <c r="F581" s="117">
        <v>100.58866491804751</v>
      </c>
      <c r="G581" s="117">
        <v>101.52616491804751</v>
      </c>
      <c r="H581" s="117">
        <v>21.91</v>
      </c>
      <c r="I581" s="114">
        <v>435</v>
      </c>
      <c r="J581" s="116" t="s">
        <v>263</v>
      </c>
    </row>
    <row r="582" spans="1:10" x14ac:dyDescent="0.25">
      <c r="A582" s="114">
        <v>579</v>
      </c>
      <c r="B582" s="115" t="s">
        <v>1298</v>
      </c>
      <c r="C582" s="116" t="s">
        <v>1299</v>
      </c>
      <c r="D582" s="116" t="s">
        <v>437</v>
      </c>
      <c r="E582" s="116" t="s">
        <v>1963</v>
      </c>
      <c r="F582" s="117">
        <v>100</v>
      </c>
      <c r="G582" s="117">
        <v>101.34439999999999</v>
      </c>
      <c r="H582" s="117">
        <v>21.98</v>
      </c>
      <c r="I582" s="114">
        <v>518</v>
      </c>
      <c r="J582" s="116" t="s">
        <v>263</v>
      </c>
    </row>
    <row r="583" spans="1:10" x14ac:dyDescent="0.25">
      <c r="A583" s="114">
        <v>580</v>
      </c>
      <c r="B583" s="115" t="s">
        <v>1300</v>
      </c>
      <c r="C583" s="116" t="s">
        <v>1301</v>
      </c>
      <c r="D583" s="116" t="s">
        <v>437</v>
      </c>
      <c r="E583" s="116" t="s">
        <v>1302</v>
      </c>
      <c r="F583" s="117">
        <v>99.883959385555144</v>
      </c>
      <c r="G583" s="117">
        <v>102.39225938555515</v>
      </c>
      <c r="H583" s="117">
        <v>22.13</v>
      </c>
      <c r="I583" s="114">
        <v>48</v>
      </c>
      <c r="J583" s="116" t="s">
        <v>263</v>
      </c>
    </row>
    <row r="584" spans="1:10" x14ac:dyDescent="0.25">
      <c r="A584" s="114">
        <v>581</v>
      </c>
      <c r="B584" s="115" t="s">
        <v>1303</v>
      </c>
      <c r="C584" s="116" t="s">
        <v>1304</v>
      </c>
      <c r="D584" s="116" t="s">
        <v>437</v>
      </c>
      <c r="E584" s="116" t="s">
        <v>1302</v>
      </c>
      <c r="F584" s="117">
        <v>100.03973783134457</v>
      </c>
      <c r="G584" s="117">
        <v>101.44533783134456</v>
      </c>
      <c r="H584" s="117">
        <v>10.59</v>
      </c>
      <c r="I584" s="114">
        <v>44</v>
      </c>
      <c r="J584" s="116" t="s">
        <v>263</v>
      </c>
    </row>
    <row r="585" spans="1:10" x14ac:dyDescent="0.25">
      <c r="A585" s="114">
        <v>582</v>
      </c>
      <c r="B585" s="115" t="s">
        <v>2124</v>
      </c>
      <c r="C585" s="116" t="s">
        <v>2125</v>
      </c>
      <c r="D585" s="116" t="s">
        <v>437</v>
      </c>
      <c r="E585" s="116" t="s">
        <v>1302</v>
      </c>
      <c r="F585" s="117">
        <v>99.1</v>
      </c>
      <c r="G585" s="117">
        <v>99.625</v>
      </c>
      <c r="H585" s="117">
        <v>21.68</v>
      </c>
      <c r="I585" s="114">
        <v>561</v>
      </c>
      <c r="J585" s="116" t="s">
        <v>263</v>
      </c>
    </row>
    <row r="586" spans="1:10" x14ac:dyDescent="0.25">
      <c r="A586" s="114">
        <v>583</v>
      </c>
      <c r="B586" s="115" t="s">
        <v>2532</v>
      </c>
      <c r="C586" s="116" t="s">
        <v>2533</v>
      </c>
      <c r="D586" s="116" t="s">
        <v>437</v>
      </c>
      <c r="E586" s="116" t="s">
        <v>1302</v>
      </c>
      <c r="F586" s="117">
        <v>101.59708694153568</v>
      </c>
      <c r="G586" s="117">
        <v>102.69708694153567</v>
      </c>
      <c r="H586" s="117">
        <v>21.26</v>
      </c>
      <c r="I586" s="114">
        <v>1062</v>
      </c>
      <c r="J586" s="116" t="s">
        <v>263</v>
      </c>
    </row>
    <row r="587" spans="1:10" x14ac:dyDescent="0.25">
      <c r="A587" s="114">
        <v>584</v>
      </c>
      <c r="B587" s="115" t="s">
        <v>1305</v>
      </c>
      <c r="C587" s="116" t="s">
        <v>1306</v>
      </c>
      <c r="D587" s="116" t="s">
        <v>437</v>
      </c>
      <c r="E587" s="116" t="s">
        <v>1307</v>
      </c>
      <c r="F587" s="117">
        <v>99.411143674234154</v>
      </c>
      <c r="G587" s="117">
        <v>100.38894367423416</v>
      </c>
      <c r="H587" s="117">
        <v>22.68</v>
      </c>
      <c r="I587" s="114">
        <v>344</v>
      </c>
      <c r="J587" s="116" t="s">
        <v>263</v>
      </c>
    </row>
    <row r="588" spans="1:10" x14ac:dyDescent="0.25">
      <c r="A588" s="114">
        <v>585</v>
      </c>
      <c r="B588" s="115" t="s">
        <v>1308</v>
      </c>
      <c r="C588" s="116" t="s">
        <v>1309</v>
      </c>
      <c r="D588" s="116" t="s">
        <v>437</v>
      </c>
      <c r="E588" s="116" t="s">
        <v>1310</v>
      </c>
      <c r="F588" s="117">
        <v>100.05563563985186</v>
      </c>
      <c r="G588" s="117">
        <v>102.45563563985185</v>
      </c>
      <c r="H588" s="117">
        <v>23.33</v>
      </c>
      <c r="I588" s="114">
        <v>54</v>
      </c>
      <c r="J588" s="116" t="s">
        <v>263</v>
      </c>
    </row>
    <row r="589" spans="1:10" x14ac:dyDescent="0.25">
      <c r="A589" s="114">
        <v>586</v>
      </c>
      <c r="B589" s="115" t="s">
        <v>1311</v>
      </c>
      <c r="C589" s="116" t="s">
        <v>1312</v>
      </c>
      <c r="D589" s="116" t="s">
        <v>437</v>
      </c>
      <c r="E589" s="116" t="s">
        <v>1310</v>
      </c>
      <c r="F589" s="117">
        <v>98.98</v>
      </c>
      <c r="G589" s="117">
        <v>101.3633</v>
      </c>
      <c r="H589" s="117">
        <v>23.69</v>
      </c>
      <c r="I589" s="114">
        <v>231</v>
      </c>
      <c r="J589" s="116" t="s">
        <v>263</v>
      </c>
    </row>
    <row r="590" spans="1:10" x14ac:dyDescent="0.25">
      <c r="A590" s="114">
        <v>587</v>
      </c>
      <c r="B590" s="115" t="s">
        <v>2263</v>
      </c>
      <c r="C590" s="116" t="s">
        <v>2264</v>
      </c>
      <c r="D590" s="116" t="s">
        <v>437</v>
      </c>
      <c r="E590" s="116" t="s">
        <v>1310</v>
      </c>
      <c r="F590" s="117">
        <v>98.09546939330437</v>
      </c>
      <c r="G590" s="117">
        <v>98.645469393304367</v>
      </c>
      <c r="H590" s="117">
        <v>22.77</v>
      </c>
      <c r="I590" s="114">
        <v>1341</v>
      </c>
      <c r="J590" s="116" t="s">
        <v>263</v>
      </c>
    </row>
    <row r="591" spans="1:10" x14ac:dyDescent="0.25">
      <c r="A591" s="114">
        <v>588</v>
      </c>
      <c r="B591" s="115" t="s">
        <v>2452</v>
      </c>
      <c r="C591" s="116" t="s">
        <v>2453</v>
      </c>
      <c r="D591" s="116" t="s">
        <v>437</v>
      </c>
      <c r="E591" s="116" t="s">
        <v>2454</v>
      </c>
      <c r="F591" s="117">
        <v>98.487799999999993</v>
      </c>
      <c r="G591" s="117">
        <v>99.587800000000001</v>
      </c>
      <c r="H591" s="117">
        <v>23</v>
      </c>
      <c r="I591" s="114">
        <v>672</v>
      </c>
      <c r="J591" s="116" t="s">
        <v>263</v>
      </c>
    </row>
    <row r="592" spans="1:10" x14ac:dyDescent="0.25">
      <c r="A592" s="114">
        <v>589</v>
      </c>
      <c r="B592" s="115" t="s">
        <v>2042</v>
      </c>
      <c r="C592" s="116" t="s">
        <v>2043</v>
      </c>
      <c r="D592" s="116" t="s">
        <v>437</v>
      </c>
      <c r="E592" s="116" t="s">
        <v>2255</v>
      </c>
      <c r="F592" s="117">
        <v>99.045361249002625</v>
      </c>
      <c r="G592" s="117">
        <v>109.93286124900263</v>
      </c>
      <c r="H592" s="117">
        <v>20.8</v>
      </c>
      <c r="I592" s="114">
        <v>159</v>
      </c>
      <c r="J592" s="116" t="s">
        <v>263</v>
      </c>
    </row>
    <row r="593" spans="1:10" x14ac:dyDescent="0.25">
      <c r="A593" s="114">
        <v>590</v>
      </c>
      <c r="B593" s="115" t="s">
        <v>2085</v>
      </c>
      <c r="C593" s="116" t="s">
        <v>2086</v>
      </c>
      <c r="D593" s="116" t="s">
        <v>437</v>
      </c>
      <c r="E593" s="116" t="s">
        <v>2255</v>
      </c>
      <c r="F593" s="117">
        <v>98.999456642837984</v>
      </c>
      <c r="G593" s="117">
        <v>109.07445664283799</v>
      </c>
      <c r="H593" s="117">
        <v>20.79</v>
      </c>
      <c r="I593" s="114">
        <v>174</v>
      </c>
      <c r="J593" s="116" t="s">
        <v>263</v>
      </c>
    </row>
    <row r="594" spans="1:10" x14ac:dyDescent="0.25">
      <c r="A594" s="114">
        <v>591</v>
      </c>
      <c r="B594" s="115" t="s">
        <v>2087</v>
      </c>
      <c r="C594" s="116" t="s">
        <v>2088</v>
      </c>
      <c r="D594" s="116" t="s">
        <v>437</v>
      </c>
      <c r="E594" s="116" t="s">
        <v>2255</v>
      </c>
      <c r="F594" s="117">
        <v>98.996635898630515</v>
      </c>
      <c r="G594" s="117">
        <v>109.01743589863052</v>
      </c>
      <c r="H594" s="117">
        <v>20.79</v>
      </c>
      <c r="I594" s="114">
        <v>175</v>
      </c>
      <c r="J594" s="116" t="s">
        <v>263</v>
      </c>
    </row>
    <row r="595" spans="1:10" x14ac:dyDescent="0.25">
      <c r="A595" s="114">
        <v>592</v>
      </c>
      <c r="B595" s="115" t="s">
        <v>1313</v>
      </c>
      <c r="C595" s="116" t="s">
        <v>1314</v>
      </c>
      <c r="D595" s="116" t="s">
        <v>437</v>
      </c>
      <c r="E595" s="116" t="s">
        <v>2037</v>
      </c>
      <c r="F595" s="117">
        <v>95.70616027658869</v>
      </c>
      <c r="G595" s="117">
        <v>98.039460276588684</v>
      </c>
      <c r="H595" s="117">
        <v>22.57</v>
      </c>
      <c r="I595" s="114">
        <v>768</v>
      </c>
      <c r="J595" s="116" t="s">
        <v>263</v>
      </c>
    </row>
    <row r="596" spans="1:10" x14ac:dyDescent="0.25">
      <c r="A596" s="114">
        <v>593</v>
      </c>
      <c r="B596" s="115" t="s">
        <v>1315</v>
      </c>
      <c r="C596" s="116" t="s">
        <v>1316</v>
      </c>
      <c r="D596" s="116" t="s">
        <v>437</v>
      </c>
      <c r="E596" s="116" t="s">
        <v>2037</v>
      </c>
      <c r="F596" s="117">
        <v>94.508201512912862</v>
      </c>
      <c r="G596" s="117">
        <v>98.674901512912854</v>
      </c>
      <c r="H596" s="117">
        <v>22.7</v>
      </c>
      <c r="I596" s="114">
        <v>1005</v>
      </c>
      <c r="J596" s="116" t="s">
        <v>263</v>
      </c>
    </row>
    <row r="597" spans="1:10" x14ac:dyDescent="0.25">
      <c r="A597" s="114">
        <v>594</v>
      </c>
      <c r="B597" s="115" t="s">
        <v>2569</v>
      </c>
      <c r="C597" s="116" t="s">
        <v>2570</v>
      </c>
      <c r="D597" s="116" t="s">
        <v>427</v>
      </c>
      <c r="E597" s="116" t="s">
        <v>2037</v>
      </c>
      <c r="F597" s="117">
        <v>1000</v>
      </c>
      <c r="G597" s="117">
        <v>1000</v>
      </c>
      <c r="H597" s="117">
        <v>0</v>
      </c>
      <c r="I597" s="114">
        <v>0</v>
      </c>
      <c r="J597" s="116" t="s">
        <v>232</v>
      </c>
    </row>
    <row r="598" spans="1:10" x14ac:dyDescent="0.25">
      <c r="A598" s="114">
        <v>595</v>
      </c>
      <c r="B598" s="115" t="s">
        <v>1317</v>
      </c>
      <c r="C598" s="116" t="s">
        <v>1318</v>
      </c>
      <c r="D598" s="116" t="s">
        <v>437</v>
      </c>
      <c r="E598" s="116" t="s">
        <v>1319</v>
      </c>
      <c r="F598" s="117">
        <v>100.12327772913711</v>
      </c>
      <c r="G598" s="117">
        <v>101.22327772913711</v>
      </c>
      <c r="H598" s="117">
        <v>21.53</v>
      </c>
      <c r="I598" s="114">
        <v>102</v>
      </c>
      <c r="J598" s="116" t="s">
        <v>263</v>
      </c>
    </row>
    <row r="599" spans="1:10" x14ac:dyDescent="0.25">
      <c r="A599" s="114">
        <v>596</v>
      </c>
      <c r="B599" s="115" t="s">
        <v>1993</v>
      </c>
      <c r="C599" s="116" t="s">
        <v>1994</v>
      </c>
      <c r="D599" s="116" t="s">
        <v>437</v>
      </c>
      <c r="E599" s="116" t="s">
        <v>1319</v>
      </c>
      <c r="F599" s="117">
        <v>99.019607361527989</v>
      </c>
      <c r="G599" s="117">
        <v>102.80850736152799</v>
      </c>
      <c r="H599" s="117">
        <v>22.77</v>
      </c>
      <c r="I599" s="114">
        <v>478</v>
      </c>
      <c r="J599" s="116" t="s">
        <v>263</v>
      </c>
    </row>
    <row r="600" spans="1:10" x14ac:dyDescent="0.25">
      <c r="A600" s="114">
        <v>597</v>
      </c>
      <c r="B600" s="115" t="s">
        <v>2306</v>
      </c>
      <c r="C600" s="116" t="s">
        <v>2307</v>
      </c>
      <c r="D600" s="116" t="s">
        <v>437</v>
      </c>
      <c r="E600" s="116" t="s">
        <v>1319</v>
      </c>
      <c r="F600" s="117">
        <v>100.41158953131138</v>
      </c>
      <c r="G600" s="117">
        <v>100.53378953131138</v>
      </c>
      <c r="H600" s="117">
        <v>21.71</v>
      </c>
      <c r="I600" s="114">
        <v>628</v>
      </c>
      <c r="J600" s="116" t="s">
        <v>263</v>
      </c>
    </row>
    <row r="601" spans="1:10" x14ac:dyDescent="0.25">
      <c r="A601" s="114">
        <v>598</v>
      </c>
      <c r="B601" s="115" t="s">
        <v>2089</v>
      </c>
      <c r="C601" s="116" t="s">
        <v>2090</v>
      </c>
      <c r="D601" s="116" t="s">
        <v>437</v>
      </c>
      <c r="E601" s="116" t="s">
        <v>1319</v>
      </c>
      <c r="F601" s="117">
        <v>100.558600063922</v>
      </c>
      <c r="G601" s="117">
        <v>100.68640006392201</v>
      </c>
      <c r="H601" s="117">
        <v>21.8</v>
      </c>
      <c r="I601" s="114">
        <v>178</v>
      </c>
      <c r="J601" s="116" t="s">
        <v>263</v>
      </c>
    </row>
    <row r="602" spans="1:10" x14ac:dyDescent="0.25">
      <c r="A602" s="114">
        <v>599</v>
      </c>
      <c r="B602" s="115" t="s">
        <v>2032</v>
      </c>
      <c r="C602" s="116" t="s">
        <v>2033</v>
      </c>
      <c r="D602" s="116" t="s">
        <v>437</v>
      </c>
      <c r="E602" s="116" t="s">
        <v>1319</v>
      </c>
      <c r="F602" s="117">
        <v>100.53789969568935</v>
      </c>
      <c r="G602" s="117">
        <v>102.00729969568934</v>
      </c>
      <c r="H602" s="117">
        <v>21.69</v>
      </c>
      <c r="I602" s="114">
        <v>157</v>
      </c>
      <c r="J602" s="116" t="s">
        <v>263</v>
      </c>
    </row>
    <row r="603" spans="1:10" x14ac:dyDescent="0.25">
      <c r="A603" s="114">
        <v>600</v>
      </c>
      <c r="B603" s="115" t="s">
        <v>2358</v>
      </c>
      <c r="C603" s="116" t="s">
        <v>2359</v>
      </c>
      <c r="D603" s="116" t="s">
        <v>437</v>
      </c>
      <c r="E603" s="116" t="s">
        <v>1319</v>
      </c>
      <c r="F603" s="117">
        <v>99.265100000000004</v>
      </c>
      <c r="G603" s="117">
        <v>99.876199999999997</v>
      </c>
      <c r="H603" s="117">
        <v>23</v>
      </c>
      <c r="I603" s="114">
        <v>290</v>
      </c>
      <c r="J603" s="116" t="s">
        <v>263</v>
      </c>
    </row>
    <row r="604" spans="1:10" x14ac:dyDescent="0.25">
      <c r="A604" s="114">
        <v>601</v>
      </c>
      <c r="B604" s="115" t="s">
        <v>2485</v>
      </c>
      <c r="C604" s="116" t="s">
        <v>2486</v>
      </c>
      <c r="D604" s="116" t="s">
        <v>437</v>
      </c>
      <c r="E604" s="116" t="s">
        <v>1319</v>
      </c>
      <c r="F604" s="117">
        <v>100.14707538264317</v>
      </c>
      <c r="G604" s="117">
        <v>100.45267538264316</v>
      </c>
      <c r="H604" s="117">
        <v>21.82</v>
      </c>
      <c r="I604" s="114">
        <v>325</v>
      </c>
      <c r="J604" s="116" t="s">
        <v>263</v>
      </c>
    </row>
    <row r="605" spans="1:10" x14ac:dyDescent="0.25">
      <c r="A605" s="114">
        <v>602</v>
      </c>
      <c r="B605" s="115" t="s">
        <v>2265</v>
      </c>
      <c r="C605" s="116" t="s">
        <v>2266</v>
      </c>
      <c r="D605" s="116" t="s">
        <v>437</v>
      </c>
      <c r="E605" s="116" t="s">
        <v>1319</v>
      </c>
      <c r="F605" s="117">
        <v>100.12132367094752</v>
      </c>
      <c r="G605" s="117">
        <v>100.73242367094753</v>
      </c>
      <c r="H605" s="117">
        <v>21.81</v>
      </c>
      <c r="I605" s="114">
        <v>260</v>
      </c>
      <c r="J605" s="116" t="s">
        <v>263</v>
      </c>
    </row>
    <row r="606" spans="1:10" x14ac:dyDescent="0.25">
      <c r="A606" s="114">
        <v>603</v>
      </c>
      <c r="B606" s="115" t="s">
        <v>1320</v>
      </c>
      <c r="C606" s="116" t="s">
        <v>1321</v>
      </c>
      <c r="D606" s="116" t="s">
        <v>437</v>
      </c>
      <c r="E606" s="116" t="s">
        <v>1319</v>
      </c>
      <c r="F606" s="117">
        <v>99.515730746515203</v>
      </c>
      <c r="G606" s="117">
        <v>100.7935307465152</v>
      </c>
      <c r="H606" s="117">
        <v>22.58</v>
      </c>
      <c r="I606" s="114">
        <v>67</v>
      </c>
      <c r="J606" s="116" t="s">
        <v>263</v>
      </c>
    </row>
    <row r="607" spans="1:10" x14ac:dyDescent="0.25">
      <c r="A607" s="114">
        <v>604</v>
      </c>
      <c r="B607" s="115" t="s">
        <v>1322</v>
      </c>
      <c r="C607" s="116" t="s">
        <v>1323</v>
      </c>
      <c r="D607" s="116" t="s">
        <v>437</v>
      </c>
      <c r="E607" s="116" t="s">
        <v>1319</v>
      </c>
      <c r="F607" s="117">
        <v>99.987329055864066</v>
      </c>
      <c r="G607" s="117">
        <v>104.93172905586407</v>
      </c>
      <c r="H607" s="117">
        <v>24.1</v>
      </c>
      <c r="I607" s="114">
        <v>1</v>
      </c>
      <c r="J607" s="116" t="s">
        <v>263</v>
      </c>
    </row>
    <row r="608" spans="1:10" x14ac:dyDescent="0.25">
      <c r="A608" s="114">
        <v>605</v>
      </c>
      <c r="B608" s="115" t="s">
        <v>1892</v>
      </c>
      <c r="C608" s="116" t="s">
        <v>1893</v>
      </c>
      <c r="D608" s="116" t="s">
        <v>437</v>
      </c>
      <c r="E608" s="116" t="s">
        <v>1319</v>
      </c>
      <c r="F608" s="117">
        <v>97.773864416919608</v>
      </c>
      <c r="G608" s="117">
        <v>100.10716441691962</v>
      </c>
      <c r="H608" s="117">
        <v>22.24</v>
      </c>
      <c r="I608" s="114">
        <v>408</v>
      </c>
      <c r="J608" s="116" t="s">
        <v>263</v>
      </c>
    </row>
    <row r="609" spans="1:10" x14ac:dyDescent="0.25">
      <c r="A609" s="114">
        <v>606</v>
      </c>
      <c r="B609" s="115" t="s">
        <v>1924</v>
      </c>
      <c r="C609" s="116" t="s">
        <v>1925</v>
      </c>
      <c r="D609" s="116" t="s">
        <v>437</v>
      </c>
      <c r="E609" s="116" t="s">
        <v>1319</v>
      </c>
      <c r="F609" s="117">
        <v>97.630242447713812</v>
      </c>
      <c r="G609" s="117">
        <v>98.130242447713812</v>
      </c>
      <c r="H609" s="117">
        <v>22.25</v>
      </c>
      <c r="I609" s="114">
        <v>441</v>
      </c>
      <c r="J609" s="116" t="s">
        <v>263</v>
      </c>
    </row>
    <row r="610" spans="1:10" x14ac:dyDescent="0.25">
      <c r="A610" s="114">
        <v>607</v>
      </c>
      <c r="B610" s="115" t="s">
        <v>1967</v>
      </c>
      <c r="C610" s="116" t="s">
        <v>1968</v>
      </c>
      <c r="D610" s="116" t="s">
        <v>437</v>
      </c>
      <c r="E610" s="116" t="s">
        <v>1319</v>
      </c>
      <c r="F610" s="117">
        <v>99.996140874653008</v>
      </c>
      <c r="G610" s="117">
        <v>104.21284087465301</v>
      </c>
      <c r="H610" s="117">
        <v>21.92</v>
      </c>
      <c r="I610" s="114">
        <v>111</v>
      </c>
      <c r="J610" s="116" t="s">
        <v>263</v>
      </c>
    </row>
    <row r="611" spans="1:10" x14ac:dyDescent="0.25">
      <c r="A611" s="114">
        <v>608</v>
      </c>
      <c r="B611" s="115" t="s">
        <v>1324</v>
      </c>
      <c r="C611" s="116" t="s">
        <v>1325</v>
      </c>
      <c r="D611" s="116" t="s">
        <v>437</v>
      </c>
      <c r="E611" s="116" t="s">
        <v>1326</v>
      </c>
      <c r="F611" s="117">
        <v>100.02505204350781</v>
      </c>
      <c r="G611" s="117">
        <v>104.89175204350781</v>
      </c>
      <c r="H611" s="117">
        <v>22.89</v>
      </c>
      <c r="I611" s="114">
        <v>17</v>
      </c>
      <c r="J611" s="116" t="s">
        <v>263</v>
      </c>
    </row>
    <row r="612" spans="1:10" x14ac:dyDescent="0.25">
      <c r="A612" s="114">
        <v>609</v>
      </c>
      <c r="B612" s="115" t="s">
        <v>1885</v>
      </c>
      <c r="C612" s="116" t="s">
        <v>1886</v>
      </c>
      <c r="D612" s="116" t="s">
        <v>437</v>
      </c>
      <c r="E612" s="116" t="s">
        <v>1326</v>
      </c>
      <c r="F612" s="117">
        <v>96.781716642642436</v>
      </c>
      <c r="G612" s="117">
        <v>99.837316642642435</v>
      </c>
      <c r="H612" s="117">
        <v>23.37</v>
      </c>
      <c r="I612" s="114">
        <v>395</v>
      </c>
      <c r="J612" s="116" t="s">
        <v>263</v>
      </c>
    </row>
    <row r="613" spans="1:10" x14ac:dyDescent="0.25">
      <c r="A613" s="114">
        <v>610</v>
      </c>
      <c r="B613" s="115" t="s">
        <v>1327</v>
      </c>
      <c r="C613" s="116" t="s">
        <v>1328</v>
      </c>
      <c r="D613" s="116" t="s">
        <v>437</v>
      </c>
      <c r="E613" s="116" t="s">
        <v>353</v>
      </c>
      <c r="F613" s="117">
        <v>97.899900000000002</v>
      </c>
      <c r="G613" s="117">
        <v>98.920699999999997</v>
      </c>
      <c r="H613" s="117">
        <v>20</v>
      </c>
      <c r="I613" s="114">
        <v>339</v>
      </c>
      <c r="J613" s="116" t="s">
        <v>263</v>
      </c>
    </row>
    <row r="614" spans="1:10" x14ac:dyDescent="0.25">
      <c r="A614" s="114">
        <v>611</v>
      </c>
      <c r="B614" s="115" t="s">
        <v>2600</v>
      </c>
      <c r="C614" s="116" t="s">
        <v>2601</v>
      </c>
      <c r="D614" s="116" t="s">
        <v>437</v>
      </c>
      <c r="E614" s="116" t="s">
        <v>2602</v>
      </c>
      <c r="F614" s="117">
        <v>122.4354746272209</v>
      </c>
      <c r="G614" s="117">
        <v>123.1021746272209</v>
      </c>
      <c r="H614" s="117">
        <v>22.4</v>
      </c>
      <c r="I614" s="114">
        <v>1792</v>
      </c>
      <c r="J614" s="116" t="s">
        <v>263</v>
      </c>
    </row>
    <row r="615" spans="1:10" x14ac:dyDescent="0.25">
      <c r="A615" s="114">
        <v>612</v>
      </c>
      <c r="B615" s="115" t="s">
        <v>402</v>
      </c>
      <c r="C615" s="116" t="s">
        <v>403</v>
      </c>
      <c r="D615" s="116" t="s">
        <v>437</v>
      </c>
      <c r="E615" s="116" t="s">
        <v>381</v>
      </c>
      <c r="F615" s="117">
        <v>101.18880824827906</v>
      </c>
      <c r="G615" s="117">
        <v>101.95550824827906</v>
      </c>
      <c r="H615" s="117">
        <v>10.64</v>
      </c>
      <c r="I615" s="114">
        <v>337</v>
      </c>
      <c r="J615" s="116" t="s">
        <v>263</v>
      </c>
    </row>
    <row r="616" spans="1:10" x14ac:dyDescent="0.25">
      <c r="A616" s="114">
        <v>613</v>
      </c>
      <c r="B616" s="115" t="s">
        <v>1868</v>
      </c>
      <c r="C616" s="116" t="s">
        <v>1869</v>
      </c>
      <c r="D616" s="116" t="s">
        <v>437</v>
      </c>
      <c r="E616" s="116" t="s">
        <v>381</v>
      </c>
      <c r="F616" s="117">
        <v>100.07591802542981</v>
      </c>
      <c r="G616" s="117">
        <v>101.42031802542981</v>
      </c>
      <c r="H616" s="117">
        <v>21.24</v>
      </c>
      <c r="I616" s="114">
        <v>38</v>
      </c>
      <c r="J616" s="116" t="s">
        <v>263</v>
      </c>
    </row>
    <row r="617" spans="1:10" x14ac:dyDescent="0.25">
      <c r="A617" s="114">
        <v>614</v>
      </c>
      <c r="B617" s="115" t="s">
        <v>1870</v>
      </c>
      <c r="C617" s="116" t="s">
        <v>1871</v>
      </c>
      <c r="D617" s="116" t="s">
        <v>437</v>
      </c>
      <c r="E617" s="116" t="s">
        <v>381</v>
      </c>
      <c r="F617" s="117">
        <v>100.12987350922961</v>
      </c>
      <c r="G617" s="117">
        <v>100.49657350922961</v>
      </c>
      <c r="H617" s="117">
        <v>21.1</v>
      </c>
      <c r="I617" s="114">
        <v>54</v>
      </c>
      <c r="J617" s="116" t="s">
        <v>263</v>
      </c>
    </row>
    <row r="618" spans="1:10" x14ac:dyDescent="0.25">
      <c r="A618" s="114">
        <v>615</v>
      </c>
      <c r="B618" s="115" t="s">
        <v>1911</v>
      </c>
      <c r="C618" s="116" t="s">
        <v>1912</v>
      </c>
      <c r="D618" s="116" t="s">
        <v>437</v>
      </c>
      <c r="E618" s="116" t="s">
        <v>381</v>
      </c>
      <c r="F618" s="117">
        <v>100.13525974080996</v>
      </c>
      <c r="G618" s="117">
        <v>101.11305974080996</v>
      </c>
      <c r="H618" s="117">
        <v>21.3</v>
      </c>
      <c r="I618" s="114">
        <v>74</v>
      </c>
      <c r="J618" s="116" t="s">
        <v>263</v>
      </c>
    </row>
    <row r="619" spans="1:10" x14ac:dyDescent="0.25">
      <c r="A619" s="114">
        <v>616</v>
      </c>
      <c r="B619" s="115" t="s">
        <v>1938</v>
      </c>
      <c r="C619" s="116" t="s">
        <v>1939</v>
      </c>
      <c r="D619" s="116" t="s">
        <v>437</v>
      </c>
      <c r="E619" s="116" t="s">
        <v>381</v>
      </c>
      <c r="F619" s="117">
        <v>102.06994912741244</v>
      </c>
      <c r="G619" s="117">
        <v>102.06994912741244</v>
      </c>
      <c r="H619" s="117">
        <v>13.53</v>
      </c>
      <c r="I619" s="114">
        <v>90</v>
      </c>
      <c r="J619" s="116" t="s">
        <v>263</v>
      </c>
    </row>
    <row r="620" spans="1:10" x14ac:dyDescent="0.25">
      <c r="A620" s="114">
        <v>617</v>
      </c>
      <c r="B620" s="115" t="s">
        <v>2024</v>
      </c>
      <c r="C620" s="116" t="s">
        <v>2025</v>
      </c>
      <c r="D620" s="116" t="s">
        <v>437</v>
      </c>
      <c r="E620" s="116" t="s">
        <v>381</v>
      </c>
      <c r="F620" s="117">
        <v>99</v>
      </c>
      <c r="G620" s="117">
        <v>100.0389</v>
      </c>
      <c r="H620" s="117">
        <v>23.17</v>
      </c>
      <c r="I620" s="114">
        <v>343</v>
      </c>
      <c r="J620" s="116" t="s">
        <v>263</v>
      </c>
    </row>
    <row r="621" spans="1:10" x14ac:dyDescent="0.25">
      <c r="A621" s="114">
        <v>618</v>
      </c>
      <c r="B621" s="115" t="s">
        <v>1913</v>
      </c>
      <c r="C621" s="116" t="s">
        <v>1914</v>
      </c>
      <c r="D621" s="116" t="s">
        <v>437</v>
      </c>
      <c r="E621" s="116" t="s">
        <v>381</v>
      </c>
      <c r="F621" s="117">
        <v>100.20997609642329</v>
      </c>
      <c r="G621" s="117">
        <v>101.0432760964233</v>
      </c>
      <c r="H621" s="117">
        <v>10.82</v>
      </c>
      <c r="I621" s="114">
        <v>65</v>
      </c>
      <c r="J621" s="116" t="s">
        <v>263</v>
      </c>
    </row>
    <row r="622" spans="1:10" x14ac:dyDescent="0.25">
      <c r="A622" s="114">
        <v>619</v>
      </c>
      <c r="B622" s="115" t="s">
        <v>1920</v>
      </c>
      <c r="C622" s="116" t="s">
        <v>1921</v>
      </c>
      <c r="D622" s="116" t="s">
        <v>437</v>
      </c>
      <c r="E622" s="116" t="s">
        <v>381</v>
      </c>
      <c r="F622" s="117">
        <v>100.25541134172396</v>
      </c>
      <c r="G622" s="117">
        <v>100.72211134172396</v>
      </c>
      <c r="H622" s="117">
        <v>10.77</v>
      </c>
      <c r="I622" s="114">
        <v>76</v>
      </c>
      <c r="J622" s="116" t="s">
        <v>263</v>
      </c>
    </row>
    <row r="623" spans="1:10" x14ac:dyDescent="0.25">
      <c r="A623" s="114">
        <v>620</v>
      </c>
      <c r="B623" s="115" t="s">
        <v>1926</v>
      </c>
      <c r="C623" s="116" t="s">
        <v>1927</v>
      </c>
      <c r="D623" s="116" t="s">
        <v>437</v>
      </c>
      <c r="E623" s="116" t="s">
        <v>381</v>
      </c>
      <c r="F623" s="117">
        <v>100.15822939627556</v>
      </c>
      <c r="G623" s="117">
        <v>100.70822939627556</v>
      </c>
      <c r="H623" s="117">
        <v>21.26</v>
      </c>
      <c r="I623" s="114">
        <v>81</v>
      </c>
      <c r="J623" s="116" t="s">
        <v>263</v>
      </c>
    </row>
    <row r="624" spans="1:10" x14ac:dyDescent="0.25">
      <c r="A624" s="114">
        <v>621</v>
      </c>
      <c r="B624" s="115" t="s">
        <v>1932</v>
      </c>
      <c r="C624" s="116" t="s">
        <v>1933</v>
      </c>
      <c r="D624" s="116" t="s">
        <v>437</v>
      </c>
      <c r="E624" s="116" t="s">
        <v>381</v>
      </c>
      <c r="F624" s="117">
        <v>100.28076700843491</v>
      </c>
      <c r="G624" s="117">
        <v>100.54746700843491</v>
      </c>
      <c r="H624" s="117">
        <v>10.74</v>
      </c>
      <c r="I624" s="114">
        <v>82</v>
      </c>
      <c r="J624" s="116" t="s">
        <v>263</v>
      </c>
    </row>
    <row r="625" spans="1:10" x14ac:dyDescent="0.25">
      <c r="A625" s="114">
        <v>622</v>
      </c>
      <c r="B625" s="115" t="s">
        <v>1934</v>
      </c>
      <c r="C625" s="116" t="s">
        <v>1935</v>
      </c>
      <c r="D625" s="116" t="s">
        <v>437</v>
      </c>
      <c r="E625" s="116" t="s">
        <v>381</v>
      </c>
      <c r="F625" s="117">
        <v>100.28076700843491</v>
      </c>
      <c r="G625" s="117">
        <v>100.54746700843491</v>
      </c>
      <c r="H625" s="117">
        <v>10.74</v>
      </c>
      <c r="I625" s="114">
        <v>82</v>
      </c>
      <c r="J625" s="116" t="s">
        <v>263</v>
      </c>
    </row>
    <row r="626" spans="1:10" x14ac:dyDescent="0.25">
      <c r="A626" s="114">
        <v>623</v>
      </c>
      <c r="B626" s="115" t="s">
        <v>1988</v>
      </c>
      <c r="C626" s="116" t="s">
        <v>1989</v>
      </c>
      <c r="D626" s="116" t="s">
        <v>437</v>
      </c>
      <c r="E626" s="116" t="s">
        <v>381</v>
      </c>
      <c r="F626" s="117">
        <v>100.45611494899892</v>
      </c>
      <c r="G626" s="117">
        <v>100.55611494899891</v>
      </c>
      <c r="H626" s="117">
        <v>10.56</v>
      </c>
      <c r="I626" s="114">
        <v>117</v>
      </c>
      <c r="J626" s="116" t="s">
        <v>263</v>
      </c>
    </row>
    <row r="627" spans="1:10" x14ac:dyDescent="0.25">
      <c r="A627" s="114">
        <v>624</v>
      </c>
      <c r="B627" s="115" t="s">
        <v>1995</v>
      </c>
      <c r="C627" s="116" t="s">
        <v>1996</v>
      </c>
      <c r="D627" s="116" t="s">
        <v>437</v>
      </c>
      <c r="E627" s="116" t="s">
        <v>381</v>
      </c>
      <c r="F627" s="117">
        <v>100.67170353038847</v>
      </c>
      <c r="G627" s="117">
        <v>101.07170353038846</v>
      </c>
      <c r="H627" s="117">
        <v>10.52</v>
      </c>
      <c r="I627" s="114">
        <v>168</v>
      </c>
      <c r="J627" s="116" t="s">
        <v>263</v>
      </c>
    </row>
    <row r="628" spans="1:10" x14ac:dyDescent="0.25">
      <c r="A628" s="114">
        <v>625</v>
      </c>
      <c r="B628" s="115" t="s">
        <v>2048</v>
      </c>
      <c r="C628" s="116" t="s">
        <v>2049</v>
      </c>
      <c r="D628" s="116" t="s">
        <v>437</v>
      </c>
      <c r="E628" s="116" t="s">
        <v>381</v>
      </c>
      <c r="F628" s="117">
        <v>99.469222338531168</v>
      </c>
      <c r="G628" s="117">
        <v>100.63032233853117</v>
      </c>
      <c r="H628" s="117">
        <v>22.43</v>
      </c>
      <c r="I628" s="114">
        <v>521</v>
      </c>
      <c r="J628" s="116" t="s">
        <v>263</v>
      </c>
    </row>
    <row r="629" spans="1:10" x14ac:dyDescent="0.25">
      <c r="A629" s="114">
        <v>626</v>
      </c>
      <c r="B629" s="115" t="s">
        <v>2100</v>
      </c>
      <c r="C629" s="116" t="s">
        <v>2101</v>
      </c>
      <c r="D629" s="116" t="s">
        <v>437</v>
      </c>
      <c r="E629" s="116" t="s">
        <v>381</v>
      </c>
      <c r="F629" s="117">
        <v>98.688400000000001</v>
      </c>
      <c r="G629" s="117">
        <v>98.871700000000004</v>
      </c>
      <c r="H629" s="117">
        <v>23</v>
      </c>
      <c r="I629" s="114">
        <v>567</v>
      </c>
      <c r="J629" s="116" t="s">
        <v>263</v>
      </c>
    </row>
    <row r="630" spans="1:10" x14ac:dyDescent="0.25">
      <c r="A630" s="114">
        <v>627</v>
      </c>
      <c r="B630" s="115" t="s">
        <v>2102</v>
      </c>
      <c r="C630" s="116" t="s">
        <v>2103</v>
      </c>
      <c r="D630" s="116" t="s">
        <v>437</v>
      </c>
      <c r="E630" s="116" t="s">
        <v>381</v>
      </c>
      <c r="F630" s="117">
        <v>99.000100000000003</v>
      </c>
      <c r="G630" s="117">
        <v>100.46680000000001</v>
      </c>
      <c r="H630" s="117">
        <v>22.72</v>
      </c>
      <c r="I630" s="114">
        <v>606</v>
      </c>
      <c r="J630" s="116" t="s">
        <v>263</v>
      </c>
    </row>
    <row r="631" spans="1:10" x14ac:dyDescent="0.25">
      <c r="A631" s="114">
        <v>628</v>
      </c>
      <c r="B631" s="115" t="s">
        <v>2050</v>
      </c>
      <c r="C631" s="116" t="s">
        <v>2051</v>
      </c>
      <c r="D631" s="116" t="s">
        <v>437</v>
      </c>
      <c r="E631" s="116" t="s">
        <v>381</v>
      </c>
      <c r="F631" s="117">
        <v>102.0376424493399</v>
      </c>
      <c r="G631" s="117">
        <v>102.67094244933989</v>
      </c>
      <c r="H631" s="117">
        <v>10.48</v>
      </c>
      <c r="I631" s="114">
        <v>521</v>
      </c>
      <c r="J631" s="116" t="s">
        <v>263</v>
      </c>
    </row>
    <row r="632" spans="1:10" x14ac:dyDescent="0.25">
      <c r="A632" s="114">
        <v>629</v>
      </c>
      <c r="B632" s="115" t="s">
        <v>2104</v>
      </c>
      <c r="C632" s="116" t="s">
        <v>2105</v>
      </c>
      <c r="D632" s="116" t="s">
        <v>437</v>
      </c>
      <c r="E632" s="116" t="s">
        <v>381</v>
      </c>
      <c r="F632" s="117">
        <v>102.20499427661768</v>
      </c>
      <c r="G632" s="117">
        <v>102.27169427661768</v>
      </c>
      <c r="H632" s="117">
        <v>10.48</v>
      </c>
      <c r="I632" s="114">
        <v>568</v>
      </c>
      <c r="J632" s="116" t="s">
        <v>263</v>
      </c>
    </row>
    <row r="633" spans="1:10" x14ac:dyDescent="0.25">
      <c r="A633" s="114">
        <v>630</v>
      </c>
      <c r="B633" s="115" t="s">
        <v>2106</v>
      </c>
      <c r="C633" s="116" t="s">
        <v>2107</v>
      </c>
      <c r="D633" s="116" t="s">
        <v>437</v>
      </c>
      <c r="E633" s="116" t="s">
        <v>381</v>
      </c>
      <c r="F633" s="117">
        <v>102.15237656231376</v>
      </c>
      <c r="G633" s="117">
        <v>102.65237656231376</v>
      </c>
      <c r="H633" s="117">
        <v>10.48</v>
      </c>
      <c r="I633" s="114">
        <v>555</v>
      </c>
      <c r="J633" s="116" t="s">
        <v>263</v>
      </c>
    </row>
    <row r="634" spans="1:10" x14ac:dyDescent="0.25">
      <c r="A634" s="114">
        <v>631</v>
      </c>
      <c r="B634" s="115" t="s">
        <v>2401</v>
      </c>
      <c r="C634" s="116" t="s">
        <v>2402</v>
      </c>
      <c r="D634" s="116" t="s">
        <v>437</v>
      </c>
      <c r="E634" s="116" t="s">
        <v>381</v>
      </c>
      <c r="F634" s="117">
        <v>99.979900000000001</v>
      </c>
      <c r="G634" s="117">
        <v>101.7521</v>
      </c>
      <c r="H634" s="117">
        <v>22.01</v>
      </c>
      <c r="I634" s="114">
        <v>661</v>
      </c>
      <c r="J634" s="116" t="s">
        <v>263</v>
      </c>
    </row>
    <row r="635" spans="1:10" x14ac:dyDescent="0.25">
      <c r="A635" s="114">
        <v>632</v>
      </c>
      <c r="B635" s="115" t="s">
        <v>2256</v>
      </c>
      <c r="C635" s="116" t="s">
        <v>2257</v>
      </c>
      <c r="D635" s="116" t="s">
        <v>437</v>
      </c>
      <c r="E635" s="116" t="s">
        <v>381</v>
      </c>
      <c r="F635" s="117">
        <v>99.699925763378502</v>
      </c>
      <c r="G635" s="117">
        <v>100.15822576337851</v>
      </c>
      <c r="H635" s="117">
        <v>11.19</v>
      </c>
      <c r="I635" s="114">
        <v>615</v>
      </c>
      <c r="J635" s="116" t="s">
        <v>263</v>
      </c>
    </row>
    <row r="636" spans="1:10" x14ac:dyDescent="0.25">
      <c r="A636" s="114">
        <v>633</v>
      </c>
      <c r="B636" s="115" t="s">
        <v>2499</v>
      </c>
      <c r="C636" s="116" t="s">
        <v>2500</v>
      </c>
      <c r="D636" s="116" t="s">
        <v>437</v>
      </c>
      <c r="E636" s="116" t="s">
        <v>381</v>
      </c>
      <c r="F636" s="117">
        <v>100</v>
      </c>
      <c r="G636" s="117">
        <v>100.4889</v>
      </c>
      <c r="H636" s="117">
        <v>11</v>
      </c>
      <c r="I636" s="114">
        <v>704</v>
      </c>
      <c r="J636" s="116" t="s">
        <v>263</v>
      </c>
    </row>
    <row r="637" spans="1:10" x14ac:dyDescent="0.25">
      <c r="A637" s="114">
        <v>634</v>
      </c>
      <c r="B637" s="115" t="s">
        <v>1329</v>
      </c>
      <c r="C637" s="116" t="s">
        <v>1330</v>
      </c>
      <c r="D637" s="116" t="s">
        <v>437</v>
      </c>
      <c r="E637" s="116" t="s">
        <v>381</v>
      </c>
      <c r="F637" s="117">
        <v>99.965918886115418</v>
      </c>
      <c r="G637" s="117">
        <v>101.73811888611542</v>
      </c>
      <c r="H637" s="117">
        <v>22</v>
      </c>
      <c r="I637" s="114">
        <v>331</v>
      </c>
      <c r="J637" s="116" t="s">
        <v>263</v>
      </c>
    </row>
    <row r="638" spans="1:10" x14ac:dyDescent="0.25">
      <c r="A638" s="114">
        <v>635</v>
      </c>
      <c r="B638" s="115" t="s">
        <v>1331</v>
      </c>
      <c r="C638" s="116" t="s">
        <v>1332</v>
      </c>
      <c r="D638" s="116" t="s">
        <v>437</v>
      </c>
      <c r="E638" s="116" t="s">
        <v>1333</v>
      </c>
      <c r="F638" s="117">
        <v>100</v>
      </c>
      <c r="G638" s="117">
        <v>102.9944</v>
      </c>
      <c r="H638" s="117">
        <v>13.99</v>
      </c>
      <c r="I638" s="114">
        <v>193</v>
      </c>
      <c r="J638" s="116" t="s">
        <v>263</v>
      </c>
    </row>
    <row r="639" spans="1:10" x14ac:dyDescent="0.25">
      <c r="A639" s="114">
        <v>636</v>
      </c>
      <c r="B639" s="115" t="s">
        <v>113</v>
      </c>
      <c r="C639" s="116" t="s">
        <v>114</v>
      </c>
      <c r="D639" s="116" t="s">
        <v>437</v>
      </c>
      <c r="E639" s="116" t="s">
        <v>112</v>
      </c>
      <c r="F639" s="117">
        <v>99.852230451199588</v>
      </c>
      <c r="G639" s="117">
        <v>100.35223045119959</v>
      </c>
      <c r="H639" s="117">
        <v>20.39</v>
      </c>
      <c r="I639" s="114">
        <v>141</v>
      </c>
      <c r="J639" s="116" t="s">
        <v>263</v>
      </c>
    </row>
    <row r="640" spans="1:10" x14ac:dyDescent="0.25">
      <c r="A640" s="114">
        <v>637</v>
      </c>
      <c r="B640" s="115" t="s">
        <v>1334</v>
      </c>
      <c r="C640" s="116" t="s">
        <v>1335</v>
      </c>
      <c r="D640" s="116" t="s">
        <v>437</v>
      </c>
      <c r="E640" s="116" t="s">
        <v>112</v>
      </c>
      <c r="F640" s="117">
        <v>99.063389322834112</v>
      </c>
      <c r="G640" s="117">
        <v>99.535589322834113</v>
      </c>
      <c r="H640" s="117">
        <v>10.78</v>
      </c>
      <c r="I640" s="114">
        <v>463</v>
      </c>
      <c r="J640" s="116" t="s">
        <v>263</v>
      </c>
    </row>
    <row r="641" spans="1:10" x14ac:dyDescent="0.25">
      <c r="A641" s="114">
        <v>638</v>
      </c>
      <c r="B641" s="115" t="s">
        <v>338</v>
      </c>
      <c r="C641" s="116" t="s">
        <v>339</v>
      </c>
      <c r="D641" s="116" t="s">
        <v>437</v>
      </c>
      <c r="E641" s="116" t="s">
        <v>112</v>
      </c>
      <c r="F641" s="117">
        <v>100.00391603298536</v>
      </c>
      <c r="G641" s="117">
        <v>101.22331603298537</v>
      </c>
      <c r="H641" s="117">
        <v>21.94</v>
      </c>
      <c r="I641" s="114">
        <v>610</v>
      </c>
      <c r="J641" s="116" t="s">
        <v>263</v>
      </c>
    </row>
    <row r="642" spans="1:10" x14ac:dyDescent="0.25">
      <c r="A642" s="114">
        <v>639</v>
      </c>
      <c r="B642" s="115" t="s">
        <v>1336</v>
      </c>
      <c r="C642" s="116" t="s">
        <v>1337</v>
      </c>
      <c r="D642" s="116" t="s">
        <v>437</v>
      </c>
      <c r="E642" s="116" t="s">
        <v>112</v>
      </c>
      <c r="F642" s="117">
        <v>97.769074391875449</v>
      </c>
      <c r="G642" s="117">
        <v>98.138474391875448</v>
      </c>
      <c r="H642" s="117">
        <v>20.29</v>
      </c>
      <c r="I642" s="114">
        <v>773</v>
      </c>
      <c r="J642" s="116" t="s">
        <v>263</v>
      </c>
    </row>
    <row r="643" spans="1:10" x14ac:dyDescent="0.25">
      <c r="A643" s="114">
        <v>640</v>
      </c>
      <c r="B643" s="115" t="s">
        <v>367</v>
      </c>
      <c r="C643" s="116" t="s">
        <v>368</v>
      </c>
      <c r="D643" s="116" t="s">
        <v>437</v>
      </c>
      <c r="E643" s="116" t="s">
        <v>112</v>
      </c>
      <c r="F643" s="117">
        <v>98.389509566669432</v>
      </c>
      <c r="G643" s="117">
        <v>99.128409566669433</v>
      </c>
      <c r="H643" s="117">
        <v>21.02</v>
      </c>
      <c r="I643" s="114">
        <v>316</v>
      </c>
      <c r="J643" s="116" t="s">
        <v>263</v>
      </c>
    </row>
    <row r="644" spans="1:10" x14ac:dyDescent="0.25">
      <c r="A644" s="114">
        <v>641</v>
      </c>
      <c r="B644" s="115" t="s">
        <v>1922</v>
      </c>
      <c r="C644" s="116" t="s">
        <v>1923</v>
      </c>
      <c r="D644" s="116" t="s">
        <v>437</v>
      </c>
      <c r="E644" s="116" t="s">
        <v>112</v>
      </c>
      <c r="F644" s="117">
        <v>101.24797829096671</v>
      </c>
      <c r="G644" s="117">
        <v>102.18127829096672</v>
      </c>
      <c r="H644" s="117">
        <v>20.29</v>
      </c>
      <c r="I644" s="114">
        <v>794</v>
      </c>
      <c r="J644" s="116" t="s">
        <v>263</v>
      </c>
    </row>
    <row r="645" spans="1:10" x14ac:dyDescent="0.25">
      <c r="A645" s="114">
        <v>642</v>
      </c>
      <c r="B645" s="115" t="s">
        <v>1950</v>
      </c>
      <c r="C645" s="116" t="s">
        <v>1951</v>
      </c>
      <c r="D645" s="116" t="s">
        <v>437</v>
      </c>
      <c r="E645" s="116" t="s">
        <v>112</v>
      </c>
      <c r="F645" s="117">
        <v>100</v>
      </c>
      <c r="G645" s="117">
        <v>101.3417</v>
      </c>
      <c r="H645" s="117">
        <v>21</v>
      </c>
      <c r="I645" s="114">
        <v>817</v>
      </c>
      <c r="J645" s="116" t="s">
        <v>263</v>
      </c>
    </row>
    <row r="646" spans="1:10" x14ac:dyDescent="0.25">
      <c r="A646" s="114">
        <v>643</v>
      </c>
      <c r="B646" s="115" t="s">
        <v>1984</v>
      </c>
      <c r="C646" s="116" t="s">
        <v>1985</v>
      </c>
      <c r="D646" s="116" t="s">
        <v>437</v>
      </c>
      <c r="E646" s="116" t="s">
        <v>112</v>
      </c>
      <c r="F646" s="117">
        <v>102.46121363182287</v>
      </c>
      <c r="G646" s="117">
        <v>102.76121363182287</v>
      </c>
      <c r="H646" s="117">
        <v>20.260000000000002</v>
      </c>
      <c r="I646" s="114">
        <v>835</v>
      </c>
      <c r="J646" s="116" t="s">
        <v>263</v>
      </c>
    </row>
    <row r="647" spans="1:10" x14ac:dyDescent="0.25">
      <c r="A647" s="114">
        <v>644</v>
      </c>
      <c r="B647" s="115" t="s">
        <v>1986</v>
      </c>
      <c r="C647" s="116" t="s">
        <v>1987</v>
      </c>
      <c r="D647" s="116" t="s">
        <v>437</v>
      </c>
      <c r="E647" s="116" t="s">
        <v>112</v>
      </c>
      <c r="F647" s="117">
        <v>100.8000669215061</v>
      </c>
      <c r="G647" s="117">
        <v>101.6763669215061</v>
      </c>
      <c r="H647" s="117">
        <v>20.62</v>
      </c>
      <c r="I647" s="114">
        <v>915</v>
      </c>
      <c r="J647" s="116" t="s">
        <v>263</v>
      </c>
    </row>
    <row r="648" spans="1:10" x14ac:dyDescent="0.25">
      <c r="A648" s="114">
        <v>645</v>
      </c>
      <c r="B648" s="115" t="s">
        <v>2517</v>
      </c>
      <c r="C648" s="116" t="s">
        <v>2518</v>
      </c>
      <c r="D648" s="116" t="s">
        <v>437</v>
      </c>
      <c r="E648" s="116" t="s">
        <v>112</v>
      </c>
      <c r="F648" s="117">
        <v>99.891494291401997</v>
      </c>
      <c r="G648" s="117">
        <v>100.363694291402</v>
      </c>
      <c r="H648" s="117">
        <v>10.06</v>
      </c>
      <c r="I648" s="114">
        <v>703</v>
      </c>
      <c r="J648" s="116" t="s">
        <v>263</v>
      </c>
    </row>
    <row r="649" spans="1:10" x14ac:dyDescent="0.25">
      <c r="A649" s="114">
        <v>646</v>
      </c>
      <c r="B649" s="115" t="s">
        <v>2554</v>
      </c>
      <c r="C649" s="116" t="s">
        <v>2555</v>
      </c>
      <c r="D649" s="116" t="s">
        <v>437</v>
      </c>
      <c r="E649" s="116" t="s">
        <v>112</v>
      </c>
      <c r="F649" s="117">
        <v>105.09670528783317</v>
      </c>
      <c r="G649" s="117">
        <v>105.99110528783316</v>
      </c>
      <c r="H649" s="117">
        <v>20.68</v>
      </c>
      <c r="I649" s="114">
        <v>1066</v>
      </c>
      <c r="J649" s="116" t="s">
        <v>263</v>
      </c>
    </row>
    <row r="650" spans="1:10" x14ac:dyDescent="0.25">
      <c r="A650" s="114">
        <v>647</v>
      </c>
      <c r="B650" s="115" t="s">
        <v>2556</v>
      </c>
      <c r="C650" s="116" t="s">
        <v>2557</v>
      </c>
      <c r="D650" s="116" t="s">
        <v>437</v>
      </c>
      <c r="E650" s="116" t="s">
        <v>112</v>
      </c>
      <c r="F650" s="117">
        <v>105.31713796572127</v>
      </c>
      <c r="G650" s="117">
        <v>106.21153796572128</v>
      </c>
      <c r="H650" s="117">
        <v>20.59</v>
      </c>
      <c r="I650" s="114">
        <v>1066</v>
      </c>
      <c r="J650" s="116" t="s">
        <v>263</v>
      </c>
    </row>
    <row r="651" spans="1:10" x14ac:dyDescent="0.25">
      <c r="A651" s="114">
        <v>648</v>
      </c>
      <c r="B651" s="115" t="s">
        <v>2052</v>
      </c>
      <c r="C651" s="116" t="s">
        <v>2053</v>
      </c>
      <c r="D651" s="116" t="s">
        <v>437</v>
      </c>
      <c r="E651" s="116" t="s">
        <v>2054</v>
      </c>
      <c r="F651" s="117">
        <v>100.45113198973797</v>
      </c>
      <c r="G651" s="117">
        <v>101.00673198973797</v>
      </c>
      <c r="H651" s="117">
        <v>9.66</v>
      </c>
      <c r="I651" s="114">
        <v>520</v>
      </c>
      <c r="J651" s="116" t="s">
        <v>263</v>
      </c>
    </row>
    <row r="652" spans="1:10" x14ac:dyDescent="0.25">
      <c r="A652" s="114">
        <v>649</v>
      </c>
      <c r="B652" s="115" t="s">
        <v>1338</v>
      </c>
      <c r="C652" s="116" t="s">
        <v>1339</v>
      </c>
      <c r="D652" s="116" t="s">
        <v>437</v>
      </c>
      <c r="E652" s="116" t="s">
        <v>366</v>
      </c>
      <c r="F652" s="117">
        <v>99.996700000000004</v>
      </c>
      <c r="G652" s="117">
        <v>101.84950000000001</v>
      </c>
      <c r="H652" s="117">
        <v>23.02</v>
      </c>
      <c r="I652" s="114">
        <v>61</v>
      </c>
      <c r="J652" s="116" t="s">
        <v>263</v>
      </c>
    </row>
    <row r="653" spans="1:10" x14ac:dyDescent="0.25">
      <c r="A653" s="114">
        <v>650</v>
      </c>
      <c r="B653" s="115" t="s">
        <v>379</v>
      </c>
      <c r="C653" s="116" t="s">
        <v>380</v>
      </c>
      <c r="D653" s="116" t="s">
        <v>437</v>
      </c>
      <c r="E653" s="116" t="s">
        <v>366</v>
      </c>
      <c r="F653" s="117">
        <v>100.2</v>
      </c>
      <c r="G653" s="117">
        <v>100.2</v>
      </c>
      <c r="H653" s="117">
        <v>21.85</v>
      </c>
      <c r="I653" s="114">
        <v>570</v>
      </c>
      <c r="J653" s="116" t="s">
        <v>263</v>
      </c>
    </row>
    <row r="654" spans="1:10" x14ac:dyDescent="0.25">
      <c r="A654" s="114">
        <v>651</v>
      </c>
      <c r="B654" s="115" t="s">
        <v>371</v>
      </c>
      <c r="C654" s="116" t="s">
        <v>372</v>
      </c>
      <c r="D654" s="116" t="s">
        <v>437</v>
      </c>
      <c r="E654" s="116" t="s">
        <v>366</v>
      </c>
      <c r="F654" s="117">
        <v>95.215432857495045</v>
      </c>
      <c r="G654" s="117">
        <v>95.507132857495051</v>
      </c>
      <c r="H654" s="117">
        <v>27.03</v>
      </c>
      <c r="I654" s="114">
        <v>325</v>
      </c>
      <c r="J654" s="116" t="s">
        <v>263</v>
      </c>
    </row>
    <row r="655" spans="1:10" x14ac:dyDescent="0.25">
      <c r="A655" s="114">
        <v>652</v>
      </c>
      <c r="B655" s="115" t="s">
        <v>1979</v>
      </c>
      <c r="C655" s="116" t="s">
        <v>1980</v>
      </c>
      <c r="D655" s="116" t="s">
        <v>437</v>
      </c>
      <c r="E655" s="116" t="s">
        <v>366</v>
      </c>
      <c r="F655" s="117">
        <v>90.097063204603444</v>
      </c>
      <c r="G655" s="117">
        <v>90.505363204603455</v>
      </c>
      <c r="H655" s="117">
        <v>26.79</v>
      </c>
      <c r="I655" s="114">
        <v>833</v>
      </c>
      <c r="J655" s="116" t="s">
        <v>263</v>
      </c>
    </row>
    <row r="656" spans="1:10" x14ac:dyDescent="0.25">
      <c r="A656" s="114">
        <v>653</v>
      </c>
      <c r="B656" s="115" t="s">
        <v>2070</v>
      </c>
      <c r="C656" s="116" t="s">
        <v>2071</v>
      </c>
      <c r="D656" s="116" t="s">
        <v>437</v>
      </c>
      <c r="E656" s="116" t="s">
        <v>366</v>
      </c>
      <c r="F656" s="117">
        <v>96.60545983776278</v>
      </c>
      <c r="G656" s="117">
        <v>97.344359837762767</v>
      </c>
      <c r="H656" s="117">
        <v>26.9</v>
      </c>
      <c r="I656" s="114">
        <v>166</v>
      </c>
      <c r="J656" s="116" t="s">
        <v>263</v>
      </c>
    </row>
    <row r="657" spans="1:10" x14ac:dyDescent="0.25">
      <c r="A657" s="114">
        <v>654</v>
      </c>
      <c r="B657" s="115" t="s">
        <v>2186</v>
      </c>
      <c r="C657" s="116" t="s">
        <v>2187</v>
      </c>
      <c r="D657" s="116" t="s">
        <v>437</v>
      </c>
      <c r="E657" s="116" t="s">
        <v>366</v>
      </c>
      <c r="F657" s="117">
        <v>93.58362132558986</v>
      </c>
      <c r="G657" s="117">
        <v>94.378021325589856</v>
      </c>
      <c r="H657" s="117">
        <v>26.9</v>
      </c>
      <c r="I657" s="114">
        <v>587</v>
      </c>
      <c r="J657" s="116" t="s">
        <v>263</v>
      </c>
    </row>
    <row r="658" spans="1:10" x14ac:dyDescent="0.25">
      <c r="A658" s="114">
        <v>655</v>
      </c>
      <c r="B658" s="115" t="s">
        <v>2129</v>
      </c>
      <c r="C658" s="116" t="s">
        <v>2130</v>
      </c>
      <c r="D658" s="116" t="s">
        <v>437</v>
      </c>
      <c r="E658" s="116" t="s">
        <v>366</v>
      </c>
      <c r="F658" s="117">
        <v>89.415261463657103</v>
      </c>
      <c r="G658" s="117">
        <v>89.940261463657109</v>
      </c>
      <c r="H658" s="117">
        <v>26.76</v>
      </c>
      <c r="I658" s="114">
        <v>921</v>
      </c>
      <c r="J658" s="116" t="s">
        <v>263</v>
      </c>
    </row>
    <row r="659" spans="1:10" x14ac:dyDescent="0.25">
      <c r="A659" s="114">
        <v>656</v>
      </c>
      <c r="B659" s="115" t="s">
        <v>2251</v>
      </c>
      <c r="C659" s="116" t="s">
        <v>2252</v>
      </c>
      <c r="D659" s="116" t="s">
        <v>437</v>
      </c>
      <c r="E659" s="116" t="s">
        <v>366</v>
      </c>
      <c r="F659" s="117">
        <v>93.41756300857385</v>
      </c>
      <c r="G659" s="117">
        <v>95.067563008573842</v>
      </c>
      <c r="H659" s="117">
        <v>26.92</v>
      </c>
      <c r="I659" s="114">
        <v>603</v>
      </c>
      <c r="J659" s="116" t="s">
        <v>263</v>
      </c>
    </row>
    <row r="660" spans="1:10" x14ac:dyDescent="0.25">
      <c r="A660" s="114">
        <v>657</v>
      </c>
      <c r="B660" s="115" t="s">
        <v>2483</v>
      </c>
      <c r="C660" s="116" t="s">
        <v>2484</v>
      </c>
      <c r="D660" s="116" t="s">
        <v>437</v>
      </c>
      <c r="E660" s="116" t="s">
        <v>366</v>
      </c>
      <c r="F660" s="117">
        <v>95.427468421034533</v>
      </c>
      <c r="G660" s="117">
        <v>96.130268421034543</v>
      </c>
      <c r="H660" s="117">
        <v>25.24</v>
      </c>
      <c r="I660" s="114">
        <v>1039</v>
      </c>
      <c r="J660" s="116" t="s">
        <v>263</v>
      </c>
    </row>
    <row r="661" spans="1:10" x14ac:dyDescent="0.25">
      <c r="A661" s="114">
        <v>658</v>
      </c>
      <c r="B661" s="115" t="s">
        <v>1340</v>
      </c>
      <c r="C661" s="116" t="s">
        <v>1341</v>
      </c>
      <c r="D661" s="116" t="s">
        <v>437</v>
      </c>
      <c r="E661" s="116" t="s">
        <v>366</v>
      </c>
      <c r="F661" s="117">
        <v>100.71097041263783</v>
      </c>
      <c r="G661" s="117">
        <v>101.19707041263783</v>
      </c>
      <c r="H661" s="117">
        <v>22.62</v>
      </c>
      <c r="I661" s="114">
        <v>113</v>
      </c>
      <c r="J661" s="116" t="s">
        <v>263</v>
      </c>
    </row>
    <row r="662" spans="1:10" x14ac:dyDescent="0.25">
      <c r="A662" s="114">
        <v>659</v>
      </c>
      <c r="B662" s="115" t="s">
        <v>1342</v>
      </c>
      <c r="C662" s="116" t="s">
        <v>1343</v>
      </c>
      <c r="D662" s="116" t="s">
        <v>437</v>
      </c>
      <c r="E662" s="116" t="s">
        <v>366</v>
      </c>
      <c r="F662" s="117">
        <v>98.187960197052846</v>
      </c>
      <c r="G662" s="117">
        <v>99.64626019705284</v>
      </c>
      <c r="H662" s="117">
        <v>27.04</v>
      </c>
      <c r="I662" s="114">
        <v>369</v>
      </c>
      <c r="J662" s="116" t="s">
        <v>263</v>
      </c>
    </row>
    <row r="663" spans="1:10" x14ac:dyDescent="0.25">
      <c r="A663" s="114">
        <v>660</v>
      </c>
      <c r="B663" s="115" t="s">
        <v>1344</v>
      </c>
      <c r="C663" s="116" t="s">
        <v>1345</v>
      </c>
      <c r="D663" s="116" t="s">
        <v>427</v>
      </c>
      <c r="E663" s="116" t="s">
        <v>1346</v>
      </c>
      <c r="F663" s="117">
        <v>1000</v>
      </c>
      <c r="G663" s="117">
        <v>1000</v>
      </c>
      <c r="H663" s="117">
        <v>0</v>
      </c>
      <c r="I663" s="114">
        <v>0</v>
      </c>
      <c r="J663" s="116" t="s">
        <v>232</v>
      </c>
    </row>
    <row r="664" spans="1:10" x14ac:dyDescent="0.25">
      <c r="A664" s="114">
        <v>661</v>
      </c>
      <c r="B664" s="115" t="s">
        <v>1348</v>
      </c>
      <c r="C664" s="116" t="s">
        <v>1349</v>
      </c>
      <c r="D664" s="116" t="s">
        <v>437</v>
      </c>
      <c r="E664" s="116" t="s">
        <v>1347</v>
      </c>
      <c r="F664" s="117">
        <v>100</v>
      </c>
      <c r="G664" s="117">
        <v>100.58329999999999</v>
      </c>
      <c r="H664" s="117">
        <v>20.99</v>
      </c>
      <c r="I664" s="114">
        <v>200</v>
      </c>
      <c r="J664" s="116" t="s">
        <v>263</v>
      </c>
    </row>
    <row r="665" spans="1:10" x14ac:dyDescent="0.25">
      <c r="A665" s="114">
        <v>662</v>
      </c>
      <c r="B665" s="115" t="s">
        <v>2015</v>
      </c>
      <c r="C665" s="116" t="s">
        <v>2016</v>
      </c>
      <c r="D665" s="116" t="s">
        <v>437</v>
      </c>
      <c r="E665" s="116" t="s">
        <v>1347</v>
      </c>
      <c r="F665" s="117">
        <v>91.741152091298304</v>
      </c>
      <c r="G665" s="117">
        <v>92.032852091298295</v>
      </c>
      <c r="H665" s="117">
        <v>17.23</v>
      </c>
      <c r="I665" s="114">
        <v>500</v>
      </c>
      <c r="J665" s="116" t="s">
        <v>263</v>
      </c>
    </row>
    <row r="666" spans="1:10" x14ac:dyDescent="0.25">
      <c r="A666" s="114">
        <v>663</v>
      </c>
      <c r="B666" s="115" t="s">
        <v>2571</v>
      </c>
      <c r="C666" s="116" t="s">
        <v>2572</v>
      </c>
      <c r="D666" s="116" t="s">
        <v>437</v>
      </c>
      <c r="E666" s="116" t="s">
        <v>1347</v>
      </c>
      <c r="F666" s="117">
        <v>88.76663395437528</v>
      </c>
      <c r="G666" s="117">
        <v>88.97083395437528</v>
      </c>
      <c r="H666" s="117">
        <v>17.23</v>
      </c>
      <c r="I666" s="114">
        <v>713</v>
      </c>
      <c r="J666" s="116" t="s">
        <v>263</v>
      </c>
    </row>
    <row r="667" spans="1:10" x14ac:dyDescent="0.25">
      <c r="A667" s="114">
        <v>664</v>
      </c>
      <c r="B667" s="115" t="s">
        <v>2573</v>
      </c>
      <c r="C667" s="116" t="s">
        <v>2574</v>
      </c>
      <c r="D667" s="116" t="s">
        <v>427</v>
      </c>
      <c r="E667" s="116" t="s">
        <v>1347</v>
      </c>
      <c r="F667" s="117">
        <v>51846</v>
      </c>
      <c r="G667" s="117">
        <v>51846</v>
      </c>
      <c r="H667" s="117">
        <v>0</v>
      </c>
      <c r="I667" s="114">
        <v>0</v>
      </c>
      <c r="J667" s="116" t="s">
        <v>232</v>
      </c>
    </row>
    <row r="668" spans="1:10" x14ac:dyDescent="0.25">
      <c r="A668" s="114">
        <v>665</v>
      </c>
      <c r="B668" s="115" t="s">
        <v>2558</v>
      </c>
      <c r="C668" s="116" t="s">
        <v>2559</v>
      </c>
      <c r="D668" s="116" t="s">
        <v>437</v>
      </c>
      <c r="E668" s="116" t="s">
        <v>1347</v>
      </c>
      <c r="F668" s="117">
        <v>99.376999999999995</v>
      </c>
      <c r="G668" s="117">
        <v>99.914500000000004</v>
      </c>
      <c r="H668" s="117">
        <v>22</v>
      </c>
      <c r="I668" s="114">
        <v>531</v>
      </c>
      <c r="J668" s="116" t="s">
        <v>263</v>
      </c>
    </row>
    <row r="669" spans="1:10" x14ac:dyDescent="0.25">
      <c r="A669" s="114">
        <v>666</v>
      </c>
      <c r="B669" s="115" t="s">
        <v>2560</v>
      </c>
      <c r="C669" s="116" t="s">
        <v>2561</v>
      </c>
      <c r="D669" s="116" t="s">
        <v>427</v>
      </c>
      <c r="E669" s="116" t="s">
        <v>1347</v>
      </c>
      <c r="F669" s="117">
        <v>1000</v>
      </c>
      <c r="G669" s="117">
        <v>1000</v>
      </c>
      <c r="H669" s="117">
        <v>0</v>
      </c>
      <c r="I669" s="114">
        <v>0</v>
      </c>
      <c r="J669" s="116" t="s">
        <v>232</v>
      </c>
    </row>
    <row r="670" spans="1:10" x14ac:dyDescent="0.25">
      <c r="A670" s="114">
        <v>667</v>
      </c>
      <c r="B670" s="115" t="s">
        <v>2458</v>
      </c>
      <c r="C670" s="116" t="s">
        <v>2459</v>
      </c>
      <c r="D670" s="116" t="s">
        <v>437</v>
      </c>
      <c r="E670" s="116" t="s">
        <v>2460</v>
      </c>
      <c r="F670" s="117">
        <v>101.91478176703301</v>
      </c>
      <c r="G670" s="117">
        <v>102.159181767033</v>
      </c>
      <c r="H670" s="117">
        <v>21.13</v>
      </c>
      <c r="I670" s="114">
        <v>1076</v>
      </c>
      <c r="J670" s="116" t="s">
        <v>263</v>
      </c>
    </row>
    <row r="671" spans="1:10" x14ac:dyDescent="0.25">
      <c r="A671" s="114">
        <v>668</v>
      </c>
      <c r="B671" s="115" t="s">
        <v>2461</v>
      </c>
      <c r="C671" s="116" t="s">
        <v>2462</v>
      </c>
      <c r="D671" s="116" t="s">
        <v>437</v>
      </c>
      <c r="E671" s="116" t="s">
        <v>2460</v>
      </c>
      <c r="F671" s="117">
        <v>100</v>
      </c>
      <c r="G671" s="117">
        <v>100.33329999999999</v>
      </c>
      <c r="H671" s="117">
        <v>12</v>
      </c>
      <c r="I671" s="114">
        <v>1070</v>
      </c>
      <c r="J671" s="116" t="s">
        <v>263</v>
      </c>
    </row>
    <row r="672" spans="1:10" x14ac:dyDescent="0.25">
      <c r="A672" s="114">
        <v>669</v>
      </c>
      <c r="B672" s="115" t="s">
        <v>2038</v>
      </c>
      <c r="C672" s="116" t="s">
        <v>2039</v>
      </c>
      <c r="D672" s="116" t="s">
        <v>437</v>
      </c>
      <c r="E672" s="116" t="s">
        <v>1350</v>
      </c>
      <c r="F672" s="117">
        <v>99.312002078158628</v>
      </c>
      <c r="G672" s="117">
        <v>103.53420207815863</v>
      </c>
      <c r="H672" s="117">
        <v>21.35</v>
      </c>
      <c r="I672" s="114">
        <v>194</v>
      </c>
      <c r="J672" s="116" t="s">
        <v>263</v>
      </c>
    </row>
    <row r="673" spans="1:10" x14ac:dyDescent="0.25">
      <c r="A673" s="114">
        <v>670</v>
      </c>
      <c r="B673" s="115" t="s">
        <v>2253</v>
      </c>
      <c r="C673" s="116" t="s">
        <v>2254</v>
      </c>
      <c r="D673" s="116" t="s">
        <v>437</v>
      </c>
      <c r="E673" s="116" t="s">
        <v>1350</v>
      </c>
      <c r="F673" s="117">
        <v>99.540117331993329</v>
      </c>
      <c r="G673" s="117">
        <v>100.76511733199334</v>
      </c>
      <c r="H673" s="117">
        <v>21.42</v>
      </c>
      <c r="I673" s="114">
        <v>429</v>
      </c>
      <c r="J673" s="116" t="s">
        <v>263</v>
      </c>
    </row>
    <row r="674" spans="1:10" x14ac:dyDescent="0.25">
      <c r="A674" s="114">
        <v>671</v>
      </c>
      <c r="B674" s="115" t="s">
        <v>2479</v>
      </c>
      <c r="C674" s="116" t="s">
        <v>2480</v>
      </c>
      <c r="D674" s="116" t="s">
        <v>437</v>
      </c>
      <c r="E674" s="116" t="s">
        <v>1350</v>
      </c>
      <c r="F674" s="117">
        <v>99.631358600120677</v>
      </c>
      <c r="G674" s="117">
        <v>102.43135860012067</v>
      </c>
      <c r="H674" s="117">
        <v>21.22</v>
      </c>
      <c r="I674" s="114">
        <v>672</v>
      </c>
      <c r="J674" s="116" t="s">
        <v>263</v>
      </c>
    </row>
    <row r="675" spans="1:10" x14ac:dyDescent="0.25">
      <c r="A675" s="114">
        <v>672</v>
      </c>
      <c r="B675" s="115" t="s">
        <v>1351</v>
      </c>
      <c r="C675" s="116" t="s">
        <v>1352</v>
      </c>
      <c r="D675" s="116" t="s">
        <v>437</v>
      </c>
      <c r="E675" s="116" t="s">
        <v>1350</v>
      </c>
      <c r="F675" s="117">
        <v>99.285625836894667</v>
      </c>
      <c r="G675" s="117">
        <v>102.96062583689468</v>
      </c>
      <c r="H675" s="117">
        <v>21.93</v>
      </c>
      <c r="I675" s="114">
        <v>297</v>
      </c>
      <c r="J675" s="116" t="s">
        <v>263</v>
      </c>
    </row>
    <row r="676" spans="1:10" x14ac:dyDescent="0.25">
      <c r="A676" s="114">
        <v>673</v>
      </c>
      <c r="B676" s="115" t="s">
        <v>1353</v>
      </c>
      <c r="C676" s="116" t="s">
        <v>1354</v>
      </c>
      <c r="D676" s="116" t="s">
        <v>437</v>
      </c>
      <c r="E676" s="116" t="s">
        <v>1350</v>
      </c>
      <c r="F676" s="117">
        <v>99.872043891101029</v>
      </c>
      <c r="G676" s="117">
        <v>102.78874389110102</v>
      </c>
      <c r="H676" s="117">
        <v>21.28</v>
      </c>
      <c r="I676" s="114">
        <v>130</v>
      </c>
      <c r="J676" s="116" t="s">
        <v>263</v>
      </c>
    </row>
    <row r="677" spans="1:10" x14ac:dyDescent="0.25">
      <c r="A677" s="114">
        <v>674</v>
      </c>
      <c r="B677" s="115" t="s">
        <v>1355</v>
      </c>
      <c r="C677" s="116" t="s">
        <v>1356</v>
      </c>
      <c r="D677" s="116" t="s">
        <v>437</v>
      </c>
      <c r="E677" s="116" t="s">
        <v>1350</v>
      </c>
      <c r="F677" s="117">
        <v>99.605042813657718</v>
      </c>
      <c r="G677" s="117">
        <v>102.52174281365771</v>
      </c>
      <c r="H677" s="117">
        <v>21.31</v>
      </c>
      <c r="I677" s="114">
        <v>490</v>
      </c>
      <c r="J677" s="116" t="s">
        <v>263</v>
      </c>
    </row>
    <row r="678" spans="1:10" x14ac:dyDescent="0.25">
      <c r="A678" s="114">
        <v>675</v>
      </c>
      <c r="B678" s="115" t="s">
        <v>1357</v>
      </c>
      <c r="C678" s="116" t="s">
        <v>1358</v>
      </c>
      <c r="D678" s="116" t="s">
        <v>427</v>
      </c>
      <c r="E678" s="116" t="s">
        <v>1350</v>
      </c>
      <c r="F678" s="117">
        <v>1000</v>
      </c>
      <c r="G678" s="117">
        <v>1000</v>
      </c>
      <c r="H678" s="117">
        <v>0</v>
      </c>
      <c r="I678" s="114">
        <v>0</v>
      </c>
      <c r="J678" s="116" t="s">
        <v>232</v>
      </c>
    </row>
    <row r="679" spans="1:10" x14ac:dyDescent="0.25">
      <c r="A679" s="114">
        <v>676</v>
      </c>
      <c r="B679" s="115" t="s">
        <v>1887</v>
      </c>
      <c r="C679" s="116" t="s">
        <v>1888</v>
      </c>
      <c r="D679" s="116" t="s">
        <v>437</v>
      </c>
      <c r="E679" s="116" t="s">
        <v>1350</v>
      </c>
      <c r="F679" s="117">
        <v>97.58119335944096</v>
      </c>
      <c r="G679" s="117">
        <v>97.58119335944096</v>
      </c>
      <c r="H679" s="117">
        <v>21.76</v>
      </c>
      <c r="I679" s="114">
        <v>41</v>
      </c>
      <c r="J679" s="116" t="s">
        <v>263</v>
      </c>
    </row>
    <row r="680" spans="1:10" x14ac:dyDescent="0.25">
      <c r="A680" s="114">
        <v>677</v>
      </c>
      <c r="B680" s="115" t="s">
        <v>1359</v>
      </c>
      <c r="C680" s="116" t="s">
        <v>1360</v>
      </c>
      <c r="D680" s="116" t="s">
        <v>437</v>
      </c>
      <c r="E680" s="116" t="s">
        <v>1361</v>
      </c>
      <c r="F680" s="117">
        <v>95.358900000000006</v>
      </c>
      <c r="G680" s="117">
        <v>99.392200000000003</v>
      </c>
      <c r="H680" s="117">
        <v>19.04</v>
      </c>
      <c r="I680" s="114">
        <v>228</v>
      </c>
      <c r="J680" s="116" t="s">
        <v>263</v>
      </c>
    </row>
    <row r="681" spans="1:10" x14ac:dyDescent="0.25">
      <c r="A681" s="114">
        <v>678</v>
      </c>
      <c r="B681" s="115" t="s">
        <v>1362</v>
      </c>
      <c r="C681" s="116" t="s">
        <v>1363</v>
      </c>
      <c r="D681" s="116" t="s">
        <v>437</v>
      </c>
      <c r="E681" s="116" t="s">
        <v>1361</v>
      </c>
      <c r="F681" s="117">
        <v>89.932929662579781</v>
      </c>
      <c r="G681" s="117">
        <v>94.988529662579779</v>
      </c>
      <c r="H681" s="117">
        <v>18.989999999999998</v>
      </c>
      <c r="I681" s="114">
        <v>950</v>
      </c>
      <c r="J681" s="116" t="s">
        <v>263</v>
      </c>
    </row>
    <row r="682" spans="1:10" x14ac:dyDescent="0.25">
      <c r="A682" s="114">
        <v>679</v>
      </c>
      <c r="B682" s="115" t="s">
        <v>1364</v>
      </c>
      <c r="C682" s="116" t="s">
        <v>1365</v>
      </c>
      <c r="D682" s="116" t="s">
        <v>427</v>
      </c>
      <c r="E682" s="116" t="s">
        <v>1361</v>
      </c>
      <c r="F682" s="117">
        <v>1003</v>
      </c>
      <c r="G682" s="117">
        <v>1003</v>
      </c>
      <c r="H682" s="117">
        <v>0</v>
      </c>
      <c r="I682" s="114">
        <v>1370</v>
      </c>
      <c r="J682" s="116" t="s">
        <v>232</v>
      </c>
    </row>
    <row r="683" spans="1:10" x14ac:dyDescent="0.25">
      <c r="A683" s="114">
        <v>680</v>
      </c>
      <c r="B683" s="115" t="s">
        <v>2026</v>
      </c>
      <c r="C683" s="116" t="s">
        <v>2027</v>
      </c>
      <c r="D683" s="116" t="s">
        <v>427</v>
      </c>
      <c r="E683" s="116" t="s">
        <v>1361</v>
      </c>
      <c r="F683" s="117">
        <v>100.62</v>
      </c>
      <c r="G683" s="117">
        <v>100.62</v>
      </c>
      <c r="H683" s="117">
        <v>0</v>
      </c>
      <c r="I683" s="114">
        <v>1249</v>
      </c>
      <c r="J683" s="116" t="s">
        <v>232</v>
      </c>
    </row>
    <row r="684" spans="1:10" x14ac:dyDescent="0.25">
      <c r="A684" s="114">
        <v>681</v>
      </c>
      <c r="B684" s="115" t="s">
        <v>2314</v>
      </c>
      <c r="C684" s="116" t="s">
        <v>2315</v>
      </c>
      <c r="D684" s="116" t="s">
        <v>427</v>
      </c>
      <c r="E684" s="116" t="s">
        <v>1361</v>
      </c>
      <c r="F684" s="117">
        <v>1075.68</v>
      </c>
      <c r="G684" s="117">
        <v>1075.68</v>
      </c>
      <c r="H684" s="117">
        <v>0</v>
      </c>
      <c r="I684" s="114">
        <v>1343</v>
      </c>
      <c r="J684" s="116" t="s">
        <v>232</v>
      </c>
    </row>
    <row r="685" spans="1:10" x14ac:dyDescent="0.25">
      <c r="A685" s="114">
        <v>682</v>
      </c>
      <c r="B685" s="115" t="s">
        <v>1366</v>
      </c>
      <c r="C685" s="116" t="s">
        <v>1367</v>
      </c>
      <c r="D685" s="116" t="s">
        <v>437</v>
      </c>
      <c r="E685" s="116" t="s">
        <v>1368</v>
      </c>
      <c r="F685" s="117">
        <v>99.754876979484891</v>
      </c>
      <c r="G685" s="117">
        <v>104.70487697948488</v>
      </c>
      <c r="H685" s="117">
        <v>31.44</v>
      </c>
      <c r="I685" s="114">
        <v>9</v>
      </c>
      <c r="J685" s="116" t="s">
        <v>263</v>
      </c>
    </row>
    <row r="686" spans="1:10" x14ac:dyDescent="0.25">
      <c r="A686" s="114">
        <v>683</v>
      </c>
      <c r="B686" s="115" t="s">
        <v>1369</v>
      </c>
      <c r="C686" s="116" t="s">
        <v>1370</v>
      </c>
      <c r="D686" s="116" t="s">
        <v>437</v>
      </c>
      <c r="E686" s="116" t="s">
        <v>1368</v>
      </c>
      <c r="F686" s="117">
        <v>98.884900000000002</v>
      </c>
      <c r="G686" s="117">
        <v>101.5043</v>
      </c>
      <c r="H686" s="117">
        <v>22.41</v>
      </c>
      <c r="I686" s="114">
        <v>224</v>
      </c>
      <c r="J686" s="116" t="s">
        <v>263</v>
      </c>
    </row>
    <row r="687" spans="1:10" x14ac:dyDescent="0.25">
      <c r="A687" s="114">
        <v>684</v>
      </c>
      <c r="B687" s="115" t="s">
        <v>2162</v>
      </c>
      <c r="C687" s="116" t="s">
        <v>2163</v>
      </c>
      <c r="D687" s="116" t="s">
        <v>437</v>
      </c>
      <c r="E687" s="116" t="s">
        <v>1368</v>
      </c>
      <c r="F687" s="117">
        <v>98.111099999999993</v>
      </c>
      <c r="G687" s="117">
        <v>101.0278</v>
      </c>
      <c r="H687" s="117">
        <v>22.4</v>
      </c>
      <c r="I687" s="114">
        <v>580</v>
      </c>
      <c r="J687" s="116" t="s">
        <v>263</v>
      </c>
    </row>
    <row r="688" spans="1:10" x14ac:dyDescent="0.25">
      <c r="A688" s="114">
        <v>685</v>
      </c>
      <c r="B688" s="115" t="s">
        <v>1372</v>
      </c>
      <c r="C688" s="116" t="s">
        <v>1373</v>
      </c>
      <c r="D688" s="116" t="s">
        <v>437</v>
      </c>
      <c r="E688" s="116" t="s">
        <v>1371</v>
      </c>
      <c r="F688" s="117">
        <v>98.257156183197139</v>
      </c>
      <c r="G688" s="117">
        <v>101.03495618319714</v>
      </c>
      <c r="H688" s="117">
        <v>23.08</v>
      </c>
      <c r="I688" s="114">
        <v>220</v>
      </c>
      <c r="J688" s="116" t="s">
        <v>263</v>
      </c>
    </row>
    <row r="689" spans="1:10" x14ac:dyDescent="0.25">
      <c r="A689" s="114">
        <v>686</v>
      </c>
      <c r="B689" s="115" t="s">
        <v>1906</v>
      </c>
      <c r="C689" s="116" t="s">
        <v>1907</v>
      </c>
      <c r="D689" s="116" t="s">
        <v>437</v>
      </c>
      <c r="E689" s="116" t="s">
        <v>1371</v>
      </c>
      <c r="F689" s="117">
        <v>98.635842880373019</v>
      </c>
      <c r="G689" s="117">
        <v>101.38024288037302</v>
      </c>
      <c r="H689" s="117">
        <v>14.17</v>
      </c>
      <c r="I689" s="114">
        <v>464</v>
      </c>
      <c r="J689" s="116" t="s">
        <v>263</v>
      </c>
    </row>
    <row r="690" spans="1:10" x14ac:dyDescent="0.25">
      <c r="A690" s="114">
        <v>687</v>
      </c>
      <c r="B690" s="115" t="s">
        <v>2110</v>
      </c>
      <c r="C690" s="116" t="s">
        <v>2111</v>
      </c>
      <c r="D690" s="116" t="s">
        <v>437</v>
      </c>
      <c r="E690" s="116" t="s">
        <v>1371</v>
      </c>
      <c r="F690" s="117">
        <v>94.641759298768278</v>
      </c>
      <c r="G690" s="117">
        <v>98.919559298768277</v>
      </c>
      <c r="H690" s="117">
        <v>22.83</v>
      </c>
      <c r="I690" s="114">
        <v>913</v>
      </c>
      <c r="J690" s="116" t="s">
        <v>263</v>
      </c>
    </row>
    <row r="691" spans="1:10" x14ac:dyDescent="0.25">
      <c r="A691" s="114">
        <v>688</v>
      </c>
      <c r="B691" s="115" t="s">
        <v>2362</v>
      </c>
      <c r="C691" s="116" t="s">
        <v>2363</v>
      </c>
      <c r="D691" s="116" t="s">
        <v>437</v>
      </c>
      <c r="E691" s="116" t="s">
        <v>1371</v>
      </c>
      <c r="F691" s="117">
        <v>92.609392925674115</v>
      </c>
      <c r="G691" s="117">
        <v>94.351092925674109</v>
      </c>
      <c r="H691" s="117">
        <v>14.2</v>
      </c>
      <c r="I691" s="114">
        <v>1023</v>
      </c>
      <c r="J691" s="116" t="s">
        <v>263</v>
      </c>
    </row>
    <row r="692" spans="1:10" x14ac:dyDescent="0.25">
      <c r="A692" s="114">
        <v>689</v>
      </c>
      <c r="B692" s="115" t="s">
        <v>1374</v>
      </c>
      <c r="C692" s="116" t="s">
        <v>1375</v>
      </c>
      <c r="D692" s="116" t="s">
        <v>437</v>
      </c>
      <c r="E692" s="116" t="s">
        <v>1376</v>
      </c>
      <c r="F692" s="117">
        <v>100</v>
      </c>
      <c r="G692" s="117">
        <v>100.0067</v>
      </c>
      <c r="H692" s="117">
        <v>0.02</v>
      </c>
      <c r="I692" s="114">
        <v>2995</v>
      </c>
      <c r="J692" s="116" t="s">
        <v>263</v>
      </c>
    </row>
    <row r="693" spans="1:10" x14ac:dyDescent="0.25">
      <c r="A693" s="114">
        <v>690</v>
      </c>
      <c r="B693" s="115" t="s">
        <v>1377</v>
      </c>
      <c r="C693" s="116" t="s">
        <v>1378</v>
      </c>
      <c r="D693" s="116" t="s">
        <v>437</v>
      </c>
      <c r="E693" s="116" t="s">
        <v>1376</v>
      </c>
      <c r="F693" s="117">
        <v>100</v>
      </c>
      <c r="G693" s="117">
        <v>100.0986</v>
      </c>
      <c r="H693" s="117">
        <v>7.07</v>
      </c>
      <c r="I693" s="114">
        <v>2092</v>
      </c>
      <c r="J693" s="116" t="s">
        <v>263</v>
      </c>
    </row>
    <row r="694" spans="1:10" x14ac:dyDescent="0.25">
      <c r="A694" s="114">
        <v>691</v>
      </c>
      <c r="B694" s="115" t="s">
        <v>1379</v>
      </c>
      <c r="C694" s="116" t="s">
        <v>1380</v>
      </c>
      <c r="D694" s="116" t="s">
        <v>437</v>
      </c>
      <c r="E694" s="116" t="s">
        <v>1376</v>
      </c>
      <c r="F694" s="117">
        <v>100</v>
      </c>
      <c r="G694" s="117">
        <v>102.7111</v>
      </c>
      <c r="H694" s="117">
        <v>6.08</v>
      </c>
      <c r="I694" s="114">
        <v>1610</v>
      </c>
      <c r="J694" s="116" t="s">
        <v>263</v>
      </c>
    </row>
    <row r="695" spans="1:10" x14ac:dyDescent="0.25">
      <c r="A695" s="114">
        <v>692</v>
      </c>
      <c r="B695" s="115" t="s">
        <v>1381</v>
      </c>
      <c r="C695" s="116" t="s">
        <v>1382</v>
      </c>
      <c r="D695" s="116" t="s">
        <v>437</v>
      </c>
      <c r="E695" s="116" t="s">
        <v>1376</v>
      </c>
      <c r="F695" s="117">
        <v>100</v>
      </c>
      <c r="G695" s="117">
        <v>100.74939999999999</v>
      </c>
      <c r="H695" s="117">
        <v>7.08</v>
      </c>
      <c r="I695" s="114">
        <v>2092</v>
      </c>
      <c r="J695" s="116" t="s">
        <v>263</v>
      </c>
    </row>
    <row r="696" spans="1:10" x14ac:dyDescent="0.25">
      <c r="A696" s="114">
        <v>693</v>
      </c>
      <c r="B696" s="115" t="s">
        <v>2233</v>
      </c>
      <c r="C696" s="116" t="s">
        <v>2234</v>
      </c>
      <c r="D696" s="116" t="s">
        <v>437</v>
      </c>
      <c r="E696" s="116" t="s">
        <v>1376</v>
      </c>
      <c r="F696" s="117">
        <v>93.495326025988874</v>
      </c>
      <c r="G696" s="117">
        <v>99.814726025988875</v>
      </c>
      <c r="H696" s="117">
        <v>19.670000000000002</v>
      </c>
      <c r="I696" s="114">
        <v>3475</v>
      </c>
      <c r="J696" s="116" t="s">
        <v>263</v>
      </c>
    </row>
    <row r="697" spans="1:10" x14ac:dyDescent="0.25">
      <c r="A697" s="114">
        <v>694</v>
      </c>
      <c r="B697" s="115" t="s">
        <v>2290</v>
      </c>
      <c r="C697" s="116" t="s">
        <v>2291</v>
      </c>
      <c r="D697" s="116" t="s">
        <v>437</v>
      </c>
      <c r="E697" s="116" t="s">
        <v>1376</v>
      </c>
      <c r="F697" s="117">
        <v>96.473388500954783</v>
      </c>
      <c r="G697" s="117">
        <v>101.51338850095478</v>
      </c>
      <c r="H697" s="117">
        <v>19.66</v>
      </c>
      <c r="I697" s="114">
        <v>3504</v>
      </c>
      <c r="J697" s="116" t="s">
        <v>263</v>
      </c>
    </row>
    <row r="698" spans="1:10" x14ac:dyDescent="0.25">
      <c r="A698" s="114">
        <v>695</v>
      </c>
      <c r="B698" s="115" t="s">
        <v>2316</v>
      </c>
      <c r="C698" s="116" t="s">
        <v>2317</v>
      </c>
      <c r="D698" s="116" t="s">
        <v>437</v>
      </c>
      <c r="E698" s="116" t="s">
        <v>1376</v>
      </c>
      <c r="F698" s="117">
        <v>96.43662793730698</v>
      </c>
      <c r="G698" s="117">
        <v>101.26662793730698</v>
      </c>
      <c r="H698" s="117">
        <v>19.670000000000002</v>
      </c>
      <c r="I698" s="114">
        <v>3508</v>
      </c>
      <c r="J698" s="116" t="s">
        <v>263</v>
      </c>
    </row>
    <row r="699" spans="1:10" x14ac:dyDescent="0.25">
      <c r="A699" s="114">
        <v>696</v>
      </c>
      <c r="B699" s="115" t="s">
        <v>2374</v>
      </c>
      <c r="C699" s="116" t="s">
        <v>2375</v>
      </c>
      <c r="D699" s="116" t="s">
        <v>437</v>
      </c>
      <c r="E699" s="116" t="s">
        <v>1376</v>
      </c>
      <c r="F699" s="117">
        <v>96.517299493850786</v>
      </c>
      <c r="G699" s="117">
        <v>100.13979949385079</v>
      </c>
      <c r="H699" s="117">
        <v>19.670000000000002</v>
      </c>
      <c r="I699" s="114">
        <v>3531</v>
      </c>
      <c r="J699" s="116" t="s">
        <v>263</v>
      </c>
    </row>
    <row r="700" spans="1:10" x14ac:dyDescent="0.25">
      <c r="A700" s="114">
        <v>697</v>
      </c>
      <c r="B700" s="115" t="s">
        <v>2376</v>
      </c>
      <c r="C700" s="116" t="s">
        <v>2377</v>
      </c>
      <c r="D700" s="116" t="s">
        <v>437</v>
      </c>
      <c r="E700" s="116" t="s">
        <v>1376</v>
      </c>
      <c r="F700" s="117">
        <v>96.517299493850786</v>
      </c>
      <c r="G700" s="117">
        <v>100.13979949385079</v>
      </c>
      <c r="H700" s="117">
        <v>19.670000000000002</v>
      </c>
      <c r="I700" s="114">
        <v>3531</v>
      </c>
      <c r="J700" s="116" t="s">
        <v>263</v>
      </c>
    </row>
    <row r="701" spans="1:10" x14ac:dyDescent="0.25">
      <c r="A701" s="114">
        <v>698</v>
      </c>
      <c r="B701" s="115" t="s">
        <v>1383</v>
      </c>
      <c r="C701" s="116" t="s">
        <v>1384</v>
      </c>
      <c r="D701" s="116" t="s">
        <v>437</v>
      </c>
      <c r="E701" s="116" t="s">
        <v>1376</v>
      </c>
      <c r="F701" s="117">
        <v>100</v>
      </c>
      <c r="G701" s="117">
        <v>100.0847</v>
      </c>
      <c r="H701" s="117">
        <v>6.07</v>
      </c>
      <c r="I701" s="114">
        <v>2447</v>
      </c>
      <c r="J701" s="116" t="s">
        <v>263</v>
      </c>
    </row>
    <row r="702" spans="1:10" x14ac:dyDescent="0.25">
      <c r="A702" s="114">
        <v>699</v>
      </c>
      <c r="B702" s="115" t="s">
        <v>1385</v>
      </c>
      <c r="C702" s="116" t="s">
        <v>1386</v>
      </c>
      <c r="D702" s="116" t="s">
        <v>437</v>
      </c>
      <c r="E702" s="116" t="s">
        <v>1376</v>
      </c>
      <c r="F702" s="117">
        <v>100</v>
      </c>
      <c r="G702" s="117">
        <v>101.88079999999999</v>
      </c>
      <c r="H702" s="117">
        <v>6.08</v>
      </c>
      <c r="I702" s="114">
        <v>2019</v>
      </c>
      <c r="J702" s="116" t="s">
        <v>263</v>
      </c>
    </row>
    <row r="703" spans="1:10" x14ac:dyDescent="0.25">
      <c r="A703" s="114">
        <v>700</v>
      </c>
      <c r="B703" s="115" t="s">
        <v>1387</v>
      </c>
      <c r="C703" s="116" t="s">
        <v>1388</v>
      </c>
      <c r="D703" s="116" t="s">
        <v>437</v>
      </c>
      <c r="E703" s="116" t="s">
        <v>1376</v>
      </c>
      <c r="F703" s="117">
        <v>100</v>
      </c>
      <c r="G703" s="117">
        <v>100.0847</v>
      </c>
      <c r="H703" s="117">
        <v>6.1</v>
      </c>
      <c r="I703" s="114">
        <v>2514</v>
      </c>
      <c r="J703" s="116" t="s">
        <v>263</v>
      </c>
    </row>
    <row r="704" spans="1:10" x14ac:dyDescent="0.25">
      <c r="A704" s="114">
        <v>701</v>
      </c>
      <c r="B704" s="115" t="s">
        <v>1389</v>
      </c>
      <c r="C704" s="116" t="s">
        <v>1390</v>
      </c>
      <c r="D704" s="116" t="s">
        <v>437</v>
      </c>
      <c r="E704" s="116" t="s">
        <v>1376</v>
      </c>
      <c r="F704" s="117">
        <v>100</v>
      </c>
      <c r="G704" s="117">
        <v>100.7286</v>
      </c>
      <c r="H704" s="117">
        <v>6.09</v>
      </c>
      <c r="I704" s="114">
        <v>2447</v>
      </c>
      <c r="J704" s="116" t="s">
        <v>263</v>
      </c>
    </row>
    <row r="705" spans="1:10" x14ac:dyDescent="0.25">
      <c r="A705" s="114">
        <v>702</v>
      </c>
      <c r="B705" s="115" t="s">
        <v>1391</v>
      </c>
      <c r="C705" s="116" t="s">
        <v>1392</v>
      </c>
      <c r="D705" s="116" t="s">
        <v>437</v>
      </c>
      <c r="E705" s="116" t="s">
        <v>1376</v>
      </c>
      <c r="F705" s="117">
        <v>100</v>
      </c>
      <c r="G705" s="117">
        <v>100.7286</v>
      </c>
      <c r="H705" s="117">
        <v>6.09</v>
      </c>
      <c r="I705" s="114">
        <v>2447</v>
      </c>
      <c r="J705" s="116" t="s">
        <v>263</v>
      </c>
    </row>
    <row r="706" spans="1:10" x14ac:dyDescent="0.25">
      <c r="A706" s="114">
        <v>703</v>
      </c>
      <c r="B706" s="115" t="s">
        <v>1393</v>
      </c>
      <c r="C706" s="116" t="s">
        <v>1394</v>
      </c>
      <c r="D706" s="116" t="s">
        <v>437</v>
      </c>
      <c r="E706" s="116" t="s">
        <v>1376</v>
      </c>
      <c r="F706" s="117">
        <v>100</v>
      </c>
      <c r="G706" s="117">
        <v>105.69329999999999</v>
      </c>
      <c r="H706" s="117">
        <v>6.09</v>
      </c>
      <c r="I706" s="114">
        <v>2514</v>
      </c>
      <c r="J706" s="116" t="s">
        <v>263</v>
      </c>
    </row>
    <row r="707" spans="1:10" x14ac:dyDescent="0.25">
      <c r="A707" s="114">
        <v>704</v>
      </c>
      <c r="B707" s="115" t="s">
        <v>2218</v>
      </c>
      <c r="C707" s="116" t="s">
        <v>2219</v>
      </c>
      <c r="D707" s="116" t="s">
        <v>437</v>
      </c>
      <c r="E707" s="116" t="s">
        <v>2220</v>
      </c>
      <c r="F707" s="117">
        <v>100.37995412553448</v>
      </c>
      <c r="G707" s="117">
        <v>104.19935412553448</v>
      </c>
      <c r="H707" s="117">
        <v>10.82</v>
      </c>
      <c r="I707" s="114">
        <v>955</v>
      </c>
      <c r="J707" s="116" t="s">
        <v>263</v>
      </c>
    </row>
    <row r="708" spans="1:10" x14ac:dyDescent="0.25">
      <c r="A708" s="114">
        <v>705</v>
      </c>
      <c r="B708" s="115" t="s">
        <v>2469</v>
      </c>
      <c r="C708" s="116" t="s">
        <v>2470</v>
      </c>
      <c r="D708" s="116" t="s">
        <v>437</v>
      </c>
      <c r="E708" s="116" t="s">
        <v>2220</v>
      </c>
      <c r="F708" s="117">
        <v>100.38822947131831</v>
      </c>
      <c r="G708" s="117">
        <v>101.51882947131831</v>
      </c>
      <c r="H708" s="117">
        <v>10.83</v>
      </c>
      <c r="I708" s="114">
        <v>1043</v>
      </c>
      <c r="J708" s="116" t="s">
        <v>263</v>
      </c>
    </row>
    <row r="709" spans="1:10" x14ac:dyDescent="0.25">
      <c r="A709" s="114">
        <v>706</v>
      </c>
      <c r="B709" s="115" t="s">
        <v>2126</v>
      </c>
      <c r="C709" s="116" t="s">
        <v>2127</v>
      </c>
      <c r="D709" s="116" t="s">
        <v>437</v>
      </c>
      <c r="E709" s="116" t="s">
        <v>2128</v>
      </c>
      <c r="F709" s="117">
        <v>101.47203062324449</v>
      </c>
      <c r="G709" s="117">
        <v>106.45533062324449</v>
      </c>
      <c r="H709" s="117">
        <v>25.18</v>
      </c>
      <c r="I709" s="114">
        <v>921</v>
      </c>
      <c r="J709" s="116" t="s">
        <v>263</v>
      </c>
    </row>
    <row r="710" spans="1:10" x14ac:dyDescent="0.25">
      <c r="A710" s="114">
        <v>707</v>
      </c>
      <c r="B710" s="115" t="s">
        <v>1395</v>
      </c>
      <c r="C710" s="116" t="s">
        <v>1396</v>
      </c>
      <c r="D710" s="116" t="s">
        <v>427</v>
      </c>
      <c r="E710" s="116" t="s">
        <v>1397</v>
      </c>
      <c r="F710" s="117">
        <v>52664.62</v>
      </c>
      <c r="G710" s="117">
        <v>52664.62</v>
      </c>
      <c r="H710" s="117">
        <v>0</v>
      </c>
      <c r="I710" s="114">
        <v>0</v>
      </c>
      <c r="J710" s="116" t="s">
        <v>232</v>
      </c>
    </row>
    <row r="711" spans="1:10" x14ac:dyDescent="0.25">
      <c r="A711" s="114">
        <v>708</v>
      </c>
      <c r="B711" s="115" t="s">
        <v>1908</v>
      </c>
      <c r="C711" s="116" t="s">
        <v>1909</v>
      </c>
      <c r="D711" s="116" t="s">
        <v>437</v>
      </c>
      <c r="E711" s="116" t="s">
        <v>111</v>
      </c>
      <c r="F711" s="117">
        <v>97.288899999999998</v>
      </c>
      <c r="G711" s="117">
        <v>97.288899999999998</v>
      </c>
      <c r="H711" s="117">
        <v>16.14</v>
      </c>
      <c r="I711" s="114">
        <v>63</v>
      </c>
      <c r="J711" s="116" t="s">
        <v>263</v>
      </c>
    </row>
    <row r="712" spans="1:10" x14ac:dyDescent="0.25">
      <c r="A712" s="114">
        <v>709</v>
      </c>
      <c r="B712" s="115" t="s">
        <v>2046</v>
      </c>
      <c r="C712" s="116" t="s">
        <v>2047</v>
      </c>
      <c r="D712" s="116" t="s">
        <v>437</v>
      </c>
      <c r="E712" s="116" t="s">
        <v>111</v>
      </c>
      <c r="F712" s="117">
        <v>93.1905</v>
      </c>
      <c r="G712" s="117">
        <v>93.1905</v>
      </c>
      <c r="H712" s="117">
        <v>16.57</v>
      </c>
      <c r="I712" s="114">
        <v>161</v>
      </c>
      <c r="J712" s="116" t="s">
        <v>263</v>
      </c>
    </row>
    <row r="713" spans="1:10" x14ac:dyDescent="0.25">
      <c r="A713" s="114">
        <v>710</v>
      </c>
      <c r="B713" s="115" t="s">
        <v>1398</v>
      </c>
      <c r="C713" s="116" t="s">
        <v>1399</v>
      </c>
      <c r="D713" s="116" t="s">
        <v>427</v>
      </c>
      <c r="E713" s="116" t="s">
        <v>1400</v>
      </c>
      <c r="F713" s="117">
        <v>0.01</v>
      </c>
      <c r="G713" s="117">
        <v>0.01</v>
      </c>
      <c r="H713" s="117">
        <v>0</v>
      </c>
      <c r="I713" s="114">
        <v>0</v>
      </c>
      <c r="J713" s="116" t="s">
        <v>232</v>
      </c>
    </row>
    <row r="714" spans="1:10" x14ac:dyDescent="0.25">
      <c r="A714" s="114">
        <v>711</v>
      </c>
      <c r="B714" s="115" t="s">
        <v>1401</v>
      </c>
      <c r="C714" s="116" t="s">
        <v>1402</v>
      </c>
      <c r="D714" s="116" t="s">
        <v>427</v>
      </c>
      <c r="E714" s="116" t="s">
        <v>1400</v>
      </c>
      <c r="F714" s="117">
        <v>5695</v>
      </c>
      <c r="G714" s="117">
        <v>5695</v>
      </c>
      <c r="H714" s="117">
        <v>0</v>
      </c>
      <c r="I714" s="114">
        <v>0</v>
      </c>
      <c r="J714" s="116" t="s">
        <v>232</v>
      </c>
    </row>
    <row r="715" spans="1:10" x14ac:dyDescent="0.25">
      <c r="A715" s="114">
        <v>712</v>
      </c>
      <c r="B715" s="115" t="s">
        <v>1403</v>
      </c>
      <c r="C715" s="116" t="s">
        <v>1404</v>
      </c>
      <c r="D715" s="116" t="s">
        <v>427</v>
      </c>
      <c r="E715" s="116" t="s">
        <v>1405</v>
      </c>
      <c r="F715" s="117">
        <v>13000</v>
      </c>
      <c r="G715" s="117">
        <v>13000</v>
      </c>
      <c r="H715" s="117">
        <v>0</v>
      </c>
      <c r="I715" s="114">
        <v>0</v>
      </c>
      <c r="J715" s="116" t="s">
        <v>232</v>
      </c>
    </row>
    <row r="716" spans="1:10" x14ac:dyDescent="0.25">
      <c r="A716" s="114">
        <v>713</v>
      </c>
      <c r="B716" s="115" t="s">
        <v>1406</v>
      </c>
      <c r="C716" s="116" t="s">
        <v>1407</v>
      </c>
      <c r="D716" s="116" t="s">
        <v>437</v>
      </c>
      <c r="E716" s="116" t="s">
        <v>1408</v>
      </c>
      <c r="F716" s="117">
        <v>90.309652687802611</v>
      </c>
      <c r="G716" s="117">
        <v>91.426352687802606</v>
      </c>
      <c r="H716" s="117">
        <v>10.84</v>
      </c>
      <c r="I716" s="114">
        <v>833</v>
      </c>
      <c r="J716" s="116" t="s">
        <v>263</v>
      </c>
    </row>
    <row r="717" spans="1:10" x14ac:dyDescent="0.25">
      <c r="A717" s="114">
        <v>714</v>
      </c>
      <c r="B717" s="115" t="s">
        <v>115</v>
      </c>
      <c r="C717" s="116" t="s">
        <v>4</v>
      </c>
      <c r="D717" s="116" t="s">
        <v>437</v>
      </c>
      <c r="E717" s="116" t="s">
        <v>111</v>
      </c>
      <c r="F717" s="117">
        <v>99.227699999999999</v>
      </c>
      <c r="G717" s="117">
        <v>103.19929999999999</v>
      </c>
      <c r="H717" s="117">
        <v>16.690000000000001</v>
      </c>
      <c r="I717" s="114">
        <v>46</v>
      </c>
      <c r="J717" s="116" t="s">
        <v>263</v>
      </c>
    </row>
    <row r="718" spans="1:10" x14ac:dyDescent="0.25">
      <c r="A718" s="114">
        <v>715</v>
      </c>
      <c r="B718" s="115" t="s">
        <v>116</v>
      </c>
      <c r="C718" s="116" t="s">
        <v>117</v>
      </c>
      <c r="D718" s="116" t="s">
        <v>437</v>
      </c>
      <c r="E718" s="116" t="s">
        <v>111</v>
      </c>
      <c r="F718" s="117">
        <v>98.531000000000006</v>
      </c>
      <c r="G718" s="117">
        <v>104.6803</v>
      </c>
      <c r="H718" s="117">
        <v>16.59</v>
      </c>
      <c r="I718" s="114">
        <v>199</v>
      </c>
      <c r="J718" s="116" t="s">
        <v>263</v>
      </c>
    </row>
    <row r="719" spans="1:10" x14ac:dyDescent="0.25">
      <c r="A719" s="114">
        <v>716</v>
      </c>
      <c r="B719" s="115" t="s">
        <v>118</v>
      </c>
      <c r="C719" s="116" t="s">
        <v>119</v>
      </c>
      <c r="D719" s="116" t="s">
        <v>437</v>
      </c>
      <c r="E719" s="116" t="s">
        <v>111</v>
      </c>
      <c r="F719" s="117">
        <v>97.990399999999994</v>
      </c>
      <c r="G719" s="117">
        <v>101.0407</v>
      </c>
      <c r="H719" s="117">
        <v>16.649999999999999</v>
      </c>
      <c r="I719" s="114">
        <v>281</v>
      </c>
      <c r="J719" s="116" t="s">
        <v>263</v>
      </c>
    </row>
    <row r="720" spans="1:10" x14ac:dyDescent="0.25">
      <c r="A720" s="114">
        <v>717</v>
      </c>
      <c r="B720" s="115" t="s">
        <v>2245</v>
      </c>
      <c r="C720" s="116" t="s">
        <v>2244</v>
      </c>
      <c r="D720" s="116" t="s">
        <v>437</v>
      </c>
      <c r="E720" s="116" t="s">
        <v>111</v>
      </c>
      <c r="F720" s="117">
        <v>102.5604</v>
      </c>
      <c r="G720" s="117">
        <v>108.13590000000001</v>
      </c>
      <c r="H720" s="117">
        <v>16.03</v>
      </c>
      <c r="I720" s="114">
        <v>1322</v>
      </c>
      <c r="J720" s="116" t="s">
        <v>263</v>
      </c>
    </row>
    <row r="721" spans="1:10" x14ac:dyDescent="0.25">
      <c r="A721" s="114">
        <v>718</v>
      </c>
      <c r="B721" s="115" t="s">
        <v>120</v>
      </c>
      <c r="C721" s="116" t="s">
        <v>121</v>
      </c>
      <c r="D721" s="116" t="s">
        <v>437</v>
      </c>
      <c r="E721" s="116" t="s">
        <v>111</v>
      </c>
      <c r="F721" s="117">
        <v>96.238399999999999</v>
      </c>
      <c r="G721" s="117">
        <v>99.767600000000002</v>
      </c>
      <c r="H721" s="117">
        <v>16.64</v>
      </c>
      <c r="I721" s="114">
        <v>239</v>
      </c>
      <c r="J721" s="116" t="s">
        <v>263</v>
      </c>
    </row>
    <row r="722" spans="1:10" x14ac:dyDescent="0.25">
      <c r="A722" s="114">
        <v>719</v>
      </c>
      <c r="B722" s="115" t="s">
        <v>122</v>
      </c>
      <c r="C722" s="116" t="s">
        <v>123</v>
      </c>
      <c r="D722" s="116" t="s">
        <v>437</v>
      </c>
      <c r="E722" s="116" t="s">
        <v>111</v>
      </c>
      <c r="F722" s="117">
        <v>98.248400000000004</v>
      </c>
      <c r="G722" s="117">
        <v>98.973299999999995</v>
      </c>
      <c r="H722" s="117">
        <v>16.420000000000002</v>
      </c>
      <c r="I722" s="114">
        <v>703</v>
      </c>
      <c r="J722" s="116" t="s">
        <v>263</v>
      </c>
    </row>
    <row r="723" spans="1:10" x14ac:dyDescent="0.25">
      <c r="A723" s="114">
        <v>720</v>
      </c>
      <c r="B723" s="115" t="s">
        <v>2420</v>
      </c>
      <c r="C723" s="116" t="s">
        <v>2421</v>
      </c>
      <c r="D723" s="116" t="s">
        <v>437</v>
      </c>
      <c r="E723" s="116" t="s">
        <v>111</v>
      </c>
      <c r="F723" s="117">
        <v>103.5822</v>
      </c>
      <c r="G723" s="117">
        <v>106.2189</v>
      </c>
      <c r="H723" s="117">
        <v>15.84</v>
      </c>
      <c r="I723" s="114">
        <v>1744</v>
      </c>
      <c r="J723" s="116" t="s">
        <v>263</v>
      </c>
    </row>
    <row r="724" spans="1:10" x14ac:dyDescent="0.25">
      <c r="A724" s="114">
        <v>721</v>
      </c>
      <c r="B724" s="115" t="s">
        <v>2338</v>
      </c>
      <c r="C724" s="116" t="s">
        <v>2339</v>
      </c>
      <c r="D724" s="116" t="s">
        <v>437</v>
      </c>
      <c r="E724" s="116" t="s">
        <v>2340</v>
      </c>
      <c r="F724" s="117">
        <v>100.01029446336339</v>
      </c>
      <c r="G724" s="117">
        <v>100.6769944633634</v>
      </c>
      <c r="H724" s="117">
        <v>9.99</v>
      </c>
      <c r="I724" s="114">
        <v>636</v>
      </c>
      <c r="J724" s="116" t="s">
        <v>263</v>
      </c>
    </row>
    <row r="725" spans="1:10" x14ac:dyDescent="0.25">
      <c r="A725" s="114">
        <v>722</v>
      </c>
      <c r="B725" s="115" t="s">
        <v>1409</v>
      </c>
      <c r="C725" s="116" t="s">
        <v>1410</v>
      </c>
      <c r="D725" s="116" t="s">
        <v>427</v>
      </c>
      <c r="E725" s="116" t="s">
        <v>1411</v>
      </c>
      <c r="F725" s="117">
        <v>0.01</v>
      </c>
      <c r="G725" s="117">
        <v>0.01</v>
      </c>
      <c r="H725" s="117">
        <v>0</v>
      </c>
      <c r="I725" s="114">
        <v>0</v>
      </c>
      <c r="J725" s="116" t="s">
        <v>232</v>
      </c>
    </row>
    <row r="726" spans="1:10" x14ac:dyDescent="0.25">
      <c r="A726" s="114">
        <v>723</v>
      </c>
      <c r="B726" s="115" t="s">
        <v>1412</v>
      </c>
      <c r="C726" s="116" t="s">
        <v>1413</v>
      </c>
      <c r="D726" s="116" t="s">
        <v>427</v>
      </c>
      <c r="E726" s="116" t="s">
        <v>1414</v>
      </c>
      <c r="F726" s="117">
        <v>12819.617050000001</v>
      </c>
      <c r="G726" s="117">
        <v>12819.617050000001</v>
      </c>
      <c r="H726" s="117">
        <v>0</v>
      </c>
      <c r="I726" s="114">
        <v>0</v>
      </c>
      <c r="J726" s="116" t="s">
        <v>232</v>
      </c>
    </row>
    <row r="727" spans="1:10" x14ac:dyDescent="0.25">
      <c r="A727" s="114">
        <v>724</v>
      </c>
      <c r="B727" s="115" t="s">
        <v>1415</v>
      </c>
      <c r="C727" s="116" t="s">
        <v>1416</v>
      </c>
      <c r="D727" s="116" t="s">
        <v>427</v>
      </c>
      <c r="E727" s="116" t="s">
        <v>1417</v>
      </c>
      <c r="F727" s="117">
        <v>241990.77160000001</v>
      </c>
      <c r="G727" s="117">
        <v>241990.77160000001</v>
      </c>
      <c r="H727" s="117">
        <v>0</v>
      </c>
      <c r="I727" s="114">
        <v>0</v>
      </c>
      <c r="J727" s="116" t="s">
        <v>232</v>
      </c>
    </row>
    <row r="728" spans="1:10" x14ac:dyDescent="0.25">
      <c r="A728" s="114">
        <v>725</v>
      </c>
      <c r="B728" s="115" t="s">
        <v>1418</v>
      </c>
      <c r="C728" s="116" t="s">
        <v>1419</v>
      </c>
      <c r="D728" s="116" t="s">
        <v>427</v>
      </c>
      <c r="E728" s="116" t="s">
        <v>1420</v>
      </c>
      <c r="F728" s="117">
        <v>98383.811700000006</v>
      </c>
      <c r="G728" s="117">
        <v>98383.811700000006</v>
      </c>
      <c r="H728" s="117">
        <v>0</v>
      </c>
      <c r="I728" s="114">
        <v>0</v>
      </c>
      <c r="J728" s="116" t="s">
        <v>232</v>
      </c>
    </row>
    <row r="729" spans="1:10" x14ac:dyDescent="0.25">
      <c r="A729" s="114">
        <v>726</v>
      </c>
      <c r="B729" s="115" t="s">
        <v>2223</v>
      </c>
      <c r="C729" s="116" t="s">
        <v>2217</v>
      </c>
      <c r="D729" s="116" t="s">
        <v>437</v>
      </c>
      <c r="E729" s="116" t="s">
        <v>111</v>
      </c>
      <c r="F729" s="117">
        <v>100</v>
      </c>
      <c r="G729" s="117">
        <v>100</v>
      </c>
      <c r="H729" s="117">
        <v>17.588999999999999</v>
      </c>
      <c r="I729" s="114">
        <v>1333</v>
      </c>
      <c r="J729" s="116" t="s">
        <v>263</v>
      </c>
    </row>
    <row r="730" spans="1:10" x14ac:dyDescent="0.25">
      <c r="A730" s="114">
        <v>727</v>
      </c>
      <c r="B730" s="115" t="s">
        <v>124</v>
      </c>
      <c r="C730" s="116" t="s">
        <v>125</v>
      </c>
      <c r="D730" s="116" t="s">
        <v>437</v>
      </c>
      <c r="E730" s="116" t="s">
        <v>111</v>
      </c>
      <c r="F730" s="117">
        <v>100</v>
      </c>
      <c r="G730" s="117">
        <v>100</v>
      </c>
      <c r="H730" s="117">
        <v>17.559000000000001</v>
      </c>
      <c r="I730" s="114">
        <v>274</v>
      </c>
      <c r="J730" s="116" t="s">
        <v>263</v>
      </c>
    </row>
    <row r="731" spans="1:10" x14ac:dyDescent="0.25">
      <c r="A731" s="114">
        <v>728</v>
      </c>
      <c r="B731" s="115" t="s">
        <v>126</v>
      </c>
      <c r="C731" s="116" t="s">
        <v>127</v>
      </c>
      <c r="D731" s="116" t="s">
        <v>437</v>
      </c>
      <c r="E731" s="116" t="s">
        <v>111</v>
      </c>
      <c r="F731" s="117">
        <v>100</v>
      </c>
      <c r="G731" s="117">
        <v>100</v>
      </c>
      <c r="H731" s="117">
        <v>17.709</v>
      </c>
      <c r="I731" s="114">
        <v>669</v>
      </c>
      <c r="J731" s="116" t="s">
        <v>263</v>
      </c>
    </row>
    <row r="732" spans="1:10" x14ac:dyDescent="0.25">
      <c r="A732" s="114">
        <v>729</v>
      </c>
      <c r="B732" s="115" t="s">
        <v>128</v>
      </c>
      <c r="C732" s="116" t="s">
        <v>129</v>
      </c>
      <c r="D732" s="116" t="s">
        <v>437</v>
      </c>
      <c r="E732" s="116" t="s">
        <v>111</v>
      </c>
      <c r="F732" s="117">
        <v>100</v>
      </c>
      <c r="G732" s="117">
        <v>100</v>
      </c>
      <c r="H732" s="117">
        <v>17.908999999999999</v>
      </c>
      <c r="I732" s="114">
        <v>1063</v>
      </c>
      <c r="J732" s="116" t="s">
        <v>263</v>
      </c>
    </row>
    <row r="733" spans="1:10" x14ac:dyDescent="0.25">
      <c r="A733" s="114">
        <v>730</v>
      </c>
      <c r="B733" s="115" t="s">
        <v>130</v>
      </c>
      <c r="C733" s="116" t="s">
        <v>131</v>
      </c>
      <c r="D733" s="116" t="s">
        <v>437</v>
      </c>
      <c r="E733" s="116" t="s">
        <v>111</v>
      </c>
      <c r="F733" s="117">
        <v>100</v>
      </c>
      <c r="G733" s="117">
        <v>100</v>
      </c>
      <c r="H733" s="117">
        <v>18.009</v>
      </c>
      <c r="I733" s="114">
        <v>1528</v>
      </c>
      <c r="J733" s="116" t="s">
        <v>263</v>
      </c>
    </row>
    <row r="734" spans="1:10" x14ac:dyDescent="0.25">
      <c r="A734" s="114">
        <v>731</v>
      </c>
      <c r="B734" s="115" t="s">
        <v>132</v>
      </c>
      <c r="C734" s="116" t="s">
        <v>133</v>
      </c>
      <c r="D734" s="116" t="s">
        <v>437</v>
      </c>
      <c r="E734" s="116" t="s">
        <v>111</v>
      </c>
      <c r="F734" s="117">
        <v>100</v>
      </c>
      <c r="G734" s="117">
        <v>100</v>
      </c>
      <c r="H734" s="117">
        <v>18.109000000000002</v>
      </c>
      <c r="I734" s="114">
        <v>1838</v>
      </c>
      <c r="J734" s="116" t="s">
        <v>263</v>
      </c>
    </row>
    <row r="735" spans="1:10" x14ac:dyDescent="0.25">
      <c r="A735" s="114">
        <v>732</v>
      </c>
      <c r="B735" s="115" t="s">
        <v>273</v>
      </c>
      <c r="C735" s="116" t="s">
        <v>274</v>
      </c>
      <c r="D735" s="116" t="s">
        <v>437</v>
      </c>
      <c r="E735" s="116" t="s">
        <v>111</v>
      </c>
      <c r="F735" s="117">
        <v>99.893000000000001</v>
      </c>
      <c r="G735" s="117">
        <v>99.893000000000001</v>
      </c>
      <c r="H735" s="117">
        <v>12.465</v>
      </c>
      <c r="I735" s="114">
        <v>295</v>
      </c>
      <c r="J735" s="116" t="s">
        <v>263</v>
      </c>
    </row>
    <row r="736" spans="1:10" x14ac:dyDescent="0.25">
      <c r="A736" s="114">
        <v>733</v>
      </c>
      <c r="B736" s="115" t="s">
        <v>275</v>
      </c>
      <c r="C736" s="116" t="s">
        <v>276</v>
      </c>
      <c r="D736" s="116" t="s">
        <v>437</v>
      </c>
      <c r="E736" s="116" t="s">
        <v>111</v>
      </c>
      <c r="F736" s="117">
        <v>99.840500000000006</v>
      </c>
      <c r="G736" s="117">
        <v>99.840500000000006</v>
      </c>
      <c r="H736" s="117">
        <v>12.465</v>
      </c>
      <c r="I736" s="114">
        <v>114</v>
      </c>
      <c r="J736" s="116" t="s">
        <v>263</v>
      </c>
    </row>
    <row r="737" spans="1:10" x14ac:dyDescent="0.25">
      <c r="A737" s="114">
        <v>734</v>
      </c>
      <c r="B737" s="115" t="s">
        <v>277</v>
      </c>
      <c r="C737" s="116" t="s">
        <v>278</v>
      </c>
      <c r="D737" s="116" t="s">
        <v>437</v>
      </c>
      <c r="E737" s="116" t="s">
        <v>111</v>
      </c>
      <c r="F737" s="117">
        <v>99.857200000000006</v>
      </c>
      <c r="G737" s="117">
        <v>99.857200000000006</v>
      </c>
      <c r="H737" s="117">
        <v>12.465</v>
      </c>
      <c r="I737" s="114">
        <v>263</v>
      </c>
      <c r="J737" s="116" t="s">
        <v>263</v>
      </c>
    </row>
    <row r="738" spans="1:10" x14ac:dyDescent="0.25">
      <c r="A738" s="114">
        <v>735</v>
      </c>
      <c r="B738" s="115" t="s">
        <v>279</v>
      </c>
      <c r="C738" s="116" t="s">
        <v>280</v>
      </c>
      <c r="D738" s="116" t="s">
        <v>437</v>
      </c>
      <c r="E738" s="116" t="s">
        <v>111</v>
      </c>
      <c r="F738" s="117">
        <v>99.983599999999996</v>
      </c>
      <c r="G738" s="117">
        <v>99.983599999999996</v>
      </c>
      <c r="H738" s="117">
        <v>12.555</v>
      </c>
      <c r="I738" s="114">
        <v>1088</v>
      </c>
      <c r="J738" s="116" t="s">
        <v>263</v>
      </c>
    </row>
    <row r="739" spans="1:10" x14ac:dyDescent="0.25">
      <c r="A739" s="114">
        <v>736</v>
      </c>
      <c r="B739" s="115" t="s">
        <v>281</v>
      </c>
      <c r="C739" s="116" t="s">
        <v>282</v>
      </c>
      <c r="D739" s="116" t="s">
        <v>437</v>
      </c>
      <c r="E739" s="116" t="s">
        <v>111</v>
      </c>
      <c r="F739" s="117">
        <v>99.8172</v>
      </c>
      <c r="G739" s="117">
        <v>99.8172</v>
      </c>
      <c r="H739" s="117">
        <v>12.465</v>
      </c>
      <c r="I739" s="114">
        <v>173</v>
      </c>
      <c r="J739" s="116" t="s">
        <v>263</v>
      </c>
    </row>
    <row r="740" spans="1:10" x14ac:dyDescent="0.25">
      <c r="A740" s="114">
        <v>737</v>
      </c>
      <c r="B740" s="115" t="s">
        <v>283</v>
      </c>
      <c r="C740" s="116" t="s">
        <v>284</v>
      </c>
      <c r="D740" s="116" t="s">
        <v>437</v>
      </c>
      <c r="E740" s="116" t="s">
        <v>111</v>
      </c>
      <c r="F740" s="117">
        <v>99.871399999999994</v>
      </c>
      <c r="G740" s="117">
        <v>99.871399999999994</v>
      </c>
      <c r="H740" s="117">
        <v>12.555</v>
      </c>
      <c r="I740" s="114">
        <v>1519</v>
      </c>
      <c r="J740" s="116" t="s">
        <v>263</v>
      </c>
    </row>
    <row r="741" spans="1:10" x14ac:dyDescent="0.25">
      <c r="A741" s="114">
        <v>738</v>
      </c>
      <c r="B741" s="115" t="s">
        <v>285</v>
      </c>
      <c r="C741" s="116" t="s">
        <v>286</v>
      </c>
      <c r="D741" s="116" t="s">
        <v>437</v>
      </c>
      <c r="E741" s="116" t="s">
        <v>111</v>
      </c>
      <c r="F741" s="117">
        <v>99.8172</v>
      </c>
      <c r="G741" s="117">
        <v>99.8172</v>
      </c>
      <c r="H741" s="117">
        <v>12.465</v>
      </c>
      <c r="I741" s="114">
        <v>173</v>
      </c>
      <c r="J741" s="116" t="s">
        <v>263</v>
      </c>
    </row>
    <row r="742" spans="1:10" x14ac:dyDescent="0.25">
      <c r="A742" s="114">
        <v>739</v>
      </c>
      <c r="B742" s="115" t="s">
        <v>287</v>
      </c>
      <c r="C742" s="116" t="s">
        <v>288</v>
      </c>
      <c r="D742" s="116" t="s">
        <v>437</v>
      </c>
      <c r="E742" s="116" t="s">
        <v>111</v>
      </c>
      <c r="F742" s="117">
        <v>99.835099999999997</v>
      </c>
      <c r="G742" s="117">
        <v>99.835099999999997</v>
      </c>
      <c r="H742" s="117">
        <v>12.465</v>
      </c>
      <c r="I742" s="114">
        <v>235</v>
      </c>
      <c r="J742" s="116" t="s">
        <v>263</v>
      </c>
    </row>
    <row r="743" spans="1:10" x14ac:dyDescent="0.25">
      <c r="A743" s="114">
        <v>740</v>
      </c>
      <c r="B743" s="115" t="s">
        <v>289</v>
      </c>
      <c r="C743" s="116" t="s">
        <v>290</v>
      </c>
      <c r="D743" s="116" t="s">
        <v>437</v>
      </c>
      <c r="E743" s="116" t="s">
        <v>111</v>
      </c>
      <c r="F743" s="117">
        <v>99.823599999999999</v>
      </c>
      <c r="G743" s="117">
        <v>99.823599999999999</v>
      </c>
      <c r="H743" s="117">
        <v>12.465</v>
      </c>
      <c r="I743" s="114">
        <v>504</v>
      </c>
      <c r="J743" s="116" t="s">
        <v>263</v>
      </c>
    </row>
    <row r="744" spans="1:10" x14ac:dyDescent="0.25">
      <c r="A744" s="114">
        <v>741</v>
      </c>
      <c r="B744" s="115" t="s">
        <v>291</v>
      </c>
      <c r="C744" s="116" t="s">
        <v>292</v>
      </c>
      <c r="D744" s="116" t="s">
        <v>437</v>
      </c>
      <c r="E744" s="116" t="s">
        <v>111</v>
      </c>
      <c r="F744" s="117">
        <v>99.834500000000006</v>
      </c>
      <c r="G744" s="117">
        <v>99.834500000000006</v>
      </c>
      <c r="H744" s="117">
        <v>12.465</v>
      </c>
      <c r="I744" s="114">
        <v>594</v>
      </c>
      <c r="J744" s="116" t="s">
        <v>263</v>
      </c>
    </row>
    <row r="745" spans="1:10" x14ac:dyDescent="0.25">
      <c r="A745" s="114">
        <v>742</v>
      </c>
      <c r="B745" s="115" t="s">
        <v>293</v>
      </c>
      <c r="C745" s="116" t="s">
        <v>294</v>
      </c>
      <c r="D745" s="116" t="s">
        <v>437</v>
      </c>
      <c r="E745" s="116" t="s">
        <v>111</v>
      </c>
      <c r="F745" s="117">
        <v>99.868799999999993</v>
      </c>
      <c r="G745" s="117">
        <v>99.868799999999993</v>
      </c>
      <c r="H745" s="117">
        <v>12.465</v>
      </c>
      <c r="I745" s="114">
        <v>1163</v>
      </c>
      <c r="J745" s="116" t="s">
        <v>263</v>
      </c>
    </row>
    <row r="746" spans="1:10" x14ac:dyDescent="0.25">
      <c r="A746" s="114">
        <v>743</v>
      </c>
      <c r="B746" s="115" t="s">
        <v>295</v>
      </c>
      <c r="C746" s="116" t="s">
        <v>296</v>
      </c>
      <c r="D746" s="116" t="s">
        <v>437</v>
      </c>
      <c r="E746" s="116" t="s">
        <v>111</v>
      </c>
      <c r="F746" s="117">
        <v>99.820499999999996</v>
      </c>
      <c r="G746" s="117">
        <v>99.820499999999996</v>
      </c>
      <c r="H746" s="117">
        <v>12.465</v>
      </c>
      <c r="I746" s="114">
        <v>1283</v>
      </c>
      <c r="J746" s="116" t="s">
        <v>263</v>
      </c>
    </row>
    <row r="747" spans="1:10" x14ac:dyDescent="0.25">
      <c r="A747" s="114">
        <v>744</v>
      </c>
      <c r="B747" s="115" t="s">
        <v>297</v>
      </c>
      <c r="C747" s="116" t="s">
        <v>298</v>
      </c>
      <c r="D747" s="116" t="s">
        <v>437</v>
      </c>
      <c r="E747" s="116" t="s">
        <v>111</v>
      </c>
      <c r="F747" s="117">
        <v>99.820700000000002</v>
      </c>
      <c r="G747" s="117">
        <v>99.820700000000002</v>
      </c>
      <c r="H747" s="117">
        <v>12.465</v>
      </c>
      <c r="I747" s="114">
        <v>564</v>
      </c>
      <c r="J747" s="116" t="s">
        <v>263</v>
      </c>
    </row>
    <row r="748" spans="1:10" x14ac:dyDescent="0.25">
      <c r="A748" s="114">
        <v>745</v>
      </c>
      <c r="B748" s="115" t="s">
        <v>299</v>
      </c>
      <c r="C748" s="116" t="s">
        <v>300</v>
      </c>
      <c r="D748" s="116" t="s">
        <v>437</v>
      </c>
      <c r="E748" s="116" t="s">
        <v>111</v>
      </c>
      <c r="F748" s="117">
        <v>99.982500000000002</v>
      </c>
      <c r="G748" s="117">
        <v>99.982500000000002</v>
      </c>
      <c r="H748" s="117">
        <v>12.465</v>
      </c>
      <c r="I748" s="114">
        <v>711</v>
      </c>
      <c r="J748" s="116" t="s">
        <v>263</v>
      </c>
    </row>
    <row r="749" spans="1:10" x14ac:dyDescent="0.25">
      <c r="A749" s="114">
        <v>746</v>
      </c>
      <c r="B749" s="115" t="s">
        <v>301</v>
      </c>
      <c r="C749" s="116" t="s">
        <v>302</v>
      </c>
      <c r="D749" s="116" t="s">
        <v>437</v>
      </c>
      <c r="E749" s="116" t="s">
        <v>111</v>
      </c>
      <c r="F749" s="117">
        <v>99.872100000000003</v>
      </c>
      <c r="G749" s="117">
        <v>99.872100000000003</v>
      </c>
      <c r="H749" s="117">
        <v>12.465</v>
      </c>
      <c r="I749" s="114">
        <v>800</v>
      </c>
      <c r="J749" s="116" t="s">
        <v>263</v>
      </c>
    </row>
    <row r="750" spans="1:10" x14ac:dyDescent="0.25">
      <c r="A750" s="114">
        <v>747</v>
      </c>
      <c r="B750" s="115" t="s">
        <v>303</v>
      </c>
      <c r="C750" s="116" t="s">
        <v>304</v>
      </c>
      <c r="D750" s="116" t="s">
        <v>437</v>
      </c>
      <c r="E750" s="116" t="s">
        <v>111</v>
      </c>
      <c r="F750" s="117">
        <v>99.856300000000005</v>
      </c>
      <c r="G750" s="117">
        <v>99.856300000000005</v>
      </c>
      <c r="H750" s="117">
        <v>12.465</v>
      </c>
      <c r="I750" s="114">
        <v>1342</v>
      </c>
      <c r="J750" s="116" t="s">
        <v>263</v>
      </c>
    </row>
    <row r="751" spans="1:10" x14ac:dyDescent="0.25">
      <c r="A751" s="114">
        <v>748</v>
      </c>
      <c r="B751" s="115" t="s">
        <v>305</v>
      </c>
      <c r="C751" s="116" t="s">
        <v>306</v>
      </c>
      <c r="D751" s="116" t="s">
        <v>437</v>
      </c>
      <c r="E751" s="116" t="s">
        <v>111</v>
      </c>
      <c r="F751" s="117">
        <v>99.817099999999996</v>
      </c>
      <c r="G751" s="117">
        <v>99.817099999999996</v>
      </c>
      <c r="H751" s="117">
        <v>12.465</v>
      </c>
      <c r="I751" s="114">
        <v>1615</v>
      </c>
      <c r="J751" s="116" t="s">
        <v>263</v>
      </c>
    </row>
    <row r="752" spans="1:10" x14ac:dyDescent="0.25">
      <c r="A752" s="114">
        <v>749</v>
      </c>
      <c r="B752" s="115" t="s">
        <v>307</v>
      </c>
      <c r="C752" s="116" t="s">
        <v>308</v>
      </c>
      <c r="D752" s="116" t="s">
        <v>437</v>
      </c>
      <c r="E752" s="116" t="s">
        <v>111</v>
      </c>
      <c r="F752" s="117">
        <v>99.856300000000005</v>
      </c>
      <c r="G752" s="117">
        <v>99.856300000000005</v>
      </c>
      <c r="H752" s="117">
        <v>12.465</v>
      </c>
      <c r="I752" s="114">
        <v>982</v>
      </c>
      <c r="J752" s="116" t="s">
        <v>263</v>
      </c>
    </row>
    <row r="753" spans="1:10" x14ac:dyDescent="0.25">
      <c r="A753" s="114">
        <v>750</v>
      </c>
      <c r="B753" s="115" t="s">
        <v>309</v>
      </c>
      <c r="C753" s="116" t="s">
        <v>310</v>
      </c>
      <c r="D753" s="116" t="s">
        <v>437</v>
      </c>
      <c r="E753" s="116" t="s">
        <v>111</v>
      </c>
      <c r="F753" s="117">
        <v>99.951899999999995</v>
      </c>
      <c r="G753" s="117">
        <v>99.951899999999995</v>
      </c>
      <c r="H753" s="117">
        <v>12.465</v>
      </c>
      <c r="I753" s="114">
        <v>1105</v>
      </c>
      <c r="J753" s="116" t="s">
        <v>263</v>
      </c>
    </row>
    <row r="754" spans="1:10" x14ac:dyDescent="0.25">
      <c r="A754" s="114">
        <v>751</v>
      </c>
      <c r="B754" s="115" t="s">
        <v>311</v>
      </c>
      <c r="C754" s="116" t="s">
        <v>312</v>
      </c>
      <c r="D754" s="116" t="s">
        <v>437</v>
      </c>
      <c r="E754" s="116" t="s">
        <v>111</v>
      </c>
      <c r="F754" s="117">
        <v>99.820700000000002</v>
      </c>
      <c r="G754" s="117">
        <v>99.820700000000002</v>
      </c>
      <c r="H754" s="117">
        <v>12.465</v>
      </c>
      <c r="I754" s="114">
        <v>1284</v>
      </c>
      <c r="J754" s="116" t="s">
        <v>263</v>
      </c>
    </row>
    <row r="755" spans="1:10" x14ac:dyDescent="0.25">
      <c r="A755" s="114">
        <v>752</v>
      </c>
      <c r="B755" s="115" t="s">
        <v>313</v>
      </c>
      <c r="C755" s="116" t="s">
        <v>314</v>
      </c>
      <c r="D755" s="116" t="s">
        <v>437</v>
      </c>
      <c r="E755" s="116" t="s">
        <v>111</v>
      </c>
      <c r="F755" s="117">
        <v>99.906800000000004</v>
      </c>
      <c r="G755" s="117">
        <v>99.906800000000004</v>
      </c>
      <c r="H755" s="117">
        <v>12.465</v>
      </c>
      <c r="I755" s="114">
        <v>1493</v>
      </c>
      <c r="J755" s="116" t="s">
        <v>263</v>
      </c>
    </row>
    <row r="756" spans="1:10" x14ac:dyDescent="0.25">
      <c r="A756" s="114">
        <v>753</v>
      </c>
      <c r="B756" s="115" t="s">
        <v>315</v>
      </c>
      <c r="C756" s="116" t="s">
        <v>316</v>
      </c>
      <c r="D756" s="116" t="s">
        <v>437</v>
      </c>
      <c r="E756" s="116" t="s">
        <v>111</v>
      </c>
      <c r="F756" s="117">
        <v>99.891800000000003</v>
      </c>
      <c r="G756" s="117">
        <v>99.891800000000003</v>
      </c>
      <c r="H756" s="117">
        <v>12.465</v>
      </c>
      <c r="I756" s="114">
        <v>1734</v>
      </c>
      <c r="J756" s="116" t="s">
        <v>263</v>
      </c>
    </row>
    <row r="757" spans="1:10" x14ac:dyDescent="0.25">
      <c r="A757" s="114">
        <v>754</v>
      </c>
      <c r="B757" s="115" t="s">
        <v>317</v>
      </c>
      <c r="C757" s="116" t="s">
        <v>318</v>
      </c>
      <c r="D757" s="116" t="s">
        <v>437</v>
      </c>
      <c r="E757" s="116" t="s">
        <v>111</v>
      </c>
      <c r="F757" s="117">
        <v>99.889200000000002</v>
      </c>
      <c r="G757" s="117">
        <v>99.889200000000002</v>
      </c>
      <c r="H757" s="117">
        <v>12.465</v>
      </c>
      <c r="I757" s="114">
        <v>2092</v>
      </c>
      <c r="J757" s="116" t="s">
        <v>263</v>
      </c>
    </row>
    <row r="758" spans="1:10" x14ac:dyDescent="0.25">
      <c r="A758" s="114">
        <v>755</v>
      </c>
      <c r="B758" s="115" t="s">
        <v>319</v>
      </c>
      <c r="C758" s="116" t="s">
        <v>320</v>
      </c>
      <c r="D758" s="116" t="s">
        <v>437</v>
      </c>
      <c r="E758" s="116" t="s">
        <v>111</v>
      </c>
      <c r="F758" s="117">
        <v>99.953699999999998</v>
      </c>
      <c r="G758" s="117">
        <v>99.953699999999998</v>
      </c>
      <c r="H758" s="117">
        <v>12.465</v>
      </c>
      <c r="I758" s="114">
        <v>2184</v>
      </c>
      <c r="J758" s="116" t="s">
        <v>263</v>
      </c>
    </row>
    <row r="759" spans="1:10" x14ac:dyDescent="0.25">
      <c r="A759" s="114">
        <v>756</v>
      </c>
      <c r="B759" s="115" t="s">
        <v>134</v>
      </c>
      <c r="C759" s="116" t="s">
        <v>135</v>
      </c>
      <c r="D759" s="116" t="s">
        <v>437</v>
      </c>
      <c r="E759" s="116" t="s">
        <v>111</v>
      </c>
      <c r="F759" s="117">
        <v>91.667100000000005</v>
      </c>
      <c r="G759" s="117">
        <v>97.329300000000003</v>
      </c>
      <c r="H759" s="117">
        <v>17.18</v>
      </c>
      <c r="I759" s="114">
        <v>524</v>
      </c>
      <c r="J759" s="116" t="s">
        <v>263</v>
      </c>
    </row>
    <row r="760" spans="1:10" x14ac:dyDescent="0.25">
      <c r="A760" s="114">
        <v>757</v>
      </c>
      <c r="B760" s="115" t="s">
        <v>136</v>
      </c>
      <c r="C760" s="116" t="s">
        <v>137</v>
      </c>
      <c r="D760" s="116" t="s">
        <v>437</v>
      </c>
      <c r="E760" s="116" t="s">
        <v>111</v>
      </c>
      <c r="F760" s="117">
        <v>96.391300000000001</v>
      </c>
      <c r="G760" s="117">
        <v>107.9513</v>
      </c>
      <c r="H760" s="117">
        <v>16.739999999999998</v>
      </c>
      <c r="I760" s="114">
        <v>1168</v>
      </c>
      <c r="J760" s="116" t="s">
        <v>263</v>
      </c>
    </row>
    <row r="761" spans="1:10" x14ac:dyDescent="0.25">
      <c r="A761" s="114">
        <v>758</v>
      </c>
      <c r="B761" s="115" t="s">
        <v>138</v>
      </c>
      <c r="C761" s="116" t="s">
        <v>139</v>
      </c>
      <c r="D761" s="116" t="s">
        <v>437</v>
      </c>
      <c r="E761" s="116" t="s">
        <v>111</v>
      </c>
      <c r="F761" s="117">
        <v>86.742999999999995</v>
      </c>
      <c r="G761" s="117">
        <v>95.676299999999998</v>
      </c>
      <c r="H761" s="117">
        <v>16.52</v>
      </c>
      <c r="I761" s="114">
        <v>1532</v>
      </c>
      <c r="J761" s="116" t="s">
        <v>263</v>
      </c>
    </row>
    <row r="762" spans="1:10" x14ac:dyDescent="0.25">
      <c r="A762" s="114">
        <v>759</v>
      </c>
      <c r="B762" s="115" t="s">
        <v>140</v>
      </c>
      <c r="C762" s="116" t="s">
        <v>6</v>
      </c>
      <c r="D762" s="116" t="s">
        <v>437</v>
      </c>
      <c r="E762" s="116" t="s">
        <v>111</v>
      </c>
      <c r="F762" s="117">
        <v>87.875900000000001</v>
      </c>
      <c r="G762" s="117">
        <v>94.606999999999999</v>
      </c>
      <c r="H762" s="117">
        <v>16.97</v>
      </c>
      <c r="I762" s="114">
        <v>847</v>
      </c>
      <c r="J762" s="116" t="s">
        <v>263</v>
      </c>
    </row>
    <row r="763" spans="1:10" x14ac:dyDescent="0.25">
      <c r="A763" s="114">
        <v>760</v>
      </c>
      <c r="B763" s="115" t="s">
        <v>141</v>
      </c>
      <c r="C763" s="116" t="s">
        <v>142</v>
      </c>
      <c r="D763" s="116" t="s">
        <v>437</v>
      </c>
      <c r="E763" s="116" t="s">
        <v>111</v>
      </c>
      <c r="F763" s="117">
        <v>85.170199999999994</v>
      </c>
      <c r="G763" s="117">
        <v>94.603499999999997</v>
      </c>
      <c r="H763" s="117">
        <v>16.399999999999999</v>
      </c>
      <c r="I763" s="114">
        <v>1877</v>
      </c>
      <c r="J763" s="116" t="s">
        <v>263</v>
      </c>
    </row>
    <row r="764" spans="1:10" x14ac:dyDescent="0.25">
      <c r="A764" s="114">
        <v>761</v>
      </c>
      <c r="B764" s="115" t="s">
        <v>1942</v>
      </c>
      <c r="C764" s="116" t="s">
        <v>1943</v>
      </c>
      <c r="D764" s="116" t="s">
        <v>437</v>
      </c>
      <c r="E764" s="116" t="s">
        <v>111</v>
      </c>
      <c r="F764" s="117">
        <v>93.475899999999996</v>
      </c>
      <c r="G764" s="117">
        <v>104.3853</v>
      </c>
      <c r="H764" s="117">
        <v>16.28</v>
      </c>
      <c r="I764" s="114">
        <v>2251</v>
      </c>
      <c r="J764" s="116" t="s">
        <v>263</v>
      </c>
    </row>
    <row r="765" spans="1:10" x14ac:dyDescent="0.25">
      <c r="A765" s="114">
        <v>762</v>
      </c>
      <c r="B765" s="115" t="s">
        <v>143</v>
      </c>
      <c r="C765" s="116" t="s">
        <v>144</v>
      </c>
      <c r="D765" s="116" t="s">
        <v>437</v>
      </c>
      <c r="E765" s="116" t="s">
        <v>111</v>
      </c>
      <c r="F765" s="117">
        <v>86.240799999999993</v>
      </c>
      <c r="G765" s="117">
        <v>87.346000000000004</v>
      </c>
      <c r="H765" s="117">
        <v>16.82</v>
      </c>
      <c r="I765" s="114">
        <v>1042</v>
      </c>
      <c r="J765" s="116" t="s">
        <v>263</v>
      </c>
    </row>
    <row r="766" spans="1:10" x14ac:dyDescent="0.25">
      <c r="A766" s="114">
        <v>763</v>
      </c>
      <c r="B766" s="115" t="s">
        <v>145</v>
      </c>
      <c r="C766" s="116" t="s">
        <v>8</v>
      </c>
      <c r="D766" s="116" t="s">
        <v>437</v>
      </c>
      <c r="E766" s="116" t="s">
        <v>111</v>
      </c>
      <c r="F766" s="117">
        <v>84.115700000000004</v>
      </c>
      <c r="G766" s="117">
        <v>87.837500000000006</v>
      </c>
      <c r="H766" s="117">
        <v>16.63</v>
      </c>
      <c r="I766" s="114">
        <v>1313</v>
      </c>
      <c r="J766" s="116" t="s">
        <v>263</v>
      </c>
    </row>
    <row r="767" spans="1:10" x14ac:dyDescent="0.25">
      <c r="A767" s="114">
        <v>764</v>
      </c>
      <c r="B767" s="115" t="s">
        <v>146</v>
      </c>
      <c r="C767" s="116" t="s">
        <v>147</v>
      </c>
      <c r="D767" s="116" t="s">
        <v>437</v>
      </c>
      <c r="E767" s="116" t="s">
        <v>111</v>
      </c>
      <c r="F767" s="117">
        <v>84.037700000000001</v>
      </c>
      <c r="G767" s="117">
        <v>93.234899999999996</v>
      </c>
      <c r="H767" s="117">
        <v>16.559999999999999</v>
      </c>
      <c r="I767" s="114">
        <v>1499</v>
      </c>
      <c r="J767" s="116" t="s">
        <v>263</v>
      </c>
    </row>
    <row r="768" spans="1:10" x14ac:dyDescent="0.25">
      <c r="A768" s="114">
        <v>765</v>
      </c>
      <c r="B768" s="115" t="s">
        <v>148</v>
      </c>
      <c r="C768" s="116" t="s">
        <v>149</v>
      </c>
      <c r="D768" s="116" t="s">
        <v>437</v>
      </c>
      <c r="E768" s="116" t="s">
        <v>111</v>
      </c>
      <c r="F768" s="117">
        <v>91.637600000000006</v>
      </c>
      <c r="G768" s="117">
        <v>99.531999999999996</v>
      </c>
      <c r="H768" s="117">
        <v>16.36</v>
      </c>
      <c r="I768" s="114">
        <v>1957</v>
      </c>
      <c r="J768" s="116" t="s">
        <v>263</v>
      </c>
    </row>
    <row r="769" spans="1:10" x14ac:dyDescent="0.25">
      <c r="A769" s="114">
        <v>766</v>
      </c>
      <c r="B769" s="115" t="s">
        <v>2098</v>
      </c>
      <c r="C769" s="116" t="s">
        <v>2099</v>
      </c>
      <c r="D769" s="116" t="s">
        <v>437</v>
      </c>
      <c r="E769" s="116" t="s">
        <v>111</v>
      </c>
      <c r="F769" s="117">
        <v>92.444299999999998</v>
      </c>
      <c r="G769" s="117">
        <v>99.669300000000007</v>
      </c>
      <c r="H769" s="117">
        <v>16.2</v>
      </c>
      <c r="I769" s="114">
        <v>2700</v>
      </c>
      <c r="J769" s="116" t="s">
        <v>263</v>
      </c>
    </row>
    <row r="770" spans="1:10" x14ac:dyDescent="0.25">
      <c r="A770" s="114">
        <v>767</v>
      </c>
      <c r="B770" s="115" t="s">
        <v>150</v>
      </c>
      <c r="C770" s="116" t="s">
        <v>151</v>
      </c>
      <c r="D770" s="116" t="s">
        <v>437</v>
      </c>
      <c r="E770" s="116" t="s">
        <v>111</v>
      </c>
      <c r="F770" s="117">
        <v>95.662999999999997</v>
      </c>
      <c r="G770" s="117">
        <v>99.505200000000002</v>
      </c>
      <c r="H770" s="117">
        <v>17.27</v>
      </c>
      <c r="I770" s="114">
        <v>208</v>
      </c>
      <c r="J770" s="116" t="s">
        <v>263</v>
      </c>
    </row>
    <row r="771" spans="1:10" x14ac:dyDescent="0.25">
      <c r="A771" s="114">
        <v>768</v>
      </c>
      <c r="B771" s="115" t="s">
        <v>152</v>
      </c>
      <c r="C771" s="116" t="s">
        <v>7</v>
      </c>
      <c r="D771" s="116" t="s">
        <v>437</v>
      </c>
      <c r="E771" s="116" t="s">
        <v>111</v>
      </c>
      <c r="F771" s="117">
        <v>86.088999999999999</v>
      </c>
      <c r="G771" s="117">
        <v>93.575100000000006</v>
      </c>
      <c r="H771" s="117">
        <v>16.72</v>
      </c>
      <c r="I771" s="114">
        <v>1195</v>
      </c>
      <c r="J771" s="116" t="s">
        <v>263</v>
      </c>
    </row>
    <row r="772" spans="1:10" x14ac:dyDescent="0.25">
      <c r="A772" s="114">
        <v>769</v>
      </c>
      <c r="B772" s="115" t="s">
        <v>153</v>
      </c>
      <c r="C772" s="116" t="s">
        <v>154</v>
      </c>
      <c r="D772" s="116" t="s">
        <v>437</v>
      </c>
      <c r="E772" s="116" t="s">
        <v>111</v>
      </c>
      <c r="F772" s="117">
        <v>91.085099999999997</v>
      </c>
      <c r="G772" s="117">
        <v>98.707300000000004</v>
      </c>
      <c r="H772" s="117">
        <v>16.260000000000002</v>
      </c>
      <c r="I772" s="114">
        <v>2324</v>
      </c>
      <c r="J772" s="116" t="s">
        <v>263</v>
      </c>
    </row>
    <row r="773" spans="1:10" x14ac:dyDescent="0.25">
      <c r="A773" s="114">
        <v>770</v>
      </c>
      <c r="B773" s="115" t="s">
        <v>1944</v>
      </c>
      <c r="C773" s="116" t="s">
        <v>1945</v>
      </c>
      <c r="D773" s="116" t="s">
        <v>437</v>
      </c>
      <c r="E773" s="116" t="s">
        <v>111</v>
      </c>
      <c r="F773" s="117">
        <v>92.568700000000007</v>
      </c>
      <c r="G773" s="117">
        <v>103.4034</v>
      </c>
      <c r="H773" s="117">
        <v>16.14</v>
      </c>
      <c r="I773" s="114">
        <v>2971</v>
      </c>
      <c r="J773" s="116" t="s">
        <v>263</v>
      </c>
    </row>
    <row r="774" spans="1:10" x14ac:dyDescent="0.25">
      <c r="A774" s="114">
        <v>771</v>
      </c>
      <c r="B774" s="115" t="s">
        <v>155</v>
      </c>
      <c r="C774" s="116" t="s">
        <v>156</v>
      </c>
      <c r="D774" s="116" t="s">
        <v>437</v>
      </c>
      <c r="E774" s="116" t="s">
        <v>111</v>
      </c>
      <c r="F774" s="117">
        <v>91.250600000000006</v>
      </c>
      <c r="G774" s="117">
        <v>97.9756</v>
      </c>
      <c r="H774" s="117">
        <v>17.22</v>
      </c>
      <c r="I774" s="114">
        <v>451</v>
      </c>
      <c r="J774" s="116" t="s">
        <v>263</v>
      </c>
    </row>
    <row r="775" spans="1:10" x14ac:dyDescent="0.25">
      <c r="A775" s="114">
        <v>772</v>
      </c>
      <c r="B775" s="115" t="s">
        <v>157</v>
      </c>
      <c r="C775" s="116" t="s">
        <v>158</v>
      </c>
      <c r="D775" s="116" t="s">
        <v>437</v>
      </c>
      <c r="E775" s="116" t="s">
        <v>111</v>
      </c>
      <c r="F775" s="117">
        <v>89.3125</v>
      </c>
      <c r="G775" s="117">
        <v>93.112499999999997</v>
      </c>
      <c r="H775" s="117">
        <v>17.16</v>
      </c>
      <c r="I775" s="114">
        <v>568</v>
      </c>
      <c r="J775" s="116" t="s">
        <v>263</v>
      </c>
    </row>
    <row r="776" spans="1:10" x14ac:dyDescent="0.25">
      <c r="A776" s="114">
        <v>773</v>
      </c>
      <c r="B776" s="115" t="s">
        <v>159</v>
      </c>
      <c r="C776" s="116" t="s">
        <v>9</v>
      </c>
      <c r="D776" s="116" t="s">
        <v>437</v>
      </c>
      <c r="E776" s="116" t="s">
        <v>111</v>
      </c>
      <c r="F776" s="117">
        <v>79.460800000000006</v>
      </c>
      <c r="G776" s="117">
        <v>86.842500000000001</v>
      </c>
      <c r="H776" s="117">
        <v>16.350000000000001</v>
      </c>
      <c r="I776" s="114">
        <v>1902</v>
      </c>
      <c r="J776" s="116" t="s">
        <v>263</v>
      </c>
    </row>
    <row r="777" spans="1:10" x14ac:dyDescent="0.25">
      <c r="A777" s="114">
        <v>774</v>
      </c>
      <c r="B777" s="115" t="s">
        <v>1917</v>
      </c>
      <c r="C777" s="116" t="s">
        <v>1918</v>
      </c>
      <c r="D777" s="116" t="s">
        <v>437</v>
      </c>
      <c r="E777" s="116" t="s">
        <v>111</v>
      </c>
      <c r="F777" s="117">
        <v>90.025999999999996</v>
      </c>
      <c r="G777" s="117">
        <v>101.38160000000001</v>
      </c>
      <c r="H777" s="117">
        <v>16.12</v>
      </c>
      <c r="I777" s="114">
        <v>3308</v>
      </c>
      <c r="J777" s="116" t="s">
        <v>263</v>
      </c>
    </row>
    <row r="778" spans="1:10" x14ac:dyDescent="0.25">
      <c r="A778" s="114">
        <v>775</v>
      </c>
      <c r="B778" s="115" t="s">
        <v>160</v>
      </c>
      <c r="C778" s="116" t="s">
        <v>11</v>
      </c>
      <c r="D778" s="116" t="s">
        <v>437</v>
      </c>
      <c r="E778" s="116" t="s">
        <v>111</v>
      </c>
      <c r="F778" s="117">
        <v>78.1297</v>
      </c>
      <c r="G778" s="117">
        <v>81.945999999999998</v>
      </c>
      <c r="H778" s="117">
        <v>16.22</v>
      </c>
      <c r="I778" s="114">
        <v>2391</v>
      </c>
      <c r="J778" s="116" t="s">
        <v>263</v>
      </c>
    </row>
    <row r="779" spans="1:10" x14ac:dyDescent="0.25">
      <c r="A779" s="114">
        <v>776</v>
      </c>
      <c r="B779" s="115" t="s">
        <v>161</v>
      </c>
      <c r="C779" s="116" t="s">
        <v>162</v>
      </c>
      <c r="D779" s="116" t="s">
        <v>437</v>
      </c>
      <c r="E779" s="116" t="s">
        <v>111</v>
      </c>
      <c r="F779" s="117">
        <v>76.683899999999994</v>
      </c>
      <c r="G779" s="117">
        <v>79.712699999999998</v>
      </c>
      <c r="H779" s="117">
        <v>16.149999999999999</v>
      </c>
      <c r="I779" s="114">
        <v>2778</v>
      </c>
      <c r="J779" s="116" t="s">
        <v>263</v>
      </c>
    </row>
    <row r="780" spans="1:10" x14ac:dyDescent="0.25">
      <c r="A780" s="114">
        <v>777</v>
      </c>
      <c r="B780" s="115" t="s">
        <v>163</v>
      </c>
      <c r="C780" s="116" t="s">
        <v>164</v>
      </c>
      <c r="D780" s="116" t="s">
        <v>437</v>
      </c>
      <c r="E780" s="116" t="s">
        <v>111</v>
      </c>
      <c r="F780" s="117">
        <v>87.603300000000004</v>
      </c>
      <c r="G780" s="117">
        <v>91.027000000000001</v>
      </c>
      <c r="H780" s="117">
        <v>17.18</v>
      </c>
      <c r="I780" s="114">
        <v>555</v>
      </c>
      <c r="J780" s="116" t="s">
        <v>263</v>
      </c>
    </row>
    <row r="781" spans="1:10" x14ac:dyDescent="0.25">
      <c r="A781" s="114">
        <v>778</v>
      </c>
      <c r="B781" s="115" t="s">
        <v>165</v>
      </c>
      <c r="C781" s="116" t="s">
        <v>166</v>
      </c>
      <c r="D781" s="116" t="s">
        <v>437</v>
      </c>
      <c r="E781" s="116" t="s">
        <v>111</v>
      </c>
      <c r="F781" s="117">
        <v>72.803100000000001</v>
      </c>
      <c r="G781" s="117">
        <v>77.609200000000001</v>
      </c>
      <c r="H781" s="117">
        <v>16.32</v>
      </c>
      <c r="I781" s="114">
        <v>1955</v>
      </c>
      <c r="J781" s="116" t="s">
        <v>263</v>
      </c>
    </row>
    <row r="782" spans="1:10" x14ac:dyDescent="0.25">
      <c r="A782" s="114">
        <v>779</v>
      </c>
      <c r="B782" s="115" t="s">
        <v>167</v>
      </c>
      <c r="C782" s="116" t="s">
        <v>168</v>
      </c>
      <c r="D782" s="116" t="s">
        <v>437</v>
      </c>
      <c r="E782" s="116" t="s">
        <v>111</v>
      </c>
      <c r="F782" s="117">
        <v>73.555999999999997</v>
      </c>
      <c r="G782" s="117">
        <v>81.652000000000001</v>
      </c>
      <c r="H782" s="117">
        <v>16.13</v>
      </c>
      <c r="I782" s="114">
        <v>2952</v>
      </c>
      <c r="J782" s="116" t="s">
        <v>263</v>
      </c>
    </row>
    <row r="783" spans="1:10" x14ac:dyDescent="0.25">
      <c r="A783" s="114">
        <v>780</v>
      </c>
      <c r="B783" s="115" t="s">
        <v>2072</v>
      </c>
      <c r="C783" s="116" t="s">
        <v>2073</v>
      </c>
      <c r="D783" s="116" t="s">
        <v>437</v>
      </c>
      <c r="E783" s="116" t="s">
        <v>111</v>
      </c>
      <c r="F783" s="117">
        <v>89.688699999999997</v>
      </c>
      <c r="G783" s="117">
        <v>97.247900000000001</v>
      </c>
      <c r="H783" s="117">
        <v>16.010000000000002</v>
      </c>
      <c r="I783" s="114">
        <v>4487</v>
      </c>
      <c r="J783" s="116" t="s">
        <v>263</v>
      </c>
    </row>
    <row r="784" spans="1:10" x14ac:dyDescent="0.25">
      <c r="A784" s="114">
        <v>781</v>
      </c>
      <c r="B784" s="115" t="s">
        <v>169</v>
      </c>
      <c r="C784" s="116" t="s">
        <v>10</v>
      </c>
      <c r="D784" s="116" t="s">
        <v>437</v>
      </c>
      <c r="E784" s="116" t="s">
        <v>111</v>
      </c>
      <c r="F784" s="117">
        <v>70.329700000000003</v>
      </c>
      <c r="G784" s="117">
        <v>75.704800000000006</v>
      </c>
      <c r="H784" s="117">
        <v>16.23</v>
      </c>
      <c r="I784" s="114">
        <v>2291</v>
      </c>
      <c r="J784" s="116" t="s">
        <v>263</v>
      </c>
    </row>
    <row r="785" spans="1:10" x14ac:dyDescent="0.25">
      <c r="A785" s="114">
        <v>782</v>
      </c>
      <c r="B785" s="115" t="s">
        <v>170</v>
      </c>
      <c r="C785" s="116" t="s">
        <v>171</v>
      </c>
      <c r="D785" s="116" t="s">
        <v>437</v>
      </c>
      <c r="E785" s="116" t="s">
        <v>111</v>
      </c>
      <c r="F785" s="117">
        <v>72.775999999999996</v>
      </c>
      <c r="G785" s="117">
        <v>80.321100000000001</v>
      </c>
      <c r="H785" s="117">
        <v>16.059999999999999</v>
      </c>
      <c r="I785" s="114">
        <v>3335</v>
      </c>
      <c r="J785" s="116" t="s">
        <v>263</v>
      </c>
    </row>
    <row r="786" spans="1:10" x14ac:dyDescent="0.25">
      <c r="A786" s="114">
        <v>783</v>
      </c>
      <c r="B786" s="115" t="s">
        <v>172</v>
      </c>
      <c r="C786" s="116" t="s">
        <v>173</v>
      </c>
      <c r="D786" s="116" t="s">
        <v>437</v>
      </c>
      <c r="E786" s="116" t="s">
        <v>111</v>
      </c>
      <c r="F786" s="117">
        <v>92.665400000000005</v>
      </c>
      <c r="G786" s="117">
        <v>94.3001</v>
      </c>
      <c r="H786" s="117">
        <v>17.32</v>
      </c>
      <c r="I786" s="114">
        <v>253</v>
      </c>
      <c r="J786" s="116" t="s">
        <v>263</v>
      </c>
    </row>
    <row r="787" spans="1:10" x14ac:dyDescent="0.25">
      <c r="A787" s="114">
        <v>784</v>
      </c>
      <c r="B787" s="115" t="s">
        <v>174</v>
      </c>
      <c r="C787" s="116" t="s">
        <v>175</v>
      </c>
      <c r="D787" s="116" t="s">
        <v>437</v>
      </c>
      <c r="E787" s="116" t="s">
        <v>111</v>
      </c>
      <c r="F787" s="117">
        <v>89.797499999999999</v>
      </c>
      <c r="G787" s="117">
        <v>89.964200000000005</v>
      </c>
      <c r="H787" s="117">
        <v>17.34</v>
      </c>
      <c r="I787" s="114">
        <v>348</v>
      </c>
      <c r="J787" s="116" t="s">
        <v>263</v>
      </c>
    </row>
    <row r="788" spans="1:10" x14ac:dyDescent="0.25">
      <c r="A788" s="114">
        <v>785</v>
      </c>
      <c r="B788" s="115" t="s">
        <v>176</v>
      </c>
      <c r="C788" s="116" t="s">
        <v>5</v>
      </c>
      <c r="D788" s="116" t="s">
        <v>437</v>
      </c>
      <c r="E788" s="116" t="s">
        <v>111</v>
      </c>
      <c r="F788" s="117">
        <v>87.12</v>
      </c>
      <c r="G788" s="117">
        <v>90.902000000000001</v>
      </c>
      <c r="H788" s="117">
        <v>17.2</v>
      </c>
      <c r="I788" s="114">
        <v>472</v>
      </c>
      <c r="J788" s="116" t="s">
        <v>263</v>
      </c>
    </row>
    <row r="789" spans="1:10" x14ac:dyDescent="0.25">
      <c r="A789" s="114">
        <v>786</v>
      </c>
      <c r="B789" s="115" t="s">
        <v>177</v>
      </c>
      <c r="C789" s="116" t="s">
        <v>178</v>
      </c>
      <c r="D789" s="116" t="s">
        <v>437</v>
      </c>
      <c r="E789" s="116" t="s">
        <v>111</v>
      </c>
      <c r="F789" s="117">
        <v>83.210300000000004</v>
      </c>
      <c r="G789" s="117">
        <v>84.384600000000006</v>
      </c>
      <c r="H789" s="117">
        <v>17.13</v>
      </c>
      <c r="I789" s="114">
        <v>643</v>
      </c>
      <c r="J789" s="116" t="s">
        <v>263</v>
      </c>
    </row>
    <row r="790" spans="1:10" x14ac:dyDescent="0.25">
      <c r="A790" s="114">
        <v>787</v>
      </c>
      <c r="B790" s="115" t="s">
        <v>179</v>
      </c>
      <c r="C790" s="116" t="s">
        <v>180</v>
      </c>
      <c r="D790" s="116" t="s">
        <v>437</v>
      </c>
      <c r="E790" s="116" t="s">
        <v>111</v>
      </c>
      <c r="F790" s="117">
        <v>84.004199999999997</v>
      </c>
      <c r="G790" s="117">
        <v>84.744500000000002</v>
      </c>
      <c r="H790" s="117">
        <v>17.09</v>
      </c>
      <c r="I790" s="114">
        <v>679</v>
      </c>
      <c r="J790" s="116" t="s">
        <v>263</v>
      </c>
    </row>
    <row r="791" spans="1:10" x14ac:dyDescent="0.25">
      <c r="A791" s="114">
        <v>788</v>
      </c>
      <c r="B791" s="115" t="s">
        <v>181</v>
      </c>
      <c r="C791" s="116" t="s">
        <v>182</v>
      </c>
      <c r="D791" s="116" t="s">
        <v>437</v>
      </c>
      <c r="E791" s="116" t="s">
        <v>111</v>
      </c>
      <c r="F791" s="117">
        <v>78.705699999999993</v>
      </c>
      <c r="G791" s="117">
        <v>85.825400000000002</v>
      </c>
      <c r="H791" s="117">
        <v>16.79</v>
      </c>
      <c r="I791" s="114">
        <v>1085</v>
      </c>
      <c r="J791" s="116" t="s">
        <v>263</v>
      </c>
    </row>
    <row r="792" spans="1:10" x14ac:dyDescent="0.25">
      <c r="A792" s="114">
        <v>789</v>
      </c>
      <c r="B792" s="115" t="s">
        <v>183</v>
      </c>
      <c r="C792" s="116" t="s">
        <v>184</v>
      </c>
      <c r="D792" s="116" t="s">
        <v>437</v>
      </c>
      <c r="E792" s="116" t="s">
        <v>111</v>
      </c>
      <c r="F792" s="117">
        <v>76.593000000000004</v>
      </c>
      <c r="G792" s="117">
        <v>78.982299999999995</v>
      </c>
      <c r="H792" s="117">
        <v>16.62</v>
      </c>
      <c r="I792" s="114">
        <v>1328</v>
      </c>
      <c r="J792" s="116" t="s">
        <v>263</v>
      </c>
    </row>
    <row r="793" spans="1:10" x14ac:dyDescent="0.25">
      <c r="A793" s="114">
        <v>790</v>
      </c>
      <c r="B793" s="115" t="s">
        <v>185</v>
      </c>
      <c r="C793" s="116" t="s">
        <v>186</v>
      </c>
      <c r="D793" s="116" t="s">
        <v>437</v>
      </c>
      <c r="E793" s="116" t="s">
        <v>111</v>
      </c>
      <c r="F793" s="117">
        <v>74.6678</v>
      </c>
      <c r="G793" s="117">
        <v>81.089100000000002</v>
      </c>
      <c r="H793" s="117">
        <v>16.54</v>
      </c>
      <c r="I793" s="114">
        <v>1499</v>
      </c>
      <c r="J793" s="116" t="s">
        <v>263</v>
      </c>
    </row>
    <row r="794" spans="1:10" x14ac:dyDescent="0.25">
      <c r="A794" s="114">
        <v>791</v>
      </c>
      <c r="B794" s="115" t="s">
        <v>187</v>
      </c>
      <c r="C794" s="116" t="s">
        <v>188</v>
      </c>
      <c r="D794" s="116" t="s">
        <v>437</v>
      </c>
      <c r="E794" s="116" t="s">
        <v>111</v>
      </c>
      <c r="F794" s="117">
        <v>68.946399999999997</v>
      </c>
      <c r="G794" s="117">
        <v>74.743799999999993</v>
      </c>
      <c r="H794" s="117">
        <v>16.149999999999999</v>
      </c>
      <c r="I794" s="114">
        <v>2639</v>
      </c>
      <c r="J794" s="116" t="s">
        <v>263</v>
      </c>
    </row>
    <row r="795" spans="1:10" x14ac:dyDescent="0.25">
      <c r="A795" s="114">
        <v>792</v>
      </c>
      <c r="B795" s="115" t="s">
        <v>189</v>
      </c>
      <c r="C795" s="116" t="s">
        <v>190</v>
      </c>
      <c r="D795" s="116" t="s">
        <v>437</v>
      </c>
      <c r="E795" s="116" t="s">
        <v>111</v>
      </c>
      <c r="F795" s="117">
        <v>68.016400000000004</v>
      </c>
      <c r="G795" s="117">
        <v>73.233400000000003</v>
      </c>
      <c r="H795" s="117">
        <v>16.14</v>
      </c>
      <c r="I795" s="114">
        <v>2658</v>
      </c>
      <c r="J795" s="116" t="s">
        <v>263</v>
      </c>
    </row>
    <row r="796" spans="1:10" x14ac:dyDescent="0.25">
      <c r="A796" s="114">
        <v>793</v>
      </c>
      <c r="B796" s="115" t="s">
        <v>191</v>
      </c>
      <c r="C796" s="116" t="s">
        <v>192</v>
      </c>
      <c r="D796" s="116" t="s">
        <v>437</v>
      </c>
      <c r="E796" s="116" t="s">
        <v>111</v>
      </c>
      <c r="F796" s="117">
        <v>73.759399999999999</v>
      </c>
      <c r="G796" s="117">
        <v>76.753799999999998</v>
      </c>
      <c r="H796" s="117">
        <v>16.03</v>
      </c>
      <c r="I796" s="114">
        <v>3860</v>
      </c>
      <c r="J796" s="116" t="s">
        <v>263</v>
      </c>
    </row>
    <row r="797" spans="1:10" x14ac:dyDescent="0.25">
      <c r="A797" s="114">
        <v>794</v>
      </c>
      <c r="B797" s="115" t="s">
        <v>193</v>
      </c>
      <c r="C797" s="116" t="s">
        <v>194</v>
      </c>
      <c r="D797" s="116" t="s">
        <v>437</v>
      </c>
      <c r="E797" s="116" t="s">
        <v>111</v>
      </c>
      <c r="F797" s="117">
        <v>74.784499999999994</v>
      </c>
      <c r="G797" s="117">
        <v>84.207700000000003</v>
      </c>
      <c r="H797" s="117">
        <v>16.02</v>
      </c>
      <c r="I797" s="114">
        <v>4013</v>
      </c>
      <c r="J797" s="116" t="s">
        <v>263</v>
      </c>
    </row>
    <row r="798" spans="1:10" x14ac:dyDescent="0.25">
      <c r="A798" s="114">
        <v>795</v>
      </c>
      <c r="B798" s="115" t="s">
        <v>195</v>
      </c>
      <c r="C798" s="116" t="s">
        <v>196</v>
      </c>
      <c r="D798" s="116" t="s">
        <v>437</v>
      </c>
      <c r="E798" s="116" t="s">
        <v>111</v>
      </c>
      <c r="F798" s="117">
        <v>82.308199999999999</v>
      </c>
      <c r="G798" s="117">
        <v>82.985399999999998</v>
      </c>
      <c r="H798" s="117">
        <v>17.09</v>
      </c>
      <c r="I798" s="114">
        <v>674</v>
      </c>
      <c r="J798" s="116" t="s">
        <v>263</v>
      </c>
    </row>
    <row r="799" spans="1:10" x14ac:dyDescent="0.25">
      <c r="A799" s="114">
        <v>796</v>
      </c>
      <c r="B799" s="115" t="s">
        <v>197</v>
      </c>
      <c r="C799" s="116" t="s">
        <v>198</v>
      </c>
      <c r="D799" s="116" t="s">
        <v>437</v>
      </c>
      <c r="E799" s="116" t="s">
        <v>111</v>
      </c>
      <c r="F799" s="117">
        <v>78.054699999999997</v>
      </c>
      <c r="G799" s="117">
        <v>81.207499999999996</v>
      </c>
      <c r="H799" s="117">
        <v>16.95</v>
      </c>
      <c r="I799" s="114">
        <v>853</v>
      </c>
      <c r="J799" s="116" t="s">
        <v>263</v>
      </c>
    </row>
    <row r="800" spans="1:10" x14ac:dyDescent="0.25">
      <c r="A800" s="114">
        <v>797</v>
      </c>
      <c r="B800" s="115" t="s">
        <v>199</v>
      </c>
      <c r="C800" s="116" t="s">
        <v>200</v>
      </c>
      <c r="D800" s="116" t="s">
        <v>437</v>
      </c>
      <c r="E800" s="116" t="s">
        <v>111</v>
      </c>
      <c r="F800" s="117">
        <v>76.191800000000001</v>
      </c>
      <c r="G800" s="117">
        <v>77.337599999999995</v>
      </c>
      <c r="H800" s="117">
        <v>16.84</v>
      </c>
      <c r="I800" s="114">
        <v>1005</v>
      </c>
      <c r="J800" s="116" t="s">
        <v>263</v>
      </c>
    </row>
    <row r="801" spans="1:10" x14ac:dyDescent="0.25">
      <c r="A801" s="114">
        <v>798</v>
      </c>
      <c r="B801" s="115" t="s">
        <v>201</v>
      </c>
      <c r="C801" s="116" t="s">
        <v>202</v>
      </c>
      <c r="D801" s="116" t="s">
        <v>437</v>
      </c>
      <c r="E801" s="116" t="s">
        <v>111</v>
      </c>
      <c r="F801" s="117">
        <v>62.541400000000003</v>
      </c>
      <c r="G801" s="117">
        <v>65.485799999999998</v>
      </c>
      <c r="H801" s="117">
        <v>16</v>
      </c>
      <c r="I801" s="114">
        <v>3835</v>
      </c>
      <c r="J801" s="116" t="s">
        <v>263</v>
      </c>
    </row>
    <row r="802" spans="1:10" x14ac:dyDescent="0.25">
      <c r="A802" s="114">
        <v>799</v>
      </c>
      <c r="B802" s="115" t="s">
        <v>203</v>
      </c>
      <c r="C802" s="116" t="s">
        <v>204</v>
      </c>
      <c r="D802" s="116" t="s">
        <v>437</v>
      </c>
      <c r="E802" s="116" t="s">
        <v>111</v>
      </c>
      <c r="F802" s="117">
        <v>62.9495</v>
      </c>
      <c r="G802" s="117">
        <v>70.054500000000004</v>
      </c>
      <c r="H802" s="117">
        <v>16</v>
      </c>
      <c r="I802" s="114">
        <v>4026</v>
      </c>
      <c r="J802" s="116" t="s">
        <v>263</v>
      </c>
    </row>
    <row r="803" spans="1:10" x14ac:dyDescent="0.25">
      <c r="A803" s="114">
        <v>800</v>
      </c>
      <c r="B803" s="115" t="s">
        <v>205</v>
      </c>
      <c r="C803" s="116" t="s">
        <v>206</v>
      </c>
      <c r="D803" s="116" t="s">
        <v>437</v>
      </c>
      <c r="E803" s="116" t="s">
        <v>111</v>
      </c>
      <c r="F803" s="117">
        <v>59.195900000000002</v>
      </c>
      <c r="G803" s="117">
        <v>62.572299999999998</v>
      </c>
      <c r="H803" s="117">
        <v>16.190000000000001</v>
      </c>
      <c r="I803" s="114">
        <v>2299</v>
      </c>
      <c r="J803" s="116" t="s">
        <v>263</v>
      </c>
    </row>
    <row r="804" spans="1:10" x14ac:dyDescent="0.25">
      <c r="A804" s="114">
        <v>801</v>
      </c>
      <c r="B804" s="115" t="s">
        <v>207</v>
      </c>
      <c r="C804" s="116" t="s">
        <v>12</v>
      </c>
      <c r="D804" s="116" t="s">
        <v>437</v>
      </c>
      <c r="E804" s="116" t="s">
        <v>111</v>
      </c>
      <c r="F804" s="117">
        <v>64.215299999999999</v>
      </c>
      <c r="G804" s="117">
        <v>68.765900000000002</v>
      </c>
      <c r="H804" s="117">
        <v>16.07</v>
      </c>
      <c r="I804" s="114">
        <v>3037</v>
      </c>
      <c r="J804" s="116" t="s">
        <v>263</v>
      </c>
    </row>
    <row r="805" spans="1:10" x14ac:dyDescent="0.25">
      <c r="A805" s="114">
        <v>802</v>
      </c>
      <c r="B805" s="115" t="s">
        <v>208</v>
      </c>
      <c r="C805" s="116" t="s">
        <v>13</v>
      </c>
      <c r="D805" s="116" t="s">
        <v>437</v>
      </c>
      <c r="E805" s="116" t="s">
        <v>111</v>
      </c>
      <c r="F805" s="117">
        <v>62.936</v>
      </c>
      <c r="G805" s="117">
        <v>69.795500000000004</v>
      </c>
      <c r="H805" s="117">
        <v>16.05</v>
      </c>
      <c r="I805" s="114">
        <v>3294</v>
      </c>
      <c r="J805" s="116" t="s">
        <v>263</v>
      </c>
    </row>
    <row r="806" spans="1:10" x14ac:dyDescent="0.25">
      <c r="A806" s="114">
        <v>803</v>
      </c>
      <c r="B806" s="115" t="s">
        <v>209</v>
      </c>
      <c r="C806" s="116" t="s">
        <v>210</v>
      </c>
      <c r="D806" s="116" t="s">
        <v>437</v>
      </c>
      <c r="E806" s="116" t="s">
        <v>111</v>
      </c>
      <c r="F806" s="117">
        <v>56.859299999999998</v>
      </c>
      <c r="G806" s="117">
        <v>64.430099999999996</v>
      </c>
      <c r="H806" s="117">
        <v>15.94</v>
      </c>
      <c r="I806" s="114">
        <v>4695</v>
      </c>
      <c r="J806" s="116" t="s">
        <v>263</v>
      </c>
    </row>
    <row r="807" spans="1:10" x14ac:dyDescent="0.25">
      <c r="A807" s="114">
        <v>804</v>
      </c>
      <c r="B807" s="115" t="s">
        <v>211</v>
      </c>
      <c r="C807" s="116" t="s">
        <v>212</v>
      </c>
      <c r="D807" s="116" t="s">
        <v>437</v>
      </c>
      <c r="E807" s="116" t="s">
        <v>111</v>
      </c>
      <c r="F807" s="117">
        <v>58.591799999999999</v>
      </c>
      <c r="G807" s="117">
        <v>61.607100000000003</v>
      </c>
      <c r="H807" s="117">
        <v>15.94</v>
      </c>
      <c r="I807" s="114">
        <v>4910</v>
      </c>
      <c r="J807" s="116" t="s">
        <v>263</v>
      </c>
    </row>
    <row r="808" spans="1:10" x14ac:dyDescent="0.25">
      <c r="A808" s="114">
        <v>805</v>
      </c>
      <c r="B808" s="115" t="s">
        <v>213</v>
      </c>
      <c r="C808" s="116" t="s">
        <v>214</v>
      </c>
      <c r="D808" s="116" t="s">
        <v>437</v>
      </c>
      <c r="E808" s="116" t="s">
        <v>111</v>
      </c>
      <c r="F808" s="117">
        <v>58.187199999999997</v>
      </c>
      <c r="G808" s="117">
        <v>64.673900000000003</v>
      </c>
      <c r="H808" s="117">
        <v>15.94</v>
      </c>
      <c r="I808" s="114">
        <v>5121</v>
      </c>
      <c r="J808" s="116" t="s">
        <v>263</v>
      </c>
    </row>
    <row r="809" spans="1:10" x14ac:dyDescent="0.25">
      <c r="A809" s="114">
        <v>806</v>
      </c>
      <c r="B809" s="115" t="s">
        <v>215</v>
      </c>
      <c r="C809" s="116" t="s">
        <v>216</v>
      </c>
      <c r="D809" s="116" t="s">
        <v>437</v>
      </c>
      <c r="E809" s="116" t="s">
        <v>111</v>
      </c>
      <c r="F809" s="117">
        <v>57.113399999999999</v>
      </c>
      <c r="G809" s="117">
        <v>58.771299999999997</v>
      </c>
      <c r="H809" s="117">
        <v>15.91</v>
      </c>
      <c r="I809" s="114">
        <v>6771</v>
      </c>
      <c r="J809" s="116" t="s">
        <v>263</v>
      </c>
    </row>
    <row r="810" spans="1:10" x14ac:dyDescent="0.25">
      <c r="A810" s="114">
        <v>807</v>
      </c>
      <c r="B810" s="115" t="s">
        <v>1975</v>
      </c>
      <c r="C810" s="116" t="s">
        <v>1976</v>
      </c>
      <c r="D810" s="116" t="s">
        <v>437</v>
      </c>
      <c r="E810" s="116" t="s">
        <v>111</v>
      </c>
      <c r="F810" s="117">
        <v>99.771600000000007</v>
      </c>
      <c r="G810" s="117">
        <v>99.771600000000007</v>
      </c>
      <c r="H810" s="117">
        <v>14.955</v>
      </c>
      <c r="I810" s="114">
        <v>1915</v>
      </c>
      <c r="J810" s="116" t="s">
        <v>263</v>
      </c>
    </row>
    <row r="811" spans="1:10" x14ac:dyDescent="0.25">
      <c r="A811" s="114">
        <v>808</v>
      </c>
      <c r="B811" s="115" t="s">
        <v>1421</v>
      </c>
      <c r="C811" s="116" t="s">
        <v>1422</v>
      </c>
      <c r="D811" s="116" t="s">
        <v>427</v>
      </c>
      <c r="E811" s="116" t="s">
        <v>2435</v>
      </c>
      <c r="F811" s="117">
        <v>115886.20955</v>
      </c>
      <c r="G811" s="117">
        <v>115886.20955</v>
      </c>
      <c r="H811" s="117">
        <v>0</v>
      </c>
      <c r="I811" s="114">
        <v>0</v>
      </c>
      <c r="J811" s="116" t="s">
        <v>232</v>
      </c>
    </row>
    <row r="812" spans="1:10" x14ac:dyDescent="0.25">
      <c r="A812" s="114">
        <v>809</v>
      </c>
      <c r="B812" s="115" t="s">
        <v>1423</v>
      </c>
      <c r="C812" s="116" t="s">
        <v>1424</v>
      </c>
      <c r="D812" s="116" t="s">
        <v>427</v>
      </c>
      <c r="E812" s="116" t="s">
        <v>1425</v>
      </c>
      <c r="F812" s="117">
        <v>460.48690160000001</v>
      </c>
      <c r="G812" s="117">
        <v>460.48690160000001</v>
      </c>
      <c r="H812" s="117">
        <v>0</v>
      </c>
      <c r="I812" s="114">
        <v>1943</v>
      </c>
      <c r="J812" s="116" t="s">
        <v>232</v>
      </c>
    </row>
    <row r="813" spans="1:10" x14ac:dyDescent="0.25">
      <c r="A813" s="114">
        <v>810</v>
      </c>
      <c r="B813" s="115" t="s">
        <v>1277</v>
      </c>
      <c r="C813" s="116" t="s">
        <v>1278</v>
      </c>
      <c r="D813" s="116" t="s">
        <v>427</v>
      </c>
      <c r="E813" s="116" t="s">
        <v>1279</v>
      </c>
      <c r="F813" s="117">
        <v>11310.83315</v>
      </c>
      <c r="G813" s="117">
        <v>11310.83315</v>
      </c>
      <c r="H813" s="117">
        <v>0</v>
      </c>
      <c r="I813" s="114">
        <v>0</v>
      </c>
      <c r="J813" s="116" t="s">
        <v>232</v>
      </c>
    </row>
    <row r="814" spans="1:10" x14ac:dyDescent="0.25">
      <c r="A814" s="114">
        <v>811</v>
      </c>
      <c r="B814" s="115" t="s">
        <v>217</v>
      </c>
      <c r="C814" s="116" t="s">
        <v>218</v>
      </c>
      <c r="D814" s="116" t="s">
        <v>437</v>
      </c>
      <c r="E814" s="116" t="s">
        <v>219</v>
      </c>
      <c r="F814" s="117">
        <v>84.090156012397685</v>
      </c>
      <c r="G814" s="117">
        <v>89.323456012397685</v>
      </c>
      <c r="H814" s="117">
        <v>18.260000000000002</v>
      </c>
      <c r="I814" s="114">
        <v>1283</v>
      </c>
      <c r="J814" s="116" t="s">
        <v>263</v>
      </c>
    </row>
    <row r="815" spans="1:10" x14ac:dyDescent="0.25">
      <c r="A815" s="114">
        <v>812</v>
      </c>
      <c r="B815" s="115" t="s">
        <v>220</v>
      </c>
      <c r="C815" s="116" t="s">
        <v>221</v>
      </c>
      <c r="D815" s="116" t="s">
        <v>437</v>
      </c>
      <c r="E815" s="116" t="s">
        <v>219</v>
      </c>
      <c r="F815" s="117">
        <v>99.838449952238392</v>
      </c>
      <c r="G815" s="117">
        <v>102.61344995223838</v>
      </c>
      <c r="H815" s="117">
        <v>18.73</v>
      </c>
      <c r="I815" s="114">
        <v>126</v>
      </c>
      <c r="J815" s="116" t="s">
        <v>263</v>
      </c>
    </row>
    <row r="816" spans="1:10" x14ac:dyDescent="0.25">
      <c r="A816" s="114">
        <v>813</v>
      </c>
      <c r="B816" s="115" t="s">
        <v>1904</v>
      </c>
      <c r="C816" s="116" t="s">
        <v>1905</v>
      </c>
      <c r="D816" s="116" t="s">
        <v>437</v>
      </c>
      <c r="E816" s="116" t="s">
        <v>219</v>
      </c>
      <c r="F816" s="117">
        <v>99.864072352218002</v>
      </c>
      <c r="G816" s="117">
        <v>103.591872352218</v>
      </c>
      <c r="H816" s="117">
        <v>11.66</v>
      </c>
      <c r="I816" s="114">
        <v>58</v>
      </c>
      <c r="J816" s="116" t="s">
        <v>263</v>
      </c>
    </row>
    <row r="817" spans="1:10" x14ac:dyDescent="0.25">
      <c r="A817" s="114">
        <v>814</v>
      </c>
      <c r="B817" s="115" t="s">
        <v>2017</v>
      </c>
      <c r="C817" s="116" t="s">
        <v>2018</v>
      </c>
      <c r="D817" s="116" t="s">
        <v>437</v>
      </c>
      <c r="E817" s="116" t="s">
        <v>219</v>
      </c>
      <c r="F817" s="117">
        <v>99.799800000000005</v>
      </c>
      <c r="G817" s="117">
        <v>100.2276</v>
      </c>
      <c r="H817" s="117">
        <v>11.43</v>
      </c>
      <c r="I817" s="114">
        <v>166</v>
      </c>
      <c r="J817" s="116" t="s">
        <v>263</v>
      </c>
    </row>
    <row r="818" spans="1:10" x14ac:dyDescent="0.25">
      <c r="A818" s="114">
        <v>815</v>
      </c>
      <c r="B818" s="115" t="s">
        <v>2341</v>
      </c>
      <c r="C818" s="116" t="s">
        <v>2342</v>
      </c>
      <c r="D818" s="116" t="s">
        <v>437</v>
      </c>
      <c r="E818" s="116" t="s">
        <v>219</v>
      </c>
      <c r="F818" s="117">
        <v>99.741693199629736</v>
      </c>
      <c r="G818" s="117">
        <v>102.15559319962975</v>
      </c>
      <c r="H818" s="117">
        <v>11.3</v>
      </c>
      <c r="I818" s="114">
        <v>281</v>
      </c>
      <c r="J818" s="116" t="s">
        <v>263</v>
      </c>
    </row>
    <row r="819" spans="1:10" x14ac:dyDescent="0.25">
      <c r="A819" s="114">
        <v>816</v>
      </c>
      <c r="B819" s="115" t="s">
        <v>1426</v>
      </c>
      <c r="C819" s="116" t="s">
        <v>1427</v>
      </c>
      <c r="D819" s="116" t="s">
        <v>437</v>
      </c>
      <c r="E819" s="116" t="s">
        <v>219</v>
      </c>
      <c r="F819" s="117">
        <v>99.988323823947837</v>
      </c>
      <c r="G819" s="117">
        <v>105.15082382394785</v>
      </c>
      <c r="H819" s="117">
        <v>11.64</v>
      </c>
      <c r="I819" s="114">
        <v>3</v>
      </c>
      <c r="J819" s="116" t="s">
        <v>263</v>
      </c>
    </row>
    <row r="820" spans="1:10" x14ac:dyDescent="0.25">
      <c r="A820" s="114">
        <v>817</v>
      </c>
      <c r="B820" s="115" t="s">
        <v>1428</v>
      </c>
      <c r="C820" s="116" t="s">
        <v>1429</v>
      </c>
      <c r="D820" s="116" t="s">
        <v>437</v>
      </c>
      <c r="E820" s="116" t="s">
        <v>219</v>
      </c>
      <c r="F820" s="117">
        <v>96.395137038609974</v>
      </c>
      <c r="G820" s="117">
        <v>101.03403703860997</v>
      </c>
      <c r="H820" s="117">
        <v>11.26</v>
      </c>
      <c r="I820" s="114">
        <v>1273</v>
      </c>
      <c r="J820" s="116" t="s">
        <v>263</v>
      </c>
    </row>
    <row r="821" spans="1:10" x14ac:dyDescent="0.25">
      <c r="A821" s="114">
        <v>818</v>
      </c>
      <c r="B821" s="115" t="s">
        <v>1430</v>
      </c>
      <c r="C821" s="116" t="s">
        <v>1431</v>
      </c>
      <c r="D821" s="116" t="s">
        <v>427</v>
      </c>
      <c r="E821" s="116" t="s">
        <v>1432</v>
      </c>
      <c r="F821" s="117">
        <v>44945.612699999998</v>
      </c>
      <c r="G821" s="117">
        <v>44945.612699999998</v>
      </c>
      <c r="H821" s="117">
        <v>0</v>
      </c>
      <c r="I821" s="114">
        <v>0</v>
      </c>
      <c r="J821" s="116" t="s">
        <v>232</v>
      </c>
    </row>
    <row r="822" spans="1:10" x14ac:dyDescent="0.25">
      <c r="A822" s="114">
        <v>819</v>
      </c>
      <c r="B822" s="115" t="s">
        <v>1433</v>
      </c>
      <c r="C822" s="116" t="s">
        <v>1434</v>
      </c>
      <c r="D822" s="116" t="s">
        <v>427</v>
      </c>
      <c r="E822" s="116" t="s">
        <v>2436</v>
      </c>
      <c r="F822" s="117">
        <v>51798.216500000002</v>
      </c>
      <c r="G822" s="117">
        <v>51798.216500000002</v>
      </c>
      <c r="H822" s="117">
        <v>0</v>
      </c>
      <c r="I822" s="114">
        <v>0</v>
      </c>
      <c r="J822" s="116" t="s">
        <v>232</v>
      </c>
    </row>
    <row r="823" spans="1:10" x14ac:dyDescent="0.25">
      <c r="A823" s="114">
        <v>820</v>
      </c>
      <c r="B823" s="115" t="s">
        <v>1889</v>
      </c>
      <c r="C823" s="116" t="s">
        <v>1890</v>
      </c>
      <c r="D823" s="116" t="s">
        <v>437</v>
      </c>
      <c r="E823" s="116" t="s">
        <v>1891</v>
      </c>
      <c r="F823" s="117">
        <v>98.641339034830935</v>
      </c>
      <c r="G823" s="117">
        <v>106.98023903483094</v>
      </c>
      <c r="H823" s="117">
        <v>19.8</v>
      </c>
      <c r="I823" s="114">
        <v>742</v>
      </c>
      <c r="J823" s="116" t="s">
        <v>263</v>
      </c>
    </row>
    <row r="824" spans="1:10" x14ac:dyDescent="0.25">
      <c r="A824" s="114">
        <v>821</v>
      </c>
      <c r="B824" s="115" t="s">
        <v>2562</v>
      </c>
      <c r="C824" s="116" t="s">
        <v>2563</v>
      </c>
      <c r="D824" s="116" t="s">
        <v>437</v>
      </c>
      <c r="E824" s="116" t="s">
        <v>1891</v>
      </c>
      <c r="F824" s="117">
        <v>88.662518369498926</v>
      </c>
      <c r="G824" s="117">
        <v>92.555018369498924</v>
      </c>
      <c r="H824" s="117">
        <v>19.29</v>
      </c>
      <c r="I824" s="114">
        <v>1710</v>
      </c>
      <c r="J824" s="116" t="s">
        <v>263</v>
      </c>
    </row>
    <row r="825" spans="1:10" x14ac:dyDescent="0.25">
      <c r="A825" s="114">
        <v>822</v>
      </c>
      <c r="B825" s="115" t="s">
        <v>2564</v>
      </c>
      <c r="C825" s="116" t="s">
        <v>2565</v>
      </c>
      <c r="D825" s="116" t="s">
        <v>437</v>
      </c>
      <c r="E825" s="116" t="s">
        <v>1891</v>
      </c>
      <c r="F825" s="117">
        <v>96.950485311298735</v>
      </c>
      <c r="G825" s="117">
        <v>101.53298531129875</v>
      </c>
      <c r="H825" s="117">
        <v>19.3</v>
      </c>
      <c r="I825" s="114">
        <v>1710</v>
      </c>
      <c r="J825" s="116" t="s">
        <v>263</v>
      </c>
    </row>
    <row r="826" spans="1:10" x14ac:dyDescent="0.25">
      <c r="A826" s="114">
        <v>823</v>
      </c>
      <c r="B826" s="115" t="s">
        <v>1435</v>
      </c>
      <c r="C826" s="116" t="s">
        <v>1436</v>
      </c>
      <c r="D826" s="116" t="s">
        <v>427</v>
      </c>
      <c r="E826" s="116" t="s">
        <v>2437</v>
      </c>
      <c r="F826" s="117">
        <v>33057.001100000001</v>
      </c>
      <c r="G826" s="117">
        <v>33057.001100000001</v>
      </c>
      <c r="H826" s="117">
        <v>0</v>
      </c>
      <c r="I826" s="114">
        <v>0</v>
      </c>
      <c r="J826" s="116" t="s">
        <v>232</v>
      </c>
    </row>
    <row r="827" spans="1:10" x14ac:dyDescent="0.25">
      <c r="A827" s="114">
        <v>824</v>
      </c>
      <c r="B827" s="115" t="s">
        <v>1437</v>
      </c>
      <c r="C827" s="116" t="s">
        <v>1438</v>
      </c>
      <c r="D827" s="116" t="s">
        <v>427</v>
      </c>
      <c r="E827" s="116" t="s">
        <v>1439</v>
      </c>
      <c r="F827" s="117">
        <v>6751.38</v>
      </c>
      <c r="G827" s="117">
        <v>6751.38</v>
      </c>
      <c r="H827" s="117">
        <v>0</v>
      </c>
      <c r="I827" s="114">
        <v>0</v>
      </c>
      <c r="J827" s="116" t="s">
        <v>232</v>
      </c>
    </row>
    <row r="828" spans="1:10" x14ac:dyDescent="0.25">
      <c r="A828" s="114">
        <v>825</v>
      </c>
      <c r="B828" s="115" t="s">
        <v>1440</v>
      </c>
      <c r="C828" s="116" t="s">
        <v>1441</v>
      </c>
      <c r="D828" s="116" t="s">
        <v>427</v>
      </c>
      <c r="E828" s="116" t="s">
        <v>1439</v>
      </c>
      <c r="F828" s="117">
        <v>88.363100000000003</v>
      </c>
      <c r="G828" s="117">
        <v>88.363100000000003</v>
      </c>
      <c r="H828" s="117">
        <v>0</v>
      </c>
      <c r="I828" s="114">
        <v>772</v>
      </c>
      <c r="J828" s="116" t="s">
        <v>232</v>
      </c>
    </row>
    <row r="829" spans="1:10" x14ac:dyDescent="0.25">
      <c r="A829" s="114">
        <v>826</v>
      </c>
      <c r="B829" s="115" t="s">
        <v>1442</v>
      </c>
      <c r="C829" s="116" t="s">
        <v>1443</v>
      </c>
      <c r="D829" s="116" t="s">
        <v>427</v>
      </c>
      <c r="E829" s="116" t="s">
        <v>1439</v>
      </c>
      <c r="F829" s="117">
        <v>0.01</v>
      </c>
      <c r="G829" s="117">
        <v>0.01</v>
      </c>
      <c r="H829" s="117">
        <v>0</v>
      </c>
      <c r="I829" s="114">
        <v>0</v>
      </c>
      <c r="J829" s="116" t="s">
        <v>232</v>
      </c>
    </row>
    <row r="830" spans="1:10" x14ac:dyDescent="0.25">
      <c r="A830" s="114">
        <v>827</v>
      </c>
      <c r="B830" s="115" t="s">
        <v>1444</v>
      </c>
      <c r="C830" s="116" t="s">
        <v>1445</v>
      </c>
      <c r="D830" s="116" t="s">
        <v>427</v>
      </c>
      <c r="E830" s="116" t="s">
        <v>1439</v>
      </c>
      <c r="F830" s="117">
        <v>0.01</v>
      </c>
      <c r="G830" s="117">
        <v>0.01</v>
      </c>
      <c r="H830" s="117">
        <v>0</v>
      </c>
      <c r="I830" s="114">
        <v>0</v>
      </c>
      <c r="J830" s="116" t="s">
        <v>232</v>
      </c>
    </row>
    <row r="831" spans="1:10" x14ac:dyDescent="0.25">
      <c r="A831" s="114">
        <v>828</v>
      </c>
      <c r="B831" s="115" t="s">
        <v>1446</v>
      </c>
      <c r="C831" s="116" t="s">
        <v>1447</v>
      </c>
      <c r="D831" s="116" t="s">
        <v>437</v>
      </c>
      <c r="E831" s="116" t="s">
        <v>1439</v>
      </c>
      <c r="F831" s="117">
        <v>98.237010383750658</v>
      </c>
      <c r="G831" s="117">
        <v>101.21781038375066</v>
      </c>
      <c r="H831" s="117">
        <v>18.93</v>
      </c>
      <c r="I831" s="114">
        <v>82</v>
      </c>
      <c r="J831" s="116" t="s">
        <v>263</v>
      </c>
    </row>
    <row r="832" spans="1:10" x14ac:dyDescent="0.25">
      <c r="A832" s="114">
        <v>829</v>
      </c>
      <c r="B832" s="115" t="s">
        <v>1448</v>
      </c>
      <c r="C832" s="116" t="s">
        <v>1449</v>
      </c>
      <c r="D832" s="116" t="s">
        <v>437</v>
      </c>
      <c r="E832" s="116" t="s">
        <v>1439</v>
      </c>
      <c r="F832" s="117">
        <v>38.098065184927286</v>
      </c>
      <c r="G832" s="117">
        <v>40.498065184927285</v>
      </c>
      <c r="H832" s="117">
        <v>18.2</v>
      </c>
      <c r="I832" s="114">
        <v>3384</v>
      </c>
      <c r="J832" s="116" t="s">
        <v>263</v>
      </c>
    </row>
    <row r="833" spans="1:10" x14ac:dyDescent="0.25">
      <c r="A833" s="114">
        <v>830</v>
      </c>
      <c r="B833" s="115" t="s">
        <v>1450</v>
      </c>
      <c r="C833" s="116" t="s">
        <v>1451</v>
      </c>
      <c r="D833" s="116" t="s">
        <v>427</v>
      </c>
      <c r="E833" s="116" t="s">
        <v>1439</v>
      </c>
      <c r="F833" s="117">
        <v>11898.67</v>
      </c>
      <c r="G833" s="117">
        <v>11898.67</v>
      </c>
      <c r="H833" s="117">
        <v>0</v>
      </c>
      <c r="I833" s="114">
        <v>0</v>
      </c>
      <c r="J833" s="116" t="s">
        <v>232</v>
      </c>
    </row>
    <row r="834" spans="1:10" x14ac:dyDescent="0.25">
      <c r="A834" s="114">
        <v>831</v>
      </c>
      <c r="B834" s="115" t="s">
        <v>1452</v>
      </c>
      <c r="C834" s="116" t="s">
        <v>1453</v>
      </c>
      <c r="D834" s="116" t="s">
        <v>437</v>
      </c>
      <c r="E834" s="116" t="s">
        <v>630</v>
      </c>
      <c r="F834" s="117">
        <v>100</v>
      </c>
      <c r="G834" s="117">
        <v>100.74939999999999</v>
      </c>
      <c r="H834" s="117">
        <v>7.08</v>
      </c>
      <c r="I834" s="114">
        <v>2092</v>
      </c>
      <c r="J834" s="116" t="s">
        <v>263</v>
      </c>
    </row>
    <row r="835" spans="1:10" x14ac:dyDescent="0.25">
      <c r="A835" s="114">
        <v>832</v>
      </c>
      <c r="B835" s="115" t="s">
        <v>1454</v>
      </c>
      <c r="C835" s="116" t="s">
        <v>1455</v>
      </c>
      <c r="D835" s="116" t="s">
        <v>437</v>
      </c>
      <c r="E835" s="116" t="s">
        <v>630</v>
      </c>
      <c r="F835" s="117">
        <v>100</v>
      </c>
      <c r="G835" s="117">
        <v>101.88079999999999</v>
      </c>
      <c r="H835" s="117">
        <v>6.08</v>
      </c>
      <c r="I835" s="114">
        <v>2019</v>
      </c>
      <c r="J835" s="116" t="s">
        <v>263</v>
      </c>
    </row>
    <row r="836" spans="1:10" x14ac:dyDescent="0.25">
      <c r="A836" s="114">
        <v>833</v>
      </c>
      <c r="B836" s="115" t="s">
        <v>1456</v>
      </c>
      <c r="C836" s="116" t="s">
        <v>1457</v>
      </c>
      <c r="D836" s="116" t="s">
        <v>437</v>
      </c>
      <c r="E836" s="116" t="s">
        <v>630</v>
      </c>
      <c r="F836" s="117">
        <v>100</v>
      </c>
      <c r="G836" s="117">
        <v>100.7286</v>
      </c>
      <c r="H836" s="117">
        <v>6.09</v>
      </c>
      <c r="I836" s="114">
        <v>2447</v>
      </c>
      <c r="J836" s="116" t="s">
        <v>263</v>
      </c>
    </row>
    <row r="837" spans="1:10" x14ac:dyDescent="0.25">
      <c r="A837" s="114">
        <v>834</v>
      </c>
      <c r="B837" s="115" t="s">
        <v>1458</v>
      </c>
      <c r="C837" s="116" t="s">
        <v>1459</v>
      </c>
      <c r="D837" s="116" t="s">
        <v>437</v>
      </c>
      <c r="E837" s="116" t="s">
        <v>630</v>
      </c>
      <c r="F837" s="117">
        <v>100</v>
      </c>
      <c r="G837" s="117">
        <v>100.7286</v>
      </c>
      <c r="H837" s="117">
        <v>6.09</v>
      </c>
      <c r="I837" s="114">
        <v>2447</v>
      </c>
      <c r="J837" s="116" t="s">
        <v>263</v>
      </c>
    </row>
    <row r="838" spans="1:10" x14ac:dyDescent="0.25">
      <c r="A838" s="114">
        <v>835</v>
      </c>
      <c r="B838" s="115" t="s">
        <v>1460</v>
      </c>
      <c r="C838" s="116" t="s">
        <v>1461</v>
      </c>
      <c r="D838" s="116" t="s">
        <v>437</v>
      </c>
      <c r="E838" s="116" t="s">
        <v>630</v>
      </c>
      <c r="F838" s="117">
        <v>100</v>
      </c>
      <c r="G838" s="117">
        <v>105.69329999999999</v>
      </c>
      <c r="H838" s="117">
        <v>6.09</v>
      </c>
      <c r="I838" s="114">
        <v>2514</v>
      </c>
      <c r="J838" s="116" t="s">
        <v>263</v>
      </c>
    </row>
    <row r="839" spans="1:10" x14ac:dyDescent="0.25">
      <c r="A839" s="114">
        <v>836</v>
      </c>
      <c r="B839" s="115" t="s">
        <v>2524</v>
      </c>
      <c r="C839" s="116" t="s">
        <v>2521</v>
      </c>
      <c r="D839" s="116" t="s">
        <v>437</v>
      </c>
      <c r="E839" s="116" t="s">
        <v>222</v>
      </c>
      <c r="F839" s="117">
        <v>99.783100000000005</v>
      </c>
      <c r="G839" s="117">
        <v>99.783100000000005</v>
      </c>
      <c r="H839" s="117">
        <v>15.87</v>
      </c>
      <c r="I839" s="114">
        <v>5</v>
      </c>
      <c r="J839" s="116" t="s">
        <v>263</v>
      </c>
    </row>
    <row r="840" spans="1:10" x14ac:dyDescent="0.25">
      <c r="A840" s="114">
        <v>837</v>
      </c>
      <c r="B840" s="115" t="s">
        <v>1462</v>
      </c>
      <c r="C840" s="116" t="s">
        <v>1463</v>
      </c>
      <c r="D840" s="116" t="s">
        <v>427</v>
      </c>
      <c r="E840" s="116" t="s">
        <v>1464</v>
      </c>
      <c r="F840" s="117">
        <v>91147.704299999998</v>
      </c>
      <c r="G840" s="117">
        <v>91147.704299999998</v>
      </c>
      <c r="H840" s="117">
        <v>0</v>
      </c>
      <c r="I840" s="114">
        <v>0</v>
      </c>
      <c r="J840" s="116" t="s">
        <v>232</v>
      </c>
    </row>
    <row r="841" spans="1:10" x14ac:dyDescent="0.25">
      <c r="A841" s="114">
        <v>838</v>
      </c>
      <c r="B841" s="115" t="s">
        <v>1465</v>
      </c>
      <c r="C841" s="116" t="s">
        <v>1466</v>
      </c>
      <c r="D841" s="116" t="s">
        <v>437</v>
      </c>
      <c r="E841" s="116" t="s">
        <v>2528</v>
      </c>
      <c r="F841" s="117">
        <v>101.19026243704026</v>
      </c>
      <c r="G841" s="117">
        <v>106.15696243704026</v>
      </c>
      <c r="H841" s="117">
        <v>5.76</v>
      </c>
      <c r="I841" s="114">
        <v>2222</v>
      </c>
      <c r="J841" s="116" t="s">
        <v>263</v>
      </c>
    </row>
    <row r="842" spans="1:10" x14ac:dyDescent="0.25">
      <c r="A842" s="114">
        <v>839</v>
      </c>
      <c r="B842" s="115" t="s">
        <v>1467</v>
      </c>
      <c r="C842" s="116" t="s">
        <v>1468</v>
      </c>
      <c r="D842" s="116" t="s">
        <v>437</v>
      </c>
      <c r="E842" s="116" t="s">
        <v>1469</v>
      </c>
      <c r="F842" s="117">
        <v>104.883</v>
      </c>
      <c r="G842" s="117">
        <v>106.94970000000001</v>
      </c>
      <c r="H842" s="117">
        <v>4.53</v>
      </c>
      <c r="I842" s="114">
        <v>1316</v>
      </c>
      <c r="J842" s="116" t="s">
        <v>263</v>
      </c>
    </row>
    <row r="843" spans="1:10" x14ac:dyDescent="0.25">
      <c r="A843" s="114">
        <v>840</v>
      </c>
      <c r="B843" s="115" t="s">
        <v>1872</v>
      </c>
      <c r="C843" s="116" t="s">
        <v>1873</v>
      </c>
      <c r="D843" s="116" t="s">
        <v>437</v>
      </c>
      <c r="E843" s="116" t="s">
        <v>419</v>
      </c>
      <c r="F843" s="117">
        <v>99.834893503886576</v>
      </c>
      <c r="G843" s="117">
        <v>101.08069350388656</v>
      </c>
      <c r="H843" s="117">
        <v>27.94</v>
      </c>
      <c r="I843" s="114">
        <v>7</v>
      </c>
      <c r="J843" s="116" t="s">
        <v>263</v>
      </c>
    </row>
    <row r="844" spans="1:10" x14ac:dyDescent="0.25">
      <c r="A844" s="114">
        <v>841</v>
      </c>
      <c r="B844" s="115" t="s">
        <v>1952</v>
      </c>
      <c r="C844" s="116" t="s">
        <v>1953</v>
      </c>
      <c r="D844" s="116" t="s">
        <v>437</v>
      </c>
      <c r="E844" s="116" t="s">
        <v>419</v>
      </c>
      <c r="F844" s="117">
        <v>98.33294803841639</v>
      </c>
      <c r="G844" s="117">
        <v>98.388548038416388</v>
      </c>
      <c r="H844" s="117">
        <v>27.04</v>
      </c>
      <c r="I844" s="114">
        <v>89</v>
      </c>
      <c r="J844" s="116" t="s">
        <v>263</v>
      </c>
    </row>
    <row r="845" spans="1:10" x14ac:dyDescent="0.25">
      <c r="A845" s="114">
        <v>842</v>
      </c>
      <c r="B845" s="115" t="s">
        <v>2013</v>
      </c>
      <c r="C845" s="116" t="s">
        <v>2014</v>
      </c>
      <c r="D845" s="116" t="s">
        <v>437</v>
      </c>
      <c r="E845" s="116" t="s">
        <v>419</v>
      </c>
      <c r="F845" s="117">
        <v>97.407916268296205</v>
      </c>
      <c r="G845" s="117">
        <v>98.130116268296206</v>
      </c>
      <c r="H845" s="117">
        <v>27.23</v>
      </c>
      <c r="I845" s="114">
        <v>137</v>
      </c>
      <c r="J845" s="116" t="s">
        <v>263</v>
      </c>
    </row>
    <row r="846" spans="1:10" x14ac:dyDescent="0.25">
      <c r="A846" s="114">
        <v>843</v>
      </c>
      <c r="B846" s="115" t="s">
        <v>2581</v>
      </c>
      <c r="C846" s="116" t="s">
        <v>2582</v>
      </c>
      <c r="D846" s="116" t="s">
        <v>437</v>
      </c>
      <c r="E846" s="116" t="s">
        <v>419</v>
      </c>
      <c r="F846" s="117">
        <v>99.997699999999995</v>
      </c>
      <c r="G846" s="117">
        <v>100.23520000000001</v>
      </c>
      <c r="H846" s="117">
        <v>9.5</v>
      </c>
      <c r="I846" s="114">
        <v>1071</v>
      </c>
      <c r="J846" s="116" t="s">
        <v>263</v>
      </c>
    </row>
    <row r="847" spans="1:10" x14ac:dyDescent="0.25">
      <c r="A847" s="114">
        <v>844</v>
      </c>
      <c r="B847" s="115" t="s">
        <v>1874</v>
      </c>
      <c r="C847" s="116" t="s">
        <v>1875</v>
      </c>
      <c r="D847" s="116" t="s">
        <v>427</v>
      </c>
      <c r="E847" s="116" t="s">
        <v>1876</v>
      </c>
      <c r="F847" s="117">
        <v>104434.08560000001</v>
      </c>
      <c r="G847" s="117">
        <v>104434.08560000001</v>
      </c>
      <c r="H847" s="117">
        <v>0</v>
      </c>
      <c r="I847" s="114">
        <v>0</v>
      </c>
      <c r="J847" s="116" t="s">
        <v>232</v>
      </c>
    </row>
    <row r="848" spans="1:10" x14ac:dyDescent="0.25">
      <c r="A848" s="114">
        <v>845</v>
      </c>
      <c r="B848" s="115" t="s">
        <v>1470</v>
      </c>
      <c r="C848" s="116" t="s">
        <v>1471</v>
      </c>
      <c r="D848" s="116" t="s">
        <v>437</v>
      </c>
      <c r="E848" s="116" t="s">
        <v>1472</v>
      </c>
      <c r="F848" s="117">
        <v>88.239790554118485</v>
      </c>
      <c r="G848" s="117">
        <v>90.10509055411849</v>
      </c>
      <c r="H848" s="117">
        <v>23.02</v>
      </c>
      <c r="I848" s="114">
        <v>3060</v>
      </c>
      <c r="J848" s="116" t="s">
        <v>263</v>
      </c>
    </row>
    <row r="849" spans="1:10" x14ac:dyDescent="0.25">
      <c r="A849" s="114">
        <v>846</v>
      </c>
      <c r="B849" s="115" t="s">
        <v>1473</v>
      </c>
      <c r="C849" s="116" t="s">
        <v>1474</v>
      </c>
      <c r="D849" s="116" t="s">
        <v>437</v>
      </c>
      <c r="E849" s="116" t="s">
        <v>1475</v>
      </c>
      <c r="F849" s="117">
        <v>96.223212347127131</v>
      </c>
      <c r="G849" s="117">
        <v>100.21901234712713</v>
      </c>
      <c r="H849" s="117">
        <v>17.11</v>
      </c>
      <c r="I849" s="114">
        <v>223</v>
      </c>
      <c r="J849" s="116" t="s">
        <v>263</v>
      </c>
    </row>
    <row r="850" spans="1:10" x14ac:dyDescent="0.25">
      <c r="A850" s="114">
        <v>847</v>
      </c>
      <c r="B850" s="115" t="s">
        <v>1476</v>
      </c>
      <c r="C850" s="116" t="s">
        <v>1477</v>
      </c>
      <c r="D850" s="116" t="s">
        <v>437</v>
      </c>
      <c r="E850" s="116" t="s">
        <v>1475</v>
      </c>
      <c r="F850" s="117">
        <v>89.898148321080996</v>
      </c>
      <c r="G850" s="117">
        <v>91.006448321080995</v>
      </c>
      <c r="H850" s="117">
        <v>16.93</v>
      </c>
      <c r="I850" s="114">
        <v>682</v>
      </c>
      <c r="J850" s="116" t="s">
        <v>263</v>
      </c>
    </row>
    <row r="851" spans="1:10" x14ac:dyDescent="0.25">
      <c r="A851" s="114">
        <v>848</v>
      </c>
      <c r="B851" s="115" t="s">
        <v>1478</v>
      </c>
      <c r="C851" s="116" t="s">
        <v>1479</v>
      </c>
      <c r="D851" s="116" t="s">
        <v>427</v>
      </c>
      <c r="E851" s="116" t="s">
        <v>1480</v>
      </c>
      <c r="F851" s="117">
        <v>21423.217550000001</v>
      </c>
      <c r="G851" s="117">
        <v>21423.217550000001</v>
      </c>
      <c r="H851" s="117">
        <v>0</v>
      </c>
      <c r="I851" s="114">
        <v>0</v>
      </c>
      <c r="J851" s="116" t="s">
        <v>232</v>
      </c>
    </row>
    <row r="852" spans="1:10" x14ac:dyDescent="0.25">
      <c r="A852" s="114">
        <v>849</v>
      </c>
      <c r="B852" s="115" t="s">
        <v>1481</v>
      </c>
      <c r="C852" s="116" t="s">
        <v>1482</v>
      </c>
      <c r="D852" s="116" t="s">
        <v>437</v>
      </c>
      <c r="E852" s="116" t="s">
        <v>1483</v>
      </c>
      <c r="F852" s="117">
        <v>100</v>
      </c>
      <c r="G852" s="117">
        <v>102.4722</v>
      </c>
      <c r="H852" s="117">
        <v>9.9600000000000009</v>
      </c>
      <c r="I852" s="114">
        <v>271</v>
      </c>
      <c r="J852" s="116" t="s">
        <v>263</v>
      </c>
    </row>
    <row r="853" spans="1:10" x14ac:dyDescent="0.25">
      <c r="A853" s="114">
        <v>850</v>
      </c>
      <c r="B853" s="115" t="s">
        <v>1484</v>
      </c>
      <c r="C853" s="116" t="s">
        <v>1485</v>
      </c>
      <c r="D853" s="116" t="s">
        <v>437</v>
      </c>
      <c r="E853" s="116" t="s">
        <v>1486</v>
      </c>
      <c r="F853" s="117">
        <v>100.339</v>
      </c>
      <c r="G853" s="117">
        <v>101.48480000000001</v>
      </c>
      <c r="H853" s="117">
        <v>3.92</v>
      </c>
      <c r="I853" s="114">
        <v>620</v>
      </c>
      <c r="J853" s="116" t="s">
        <v>263</v>
      </c>
    </row>
    <row r="854" spans="1:10" x14ac:dyDescent="0.25">
      <c r="A854" s="114">
        <v>851</v>
      </c>
      <c r="B854" s="115" t="s">
        <v>1487</v>
      </c>
      <c r="C854" s="116" t="s">
        <v>1488</v>
      </c>
      <c r="D854" s="116" t="s">
        <v>437</v>
      </c>
      <c r="E854" s="116" t="s">
        <v>1486</v>
      </c>
      <c r="F854" s="117">
        <v>99.690631134708994</v>
      </c>
      <c r="G854" s="117">
        <v>100.56773113470901</v>
      </c>
      <c r="H854" s="117">
        <v>4.7300000000000004</v>
      </c>
      <c r="I854" s="114">
        <v>48</v>
      </c>
      <c r="J854" s="116" t="s">
        <v>263</v>
      </c>
    </row>
    <row r="855" spans="1:10" x14ac:dyDescent="0.25">
      <c r="A855" s="114">
        <v>852</v>
      </c>
      <c r="B855" s="115" t="s">
        <v>1489</v>
      </c>
      <c r="C855" s="116" t="s">
        <v>1490</v>
      </c>
      <c r="D855" s="116" t="s">
        <v>427</v>
      </c>
      <c r="E855" s="116" t="s">
        <v>1491</v>
      </c>
      <c r="F855" s="117">
        <v>12930.63125</v>
      </c>
      <c r="G855" s="117">
        <v>12930.63125</v>
      </c>
      <c r="H855" s="117">
        <v>0</v>
      </c>
      <c r="I855" s="114">
        <v>0</v>
      </c>
      <c r="J855" s="116" t="s">
        <v>232</v>
      </c>
    </row>
    <row r="856" spans="1:10" x14ac:dyDescent="0.25">
      <c r="A856" s="114">
        <v>853</v>
      </c>
      <c r="B856" s="115" t="s">
        <v>1969</v>
      </c>
      <c r="C856" s="116" t="s">
        <v>1773</v>
      </c>
      <c r="D856" s="116" t="s">
        <v>730</v>
      </c>
      <c r="E856" s="116" t="s">
        <v>1544</v>
      </c>
      <c r="F856" s="117">
        <v>36485.826050000003</v>
      </c>
      <c r="G856" s="117">
        <v>36485.826050000003</v>
      </c>
      <c r="H856" s="117">
        <v>0</v>
      </c>
      <c r="I856" s="114">
        <v>0</v>
      </c>
      <c r="J856" s="116" t="s">
        <v>232</v>
      </c>
    </row>
    <row r="857" spans="1:10" x14ac:dyDescent="0.25">
      <c r="A857" s="114">
        <v>854</v>
      </c>
      <c r="B857" s="115" t="s">
        <v>1497</v>
      </c>
      <c r="C857" s="116" t="s">
        <v>1498</v>
      </c>
      <c r="D857" s="116" t="s">
        <v>427</v>
      </c>
      <c r="E857" s="116" t="s">
        <v>1499</v>
      </c>
      <c r="F857" s="117">
        <v>0.01</v>
      </c>
      <c r="G857" s="117">
        <v>0.01</v>
      </c>
      <c r="H857" s="117">
        <v>0</v>
      </c>
      <c r="I857" s="114">
        <v>0</v>
      </c>
      <c r="J857" s="116" t="s">
        <v>232</v>
      </c>
    </row>
    <row r="858" spans="1:10" x14ac:dyDescent="0.25">
      <c r="A858" s="114">
        <v>855</v>
      </c>
      <c r="B858" s="115" t="s">
        <v>1492</v>
      </c>
      <c r="C858" s="116" t="s">
        <v>1493</v>
      </c>
      <c r="D858" s="116" t="s">
        <v>437</v>
      </c>
      <c r="E858" s="116" t="s">
        <v>1494</v>
      </c>
      <c r="F858" s="117">
        <v>98.822576133501244</v>
      </c>
      <c r="G858" s="117">
        <v>100.29137613350125</v>
      </c>
      <c r="H858" s="117">
        <v>4.16</v>
      </c>
      <c r="I858" s="114">
        <v>1119</v>
      </c>
      <c r="J858" s="116" t="s">
        <v>263</v>
      </c>
    </row>
    <row r="859" spans="1:10" x14ac:dyDescent="0.25">
      <c r="A859" s="114">
        <v>856</v>
      </c>
      <c r="B859" s="115" t="s">
        <v>1495</v>
      </c>
      <c r="C859" s="116" t="s">
        <v>1496</v>
      </c>
      <c r="D859" s="116" t="s">
        <v>437</v>
      </c>
      <c r="E859" s="116" t="s">
        <v>1494</v>
      </c>
      <c r="F859" s="117">
        <v>97.816000000000003</v>
      </c>
      <c r="G859" s="117">
        <v>98.849299999999999</v>
      </c>
      <c r="H859" s="117">
        <v>4.07</v>
      </c>
      <c r="I859" s="114">
        <v>776</v>
      </c>
      <c r="J859" s="116" t="s">
        <v>263</v>
      </c>
    </row>
    <row r="860" spans="1:10" x14ac:dyDescent="0.25">
      <c r="A860" s="114">
        <v>857</v>
      </c>
      <c r="B860" s="115" t="s">
        <v>1500</v>
      </c>
      <c r="C860" s="116" t="s">
        <v>1501</v>
      </c>
      <c r="D860" s="116" t="s">
        <v>437</v>
      </c>
      <c r="E860" s="116" t="s">
        <v>1502</v>
      </c>
      <c r="F860" s="117">
        <v>100</v>
      </c>
      <c r="G860" s="117">
        <v>100.7</v>
      </c>
      <c r="H860" s="117">
        <v>14</v>
      </c>
      <c r="I860" s="114">
        <v>1782</v>
      </c>
      <c r="J860" s="116" t="s">
        <v>263</v>
      </c>
    </row>
    <row r="861" spans="1:10" x14ac:dyDescent="0.25">
      <c r="A861" s="114">
        <v>858</v>
      </c>
      <c r="B861" s="115" t="s">
        <v>2414</v>
      </c>
      <c r="C861" s="116" t="s">
        <v>2415</v>
      </c>
      <c r="D861" s="116" t="s">
        <v>437</v>
      </c>
      <c r="E861" s="116" t="s">
        <v>375</v>
      </c>
      <c r="F861" s="117">
        <v>99.668657810577841</v>
      </c>
      <c r="G861" s="117">
        <v>103.36305781057784</v>
      </c>
      <c r="H861" s="117">
        <v>19.43</v>
      </c>
      <c r="I861" s="114">
        <v>290</v>
      </c>
      <c r="J861" s="116" t="s">
        <v>263</v>
      </c>
    </row>
    <row r="862" spans="1:10" x14ac:dyDescent="0.25">
      <c r="A862" s="114">
        <v>859</v>
      </c>
      <c r="B862" s="115" t="s">
        <v>1946</v>
      </c>
      <c r="C862" s="116" t="s">
        <v>1947</v>
      </c>
      <c r="D862" s="116" t="s">
        <v>437</v>
      </c>
      <c r="E862" s="116" t="s">
        <v>375</v>
      </c>
      <c r="F862" s="117">
        <v>99.10384038931295</v>
      </c>
      <c r="G862" s="117">
        <v>100.50384038931296</v>
      </c>
      <c r="H862" s="117">
        <v>19.420000000000002</v>
      </c>
      <c r="I862" s="114">
        <v>242</v>
      </c>
      <c r="J862" s="116" t="s">
        <v>263</v>
      </c>
    </row>
    <row r="863" spans="1:10" x14ac:dyDescent="0.25">
      <c r="A863" s="114">
        <v>860</v>
      </c>
      <c r="B863" s="115" t="s">
        <v>1948</v>
      </c>
      <c r="C863" s="116" t="s">
        <v>1949</v>
      </c>
      <c r="D863" s="116" t="s">
        <v>437</v>
      </c>
      <c r="E863" s="116" t="s">
        <v>375</v>
      </c>
      <c r="F863" s="117">
        <v>99.10384038931295</v>
      </c>
      <c r="G863" s="117">
        <v>100.50384038931296</v>
      </c>
      <c r="H863" s="117">
        <v>19.420000000000002</v>
      </c>
      <c r="I863" s="114">
        <v>242</v>
      </c>
      <c r="J863" s="116" t="s">
        <v>263</v>
      </c>
    </row>
    <row r="864" spans="1:10" x14ac:dyDescent="0.25">
      <c r="A864" s="114">
        <v>861</v>
      </c>
      <c r="B864" s="115" t="s">
        <v>1503</v>
      </c>
      <c r="C864" s="116" t="s">
        <v>1504</v>
      </c>
      <c r="D864" s="116" t="s">
        <v>427</v>
      </c>
      <c r="E864" s="116" t="s">
        <v>375</v>
      </c>
      <c r="F864" s="117">
        <v>1644.2650000000001</v>
      </c>
      <c r="G864" s="117">
        <v>1644.2650000000001</v>
      </c>
      <c r="H864" s="117">
        <v>0</v>
      </c>
      <c r="I864" s="114">
        <v>111</v>
      </c>
      <c r="J864" s="116" t="s">
        <v>232</v>
      </c>
    </row>
    <row r="865" spans="1:10" x14ac:dyDescent="0.25">
      <c r="A865" s="114">
        <v>862</v>
      </c>
      <c r="B865" s="115" t="s">
        <v>1505</v>
      </c>
      <c r="C865" s="116" t="s">
        <v>1506</v>
      </c>
      <c r="D865" s="116" t="s">
        <v>437</v>
      </c>
      <c r="E865" s="116" t="s">
        <v>1507</v>
      </c>
      <c r="F865" s="117">
        <v>100</v>
      </c>
      <c r="G865" s="117">
        <v>101.2278</v>
      </c>
      <c r="H865" s="117">
        <v>4.2300000000000004</v>
      </c>
      <c r="I865" s="114">
        <v>196</v>
      </c>
      <c r="J865" s="116" t="s">
        <v>263</v>
      </c>
    </row>
    <row r="866" spans="1:10" x14ac:dyDescent="0.25">
      <c r="A866" s="114">
        <v>863</v>
      </c>
      <c r="B866" s="115" t="s">
        <v>1508</v>
      </c>
      <c r="C866" s="116" t="s">
        <v>1509</v>
      </c>
      <c r="D866" s="116" t="s">
        <v>437</v>
      </c>
      <c r="E866" s="116" t="s">
        <v>1507</v>
      </c>
      <c r="F866" s="117">
        <v>100</v>
      </c>
      <c r="G866" s="117">
        <v>100.00190000000001</v>
      </c>
      <c r="H866" s="117">
        <v>0.35</v>
      </c>
      <c r="I866" s="114">
        <v>178</v>
      </c>
      <c r="J866" s="116" t="s">
        <v>263</v>
      </c>
    </row>
    <row r="867" spans="1:10" x14ac:dyDescent="0.25">
      <c r="A867" s="114">
        <v>864</v>
      </c>
      <c r="B867" s="115" t="s">
        <v>2076</v>
      </c>
      <c r="C867" s="116" t="s">
        <v>2077</v>
      </c>
      <c r="D867" s="116" t="s">
        <v>437</v>
      </c>
      <c r="E867" s="116" t="s">
        <v>1507</v>
      </c>
      <c r="F867" s="117">
        <v>100</v>
      </c>
      <c r="G867" s="117">
        <v>100.0078</v>
      </c>
      <c r="H867" s="117">
        <v>0.35</v>
      </c>
      <c r="I867" s="114">
        <v>532</v>
      </c>
      <c r="J867" s="116" t="s">
        <v>263</v>
      </c>
    </row>
    <row r="868" spans="1:10" x14ac:dyDescent="0.25">
      <c r="A868" s="114">
        <v>865</v>
      </c>
      <c r="B868" s="115" t="s">
        <v>1510</v>
      </c>
      <c r="C868" s="116" t="s">
        <v>1511</v>
      </c>
      <c r="D868" s="116" t="s">
        <v>437</v>
      </c>
      <c r="E868" s="116" t="s">
        <v>1507</v>
      </c>
      <c r="F868" s="117">
        <v>100</v>
      </c>
      <c r="G868" s="117">
        <v>100.0067</v>
      </c>
      <c r="H868" s="117">
        <v>0.02</v>
      </c>
      <c r="I868" s="114">
        <v>2995</v>
      </c>
      <c r="J868" s="116" t="s">
        <v>263</v>
      </c>
    </row>
    <row r="869" spans="1:10" x14ac:dyDescent="0.25">
      <c r="A869" s="114">
        <v>866</v>
      </c>
      <c r="B869" s="115" t="s">
        <v>1512</v>
      </c>
      <c r="C869" s="116" t="s">
        <v>1513</v>
      </c>
      <c r="D869" s="116" t="s">
        <v>437</v>
      </c>
      <c r="E869" s="116" t="s">
        <v>1507</v>
      </c>
      <c r="F869" s="117">
        <v>100</v>
      </c>
      <c r="G869" s="117">
        <v>102.7111</v>
      </c>
      <c r="H869" s="117">
        <v>6.08</v>
      </c>
      <c r="I869" s="114">
        <v>1610</v>
      </c>
      <c r="J869" s="116" t="s">
        <v>263</v>
      </c>
    </row>
    <row r="870" spans="1:10" x14ac:dyDescent="0.25">
      <c r="A870" s="114">
        <v>867</v>
      </c>
      <c r="B870" s="115" t="s">
        <v>1514</v>
      </c>
      <c r="C870" s="116" t="s">
        <v>1515</v>
      </c>
      <c r="D870" s="116" t="s">
        <v>437</v>
      </c>
      <c r="E870" s="116" t="s">
        <v>1507</v>
      </c>
      <c r="F870" s="117">
        <v>100</v>
      </c>
      <c r="G870" s="117">
        <v>100.74939999999999</v>
      </c>
      <c r="H870" s="117">
        <v>7.08</v>
      </c>
      <c r="I870" s="114">
        <v>2092</v>
      </c>
      <c r="J870" s="116" t="s">
        <v>263</v>
      </c>
    </row>
    <row r="871" spans="1:10" x14ac:dyDescent="0.25">
      <c r="A871" s="114">
        <v>868</v>
      </c>
      <c r="B871" s="115" t="s">
        <v>2172</v>
      </c>
      <c r="C871" s="116" t="s">
        <v>2173</v>
      </c>
      <c r="D871" s="116" t="s">
        <v>437</v>
      </c>
      <c r="E871" s="116" t="s">
        <v>1507</v>
      </c>
      <c r="F871" s="117">
        <v>93.522983255825835</v>
      </c>
      <c r="G871" s="117">
        <v>100.44908325582584</v>
      </c>
      <c r="H871" s="117">
        <v>19.66</v>
      </c>
      <c r="I871" s="114">
        <v>3463</v>
      </c>
      <c r="J871" s="116" t="s">
        <v>263</v>
      </c>
    </row>
    <row r="872" spans="1:10" x14ac:dyDescent="0.25">
      <c r="A872" s="114">
        <v>869</v>
      </c>
      <c r="B872" s="115" t="s">
        <v>2308</v>
      </c>
      <c r="C872" s="116" t="s">
        <v>2309</v>
      </c>
      <c r="D872" s="116" t="s">
        <v>437</v>
      </c>
      <c r="E872" s="116" t="s">
        <v>1507</v>
      </c>
      <c r="F872" s="117">
        <v>96.433433229027273</v>
      </c>
      <c r="G872" s="117">
        <v>101.31593322902727</v>
      </c>
      <c r="H872" s="117">
        <v>19.670000000000002</v>
      </c>
      <c r="I872" s="114">
        <v>3507</v>
      </c>
      <c r="J872" s="116" t="s">
        <v>263</v>
      </c>
    </row>
    <row r="873" spans="1:10" x14ac:dyDescent="0.25">
      <c r="A873" s="114">
        <v>870</v>
      </c>
      <c r="B873" s="115" t="s">
        <v>2378</v>
      </c>
      <c r="C873" s="116" t="s">
        <v>2379</v>
      </c>
      <c r="D873" s="116" t="s">
        <v>437</v>
      </c>
      <c r="E873" s="116" t="s">
        <v>1507</v>
      </c>
      <c r="F873" s="117">
        <v>96.517299493850786</v>
      </c>
      <c r="G873" s="117">
        <v>100.13979949385079</v>
      </c>
      <c r="H873" s="117">
        <v>19.670000000000002</v>
      </c>
      <c r="I873" s="114">
        <v>3531</v>
      </c>
      <c r="J873" s="116" t="s">
        <v>263</v>
      </c>
    </row>
    <row r="874" spans="1:10" x14ac:dyDescent="0.25">
      <c r="A874" s="114">
        <v>871</v>
      </c>
      <c r="B874" s="115" t="s">
        <v>2501</v>
      </c>
      <c r="C874" s="116" t="s">
        <v>2502</v>
      </c>
      <c r="D874" s="116" t="s">
        <v>437</v>
      </c>
      <c r="E874" s="116" t="s">
        <v>1507</v>
      </c>
      <c r="F874" s="117">
        <v>96.661158866675223</v>
      </c>
      <c r="G874" s="117">
        <v>98.498658866675214</v>
      </c>
      <c r="H874" s="117">
        <v>19.66</v>
      </c>
      <c r="I874" s="114">
        <v>3565</v>
      </c>
      <c r="J874" s="116" t="s">
        <v>263</v>
      </c>
    </row>
    <row r="875" spans="1:10" x14ac:dyDescent="0.25">
      <c r="A875" s="114">
        <v>872</v>
      </c>
      <c r="B875" s="115" t="s">
        <v>1516</v>
      </c>
      <c r="C875" s="116" t="s">
        <v>1517</v>
      </c>
      <c r="D875" s="116" t="s">
        <v>437</v>
      </c>
      <c r="E875" s="116" t="s">
        <v>1507</v>
      </c>
      <c r="F875" s="117">
        <v>100</v>
      </c>
      <c r="G875" s="117">
        <v>101.88079999999999</v>
      </c>
      <c r="H875" s="117">
        <v>6.08</v>
      </c>
      <c r="I875" s="114">
        <v>2019</v>
      </c>
      <c r="J875" s="116" t="s">
        <v>263</v>
      </c>
    </row>
    <row r="876" spans="1:10" x14ac:dyDescent="0.25">
      <c r="A876" s="114">
        <v>873</v>
      </c>
      <c r="B876" s="115" t="s">
        <v>1518</v>
      </c>
      <c r="C876" s="116" t="s">
        <v>1519</v>
      </c>
      <c r="D876" s="116" t="s">
        <v>437</v>
      </c>
      <c r="E876" s="116" t="s">
        <v>1507</v>
      </c>
      <c r="F876" s="117">
        <v>100</v>
      </c>
      <c r="G876" s="117">
        <v>100.7286</v>
      </c>
      <c r="H876" s="117">
        <v>6.09</v>
      </c>
      <c r="I876" s="114">
        <v>2447</v>
      </c>
      <c r="J876" s="116" t="s">
        <v>263</v>
      </c>
    </row>
    <row r="877" spans="1:10" x14ac:dyDescent="0.25">
      <c r="A877" s="114">
        <v>874</v>
      </c>
      <c r="B877" s="115" t="s">
        <v>1520</v>
      </c>
      <c r="C877" s="116" t="s">
        <v>1521</v>
      </c>
      <c r="D877" s="116" t="s">
        <v>437</v>
      </c>
      <c r="E877" s="116" t="s">
        <v>1507</v>
      </c>
      <c r="F877" s="117">
        <v>100</v>
      </c>
      <c r="G877" s="117">
        <v>100.7286</v>
      </c>
      <c r="H877" s="117">
        <v>6.09</v>
      </c>
      <c r="I877" s="114">
        <v>2447</v>
      </c>
      <c r="J877" s="116" t="s">
        <v>263</v>
      </c>
    </row>
    <row r="878" spans="1:10" x14ac:dyDescent="0.25">
      <c r="A878" s="114">
        <v>875</v>
      </c>
      <c r="B878" s="115" t="s">
        <v>1522</v>
      </c>
      <c r="C878" s="116" t="s">
        <v>1523</v>
      </c>
      <c r="D878" s="116" t="s">
        <v>437</v>
      </c>
      <c r="E878" s="116" t="s">
        <v>1507</v>
      </c>
      <c r="F878" s="117">
        <v>100</v>
      </c>
      <c r="G878" s="117">
        <v>105.69329999999999</v>
      </c>
      <c r="H878" s="117">
        <v>6.09</v>
      </c>
      <c r="I878" s="114">
        <v>2514</v>
      </c>
      <c r="J878" s="116" t="s">
        <v>263</v>
      </c>
    </row>
    <row r="879" spans="1:10" x14ac:dyDescent="0.25">
      <c r="A879" s="114">
        <v>876</v>
      </c>
      <c r="B879" s="115" t="s">
        <v>1524</v>
      </c>
      <c r="C879" s="116" t="s">
        <v>1525</v>
      </c>
      <c r="D879" s="116" t="s">
        <v>427</v>
      </c>
      <c r="E879" s="116" t="s">
        <v>1526</v>
      </c>
      <c r="F879" s="117">
        <v>30814.00965</v>
      </c>
      <c r="G879" s="117">
        <v>30814.00965</v>
      </c>
      <c r="H879" s="117">
        <v>0</v>
      </c>
      <c r="I879" s="114">
        <v>0</v>
      </c>
      <c r="J879" s="116" t="s">
        <v>232</v>
      </c>
    </row>
    <row r="880" spans="1:10" x14ac:dyDescent="0.25">
      <c r="A880" s="114">
        <v>877</v>
      </c>
      <c r="B880" s="115" t="s">
        <v>1527</v>
      </c>
      <c r="C880" s="116" t="s">
        <v>1528</v>
      </c>
      <c r="D880" s="116" t="s">
        <v>427</v>
      </c>
      <c r="E880" s="116" t="s">
        <v>1529</v>
      </c>
      <c r="F880" s="117">
        <v>0.01</v>
      </c>
      <c r="G880" s="117">
        <v>0.01</v>
      </c>
      <c r="H880" s="117">
        <v>0</v>
      </c>
      <c r="I880" s="114">
        <v>0</v>
      </c>
      <c r="J880" s="116" t="s">
        <v>232</v>
      </c>
    </row>
    <row r="881" spans="1:10" x14ac:dyDescent="0.25">
      <c r="A881" s="114">
        <v>878</v>
      </c>
      <c r="B881" s="115" t="s">
        <v>1530</v>
      </c>
      <c r="C881" s="116" t="s">
        <v>1531</v>
      </c>
      <c r="D881" s="116" t="s">
        <v>437</v>
      </c>
      <c r="E881" s="116" t="s">
        <v>1532</v>
      </c>
      <c r="F881" s="117">
        <v>99.575000000000003</v>
      </c>
      <c r="G881" s="117">
        <v>99.602099999999993</v>
      </c>
      <c r="H881" s="117">
        <v>4.13</v>
      </c>
      <c r="I881" s="114">
        <v>177</v>
      </c>
      <c r="J881" s="116" t="s">
        <v>263</v>
      </c>
    </row>
    <row r="882" spans="1:10" x14ac:dyDescent="0.25">
      <c r="A882" s="114">
        <v>879</v>
      </c>
      <c r="B882" s="115" t="s">
        <v>1533</v>
      </c>
      <c r="C882" s="116" t="s">
        <v>1534</v>
      </c>
      <c r="D882" s="116" t="s">
        <v>437</v>
      </c>
      <c r="E882" s="116" t="s">
        <v>1532</v>
      </c>
      <c r="F882" s="117">
        <v>99.14</v>
      </c>
      <c r="G882" s="117">
        <v>99.650400000000005</v>
      </c>
      <c r="H882" s="117">
        <v>3.97</v>
      </c>
      <c r="I882" s="114">
        <v>1571</v>
      </c>
      <c r="J882" s="116" t="s">
        <v>263</v>
      </c>
    </row>
    <row r="883" spans="1:10" x14ac:dyDescent="0.25">
      <c r="A883" s="114">
        <v>880</v>
      </c>
      <c r="B883" s="115" t="s">
        <v>1535</v>
      </c>
      <c r="C883" s="116" t="s">
        <v>1536</v>
      </c>
      <c r="D883" s="116" t="s">
        <v>437</v>
      </c>
      <c r="E883" s="116" t="s">
        <v>1532</v>
      </c>
      <c r="F883" s="117">
        <v>100.24</v>
      </c>
      <c r="G883" s="117">
        <v>101.14</v>
      </c>
      <c r="H883" s="117">
        <v>3.92</v>
      </c>
      <c r="I883" s="114">
        <v>1179</v>
      </c>
      <c r="J883" s="116" t="s">
        <v>263</v>
      </c>
    </row>
    <row r="884" spans="1:10" x14ac:dyDescent="0.25">
      <c r="A884" s="114">
        <v>881</v>
      </c>
      <c r="B884" s="115" t="s">
        <v>1537</v>
      </c>
      <c r="C884" s="116" t="s">
        <v>1538</v>
      </c>
      <c r="D884" s="116" t="s">
        <v>437</v>
      </c>
      <c r="E884" s="116" t="s">
        <v>1532</v>
      </c>
      <c r="F884" s="117">
        <v>101.465</v>
      </c>
      <c r="G884" s="117">
        <v>101.99</v>
      </c>
      <c r="H884" s="117">
        <v>3.85</v>
      </c>
      <c r="I884" s="114">
        <v>858</v>
      </c>
      <c r="J884" s="116" t="s">
        <v>263</v>
      </c>
    </row>
    <row r="885" spans="1:10" x14ac:dyDescent="0.25">
      <c r="A885" s="114">
        <v>882</v>
      </c>
      <c r="B885" s="115" t="s">
        <v>1539</v>
      </c>
      <c r="C885" s="116" t="s">
        <v>1540</v>
      </c>
      <c r="D885" s="116" t="s">
        <v>427</v>
      </c>
      <c r="E885" s="116" t="s">
        <v>1541</v>
      </c>
      <c r="F885" s="117">
        <v>87819.801349999994</v>
      </c>
      <c r="G885" s="117">
        <v>87819.801349999994</v>
      </c>
      <c r="H885" s="117">
        <v>0</v>
      </c>
      <c r="I885" s="114">
        <v>0</v>
      </c>
      <c r="J885" s="116" t="s">
        <v>232</v>
      </c>
    </row>
    <row r="886" spans="1:10" x14ac:dyDescent="0.25">
      <c r="A886" s="114">
        <v>883</v>
      </c>
      <c r="B886" s="115" t="s">
        <v>1542</v>
      </c>
      <c r="C886" s="116" t="s">
        <v>1543</v>
      </c>
      <c r="D886" s="116" t="s">
        <v>730</v>
      </c>
      <c r="E886" s="116" t="s">
        <v>1544</v>
      </c>
      <c r="F886" s="117">
        <v>314831.22509999998</v>
      </c>
      <c r="G886" s="117">
        <v>314831.22509999998</v>
      </c>
      <c r="H886" s="117">
        <v>0</v>
      </c>
      <c r="I886" s="114">
        <v>0</v>
      </c>
      <c r="J886" s="116" t="s">
        <v>232</v>
      </c>
    </row>
    <row r="887" spans="1:10" x14ac:dyDescent="0.25">
      <c r="A887" s="114">
        <v>884</v>
      </c>
      <c r="B887" s="115" t="s">
        <v>1545</v>
      </c>
      <c r="C887" s="116" t="s">
        <v>1546</v>
      </c>
      <c r="D887" s="116" t="s">
        <v>427</v>
      </c>
      <c r="E887" s="116" t="s">
        <v>1547</v>
      </c>
      <c r="F887" s="117">
        <v>17000.39</v>
      </c>
      <c r="G887" s="117">
        <v>17000.39</v>
      </c>
      <c r="H887" s="117">
        <v>0</v>
      </c>
      <c r="I887" s="114">
        <v>0</v>
      </c>
      <c r="J887" s="116" t="s">
        <v>232</v>
      </c>
    </row>
    <row r="888" spans="1:10" x14ac:dyDescent="0.25">
      <c r="A888" s="114">
        <v>885</v>
      </c>
      <c r="B888" s="115" t="s">
        <v>1548</v>
      </c>
      <c r="C888" s="116" t="s">
        <v>1549</v>
      </c>
      <c r="D888" s="116" t="s">
        <v>437</v>
      </c>
      <c r="E888" s="116" t="s">
        <v>1550</v>
      </c>
      <c r="F888" s="117">
        <v>96.574222733512755</v>
      </c>
      <c r="G888" s="117">
        <v>103.24092273351276</v>
      </c>
      <c r="H888" s="117">
        <v>31.47</v>
      </c>
      <c r="I888" s="114">
        <v>1540</v>
      </c>
      <c r="J888" s="116" t="s">
        <v>263</v>
      </c>
    </row>
    <row r="889" spans="1:10" x14ac:dyDescent="0.25">
      <c r="A889" s="114">
        <v>886</v>
      </c>
      <c r="B889" s="115" t="s">
        <v>1551</v>
      </c>
      <c r="C889" s="116" t="s">
        <v>1552</v>
      </c>
      <c r="D889" s="116" t="s">
        <v>437</v>
      </c>
      <c r="E889" s="116" t="s">
        <v>1553</v>
      </c>
      <c r="F889" s="117">
        <v>74.881447312911945</v>
      </c>
      <c r="G889" s="117">
        <v>84.492547312911952</v>
      </c>
      <c r="H889" s="117">
        <v>29.47</v>
      </c>
      <c r="I889" s="114">
        <v>1987</v>
      </c>
      <c r="J889" s="116" t="s">
        <v>263</v>
      </c>
    </row>
    <row r="890" spans="1:10" x14ac:dyDescent="0.25">
      <c r="A890" s="114">
        <v>887</v>
      </c>
      <c r="B890" s="115" t="s">
        <v>1554</v>
      </c>
      <c r="C890" s="116" t="s">
        <v>1555</v>
      </c>
      <c r="D890" s="116" t="s">
        <v>437</v>
      </c>
      <c r="E890" s="116" t="s">
        <v>1553</v>
      </c>
      <c r="F890" s="117">
        <v>72.148336547168981</v>
      </c>
      <c r="G890" s="117">
        <v>81.870536547168982</v>
      </c>
      <c r="H890" s="117">
        <v>29.37</v>
      </c>
      <c r="I890" s="114">
        <v>2705</v>
      </c>
      <c r="J890" s="116" t="s">
        <v>263</v>
      </c>
    </row>
    <row r="891" spans="1:10" x14ac:dyDescent="0.25">
      <c r="A891" s="114">
        <v>888</v>
      </c>
      <c r="B891" s="115" t="s">
        <v>1556</v>
      </c>
      <c r="C891" s="116" t="s">
        <v>1557</v>
      </c>
      <c r="D891" s="116" t="s">
        <v>427</v>
      </c>
      <c r="E891" s="116" t="s">
        <v>1558</v>
      </c>
      <c r="F891" s="117">
        <v>0.01</v>
      </c>
      <c r="G891" s="117">
        <v>0.01</v>
      </c>
      <c r="H891" s="117">
        <v>0</v>
      </c>
      <c r="I891" s="114">
        <v>0</v>
      </c>
      <c r="J891" s="116" t="s">
        <v>232</v>
      </c>
    </row>
    <row r="892" spans="1:10" x14ac:dyDescent="0.25">
      <c r="A892" s="114">
        <v>889</v>
      </c>
      <c r="B892" s="115" t="s">
        <v>1559</v>
      </c>
      <c r="C892" s="116" t="s">
        <v>1560</v>
      </c>
      <c r="D892" s="116" t="s">
        <v>427</v>
      </c>
      <c r="E892" s="116" t="s">
        <v>1558</v>
      </c>
      <c r="F892" s="117">
        <v>0.01</v>
      </c>
      <c r="G892" s="117">
        <v>0.01</v>
      </c>
      <c r="H892" s="117">
        <v>0</v>
      </c>
      <c r="I892" s="114">
        <v>0</v>
      </c>
      <c r="J892" s="116" t="s">
        <v>232</v>
      </c>
    </row>
    <row r="893" spans="1:10" x14ac:dyDescent="0.25">
      <c r="A893" s="114">
        <v>890</v>
      </c>
      <c r="B893" s="115" t="s">
        <v>1572</v>
      </c>
      <c r="C893" s="116" t="s">
        <v>1573</v>
      </c>
      <c r="D893" s="116" t="s">
        <v>427</v>
      </c>
      <c r="E893" s="116" t="s">
        <v>1574</v>
      </c>
      <c r="F893" s="117">
        <v>34400</v>
      </c>
      <c r="G893" s="117">
        <v>34400</v>
      </c>
      <c r="H893" s="117">
        <v>0</v>
      </c>
      <c r="I893" s="114">
        <v>0</v>
      </c>
      <c r="J893" s="116" t="s">
        <v>232</v>
      </c>
    </row>
    <row r="894" spans="1:10" x14ac:dyDescent="0.25">
      <c r="A894" s="114">
        <v>891</v>
      </c>
      <c r="B894" s="115" t="s">
        <v>1575</v>
      </c>
      <c r="C894" s="116" t="s">
        <v>1576</v>
      </c>
      <c r="D894" s="116" t="s">
        <v>427</v>
      </c>
      <c r="E894" s="116" t="s">
        <v>1574</v>
      </c>
      <c r="F894" s="117">
        <v>17800</v>
      </c>
      <c r="G894" s="117">
        <v>17800</v>
      </c>
      <c r="H894" s="117">
        <v>0</v>
      </c>
      <c r="I894" s="114">
        <v>0</v>
      </c>
      <c r="J894" s="116" t="s">
        <v>232</v>
      </c>
    </row>
    <row r="895" spans="1:10" x14ac:dyDescent="0.25">
      <c r="A895" s="114">
        <v>892</v>
      </c>
      <c r="B895" s="115" t="s">
        <v>1577</v>
      </c>
      <c r="C895" s="116" t="s">
        <v>1578</v>
      </c>
      <c r="D895" s="116" t="s">
        <v>427</v>
      </c>
      <c r="E895" s="116" t="s">
        <v>1579</v>
      </c>
      <c r="F895" s="117">
        <v>1000</v>
      </c>
      <c r="G895" s="117">
        <v>1000</v>
      </c>
      <c r="H895" s="117">
        <v>0</v>
      </c>
      <c r="I895" s="114">
        <v>141</v>
      </c>
      <c r="J895" s="116" t="s">
        <v>232</v>
      </c>
    </row>
    <row r="896" spans="1:10" x14ac:dyDescent="0.25">
      <c r="A896" s="114">
        <v>893</v>
      </c>
      <c r="B896" s="115" t="s">
        <v>1580</v>
      </c>
      <c r="C896" s="116" t="s">
        <v>1581</v>
      </c>
      <c r="D896" s="116" t="s">
        <v>427</v>
      </c>
      <c r="E896" s="116" t="s">
        <v>1582</v>
      </c>
      <c r="F896" s="117">
        <v>0.01</v>
      </c>
      <c r="G896" s="117">
        <v>0.01</v>
      </c>
      <c r="H896" s="117">
        <v>0</v>
      </c>
      <c r="I896" s="114">
        <v>0</v>
      </c>
      <c r="J896" s="116" t="s">
        <v>232</v>
      </c>
    </row>
    <row r="897" spans="1:10" x14ac:dyDescent="0.25">
      <c r="A897" s="114">
        <v>894</v>
      </c>
      <c r="B897" s="115" t="s">
        <v>1583</v>
      </c>
      <c r="C897" s="116" t="s">
        <v>1584</v>
      </c>
      <c r="D897" s="116" t="s">
        <v>427</v>
      </c>
      <c r="E897" s="116" t="s">
        <v>1585</v>
      </c>
      <c r="F897" s="117">
        <v>0.01</v>
      </c>
      <c r="G897" s="117">
        <v>0.01</v>
      </c>
      <c r="H897" s="117">
        <v>0</v>
      </c>
      <c r="I897" s="114">
        <v>0</v>
      </c>
      <c r="J897" s="116" t="s">
        <v>232</v>
      </c>
    </row>
    <row r="898" spans="1:10" x14ac:dyDescent="0.25">
      <c r="A898" s="114">
        <v>895</v>
      </c>
      <c r="B898" s="115" t="s">
        <v>1586</v>
      </c>
      <c r="C898" s="116" t="s">
        <v>1587</v>
      </c>
      <c r="D898" s="116" t="s">
        <v>427</v>
      </c>
      <c r="E898" s="116" t="s">
        <v>1585</v>
      </c>
      <c r="F898" s="117">
        <v>0.01</v>
      </c>
      <c r="G898" s="117">
        <v>0.01</v>
      </c>
      <c r="H898" s="117">
        <v>0</v>
      </c>
      <c r="I898" s="114">
        <v>0</v>
      </c>
      <c r="J898" s="116" t="s">
        <v>232</v>
      </c>
    </row>
    <row r="899" spans="1:10" x14ac:dyDescent="0.25">
      <c r="A899" s="114">
        <v>896</v>
      </c>
      <c r="B899" s="115" t="s">
        <v>1561</v>
      </c>
      <c r="C899" s="116" t="s">
        <v>1562</v>
      </c>
      <c r="D899" s="116" t="s">
        <v>437</v>
      </c>
      <c r="E899" s="116" t="s">
        <v>1563</v>
      </c>
      <c r="F899" s="117">
        <v>98.975999999999999</v>
      </c>
      <c r="G899" s="117">
        <v>99.892300000000006</v>
      </c>
      <c r="H899" s="117">
        <v>4.0999999999999996</v>
      </c>
      <c r="I899" s="114">
        <v>809</v>
      </c>
      <c r="J899" s="116" t="s">
        <v>263</v>
      </c>
    </row>
    <row r="900" spans="1:10" x14ac:dyDescent="0.25">
      <c r="A900" s="114">
        <v>897</v>
      </c>
      <c r="B900" s="115" t="s">
        <v>1564</v>
      </c>
      <c r="C900" s="116" t="s">
        <v>1565</v>
      </c>
      <c r="D900" s="116" t="s">
        <v>437</v>
      </c>
      <c r="E900" s="116" t="s">
        <v>1563</v>
      </c>
      <c r="F900" s="117">
        <v>100.70008696971648</v>
      </c>
      <c r="G900" s="117">
        <v>101.29558696971648</v>
      </c>
      <c r="H900" s="117">
        <v>4.1500000000000004</v>
      </c>
      <c r="I900" s="114">
        <v>1211</v>
      </c>
      <c r="J900" s="116" t="s">
        <v>263</v>
      </c>
    </row>
    <row r="901" spans="1:10" x14ac:dyDescent="0.25">
      <c r="A901" s="114">
        <v>898</v>
      </c>
      <c r="B901" s="115" t="s">
        <v>1566</v>
      </c>
      <c r="C901" s="116" t="s">
        <v>1567</v>
      </c>
      <c r="D901" s="116" t="s">
        <v>437</v>
      </c>
      <c r="E901" s="116" t="s">
        <v>1563</v>
      </c>
      <c r="F901" s="117">
        <v>98.159000000000006</v>
      </c>
      <c r="G901" s="117">
        <v>99.006200000000007</v>
      </c>
      <c r="H901" s="117">
        <v>4.1399999999999997</v>
      </c>
      <c r="I901" s="114">
        <v>418</v>
      </c>
      <c r="J901" s="116" t="s">
        <v>263</v>
      </c>
    </row>
    <row r="902" spans="1:10" x14ac:dyDescent="0.25">
      <c r="A902" s="114">
        <v>899</v>
      </c>
      <c r="B902" s="115" t="s">
        <v>1568</v>
      </c>
      <c r="C902" s="116" t="s">
        <v>1569</v>
      </c>
      <c r="D902" s="116" t="s">
        <v>437</v>
      </c>
      <c r="E902" s="116" t="s">
        <v>1563</v>
      </c>
      <c r="F902" s="117">
        <v>99.263999999999996</v>
      </c>
      <c r="G902" s="117">
        <v>99.616100000000003</v>
      </c>
      <c r="H902" s="117">
        <v>4.0999999999999996</v>
      </c>
      <c r="I902" s="114">
        <v>321</v>
      </c>
      <c r="J902" s="116" t="s">
        <v>263</v>
      </c>
    </row>
    <row r="903" spans="1:10" x14ac:dyDescent="0.25">
      <c r="A903" s="114">
        <v>900</v>
      </c>
      <c r="B903" s="115" t="s">
        <v>1570</v>
      </c>
      <c r="C903" s="116" t="s">
        <v>1571</v>
      </c>
      <c r="D903" s="116" t="s">
        <v>427</v>
      </c>
      <c r="E903" s="116" t="s">
        <v>1563</v>
      </c>
      <c r="F903" s="117">
        <v>501.44609530000002</v>
      </c>
      <c r="G903" s="117">
        <v>501.44609530000002</v>
      </c>
      <c r="H903" s="117">
        <v>0</v>
      </c>
      <c r="I903" s="114">
        <v>495</v>
      </c>
      <c r="J903" s="116" t="s">
        <v>232</v>
      </c>
    </row>
    <row r="904" spans="1:10" x14ac:dyDescent="0.25">
      <c r="A904" s="114">
        <v>901</v>
      </c>
      <c r="B904" s="115" t="s">
        <v>1588</v>
      </c>
      <c r="C904" s="116" t="s">
        <v>1589</v>
      </c>
      <c r="D904" s="116" t="s">
        <v>427</v>
      </c>
      <c r="E904" s="116" t="s">
        <v>1590</v>
      </c>
      <c r="F904" s="117">
        <v>44239.1587</v>
      </c>
      <c r="G904" s="117">
        <v>44239.1587</v>
      </c>
      <c r="H904" s="117">
        <v>0</v>
      </c>
      <c r="I904" s="114">
        <v>0</v>
      </c>
      <c r="J904" s="116" t="s">
        <v>232</v>
      </c>
    </row>
    <row r="905" spans="1:10" x14ac:dyDescent="0.25">
      <c r="A905" s="114">
        <v>902</v>
      </c>
      <c r="B905" s="115" t="s">
        <v>1897</v>
      </c>
      <c r="C905" s="116" t="s">
        <v>1898</v>
      </c>
      <c r="D905" s="116" t="s">
        <v>437</v>
      </c>
      <c r="E905" s="116" t="s">
        <v>1899</v>
      </c>
      <c r="F905" s="117">
        <v>96.501838855343138</v>
      </c>
      <c r="G905" s="117">
        <v>98.470638855343125</v>
      </c>
      <c r="H905" s="117">
        <v>22.32</v>
      </c>
      <c r="I905" s="114">
        <v>775</v>
      </c>
      <c r="J905" s="116" t="s">
        <v>263</v>
      </c>
    </row>
    <row r="906" spans="1:10" x14ac:dyDescent="0.25">
      <c r="A906" s="114">
        <v>903</v>
      </c>
      <c r="B906" s="115" t="s">
        <v>2242</v>
      </c>
      <c r="C906" s="116" t="s">
        <v>2243</v>
      </c>
      <c r="D906" s="116" t="s">
        <v>437</v>
      </c>
      <c r="E906" s="116" t="s">
        <v>1899</v>
      </c>
      <c r="F906" s="117">
        <v>96.052199999999999</v>
      </c>
      <c r="G906" s="117">
        <v>97.627200000000002</v>
      </c>
      <c r="H906" s="117">
        <v>23</v>
      </c>
      <c r="I906" s="114">
        <v>963</v>
      </c>
      <c r="J906" s="116" t="s">
        <v>263</v>
      </c>
    </row>
    <row r="907" spans="1:10" x14ac:dyDescent="0.25">
      <c r="A907" s="114">
        <v>904</v>
      </c>
      <c r="B907" s="115" t="s">
        <v>2348</v>
      </c>
      <c r="C907" s="116" t="s">
        <v>2349</v>
      </c>
      <c r="D907" s="116" t="s">
        <v>437</v>
      </c>
      <c r="E907" s="116" t="s">
        <v>2350</v>
      </c>
      <c r="F907" s="117">
        <v>84.127329994240768</v>
      </c>
      <c r="G907" s="117">
        <v>90.491229994240769</v>
      </c>
      <c r="H907" s="117">
        <v>17.54</v>
      </c>
      <c r="I907" s="114">
        <v>5242</v>
      </c>
      <c r="J907" s="116" t="s">
        <v>263</v>
      </c>
    </row>
    <row r="908" spans="1:10" x14ac:dyDescent="0.25">
      <c r="A908" s="114">
        <v>905</v>
      </c>
      <c r="B908" s="115" t="s">
        <v>2438</v>
      </c>
      <c r="C908" s="116" t="s">
        <v>2439</v>
      </c>
      <c r="D908" s="116" t="s">
        <v>427</v>
      </c>
      <c r="E908" s="116" t="s">
        <v>2440</v>
      </c>
      <c r="F908" s="117">
        <v>1000</v>
      </c>
      <c r="G908" s="117">
        <v>1000</v>
      </c>
      <c r="H908" s="117">
        <v>0</v>
      </c>
      <c r="I908" s="114">
        <v>1564</v>
      </c>
      <c r="J908" s="116" t="s">
        <v>232</v>
      </c>
    </row>
    <row r="909" spans="1:10" x14ac:dyDescent="0.25">
      <c r="A909" s="114">
        <v>906</v>
      </c>
      <c r="B909" s="115" t="s">
        <v>2009</v>
      </c>
      <c r="C909" s="116" t="s">
        <v>2010</v>
      </c>
      <c r="D909" s="116" t="s">
        <v>437</v>
      </c>
      <c r="E909" s="116" t="s">
        <v>1591</v>
      </c>
      <c r="F909" s="117">
        <v>100</v>
      </c>
      <c r="G909" s="117">
        <v>100.5549</v>
      </c>
      <c r="H909" s="117">
        <v>4.24</v>
      </c>
      <c r="I909" s="114">
        <v>433</v>
      </c>
      <c r="J909" s="116" t="s">
        <v>263</v>
      </c>
    </row>
    <row r="910" spans="1:10" x14ac:dyDescent="0.25">
      <c r="A910" s="114">
        <v>907</v>
      </c>
      <c r="B910" s="115" t="s">
        <v>2487</v>
      </c>
      <c r="C910" s="116" t="s">
        <v>2488</v>
      </c>
      <c r="D910" s="116" t="s">
        <v>437</v>
      </c>
      <c r="E910" s="116" t="s">
        <v>1591</v>
      </c>
      <c r="F910" s="117">
        <v>100</v>
      </c>
      <c r="G910" s="117">
        <v>100.425</v>
      </c>
      <c r="H910" s="117">
        <v>4.24</v>
      </c>
      <c r="I910" s="114">
        <v>624</v>
      </c>
      <c r="J910" s="116" t="s">
        <v>263</v>
      </c>
    </row>
    <row r="911" spans="1:10" x14ac:dyDescent="0.25">
      <c r="A911" s="114">
        <v>908</v>
      </c>
      <c r="B911" s="115" t="s">
        <v>2551</v>
      </c>
      <c r="C911" s="116" t="s">
        <v>2552</v>
      </c>
      <c r="D911" s="116" t="s">
        <v>437</v>
      </c>
      <c r="E911" s="116" t="s">
        <v>1591</v>
      </c>
      <c r="F911" s="117">
        <v>100</v>
      </c>
      <c r="G911" s="117">
        <v>100.1771</v>
      </c>
      <c r="H911" s="117">
        <v>4.24</v>
      </c>
      <c r="I911" s="114">
        <v>645</v>
      </c>
      <c r="J911" s="116" t="s">
        <v>263</v>
      </c>
    </row>
    <row r="912" spans="1:10" x14ac:dyDescent="0.25">
      <c r="A912" s="114">
        <v>909</v>
      </c>
      <c r="B912" s="115" t="s">
        <v>1592</v>
      </c>
      <c r="C912" s="116" t="s">
        <v>1593</v>
      </c>
      <c r="D912" s="116" t="s">
        <v>437</v>
      </c>
      <c r="E912" s="116" t="s">
        <v>1591</v>
      </c>
      <c r="F912" s="117">
        <v>100</v>
      </c>
      <c r="G912" s="117">
        <v>100.17310000000001</v>
      </c>
      <c r="H912" s="117">
        <v>0.35</v>
      </c>
      <c r="I912" s="114">
        <v>182</v>
      </c>
      <c r="J912" s="116" t="s">
        <v>263</v>
      </c>
    </row>
    <row r="913" spans="1:10" x14ac:dyDescent="0.25">
      <c r="A913" s="114">
        <v>910</v>
      </c>
      <c r="B913" s="115" t="s">
        <v>1594</v>
      </c>
      <c r="C913" s="116" t="s">
        <v>1595</v>
      </c>
      <c r="D913" s="116" t="s">
        <v>437</v>
      </c>
      <c r="E913" s="116" t="s">
        <v>1591</v>
      </c>
      <c r="F913" s="117">
        <v>97.56921097914028</v>
      </c>
      <c r="G913" s="117">
        <v>99.849210979140281</v>
      </c>
      <c r="H913" s="117">
        <v>19.63</v>
      </c>
      <c r="I913" s="114">
        <v>104</v>
      </c>
      <c r="J913" s="116" t="s">
        <v>263</v>
      </c>
    </row>
    <row r="914" spans="1:10" x14ac:dyDescent="0.25">
      <c r="A914" s="114">
        <v>911</v>
      </c>
      <c r="B914" s="115" t="s">
        <v>1596</v>
      </c>
      <c r="C914" s="116" t="s">
        <v>1597</v>
      </c>
      <c r="D914" s="116" t="s">
        <v>437</v>
      </c>
      <c r="E914" s="116" t="s">
        <v>1591</v>
      </c>
      <c r="F914" s="117">
        <v>100</v>
      </c>
      <c r="G914" s="117">
        <v>100.0067</v>
      </c>
      <c r="H914" s="117">
        <v>0.02</v>
      </c>
      <c r="I914" s="114">
        <v>2995</v>
      </c>
      <c r="J914" s="116" t="s">
        <v>263</v>
      </c>
    </row>
    <row r="915" spans="1:10" x14ac:dyDescent="0.25">
      <c r="A915" s="114">
        <v>912</v>
      </c>
      <c r="B915" s="115" t="s">
        <v>1598</v>
      </c>
      <c r="C915" s="116" t="s">
        <v>1599</v>
      </c>
      <c r="D915" s="116" t="s">
        <v>437</v>
      </c>
      <c r="E915" s="116" t="s">
        <v>1591</v>
      </c>
      <c r="F915" s="117">
        <v>100</v>
      </c>
      <c r="G915" s="117">
        <v>102.7111</v>
      </c>
      <c r="H915" s="117">
        <v>6.08</v>
      </c>
      <c r="I915" s="114">
        <v>1610</v>
      </c>
      <c r="J915" s="116" t="s">
        <v>263</v>
      </c>
    </row>
    <row r="916" spans="1:10" x14ac:dyDescent="0.25">
      <c r="A916" s="114">
        <v>913</v>
      </c>
      <c r="B916" s="115" t="s">
        <v>1600</v>
      </c>
      <c r="C916" s="116" t="s">
        <v>1601</v>
      </c>
      <c r="D916" s="116" t="s">
        <v>437</v>
      </c>
      <c r="E916" s="116" t="s">
        <v>1591</v>
      </c>
      <c r="F916" s="117">
        <v>100</v>
      </c>
      <c r="G916" s="117">
        <v>100.74939999999999</v>
      </c>
      <c r="H916" s="117">
        <v>7.08</v>
      </c>
      <c r="I916" s="114">
        <v>2092</v>
      </c>
      <c r="J916" s="116" t="s">
        <v>263</v>
      </c>
    </row>
    <row r="917" spans="1:10" x14ac:dyDescent="0.25">
      <c r="A917" s="114">
        <v>914</v>
      </c>
      <c r="B917" s="115" t="s">
        <v>2397</v>
      </c>
      <c r="C917" s="116" t="s">
        <v>2398</v>
      </c>
      <c r="D917" s="116" t="s">
        <v>437</v>
      </c>
      <c r="E917" s="116" t="s">
        <v>1591</v>
      </c>
      <c r="F917" s="117">
        <v>96.528814572170674</v>
      </c>
      <c r="G917" s="117">
        <v>99.993814572170677</v>
      </c>
      <c r="H917" s="117">
        <v>19.66</v>
      </c>
      <c r="I917" s="114">
        <v>3534</v>
      </c>
      <c r="J917" s="116" t="s">
        <v>263</v>
      </c>
    </row>
    <row r="918" spans="1:10" x14ac:dyDescent="0.25">
      <c r="A918" s="114">
        <v>915</v>
      </c>
      <c r="B918" s="115" t="s">
        <v>2503</v>
      </c>
      <c r="C918" s="116" t="s">
        <v>2504</v>
      </c>
      <c r="D918" s="116" t="s">
        <v>437</v>
      </c>
      <c r="E918" s="116" t="s">
        <v>1591</v>
      </c>
      <c r="F918" s="117">
        <v>96.661158866675223</v>
      </c>
      <c r="G918" s="117">
        <v>98.498658866675214</v>
      </c>
      <c r="H918" s="117">
        <v>19.66</v>
      </c>
      <c r="I918" s="114">
        <v>3565</v>
      </c>
      <c r="J918" s="116" t="s">
        <v>263</v>
      </c>
    </row>
    <row r="919" spans="1:10" x14ac:dyDescent="0.25">
      <c r="A919" s="114">
        <v>916</v>
      </c>
      <c r="B919" s="115" t="s">
        <v>2505</v>
      </c>
      <c r="C919" s="116" t="s">
        <v>2506</v>
      </c>
      <c r="D919" s="116" t="s">
        <v>437</v>
      </c>
      <c r="E919" s="116" t="s">
        <v>1591</v>
      </c>
      <c r="F919" s="117">
        <v>96.661158866675223</v>
      </c>
      <c r="G919" s="117">
        <v>98.498658866675214</v>
      </c>
      <c r="H919" s="117">
        <v>19.66</v>
      </c>
      <c r="I919" s="114">
        <v>3565</v>
      </c>
      <c r="J919" s="116" t="s">
        <v>263</v>
      </c>
    </row>
    <row r="920" spans="1:10" x14ac:dyDescent="0.25">
      <c r="A920" s="114">
        <v>917</v>
      </c>
      <c r="B920" s="115" t="s">
        <v>2592</v>
      </c>
      <c r="C920" s="116" t="s">
        <v>2593</v>
      </c>
      <c r="D920" s="116" t="s">
        <v>437</v>
      </c>
      <c r="E920" s="116" t="s">
        <v>1591</v>
      </c>
      <c r="F920" s="117">
        <v>96.7542078904834</v>
      </c>
      <c r="G920" s="117">
        <v>97.121707890483393</v>
      </c>
      <c r="H920" s="117">
        <v>19.66</v>
      </c>
      <c r="I920" s="114">
        <v>3593</v>
      </c>
      <c r="J920" s="116" t="s">
        <v>263</v>
      </c>
    </row>
    <row r="921" spans="1:10" x14ac:dyDescent="0.25">
      <c r="A921" s="114">
        <v>918</v>
      </c>
      <c r="B921" s="115" t="s">
        <v>1602</v>
      </c>
      <c r="C921" s="116" t="s">
        <v>1603</v>
      </c>
      <c r="D921" s="116" t="s">
        <v>437</v>
      </c>
      <c r="E921" s="116" t="s">
        <v>1591</v>
      </c>
      <c r="F921" s="117">
        <v>100</v>
      </c>
      <c r="G921" s="117">
        <v>101.88079999999999</v>
      </c>
      <c r="H921" s="117">
        <v>6.08</v>
      </c>
      <c r="I921" s="114">
        <v>2019</v>
      </c>
      <c r="J921" s="116" t="s">
        <v>263</v>
      </c>
    </row>
    <row r="922" spans="1:10" x14ac:dyDescent="0.25">
      <c r="A922" s="114">
        <v>919</v>
      </c>
      <c r="B922" s="115" t="s">
        <v>1604</v>
      </c>
      <c r="C922" s="116" t="s">
        <v>1605</v>
      </c>
      <c r="D922" s="116" t="s">
        <v>437</v>
      </c>
      <c r="E922" s="116" t="s">
        <v>1591</v>
      </c>
      <c r="F922" s="117">
        <v>100</v>
      </c>
      <c r="G922" s="117">
        <v>100.7286</v>
      </c>
      <c r="H922" s="117">
        <v>6.09</v>
      </c>
      <c r="I922" s="114">
        <v>2447</v>
      </c>
      <c r="J922" s="116" t="s">
        <v>263</v>
      </c>
    </row>
    <row r="923" spans="1:10" x14ac:dyDescent="0.25">
      <c r="A923" s="114">
        <v>920</v>
      </c>
      <c r="B923" s="115" t="s">
        <v>1606</v>
      </c>
      <c r="C923" s="116" t="s">
        <v>1607</v>
      </c>
      <c r="D923" s="116" t="s">
        <v>437</v>
      </c>
      <c r="E923" s="116" t="s">
        <v>1591</v>
      </c>
      <c r="F923" s="117">
        <v>100</v>
      </c>
      <c r="G923" s="117">
        <v>100.7286</v>
      </c>
      <c r="H923" s="117">
        <v>6.09</v>
      </c>
      <c r="I923" s="114">
        <v>2447</v>
      </c>
      <c r="J923" s="116" t="s">
        <v>263</v>
      </c>
    </row>
    <row r="924" spans="1:10" x14ac:dyDescent="0.25">
      <c r="A924" s="114">
        <v>921</v>
      </c>
      <c r="B924" s="115" t="s">
        <v>1608</v>
      </c>
      <c r="C924" s="116" t="s">
        <v>1609</v>
      </c>
      <c r="D924" s="116" t="s">
        <v>437</v>
      </c>
      <c r="E924" s="116" t="s">
        <v>1591</v>
      </c>
      <c r="F924" s="117">
        <v>100</v>
      </c>
      <c r="G924" s="117">
        <v>105.69329999999999</v>
      </c>
      <c r="H924" s="117">
        <v>6.09</v>
      </c>
      <c r="I924" s="114">
        <v>2514</v>
      </c>
      <c r="J924" s="116" t="s">
        <v>263</v>
      </c>
    </row>
    <row r="925" spans="1:10" x14ac:dyDescent="0.25">
      <c r="A925" s="114">
        <v>922</v>
      </c>
      <c r="B925" s="115" t="s">
        <v>1610</v>
      </c>
      <c r="C925" s="116" t="s">
        <v>1611</v>
      </c>
      <c r="D925" s="116" t="s">
        <v>427</v>
      </c>
      <c r="E925" s="116" t="s">
        <v>1612</v>
      </c>
      <c r="F925" s="117">
        <v>0.01</v>
      </c>
      <c r="G925" s="117">
        <v>0.01</v>
      </c>
      <c r="H925" s="117">
        <v>0</v>
      </c>
      <c r="I925" s="114">
        <v>0</v>
      </c>
      <c r="J925" s="116" t="s">
        <v>232</v>
      </c>
    </row>
    <row r="926" spans="1:10" x14ac:dyDescent="0.25">
      <c r="A926" s="114">
        <v>923</v>
      </c>
      <c r="B926" s="115" t="s">
        <v>1613</v>
      </c>
      <c r="C926" s="116" t="s">
        <v>1614</v>
      </c>
      <c r="D926" s="116" t="s">
        <v>427</v>
      </c>
      <c r="E926" s="116" t="s">
        <v>1615</v>
      </c>
      <c r="F926" s="117">
        <v>0.01</v>
      </c>
      <c r="G926" s="117">
        <v>0.01</v>
      </c>
      <c r="H926" s="117">
        <v>0</v>
      </c>
      <c r="I926" s="114">
        <v>0</v>
      </c>
      <c r="J926" s="116" t="s">
        <v>232</v>
      </c>
    </row>
    <row r="927" spans="1:10" x14ac:dyDescent="0.25">
      <c r="A927" s="114">
        <v>924</v>
      </c>
      <c r="B927" s="115" t="s">
        <v>1616</v>
      </c>
      <c r="C927" s="116" t="s">
        <v>1617</v>
      </c>
      <c r="D927" s="116" t="s">
        <v>437</v>
      </c>
      <c r="E927" s="116" t="s">
        <v>1618</v>
      </c>
      <c r="F927" s="117">
        <v>93.039395271324921</v>
      </c>
      <c r="G927" s="117">
        <v>98.119295271324916</v>
      </c>
      <c r="H927" s="117">
        <v>20.91</v>
      </c>
      <c r="I927" s="114">
        <v>407</v>
      </c>
      <c r="J927" s="116" t="s">
        <v>263</v>
      </c>
    </row>
    <row r="928" spans="1:10" x14ac:dyDescent="0.25">
      <c r="A928" s="114">
        <v>925</v>
      </c>
      <c r="B928" s="115" t="s">
        <v>2534</v>
      </c>
      <c r="C928" s="116" t="s">
        <v>2535</v>
      </c>
      <c r="D928" s="116" t="s">
        <v>437</v>
      </c>
      <c r="E928" s="116" t="s">
        <v>1619</v>
      </c>
      <c r="F928" s="117">
        <v>100</v>
      </c>
      <c r="G928" s="117">
        <v>100.5244</v>
      </c>
      <c r="H928" s="117">
        <v>8.93</v>
      </c>
      <c r="I928" s="114">
        <v>639</v>
      </c>
      <c r="J928" s="116" t="s">
        <v>263</v>
      </c>
    </row>
    <row r="929" spans="1:10" x14ac:dyDescent="0.25">
      <c r="A929" s="114">
        <v>926</v>
      </c>
      <c r="B929" s="115" t="s">
        <v>1620</v>
      </c>
      <c r="C929" s="116" t="s">
        <v>1621</v>
      </c>
      <c r="D929" s="116" t="s">
        <v>437</v>
      </c>
      <c r="E929" s="116" t="s">
        <v>1619</v>
      </c>
      <c r="F929" s="117">
        <v>100</v>
      </c>
      <c r="G929" s="117">
        <v>100.17310000000001</v>
      </c>
      <c r="H929" s="117">
        <v>0.35</v>
      </c>
      <c r="I929" s="114">
        <v>182</v>
      </c>
      <c r="J929" s="116" t="s">
        <v>263</v>
      </c>
    </row>
    <row r="930" spans="1:10" x14ac:dyDescent="0.25">
      <c r="A930" s="114">
        <v>927</v>
      </c>
      <c r="B930" s="115" t="s">
        <v>1622</v>
      </c>
      <c r="C930" s="116" t="s">
        <v>1623</v>
      </c>
      <c r="D930" s="116" t="s">
        <v>437</v>
      </c>
      <c r="E930" s="116" t="s">
        <v>1619</v>
      </c>
      <c r="F930" s="117">
        <v>100</v>
      </c>
      <c r="G930" s="117">
        <v>100.00190000000001</v>
      </c>
      <c r="H930" s="117">
        <v>0.02</v>
      </c>
      <c r="I930" s="114">
        <v>2995</v>
      </c>
      <c r="J930" s="116" t="s">
        <v>263</v>
      </c>
    </row>
    <row r="931" spans="1:10" x14ac:dyDescent="0.25">
      <c r="A931" s="114">
        <v>928</v>
      </c>
      <c r="B931" s="115" t="s">
        <v>1624</v>
      </c>
      <c r="C931" s="116" t="s">
        <v>1625</v>
      </c>
      <c r="D931" s="116" t="s">
        <v>437</v>
      </c>
      <c r="E931" s="116" t="s">
        <v>1619</v>
      </c>
      <c r="F931" s="117">
        <v>100</v>
      </c>
      <c r="G931" s="117">
        <v>102.7111</v>
      </c>
      <c r="H931" s="117">
        <v>6.08</v>
      </c>
      <c r="I931" s="114">
        <v>1610</v>
      </c>
      <c r="J931" s="116" t="s">
        <v>263</v>
      </c>
    </row>
    <row r="932" spans="1:10" x14ac:dyDescent="0.25">
      <c r="A932" s="114">
        <v>929</v>
      </c>
      <c r="B932" s="115" t="s">
        <v>1626</v>
      </c>
      <c r="C932" s="116" t="s">
        <v>1627</v>
      </c>
      <c r="D932" s="116" t="s">
        <v>437</v>
      </c>
      <c r="E932" s="116" t="s">
        <v>1619</v>
      </c>
      <c r="F932" s="117">
        <v>100</v>
      </c>
      <c r="G932" s="117">
        <v>100.74939999999999</v>
      </c>
      <c r="H932" s="117">
        <v>7.08</v>
      </c>
      <c r="I932" s="114">
        <v>2092</v>
      </c>
      <c r="J932" s="116" t="s">
        <v>263</v>
      </c>
    </row>
    <row r="933" spans="1:10" x14ac:dyDescent="0.25">
      <c r="A933" s="114">
        <v>930</v>
      </c>
      <c r="B933" s="115" t="s">
        <v>2174</v>
      </c>
      <c r="C933" s="116" t="s">
        <v>2175</v>
      </c>
      <c r="D933" s="116" t="s">
        <v>437</v>
      </c>
      <c r="E933" s="116" t="s">
        <v>1619</v>
      </c>
      <c r="F933" s="117">
        <v>93.522983255825835</v>
      </c>
      <c r="G933" s="117">
        <v>100.44908325582584</v>
      </c>
      <c r="H933" s="117">
        <v>19.66</v>
      </c>
      <c r="I933" s="114">
        <v>3463</v>
      </c>
      <c r="J933" s="116" t="s">
        <v>263</v>
      </c>
    </row>
    <row r="934" spans="1:10" x14ac:dyDescent="0.25">
      <c r="A934" s="114">
        <v>931</v>
      </c>
      <c r="B934" s="115" t="s">
        <v>2235</v>
      </c>
      <c r="C934" s="116" t="s">
        <v>2236</v>
      </c>
      <c r="D934" s="116" t="s">
        <v>437</v>
      </c>
      <c r="E934" s="116" t="s">
        <v>1619</v>
      </c>
      <c r="F934" s="117">
        <v>93.495326025988874</v>
      </c>
      <c r="G934" s="117">
        <v>99.814726025988875</v>
      </c>
      <c r="H934" s="117">
        <v>19.670000000000002</v>
      </c>
      <c r="I934" s="114">
        <v>3475</v>
      </c>
      <c r="J934" s="116" t="s">
        <v>263</v>
      </c>
    </row>
    <row r="935" spans="1:10" x14ac:dyDescent="0.25">
      <c r="A935" s="114">
        <v>932</v>
      </c>
      <c r="B935" s="115" t="s">
        <v>2292</v>
      </c>
      <c r="C935" s="116" t="s">
        <v>2293</v>
      </c>
      <c r="D935" s="116" t="s">
        <v>437</v>
      </c>
      <c r="E935" s="116" t="s">
        <v>1619</v>
      </c>
      <c r="F935" s="117">
        <v>96.473388500954783</v>
      </c>
      <c r="G935" s="117">
        <v>101.51338850095478</v>
      </c>
      <c r="H935" s="117">
        <v>19.66</v>
      </c>
      <c r="I935" s="114">
        <v>3504</v>
      </c>
      <c r="J935" s="116" t="s">
        <v>263</v>
      </c>
    </row>
    <row r="936" spans="1:10" x14ac:dyDescent="0.25">
      <c r="A936" s="114">
        <v>933</v>
      </c>
      <c r="B936" s="115" t="s">
        <v>2318</v>
      </c>
      <c r="C936" s="116" t="s">
        <v>2319</v>
      </c>
      <c r="D936" s="116" t="s">
        <v>437</v>
      </c>
      <c r="E936" s="116" t="s">
        <v>1619</v>
      </c>
      <c r="F936" s="117">
        <v>96.43662793730698</v>
      </c>
      <c r="G936" s="117">
        <v>101.26662793730698</v>
      </c>
      <c r="H936" s="117">
        <v>19.670000000000002</v>
      </c>
      <c r="I936" s="114">
        <v>3508</v>
      </c>
      <c r="J936" s="116" t="s">
        <v>263</v>
      </c>
    </row>
    <row r="937" spans="1:10" x14ac:dyDescent="0.25">
      <c r="A937" s="114">
        <v>934</v>
      </c>
      <c r="B937" s="115" t="s">
        <v>2380</v>
      </c>
      <c r="C937" s="116" t="s">
        <v>2381</v>
      </c>
      <c r="D937" s="116" t="s">
        <v>437</v>
      </c>
      <c r="E937" s="116" t="s">
        <v>1619</v>
      </c>
      <c r="F937" s="117">
        <v>96.517299493850786</v>
      </c>
      <c r="G937" s="117">
        <v>100.13979949385079</v>
      </c>
      <c r="H937" s="117">
        <v>19.670000000000002</v>
      </c>
      <c r="I937" s="114">
        <v>3531</v>
      </c>
      <c r="J937" s="116" t="s">
        <v>263</v>
      </c>
    </row>
    <row r="938" spans="1:10" x14ac:dyDescent="0.25">
      <c r="A938" s="114">
        <v>935</v>
      </c>
      <c r="B938" s="115" t="s">
        <v>1628</v>
      </c>
      <c r="C938" s="116" t="s">
        <v>1629</v>
      </c>
      <c r="D938" s="116" t="s">
        <v>437</v>
      </c>
      <c r="E938" s="116" t="s">
        <v>1619</v>
      </c>
      <c r="F938" s="117">
        <v>100</v>
      </c>
      <c r="G938" s="117">
        <v>101.88079999999999</v>
      </c>
      <c r="H938" s="117">
        <v>6.08</v>
      </c>
      <c r="I938" s="114">
        <v>2019</v>
      </c>
      <c r="J938" s="116" t="s">
        <v>263</v>
      </c>
    </row>
    <row r="939" spans="1:10" x14ac:dyDescent="0.25">
      <c r="A939" s="114">
        <v>936</v>
      </c>
      <c r="B939" s="115" t="s">
        <v>1630</v>
      </c>
      <c r="C939" s="116" t="s">
        <v>1631</v>
      </c>
      <c r="D939" s="116" t="s">
        <v>437</v>
      </c>
      <c r="E939" s="116" t="s">
        <v>1619</v>
      </c>
      <c r="F939" s="117">
        <v>100</v>
      </c>
      <c r="G939" s="117">
        <v>100.7286</v>
      </c>
      <c r="H939" s="117">
        <v>6.09</v>
      </c>
      <c r="I939" s="114">
        <v>2447</v>
      </c>
      <c r="J939" s="116" t="s">
        <v>263</v>
      </c>
    </row>
    <row r="940" spans="1:10" x14ac:dyDescent="0.25">
      <c r="A940" s="114">
        <v>937</v>
      </c>
      <c r="B940" s="115" t="s">
        <v>1632</v>
      </c>
      <c r="C940" s="116" t="s">
        <v>1633</v>
      </c>
      <c r="D940" s="116" t="s">
        <v>437</v>
      </c>
      <c r="E940" s="116" t="s">
        <v>1619</v>
      </c>
      <c r="F940" s="117">
        <v>100</v>
      </c>
      <c r="G940" s="117">
        <v>100.7286</v>
      </c>
      <c r="H940" s="117">
        <v>6.09</v>
      </c>
      <c r="I940" s="114">
        <v>2447</v>
      </c>
      <c r="J940" s="116" t="s">
        <v>263</v>
      </c>
    </row>
    <row r="941" spans="1:10" x14ac:dyDescent="0.25">
      <c r="A941" s="114">
        <v>938</v>
      </c>
      <c r="B941" s="115" t="s">
        <v>1634</v>
      </c>
      <c r="C941" s="116" t="s">
        <v>1635</v>
      </c>
      <c r="D941" s="116" t="s">
        <v>437</v>
      </c>
      <c r="E941" s="116" t="s">
        <v>1619</v>
      </c>
      <c r="F941" s="117">
        <v>100</v>
      </c>
      <c r="G941" s="117">
        <v>105.69329999999999</v>
      </c>
      <c r="H941" s="117">
        <v>6.09</v>
      </c>
      <c r="I941" s="114">
        <v>2514</v>
      </c>
      <c r="J941" s="116" t="s">
        <v>263</v>
      </c>
    </row>
    <row r="942" spans="1:10" x14ac:dyDescent="0.25">
      <c r="A942" s="114">
        <v>939</v>
      </c>
      <c r="B942" s="115" t="s">
        <v>2320</v>
      </c>
      <c r="C942" s="116" t="s">
        <v>2321</v>
      </c>
      <c r="D942" s="116" t="s">
        <v>437</v>
      </c>
      <c r="E942" s="116" t="s">
        <v>1619</v>
      </c>
      <c r="F942" s="117">
        <v>96.458097806628345</v>
      </c>
      <c r="G942" s="117">
        <v>101.28809780662834</v>
      </c>
      <c r="H942" s="117">
        <v>19.579999999999998</v>
      </c>
      <c r="I942" s="114">
        <v>5308</v>
      </c>
      <c r="J942" s="116" t="s">
        <v>263</v>
      </c>
    </row>
    <row r="943" spans="1:10" x14ac:dyDescent="0.25">
      <c r="A943" s="114">
        <v>940</v>
      </c>
      <c r="B943" s="115" t="s">
        <v>404</v>
      </c>
      <c r="C943" s="116" t="s">
        <v>405</v>
      </c>
      <c r="D943" s="116" t="s">
        <v>437</v>
      </c>
      <c r="E943" s="116" t="s">
        <v>411</v>
      </c>
      <c r="F943" s="117">
        <v>91.526734927847514</v>
      </c>
      <c r="G943" s="117">
        <v>95.085034927847516</v>
      </c>
      <c r="H943" s="117">
        <v>16.510000000000002</v>
      </c>
      <c r="I943" s="114">
        <v>598</v>
      </c>
      <c r="J943" s="116" t="s">
        <v>263</v>
      </c>
    </row>
    <row r="944" spans="1:10" x14ac:dyDescent="0.25">
      <c r="A944" s="114">
        <v>941</v>
      </c>
      <c r="B944" s="115" t="s">
        <v>2542</v>
      </c>
      <c r="C944" s="116" t="s">
        <v>2543</v>
      </c>
      <c r="D944" s="116" t="s">
        <v>437</v>
      </c>
      <c r="E944" s="116" t="s">
        <v>411</v>
      </c>
      <c r="F944" s="117">
        <v>31.677943301850668</v>
      </c>
      <c r="G944" s="117">
        <v>32.484843301850667</v>
      </c>
      <c r="H944" s="117">
        <v>15.27</v>
      </c>
      <c r="I944" s="114">
        <v>5317</v>
      </c>
      <c r="J944" s="116" t="s">
        <v>263</v>
      </c>
    </row>
    <row r="945" spans="1:10" x14ac:dyDescent="0.25">
      <c r="A945" s="114">
        <v>942</v>
      </c>
      <c r="B945" s="115" t="s">
        <v>2544</v>
      </c>
      <c r="C945" s="116" t="s">
        <v>2545</v>
      </c>
      <c r="D945" s="116" t="s">
        <v>437</v>
      </c>
      <c r="E945" s="116" t="s">
        <v>411</v>
      </c>
      <c r="F945" s="117">
        <v>31.677943301850668</v>
      </c>
      <c r="G945" s="117">
        <v>32.484843301850667</v>
      </c>
      <c r="H945" s="117">
        <v>15.27</v>
      </c>
      <c r="I945" s="114">
        <v>5317</v>
      </c>
      <c r="J945" s="116" t="s">
        <v>263</v>
      </c>
    </row>
    <row r="946" spans="1:10" x14ac:dyDescent="0.25">
      <c r="A946" s="114">
        <v>943</v>
      </c>
      <c r="B946" s="115" t="s">
        <v>406</v>
      </c>
      <c r="C946" s="116" t="s">
        <v>407</v>
      </c>
      <c r="D946" s="116" t="s">
        <v>437</v>
      </c>
      <c r="E946" s="116" t="s">
        <v>411</v>
      </c>
      <c r="F946" s="117">
        <v>97.578296684062593</v>
      </c>
      <c r="G946" s="117">
        <v>97.783896684062597</v>
      </c>
      <c r="H946" s="117">
        <v>4.79</v>
      </c>
      <c r="I946" s="114">
        <v>323</v>
      </c>
      <c r="J946" s="116" t="s">
        <v>263</v>
      </c>
    </row>
    <row r="947" spans="1:10" x14ac:dyDescent="0.25">
      <c r="A947" s="114">
        <v>944</v>
      </c>
      <c r="B947" s="115" t="s">
        <v>1636</v>
      </c>
      <c r="C947" s="116" t="s">
        <v>1637</v>
      </c>
      <c r="D947" s="116" t="s">
        <v>427</v>
      </c>
      <c r="E947" s="116" t="s">
        <v>1638</v>
      </c>
      <c r="F947" s="117">
        <v>0.01</v>
      </c>
      <c r="G947" s="117">
        <v>0.01</v>
      </c>
      <c r="H947" s="117">
        <v>0</v>
      </c>
      <c r="I947" s="114">
        <v>0</v>
      </c>
      <c r="J947" s="116" t="s">
        <v>232</v>
      </c>
    </row>
    <row r="948" spans="1:10" x14ac:dyDescent="0.25">
      <c r="A948" s="114">
        <v>945</v>
      </c>
      <c r="B948" s="115" t="s">
        <v>2471</v>
      </c>
      <c r="C948" s="116" t="s">
        <v>2472</v>
      </c>
      <c r="D948" s="116" t="s">
        <v>437</v>
      </c>
      <c r="E948" s="116" t="s">
        <v>2473</v>
      </c>
      <c r="F948" s="117">
        <v>98.060688944666737</v>
      </c>
      <c r="G948" s="117">
        <v>100.56628894466674</v>
      </c>
      <c r="H948" s="117">
        <v>22.92</v>
      </c>
      <c r="I948" s="114">
        <v>1039</v>
      </c>
      <c r="J948" s="116" t="s">
        <v>263</v>
      </c>
    </row>
    <row r="949" spans="1:10" x14ac:dyDescent="0.25">
      <c r="A949" s="114">
        <v>946</v>
      </c>
      <c r="B949" s="115" t="s">
        <v>1639</v>
      </c>
      <c r="C949" s="116" t="s">
        <v>1640</v>
      </c>
      <c r="D949" s="116" t="s">
        <v>437</v>
      </c>
      <c r="E949" s="116" t="s">
        <v>1641</v>
      </c>
      <c r="F949" s="117">
        <v>96.314272707215608</v>
      </c>
      <c r="G949" s="117">
        <v>97.501772707215608</v>
      </c>
      <c r="H949" s="117">
        <v>29.68</v>
      </c>
      <c r="I949" s="114">
        <v>3135</v>
      </c>
      <c r="J949" s="116" t="s">
        <v>263</v>
      </c>
    </row>
    <row r="950" spans="1:10" x14ac:dyDescent="0.25">
      <c r="A950" s="114">
        <v>947</v>
      </c>
      <c r="B950" s="115" t="s">
        <v>1974</v>
      </c>
      <c r="C950" s="116" t="s">
        <v>1774</v>
      </c>
      <c r="D950" s="116" t="s">
        <v>730</v>
      </c>
      <c r="E950" s="116" t="s">
        <v>1775</v>
      </c>
      <c r="F950" s="117">
        <v>345731.01844999997</v>
      </c>
      <c r="G950" s="117">
        <v>345731.01844999997</v>
      </c>
      <c r="H950" s="117">
        <v>0</v>
      </c>
      <c r="I950" s="114">
        <v>0</v>
      </c>
      <c r="J950" s="116" t="s">
        <v>232</v>
      </c>
    </row>
    <row r="951" spans="1:10" x14ac:dyDescent="0.25">
      <c r="A951" s="114">
        <v>948</v>
      </c>
      <c r="B951" s="115" t="s">
        <v>1642</v>
      </c>
      <c r="C951" s="116" t="s">
        <v>1643</v>
      </c>
      <c r="D951" s="116" t="s">
        <v>427</v>
      </c>
      <c r="E951" s="116" t="s">
        <v>1644</v>
      </c>
      <c r="F951" s="117">
        <v>0.01</v>
      </c>
      <c r="G951" s="117">
        <v>0.01</v>
      </c>
      <c r="H951" s="117">
        <v>0</v>
      </c>
      <c r="I951" s="114">
        <v>0</v>
      </c>
      <c r="J951" s="116" t="s">
        <v>232</v>
      </c>
    </row>
    <row r="952" spans="1:10" x14ac:dyDescent="0.25">
      <c r="A952" s="114">
        <v>949</v>
      </c>
      <c r="B952" s="115" t="s">
        <v>2078</v>
      </c>
      <c r="C952" s="116" t="s">
        <v>2079</v>
      </c>
      <c r="D952" s="116" t="s">
        <v>437</v>
      </c>
      <c r="E952" s="116" t="s">
        <v>2080</v>
      </c>
      <c r="F952" s="117">
        <v>98.384794018713961</v>
      </c>
      <c r="G952" s="117">
        <v>98.793094018713973</v>
      </c>
      <c r="H952" s="117">
        <v>21.86</v>
      </c>
      <c r="I952" s="114">
        <v>893</v>
      </c>
      <c r="J952" s="116" t="s">
        <v>263</v>
      </c>
    </row>
    <row r="953" spans="1:10" x14ac:dyDescent="0.25">
      <c r="A953" s="114">
        <v>950</v>
      </c>
      <c r="B953" s="115" t="s">
        <v>1648</v>
      </c>
      <c r="C953" s="116" t="s">
        <v>1649</v>
      </c>
      <c r="D953" s="116" t="s">
        <v>437</v>
      </c>
      <c r="E953" s="116" t="s">
        <v>408</v>
      </c>
      <c r="F953" s="117">
        <v>100</v>
      </c>
      <c r="G953" s="117">
        <v>104.6319</v>
      </c>
      <c r="H953" s="117">
        <v>11.49</v>
      </c>
      <c r="I953" s="114">
        <v>2195</v>
      </c>
      <c r="J953" s="116" t="s">
        <v>263</v>
      </c>
    </row>
    <row r="954" spans="1:10" x14ac:dyDescent="0.25">
      <c r="A954" s="114">
        <v>951</v>
      </c>
      <c r="B954" s="115" t="s">
        <v>409</v>
      </c>
      <c r="C954" s="116" t="s">
        <v>410</v>
      </c>
      <c r="D954" s="116" t="s">
        <v>437</v>
      </c>
      <c r="E954" s="116" t="s">
        <v>408</v>
      </c>
      <c r="F954" s="117">
        <v>100</v>
      </c>
      <c r="G954" s="117">
        <v>100.5778</v>
      </c>
      <c r="H954" s="117">
        <v>12.99</v>
      </c>
      <c r="I954" s="114">
        <v>1064</v>
      </c>
      <c r="J954" s="116" t="s">
        <v>263</v>
      </c>
    </row>
    <row r="955" spans="1:10" x14ac:dyDescent="0.25">
      <c r="A955" s="114">
        <v>952</v>
      </c>
      <c r="B955" s="115" t="s">
        <v>1650</v>
      </c>
      <c r="C955" s="116" t="s">
        <v>1651</v>
      </c>
      <c r="D955" s="116" t="s">
        <v>437</v>
      </c>
      <c r="E955" s="116" t="s">
        <v>608</v>
      </c>
      <c r="F955" s="117">
        <v>100</v>
      </c>
      <c r="G955" s="117">
        <v>100.13330000000001</v>
      </c>
      <c r="H955" s="117">
        <v>8</v>
      </c>
      <c r="I955" s="114">
        <v>354</v>
      </c>
      <c r="J955" s="116" t="s">
        <v>263</v>
      </c>
    </row>
    <row r="956" spans="1:10" x14ac:dyDescent="0.25">
      <c r="A956" s="114">
        <v>953</v>
      </c>
      <c r="B956" s="115" t="s">
        <v>1652</v>
      </c>
      <c r="C956" s="116" t="s">
        <v>1653</v>
      </c>
      <c r="D956" s="116" t="s">
        <v>437</v>
      </c>
      <c r="E956" s="116" t="s">
        <v>608</v>
      </c>
      <c r="F956" s="117">
        <v>100</v>
      </c>
      <c r="G956" s="117">
        <v>100.13330000000001</v>
      </c>
      <c r="H956" s="117">
        <v>8</v>
      </c>
      <c r="I956" s="114">
        <v>2154</v>
      </c>
      <c r="J956" s="116" t="s">
        <v>263</v>
      </c>
    </row>
    <row r="957" spans="1:10" x14ac:dyDescent="0.25">
      <c r="A957" s="114">
        <v>954</v>
      </c>
      <c r="B957" s="115" t="s">
        <v>1654</v>
      </c>
      <c r="C957" s="116" t="s">
        <v>1655</v>
      </c>
      <c r="D957" s="116" t="s">
        <v>437</v>
      </c>
      <c r="E957" s="116" t="s">
        <v>608</v>
      </c>
      <c r="F957" s="117">
        <v>100</v>
      </c>
      <c r="G957" s="117">
        <v>101.13330000000001</v>
      </c>
      <c r="H957" s="117">
        <v>7.95</v>
      </c>
      <c r="I957" s="114">
        <v>129</v>
      </c>
      <c r="J957" s="116" t="s">
        <v>263</v>
      </c>
    </row>
    <row r="958" spans="1:10" x14ac:dyDescent="0.25">
      <c r="A958" s="114">
        <v>955</v>
      </c>
      <c r="B958" s="115" t="s">
        <v>1656</v>
      </c>
      <c r="C958" s="116" t="s">
        <v>1657</v>
      </c>
      <c r="D958" s="116" t="s">
        <v>437</v>
      </c>
      <c r="E958" s="116" t="s">
        <v>608</v>
      </c>
      <c r="F958" s="117">
        <v>100</v>
      </c>
      <c r="G958" s="117">
        <v>101.13330000000001</v>
      </c>
      <c r="H958" s="117">
        <v>7.95</v>
      </c>
      <c r="I958" s="114">
        <v>129</v>
      </c>
      <c r="J958" s="116" t="s">
        <v>263</v>
      </c>
    </row>
    <row r="959" spans="1:10" x14ac:dyDescent="0.25">
      <c r="A959" s="114">
        <v>956</v>
      </c>
      <c r="B959" s="115" t="s">
        <v>1658</v>
      </c>
      <c r="C959" s="116" t="s">
        <v>1659</v>
      </c>
      <c r="D959" s="116" t="s">
        <v>437</v>
      </c>
      <c r="E959" s="116" t="s">
        <v>608</v>
      </c>
      <c r="F959" s="117">
        <v>100</v>
      </c>
      <c r="G959" s="117">
        <v>101.13330000000001</v>
      </c>
      <c r="H959" s="117">
        <v>7.99</v>
      </c>
      <c r="I959" s="114">
        <v>489</v>
      </c>
      <c r="J959" s="116" t="s">
        <v>263</v>
      </c>
    </row>
    <row r="960" spans="1:10" x14ac:dyDescent="0.25">
      <c r="A960" s="114">
        <v>957</v>
      </c>
      <c r="B960" s="115" t="s">
        <v>1660</v>
      </c>
      <c r="C960" s="116" t="s">
        <v>1661</v>
      </c>
      <c r="D960" s="116" t="s">
        <v>437</v>
      </c>
      <c r="E960" s="116" t="s">
        <v>608</v>
      </c>
      <c r="F960" s="117">
        <v>100</v>
      </c>
      <c r="G960" s="117">
        <v>101.13330000000001</v>
      </c>
      <c r="H960" s="117">
        <v>7.99</v>
      </c>
      <c r="I960" s="114">
        <v>489</v>
      </c>
      <c r="J960" s="116" t="s">
        <v>263</v>
      </c>
    </row>
    <row r="961" spans="1:10" x14ac:dyDescent="0.25">
      <c r="A961" s="114">
        <v>958</v>
      </c>
      <c r="B961" s="115" t="s">
        <v>1662</v>
      </c>
      <c r="C961" s="116" t="s">
        <v>1663</v>
      </c>
      <c r="D961" s="116" t="s">
        <v>437</v>
      </c>
      <c r="E961" s="116" t="s">
        <v>1664</v>
      </c>
      <c r="F961" s="117">
        <v>91.449297839555243</v>
      </c>
      <c r="G961" s="117">
        <v>97.26459783955525</v>
      </c>
      <c r="H961" s="117">
        <v>23.26</v>
      </c>
      <c r="I961" s="114">
        <v>1334</v>
      </c>
      <c r="J961" s="116" t="s">
        <v>263</v>
      </c>
    </row>
    <row r="962" spans="1:10" x14ac:dyDescent="0.25">
      <c r="A962" s="114">
        <v>959</v>
      </c>
      <c r="B962" s="115" t="s">
        <v>1665</v>
      </c>
      <c r="C962" s="116" t="s">
        <v>1666</v>
      </c>
      <c r="D962" s="116" t="s">
        <v>437</v>
      </c>
      <c r="E962" s="116" t="s">
        <v>1667</v>
      </c>
      <c r="F962" s="117">
        <v>100</v>
      </c>
      <c r="G962" s="117">
        <v>101.4521</v>
      </c>
      <c r="H962" s="117">
        <v>4.24</v>
      </c>
      <c r="I962" s="114">
        <v>177</v>
      </c>
      <c r="J962" s="116" t="s">
        <v>263</v>
      </c>
    </row>
    <row r="963" spans="1:10" x14ac:dyDescent="0.25">
      <c r="A963" s="114">
        <v>960</v>
      </c>
      <c r="B963" s="115" t="s">
        <v>1668</v>
      </c>
      <c r="C963" s="116" t="s">
        <v>1669</v>
      </c>
      <c r="D963" s="116" t="s">
        <v>437</v>
      </c>
      <c r="E963" s="116" t="s">
        <v>1667</v>
      </c>
      <c r="F963" s="117">
        <v>100</v>
      </c>
      <c r="G963" s="117">
        <v>100.17310000000001</v>
      </c>
      <c r="H963" s="117">
        <v>0.35</v>
      </c>
      <c r="I963" s="114">
        <v>182</v>
      </c>
      <c r="J963" s="116" t="s">
        <v>263</v>
      </c>
    </row>
    <row r="964" spans="1:10" x14ac:dyDescent="0.25">
      <c r="A964" s="114">
        <v>961</v>
      </c>
      <c r="B964" s="115" t="s">
        <v>2044</v>
      </c>
      <c r="C964" s="116" t="s">
        <v>2045</v>
      </c>
      <c r="D964" s="116" t="s">
        <v>437</v>
      </c>
      <c r="E964" s="116" t="s">
        <v>1667</v>
      </c>
      <c r="F964" s="117">
        <v>100</v>
      </c>
      <c r="G964" s="117">
        <v>100.0204</v>
      </c>
      <c r="H964" s="117">
        <v>0.35</v>
      </c>
      <c r="I964" s="114">
        <v>519</v>
      </c>
      <c r="J964" s="116" t="s">
        <v>263</v>
      </c>
    </row>
    <row r="965" spans="1:10" x14ac:dyDescent="0.25">
      <c r="A965" s="114">
        <v>962</v>
      </c>
      <c r="B965" s="115" t="s">
        <v>1877</v>
      </c>
      <c r="C965" s="116" t="s">
        <v>1878</v>
      </c>
      <c r="D965" s="116" t="s">
        <v>437</v>
      </c>
      <c r="E965" s="116" t="s">
        <v>1667</v>
      </c>
      <c r="F965" s="117">
        <v>100</v>
      </c>
      <c r="G965" s="117">
        <v>100.0193</v>
      </c>
      <c r="H965" s="117">
        <v>0.02</v>
      </c>
      <c r="I965" s="114">
        <v>2995</v>
      </c>
      <c r="J965" s="116" t="s">
        <v>263</v>
      </c>
    </row>
    <row r="966" spans="1:10" x14ac:dyDescent="0.25">
      <c r="A966" s="114">
        <v>963</v>
      </c>
      <c r="B966" s="115" t="s">
        <v>1670</v>
      </c>
      <c r="C966" s="116" t="s">
        <v>1671</v>
      </c>
      <c r="D966" s="116" t="s">
        <v>437</v>
      </c>
      <c r="E966" s="116" t="s">
        <v>1667</v>
      </c>
      <c r="F966" s="117">
        <v>100</v>
      </c>
      <c r="G966" s="117">
        <v>106.7253</v>
      </c>
      <c r="H966" s="117">
        <v>7.05</v>
      </c>
      <c r="I966" s="114">
        <v>2092</v>
      </c>
      <c r="J966" s="116" t="s">
        <v>263</v>
      </c>
    </row>
    <row r="967" spans="1:10" x14ac:dyDescent="0.25">
      <c r="A967" s="114">
        <v>964</v>
      </c>
      <c r="B967" s="115" t="s">
        <v>1672</v>
      </c>
      <c r="C967" s="116" t="s">
        <v>1673</v>
      </c>
      <c r="D967" s="116" t="s">
        <v>437</v>
      </c>
      <c r="E967" s="116" t="s">
        <v>1667</v>
      </c>
      <c r="F967" s="117">
        <v>100</v>
      </c>
      <c r="G967" s="117">
        <v>100.00920000000001</v>
      </c>
      <c r="H967" s="117">
        <v>0.02</v>
      </c>
      <c r="I967" s="114">
        <v>2995</v>
      </c>
      <c r="J967" s="116" t="s">
        <v>263</v>
      </c>
    </row>
    <row r="968" spans="1:10" x14ac:dyDescent="0.25">
      <c r="A968" s="114">
        <v>965</v>
      </c>
      <c r="B968" s="115" t="s">
        <v>1674</v>
      </c>
      <c r="C968" s="116" t="s">
        <v>1675</v>
      </c>
      <c r="D968" s="116" t="s">
        <v>437</v>
      </c>
      <c r="E968" s="116" t="s">
        <v>1667</v>
      </c>
      <c r="F968" s="117">
        <v>100</v>
      </c>
      <c r="G968" s="117">
        <v>100.0097</v>
      </c>
      <c r="H968" s="117">
        <v>0.02</v>
      </c>
      <c r="I968" s="114">
        <v>2995</v>
      </c>
      <c r="J968" s="116" t="s">
        <v>263</v>
      </c>
    </row>
    <row r="969" spans="1:10" x14ac:dyDescent="0.25">
      <c r="A969" s="114">
        <v>966</v>
      </c>
      <c r="B969" s="115" t="s">
        <v>1676</v>
      </c>
      <c r="C969" s="116" t="s">
        <v>1677</v>
      </c>
      <c r="D969" s="116" t="s">
        <v>437</v>
      </c>
      <c r="E969" s="116" t="s">
        <v>1667</v>
      </c>
      <c r="F969" s="117">
        <v>100</v>
      </c>
      <c r="G969" s="117">
        <v>102.7111</v>
      </c>
      <c r="H969" s="117">
        <v>6.08</v>
      </c>
      <c r="I969" s="114">
        <v>1610</v>
      </c>
      <c r="J969" s="116" t="s">
        <v>263</v>
      </c>
    </row>
    <row r="970" spans="1:10" x14ac:dyDescent="0.25">
      <c r="A970" s="114">
        <v>967</v>
      </c>
      <c r="B970" s="115" t="s">
        <v>1678</v>
      </c>
      <c r="C970" s="116" t="s">
        <v>1679</v>
      </c>
      <c r="D970" s="116" t="s">
        <v>437</v>
      </c>
      <c r="E970" s="116" t="s">
        <v>1667</v>
      </c>
      <c r="F970" s="117">
        <v>100</v>
      </c>
      <c r="G970" s="117">
        <v>101.88079999999999</v>
      </c>
      <c r="H970" s="117">
        <v>6.08</v>
      </c>
      <c r="I970" s="114">
        <v>2019</v>
      </c>
      <c r="J970" s="116" t="s">
        <v>263</v>
      </c>
    </row>
    <row r="971" spans="1:10" x14ac:dyDescent="0.25">
      <c r="A971" s="114">
        <v>968</v>
      </c>
      <c r="B971" s="115" t="s">
        <v>1680</v>
      </c>
      <c r="C971" s="116" t="s">
        <v>1681</v>
      </c>
      <c r="D971" s="116" t="s">
        <v>437</v>
      </c>
      <c r="E971" s="116" t="s">
        <v>1667</v>
      </c>
      <c r="F971" s="117">
        <v>100</v>
      </c>
      <c r="G971" s="117">
        <v>104.6258</v>
      </c>
      <c r="H971" s="117">
        <v>6.06</v>
      </c>
      <c r="I971" s="114">
        <v>2517</v>
      </c>
      <c r="J971" s="116" t="s">
        <v>263</v>
      </c>
    </row>
    <row r="972" spans="1:10" x14ac:dyDescent="0.25">
      <c r="A972" s="114">
        <v>969</v>
      </c>
      <c r="B972" s="115" t="s">
        <v>1682</v>
      </c>
      <c r="C972" s="116" t="s">
        <v>1683</v>
      </c>
      <c r="D972" s="116" t="s">
        <v>437</v>
      </c>
      <c r="E972" s="116" t="s">
        <v>1667</v>
      </c>
      <c r="F972" s="117">
        <v>100</v>
      </c>
      <c r="G972" s="117">
        <v>100.7286</v>
      </c>
      <c r="H972" s="117">
        <v>6.09</v>
      </c>
      <c r="I972" s="114">
        <v>2447</v>
      </c>
      <c r="J972" s="116" t="s">
        <v>263</v>
      </c>
    </row>
    <row r="973" spans="1:10" x14ac:dyDescent="0.25">
      <c r="A973" s="114">
        <v>970</v>
      </c>
      <c r="B973" s="115" t="s">
        <v>1684</v>
      </c>
      <c r="C973" s="116" t="s">
        <v>1685</v>
      </c>
      <c r="D973" s="116" t="s">
        <v>437</v>
      </c>
      <c r="E973" s="116" t="s">
        <v>1667</v>
      </c>
      <c r="F973" s="117">
        <v>100</v>
      </c>
      <c r="G973" s="117">
        <v>100.7286</v>
      </c>
      <c r="H973" s="117">
        <v>6.09</v>
      </c>
      <c r="I973" s="114">
        <v>2447</v>
      </c>
      <c r="J973" s="116" t="s">
        <v>263</v>
      </c>
    </row>
    <row r="974" spans="1:10" x14ac:dyDescent="0.25">
      <c r="A974" s="114">
        <v>971</v>
      </c>
      <c r="B974" s="115" t="s">
        <v>1686</v>
      </c>
      <c r="C974" s="116" t="s">
        <v>1687</v>
      </c>
      <c r="D974" s="116" t="s">
        <v>437</v>
      </c>
      <c r="E974" s="116" t="s">
        <v>1667</v>
      </c>
      <c r="F974" s="117">
        <v>100</v>
      </c>
      <c r="G974" s="117">
        <v>105.69329999999999</v>
      </c>
      <c r="H974" s="117">
        <v>6.09</v>
      </c>
      <c r="I974" s="114">
        <v>2514</v>
      </c>
      <c r="J974" s="116" t="s">
        <v>263</v>
      </c>
    </row>
    <row r="975" spans="1:10" x14ac:dyDescent="0.25">
      <c r="A975" s="114">
        <v>972</v>
      </c>
      <c r="B975" s="115" t="s">
        <v>1688</v>
      </c>
      <c r="C975" s="116" t="s">
        <v>1689</v>
      </c>
      <c r="D975" s="116" t="s">
        <v>730</v>
      </c>
      <c r="E975" s="116" t="s">
        <v>1042</v>
      </c>
      <c r="F975" s="117">
        <v>44864.875099999997</v>
      </c>
      <c r="G975" s="117">
        <v>44864.875099999997</v>
      </c>
      <c r="H975" s="117">
        <v>0</v>
      </c>
      <c r="I975" s="114">
        <v>0</v>
      </c>
      <c r="J975" s="116" t="s">
        <v>232</v>
      </c>
    </row>
    <row r="976" spans="1:10" x14ac:dyDescent="0.25">
      <c r="A976" s="114">
        <v>973</v>
      </c>
      <c r="B976" s="115" t="s">
        <v>1690</v>
      </c>
      <c r="C976" s="116" t="s">
        <v>1691</v>
      </c>
      <c r="D976" s="116" t="s">
        <v>437</v>
      </c>
      <c r="E976" s="116" t="s">
        <v>1990</v>
      </c>
      <c r="F976" s="117">
        <v>96.501326807843171</v>
      </c>
      <c r="G976" s="117">
        <v>103.48022680784317</v>
      </c>
      <c r="H976" s="117">
        <v>20.94</v>
      </c>
      <c r="I976" s="114">
        <v>140</v>
      </c>
      <c r="J976" s="116" t="s">
        <v>263</v>
      </c>
    </row>
    <row r="977" spans="1:10" x14ac:dyDescent="0.25">
      <c r="A977" s="114">
        <v>974</v>
      </c>
      <c r="B977" s="115" t="s">
        <v>1692</v>
      </c>
      <c r="C977" s="116" t="s">
        <v>1693</v>
      </c>
      <c r="D977" s="116" t="s">
        <v>437</v>
      </c>
      <c r="E977" s="116" t="s">
        <v>1990</v>
      </c>
      <c r="F977" s="117">
        <v>88.067329875470435</v>
      </c>
      <c r="G977" s="117">
        <v>92.009029875470432</v>
      </c>
      <c r="H977" s="117">
        <v>19.850000000000001</v>
      </c>
      <c r="I977" s="114">
        <v>589</v>
      </c>
      <c r="J977" s="116" t="s">
        <v>263</v>
      </c>
    </row>
    <row r="978" spans="1:10" x14ac:dyDescent="0.25">
      <c r="A978" s="114">
        <v>975</v>
      </c>
      <c r="B978" s="115" t="s">
        <v>1694</v>
      </c>
      <c r="C978" s="116" t="s">
        <v>1695</v>
      </c>
      <c r="D978" s="116" t="s">
        <v>437</v>
      </c>
      <c r="E978" s="116" t="s">
        <v>1990</v>
      </c>
      <c r="F978" s="117">
        <v>29.340556212041655</v>
      </c>
      <c r="G978" s="117">
        <v>29.923856212041656</v>
      </c>
      <c r="H978" s="117">
        <v>18.79</v>
      </c>
      <c r="I978" s="114">
        <v>3135</v>
      </c>
      <c r="J978" s="116" t="s">
        <v>263</v>
      </c>
    </row>
    <row r="979" spans="1:10" x14ac:dyDescent="0.25">
      <c r="A979" s="114">
        <v>976</v>
      </c>
      <c r="B979" s="115" t="s">
        <v>1696</v>
      </c>
      <c r="C979" s="116" t="s">
        <v>1697</v>
      </c>
      <c r="D979" s="116" t="s">
        <v>437</v>
      </c>
      <c r="E979" s="116" t="s">
        <v>1990</v>
      </c>
      <c r="F979" s="117">
        <v>68.636355792752724</v>
      </c>
      <c r="G979" s="117">
        <v>70.616955792752719</v>
      </c>
      <c r="H979" s="117">
        <v>18.93</v>
      </c>
      <c r="I979" s="114">
        <v>3178</v>
      </c>
      <c r="J979" s="116" t="s">
        <v>263</v>
      </c>
    </row>
    <row r="980" spans="1:10" x14ac:dyDescent="0.25">
      <c r="A980" s="114">
        <v>977</v>
      </c>
      <c r="B980" s="115" t="s">
        <v>1698</v>
      </c>
      <c r="C980" s="116" t="s">
        <v>1699</v>
      </c>
      <c r="D980" s="116" t="s">
        <v>437</v>
      </c>
      <c r="E980" s="116" t="s">
        <v>1990</v>
      </c>
      <c r="F980" s="117">
        <v>68.709777398794117</v>
      </c>
      <c r="G980" s="117">
        <v>71.361177398794126</v>
      </c>
      <c r="H980" s="117">
        <v>18.93</v>
      </c>
      <c r="I980" s="114">
        <v>3157</v>
      </c>
      <c r="J980" s="116" t="s">
        <v>263</v>
      </c>
    </row>
    <row r="981" spans="1:10" x14ac:dyDescent="0.25">
      <c r="A981" s="114">
        <v>978</v>
      </c>
      <c r="B981" s="115" t="s">
        <v>1700</v>
      </c>
      <c r="C981" s="116" t="s">
        <v>1701</v>
      </c>
      <c r="D981" s="116" t="s">
        <v>427</v>
      </c>
      <c r="E981" s="116" t="s">
        <v>1702</v>
      </c>
      <c r="F981" s="117">
        <v>0.01</v>
      </c>
      <c r="G981" s="117">
        <v>0.01</v>
      </c>
      <c r="H981" s="117">
        <v>0</v>
      </c>
      <c r="I981" s="114">
        <v>0</v>
      </c>
      <c r="J981" s="116" t="s">
        <v>232</v>
      </c>
    </row>
    <row r="982" spans="1:10" x14ac:dyDescent="0.25">
      <c r="A982" s="114">
        <v>979</v>
      </c>
      <c r="B982" s="115" t="s">
        <v>1703</v>
      </c>
      <c r="C982" s="116" t="s">
        <v>1704</v>
      </c>
      <c r="D982" s="116" t="s">
        <v>427</v>
      </c>
      <c r="E982" s="116" t="s">
        <v>1705</v>
      </c>
      <c r="F982" s="117">
        <v>2740</v>
      </c>
      <c r="G982" s="117">
        <v>2740</v>
      </c>
      <c r="H982" s="117">
        <v>0</v>
      </c>
      <c r="I982" s="114">
        <v>0</v>
      </c>
      <c r="J982" s="116" t="s">
        <v>232</v>
      </c>
    </row>
    <row r="983" spans="1:10" x14ac:dyDescent="0.25">
      <c r="A983" s="114">
        <v>980</v>
      </c>
      <c r="B983" s="115" t="s">
        <v>1706</v>
      </c>
      <c r="C983" s="116" t="s">
        <v>1707</v>
      </c>
      <c r="D983" s="116" t="s">
        <v>437</v>
      </c>
      <c r="E983" s="116" t="s">
        <v>1708</v>
      </c>
      <c r="F983" s="117">
        <v>107.48590872200641</v>
      </c>
      <c r="G983" s="117">
        <v>108.31190872200641</v>
      </c>
      <c r="H983" s="117">
        <v>5.19</v>
      </c>
      <c r="I983" s="114">
        <v>1221</v>
      </c>
      <c r="J983" s="116" t="s">
        <v>263</v>
      </c>
    </row>
    <row r="984" spans="1:10" x14ac:dyDescent="0.25">
      <c r="A984" s="114">
        <v>981</v>
      </c>
      <c r="B984" s="115" t="s">
        <v>1709</v>
      </c>
      <c r="C984" s="116" t="s">
        <v>1710</v>
      </c>
      <c r="D984" s="116" t="s">
        <v>427</v>
      </c>
      <c r="E984" s="116" t="s">
        <v>2122</v>
      </c>
      <c r="F984" s="117">
        <v>0.01</v>
      </c>
      <c r="G984" s="117">
        <v>0.01</v>
      </c>
      <c r="H984" s="117">
        <v>0</v>
      </c>
      <c r="I984" s="114">
        <v>0</v>
      </c>
      <c r="J984" s="116" t="s">
        <v>232</v>
      </c>
    </row>
    <row r="985" spans="1:10" x14ac:dyDescent="0.25">
      <c r="A985" s="114">
        <v>982</v>
      </c>
      <c r="B985" s="115" t="s">
        <v>1711</v>
      </c>
      <c r="C985" s="116" t="s">
        <v>1712</v>
      </c>
      <c r="D985" s="116" t="s">
        <v>437</v>
      </c>
      <c r="E985" s="116" t="s">
        <v>2122</v>
      </c>
      <c r="F985" s="117">
        <v>83.230597985166938</v>
      </c>
      <c r="G985" s="117">
        <v>83.255597985166929</v>
      </c>
      <c r="H985" s="117">
        <v>17.579999999999998</v>
      </c>
      <c r="I985" s="114">
        <v>899</v>
      </c>
      <c r="J985" s="116" t="s">
        <v>263</v>
      </c>
    </row>
    <row r="986" spans="1:10" x14ac:dyDescent="0.25">
      <c r="A986" s="114">
        <v>983</v>
      </c>
      <c r="B986" s="115" t="s">
        <v>1713</v>
      </c>
      <c r="C986" s="116" t="s">
        <v>1714</v>
      </c>
      <c r="D986" s="116" t="s">
        <v>437</v>
      </c>
      <c r="E986" s="116" t="s">
        <v>2122</v>
      </c>
      <c r="F986" s="117">
        <v>10.03894494511076</v>
      </c>
      <c r="G986" s="117">
        <v>10.108144945110761</v>
      </c>
      <c r="H986" s="117">
        <v>16.559999999999999</v>
      </c>
      <c r="I986" s="114">
        <v>5366</v>
      </c>
      <c r="J986" s="116" t="s">
        <v>263</v>
      </c>
    </row>
    <row r="987" spans="1:10" x14ac:dyDescent="0.25">
      <c r="A987" s="114">
        <v>984</v>
      </c>
      <c r="B987" s="115" t="s">
        <v>1715</v>
      </c>
      <c r="C987" s="116" t="s">
        <v>1716</v>
      </c>
      <c r="D987" s="116" t="s">
        <v>437</v>
      </c>
      <c r="E987" s="116" t="s">
        <v>2122</v>
      </c>
      <c r="F987" s="117">
        <v>27.539268651860265</v>
      </c>
      <c r="G987" s="117">
        <v>27.624568651860265</v>
      </c>
      <c r="H987" s="117">
        <v>17.37</v>
      </c>
      <c r="I987" s="114">
        <v>2933</v>
      </c>
      <c r="J987" s="116" t="s">
        <v>263</v>
      </c>
    </row>
    <row r="988" spans="1:10" x14ac:dyDescent="0.25">
      <c r="A988" s="114">
        <v>985</v>
      </c>
      <c r="B988" s="115" t="s">
        <v>1717</v>
      </c>
      <c r="C988" s="116" t="s">
        <v>1718</v>
      </c>
      <c r="D988" s="116" t="s">
        <v>437</v>
      </c>
      <c r="E988" s="116" t="s">
        <v>2122</v>
      </c>
      <c r="F988" s="117">
        <v>27.539268651860265</v>
      </c>
      <c r="G988" s="117">
        <v>27.624568651860265</v>
      </c>
      <c r="H988" s="117">
        <v>17.37</v>
      </c>
      <c r="I988" s="114">
        <v>2933</v>
      </c>
      <c r="J988" s="116" t="s">
        <v>263</v>
      </c>
    </row>
    <row r="989" spans="1:10" x14ac:dyDescent="0.25">
      <c r="A989" s="114">
        <v>986</v>
      </c>
      <c r="B989" s="115" t="s">
        <v>1719</v>
      </c>
      <c r="C989" s="116" t="s">
        <v>1720</v>
      </c>
      <c r="D989" s="116" t="s">
        <v>437</v>
      </c>
      <c r="E989" s="116" t="s">
        <v>2122</v>
      </c>
      <c r="F989" s="117">
        <v>4.9378895827956644</v>
      </c>
      <c r="G989" s="117">
        <v>5.0211895827956647</v>
      </c>
      <c r="H989" s="117">
        <v>16.68</v>
      </c>
      <c r="I989" s="114">
        <v>7166</v>
      </c>
      <c r="J989" s="116" t="s">
        <v>263</v>
      </c>
    </row>
    <row r="990" spans="1:10" x14ac:dyDescent="0.25">
      <c r="A990" s="114">
        <v>987</v>
      </c>
      <c r="B990" s="115" t="s">
        <v>1721</v>
      </c>
      <c r="C990" s="116" t="s">
        <v>1722</v>
      </c>
      <c r="D990" s="116" t="s">
        <v>437</v>
      </c>
      <c r="E990" s="116" t="s">
        <v>2122</v>
      </c>
      <c r="F990" s="117">
        <v>10.039559373879126</v>
      </c>
      <c r="G990" s="117">
        <v>10.050659373879126</v>
      </c>
      <c r="H990" s="117">
        <v>15.83</v>
      </c>
      <c r="I990" s="114">
        <v>5366</v>
      </c>
      <c r="J990" s="116" t="s">
        <v>263</v>
      </c>
    </row>
    <row r="991" spans="1:10" x14ac:dyDescent="0.25">
      <c r="A991" s="114">
        <v>988</v>
      </c>
      <c r="B991" s="115" t="s">
        <v>223</v>
      </c>
      <c r="C991" s="116" t="s">
        <v>224</v>
      </c>
      <c r="D991" s="116" t="s">
        <v>437</v>
      </c>
      <c r="E991" s="116" t="s">
        <v>2122</v>
      </c>
      <c r="F991" s="117">
        <v>27.688971931264511</v>
      </c>
      <c r="G991" s="117">
        <v>27.702871931264511</v>
      </c>
      <c r="H991" s="117">
        <v>16.350000000000001</v>
      </c>
      <c r="I991" s="114">
        <v>2920</v>
      </c>
      <c r="J991" s="116" t="s">
        <v>263</v>
      </c>
    </row>
    <row r="992" spans="1:10" x14ac:dyDescent="0.25">
      <c r="A992" s="114">
        <v>989</v>
      </c>
      <c r="B992" s="115" t="s">
        <v>1723</v>
      </c>
      <c r="C992" s="116" t="s">
        <v>1724</v>
      </c>
      <c r="D992" s="116" t="s">
        <v>437</v>
      </c>
      <c r="E992" s="116" t="s">
        <v>2122</v>
      </c>
      <c r="F992" s="117">
        <v>27.608063576514624</v>
      </c>
      <c r="G992" s="117">
        <v>27.694963576514624</v>
      </c>
      <c r="H992" s="117">
        <v>17.37</v>
      </c>
      <c r="I992" s="114">
        <v>2927</v>
      </c>
      <c r="J992" s="116" t="s">
        <v>263</v>
      </c>
    </row>
    <row r="993" spans="1:10" x14ac:dyDescent="0.25">
      <c r="A993" s="114">
        <v>990</v>
      </c>
      <c r="B993" s="115" t="s">
        <v>1725</v>
      </c>
      <c r="C993" s="116" t="s">
        <v>1726</v>
      </c>
      <c r="D993" s="116" t="s">
        <v>437</v>
      </c>
      <c r="E993" s="116" t="s">
        <v>2122</v>
      </c>
      <c r="F993" s="117">
        <v>27.539268651860265</v>
      </c>
      <c r="G993" s="117">
        <v>27.624568651860265</v>
      </c>
      <c r="H993" s="117">
        <v>17.37</v>
      </c>
      <c r="I993" s="114">
        <v>2933</v>
      </c>
      <c r="J993" s="116" t="s">
        <v>263</v>
      </c>
    </row>
    <row r="994" spans="1:10" x14ac:dyDescent="0.25">
      <c r="A994" s="114">
        <v>991</v>
      </c>
      <c r="B994" s="115" t="s">
        <v>225</v>
      </c>
      <c r="C994" s="116" t="s">
        <v>226</v>
      </c>
      <c r="D994" s="116" t="s">
        <v>437</v>
      </c>
      <c r="E994" s="116" t="s">
        <v>2122</v>
      </c>
      <c r="F994" s="117">
        <v>29</v>
      </c>
      <c r="G994" s="117">
        <v>29.0869</v>
      </c>
      <c r="H994" s="117">
        <v>16.66</v>
      </c>
      <c r="I994" s="114">
        <v>2927</v>
      </c>
      <c r="J994" s="116" t="s">
        <v>263</v>
      </c>
    </row>
    <row r="995" spans="1:10" x14ac:dyDescent="0.25">
      <c r="A995" s="114">
        <v>992</v>
      </c>
      <c r="B995" s="115" t="s">
        <v>1727</v>
      </c>
      <c r="C995" s="116" t="s">
        <v>1728</v>
      </c>
      <c r="D995" s="116" t="s">
        <v>437</v>
      </c>
      <c r="E995" s="116" t="s">
        <v>2122</v>
      </c>
      <c r="F995" s="117">
        <v>99.484924838650727</v>
      </c>
      <c r="G995" s="117">
        <v>108.00992483865072</v>
      </c>
      <c r="H995" s="117">
        <v>18.87</v>
      </c>
      <c r="I995" s="114">
        <v>19</v>
      </c>
      <c r="J995" s="116" t="s">
        <v>263</v>
      </c>
    </row>
    <row r="996" spans="1:10" x14ac:dyDescent="0.25">
      <c r="A996" s="114">
        <v>993</v>
      </c>
      <c r="B996" s="115" t="s">
        <v>1729</v>
      </c>
      <c r="C996" s="116" t="s">
        <v>1730</v>
      </c>
      <c r="D996" s="116" t="s">
        <v>437</v>
      </c>
      <c r="E996" s="116" t="s">
        <v>2122</v>
      </c>
      <c r="F996" s="117">
        <v>86.164671434178473</v>
      </c>
      <c r="G996" s="117">
        <v>89.164671434178473</v>
      </c>
      <c r="H996" s="117">
        <v>17.79</v>
      </c>
      <c r="I996" s="114">
        <v>576</v>
      </c>
      <c r="J996" s="116" t="s">
        <v>263</v>
      </c>
    </row>
    <row r="997" spans="1:10" x14ac:dyDescent="0.25">
      <c r="A997" s="114">
        <v>994</v>
      </c>
      <c r="B997" s="115" t="s">
        <v>1731</v>
      </c>
      <c r="C997" s="116" t="s">
        <v>1732</v>
      </c>
      <c r="D997" s="116" t="s">
        <v>427</v>
      </c>
      <c r="E997" s="116" t="s">
        <v>2122</v>
      </c>
      <c r="F997" s="117">
        <v>590</v>
      </c>
      <c r="G997" s="117">
        <v>590</v>
      </c>
      <c r="H997" s="117">
        <v>0</v>
      </c>
      <c r="I997" s="114">
        <v>0</v>
      </c>
      <c r="J997" s="116" t="s">
        <v>232</v>
      </c>
    </row>
    <row r="998" spans="1:10" x14ac:dyDescent="0.25">
      <c r="A998" s="114">
        <v>995</v>
      </c>
      <c r="B998" s="115" t="s">
        <v>1733</v>
      </c>
      <c r="C998" s="116" t="s">
        <v>1734</v>
      </c>
      <c r="D998" s="116" t="s">
        <v>427</v>
      </c>
      <c r="E998" s="116" t="s">
        <v>2441</v>
      </c>
      <c r="F998" s="117">
        <v>227109.82269999999</v>
      </c>
      <c r="G998" s="117">
        <v>227109.82269999999</v>
      </c>
      <c r="H998" s="117">
        <v>0</v>
      </c>
      <c r="I998" s="114">
        <v>0</v>
      </c>
      <c r="J998" s="116" t="s">
        <v>232</v>
      </c>
    </row>
    <row r="999" spans="1:10" x14ac:dyDescent="0.25">
      <c r="A999" s="114">
        <v>996</v>
      </c>
      <c r="B999" s="115" t="s">
        <v>2157</v>
      </c>
      <c r="C999" s="116" t="s">
        <v>2158</v>
      </c>
      <c r="D999" s="116" t="s">
        <v>437</v>
      </c>
      <c r="E999" s="116" t="s">
        <v>1735</v>
      </c>
      <c r="F999" s="117">
        <v>92.207899999999995</v>
      </c>
      <c r="G999" s="117">
        <v>94.957899999999995</v>
      </c>
      <c r="H999" s="117">
        <v>22</v>
      </c>
      <c r="I999" s="114">
        <v>935</v>
      </c>
      <c r="J999" s="116" t="s">
        <v>263</v>
      </c>
    </row>
    <row r="1000" spans="1:10" x14ac:dyDescent="0.25">
      <c r="A1000" s="114">
        <v>997</v>
      </c>
      <c r="B1000" s="115" t="s">
        <v>2603</v>
      </c>
      <c r="C1000" s="116" t="s">
        <v>2604</v>
      </c>
      <c r="D1000" s="116" t="s">
        <v>437</v>
      </c>
      <c r="E1000" s="116" t="s">
        <v>1735</v>
      </c>
      <c r="F1000" s="117">
        <v>101.35787149283817</v>
      </c>
      <c r="G1000" s="117">
        <v>101.93287149283816</v>
      </c>
      <c r="H1000" s="117">
        <v>21.4</v>
      </c>
      <c r="I1000" s="114">
        <v>351</v>
      </c>
      <c r="J1000" s="116" t="s">
        <v>263</v>
      </c>
    </row>
    <row r="1001" spans="1:10" x14ac:dyDescent="0.25">
      <c r="A1001" s="114">
        <v>998</v>
      </c>
      <c r="B1001" s="115" t="s">
        <v>2594</v>
      </c>
      <c r="C1001" s="116" t="s">
        <v>2595</v>
      </c>
      <c r="D1001" s="116" t="s">
        <v>437</v>
      </c>
      <c r="E1001" s="116" t="s">
        <v>2596</v>
      </c>
      <c r="F1001" s="117">
        <v>100.74261590924409</v>
      </c>
      <c r="G1001" s="117">
        <v>100.9370159092441</v>
      </c>
      <c r="H1001" s="117">
        <v>9.7100000000000009</v>
      </c>
      <c r="I1001" s="114">
        <v>1073</v>
      </c>
      <c r="J1001" s="116" t="s">
        <v>263</v>
      </c>
    </row>
    <row r="1002" spans="1:10" x14ac:dyDescent="0.25">
      <c r="A1002" s="114">
        <v>999</v>
      </c>
      <c r="B1002" s="115" t="s">
        <v>1736</v>
      </c>
      <c r="C1002" s="116" t="s">
        <v>1737</v>
      </c>
      <c r="D1002" s="116" t="s">
        <v>427</v>
      </c>
      <c r="E1002" s="116" t="s">
        <v>1738</v>
      </c>
      <c r="F1002" s="117">
        <v>92487.443849999996</v>
      </c>
      <c r="G1002" s="117">
        <v>92487.443849999996</v>
      </c>
      <c r="H1002" s="117">
        <v>0</v>
      </c>
      <c r="I1002" s="114">
        <v>0</v>
      </c>
      <c r="J1002" s="116" t="s">
        <v>232</v>
      </c>
    </row>
    <row r="1003" spans="1:10" x14ac:dyDescent="0.25">
      <c r="A1003" s="114">
        <v>1000</v>
      </c>
      <c r="B1003" s="115" t="s">
        <v>1645</v>
      </c>
      <c r="C1003" s="116" t="s">
        <v>1646</v>
      </c>
      <c r="D1003" s="116" t="s">
        <v>427</v>
      </c>
      <c r="E1003" s="116" t="s">
        <v>1647</v>
      </c>
      <c r="F1003" s="117">
        <v>12862.508900000001</v>
      </c>
      <c r="G1003" s="117">
        <v>12862.508900000001</v>
      </c>
      <c r="H1003" s="117">
        <v>0</v>
      </c>
      <c r="I1003" s="114">
        <v>0</v>
      </c>
      <c r="J1003" s="116" t="s">
        <v>232</v>
      </c>
    </row>
    <row r="1004" spans="1:10" x14ac:dyDescent="0.25">
      <c r="A1004" s="114">
        <v>1001</v>
      </c>
      <c r="B1004" s="115" t="s">
        <v>1739</v>
      </c>
      <c r="C1004" s="116" t="s">
        <v>1740</v>
      </c>
      <c r="D1004" s="116" t="s">
        <v>427</v>
      </c>
      <c r="E1004" s="116" t="s">
        <v>1741</v>
      </c>
      <c r="F1004" s="117">
        <v>45445.176599999999</v>
      </c>
      <c r="G1004" s="117">
        <v>45445.176599999999</v>
      </c>
      <c r="H1004" s="117">
        <v>0</v>
      </c>
      <c r="I1004" s="114">
        <v>0</v>
      </c>
      <c r="J1004" s="116" t="s">
        <v>232</v>
      </c>
    </row>
    <row r="1005" spans="1:10" x14ac:dyDescent="0.25">
      <c r="A1005" s="114">
        <v>1002</v>
      </c>
      <c r="B1005" s="115" t="s">
        <v>1742</v>
      </c>
      <c r="C1005" s="116" t="s">
        <v>1743</v>
      </c>
      <c r="D1005" s="116" t="s">
        <v>427</v>
      </c>
      <c r="E1005" s="116" t="s">
        <v>1744</v>
      </c>
      <c r="F1005" s="117">
        <v>230803</v>
      </c>
      <c r="G1005" s="117">
        <v>230803</v>
      </c>
      <c r="H1005" s="117">
        <v>0</v>
      </c>
      <c r="I1005" s="114">
        <v>0</v>
      </c>
      <c r="J1005" s="116" t="s">
        <v>232</v>
      </c>
    </row>
    <row r="1006" spans="1:10" x14ac:dyDescent="0.25">
      <c r="A1006" s="114">
        <v>1003</v>
      </c>
      <c r="B1006" s="115" t="s">
        <v>1745</v>
      </c>
      <c r="C1006" s="116" t="s">
        <v>1746</v>
      </c>
      <c r="D1006" s="116" t="s">
        <v>730</v>
      </c>
      <c r="E1006" s="116" t="s">
        <v>737</v>
      </c>
      <c r="F1006" s="117">
        <v>23345.781650000001</v>
      </c>
      <c r="G1006" s="117">
        <v>23345.781650000001</v>
      </c>
      <c r="H1006" s="117">
        <v>0</v>
      </c>
      <c r="I1006" s="114">
        <v>0</v>
      </c>
      <c r="J1006" s="116" t="s">
        <v>232</v>
      </c>
    </row>
    <row r="1007" spans="1:10" x14ac:dyDescent="0.25">
      <c r="A1007" s="114">
        <v>1004</v>
      </c>
      <c r="B1007" s="115" t="s">
        <v>1776</v>
      </c>
      <c r="C1007" s="116" t="s">
        <v>1777</v>
      </c>
      <c r="D1007" s="116" t="s">
        <v>437</v>
      </c>
      <c r="E1007" s="116" t="s">
        <v>1749</v>
      </c>
      <c r="F1007" s="117">
        <v>97.671875</v>
      </c>
      <c r="G1007" s="117">
        <v>98.745874999999998</v>
      </c>
      <c r="H1007" s="117">
        <v>3.87</v>
      </c>
      <c r="I1007" s="114">
        <v>2629</v>
      </c>
      <c r="J1007" s="116" t="s">
        <v>263</v>
      </c>
    </row>
    <row r="1008" spans="1:10" x14ac:dyDescent="0.25">
      <c r="A1008" s="114">
        <v>1005</v>
      </c>
      <c r="B1008" s="115" t="s">
        <v>1778</v>
      </c>
      <c r="C1008" s="116" t="s">
        <v>1779</v>
      </c>
      <c r="D1008" s="116" t="s">
        <v>437</v>
      </c>
      <c r="E1008" s="116" t="s">
        <v>1749</v>
      </c>
      <c r="F1008" s="117">
        <v>99.765625</v>
      </c>
      <c r="G1008" s="117">
        <v>100.95462499999999</v>
      </c>
      <c r="H1008" s="117">
        <v>3.91</v>
      </c>
      <c r="I1008" s="114">
        <v>2810</v>
      </c>
      <c r="J1008" s="116" t="s">
        <v>263</v>
      </c>
    </row>
    <row r="1009" spans="1:10" x14ac:dyDescent="0.25">
      <c r="A1009" s="114">
        <v>1006</v>
      </c>
      <c r="B1009" s="115" t="s">
        <v>1780</v>
      </c>
      <c r="C1009" s="116" t="s">
        <v>1781</v>
      </c>
      <c r="D1009" s="116" t="s">
        <v>437</v>
      </c>
      <c r="E1009" s="116" t="s">
        <v>1749</v>
      </c>
      <c r="F1009" s="117">
        <v>108.0859375</v>
      </c>
      <c r="G1009" s="117">
        <v>109.7352375</v>
      </c>
      <c r="H1009" s="117">
        <v>3.65</v>
      </c>
      <c r="I1009" s="114">
        <v>1898</v>
      </c>
      <c r="J1009" s="116" t="s">
        <v>263</v>
      </c>
    </row>
    <row r="1010" spans="1:10" x14ac:dyDescent="0.25">
      <c r="A1010" s="114">
        <v>1007</v>
      </c>
      <c r="B1010" s="115" t="s">
        <v>1782</v>
      </c>
      <c r="C1010" s="116" t="s">
        <v>1783</v>
      </c>
      <c r="D1010" s="116" t="s">
        <v>437</v>
      </c>
      <c r="E1010" s="116" t="s">
        <v>1749</v>
      </c>
      <c r="F1010" s="117">
        <v>98.08984375</v>
      </c>
      <c r="G1010" s="117">
        <v>98.847343749999993</v>
      </c>
      <c r="H1010" s="117">
        <v>3.58</v>
      </c>
      <c r="I1010" s="114">
        <v>391</v>
      </c>
      <c r="J1010" s="116" t="s">
        <v>263</v>
      </c>
    </row>
    <row r="1011" spans="1:10" x14ac:dyDescent="0.25">
      <c r="A1011" s="114">
        <v>1008</v>
      </c>
      <c r="B1011" s="115" t="s">
        <v>1784</v>
      </c>
      <c r="C1011" s="116" t="s">
        <v>1785</v>
      </c>
      <c r="D1011" s="116" t="s">
        <v>437</v>
      </c>
      <c r="E1011" s="116" t="s">
        <v>1749</v>
      </c>
      <c r="F1011" s="117">
        <v>93.796875</v>
      </c>
      <c r="G1011" s="117">
        <v>94.392075000000006</v>
      </c>
      <c r="H1011" s="117">
        <v>3.52</v>
      </c>
      <c r="I1011" s="114">
        <v>1122</v>
      </c>
      <c r="J1011" s="116" t="s">
        <v>263</v>
      </c>
    </row>
    <row r="1012" spans="1:10" x14ac:dyDescent="0.25">
      <c r="A1012" s="114">
        <v>1009</v>
      </c>
      <c r="B1012" s="115" t="s">
        <v>1786</v>
      </c>
      <c r="C1012" s="116" t="s">
        <v>1787</v>
      </c>
      <c r="D1012" s="116" t="s">
        <v>437</v>
      </c>
      <c r="E1012" s="116" t="s">
        <v>1749</v>
      </c>
      <c r="F1012" s="117">
        <v>88.1328125</v>
      </c>
      <c r="G1012" s="117">
        <v>88.478012500000006</v>
      </c>
      <c r="H1012" s="117">
        <v>3.65</v>
      </c>
      <c r="I1012" s="114">
        <v>1898</v>
      </c>
      <c r="J1012" s="116" t="s">
        <v>263</v>
      </c>
    </row>
    <row r="1013" spans="1:10" x14ac:dyDescent="0.25">
      <c r="A1013" s="114">
        <v>1010</v>
      </c>
      <c r="B1013" s="115" t="s">
        <v>1788</v>
      </c>
      <c r="C1013" s="116" t="s">
        <v>1789</v>
      </c>
      <c r="D1013" s="116" t="s">
        <v>437</v>
      </c>
      <c r="E1013" s="116" t="s">
        <v>1749</v>
      </c>
      <c r="F1013" s="117">
        <v>98.90625</v>
      </c>
      <c r="G1013" s="117">
        <v>99.053150000000002</v>
      </c>
      <c r="H1013" s="117">
        <v>1.37</v>
      </c>
      <c r="I1013" s="114">
        <v>406</v>
      </c>
      <c r="J1013" s="116" t="s">
        <v>263</v>
      </c>
    </row>
    <row r="1014" spans="1:10" x14ac:dyDescent="0.25">
      <c r="A1014" s="114">
        <v>1011</v>
      </c>
      <c r="B1014" s="115" t="s">
        <v>1879</v>
      </c>
      <c r="C1014" s="116" t="s">
        <v>1880</v>
      </c>
      <c r="D1014" s="116" t="s">
        <v>437</v>
      </c>
      <c r="E1014" s="116" t="s">
        <v>1749</v>
      </c>
      <c r="F1014" s="117">
        <v>100.92578125</v>
      </c>
      <c r="G1014" s="117">
        <v>101.17918125</v>
      </c>
      <c r="H1014" s="117">
        <v>3.62</v>
      </c>
      <c r="I1014" s="114">
        <v>345</v>
      </c>
      <c r="J1014" s="116" t="s">
        <v>263</v>
      </c>
    </row>
    <row r="1015" spans="1:10" x14ac:dyDescent="0.25">
      <c r="A1015" s="114">
        <v>1012</v>
      </c>
      <c r="B1015" s="115" t="s">
        <v>1790</v>
      </c>
      <c r="C1015" s="116" t="s">
        <v>1791</v>
      </c>
      <c r="D1015" s="116" t="s">
        <v>437</v>
      </c>
      <c r="E1015" s="116" t="s">
        <v>1749</v>
      </c>
      <c r="F1015" s="117">
        <v>104.4921875</v>
      </c>
      <c r="G1015" s="117">
        <v>104.5555875</v>
      </c>
      <c r="H1015" s="117">
        <v>3.71</v>
      </c>
      <c r="I1015" s="114">
        <v>2003</v>
      </c>
      <c r="J1015" s="116" t="s">
        <v>263</v>
      </c>
    </row>
    <row r="1016" spans="1:10" x14ac:dyDescent="0.25">
      <c r="A1016" s="114">
        <v>1013</v>
      </c>
      <c r="B1016" s="115" t="s">
        <v>1792</v>
      </c>
      <c r="C1016" s="116" t="s">
        <v>1793</v>
      </c>
      <c r="D1016" s="116" t="s">
        <v>437</v>
      </c>
      <c r="E1016" s="116" t="s">
        <v>1749</v>
      </c>
      <c r="F1016" s="117">
        <v>102.9375</v>
      </c>
      <c r="G1016" s="117">
        <v>103.1772</v>
      </c>
      <c r="H1016" s="117">
        <v>3.96</v>
      </c>
      <c r="I1016" s="114">
        <v>3083</v>
      </c>
      <c r="J1016" s="116" t="s">
        <v>263</v>
      </c>
    </row>
    <row r="1017" spans="1:10" x14ac:dyDescent="0.25">
      <c r="A1017" s="114">
        <v>1014</v>
      </c>
      <c r="B1017" s="115" t="s">
        <v>1881</v>
      </c>
      <c r="C1017" s="116" t="s">
        <v>1882</v>
      </c>
      <c r="D1017" s="116" t="s">
        <v>437</v>
      </c>
      <c r="E1017" s="116" t="s">
        <v>1749</v>
      </c>
      <c r="F1017" s="117">
        <v>100.21484375</v>
      </c>
      <c r="G1017" s="117">
        <v>101.43124374999999</v>
      </c>
      <c r="H1017" s="117">
        <v>3.67</v>
      </c>
      <c r="I1017" s="114">
        <v>85</v>
      </c>
      <c r="J1017" s="116" t="s">
        <v>263</v>
      </c>
    </row>
    <row r="1018" spans="1:10" x14ac:dyDescent="0.25">
      <c r="A1018" s="114">
        <v>1015</v>
      </c>
      <c r="B1018" s="115" t="s">
        <v>1883</v>
      </c>
      <c r="C1018" s="116" t="s">
        <v>1884</v>
      </c>
      <c r="D1018" s="116" t="s">
        <v>437</v>
      </c>
      <c r="E1018" s="116" t="s">
        <v>1749</v>
      </c>
      <c r="F1018" s="117">
        <v>100.06640625</v>
      </c>
      <c r="G1018" s="117">
        <v>101.54520625000001</v>
      </c>
      <c r="H1018" s="117">
        <v>3.79</v>
      </c>
      <c r="I1018" s="114">
        <v>57</v>
      </c>
      <c r="J1018" s="116" t="s">
        <v>263</v>
      </c>
    </row>
    <row r="1019" spans="1:10" x14ac:dyDescent="0.25">
      <c r="A1019" s="114">
        <v>1016</v>
      </c>
      <c r="B1019" s="115" t="s">
        <v>1900</v>
      </c>
      <c r="C1019" s="116" t="s">
        <v>1901</v>
      </c>
      <c r="D1019" s="116" t="s">
        <v>437</v>
      </c>
      <c r="E1019" s="116" t="s">
        <v>1749</v>
      </c>
      <c r="F1019" s="117">
        <v>98.24609375</v>
      </c>
      <c r="G1019" s="117">
        <v>98.401893749999999</v>
      </c>
      <c r="H1019" s="117">
        <v>3.61</v>
      </c>
      <c r="I1019" s="114">
        <v>330</v>
      </c>
      <c r="J1019" s="116" t="s">
        <v>263</v>
      </c>
    </row>
    <row r="1020" spans="1:10" x14ac:dyDescent="0.25">
      <c r="A1020" s="114">
        <v>1017</v>
      </c>
      <c r="B1020" s="115" t="s">
        <v>1902</v>
      </c>
      <c r="C1020" s="116" t="s">
        <v>1903</v>
      </c>
      <c r="D1020" s="116" t="s">
        <v>437</v>
      </c>
      <c r="E1020" s="116" t="s">
        <v>1749</v>
      </c>
      <c r="F1020" s="117">
        <v>101.171875</v>
      </c>
      <c r="G1020" s="117">
        <v>101.432175</v>
      </c>
      <c r="H1020" s="117">
        <v>4.6500000000000004</v>
      </c>
      <c r="I1020" s="114">
        <v>6554</v>
      </c>
      <c r="J1020" s="116" t="s">
        <v>263</v>
      </c>
    </row>
    <row r="1021" spans="1:10" x14ac:dyDescent="0.25">
      <c r="A1021" s="114">
        <v>1018</v>
      </c>
      <c r="B1021" s="115" t="s">
        <v>2059</v>
      </c>
      <c r="C1021" s="116" t="s">
        <v>2060</v>
      </c>
      <c r="D1021" s="116" t="s">
        <v>437</v>
      </c>
      <c r="E1021" s="116" t="s">
        <v>1749</v>
      </c>
      <c r="F1021" s="117">
        <v>99.775919913194954</v>
      </c>
      <c r="G1021" s="117">
        <v>99.775919913194954</v>
      </c>
      <c r="H1021" s="117">
        <v>3.85</v>
      </c>
      <c r="I1021" s="114">
        <v>21</v>
      </c>
      <c r="J1021" s="116" t="s">
        <v>263</v>
      </c>
    </row>
    <row r="1022" spans="1:10" x14ac:dyDescent="0.25">
      <c r="A1022" s="114">
        <v>1019</v>
      </c>
      <c r="B1022" s="115" t="s">
        <v>2061</v>
      </c>
      <c r="C1022" s="116" t="s">
        <v>2062</v>
      </c>
      <c r="D1022" s="116" t="s">
        <v>437</v>
      </c>
      <c r="E1022" s="116" t="s">
        <v>1749</v>
      </c>
      <c r="F1022" s="117">
        <v>99.510030576530013</v>
      </c>
      <c r="G1022" s="117">
        <v>99.510030576530013</v>
      </c>
      <c r="H1022" s="117">
        <v>3.69</v>
      </c>
      <c r="I1022" s="114">
        <v>47</v>
      </c>
      <c r="J1022" s="116" t="s">
        <v>263</v>
      </c>
    </row>
    <row r="1023" spans="1:10" x14ac:dyDescent="0.25">
      <c r="A1023" s="114">
        <v>1020</v>
      </c>
      <c r="B1023" s="115" t="s">
        <v>2066</v>
      </c>
      <c r="C1023" s="116" t="s">
        <v>2067</v>
      </c>
      <c r="D1023" s="116" t="s">
        <v>437</v>
      </c>
      <c r="E1023" s="116" t="s">
        <v>1749</v>
      </c>
      <c r="F1023" s="117">
        <v>99.240245353372387</v>
      </c>
      <c r="G1023" s="117">
        <v>99.240245353372387</v>
      </c>
      <c r="H1023" s="117">
        <v>3.63</v>
      </c>
      <c r="I1023" s="114">
        <v>74</v>
      </c>
      <c r="J1023" s="116" t="s">
        <v>263</v>
      </c>
    </row>
    <row r="1024" spans="1:10" x14ac:dyDescent="0.25">
      <c r="A1024" s="114">
        <v>1021</v>
      </c>
      <c r="B1024" s="115" t="s">
        <v>2068</v>
      </c>
      <c r="C1024" s="116" t="s">
        <v>2069</v>
      </c>
      <c r="D1024" s="116" t="s">
        <v>437</v>
      </c>
      <c r="E1024" s="116" t="s">
        <v>1749</v>
      </c>
      <c r="F1024" s="117">
        <v>98.970178431019548</v>
      </c>
      <c r="G1024" s="117">
        <v>98.970178431019548</v>
      </c>
      <c r="H1024" s="117">
        <v>3.6</v>
      </c>
      <c r="I1024" s="114">
        <v>104</v>
      </c>
      <c r="J1024" s="116" t="s">
        <v>263</v>
      </c>
    </row>
    <row r="1025" spans="1:10" x14ac:dyDescent="0.25">
      <c r="A1025" s="114">
        <v>1022</v>
      </c>
      <c r="B1025" s="115" t="s">
        <v>2145</v>
      </c>
      <c r="C1025" s="116" t="s">
        <v>2146</v>
      </c>
      <c r="D1025" s="116" t="s">
        <v>437</v>
      </c>
      <c r="E1025" s="116" t="s">
        <v>1749</v>
      </c>
      <c r="F1025" s="117">
        <v>100.58984375</v>
      </c>
      <c r="G1025" s="117">
        <v>102.02514375</v>
      </c>
      <c r="H1025" s="117">
        <v>3.6</v>
      </c>
      <c r="I1025" s="114">
        <v>422</v>
      </c>
      <c r="J1025" s="116" t="s">
        <v>263</v>
      </c>
    </row>
    <row r="1026" spans="1:10" x14ac:dyDescent="0.25">
      <c r="A1026" s="114">
        <v>1023</v>
      </c>
      <c r="B1026" s="115" t="s">
        <v>2147</v>
      </c>
      <c r="C1026" s="116" t="s">
        <v>2148</v>
      </c>
      <c r="D1026" s="116" t="s">
        <v>437</v>
      </c>
      <c r="E1026" s="116" t="s">
        <v>1749</v>
      </c>
      <c r="F1026" s="117">
        <v>98.692854267252841</v>
      </c>
      <c r="G1026" s="117">
        <v>98.692854267252841</v>
      </c>
      <c r="H1026" s="117">
        <v>3.61</v>
      </c>
      <c r="I1026" s="114">
        <v>131</v>
      </c>
      <c r="J1026" s="116" t="s">
        <v>263</v>
      </c>
    </row>
    <row r="1027" spans="1:10" x14ac:dyDescent="0.25">
      <c r="A1027" s="114">
        <v>1024</v>
      </c>
      <c r="B1027" s="115" t="s">
        <v>2149</v>
      </c>
      <c r="C1027" s="116" t="s">
        <v>2150</v>
      </c>
      <c r="D1027" s="116" t="s">
        <v>437</v>
      </c>
      <c r="E1027" s="116" t="s">
        <v>1749</v>
      </c>
      <c r="F1027" s="117">
        <v>98.430673294514278</v>
      </c>
      <c r="G1027" s="117">
        <v>98.430673294514278</v>
      </c>
      <c r="H1027" s="117">
        <v>3.59</v>
      </c>
      <c r="I1027" s="114">
        <v>159</v>
      </c>
      <c r="J1027" s="116" t="s">
        <v>263</v>
      </c>
    </row>
    <row r="1028" spans="1:10" x14ac:dyDescent="0.25">
      <c r="A1028" s="114">
        <v>1025</v>
      </c>
      <c r="B1028" s="115" t="s">
        <v>1747</v>
      </c>
      <c r="C1028" s="116" t="s">
        <v>1748</v>
      </c>
      <c r="D1028" s="116" t="s">
        <v>437</v>
      </c>
      <c r="E1028" s="116" t="s">
        <v>1749</v>
      </c>
      <c r="F1028" s="117">
        <v>108.921875</v>
      </c>
      <c r="G1028" s="117">
        <v>110.80137499999999</v>
      </c>
      <c r="H1028" s="117">
        <v>3.53</v>
      </c>
      <c r="I1028" s="114">
        <v>1349</v>
      </c>
      <c r="J1028" s="116" t="s">
        <v>263</v>
      </c>
    </row>
    <row r="1029" spans="1:10" x14ac:dyDescent="0.25">
      <c r="A1029" s="114">
        <v>1026</v>
      </c>
      <c r="B1029" s="115" t="s">
        <v>1750</v>
      </c>
      <c r="C1029" s="116" t="s">
        <v>1751</v>
      </c>
      <c r="D1029" s="116" t="s">
        <v>437</v>
      </c>
      <c r="E1029" s="116" t="s">
        <v>1749</v>
      </c>
      <c r="F1029" s="117">
        <v>87.5078125</v>
      </c>
      <c r="G1029" s="117">
        <v>87.555712499999998</v>
      </c>
      <c r="H1029" s="117">
        <v>3.66</v>
      </c>
      <c r="I1029" s="114">
        <v>1806</v>
      </c>
      <c r="J1029" s="116" t="s">
        <v>263</v>
      </c>
    </row>
    <row r="1030" spans="1:10" x14ac:dyDescent="0.25">
      <c r="A1030" s="114">
        <v>1027</v>
      </c>
      <c r="B1030" s="115" t="s">
        <v>1752</v>
      </c>
      <c r="C1030" s="116" t="s">
        <v>1753</v>
      </c>
      <c r="D1030" s="116" t="s">
        <v>437</v>
      </c>
      <c r="E1030" s="116" t="s">
        <v>1749</v>
      </c>
      <c r="F1030" s="117">
        <v>78.359375</v>
      </c>
      <c r="G1030" s="117">
        <v>78.523775000000001</v>
      </c>
      <c r="H1030" s="117">
        <v>4.74</v>
      </c>
      <c r="I1030" s="114">
        <v>6920</v>
      </c>
      <c r="J1030" s="116" t="s">
        <v>263</v>
      </c>
    </row>
    <row r="1031" spans="1:10" x14ac:dyDescent="0.25">
      <c r="A1031" s="114">
        <v>1028</v>
      </c>
      <c r="B1031" s="115" t="s">
        <v>1754</v>
      </c>
      <c r="C1031" s="116" t="s">
        <v>1755</v>
      </c>
      <c r="D1031" s="116" t="s">
        <v>437</v>
      </c>
      <c r="E1031" s="116" t="s">
        <v>1749</v>
      </c>
      <c r="F1031" s="117">
        <v>74.375</v>
      </c>
      <c r="G1031" s="117">
        <v>74.4983</v>
      </c>
      <c r="H1031" s="117">
        <v>4.58</v>
      </c>
      <c r="I1031" s="114">
        <v>5640</v>
      </c>
      <c r="J1031" s="116" t="s">
        <v>263</v>
      </c>
    </row>
    <row r="1032" spans="1:10" x14ac:dyDescent="0.25">
      <c r="A1032" s="114">
        <v>1029</v>
      </c>
      <c r="B1032" s="115" t="s">
        <v>1756</v>
      </c>
      <c r="C1032" s="116" t="s">
        <v>1757</v>
      </c>
      <c r="D1032" s="116" t="s">
        <v>437</v>
      </c>
      <c r="E1032" s="116" t="s">
        <v>1749</v>
      </c>
      <c r="F1032" s="117">
        <v>99.483752235709076</v>
      </c>
      <c r="G1032" s="117">
        <v>99.614252235709074</v>
      </c>
      <c r="H1032" s="117">
        <v>3.72</v>
      </c>
      <c r="I1032" s="114">
        <v>57</v>
      </c>
      <c r="J1032" s="116" t="s">
        <v>263</v>
      </c>
    </row>
    <row r="1033" spans="1:10" x14ac:dyDescent="0.25">
      <c r="A1033" s="114">
        <v>1030</v>
      </c>
      <c r="B1033" s="115" t="s">
        <v>1758</v>
      </c>
      <c r="C1033" s="116" t="s">
        <v>1759</v>
      </c>
      <c r="D1033" s="116" t="s">
        <v>437</v>
      </c>
      <c r="E1033" s="116" t="s">
        <v>1749</v>
      </c>
      <c r="F1033" s="117">
        <v>88.265625</v>
      </c>
      <c r="G1033" s="117">
        <v>88.484825000000001</v>
      </c>
      <c r="H1033" s="117">
        <v>4.78</v>
      </c>
      <c r="I1033" s="114">
        <v>9842</v>
      </c>
      <c r="J1033" s="116" t="s">
        <v>263</v>
      </c>
    </row>
    <row r="1034" spans="1:10" x14ac:dyDescent="0.25">
      <c r="A1034" s="114">
        <v>1031</v>
      </c>
      <c r="B1034" s="115" t="s">
        <v>1760</v>
      </c>
      <c r="C1034" s="116" t="s">
        <v>1761</v>
      </c>
      <c r="D1034" s="116" t="s">
        <v>437</v>
      </c>
      <c r="E1034" s="116" t="s">
        <v>1749</v>
      </c>
      <c r="F1034" s="117">
        <v>99.08984375</v>
      </c>
      <c r="G1034" s="117">
        <v>99.225443749999997</v>
      </c>
      <c r="H1034" s="117">
        <v>3.65</v>
      </c>
      <c r="I1034" s="114">
        <v>116</v>
      </c>
      <c r="J1034" s="116" t="s">
        <v>263</v>
      </c>
    </row>
    <row r="1035" spans="1:10" x14ac:dyDescent="0.25">
      <c r="A1035" s="114">
        <v>1032</v>
      </c>
      <c r="B1035" s="115" t="s">
        <v>1762</v>
      </c>
      <c r="C1035" s="116" t="s">
        <v>1763</v>
      </c>
      <c r="D1035" s="116" t="s">
        <v>437</v>
      </c>
      <c r="E1035" s="116" t="s">
        <v>1749</v>
      </c>
      <c r="F1035" s="117">
        <v>98.4375</v>
      </c>
      <c r="G1035" s="117">
        <v>98.816299999999998</v>
      </c>
      <c r="H1035" s="117">
        <v>3.68</v>
      </c>
      <c r="I1035" s="114">
        <v>207</v>
      </c>
      <c r="J1035" s="116" t="s">
        <v>263</v>
      </c>
    </row>
    <row r="1036" spans="1:10" x14ac:dyDescent="0.25">
      <c r="A1036" s="114">
        <v>1033</v>
      </c>
      <c r="B1036" s="115" t="s">
        <v>1764</v>
      </c>
      <c r="C1036" s="116" t="s">
        <v>1765</v>
      </c>
      <c r="D1036" s="116" t="s">
        <v>437</v>
      </c>
      <c r="E1036" s="116" t="s">
        <v>1749</v>
      </c>
      <c r="F1036" s="117">
        <v>100.00815301549541</v>
      </c>
      <c r="G1036" s="117">
        <v>101.90405301549541</v>
      </c>
      <c r="H1036" s="117">
        <v>3.66</v>
      </c>
      <c r="I1036" s="114">
        <v>10</v>
      </c>
      <c r="J1036" s="116" t="s">
        <v>263</v>
      </c>
    </row>
    <row r="1037" spans="1:10" x14ac:dyDescent="0.25">
      <c r="A1037" s="114">
        <v>1034</v>
      </c>
      <c r="B1037" s="115" t="s">
        <v>1766</v>
      </c>
      <c r="C1037" s="116" t="s">
        <v>1767</v>
      </c>
      <c r="D1037" s="116" t="s">
        <v>437</v>
      </c>
      <c r="E1037" s="116" t="s">
        <v>1749</v>
      </c>
      <c r="F1037" s="117">
        <v>94.6796875</v>
      </c>
      <c r="G1037" s="117">
        <v>94.837187499999999</v>
      </c>
      <c r="H1037" s="117">
        <v>3.81</v>
      </c>
      <c r="I1037" s="114">
        <v>2353</v>
      </c>
      <c r="J1037" s="116" t="s">
        <v>263</v>
      </c>
    </row>
    <row r="1038" spans="1:10" x14ac:dyDescent="0.25">
      <c r="A1038" s="114">
        <v>1035</v>
      </c>
      <c r="B1038" s="115" t="s">
        <v>1794</v>
      </c>
      <c r="C1038" s="116" t="s">
        <v>1795</v>
      </c>
      <c r="D1038" s="116" t="s">
        <v>437</v>
      </c>
      <c r="E1038" s="116" t="s">
        <v>1991</v>
      </c>
      <c r="F1038" s="117">
        <v>100</v>
      </c>
      <c r="G1038" s="117">
        <v>100.0749</v>
      </c>
      <c r="H1038" s="117">
        <v>0.35</v>
      </c>
      <c r="I1038" s="114">
        <v>223</v>
      </c>
      <c r="J1038" s="116" t="s">
        <v>263</v>
      </c>
    </row>
    <row r="1039" spans="1:10" x14ac:dyDescent="0.25">
      <c r="A1039" s="114">
        <v>1036</v>
      </c>
      <c r="B1039" s="115" t="s">
        <v>2164</v>
      </c>
      <c r="C1039" s="116" t="s">
        <v>2165</v>
      </c>
      <c r="D1039" s="116" t="s">
        <v>437</v>
      </c>
      <c r="E1039" s="116" t="s">
        <v>1991</v>
      </c>
      <c r="F1039" s="117">
        <v>100</v>
      </c>
      <c r="G1039" s="117">
        <v>100.13509999999999</v>
      </c>
      <c r="H1039" s="117">
        <v>0.35</v>
      </c>
      <c r="I1039" s="114">
        <v>581</v>
      </c>
      <c r="J1039" s="116" t="s">
        <v>263</v>
      </c>
    </row>
    <row r="1040" spans="1:10" x14ac:dyDescent="0.25">
      <c r="A1040" s="114">
        <v>1037</v>
      </c>
      <c r="B1040" s="115" t="s">
        <v>1796</v>
      </c>
      <c r="C1040" s="116" t="s">
        <v>1797</v>
      </c>
      <c r="D1040" s="116" t="s">
        <v>437</v>
      </c>
      <c r="E1040" s="116" t="s">
        <v>1991</v>
      </c>
      <c r="F1040" s="117">
        <v>100</v>
      </c>
      <c r="G1040" s="117">
        <v>100.0078</v>
      </c>
      <c r="H1040" s="117">
        <v>0.02</v>
      </c>
      <c r="I1040" s="114">
        <v>2995</v>
      </c>
      <c r="J1040" s="116" t="s">
        <v>263</v>
      </c>
    </row>
    <row r="1041" spans="1:10" x14ac:dyDescent="0.25">
      <c r="A1041" s="114">
        <v>1038</v>
      </c>
      <c r="B1041" s="115" t="s">
        <v>2237</v>
      </c>
      <c r="C1041" s="116" t="s">
        <v>2238</v>
      </c>
      <c r="D1041" s="116" t="s">
        <v>437</v>
      </c>
      <c r="E1041" s="116" t="s">
        <v>1991</v>
      </c>
      <c r="F1041" s="117">
        <v>93.495326025988874</v>
      </c>
      <c r="G1041" s="117">
        <v>99.814726025988875</v>
      </c>
      <c r="H1041" s="117">
        <v>19.670000000000002</v>
      </c>
      <c r="I1041" s="114">
        <v>3475</v>
      </c>
      <c r="J1041" s="116" t="s">
        <v>263</v>
      </c>
    </row>
    <row r="1042" spans="1:10" x14ac:dyDescent="0.25">
      <c r="A1042" s="114">
        <v>1039</v>
      </c>
      <c r="B1042" s="115" t="s">
        <v>2294</v>
      </c>
      <c r="C1042" s="116" t="s">
        <v>2295</v>
      </c>
      <c r="D1042" s="116" t="s">
        <v>437</v>
      </c>
      <c r="E1042" s="116" t="s">
        <v>1991</v>
      </c>
      <c r="F1042" s="117">
        <v>96.473388500954783</v>
      </c>
      <c r="G1042" s="117">
        <v>101.51338850095478</v>
      </c>
      <c r="H1042" s="117">
        <v>19.66</v>
      </c>
      <c r="I1042" s="114">
        <v>3504</v>
      </c>
      <c r="J1042" s="116" t="s">
        <v>263</v>
      </c>
    </row>
    <row r="1043" spans="1:10" x14ac:dyDescent="0.25">
      <c r="A1043" s="114">
        <v>1040</v>
      </c>
      <c r="B1043" s="115" t="s">
        <v>2322</v>
      </c>
      <c r="C1043" s="116" t="s">
        <v>2323</v>
      </c>
      <c r="D1043" s="116" t="s">
        <v>437</v>
      </c>
      <c r="E1043" s="116" t="s">
        <v>1991</v>
      </c>
      <c r="F1043" s="117">
        <v>96.43662793730698</v>
      </c>
      <c r="G1043" s="117">
        <v>101.26662793730698</v>
      </c>
      <c r="H1043" s="117">
        <v>19.670000000000002</v>
      </c>
      <c r="I1043" s="114">
        <v>3508</v>
      </c>
      <c r="J1043" s="116" t="s">
        <v>263</v>
      </c>
    </row>
    <row r="1044" spans="1:10" x14ac:dyDescent="0.25">
      <c r="A1044" s="114">
        <v>1041</v>
      </c>
      <c r="B1044" s="115" t="s">
        <v>2382</v>
      </c>
      <c r="C1044" s="116" t="s">
        <v>2383</v>
      </c>
      <c r="D1044" s="116" t="s">
        <v>437</v>
      </c>
      <c r="E1044" s="116" t="s">
        <v>1991</v>
      </c>
      <c r="F1044" s="117">
        <v>96.517299493850786</v>
      </c>
      <c r="G1044" s="117">
        <v>100.13979949385079</v>
      </c>
      <c r="H1044" s="117">
        <v>19.670000000000002</v>
      </c>
      <c r="I1044" s="114">
        <v>3531</v>
      </c>
      <c r="J1044" s="116" t="s">
        <v>263</v>
      </c>
    </row>
    <row r="1045" spans="1:10" x14ac:dyDescent="0.25">
      <c r="A1045" s="114">
        <v>1042</v>
      </c>
      <c r="B1045" s="115" t="s">
        <v>2507</v>
      </c>
      <c r="C1045" s="116" t="s">
        <v>2508</v>
      </c>
      <c r="D1045" s="116" t="s">
        <v>437</v>
      </c>
      <c r="E1045" s="116" t="s">
        <v>1991</v>
      </c>
      <c r="F1045" s="117">
        <v>96.661158866675223</v>
      </c>
      <c r="G1045" s="117">
        <v>98.498658866675214</v>
      </c>
      <c r="H1045" s="117">
        <v>19.66</v>
      </c>
      <c r="I1045" s="114">
        <v>3565</v>
      </c>
      <c r="J1045" s="116" t="s">
        <v>263</v>
      </c>
    </row>
    <row r="1046" spans="1:10" x14ac:dyDescent="0.25">
      <c r="A1046" s="114">
        <v>1043</v>
      </c>
      <c r="B1046" s="115" t="s">
        <v>1798</v>
      </c>
      <c r="C1046" s="116" t="s">
        <v>1799</v>
      </c>
      <c r="D1046" s="116" t="s">
        <v>427</v>
      </c>
      <c r="E1046" s="116" t="s">
        <v>1800</v>
      </c>
      <c r="F1046" s="117">
        <v>0.01</v>
      </c>
      <c r="G1046" s="117">
        <v>0.01</v>
      </c>
      <c r="H1046" s="117">
        <v>0</v>
      </c>
      <c r="I1046" s="114">
        <v>0</v>
      </c>
      <c r="J1046" s="116" t="s">
        <v>232</v>
      </c>
    </row>
    <row r="1047" spans="1:10" x14ac:dyDescent="0.25">
      <c r="A1047" s="114">
        <v>1044</v>
      </c>
      <c r="B1047" s="115" t="s">
        <v>1801</v>
      </c>
      <c r="C1047" s="116" t="s">
        <v>1802</v>
      </c>
      <c r="D1047" s="116" t="s">
        <v>427</v>
      </c>
      <c r="E1047" s="116" t="s">
        <v>1800</v>
      </c>
      <c r="F1047" s="117">
        <v>28000</v>
      </c>
      <c r="G1047" s="117">
        <v>28000</v>
      </c>
      <c r="H1047" s="117">
        <v>0</v>
      </c>
      <c r="I1047" s="114">
        <v>0</v>
      </c>
      <c r="J1047" s="116" t="s">
        <v>232</v>
      </c>
    </row>
    <row r="1048" spans="1:10" x14ac:dyDescent="0.25">
      <c r="A1048" s="114">
        <v>1045</v>
      </c>
      <c r="B1048" s="115" t="s">
        <v>2094</v>
      </c>
      <c r="C1048" s="116" t="s">
        <v>2095</v>
      </c>
      <c r="D1048" s="116" t="s">
        <v>437</v>
      </c>
      <c r="E1048" s="116" t="s">
        <v>2096</v>
      </c>
      <c r="F1048" s="117">
        <v>97.206999999999994</v>
      </c>
      <c r="G1048" s="117">
        <v>97.2667</v>
      </c>
      <c r="H1048" s="117">
        <v>23</v>
      </c>
      <c r="I1048" s="114">
        <v>899</v>
      </c>
      <c r="J1048" s="116" t="s">
        <v>263</v>
      </c>
    </row>
    <row r="1049" spans="1:10" x14ac:dyDescent="0.25">
      <c r="A1049" s="114">
        <v>1046</v>
      </c>
      <c r="B1049" s="115" t="s">
        <v>2081</v>
      </c>
      <c r="C1049" s="116" t="s">
        <v>2082</v>
      </c>
      <c r="D1049" s="116" t="s">
        <v>437</v>
      </c>
      <c r="E1049" s="116" t="s">
        <v>1803</v>
      </c>
      <c r="F1049" s="117">
        <v>100</v>
      </c>
      <c r="G1049" s="117">
        <v>100.0078</v>
      </c>
      <c r="H1049" s="117">
        <v>0.35</v>
      </c>
      <c r="I1049" s="114">
        <v>532</v>
      </c>
      <c r="J1049" s="116" t="s">
        <v>263</v>
      </c>
    </row>
    <row r="1050" spans="1:10" x14ac:dyDescent="0.25">
      <c r="A1050" s="114">
        <v>1047</v>
      </c>
      <c r="B1050" s="115" t="s">
        <v>1804</v>
      </c>
      <c r="C1050" s="116" t="s">
        <v>1805</v>
      </c>
      <c r="D1050" s="116" t="s">
        <v>437</v>
      </c>
      <c r="E1050" s="116" t="s">
        <v>1803</v>
      </c>
      <c r="F1050" s="117">
        <v>100</v>
      </c>
      <c r="G1050" s="117">
        <v>100.00920000000001</v>
      </c>
      <c r="H1050" s="117">
        <v>0.02</v>
      </c>
      <c r="I1050" s="114">
        <v>2995</v>
      </c>
      <c r="J1050" s="116" t="s">
        <v>263</v>
      </c>
    </row>
    <row r="1051" spans="1:10" x14ac:dyDescent="0.25">
      <c r="A1051" s="114">
        <v>1048</v>
      </c>
      <c r="B1051" s="115" t="s">
        <v>1806</v>
      </c>
      <c r="C1051" s="116" t="s">
        <v>1807</v>
      </c>
      <c r="D1051" s="116" t="s">
        <v>437</v>
      </c>
      <c r="E1051" s="116" t="s">
        <v>1803</v>
      </c>
      <c r="F1051" s="117">
        <v>100</v>
      </c>
      <c r="G1051" s="117">
        <v>100.00960000000001</v>
      </c>
      <c r="H1051" s="117">
        <v>0.02</v>
      </c>
      <c r="I1051" s="114">
        <v>2995</v>
      </c>
      <c r="J1051" s="116" t="s">
        <v>263</v>
      </c>
    </row>
    <row r="1052" spans="1:10" x14ac:dyDescent="0.25">
      <c r="A1052" s="114">
        <v>1049</v>
      </c>
      <c r="B1052" s="115" t="s">
        <v>1808</v>
      </c>
      <c r="C1052" s="116" t="s">
        <v>1809</v>
      </c>
      <c r="D1052" s="116" t="s">
        <v>437</v>
      </c>
      <c r="E1052" s="116" t="s">
        <v>1803</v>
      </c>
      <c r="F1052" s="117">
        <v>100</v>
      </c>
      <c r="G1052" s="117">
        <v>102.7111</v>
      </c>
      <c r="H1052" s="117">
        <v>6.08</v>
      </c>
      <c r="I1052" s="114">
        <v>1610</v>
      </c>
      <c r="J1052" s="116" t="s">
        <v>263</v>
      </c>
    </row>
    <row r="1053" spans="1:10" x14ac:dyDescent="0.25">
      <c r="A1053" s="114">
        <v>1050</v>
      </c>
      <c r="B1053" s="115" t="s">
        <v>1810</v>
      </c>
      <c r="C1053" s="116" t="s">
        <v>1811</v>
      </c>
      <c r="D1053" s="116" t="s">
        <v>437</v>
      </c>
      <c r="E1053" s="116" t="s">
        <v>1803</v>
      </c>
      <c r="F1053" s="117">
        <v>100</v>
      </c>
      <c r="G1053" s="117">
        <v>100.74939999999999</v>
      </c>
      <c r="H1053" s="117">
        <v>7.08</v>
      </c>
      <c r="I1053" s="114">
        <v>2092</v>
      </c>
      <c r="J1053" s="116" t="s">
        <v>263</v>
      </c>
    </row>
    <row r="1054" spans="1:10" x14ac:dyDescent="0.25">
      <c r="A1054" s="114">
        <v>1051</v>
      </c>
      <c r="B1054" s="115" t="s">
        <v>2176</v>
      </c>
      <c r="C1054" s="116" t="s">
        <v>2177</v>
      </c>
      <c r="D1054" s="116" t="s">
        <v>437</v>
      </c>
      <c r="E1054" s="116" t="s">
        <v>1803</v>
      </c>
      <c r="F1054" s="117">
        <v>93.522983255825835</v>
      </c>
      <c r="G1054" s="117">
        <v>100.44908325582584</v>
      </c>
      <c r="H1054" s="117">
        <v>19.66</v>
      </c>
      <c r="I1054" s="114">
        <v>3463</v>
      </c>
      <c r="J1054" s="116" t="s">
        <v>263</v>
      </c>
    </row>
    <row r="1055" spans="1:10" x14ac:dyDescent="0.25">
      <c r="A1055" s="114">
        <v>1052</v>
      </c>
      <c r="B1055" s="115" t="s">
        <v>2239</v>
      </c>
      <c r="C1055" s="116" t="s">
        <v>2240</v>
      </c>
      <c r="D1055" s="116" t="s">
        <v>437</v>
      </c>
      <c r="E1055" s="116" t="s">
        <v>1803</v>
      </c>
      <c r="F1055" s="117">
        <v>93.495326025988874</v>
      </c>
      <c r="G1055" s="117">
        <v>99.814726025988875</v>
      </c>
      <c r="H1055" s="117">
        <v>19.670000000000002</v>
      </c>
      <c r="I1055" s="114">
        <v>3475</v>
      </c>
      <c r="J1055" s="116" t="s">
        <v>263</v>
      </c>
    </row>
    <row r="1056" spans="1:10" x14ac:dyDescent="0.25">
      <c r="A1056" s="114">
        <v>1053</v>
      </c>
      <c r="B1056" s="115" t="s">
        <v>2296</v>
      </c>
      <c r="C1056" s="116" t="s">
        <v>2297</v>
      </c>
      <c r="D1056" s="116" t="s">
        <v>437</v>
      </c>
      <c r="E1056" s="116" t="s">
        <v>1803</v>
      </c>
      <c r="F1056" s="117">
        <v>96.473388500954783</v>
      </c>
      <c r="G1056" s="117">
        <v>101.51338850095478</v>
      </c>
      <c r="H1056" s="117">
        <v>19.66</v>
      </c>
      <c r="I1056" s="114">
        <v>3504</v>
      </c>
      <c r="J1056" s="116" t="s">
        <v>263</v>
      </c>
    </row>
    <row r="1057" spans="1:10" x14ac:dyDescent="0.25">
      <c r="A1057" s="114">
        <v>1054</v>
      </c>
      <c r="B1057" s="115" t="s">
        <v>2298</v>
      </c>
      <c r="C1057" s="116" t="s">
        <v>2299</v>
      </c>
      <c r="D1057" s="116" t="s">
        <v>437</v>
      </c>
      <c r="E1057" s="116" t="s">
        <v>1803</v>
      </c>
      <c r="F1057" s="117">
        <v>96.473388500954783</v>
      </c>
      <c r="G1057" s="117">
        <v>101.51338850095478</v>
      </c>
      <c r="H1057" s="117">
        <v>19.66</v>
      </c>
      <c r="I1057" s="114">
        <v>3504</v>
      </c>
      <c r="J1057" s="116" t="s">
        <v>263</v>
      </c>
    </row>
    <row r="1058" spans="1:10" x14ac:dyDescent="0.25">
      <c r="A1058" s="114">
        <v>1055</v>
      </c>
      <c r="B1058" s="115" t="s">
        <v>2384</v>
      </c>
      <c r="C1058" s="116" t="s">
        <v>2385</v>
      </c>
      <c r="D1058" s="116" t="s">
        <v>437</v>
      </c>
      <c r="E1058" s="116" t="s">
        <v>1803</v>
      </c>
      <c r="F1058" s="117">
        <v>96.517299493850786</v>
      </c>
      <c r="G1058" s="117">
        <v>100.13979949385079</v>
      </c>
      <c r="H1058" s="117">
        <v>19.670000000000002</v>
      </c>
      <c r="I1058" s="114">
        <v>3531</v>
      </c>
      <c r="J1058" s="116" t="s">
        <v>263</v>
      </c>
    </row>
    <row r="1059" spans="1:10" x14ac:dyDescent="0.25">
      <c r="A1059" s="114">
        <v>1056</v>
      </c>
      <c r="B1059" s="115" t="s">
        <v>2386</v>
      </c>
      <c r="C1059" s="116" t="s">
        <v>2387</v>
      </c>
      <c r="D1059" s="116" t="s">
        <v>437</v>
      </c>
      <c r="E1059" s="116" t="s">
        <v>1803</v>
      </c>
      <c r="F1059" s="117">
        <v>96.517299493850786</v>
      </c>
      <c r="G1059" s="117">
        <v>100.13979949385079</v>
      </c>
      <c r="H1059" s="117">
        <v>19.670000000000002</v>
      </c>
      <c r="I1059" s="114">
        <v>3531</v>
      </c>
      <c r="J1059" s="116" t="s">
        <v>263</v>
      </c>
    </row>
    <row r="1060" spans="1:10" x14ac:dyDescent="0.25">
      <c r="A1060" s="114">
        <v>1057</v>
      </c>
      <c r="B1060" s="115" t="s">
        <v>1812</v>
      </c>
      <c r="C1060" s="116" t="s">
        <v>1813</v>
      </c>
      <c r="D1060" s="116" t="s">
        <v>437</v>
      </c>
      <c r="E1060" s="116" t="s">
        <v>1803</v>
      </c>
      <c r="F1060" s="117">
        <v>100</v>
      </c>
      <c r="G1060" s="117">
        <v>101.88079999999999</v>
      </c>
      <c r="H1060" s="117">
        <v>6.08</v>
      </c>
      <c r="I1060" s="114">
        <v>2019</v>
      </c>
      <c r="J1060" s="116" t="s">
        <v>263</v>
      </c>
    </row>
    <row r="1061" spans="1:10" x14ac:dyDescent="0.25">
      <c r="A1061" s="114">
        <v>1058</v>
      </c>
      <c r="B1061" s="115" t="s">
        <v>1814</v>
      </c>
      <c r="C1061" s="116" t="s">
        <v>1815</v>
      </c>
      <c r="D1061" s="116" t="s">
        <v>437</v>
      </c>
      <c r="E1061" s="116" t="s">
        <v>1803</v>
      </c>
      <c r="F1061" s="117">
        <v>100</v>
      </c>
      <c r="G1061" s="117">
        <v>100.7286</v>
      </c>
      <c r="H1061" s="117">
        <v>6.09</v>
      </c>
      <c r="I1061" s="114">
        <v>2447</v>
      </c>
      <c r="J1061" s="116" t="s">
        <v>263</v>
      </c>
    </row>
    <row r="1062" spans="1:10" x14ac:dyDescent="0.25">
      <c r="A1062" s="114">
        <v>1059</v>
      </c>
      <c r="B1062" s="115" t="s">
        <v>1816</v>
      </c>
      <c r="C1062" s="116" t="s">
        <v>1817</v>
      </c>
      <c r="D1062" s="116" t="s">
        <v>437</v>
      </c>
      <c r="E1062" s="116" t="s">
        <v>1803</v>
      </c>
      <c r="F1062" s="117">
        <v>100</v>
      </c>
      <c r="G1062" s="117">
        <v>100.7286</v>
      </c>
      <c r="H1062" s="117">
        <v>6.09</v>
      </c>
      <c r="I1062" s="114">
        <v>2447</v>
      </c>
      <c r="J1062" s="116" t="s">
        <v>263</v>
      </c>
    </row>
    <row r="1063" spans="1:10" x14ac:dyDescent="0.25">
      <c r="A1063" s="114">
        <v>1060</v>
      </c>
      <c r="B1063" s="115" t="s">
        <v>1818</v>
      </c>
      <c r="C1063" s="116" t="s">
        <v>1819</v>
      </c>
      <c r="D1063" s="116" t="s">
        <v>437</v>
      </c>
      <c r="E1063" s="116" t="s">
        <v>1803</v>
      </c>
      <c r="F1063" s="117">
        <v>100</v>
      </c>
      <c r="G1063" s="117">
        <v>105.69329999999999</v>
      </c>
      <c r="H1063" s="117">
        <v>6.09</v>
      </c>
      <c r="I1063" s="114">
        <v>2514</v>
      </c>
      <c r="J1063" s="116" t="s">
        <v>263</v>
      </c>
    </row>
    <row r="1064" spans="1:10" x14ac:dyDescent="0.25">
      <c r="A1064" s="114">
        <v>1061</v>
      </c>
      <c r="B1064" s="115" t="s">
        <v>1820</v>
      </c>
      <c r="C1064" s="116" t="s">
        <v>1821</v>
      </c>
      <c r="D1064" s="116" t="s">
        <v>427</v>
      </c>
      <c r="E1064" s="116" t="s">
        <v>1822</v>
      </c>
      <c r="F1064" s="117">
        <v>20681.440849999999</v>
      </c>
      <c r="G1064" s="117">
        <v>20681.440849999999</v>
      </c>
      <c r="H1064" s="117">
        <v>0</v>
      </c>
      <c r="I1064" s="114">
        <v>0</v>
      </c>
      <c r="J1064" s="116" t="s">
        <v>232</v>
      </c>
    </row>
    <row r="1065" spans="1:10" x14ac:dyDescent="0.25">
      <c r="A1065" s="114">
        <v>1062</v>
      </c>
      <c r="B1065" s="115" t="s">
        <v>1823</v>
      </c>
      <c r="C1065" s="116" t="s">
        <v>1824</v>
      </c>
      <c r="D1065" s="116" t="s">
        <v>730</v>
      </c>
      <c r="E1065" s="116" t="s">
        <v>1825</v>
      </c>
      <c r="F1065" s="117">
        <v>39785.975449999998</v>
      </c>
      <c r="G1065" s="117">
        <v>39785.975449999998</v>
      </c>
      <c r="H1065" s="117">
        <v>0</v>
      </c>
      <c r="I1065" s="114">
        <v>0</v>
      </c>
      <c r="J1065" s="116" t="s">
        <v>232</v>
      </c>
    </row>
    <row r="1066" spans="1:10" x14ac:dyDescent="0.25">
      <c r="A1066" s="114">
        <v>1063</v>
      </c>
      <c r="B1066" s="115" t="s">
        <v>1826</v>
      </c>
      <c r="C1066" s="116" t="s">
        <v>1827</v>
      </c>
      <c r="D1066" s="116" t="s">
        <v>730</v>
      </c>
      <c r="E1066" s="116" t="s">
        <v>1825</v>
      </c>
      <c r="F1066" s="117">
        <v>44095.344850000001</v>
      </c>
      <c r="G1066" s="117">
        <v>44095.344850000001</v>
      </c>
      <c r="H1066" s="117">
        <v>0</v>
      </c>
      <c r="I1066" s="114">
        <v>0</v>
      </c>
      <c r="J1066" s="116" t="s">
        <v>232</v>
      </c>
    </row>
    <row r="1067" spans="1:10" x14ac:dyDescent="0.25">
      <c r="A1067" s="114">
        <v>1064</v>
      </c>
      <c r="B1067" s="115" t="s">
        <v>1828</v>
      </c>
      <c r="C1067" s="116" t="s">
        <v>1829</v>
      </c>
      <c r="D1067" s="116" t="s">
        <v>427</v>
      </c>
      <c r="E1067" s="116" t="s">
        <v>1830</v>
      </c>
      <c r="F1067" s="117">
        <v>59571.733549999997</v>
      </c>
      <c r="G1067" s="117">
        <v>59571.733549999997</v>
      </c>
      <c r="H1067" s="117">
        <v>0</v>
      </c>
      <c r="I1067" s="114">
        <v>0</v>
      </c>
      <c r="J1067" s="116" t="s">
        <v>232</v>
      </c>
    </row>
    <row r="1068" spans="1:10" x14ac:dyDescent="0.25">
      <c r="A1068" s="114">
        <v>1065</v>
      </c>
      <c r="B1068" s="115" t="s">
        <v>1831</v>
      </c>
      <c r="C1068" s="116" t="s">
        <v>1832</v>
      </c>
      <c r="D1068" s="116" t="s">
        <v>427</v>
      </c>
      <c r="E1068" s="116" t="s">
        <v>1833</v>
      </c>
      <c r="F1068" s="117">
        <v>1000</v>
      </c>
      <c r="G1068" s="117">
        <v>1000</v>
      </c>
      <c r="H1068" s="117">
        <v>0</v>
      </c>
      <c r="I1068" s="114">
        <v>0</v>
      </c>
      <c r="J1068" s="116" t="s">
        <v>232</v>
      </c>
    </row>
    <row r="1069" spans="1:10" x14ac:dyDescent="0.25">
      <c r="A1069" s="114">
        <v>1066</v>
      </c>
      <c r="B1069" s="115" t="s">
        <v>1834</v>
      </c>
      <c r="C1069" s="116" t="s">
        <v>1835</v>
      </c>
      <c r="D1069" s="116" t="s">
        <v>427</v>
      </c>
      <c r="E1069" s="116" t="s">
        <v>1836</v>
      </c>
      <c r="F1069" s="117">
        <v>0.01</v>
      </c>
      <c r="G1069" s="117">
        <v>0.01</v>
      </c>
      <c r="H1069" s="117">
        <v>0</v>
      </c>
      <c r="I1069" s="114">
        <v>2720</v>
      </c>
      <c r="J1069" s="116" t="s">
        <v>232</v>
      </c>
    </row>
    <row r="1070" spans="1:10" x14ac:dyDescent="0.25">
      <c r="A1070" s="114">
        <v>1067</v>
      </c>
      <c r="B1070" s="115" t="s">
        <v>1837</v>
      </c>
      <c r="C1070" s="116" t="s">
        <v>1838</v>
      </c>
      <c r="D1070" s="116" t="s">
        <v>427</v>
      </c>
      <c r="E1070" s="116" t="s">
        <v>1836</v>
      </c>
      <c r="F1070" s="117">
        <v>0.01</v>
      </c>
      <c r="G1070" s="117">
        <v>0.01</v>
      </c>
      <c r="H1070" s="117">
        <v>0</v>
      </c>
      <c r="I1070" s="114">
        <v>2559</v>
      </c>
      <c r="J1070" s="116" t="s">
        <v>232</v>
      </c>
    </row>
    <row r="1071" spans="1:10" x14ac:dyDescent="0.25">
      <c r="A1071" s="114">
        <v>1068</v>
      </c>
      <c r="B1071" s="115" t="s">
        <v>1839</v>
      </c>
      <c r="C1071" s="116" t="s">
        <v>1840</v>
      </c>
      <c r="D1071" s="116" t="s">
        <v>437</v>
      </c>
      <c r="E1071" s="116" t="s">
        <v>1841</v>
      </c>
      <c r="F1071" s="117">
        <v>100</v>
      </c>
      <c r="G1071" s="117">
        <v>101.6056</v>
      </c>
      <c r="H1071" s="117">
        <v>4.24</v>
      </c>
      <c r="I1071" s="114">
        <v>164</v>
      </c>
      <c r="J1071" s="116" t="s">
        <v>263</v>
      </c>
    </row>
    <row r="1072" spans="1:10" x14ac:dyDescent="0.25">
      <c r="A1072" s="114">
        <v>1069</v>
      </c>
      <c r="B1072" s="115" t="s">
        <v>2536</v>
      </c>
      <c r="C1072" s="116" t="s">
        <v>2537</v>
      </c>
      <c r="D1072" s="116" t="s">
        <v>437</v>
      </c>
      <c r="E1072" s="116" t="s">
        <v>1841</v>
      </c>
      <c r="F1072" s="117">
        <v>100</v>
      </c>
      <c r="G1072" s="117">
        <v>100.5244</v>
      </c>
      <c r="H1072" s="117">
        <v>8.93</v>
      </c>
      <c r="I1072" s="114">
        <v>639</v>
      </c>
      <c r="J1072" s="116" t="s">
        <v>263</v>
      </c>
    </row>
    <row r="1073" spans="1:10" x14ac:dyDescent="0.25">
      <c r="A1073" s="114">
        <v>1070</v>
      </c>
      <c r="B1073" s="115" t="s">
        <v>1842</v>
      </c>
      <c r="C1073" s="116" t="s">
        <v>1843</v>
      </c>
      <c r="D1073" s="116" t="s">
        <v>437</v>
      </c>
      <c r="E1073" s="116" t="s">
        <v>1841</v>
      </c>
      <c r="F1073" s="117">
        <v>100</v>
      </c>
      <c r="G1073" s="117">
        <v>100.0175</v>
      </c>
      <c r="H1073" s="117">
        <v>0.35</v>
      </c>
      <c r="I1073" s="114">
        <v>162</v>
      </c>
      <c r="J1073" s="116" t="s">
        <v>263</v>
      </c>
    </row>
    <row r="1074" spans="1:10" x14ac:dyDescent="0.25">
      <c r="A1074" s="114">
        <v>1071</v>
      </c>
      <c r="B1074" s="115" t="s">
        <v>2011</v>
      </c>
      <c r="C1074" s="116" t="s">
        <v>2012</v>
      </c>
      <c r="D1074" s="116" t="s">
        <v>437</v>
      </c>
      <c r="E1074" s="116" t="s">
        <v>1841</v>
      </c>
      <c r="F1074" s="117">
        <v>100</v>
      </c>
      <c r="G1074" s="117">
        <v>100.0457</v>
      </c>
      <c r="H1074" s="117">
        <v>0.35</v>
      </c>
      <c r="I1074" s="114">
        <v>493</v>
      </c>
      <c r="J1074" s="116" t="s">
        <v>263</v>
      </c>
    </row>
    <row r="1075" spans="1:10" x14ac:dyDescent="0.25">
      <c r="A1075" s="114">
        <v>1072</v>
      </c>
      <c r="B1075" s="115" t="s">
        <v>2166</v>
      </c>
      <c r="C1075" s="116" t="s">
        <v>2167</v>
      </c>
      <c r="D1075" s="116" t="s">
        <v>437</v>
      </c>
      <c r="E1075" s="116" t="s">
        <v>1841</v>
      </c>
      <c r="F1075" s="117">
        <v>100</v>
      </c>
      <c r="G1075" s="117">
        <v>100.13509999999999</v>
      </c>
      <c r="H1075" s="117">
        <v>0.35</v>
      </c>
      <c r="I1075" s="114">
        <v>581</v>
      </c>
      <c r="J1075" s="116" t="s">
        <v>263</v>
      </c>
    </row>
    <row r="1076" spans="1:10" x14ac:dyDescent="0.25">
      <c r="A1076" s="114">
        <v>1073</v>
      </c>
      <c r="B1076" s="115" t="s">
        <v>1844</v>
      </c>
      <c r="C1076" s="116" t="s">
        <v>1845</v>
      </c>
      <c r="D1076" s="116" t="s">
        <v>437</v>
      </c>
      <c r="E1076" s="116" t="s">
        <v>1841</v>
      </c>
      <c r="F1076" s="117">
        <v>100</v>
      </c>
      <c r="G1076" s="117">
        <v>100.00920000000001</v>
      </c>
      <c r="H1076" s="117">
        <v>0.02</v>
      </c>
      <c r="I1076" s="114">
        <v>2995</v>
      </c>
      <c r="J1076" s="116" t="s">
        <v>263</v>
      </c>
    </row>
    <row r="1077" spans="1:10" x14ac:dyDescent="0.25">
      <c r="A1077" s="114">
        <v>1074</v>
      </c>
      <c r="B1077" s="115" t="s">
        <v>1846</v>
      </c>
      <c r="C1077" s="116" t="s">
        <v>1847</v>
      </c>
      <c r="D1077" s="116" t="s">
        <v>437</v>
      </c>
      <c r="E1077" s="116" t="s">
        <v>1841</v>
      </c>
      <c r="F1077" s="117">
        <v>100</v>
      </c>
      <c r="G1077" s="117">
        <v>102.7111</v>
      </c>
      <c r="H1077" s="117">
        <v>6.08</v>
      </c>
      <c r="I1077" s="114">
        <v>1610</v>
      </c>
      <c r="J1077" s="116" t="s">
        <v>263</v>
      </c>
    </row>
    <row r="1078" spans="1:10" x14ac:dyDescent="0.25">
      <c r="A1078" s="114">
        <v>1075</v>
      </c>
      <c r="B1078" s="115" t="s">
        <v>1848</v>
      </c>
      <c r="C1078" s="116" t="s">
        <v>1849</v>
      </c>
      <c r="D1078" s="116" t="s">
        <v>437</v>
      </c>
      <c r="E1078" s="116" t="s">
        <v>1841</v>
      </c>
      <c r="F1078" s="117">
        <v>100</v>
      </c>
      <c r="G1078" s="117">
        <v>100.74939999999999</v>
      </c>
      <c r="H1078" s="117">
        <v>7.08</v>
      </c>
      <c r="I1078" s="114">
        <v>2092</v>
      </c>
      <c r="J1078" s="116" t="s">
        <v>263</v>
      </c>
    </row>
    <row r="1079" spans="1:10" x14ac:dyDescent="0.25">
      <c r="A1079" s="114">
        <v>1076</v>
      </c>
      <c r="B1079" s="115" t="s">
        <v>2178</v>
      </c>
      <c r="C1079" s="116" t="s">
        <v>2179</v>
      </c>
      <c r="D1079" s="116" t="s">
        <v>437</v>
      </c>
      <c r="E1079" s="116" t="s">
        <v>1841</v>
      </c>
      <c r="F1079" s="117">
        <v>93.522983255825835</v>
      </c>
      <c r="G1079" s="117">
        <v>100.44908325582584</v>
      </c>
      <c r="H1079" s="117">
        <v>19.66</v>
      </c>
      <c r="I1079" s="114">
        <v>3463</v>
      </c>
      <c r="J1079" s="116" t="s">
        <v>263</v>
      </c>
    </row>
    <row r="1080" spans="1:10" x14ac:dyDescent="0.25">
      <c r="A1080" s="114">
        <v>1077</v>
      </c>
      <c r="B1080" s="115" t="s">
        <v>2300</v>
      </c>
      <c r="C1080" s="116" t="s">
        <v>2301</v>
      </c>
      <c r="D1080" s="116" t="s">
        <v>437</v>
      </c>
      <c r="E1080" s="116" t="s">
        <v>1841</v>
      </c>
      <c r="F1080" s="117">
        <v>96.473388500954783</v>
      </c>
      <c r="G1080" s="117">
        <v>101.51338850095478</v>
      </c>
      <c r="H1080" s="117">
        <v>19.66</v>
      </c>
      <c r="I1080" s="114">
        <v>3504</v>
      </c>
      <c r="J1080" s="116" t="s">
        <v>263</v>
      </c>
    </row>
    <row r="1081" spans="1:10" x14ac:dyDescent="0.25">
      <c r="A1081" s="114">
        <v>1078</v>
      </c>
      <c r="B1081" s="115" t="s">
        <v>2509</v>
      </c>
      <c r="C1081" s="116" t="s">
        <v>2510</v>
      </c>
      <c r="D1081" s="116" t="s">
        <v>437</v>
      </c>
      <c r="E1081" s="116" t="s">
        <v>1841</v>
      </c>
      <c r="F1081" s="117">
        <v>102.11679474634693</v>
      </c>
      <c r="G1081" s="117">
        <v>104.08069474634692</v>
      </c>
      <c r="H1081" s="117">
        <v>19.66</v>
      </c>
      <c r="I1081" s="114">
        <v>3565</v>
      </c>
      <c r="J1081" s="116" t="s">
        <v>263</v>
      </c>
    </row>
    <row r="1082" spans="1:10" x14ac:dyDescent="0.25">
      <c r="A1082" s="114">
        <v>1079</v>
      </c>
      <c r="B1082" s="115" t="s">
        <v>1850</v>
      </c>
      <c r="C1082" s="116" t="s">
        <v>1851</v>
      </c>
      <c r="D1082" s="116" t="s">
        <v>437</v>
      </c>
      <c r="E1082" s="116" t="s">
        <v>1841</v>
      </c>
      <c r="F1082" s="117">
        <v>100</v>
      </c>
      <c r="G1082" s="117">
        <v>101.88079999999999</v>
      </c>
      <c r="H1082" s="117">
        <v>6.08</v>
      </c>
      <c r="I1082" s="114">
        <v>2019</v>
      </c>
      <c r="J1082" s="116" t="s">
        <v>263</v>
      </c>
    </row>
    <row r="1083" spans="1:10" x14ac:dyDescent="0.25">
      <c r="A1083" s="114">
        <v>1080</v>
      </c>
      <c r="B1083" s="115" t="s">
        <v>1852</v>
      </c>
      <c r="C1083" s="116" t="s">
        <v>1853</v>
      </c>
      <c r="D1083" s="116" t="s">
        <v>437</v>
      </c>
      <c r="E1083" s="116" t="s">
        <v>1841</v>
      </c>
      <c r="F1083" s="117">
        <v>100</v>
      </c>
      <c r="G1083" s="117">
        <v>100.7286</v>
      </c>
      <c r="H1083" s="117">
        <v>6.09</v>
      </c>
      <c r="I1083" s="114">
        <v>2447</v>
      </c>
      <c r="J1083" s="116" t="s">
        <v>263</v>
      </c>
    </row>
    <row r="1084" spans="1:10" x14ac:dyDescent="0.25">
      <c r="A1084" s="114">
        <v>1081</v>
      </c>
      <c r="B1084" s="115" t="s">
        <v>1854</v>
      </c>
      <c r="C1084" s="116" t="s">
        <v>1855</v>
      </c>
      <c r="D1084" s="116" t="s">
        <v>437</v>
      </c>
      <c r="E1084" s="116" t="s">
        <v>1841</v>
      </c>
      <c r="F1084" s="117">
        <v>100</v>
      </c>
      <c r="G1084" s="117">
        <v>100.7286</v>
      </c>
      <c r="H1084" s="117">
        <v>6.09</v>
      </c>
      <c r="I1084" s="114">
        <v>2447</v>
      </c>
      <c r="J1084" s="116" t="s">
        <v>263</v>
      </c>
    </row>
    <row r="1085" spans="1:10" x14ac:dyDescent="0.25">
      <c r="A1085" s="114">
        <v>1082</v>
      </c>
      <c r="B1085" s="115" t="s">
        <v>2331</v>
      </c>
      <c r="C1085" s="116" t="s">
        <v>2332</v>
      </c>
      <c r="D1085" s="116" t="s">
        <v>437</v>
      </c>
      <c r="E1085" s="116" t="s">
        <v>1841</v>
      </c>
      <c r="F1085" s="117">
        <v>96.458097806628345</v>
      </c>
      <c r="G1085" s="117">
        <v>101.28809780662834</v>
      </c>
      <c r="H1085" s="117">
        <v>19.579999999999998</v>
      </c>
      <c r="I1085" s="114">
        <v>5308</v>
      </c>
      <c r="J1085" s="116" t="s">
        <v>263</v>
      </c>
    </row>
  </sheetData>
  <conditionalFormatting sqref="A4:A1085">
    <cfRule type="expression" dxfId="5" priority="9" stopIfTrue="1">
      <formula>A4&lt;&gt;""</formula>
    </cfRule>
  </conditionalFormatting>
  <conditionalFormatting sqref="A5:A1085">
    <cfRule type="expression" dxfId="4" priority="10" stopIfTrue="1">
      <formula>С4&lt;&gt;""</formula>
    </cfRule>
  </conditionalFormatting>
  <conditionalFormatting sqref="F4:I1085">
    <cfRule type="expression" dxfId="3" priority="1" stopIfTrue="1">
      <formula>F4&lt;&gt;""</formula>
    </cfRule>
  </conditionalFormatting>
  <conditionalFormatting sqref="G4:G1085">
    <cfRule type="expression" dxfId="2" priority="4" stopIfTrue="1">
      <formula>G&lt;&gt;""</formula>
    </cfRule>
  </conditionalFormatting>
  <conditionalFormatting sqref="H4:H1085">
    <cfRule type="expression" dxfId="1" priority="6" stopIfTrue="1">
      <formula>H&lt;&gt;""</formula>
    </cfRule>
  </conditionalFormatting>
  <conditionalFormatting sqref="I4:I108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05.12.25</vt:lpstr>
      <vt:lpstr>Риск цены за 05.12.25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2025-12-08T07:28:56Z</dcterms:modified>
</cp:coreProperties>
</file>