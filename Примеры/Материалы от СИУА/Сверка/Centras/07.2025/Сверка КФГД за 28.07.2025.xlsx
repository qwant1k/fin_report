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7.2025\"/>
    </mc:Choice>
  </mc:AlternateContent>
  <xr:revisionPtr revIDLastSave="0" documentId="13_ncr:1_{E1D66BCF-5DBC-40C2-9E05-CC4C1B672F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28.07.25" sheetId="2" r:id="rId2"/>
    <sheet name="Риск цены за 28.07.25" sheetId="4" r:id="rId3"/>
  </sheets>
  <definedNames>
    <definedName name="_xlnm._FilterDatabase" localSheetId="1" hidden="1">'KASE за 28.07.25'!#REF!</definedName>
    <definedName name="_xlnm._FilterDatabase" localSheetId="0" hidden="1">ДУ!$A$65:$T$65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2" i="1" l="1"/>
  <c r="O74" i="1"/>
  <c r="O59" i="1"/>
  <c r="D62" i="1"/>
  <c r="M67" i="1"/>
  <c r="M68" i="1"/>
  <c r="L67" i="1"/>
  <c r="L68" i="1"/>
  <c r="L69" i="1"/>
  <c r="M69" i="1" s="1"/>
  <c r="L70" i="1"/>
  <c r="M70" i="1" s="1"/>
  <c r="L71" i="1"/>
  <c r="M71" i="1" s="1"/>
  <c r="L72" i="1"/>
  <c r="M72" i="1" s="1"/>
  <c r="J74" i="1"/>
  <c r="I74" i="1"/>
  <c r="C74" i="1"/>
  <c r="K53" i="1"/>
  <c r="K22" i="1"/>
  <c r="K21" i="1"/>
  <c r="K9" i="1"/>
  <c r="B92" i="1"/>
  <c r="B91" i="1"/>
  <c r="B93" i="1"/>
  <c r="B89" i="1"/>
  <c r="G80" i="1"/>
  <c r="L66" i="1" l="1"/>
  <c r="L74" i="1" s="1"/>
  <c r="J57" i="1"/>
  <c r="J58" i="1"/>
  <c r="I57" i="1"/>
  <c r="I58" i="1"/>
  <c r="D58" i="1"/>
  <c r="N58" i="1" s="1"/>
  <c r="O58" i="1" s="1"/>
  <c r="B87" i="1"/>
  <c r="D57" i="1"/>
  <c r="N57" i="1" s="1"/>
  <c r="O57" i="1" s="1"/>
  <c r="M66" i="1" l="1"/>
  <c r="M74" i="1" s="1"/>
  <c r="L57" i="1"/>
  <c r="L58" i="1"/>
  <c r="J20" i="1"/>
  <c r="J19" i="1"/>
  <c r="J18" i="1"/>
  <c r="J17" i="1"/>
  <c r="J16" i="1"/>
  <c r="I20" i="1"/>
  <c r="I19" i="1"/>
  <c r="I18" i="1"/>
  <c r="I16" i="1"/>
  <c r="I17" i="1"/>
  <c r="J51" i="1"/>
  <c r="J52" i="1"/>
  <c r="J53" i="1"/>
  <c r="J54" i="1"/>
  <c r="J55" i="1"/>
  <c r="J56" i="1"/>
  <c r="J50" i="1"/>
  <c r="I51" i="1"/>
  <c r="I52" i="1"/>
  <c r="I53" i="1"/>
  <c r="I54" i="1"/>
  <c r="I55" i="1"/>
  <c r="I56" i="1"/>
  <c r="I50" i="1"/>
  <c r="D53" i="1"/>
  <c r="D54" i="1"/>
  <c r="D55" i="1"/>
  <c r="D56" i="1"/>
  <c r="J15" i="1"/>
  <c r="J14" i="1"/>
  <c r="I15" i="1"/>
  <c r="I14" i="1"/>
  <c r="J37" i="1"/>
  <c r="I37" i="1"/>
  <c r="J36" i="1"/>
  <c r="I36" i="1"/>
  <c r="I25" i="1"/>
  <c r="J25" i="1"/>
  <c r="J24" i="1"/>
  <c r="I24" i="1"/>
  <c r="L56" i="1" l="1"/>
  <c r="N55" i="1"/>
  <c r="O55" i="1" s="1"/>
  <c r="L55" i="1"/>
  <c r="N54" i="1"/>
  <c r="L54" i="1"/>
  <c r="O54" i="1"/>
  <c r="L53" i="1"/>
  <c r="N56" i="1"/>
  <c r="O56" i="1" s="1"/>
  <c r="N53" i="1" l="1"/>
  <c r="O53" i="1" s="1"/>
  <c r="C9" i="1"/>
  <c r="C40" i="1"/>
  <c r="D52" i="1"/>
  <c r="L52" i="1" s="1"/>
  <c r="D50" i="1"/>
  <c r="L50" i="1" s="1"/>
  <c r="D51" i="1"/>
  <c r="N51" i="1" l="1"/>
  <c r="O51" i="1" s="1"/>
  <c r="L51" i="1"/>
  <c r="N52" i="1"/>
  <c r="O52" i="1" s="1"/>
  <c r="C16" i="1" l="1"/>
  <c r="D16" i="1" l="1"/>
  <c r="N16" i="1" s="1"/>
  <c r="I13" i="1"/>
  <c r="N50" i="1" l="1"/>
  <c r="O50" i="1" s="1"/>
  <c r="D49" i="1" l="1"/>
  <c r="L49" i="1" s="1"/>
  <c r="I44" i="1"/>
  <c r="J47" i="1"/>
  <c r="J48" i="1"/>
  <c r="I47" i="1"/>
  <c r="I48" i="1"/>
  <c r="D42" i="1"/>
  <c r="D43" i="1"/>
  <c r="D44" i="1"/>
  <c r="D45" i="1"/>
  <c r="D46" i="1"/>
  <c r="D48" i="1"/>
  <c r="D47" i="1"/>
  <c r="N47" i="1" s="1"/>
  <c r="O47" i="1" s="1"/>
  <c r="N48" i="1" l="1"/>
  <c r="O48" i="1" s="1"/>
  <c r="L48" i="1"/>
  <c r="B97" i="1"/>
  <c r="N49" i="1"/>
  <c r="O49" i="1" s="1"/>
  <c r="L47" i="1"/>
  <c r="N46" i="1"/>
  <c r="J46" i="1"/>
  <c r="I46" i="1"/>
  <c r="L46" i="1" s="1"/>
  <c r="J44" i="1"/>
  <c r="J45" i="1"/>
  <c r="O46" i="1" l="1"/>
  <c r="N45" i="1"/>
  <c r="O45" i="1" s="1"/>
  <c r="I45" i="1"/>
  <c r="L45" i="1" s="1"/>
  <c r="I43" i="1"/>
  <c r="J43" i="1"/>
  <c r="N44" i="1" l="1"/>
  <c r="O44" i="1" s="1"/>
  <c r="L44" i="1"/>
  <c r="N43" i="1" l="1"/>
  <c r="O43" i="1" s="1"/>
  <c r="L43" i="1" l="1"/>
  <c r="N42" i="1" l="1"/>
  <c r="O42" i="1" s="1"/>
  <c r="I42" i="1" l="1"/>
  <c r="L42" i="1" s="1"/>
  <c r="J42" i="1"/>
  <c r="N10" i="1" l="1"/>
  <c r="J33" i="1" l="1"/>
  <c r="I33" i="1"/>
  <c r="J29" i="1"/>
  <c r="I29" i="1"/>
  <c r="I7" i="1" l="1"/>
  <c r="J7" i="1"/>
  <c r="I8" i="1"/>
  <c r="J8" i="1"/>
  <c r="I9" i="1"/>
  <c r="J9" i="1"/>
  <c r="I10" i="1"/>
  <c r="J10" i="1"/>
  <c r="I11" i="1"/>
  <c r="J11" i="1"/>
  <c r="I12" i="1"/>
  <c r="J12" i="1"/>
  <c r="J13" i="1"/>
  <c r="I21" i="1"/>
  <c r="J21" i="1"/>
  <c r="I22" i="1"/>
  <c r="J22" i="1"/>
  <c r="I23" i="1"/>
  <c r="J23" i="1"/>
  <c r="I26" i="1"/>
  <c r="J26" i="1"/>
  <c r="I27" i="1"/>
  <c r="J27" i="1"/>
  <c r="I28" i="1"/>
  <c r="J28" i="1"/>
  <c r="I30" i="1"/>
  <c r="J30" i="1"/>
  <c r="I31" i="1"/>
  <c r="J31" i="1"/>
  <c r="I32" i="1"/>
  <c r="J32" i="1"/>
  <c r="I34" i="1"/>
  <c r="J34" i="1"/>
  <c r="I35" i="1"/>
  <c r="J35" i="1"/>
  <c r="I38" i="1"/>
  <c r="J38" i="1"/>
  <c r="I39" i="1"/>
  <c r="J39" i="1"/>
  <c r="I40" i="1"/>
  <c r="J40" i="1"/>
  <c r="I41" i="1"/>
  <c r="J41" i="1"/>
  <c r="J6" i="1"/>
  <c r="I6" i="1"/>
  <c r="D41" i="1" l="1"/>
  <c r="D6" i="1"/>
  <c r="C6" i="1"/>
  <c r="N41" i="1" l="1"/>
  <c r="O41" i="1" s="1"/>
  <c r="L41" i="1"/>
  <c r="H6" i="1"/>
  <c r="N6" i="1"/>
  <c r="D37" i="1"/>
  <c r="N37" i="1" s="1"/>
  <c r="O37" i="1" s="1"/>
  <c r="D20" i="1"/>
  <c r="N20" i="1" s="1"/>
  <c r="O20" i="1" s="1"/>
  <c r="D40" i="1"/>
  <c r="D13" i="1"/>
  <c r="N13" i="1" s="1"/>
  <c r="N40" i="1" l="1"/>
  <c r="O40" i="1" s="1"/>
  <c r="L40" i="1"/>
  <c r="O6" i="1"/>
  <c r="L37" i="1"/>
  <c r="L20" i="1"/>
  <c r="H13" i="1"/>
  <c r="O13" i="1"/>
  <c r="L13" i="1"/>
  <c r="D39" i="1"/>
  <c r="C8" i="1"/>
  <c r="L39" i="1" l="1"/>
  <c r="N39" i="1"/>
  <c r="O39" i="1" s="1"/>
  <c r="D38" i="1"/>
  <c r="D36" i="1"/>
  <c r="N36" i="1" s="1"/>
  <c r="O36" i="1" s="1"/>
  <c r="N38" i="1" l="1"/>
  <c r="O38" i="1" s="1"/>
  <c r="L38" i="1"/>
  <c r="L36" i="1"/>
  <c r="D19" i="1"/>
  <c r="N19" i="1" s="1"/>
  <c r="O19" i="1" s="1"/>
  <c r="C12" i="1"/>
  <c r="C35" i="1"/>
  <c r="D12" i="1" l="1"/>
  <c r="N12" i="1" s="1"/>
  <c r="L19" i="1"/>
  <c r="C34" i="1"/>
  <c r="C59" i="1" s="1"/>
  <c r="H12" i="1" l="1"/>
  <c r="D35" i="1"/>
  <c r="D34" i="1"/>
  <c r="H35" i="1" l="1"/>
  <c r="L35" i="1"/>
  <c r="N34" i="1"/>
  <c r="O34" i="1" s="1"/>
  <c r="H34" i="1"/>
  <c r="L34" i="1"/>
  <c r="N35" i="1"/>
  <c r="O35" i="1" s="1"/>
  <c r="L6" i="1" l="1"/>
  <c r="D8" i="1" l="1"/>
  <c r="N8" i="1" l="1"/>
  <c r="H8" i="1"/>
  <c r="D9" i="1"/>
  <c r="H9" i="1" s="1"/>
  <c r="H59" i="1" l="1"/>
  <c r="D33" i="1"/>
  <c r="N33" i="1" l="1"/>
  <c r="O33" i="1" s="1"/>
  <c r="L33" i="1"/>
  <c r="D25" i="1"/>
  <c r="N25" i="1" s="1"/>
  <c r="O25" i="1" s="1"/>
  <c r="L25" i="1" l="1"/>
  <c r="D32" i="1" l="1"/>
  <c r="N32" i="1" l="1"/>
  <c r="O32" i="1" s="1"/>
  <c r="L32" i="1"/>
  <c r="N9" i="1"/>
  <c r="O9" i="1" l="1"/>
  <c r="N18" i="1"/>
  <c r="O18" i="1" s="1"/>
  <c r="L18" i="1"/>
  <c r="D28" i="1" l="1"/>
  <c r="N28" i="1" s="1"/>
  <c r="O28" i="1" s="1"/>
  <c r="L28" i="1" l="1"/>
  <c r="D31" i="1" l="1"/>
  <c r="N31" i="1" s="1"/>
  <c r="O31" i="1" s="1"/>
  <c r="L8" i="1"/>
  <c r="L9" i="1"/>
  <c r="L12" i="1"/>
  <c r="L31" i="1" l="1"/>
  <c r="D30" i="1"/>
  <c r="N30" i="1" s="1"/>
  <c r="O30" i="1" s="1"/>
  <c r="L30" i="1" l="1"/>
  <c r="D29" i="1" l="1"/>
  <c r="L29" i="1" s="1"/>
  <c r="N29" i="1" l="1"/>
  <c r="O29" i="1" s="1"/>
  <c r="L16" i="1" l="1"/>
  <c r="N17" i="1" l="1"/>
  <c r="O17" i="1" s="1"/>
  <c r="L17" i="1"/>
  <c r="D27" i="1" l="1"/>
  <c r="N27" i="1" s="1"/>
  <c r="O27" i="1" s="1"/>
  <c r="L27" i="1" l="1"/>
  <c r="D24" i="1"/>
  <c r="N24" i="1" s="1"/>
  <c r="O24" i="1" s="1"/>
  <c r="D26" i="1"/>
  <c r="L24" i="1" l="1"/>
  <c r="N26" i="1"/>
  <c r="O26" i="1" s="1"/>
  <c r="L26" i="1"/>
  <c r="D23" i="1" l="1"/>
  <c r="L23" i="1" l="1"/>
  <c r="N23" i="1"/>
  <c r="O23" i="1" s="1"/>
  <c r="O16" i="1" l="1"/>
  <c r="D22" i="1"/>
  <c r="D21" i="1"/>
  <c r="D59" i="1" s="1"/>
  <c r="N21" i="1" l="1"/>
  <c r="O21" i="1" s="1"/>
  <c r="L22" i="1"/>
  <c r="N22" i="1"/>
  <c r="O22" i="1" s="1"/>
  <c r="L21" i="1"/>
  <c r="N7" i="1" l="1"/>
  <c r="O8" i="1"/>
  <c r="N11" i="1"/>
  <c r="N14" i="1"/>
  <c r="N15" i="1"/>
  <c r="O11" i="1" l="1"/>
  <c r="O14" i="1"/>
  <c r="O10" i="1"/>
  <c r="O7" i="1"/>
  <c r="O15" i="1"/>
  <c r="L15" i="1" l="1"/>
  <c r="L14" i="1"/>
  <c r="L11" i="1"/>
  <c r="L10" i="1"/>
  <c r="L7" i="1"/>
  <c r="O12" i="1"/>
  <c r="L59" i="1" l="1"/>
  <c r="M52" i="1" s="1"/>
  <c r="M51" i="1" l="1"/>
  <c r="M37" i="1"/>
  <c r="M23" i="1"/>
  <c r="M56" i="1"/>
  <c r="M42" i="1"/>
  <c r="M24" i="1"/>
  <c r="M6" i="1"/>
  <c r="M54" i="1"/>
  <c r="M40" i="1"/>
  <c r="M45" i="1"/>
  <c r="M35" i="1"/>
  <c r="M8" i="1"/>
  <c r="M25" i="1"/>
  <c r="M41" i="1"/>
  <c r="M34" i="1"/>
  <c r="M38" i="1"/>
  <c r="M33" i="1"/>
  <c r="M17" i="1"/>
  <c r="M16" i="1"/>
  <c r="M14" i="1"/>
  <c r="M39" i="1"/>
  <c r="M55" i="1"/>
  <c r="M29" i="1"/>
  <c r="M53" i="1"/>
  <c r="M7" i="1"/>
  <c r="M20" i="1"/>
  <c r="M46" i="1"/>
  <c r="M49" i="1"/>
  <c r="M19" i="1"/>
  <c r="M11" i="1"/>
  <c r="M32" i="1"/>
  <c r="M58" i="1"/>
  <c r="B82" i="1"/>
  <c r="M30" i="1"/>
  <c r="M44" i="1"/>
  <c r="M48" i="1"/>
  <c r="M47" i="1"/>
  <c r="M26" i="1"/>
  <c r="M43" i="1"/>
  <c r="M10" i="1"/>
  <c r="M22" i="1"/>
  <c r="M36" i="1"/>
  <c r="M28" i="1"/>
  <c r="M31" i="1"/>
  <c r="M9" i="1"/>
  <c r="M12" i="1"/>
  <c r="M18" i="1"/>
  <c r="M13" i="1"/>
  <c r="M50" i="1"/>
  <c r="M57" i="1"/>
  <c r="M15" i="1"/>
  <c r="M27" i="1"/>
  <c r="M21" i="1"/>
  <c r="K59" i="1"/>
  <c r="M59" i="1" l="1"/>
</calcChain>
</file>

<file path=xl/sharedStrings.xml><?xml version="1.0" encoding="utf-8"?>
<sst xmlns="http://schemas.openxmlformats.org/spreadsheetml/2006/main" count="6415" uniqueCount="2809">
  <si>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</si>
  <si>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</si>
  <si>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</si>
  <si>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</si>
  <si>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</si>
  <si>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</si>
  <si>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</si>
  <si>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</si>
  <si>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</si>
  <si>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</si>
  <si>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</si>
  <si>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</si>
  <si>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</si>
  <si>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</si>
  <si>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</si>
  <si>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</si>
  <si>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</si>
  <si>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</si>
  <si>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</si>
  <si>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</si>
  <si>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</si>
  <si>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</si>
  <si>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</si>
  <si>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</si>
  <si>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</si>
  <si>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</si>
  <si>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</si>
  <si>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</si>
  <si>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</si>
  <si>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</si>
  <si>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</si>
  <si>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</si>
  <si>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</si>
  <si>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</si>
  <si>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</si>
  <si>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</si>
  <si>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</si>
  <si>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</si>
  <si>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</si>
  <si>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</si>
  <si>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</si>
  <si>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</si>
  <si>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</si>
  <si>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</si>
  <si>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</si>
  <si>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</si>
  <si>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</si>
  <si>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</si>
  <si>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</si>
  <si>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</si>
  <si>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</si>
  <si>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</si>
  <si>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</si>
  <si>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</si>
  <si>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</si>
  <si>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HCBNb9</t>
  </si>
  <si>
    <t>KZ2C00009892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</si>
  <si>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</si>
  <si>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</si>
  <si>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</si>
  <si>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</si>
  <si>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</si>
  <si>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</si>
  <si>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</si>
  <si>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</si>
  <si>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</si>
  <si>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</si>
  <si>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</si>
  <si>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</si>
  <si>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</si>
  <si>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</si>
  <si>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</si>
  <si>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</si>
  <si>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</si>
  <si>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</si>
  <si>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</si>
  <si>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</si>
  <si>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</si>
  <si>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</si>
  <si>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</si>
  <si>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</si>
  <si>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</si>
  <si>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</si>
  <si>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</si>
  <si>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</si>
  <si>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</si>
  <si>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</si>
  <si>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</si>
  <si>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</si>
  <si>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</si>
  <si>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</si>
  <si>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</si>
  <si>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</si>
  <si>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</si>
  <si>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</si>
  <si>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</si>
  <si>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</si>
  <si>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</si>
  <si>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</si>
  <si>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</si>
  <si>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</si>
  <si>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</si>
  <si>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</si>
  <si>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</si>
  <si>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</si>
  <si>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</si>
  <si>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</si>
  <si>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</si>
  <si>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</si>
  <si>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</si>
  <si>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</si>
  <si>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</si>
  <si>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</si>
  <si>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</si>
  <si>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</si>
  <si>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</si>
  <si>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</si>
  <si>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</si>
  <si>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</si>
  <si>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</si>
  <si>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</si>
  <si>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</si>
  <si>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</si>
  <si>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</si>
  <si>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</si>
  <si>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</si>
  <si>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</si>
  <si>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</si>
  <si>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MTM036_0001</t>
  </si>
  <si>
    <t>KZKT00000016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</si>
  <si>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</si>
  <si>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</si>
  <si>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</si>
  <si>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</si>
  <si>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</si>
  <si>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</si>
  <si>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</si>
  <si>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</si>
  <si>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</si>
  <si>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</si>
  <si>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</si>
  <si>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</si>
  <si>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</si>
  <si>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</si>
  <si>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</si>
  <si>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</si>
  <si>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</si>
  <si>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</si>
  <si>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</si>
  <si>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</si>
  <si>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</si>
  <si>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</si>
  <si>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</si>
  <si>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</si>
  <si>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</si>
  <si>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</si>
  <si>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</si>
  <si>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</si>
  <si>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</si>
  <si>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</si>
  <si>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</si>
  <si>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</si>
  <si>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</si>
  <si>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</si>
  <si>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</si>
  <si>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</si>
  <si>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</si>
  <si>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MUM144_0006</t>
  </si>
  <si>
    <t>KZKD00000709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</si>
  <si>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</si>
  <si>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</si>
  <si>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</si>
  <si>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</si>
  <si>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</si>
  <si>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</si>
  <si>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</si>
  <si>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</si>
  <si>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</si>
  <si>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</si>
  <si>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</si>
  <si>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</si>
  <si>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</si>
  <si>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</si>
  <si>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</si>
  <si>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</si>
  <si>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</si>
  <si>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</si>
  <si>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</si>
  <si>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</si>
  <si>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</si>
  <si>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</si>
  <si>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</si>
  <si>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</si>
  <si>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</si>
  <si>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</si>
  <si>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</si>
  <si>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</si>
  <si>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</si>
  <si>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</si>
  <si>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</si>
  <si>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</si>
  <si>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</si>
  <si>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</si>
  <si>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</si>
  <si>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</si>
  <si>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</si>
  <si>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</si>
  <si>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</si>
  <si>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</si>
  <si>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</si>
  <si>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</si>
  <si>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</si>
  <si>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</si>
  <si>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</si>
  <si>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</si>
  <si>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</si>
  <si>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</si>
  <si>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</si>
  <si>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</si>
  <si>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</si>
  <si>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</si>
  <si>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</si>
  <si>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</si>
  <si>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</si>
  <si>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</si>
  <si>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</si>
  <si>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</si>
  <si>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</si>
  <si>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</si>
  <si>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</si>
  <si>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</si>
  <si>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</si>
  <si>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</si>
  <si>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</si>
  <si>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</si>
  <si>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</si>
  <si>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</si>
  <si>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</si>
  <si>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</si>
  <si>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</si>
  <si>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</si>
  <si>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</si>
  <si>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</si>
  <si>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</si>
  <si>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</si>
  <si>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</si>
  <si>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</si>
  <si>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</si>
  <si>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</si>
  <si>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</si>
  <si>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</si>
  <si>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</si>
  <si>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</si>
  <si>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</si>
  <si>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</si>
  <si>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</si>
  <si>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</si>
  <si>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</si>
  <si>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</si>
  <si>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</si>
  <si>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</si>
  <si>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</si>
  <si>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</si>
  <si>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</si>
  <si>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</si>
  <si>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</si>
  <si>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</si>
  <si>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</si>
  <si>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</si>
  <si>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</si>
  <si>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</si>
  <si>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</si>
  <si>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</si>
  <si>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</si>
  <si>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</si>
  <si>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</si>
  <si>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</si>
  <si>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</si>
  <si>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</si>
  <si>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</si>
  <si>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</si>
  <si>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</si>
  <si>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</si>
  <si>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</si>
  <si>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</si>
  <si>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</si>
  <si>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</si>
  <si>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</si>
  <si>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</si>
  <si>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</si>
  <si>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</si>
  <si>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</si>
  <si>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</si>
  <si>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</si>
  <si>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</si>
  <si>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</si>
  <si>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</si>
  <si>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</si>
  <si>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</si>
  <si>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</si>
  <si>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</si>
  <si>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</si>
  <si>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</si>
  <si>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</si>
  <si>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</si>
  <si>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</si>
  <si>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</si>
  <si>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</si>
  <si>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</si>
  <si>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</si>
  <si>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</si>
  <si>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</si>
  <si>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</si>
  <si>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</si>
  <si>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</si>
  <si>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</si>
  <si>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</si>
  <si>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</si>
  <si>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</si>
  <si>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</si>
  <si>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</si>
  <si>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</si>
  <si>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</si>
  <si>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</si>
  <si>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</si>
  <si>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</si>
  <si>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</si>
  <si>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</si>
  <si>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</si>
  <si>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</si>
  <si>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</si>
  <si>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</si>
  <si>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</si>
  <si>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</si>
  <si>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</si>
  <si>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</si>
  <si>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</si>
  <si>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</si>
  <si>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</si>
  <si>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</si>
  <si>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</si>
  <si>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</si>
  <si>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</si>
  <si>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</si>
  <si>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</si>
  <si>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</si>
  <si>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</si>
  <si>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</si>
  <si>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</si>
  <si>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</si>
  <si>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</si>
  <si>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</si>
  <si>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</si>
  <si>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</si>
  <si>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</si>
  <si>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</si>
  <si>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</si>
  <si>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</si>
  <si>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</si>
  <si>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</si>
  <si>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</si>
  <si>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</si>
  <si>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</si>
  <si>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</si>
  <si>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</si>
  <si>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</si>
  <si>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</si>
  <si>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</si>
  <si>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</si>
  <si>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</si>
  <si>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</si>
  <si>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</si>
  <si>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</si>
  <si>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</si>
  <si>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</si>
  <si>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</si>
  <si>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</si>
  <si>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</si>
  <si>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</si>
  <si>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</si>
  <si>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</si>
  <si>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</si>
  <si>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</si>
  <si>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</si>
  <si>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</si>
  <si>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</si>
  <si>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</si>
  <si>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</si>
  <si>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</si>
  <si>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</si>
  <si>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</si>
  <si>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</si>
  <si>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</si>
  <si>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</si>
  <si>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</si>
  <si>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</si>
  <si>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</si>
  <si>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</si>
  <si>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</si>
  <si>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</si>
  <si>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</si>
  <si>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</si>
  <si>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</si>
  <si>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</si>
  <si>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</si>
  <si>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</si>
  <si>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</si>
  <si>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</si>
  <si>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</si>
  <si>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</si>
  <si>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</si>
  <si>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</si>
  <si>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</si>
  <si>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</si>
  <si>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</si>
  <si>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</si>
  <si>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</si>
  <si>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</si>
  <si>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</si>
  <si>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</si>
  <si>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</si>
  <si>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</si>
  <si>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</si>
  <si>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</si>
  <si>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</si>
  <si>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</si>
  <si>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</si>
  <si>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</si>
  <si>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</si>
  <si>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</si>
  <si>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</si>
  <si>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</si>
  <si>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</si>
  <si>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</si>
  <si>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</si>
  <si>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</si>
  <si>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</si>
  <si>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</si>
  <si>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</si>
  <si>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</si>
  <si>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</si>
  <si>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</si>
  <si>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</si>
  <si>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</si>
  <si>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</si>
  <si>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</si>
  <si>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</si>
  <si>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</si>
  <si>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</si>
  <si>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</si>
  <si>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</si>
  <si>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</si>
  <si>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</si>
  <si>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</si>
  <si>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</si>
  <si>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</si>
  <si>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</si>
  <si>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</si>
  <si>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</si>
  <si>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</si>
  <si>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</si>
  <si>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</si>
  <si>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</si>
  <si>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</si>
  <si>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</si>
  <si>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</si>
  <si>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</si>
  <si>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</si>
  <si>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</si>
  <si>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</si>
  <si>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</si>
  <si>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</si>
  <si>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</si>
  <si>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</si>
  <si>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</si>
  <si>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</si>
  <si>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</si>
  <si>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</si>
  <si>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</si>
  <si>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</si>
  <si>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</si>
  <si>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</si>
  <si>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</si>
  <si>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</si>
  <si>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</si>
  <si>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</si>
  <si>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</si>
  <si>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</si>
  <si>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</si>
  <si>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</si>
  <si>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</si>
  <si>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</si>
  <si>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</si>
  <si>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</si>
  <si>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</si>
  <si>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</si>
  <si>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</si>
  <si>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</si>
  <si>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</si>
  <si>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</si>
  <si>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</si>
  <si>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</si>
  <si>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</si>
  <si>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</si>
  <si>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</si>
  <si>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</si>
  <si>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</si>
  <si>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</si>
  <si>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</si>
  <si>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</si>
  <si>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</si>
  <si>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</si>
  <si>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</si>
  <si>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</si>
  <si>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</si>
  <si>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</si>
  <si>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</si>
  <si>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</si>
  <si>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</si>
  <si>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</si>
  <si>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</si>
  <si>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</si>
  <si>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</si>
  <si>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</si>
  <si>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</si>
  <si>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</si>
  <si>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</si>
  <si>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</si>
  <si>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</si>
  <si>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</si>
  <si>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</si>
  <si>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</si>
  <si>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</si>
  <si>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</si>
  <si>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</si>
  <si>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</si>
  <si>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</si>
  <si>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</si>
  <si>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</si>
  <si>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</si>
  <si>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</si>
  <si>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</si>
  <si>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</si>
  <si>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</si>
  <si>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</si>
  <si>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</si>
  <si>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</si>
  <si>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</si>
  <si>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</si>
  <si>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</si>
  <si>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</si>
  <si>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</si>
  <si>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</si>
  <si>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</si>
  <si>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</si>
  <si>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</si>
  <si>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</si>
  <si>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</si>
  <si>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</si>
  <si>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</si>
  <si>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</si>
  <si>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</si>
  <si>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</si>
  <si>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</si>
  <si>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</si>
  <si>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</si>
  <si>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</si>
  <si>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</si>
  <si>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</si>
  <si>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</si>
  <si>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</si>
  <si>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</si>
  <si>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</si>
  <si>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</si>
  <si>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</si>
  <si>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</si>
  <si>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</si>
  <si>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</si>
  <si>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</si>
  <si>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</si>
  <si>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</si>
  <si>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</si>
  <si>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</si>
  <si>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</si>
  <si>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</si>
  <si>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</si>
  <si>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</si>
  <si>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</si>
  <si>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</si>
  <si>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</si>
  <si>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</si>
  <si>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</si>
  <si>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</si>
  <si>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</si>
  <si>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</si>
  <si>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</si>
  <si>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</si>
  <si>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</si>
  <si>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</si>
  <si>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</si>
  <si>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</si>
  <si>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</si>
  <si>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</si>
  <si>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</si>
  <si>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</si>
  <si>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</si>
  <si>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</si>
  <si>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</si>
  <si>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</si>
  <si>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</si>
  <si>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</si>
  <si>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</si>
  <si>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</si>
  <si>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</si>
  <si>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</si>
  <si>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</si>
  <si>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</si>
  <si>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</si>
  <si>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</si>
  <si>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</si>
  <si>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</si>
  <si>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</si>
  <si>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</si>
  <si>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</si>
  <si>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</si>
  <si>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</si>
  <si>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</si>
  <si>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</si>
  <si>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</si>
  <si>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</si>
  <si>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</si>
  <si>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</si>
  <si>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</si>
  <si>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</si>
  <si>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</si>
  <si>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</si>
  <si>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</si>
  <si>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</si>
  <si>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</si>
  <si>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</si>
  <si>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</si>
  <si>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</si>
  <si>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</si>
  <si>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</si>
  <si>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</si>
  <si>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</si>
  <si>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</si>
  <si>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</si>
  <si>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</si>
  <si>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</si>
  <si>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</si>
  <si>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</si>
  <si>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</si>
  <si>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</si>
  <si>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</si>
  <si>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</si>
  <si>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</si>
  <si>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</si>
  <si>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</si>
  <si>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</si>
  <si>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</si>
  <si>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</si>
  <si>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</si>
  <si>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</si>
  <si>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</si>
  <si>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</si>
  <si>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</si>
  <si>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</si>
  <si>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</si>
  <si>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</si>
  <si>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</si>
  <si>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</si>
  <si>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</si>
  <si>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</si>
  <si>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</si>
  <si>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</si>
  <si>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</si>
  <si>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</si>
  <si>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</si>
  <si>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</si>
  <si>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</si>
  <si>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</si>
  <si>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</si>
  <si>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</si>
  <si>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</si>
  <si>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</si>
  <si>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</si>
  <si>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</si>
  <si>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</si>
  <si>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</si>
  <si>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</si>
  <si>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</si>
  <si>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</si>
  <si>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</si>
  <si>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</si>
  <si>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</si>
  <si>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</si>
  <si>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</si>
  <si>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</si>
  <si>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</si>
  <si>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</si>
  <si>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</si>
  <si>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</si>
  <si>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</si>
  <si>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</si>
  <si>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</si>
  <si>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</si>
  <si>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</si>
  <si>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</si>
  <si>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</si>
  <si>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</si>
  <si>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</si>
  <si>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</si>
  <si>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</si>
  <si>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</si>
  <si>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</si>
  <si>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</si>
  <si>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</si>
  <si>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</si>
  <si>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</si>
  <si>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</si>
  <si>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</si>
  <si>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</si>
  <si>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</si>
  <si>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</si>
  <si>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</si>
  <si>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</si>
  <si>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</si>
  <si>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</si>
  <si>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</si>
  <si>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</si>
  <si>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</si>
  <si>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</si>
  <si>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</si>
  <si>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</si>
  <si>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</si>
  <si>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</si>
  <si>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</si>
  <si>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</si>
  <si>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</si>
  <si>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</si>
  <si>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</si>
  <si>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</si>
  <si>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</si>
  <si>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</si>
  <si>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</si>
  <si>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</si>
  <si>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</si>
  <si>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</si>
  <si>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</si>
  <si>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</si>
  <si>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</si>
  <si>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</si>
  <si>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</si>
  <si>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</si>
  <si>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</si>
  <si>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</si>
  <si>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</si>
  <si>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</si>
  <si>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</si>
  <si>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</si>
  <si>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</si>
  <si>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</si>
  <si>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</si>
  <si>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</si>
  <si>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</si>
  <si>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</si>
  <si>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</si>
  <si>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</si>
  <si>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</si>
  <si>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</si>
  <si>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</si>
  <si>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</si>
  <si>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</si>
  <si>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</si>
  <si>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</si>
  <si>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</si>
  <si>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</si>
  <si>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</si>
  <si>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</si>
  <si>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</si>
  <si>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</si>
  <si>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</si>
  <si>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</si>
  <si>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</si>
  <si>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</si>
  <si>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</si>
  <si>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</si>
  <si>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</si>
  <si>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</si>
  <si>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</si>
  <si>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</si>
  <si>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</si>
  <si>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</si>
  <si>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</si>
  <si>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</si>
  <si>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</si>
  <si>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</si>
  <si>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</si>
  <si>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</si>
  <si>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</si>
  <si>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</si>
  <si>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</si>
  <si>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</si>
  <si>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</si>
  <si>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</si>
  <si>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</si>
  <si>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</si>
  <si>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</si>
  <si>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</si>
  <si>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</si>
  <si>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</si>
  <si>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</si>
  <si>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</si>
  <si>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</si>
  <si>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</si>
  <si>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</si>
  <si>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</si>
  <si>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</si>
  <si>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</si>
  <si>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</si>
  <si>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</si>
  <si>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</si>
  <si>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</si>
  <si>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</si>
  <si>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</si>
  <si>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</si>
  <si>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</si>
  <si>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</si>
  <si>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</si>
  <si>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</si>
  <si>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</si>
  <si>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</si>
  <si>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</si>
  <si>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</si>
  <si>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</si>
  <si>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</si>
  <si>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</si>
  <si>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</si>
  <si>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</si>
  <si>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</si>
  <si>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</si>
  <si>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</si>
  <si>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</si>
  <si>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</si>
  <si>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</si>
  <si>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</si>
  <si>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</si>
  <si>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</si>
  <si>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</si>
  <si>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</si>
  <si>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</si>
  <si>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</si>
  <si>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</si>
  <si>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</si>
  <si>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</si>
  <si>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</si>
  <si>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</si>
  <si>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</si>
  <si>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</si>
  <si>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</si>
  <si>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</si>
  <si>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</si>
  <si>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</si>
  <si>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</si>
  <si>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</si>
  <si>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</si>
  <si>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</si>
  <si>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</si>
  <si>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</si>
  <si>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</si>
  <si>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CLSGb2</t>
  </si>
  <si>
    <t>KZ2P00009871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</si>
  <si>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</si>
  <si>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</si>
  <si>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</si>
  <si>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</si>
  <si>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</si>
  <si>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</si>
  <si>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</si>
  <si>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</si>
  <si>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</si>
  <si>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</si>
  <si>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</si>
  <si>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</si>
  <si>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</si>
  <si>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</si>
  <si>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</si>
  <si>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</si>
  <si>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</si>
  <si>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</si>
  <si>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</si>
  <si>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</si>
  <si>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</si>
  <si>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</si>
  <si>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</si>
  <si>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</si>
  <si>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</si>
  <si>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</si>
  <si>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</si>
  <si>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</si>
  <si>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</si>
  <si>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</si>
  <si>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</si>
  <si>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</si>
  <si>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</si>
  <si>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</si>
  <si>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</si>
  <si>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</si>
  <si>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</si>
  <si>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</si>
  <si>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</si>
  <si>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</si>
  <si>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</si>
  <si>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</si>
  <si>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</si>
  <si>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</si>
  <si>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</si>
  <si>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</si>
  <si>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</si>
  <si>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</si>
  <si>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</si>
  <si>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</si>
  <si>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</si>
  <si>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</si>
  <si>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</si>
  <si>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</si>
  <si>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</si>
  <si>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</si>
  <si>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</si>
  <si>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</si>
  <si>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</si>
  <si>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</si>
  <si>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</si>
  <si>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</si>
  <si>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</si>
  <si>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</si>
  <si>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</si>
  <si>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</si>
  <si>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</si>
  <si>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</si>
  <si>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</si>
  <si>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</si>
  <si>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</si>
  <si>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</si>
  <si>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</si>
  <si>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</si>
  <si>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</si>
  <si>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</si>
  <si>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</si>
  <si>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</si>
  <si>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</si>
  <si>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</si>
  <si>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</si>
  <si>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</si>
  <si>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</si>
  <si>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</si>
  <si>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</si>
  <si>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</si>
  <si>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</si>
  <si>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</si>
  <si>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</si>
  <si>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</si>
  <si>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</si>
  <si>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</si>
  <si>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</si>
  <si>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</si>
  <si>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</si>
  <si>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</si>
  <si>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</si>
  <si>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</si>
  <si>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</si>
  <si>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</si>
  <si>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</si>
  <si>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</si>
  <si>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</si>
  <si>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</si>
  <si>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</si>
  <si>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</si>
  <si>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</si>
  <si>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</si>
  <si>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</si>
  <si>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</si>
  <si>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</si>
  <si>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</si>
  <si>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</si>
  <si>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</si>
  <si>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</si>
  <si>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</si>
  <si>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</si>
  <si>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</si>
  <si>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</si>
  <si>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</si>
  <si>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</si>
  <si>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</si>
  <si>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</si>
  <si>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</si>
  <si>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</si>
  <si>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</si>
  <si>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</si>
  <si>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</si>
  <si>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</si>
  <si>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</si>
  <si>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</si>
  <si>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</si>
  <si>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</si>
  <si>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</si>
  <si>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</si>
  <si>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</si>
  <si>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</si>
  <si>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</si>
  <si>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</si>
  <si>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</si>
  <si>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</si>
  <si>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</si>
  <si>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</si>
  <si>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</si>
  <si>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</si>
  <si>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</si>
  <si>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</si>
  <si>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</si>
  <si>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</si>
  <si>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</si>
  <si>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</si>
  <si>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</si>
  <si>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</si>
  <si>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</si>
  <si>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</si>
  <si>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</si>
  <si>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</si>
  <si>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</si>
  <si>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</si>
  <si>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</si>
  <si>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</si>
  <si>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</si>
  <si>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</si>
  <si>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</si>
  <si>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</si>
  <si>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</si>
  <si>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</si>
  <si>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</si>
  <si>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</si>
  <si>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</si>
  <si>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</si>
  <si>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</si>
  <si>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</si>
  <si>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</si>
  <si>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</si>
  <si>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</si>
  <si>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</si>
  <si>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</si>
  <si>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</si>
  <si>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</si>
  <si>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</si>
  <si>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</si>
  <si>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</si>
  <si>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</si>
  <si>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</si>
  <si>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</si>
  <si>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</si>
  <si>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</si>
  <si>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</si>
  <si>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</si>
  <si>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</si>
  <si>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</si>
  <si>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</si>
  <si>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</si>
  <si>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</si>
  <si>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</si>
  <si>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</si>
  <si>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</si>
  <si>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</si>
  <si>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</si>
  <si>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</si>
  <si>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</si>
  <si>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</si>
  <si>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</si>
  <si>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</si>
  <si>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</si>
  <si>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</si>
  <si>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</si>
  <si>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</si>
  <si>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</si>
  <si>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</si>
  <si>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</si>
  <si>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</si>
  <si>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</si>
  <si>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</si>
  <si>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</si>
  <si>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</si>
  <si>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</si>
  <si>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</si>
  <si>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</si>
  <si>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</si>
  <si>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</si>
  <si>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</si>
  <si>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</si>
  <si>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</si>
  <si>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</si>
  <si>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</si>
  <si>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</si>
  <si>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</si>
  <si>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</si>
  <si>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</si>
  <si>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</si>
  <si>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</si>
  <si>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</si>
  <si>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</si>
  <si>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</si>
  <si>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</si>
  <si>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</si>
  <si>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</si>
  <si>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</si>
  <si>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</si>
  <si>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</si>
  <si>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</si>
  <si>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</si>
  <si>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</si>
  <si>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</si>
  <si>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</si>
  <si>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</si>
  <si>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</si>
  <si>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</si>
  <si>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</si>
  <si>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</si>
  <si>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</si>
  <si>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</si>
  <si>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</si>
  <si>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</si>
  <si>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</si>
  <si>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</si>
  <si>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</si>
  <si>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</si>
  <si>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</si>
  <si>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</si>
  <si>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</si>
  <si>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</si>
  <si>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</si>
  <si>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</si>
  <si>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</si>
  <si>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</si>
  <si>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</si>
  <si>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</si>
  <si>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</si>
  <si>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</si>
  <si>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</si>
  <si>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</si>
  <si>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</si>
  <si>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</si>
  <si>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</si>
  <si>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</si>
  <si>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</si>
  <si>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</si>
  <si>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</si>
  <si>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</si>
  <si>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</si>
  <si>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</si>
  <si>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</si>
  <si>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</si>
  <si>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</si>
  <si>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</si>
  <si>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</si>
  <si>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</si>
  <si>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KFUSb23</t>
  </si>
  <si>
    <t>KZ2C00007565</t>
  </si>
  <si>
    <t>KFUSb52</t>
  </si>
  <si>
    <t>KZ2C00009447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</si>
  <si>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</si>
  <si>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</si>
  <si>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</si>
  <si>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</si>
  <si>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</si>
  <si>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</si>
  <si>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</si>
  <si>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</si>
  <si>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</si>
  <si>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</si>
  <si>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</si>
  <si>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</si>
  <si>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</si>
  <si>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</si>
  <si>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</si>
  <si>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</si>
  <si>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</si>
  <si>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</si>
  <si>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</si>
  <si>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</si>
  <si>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</si>
  <si>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</si>
  <si>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</si>
  <si>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</si>
  <si>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</si>
  <si>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</si>
  <si>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</si>
  <si>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</si>
  <si>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</si>
  <si>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</si>
  <si>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</si>
  <si>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</si>
  <si>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</si>
  <si>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</si>
  <si>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</si>
  <si>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</si>
  <si>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</si>
  <si>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</si>
  <si>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</si>
  <si>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</si>
  <si>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</si>
  <si>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</si>
  <si>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</si>
  <si>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</si>
  <si>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</si>
  <si>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</si>
  <si>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</si>
  <si>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</si>
  <si>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</si>
  <si>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</si>
  <si>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</si>
  <si>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</si>
  <si>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</si>
  <si>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</si>
  <si>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</si>
  <si>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</si>
  <si>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</si>
  <si>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</si>
  <si>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</si>
  <si>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</si>
  <si>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</si>
  <si>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</si>
  <si>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</si>
  <si>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</si>
  <si>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</si>
  <si>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</si>
  <si>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</si>
  <si>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</si>
  <si>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</si>
  <si>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</si>
  <si>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</si>
  <si>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</si>
  <si>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</si>
  <si>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</si>
  <si>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</si>
  <si>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</si>
  <si>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</si>
  <si>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</si>
  <si>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</si>
  <si>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</si>
  <si>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</si>
  <si>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</si>
  <si>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</si>
  <si>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</si>
  <si>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</si>
  <si>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</si>
  <si>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</si>
  <si>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</si>
  <si>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</si>
  <si>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</si>
  <si>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</si>
  <si>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</si>
  <si>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</si>
  <si>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</si>
  <si>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</si>
  <si>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</si>
  <si>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</si>
  <si>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</si>
  <si>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</si>
  <si>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</si>
  <si>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</si>
  <si>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</si>
  <si>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</si>
  <si>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</si>
  <si>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</si>
  <si>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</si>
  <si>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</si>
  <si>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</si>
  <si>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</si>
  <si>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</si>
  <si>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</si>
  <si>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</si>
  <si>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</si>
  <si>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</si>
  <si>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</si>
  <si>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</si>
  <si>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</si>
  <si>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</si>
  <si>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</si>
  <si>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</si>
  <si>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</si>
  <si>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</si>
  <si>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</si>
  <si>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</si>
  <si>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</si>
  <si>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</si>
  <si>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</si>
  <si>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</si>
  <si>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</si>
  <si>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</si>
  <si>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</si>
  <si>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</si>
  <si>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</si>
  <si>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</si>
  <si>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</si>
  <si>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</si>
  <si>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</si>
  <si>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</si>
  <si>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</si>
  <si>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</si>
  <si>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</si>
  <si>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</si>
  <si>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</si>
  <si>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</si>
  <si>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</si>
  <si>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</si>
  <si>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</si>
  <si>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</si>
  <si>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</si>
  <si>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</si>
  <si>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</si>
  <si>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</si>
  <si>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</si>
  <si>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</si>
  <si>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</si>
  <si>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</si>
  <si>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</si>
  <si>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</si>
  <si>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</si>
  <si>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</si>
  <si>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</si>
  <si>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</si>
  <si>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</si>
  <si>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</si>
  <si>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</si>
  <si>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</si>
  <si>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</si>
  <si>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</si>
  <si>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</si>
  <si>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</si>
  <si>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</si>
  <si>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</si>
  <si>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</si>
  <si>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</si>
  <si>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</si>
  <si>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</si>
  <si>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</si>
  <si>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</si>
  <si>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</si>
  <si>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</si>
  <si>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</si>
  <si>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</si>
  <si>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</si>
  <si>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</si>
  <si>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</si>
  <si>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</si>
  <si>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</si>
  <si>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</si>
  <si>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</si>
  <si>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</si>
  <si>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</si>
  <si>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</si>
  <si>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</si>
  <si>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</si>
  <si>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</si>
  <si>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</si>
  <si>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</si>
  <si>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</si>
  <si>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</si>
  <si>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</si>
  <si>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</si>
  <si>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</si>
  <si>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</si>
  <si>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</si>
  <si>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</si>
  <si>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</si>
  <si>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</si>
  <si>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</si>
  <si>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</si>
  <si>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</si>
  <si>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</si>
  <si>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</si>
  <si>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</si>
  <si>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</si>
  <si>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</si>
  <si>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</si>
  <si>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</si>
  <si>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</si>
  <si>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</si>
  <si>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</si>
  <si>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</si>
  <si>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</si>
  <si>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</si>
  <si>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</si>
  <si>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</si>
  <si>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</si>
  <si>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</si>
  <si>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</si>
  <si>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</si>
  <si>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</si>
  <si>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</si>
  <si>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</si>
  <si>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</si>
  <si>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</si>
  <si>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</si>
  <si>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</si>
  <si>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</si>
  <si>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</si>
  <si>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</si>
  <si>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</si>
  <si>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</si>
  <si>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</si>
  <si>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</si>
  <si>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</si>
  <si>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</si>
  <si>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</si>
  <si>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</si>
  <si>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</si>
  <si>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</si>
  <si>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</si>
  <si>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</si>
  <si>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</si>
  <si>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</si>
  <si>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</si>
  <si>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</si>
  <si>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</si>
  <si>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</si>
  <si>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</si>
  <si>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</si>
  <si>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</si>
  <si>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</si>
  <si>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</si>
  <si>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</si>
  <si>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</si>
  <si>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</si>
  <si>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</si>
  <si>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</si>
  <si>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</si>
  <si>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</si>
  <si>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</si>
  <si>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</si>
  <si>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</si>
  <si>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</si>
  <si>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</si>
  <si>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</si>
  <si>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</si>
  <si>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</si>
  <si>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</si>
  <si>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</si>
  <si>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</si>
  <si>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</si>
  <si>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</si>
  <si>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</si>
  <si>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</si>
  <si>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</si>
  <si>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</si>
  <si>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</si>
  <si>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</si>
  <si>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</si>
  <si>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</si>
  <si>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</si>
  <si>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</si>
  <si>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</si>
  <si>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</si>
  <si>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</si>
  <si>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</si>
  <si>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</si>
  <si>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</si>
  <si>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</si>
  <si>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</si>
  <si>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</si>
  <si>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</si>
  <si>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</si>
  <si>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</si>
  <si>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</si>
  <si>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</si>
  <si>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</si>
  <si>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</si>
  <si>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</si>
  <si>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</si>
  <si>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</si>
  <si>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</si>
  <si>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</si>
  <si>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</si>
  <si>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</si>
  <si>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</si>
  <si>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</si>
  <si>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</si>
  <si>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</si>
  <si>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</si>
  <si>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</si>
  <si>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</si>
  <si>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</si>
  <si>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</si>
  <si>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</si>
  <si>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</si>
  <si>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</si>
  <si>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</si>
  <si>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</si>
  <si>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</si>
  <si>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</si>
  <si>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</si>
  <si>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</si>
  <si>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</si>
  <si>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</si>
  <si>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</si>
  <si>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</si>
  <si>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</si>
  <si>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</si>
  <si>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</si>
  <si>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</si>
  <si>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</si>
  <si>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</si>
  <si>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</si>
  <si>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</si>
  <si>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</si>
  <si>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</si>
  <si>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</si>
  <si>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</si>
  <si>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</si>
  <si>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</si>
  <si>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</si>
  <si>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</si>
  <si>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</si>
  <si>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</si>
  <si>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</si>
  <si>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</si>
  <si>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</si>
  <si>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</si>
  <si>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</si>
  <si>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</si>
  <si>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</si>
  <si>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</si>
  <si>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</si>
  <si>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</si>
  <si>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</si>
  <si>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</si>
  <si>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</si>
  <si>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</si>
  <si>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</si>
  <si>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</si>
  <si>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</si>
  <si>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</si>
  <si>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</si>
  <si>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</si>
  <si>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</si>
  <si>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</si>
  <si>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</si>
  <si>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</si>
  <si>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</si>
  <si>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</si>
  <si>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</si>
  <si>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</si>
  <si>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</si>
  <si>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</si>
  <si>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</si>
  <si>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</si>
  <si>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</si>
  <si>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</si>
  <si>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</si>
  <si>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</si>
  <si>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</si>
  <si>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</si>
  <si>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</si>
  <si>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</si>
  <si>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</si>
  <si>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</si>
  <si>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</si>
  <si>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</si>
  <si>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</si>
  <si>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</si>
  <si>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</si>
  <si>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</si>
  <si>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</si>
  <si>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</si>
  <si>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</si>
  <si>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</si>
  <si>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</si>
  <si>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</si>
  <si>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</si>
  <si>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</si>
  <si>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</si>
  <si>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</si>
  <si>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</si>
  <si>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</si>
  <si>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</si>
  <si>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</si>
  <si>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</si>
  <si>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</si>
  <si>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</si>
  <si>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</si>
  <si>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</si>
  <si>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</si>
  <si>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</si>
  <si>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</si>
  <si>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</si>
  <si>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</si>
  <si>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</si>
  <si>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</si>
  <si>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</si>
  <si>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</si>
  <si>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</si>
  <si>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</si>
  <si>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</si>
  <si>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</si>
  <si>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</si>
  <si>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</si>
  <si>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</si>
  <si>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</si>
  <si>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</si>
  <si>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</si>
  <si>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</si>
  <si>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</si>
  <si>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</si>
  <si>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</si>
  <si>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</si>
  <si>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</si>
  <si>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</si>
  <si>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</si>
  <si>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</si>
  <si>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</si>
  <si>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</si>
  <si>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</si>
  <si>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</si>
  <si>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</si>
  <si>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</si>
  <si>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</si>
  <si>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</si>
  <si>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</si>
  <si>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</si>
  <si>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</si>
  <si>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</si>
  <si>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</si>
  <si>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</si>
  <si>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</si>
  <si>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</si>
  <si>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</si>
  <si>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</si>
  <si>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</si>
  <si>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</si>
  <si>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</si>
  <si>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</si>
  <si>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</si>
  <si>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</si>
  <si>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</si>
  <si>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</si>
  <si>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</si>
  <si>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</si>
  <si>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</si>
  <si>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</si>
  <si>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</si>
  <si>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</si>
  <si>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</si>
  <si>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</si>
  <si>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</si>
  <si>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</si>
  <si>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</si>
  <si>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</si>
  <si>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</si>
  <si>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</si>
  <si>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</si>
  <si>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</si>
  <si>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</si>
  <si>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</si>
  <si>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</si>
  <si>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</si>
  <si>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</si>
  <si>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</si>
  <si>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</si>
  <si>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</si>
  <si>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</si>
  <si>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</si>
  <si>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</si>
  <si>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</si>
  <si>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</si>
  <si>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</si>
  <si>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</si>
  <si>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</si>
  <si>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</si>
  <si>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</si>
  <si>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</si>
  <si>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</si>
  <si>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</si>
  <si>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</si>
  <si>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</si>
  <si>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</si>
  <si>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</si>
  <si>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</si>
  <si>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</si>
  <si>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</si>
  <si>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</si>
  <si>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</si>
  <si>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</si>
  <si>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</si>
  <si>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</si>
  <si>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</si>
  <si>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</si>
  <si>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</si>
  <si>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</si>
  <si>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</si>
  <si>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</si>
  <si>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</si>
  <si>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</si>
  <si>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</si>
  <si>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</si>
  <si>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</si>
  <si>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</si>
  <si>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</si>
  <si>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</si>
  <si>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</si>
  <si>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</si>
  <si>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</si>
  <si>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</si>
  <si>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</si>
  <si>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</si>
  <si>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</si>
  <si>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</si>
  <si>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</si>
  <si>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</si>
  <si>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</si>
  <si>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</si>
  <si>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</si>
  <si>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</si>
  <si>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</si>
  <si>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</si>
  <si>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</si>
  <si>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</si>
  <si>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</si>
  <si>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</si>
  <si>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</si>
  <si>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</si>
  <si>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</si>
  <si>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</si>
  <si>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</si>
  <si>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</si>
  <si>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</si>
  <si>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</si>
  <si>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</si>
  <si>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</si>
  <si>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</si>
  <si>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</si>
  <si>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</si>
  <si>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</si>
  <si>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</si>
  <si>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</si>
  <si>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</si>
  <si>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</si>
  <si>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</si>
  <si>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</si>
  <si>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</si>
  <si>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</si>
  <si>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</si>
  <si>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</si>
  <si>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</si>
  <si>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</si>
  <si>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</si>
  <si>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</si>
  <si>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</si>
  <si>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</si>
  <si>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</si>
  <si>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</si>
  <si>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</si>
  <si>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</si>
  <si>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</si>
  <si>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</si>
  <si>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</si>
  <si>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</si>
  <si>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</si>
  <si>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</si>
  <si>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</si>
  <si>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</si>
  <si>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</si>
  <si>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</si>
  <si>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</si>
  <si>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</si>
  <si>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</si>
  <si>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</si>
  <si>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</si>
  <si>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</si>
  <si>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</si>
  <si>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</si>
  <si>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</si>
  <si>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</si>
  <si>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</si>
  <si>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</si>
  <si>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</si>
  <si>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</si>
  <si>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</si>
  <si>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</si>
  <si>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</si>
  <si>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</si>
  <si>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</si>
  <si>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</si>
  <si>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</si>
  <si>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</si>
  <si>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</si>
  <si>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</si>
  <si>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</si>
  <si>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</si>
  <si>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</si>
  <si>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</si>
  <si>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</si>
  <si>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</si>
  <si>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</si>
  <si>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</si>
  <si>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</si>
  <si>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</si>
  <si>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</si>
  <si>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</si>
  <si>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</si>
  <si>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</si>
  <si>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</si>
  <si>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</si>
  <si>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</si>
  <si>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</si>
  <si>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</si>
  <si>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</si>
  <si>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</si>
  <si>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</si>
  <si>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</si>
  <si>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</si>
  <si>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</si>
  <si>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</si>
  <si>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</si>
  <si>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</si>
  <si>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</si>
  <si>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</si>
  <si>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</si>
  <si>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</si>
  <si>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</si>
  <si>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</si>
  <si>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</si>
  <si>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</si>
  <si>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</si>
  <si>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</si>
  <si>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</si>
  <si>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</si>
  <si>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</si>
  <si>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</si>
  <si>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</si>
  <si>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</si>
  <si>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</si>
  <si>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</si>
  <si>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</si>
  <si>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</si>
  <si>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</si>
  <si>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</si>
  <si>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</si>
  <si>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</si>
  <si>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</si>
  <si>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</si>
  <si>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</si>
  <si>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</si>
  <si>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</si>
  <si>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</si>
  <si>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</si>
  <si>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</si>
  <si>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</si>
  <si>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</si>
  <si>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</si>
  <si>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</si>
  <si>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</si>
  <si>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</si>
  <si>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</si>
  <si>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</si>
  <si>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</si>
  <si>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</si>
  <si>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</si>
  <si>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</si>
  <si>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</si>
  <si>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</si>
  <si>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</si>
  <si>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</si>
  <si>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</si>
  <si>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</si>
  <si>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</si>
  <si>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</si>
  <si>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</si>
  <si>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</si>
  <si>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</si>
  <si>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</si>
  <si>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</si>
  <si>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</si>
  <si>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</si>
  <si>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</si>
  <si>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</si>
  <si>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</si>
  <si>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</si>
  <si>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</si>
  <si>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</si>
  <si>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</si>
  <si>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</si>
  <si>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</si>
  <si>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</si>
  <si>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</si>
  <si>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</si>
  <si>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</si>
  <si>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</si>
  <si>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</si>
  <si>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</si>
  <si>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</si>
  <si>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</si>
  <si>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</si>
  <si>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</si>
  <si>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</si>
  <si>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</si>
  <si>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</si>
  <si>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</si>
  <si>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</si>
  <si>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</si>
  <si>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</si>
  <si>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</si>
  <si>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</si>
  <si>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</si>
  <si>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</si>
  <si>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</si>
  <si>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</si>
  <si>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</si>
  <si>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</si>
  <si>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</si>
  <si>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</si>
  <si>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</si>
  <si>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</si>
  <si>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</si>
  <si>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</si>
  <si>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</si>
  <si>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</si>
  <si>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</si>
  <si>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</si>
  <si>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</si>
  <si>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</si>
  <si>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</si>
  <si>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</si>
  <si>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</si>
  <si>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</si>
  <si>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</si>
  <si>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</si>
  <si>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</si>
  <si>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</si>
  <si>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</si>
  <si>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</si>
  <si>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</si>
  <si>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</si>
  <si>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</si>
  <si>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</si>
  <si>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</si>
  <si>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</si>
  <si>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</si>
  <si>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</si>
  <si>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</si>
  <si>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</si>
  <si>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</si>
  <si>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</si>
  <si>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</si>
  <si>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</si>
  <si>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</si>
  <si>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</si>
  <si>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</si>
  <si>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</si>
  <si>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</si>
  <si>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</si>
  <si>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</si>
  <si>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</si>
  <si>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</si>
  <si>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</si>
  <si>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</si>
  <si>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</si>
  <si>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</si>
  <si>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</si>
  <si>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</si>
  <si>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</si>
  <si>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</si>
  <si>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</si>
  <si>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</si>
  <si>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</si>
  <si>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</si>
  <si>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</si>
  <si>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</si>
  <si>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</si>
  <si>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</si>
  <si>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</si>
  <si>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</si>
  <si>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</si>
  <si>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</si>
  <si>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</si>
  <si>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</si>
  <si>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</si>
  <si>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</si>
  <si>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</si>
  <si>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</si>
  <si>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</si>
  <si>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</si>
  <si>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</si>
  <si>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</si>
  <si>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</si>
  <si>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</si>
  <si>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</si>
  <si>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</si>
  <si>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</si>
  <si>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</si>
  <si>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</si>
  <si>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</si>
  <si>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</si>
  <si>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</si>
  <si>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</si>
  <si>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</si>
  <si>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</si>
  <si>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</si>
  <si>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</si>
  <si>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</si>
  <si>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</si>
  <si>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</si>
  <si>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</si>
  <si>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</si>
  <si>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</si>
  <si>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</si>
  <si>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</si>
  <si>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</si>
  <si>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</si>
  <si>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</si>
  <si>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</si>
  <si>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</si>
  <si>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</si>
  <si>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</si>
  <si>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</si>
  <si>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</si>
  <si>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</si>
  <si>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</si>
  <si>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</si>
  <si>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</si>
  <si>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</si>
  <si>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</si>
  <si>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</si>
  <si>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</si>
  <si>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</si>
  <si>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</si>
  <si>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</si>
  <si>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</si>
  <si>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</si>
  <si>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</si>
  <si>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</si>
  <si>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</si>
  <si>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</si>
  <si>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</si>
  <si>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</si>
  <si>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</si>
  <si>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</si>
  <si>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</si>
  <si>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</si>
  <si>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</si>
  <si>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</si>
  <si>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</si>
  <si>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</si>
  <si>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</si>
  <si>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</si>
  <si>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</si>
  <si>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</si>
  <si>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US146_2508</t>
  </si>
  <si>
    <t>US912797MG92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</si>
  <si>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</si>
  <si>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</si>
  <si>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</si>
  <si>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</si>
  <si>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</si>
  <si>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</si>
  <si>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</si>
  <si>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</si>
  <si>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</si>
  <si>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</si>
  <si>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</si>
  <si>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</si>
  <si>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</si>
  <si>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</si>
  <si>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</si>
  <si>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</si>
  <si>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</si>
  <si>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</si>
  <si>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</si>
  <si>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</si>
  <si>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</si>
  <si>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</si>
  <si>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</si>
  <si>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</si>
  <si>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</si>
  <si>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</si>
  <si>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</si>
  <si>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</si>
  <si>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</si>
  <si>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</si>
  <si>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</si>
  <si>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</si>
  <si>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</si>
  <si>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</si>
  <si>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</si>
  <si>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</si>
  <si>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</si>
  <si>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</si>
  <si>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</si>
  <si>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</si>
  <si>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</si>
  <si>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</si>
  <si>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</si>
  <si>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</si>
  <si>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</si>
  <si>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</si>
  <si>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</si>
  <si>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</si>
  <si>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</si>
  <si>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</si>
  <si>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</si>
  <si>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</si>
  <si>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</si>
  <si>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</si>
  <si>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</si>
  <si>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</si>
  <si>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</si>
  <si>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</si>
  <si>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</si>
  <si>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</si>
  <si>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</si>
  <si>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</si>
  <si>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</si>
  <si>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</si>
  <si>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</si>
  <si>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</si>
  <si>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</si>
  <si>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</si>
  <si>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</si>
  <si>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</si>
  <si>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</si>
  <si>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</si>
  <si>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</si>
  <si>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</si>
  <si>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</si>
  <si>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</si>
  <si>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</si>
  <si>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</si>
  <si>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</si>
  <si>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</si>
  <si>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</si>
  <si>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</si>
  <si>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</si>
  <si>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</si>
  <si>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</si>
  <si>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</si>
  <si>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</si>
  <si>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</si>
  <si>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</si>
  <si>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</si>
  <si>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</si>
  <si>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</si>
  <si>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</si>
  <si>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</si>
  <si>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</si>
  <si>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</si>
  <si>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</si>
  <si>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</si>
  <si>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</si>
  <si>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</si>
  <si>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</si>
  <si>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</si>
  <si>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</si>
  <si>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</si>
  <si>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</si>
  <si>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</si>
  <si>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</si>
  <si>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</si>
  <si>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</si>
  <si>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</si>
  <si>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</si>
  <si>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</si>
  <si>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</si>
  <si>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</si>
  <si>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</si>
  <si>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</si>
  <si>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</si>
  <si>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</si>
  <si>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</si>
  <si>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</si>
  <si>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</si>
  <si>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</si>
  <si>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</si>
  <si>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</si>
  <si>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</si>
  <si>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</si>
  <si>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</si>
  <si>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</si>
  <si>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</si>
  <si>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</si>
  <si>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</si>
  <si>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</si>
  <si>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</si>
  <si>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</si>
  <si>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</si>
  <si>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</si>
  <si>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</si>
  <si>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</si>
  <si>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</si>
  <si>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</si>
  <si>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</si>
  <si>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</si>
  <si>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</si>
  <si>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</si>
  <si>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АО "Микрофинансовая организация "KMF (КМФ)"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</si>
  <si>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</si>
  <si>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</si>
  <si>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</si>
  <si>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</si>
  <si>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</si>
  <si>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</si>
  <si>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</si>
  <si>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</si>
  <si>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</si>
  <si>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</si>
  <si>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</si>
  <si>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</si>
  <si>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</si>
  <si>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</si>
  <si>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</si>
  <si>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</si>
  <si>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</si>
  <si>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</si>
  <si>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</si>
  <si>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</si>
  <si>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</si>
  <si>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</si>
  <si>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</si>
  <si>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</si>
  <si>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</si>
  <si>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</si>
  <si>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</si>
  <si>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</si>
  <si>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</si>
  <si>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</si>
  <si>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</si>
  <si>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</si>
  <si>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</si>
  <si>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</si>
  <si>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</si>
  <si>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</si>
  <si>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</si>
  <si>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</si>
  <si>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</si>
  <si>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US166_2507</t>
  </si>
  <si>
    <t>US912797PG65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</si>
  <si>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</si>
  <si>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</si>
  <si>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</si>
  <si>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</si>
  <si>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</si>
  <si>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</si>
  <si>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</si>
  <si>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</si>
  <si>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</si>
  <si>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</si>
  <si>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</si>
  <si>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</si>
  <si>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</si>
  <si>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</si>
  <si>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</si>
  <si>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</si>
  <si>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</si>
  <si>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</si>
  <si>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</si>
  <si>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</si>
  <si>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</si>
  <si>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</si>
  <si>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</si>
  <si>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</si>
  <si>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</si>
  <si>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</si>
  <si>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</si>
  <si>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</si>
  <si>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</si>
  <si>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</si>
  <si>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</si>
  <si>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</si>
  <si>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</si>
  <si>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</si>
  <si>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</si>
  <si>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</si>
  <si>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</si>
  <si>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</si>
  <si>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</si>
  <si>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</si>
  <si>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</si>
  <si>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</si>
  <si>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</si>
  <si>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</si>
  <si>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</si>
  <si>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</si>
  <si>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</si>
  <si>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</si>
  <si>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</si>
  <si>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</si>
  <si>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</si>
  <si>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</si>
  <si>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</si>
  <si>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</si>
  <si>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</si>
  <si>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</si>
  <si>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</si>
  <si>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US167_2508</t>
  </si>
  <si>
    <t>US912797QK68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</si>
  <si>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</si>
  <si>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</si>
  <si>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</si>
  <si>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</si>
  <si>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</si>
  <si>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</si>
  <si>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</si>
  <si>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</si>
  <si>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</si>
  <si>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</si>
  <si>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</si>
  <si>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</si>
  <si>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</si>
  <si>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</si>
  <si>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</si>
  <si>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</si>
  <si>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</si>
  <si>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</si>
  <si>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</si>
  <si>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22,00</t>
  </si>
  <si>
    <t>11,72</t>
  </si>
  <si>
    <t>11,83</t>
  </si>
  <si>
    <t>11,84</t>
  </si>
  <si>
    <t>11,75</t>
  </si>
  <si>
    <t>11,74</t>
  </si>
  <si>
    <t>11,77</t>
  </si>
  <si>
    <t>11,79</t>
  </si>
  <si>
    <t>11,78</t>
  </si>
  <si>
    <t>11,76</t>
  </si>
  <si>
    <t>17,46</t>
  </si>
  <si>
    <t>MFBRb2</t>
  </si>
  <si>
    <t>KZ2C00014223</t>
  </si>
  <si>
    <t>MFBRb3</t>
  </si>
  <si>
    <t>KZ2C00014231</t>
  </si>
  <si>
    <t>5,04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</si>
  <si>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</si>
  <si>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</si>
  <si>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</si>
  <si>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</si>
  <si>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</si>
  <si>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</si>
  <si>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</si>
  <si>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</si>
  <si>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16,23</t>
  </si>
  <si>
    <t>KFUSb86</t>
  </si>
  <si>
    <t>KZ2C00012136</t>
  </si>
  <si>
    <t>HCBNb19</t>
  </si>
  <si>
    <t>KZ2C00014124</t>
  </si>
  <si>
    <t>2AIRAd</t>
  </si>
  <si>
    <t>3AKZM</t>
  </si>
  <si>
    <t>4ALMSb1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</si>
  <si>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</si>
  <si>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</si>
  <si>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</si>
  <si>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</si>
  <si>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</si>
  <si>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</si>
  <si>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</si>
  <si>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</si>
  <si>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</si>
  <si>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</si>
  <si>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</si>
  <si>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</si>
  <si>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</si>
  <si>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6,97</t>
  </si>
  <si>
    <t>6,25</t>
  </si>
  <si>
    <t>7,01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</si>
  <si>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</si>
  <si>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</si>
  <si>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</si>
  <si>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</si>
  <si>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</si>
  <si>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</si>
  <si>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</si>
  <si>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</si>
  <si>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</si>
  <si>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</si>
  <si>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</si>
  <si>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</si>
  <si>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5,28</t>
  </si>
  <si>
    <t>5,51</t>
  </si>
  <si>
    <t>17,02</t>
  </si>
  <si>
    <t>16,45</t>
  </si>
  <si>
    <t>14,23</t>
  </si>
  <si>
    <t>20,48</t>
  </si>
  <si>
    <t>16,28</t>
  </si>
  <si>
    <t>22,01</t>
  </si>
  <si>
    <t>BTRKb27</t>
  </si>
  <si>
    <t>KZ2C00014520</t>
  </si>
  <si>
    <t>HCBNb17</t>
  </si>
  <si>
    <t>KZ2C00014066</t>
  </si>
  <si>
    <t>NTK028_2865</t>
  </si>
  <si>
    <t>KZW100014312</t>
  </si>
  <si>
    <t>21,00</t>
  </si>
  <si>
    <t>16,27</t>
  </si>
  <si>
    <t>16,34</t>
  </si>
  <si>
    <t>16,90</t>
  </si>
  <si>
    <t>16,99</t>
  </si>
  <si>
    <t>16,43</t>
  </si>
  <si>
    <t>16,44</t>
  </si>
  <si>
    <t>17,03</t>
  </si>
  <si>
    <t>16,38</t>
  </si>
  <si>
    <t>16,36</t>
  </si>
  <si>
    <t>CLSGb7</t>
  </si>
  <si>
    <t>KZ2P00014780</t>
  </si>
  <si>
    <t>MFRFb18</t>
  </si>
  <si>
    <t>KZ2P00013998</t>
  </si>
  <si>
    <t>7,99</t>
  </si>
  <si>
    <t>4,98</t>
  </si>
  <si>
    <t>5,08</t>
  </si>
  <si>
    <t>20,63</t>
  </si>
  <si>
    <t>11,57</t>
  </si>
  <si>
    <t>16,91</t>
  </si>
  <si>
    <t>17,04</t>
  </si>
  <si>
    <t>16,33</t>
  </si>
  <si>
    <t>Эйр Астана</t>
  </si>
  <si>
    <t>производные ЦБ</t>
  </si>
  <si>
    <t>Актюбинский завод металлоконструкций</t>
  </si>
  <si>
    <t>долговые ЦБ</t>
  </si>
  <si>
    <t>АК Алтыналмас</t>
  </si>
  <si>
    <t>5ASBN</t>
  </si>
  <si>
    <t>ForteBank</t>
  </si>
  <si>
    <t>6BCCI_cc</t>
  </si>
  <si>
    <t>ЦБ инвест. фондов</t>
  </si>
  <si>
    <t>BCC Invest</t>
  </si>
  <si>
    <t>7BCCIbe</t>
  </si>
  <si>
    <t>8BCCIrb</t>
  </si>
  <si>
    <t>9BIGDb5</t>
  </si>
  <si>
    <t>10BRKZe18</t>
  </si>
  <si>
    <t>Банк Развития Казахстана</t>
  </si>
  <si>
    <t>11BTRKe1</t>
  </si>
  <si>
    <t>Национальный управляющий холдинг "Байтерек"</t>
  </si>
  <si>
    <t>12CCBN</t>
  </si>
  <si>
    <t>Банк ЦентрКредит</t>
  </si>
  <si>
    <t>13CCBNp</t>
  </si>
  <si>
    <t>14CLSGb6</t>
  </si>
  <si>
    <t>Capital Leasing Group (Капитал Лизинг Груп)</t>
  </si>
  <si>
    <t>15CSECfe</t>
  </si>
  <si>
    <t>16CSECtf</t>
  </si>
  <si>
    <t>17EABRb40</t>
  </si>
  <si>
    <t>ЦБ МФО</t>
  </si>
  <si>
    <t>18EABRb42</t>
  </si>
  <si>
    <t>19EABRb53</t>
  </si>
  <si>
    <t>20FFIN_or</t>
  </si>
  <si>
    <t>Фридом Финанс</t>
  </si>
  <si>
    <t>21FFINgw</t>
  </si>
  <si>
    <t>22FHJIag</t>
  </si>
  <si>
    <t>Jusan Invest</t>
  </si>
  <si>
    <t>23FHJIpc</t>
  </si>
  <si>
    <t>24HCBNb9</t>
  </si>
  <si>
    <t>Home Credit Bank</t>
  </si>
  <si>
    <t>25HFINhl</t>
  </si>
  <si>
    <t>Halyk Finance</t>
  </si>
  <si>
    <t>26HFINhp</t>
  </si>
  <si>
    <t>27HFINhs</t>
  </si>
  <si>
    <t>28HFINhv</t>
  </si>
  <si>
    <t>29HSBK</t>
  </si>
  <si>
    <t>Народный Банк Казахстана</t>
  </si>
  <si>
    <t>30HSBKd</t>
  </si>
  <si>
    <t>31IFDR</t>
  </si>
  <si>
    <t>Teniz Capital Investment Banking</t>
  </si>
  <si>
    <t>32KCEL</t>
  </si>
  <si>
    <t>Kcell</t>
  </si>
  <si>
    <t>33KEGC</t>
  </si>
  <si>
    <t>KEGOC</t>
  </si>
  <si>
    <t>34KMGZ</t>
  </si>
  <si>
    <t>Национальная компания "КазМунайГаз"</t>
  </si>
  <si>
    <t>35KMGZe12</t>
  </si>
  <si>
    <t>36KMGZe14</t>
  </si>
  <si>
    <t>37KMGZe15</t>
  </si>
  <si>
    <t>38KMGZe16</t>
  </si>
  <si>
    <t>39KSPI</t>
  </si>
  <si>
    <t>Kaspi.kz</t>
  </si>
  <si>
    <t>40KSPId</t>
  </si>
  <si>
    <t>41KZAP</t>
  </si>
  <si>
    <t>Национальная атомная компания "Казатомпром"</t>
  </si>
  <si>
    <t>42KZTCb3</t>
  </si>
  <si>
    <t>Jusan Mobile</t>
  </si>
  <si>
    <t>43KZTK</t>
  </si>
  <si>
    <t>Казахтелеком</t>
  </si>
  <si>
    <t>44KZTKp</t>
  </si>
  <si>
    <t>45KZTO</t>
  </si>
  <si>
    <t>КазТрансОйл</t>
  </si>
  <si>
    <t>46KZ_23_3504</t>
  </si>
  <si>
    <t>ГЦБ</t>
  </si>
  <si>
    <t>Минфин</t>
  </si>
  <si>
    <t>47MFMOb10</t>
  </si>
  <si>
    <t>МФО "Mogo Kazakhstan (Мого Казахстан)</t>
  </si>
  <si>
    <t>48MFMOb17</t>
  </si>
  <si>
    <t>49MFMOb23</t>
  </si>
  <si>
    <t>651 (2)</t>
  </si>
  <si>
    <t>50MFMOb28</t>
  </si>
  <si>
    <t>12,01</t>
  </si>
  <si>
    <t>51MFOKb16</t>
  </si>
  <si>
    <t>МФО ОнлайнКазФинанс</t>
  </si>
  <si>
    <t>52MFOKb18</t>
  </si>
  <si>
    <t>53MFOKb19</t>
  </si>
  <si>
    <t>54MFOKb20</t>
  </si>
  <si>
    <t>21,59</t>
  </si>
  <si>
    <t>55MFOKb21</t>
  </si>
  <si>
    <t>56MFOKb22</t>
  </si>
  <si>
    <t>57MFOKb24</t>
  </si>
  <si>
    <t>58MFOKb25</t>
  </si>
  <si>
    <t>59MFOKb26</t>
  </si>
  <si>
    <t>60MFRFb12</t>
  </si>
  <si>
    <t>МФО "R-Finance</t>
  </si>
  <si>
    <t>61MFRFb13</t>
  </si>
  <si>
    <t>62MFRFb14</t>
  </si>
  <si>
    <t>63MFRFb16</t>
  </si>
  <si>
    <t>963 (3)</t>
  </si>
  <si>
    <t>64MFRFb19</t>
  </si>
  <si>
    <t>65MFSCb4</t>
  </si>
  <si>
    <t>МФО "Swiss Capital (Свисс Капитал)</t>
  </si>
  <si>
    <t>66MKM012_0159</t>
  </si>
  <si>
    <t>91 (0)</t>
  </si>
  <si>
    <t>67MKM012_0160</t>
  </si>
  <si>
    <t>68MKM012_0161</t>
  </si>
  <si>
    <t>69MOM048_0052</t>
  </si>
  <si>
    <t>70MOM048_0053</t>
  </si>
  <si>
    <t>71MOM048_0054</t>
  </si>
  <si>
    <t>72MOM060_0052</t>
  </si>
  <si>
    <t>73MOM060_0054</t>
  </si>
  <si>
    <t>74MTM036_0001</t>
  </si>
  <si>
    <t>75MTM048_0001</t>
  </si>
  <si>
    <t>76MTM060_0001</t>
  </si>
  <si>
    <t>77MTM072_0001</t>
  </si>
  <si>
    <t>78MTM084_0001</t>
  </si>
  <si>
    <t>79MTM096_0001</t>
  </si>
  <si>
    <t>80MUJ144_0005</t>
  </si>
  <si>
    <t>81MUJ156_0004</t>
  </si>
  <si>
    <t>11,71</t>
  </si>
  <si>
    <t>82MUJ168_0004</t>
  </si>
  <si>
    <t>83MUJ168_0005</t>
  </si>
  <si>
    <t>84MUJ180_0007</t>
  </si>
  <si>
    <t>11,29</t>
  </si>
  <si>
    <t>85MUJ180_0008</t>
  </si>
  <si>
    <t>86MUJ192_0002</t>
  </si>
  <si>
    <t>87MUJ192_0003</t>
  </si>
  <si>
    <t>88MUJ192_0004</t>
  </si>
  <si>
    <t>89MUJ204_0001</t>
  </si>
  <si>
    <t>90MUJ204_0002</t>
  </si>
  <si>
    <t>91MUJ204_0003</t>
  </si>
  <si>
    <t>92MUJ204_0004</t>
  </si>
  <si>
    <t>93MUJ204_0005</t>
  </si>
  <si>
    <t>94MUJ204_0006</t>
  </si>
  <si>
    <t>95MUJ216_0001</t>
  </si>
  <si>
    <t>96MUJ216_0002</t>
  </si>
  <si>
    <t>97MUJ216_0003</t>
  </si>
  <si>
    <t>98MUJ216_0004</t>
  </si>
  <si>
    <t>99MUJ216_0005</t>
  </si>
  <si>
    <t>100MUJ228_0001</t>
  </si>
  <si>
    <t>101MUJ228_0002</t>
  </si>
  <si>
    <t>102MUJ228_0003</t>
  </si>
  <si>
    <t>103MUJ228_0004</t>
  </si>
  <si>
    <t>104MUJ228_0005</t>
  </si>
  <si>
    <t>105MUJ228_0006</t>
  </si>
  <si>
    <t>106MUJ240_0001</t>
  </si>
  <si>
    <t>107MUM072_0013</t>
  </si>
  <si>
    <t>108MUM072_0014</t>
  </si>
  <si>
    <t>109MUM072_0015</t>
  </si>
  <si>
    <t>110MUM084_0018</t>
  </si>
  <si>
    <t>111MUM084_0019</t>
  </si>
  <si>
    <t>112MUM084_0020</t>
  </si>
  <si>
    <t>113MUM096_0011</t>
  </si>
  <si>
    <t>114MUM096_0012</t>
  </si>
  <si>
    <t>115MUM096_0013</t>
  </si>
  <si>
    <t>116MUM096_0014</t>
  </si>
  <si>
    <t>117MUM096_0015</t>
  </si>
  <si>
    <t>16,48</t>
  </si>
  <si>
    <t>118MUM108_0012</t>
  </si>
  <si>
    <t>119MUM108_0013</t>
  </si>
  <si>
    <t>120MUM108_0014</t>
  </si>
  <si>
    <t>16,53</t>
  </si>
  <si>
    <t>121MUM108_0015</t>
  </si>
  <si>
    <t>122MUM120_0017</t>
  </si>
  <si>
    <t>123MUM120_0018</t>
  </si>
  <si>
    <t>124MUM120_0019</t>
  </si>
  <si>
    <t>125MUM120_0020</t>
  </si>
  <si>
    <t>16,42</t>
  </si>
  <si>
    <t>126MUM132_0007</t>
  </si>
  <si>
    <t>127MUM144_0006</t>
  </si>
  <si>
    <t>128MUM144_0009</t>
  </si>
  <si>
    <t>129MUM156_0005</t>
  </si>
  <si>
    <t>130MUM156_0006</t>
  </si>
  <si>
    <t>131MUM156_0007</t>
  </si>
  <si>
    <t>132MUM156_0008</t>
  </si>
  <si>
    <t>133MUM168_0001</t>
  </si>
  <si>
    <t>134MUM168_0002</t>
  </si>
  <si>
    <t>135MUM168_0003</t>
  </si>
  <si>
    <t>136MUM168_0005</t>
  </si>
  <si>
    <t>137MUM180_0003</t>
  </si>
  <si>
    <t>119 (0)</t>
  </si>
  <si>
    <t>138MUM180_0004</t>
  </si>
  <si>
    <t>139MUM180_0005</t>
  </si>
  <si>
    <t>140MUM180_0006</t>
  </si>
  <si>
    <t>141MUM180_0007</t>
  </si>
  <si>
    <t>142MUM180_0008</t>
  </si>
  <si>
    <t>143MUM180_0009</t>
  </si>
  <si>
    <t>1 215 (3)</t>
  </si>
  <si>
    <t>144MUM180_0011</t>
  </si>
  <si>
    <t>145MUM180_0012</t>
  </si>
  <si>
    <t>146MUM180_0013</t>
  </si>
  <si>
    <t>147MUM180_0014</t>
  </si>
  <si>
    <t>148MUM180_0015</t>
  </si>
  <si>
    <t>149MUM180_0016</t>
  </si>
  <si>
    <t>150MUM192_0001</t>
  </si>
  <si>
    <t>151MUM192_0002</t>
  </si>
  <si>
    <t>152MUM192_0003</t>
  </si>
  <si>
    <t>153MUM216_0001</t>
  </si>
  <si>
    <t>16,32</t>
  </si>
  <si>
    <t>154MUM216_0002</t>
  </si>
  <si>
    <t>155MUM240_0001</t>
  </si>
  <si>
    <t>156MUM240_0002</t>
  </si>
  <si>
    <t>157MUM240_0004</t>
  </si>
  <si>
    <t>158MUM300_0001</t>
  </si>
  <si>
    <t>159MUM300_0002</t>
  </si>
  <si>
    <t>160MUM300_0003</t>
  </si>
  <si>
    <t>161MUM360_0001</t>
  </si>
  <si>
    <t>16,25</t>
  </si>
  <si>
    <t>162MUX072_0003</t>
  </si>
  <si>
    <t>163NTK028_2865</t>
  </si>
  <si>
    <t xml:space="preserve">Национальный Банк </t>
  </si>
  <si>
    <t>164PRKRe1</t>
  </si>
  <si>
    <t>Продкорпорация</t>
  </si>
  <si>
    <t>165SKKZe1</t>
  </si>
  <si>
    <t>Фонд национального благосостояния "Самрук-Қазына</t>
  </si>
  <si>
    <t>166TSSPb1</t>
  </si>
  <si>
    <t>ТССП Групп</t>
  </si>
  <si>
    <t>Национальный Банк РК</t>
  </si>
  <si>
    <t>Расчетная цена на 28.07.25</t>
  </si>
  <si>
    <t>Расчетная грязная цена на 28.07.25</t>
  </si>
  <si>
    <t>KZIKb39</t>
  </si>
  <si>
    <t>KZ2C00014736</t>
  </si>
  <si>
    <t>868 (2)</t>
  </si>
  <si>
    <t>18,71</t>
  </si>
  <si>
    <t>661 (2)</t>
  </si>
  <si>
    <t>1 689 (5)</t>
  </si>
  <si>
    <t>1 000 (3)</t>
  </si>
  <si>
    <t>60 (0)</t>
  </si>
  <si>
    <t>232 (1)</t>
  </si>
  <si>
    <t>942 (3)</t>
  </si>
  <si>
    <t>973 (3)</t>
  </si>
  <si>
    <t>21,60</t>
  </si>
  <si>
    <t>6 (0)</t>
  </si>
  <si>
    <t>7 821 (22)</t>
  </si>
  <si>
    <t>1 706 (5)</t>
  </si>
  <si>
    <t>8 366 (23)</t>
  </si>
  <si>
    <t>2 776 (8)</t>
  </si>
  <si>
    <t>949 (3)</t>
  </si>
  <si>
    <t>3 491 (10)</t>
  </si>
  <si>
    <t>32,69</t>
  </si>
  <si>
    <t>464 (1)</t>
  </si>
  <si>
    <t>63,64</t>
  </si>
  <si>
    <t>203 (1)</t>
  </si>
  <si>
    <t>648 (2)</t>
  </si>
  <si>
    <t>682 (2)</t>
  </si>
  <si>
    <t>21,40</t>
  </si>
  <si>
    <t>106 (0)</t>
  </si>
  <si>
    <t>23,56</t>
  </si>
  <si>
    <t>268 (1)</t>
  </si>
  <si>
    <t>12,35</t>
  </si>
  <si>
    <t>590 (2)</t>
  </si>
  <si>
    <t>737 (2)</t>
  </si>
  <si>
    <t>20,20</t>
  </si>
  <si>
    <t>900 (2)</t>
  </si>
  <si>
    <t>443 (1)</t>
  </si>
  <si>
    <t>944 (3)</t>
  </si>
  <si>
    <t>20,32</t>
  </si>
  <si>
    <t>24,63</t>
  </si>
  <si>
    <t>1 042 (3)</t>
  </si>
  <si>
    <t>108,20</t>
  </si>
  <si>
    <t>81 (0)</t>
  </si>
  <si>
    <t>37,36</t>
  </si>
  <si>
    <t>697 (2)</t>
  </si>
  <si>
    <t>452 (1)</t>
  </si>
  <si>
    <t>21,78</t>
  </si>
  <si>
    <t>960 (3)</t>
  </si>
  <si>
    <t>22,12</t>
  </si>
  <si>
    <t>1 048 (3)</t>
  </si>
  <si>
    <t>327 (1)</t>
  </si>
  <si>
    <t>15,21</t>
  </si>
  <si>
    <t>88 (0)</t>
  </si>
  <si>
    <t>15,90</t>
  </si>
  <si>
    <t>193 (1)</t>
  </si>
  <si>
    <t>16,46</t>
  </si>
  <si>
    <t>291 (1)</t>
  </si>
  <si>
    <t>15,97</t>
  </si>
  <si>
    <t>173 (0)</t>
  </si>
  <si>
    <t>16,16</t>
  </si>
  <si>
    <t>326 (1)</t>
  </si>
  <si>
    <t>408 (1)</t>
  </si>
  <si>
    <t>16,24</t>
  </si>
  <si>
    <t>366 (1)</t>
  </si>
  <si>
    <t>830 (2)</t>
  </si>
  <si>
    <t>16,14</t>
  </si>
  <si>
    <t>7 (0)</t>
  </si>
  <si>
    <t>16,88</t>
  </si>
  <si>
    <t>401 (1)</t>
  </si>
  <si>
    <t>796 (2)</t>
  </si>
  <si>
    <t>17,25</t>
  </si>
  <si>
    <t>1 190 (3)</t>
  </si>
  <si>
    <t>17,37</t>
  </si>
  <si>
    <t>1 655 (5)</t>
  </si>
  <si>
    <t>17,48</t>
  </si>
  <si>
    <t>1 965 (5)</t>
  </si>
  <si>
    <t>11,34</t>
  </si>
  <si>
    <t>422 (1)</t>
  </si>
  <si>
    <t>241 (1)</t>
  </si>
  <si>
    <t>390 (1)</t>
  </si>
  <si>
    <t>90 (0)</t>
  </si>
  <si>
    <t>11,68</t>
  </si>
  <si>
    <t>300 (1)</t>
  </si>
  <si>
    <t>1 646 (5)</t>
  </si>
  <si>
    <t>362 (1)</t>
  </si>
  <si>
    <t>631 (2)</t>
  </si>
  <si>
    <t>11,80</t>
  </si>
  <si>
    <t>721 (2)</t>
  </si>
  <si>
    <t>1 290 (4)</t>
  </si>
  <si>
    <t>1 410 (4)</t>
  </si>
  <si>
    <t>691 (2)</t>
  </si>
  <si>
    <t>838 (2)</t>
  </si>
  <si>
    <t>927 (3)</t>
  </si>
  <si>
    <t>1 469 (4)</t>
  </si>
  <si>
    <t>1 742 (5)</t>
  </si>
  <si>
    <t>1 109 (3)</t>
  </si>
  <si>
    <t>1 232 (3)</t>
  </si>
  <si>
    <t>1 411 (4)</t>
  </si>
  <si>
    <t>1 620 (4)</t>
  </si>
  <si>
    <t>1 861 (5)</t>
  </si>
  <si>
    <t>2 219 (6)</t>
  </si>
  <si>
    <t>2 311 (6)</t>
  </si>
  <si>
    <t>17,00</t>
  </si>
  <si>
    <t>16,83</t>
  </si>
  <si>
    <t>1 295 (4)</t>
  </si>
  <si>
    <t>16,69</t>
  </si>
  <si>
    <t>1 659 (5)</t>
  </si>
  <si>
    <t>16,96</t>
  </si>
  <si>
    <t>974 (3)</t>
  </si>
  <si>
    <t>16,62</t>
  </si>
  <si>
    <t>2 004 (6)</t>
  </si>
  <si>
    <t>2 378 (7)</t>
  </si>
  <si>
    <t>1 169 (3)</t>
  </si>
  <si>
    <t>16,77</t>
  </si>
  <si>
    <t>1 440 (4)</t>
  </si>
  <si>
    <t>16,73</t>
  </si>
  <si>
    <t>1 626 (5)</t>
  </si>
  <si>
    <t>16,58</t>
  </si>
  <si>
    <t>2 084 (6)</t>
  </si>
  <si>
    <t>16,47</t>
  </si>
  <si>
    <t>2 827 (8)</t>
  </si>
  <si>
    <t>335 (1)</t>
  </si>
  <si>
    <t>16,82</t>
  </si>
  <si>
    <t>1 323 (4)</t>
  </si>
  <si>
    <t>16,51</t>
  </si>
  <si>
    <t>2 451 (7)</t>
  </si>
  <si>
    <t>3 098 (9)</t>
  </si>
  <si>
    <t>578 (2)</t>
  </si>
  <si>
    <t>17,01</t>
  </si>
  <si>
    <t>695 (2)</t>
  </si>
  <si>
    <t>2 029 (6)</t>
  </si>
  <si>
    <t>16,41</t>
  </si>
  <si>
    <t>3 435 (10)</t>
  </si>
  <si>
    <t>2 518 (7)</t>
  </si>
  <si>
    <t>17 (0)</t>
  </si>
  <si>
    <t>2 905 (8)</t>
  </si>
  <si>
    <t>16,56</t>
  </si>
  <si>
    <t>2 082 (6)</t>
  </si>
  <si>
    <t>3 079 (9)</t>
  </si>
  <si>
    <t>4 614 (13)</t>
  </si>
  <si>
    <t>16,30</t>
  </si>
  <si>
    <t>65 (0)</t>
  </si>
  <si>
    <t>108 (0)</t>
  </si>
  <si>
    <t>16,49</t>
  </si>
  <si>
    <t>2 418 (7)</t>
  </si>
  <si>
    <t>3 462 (10)</t>
  </si>
  <si>
    <t>116 (0)</t>
  </si>
  <si>
    <t>380 (1)</t>
  </si>
  <si>
    <t>475 (1)</t>
  </si>
  <si>
    <t>599 (2)</t>
  </si>
  <si>
    <t>770 (2)</t>
  </si>
  <si>
    <t>806 (2)</t>
  </si>
  <si>
    <t>16,87</t>
  </si>
  <si>
    <t>1 212 (3)</t>
  </si>
  <si>
    <t>1 455 (4)</t>
  </si>
  <si>
    <t>16,72</t>
  </si>
  <si>
    <t>2 766 (8)</t>
  </si>
  <si>
    <t>2 785 (8)</t>
  </si>
  <si>
    <t>3 987 (11)</t>
  </si>
  <si>
    <t>4 140 (12)</t>
  </si>
  <si>
    <t>801 (2)</t>
  </si>
  <si>
    <t>980 (3)</t>
  </si>
  <si>
    <t>1 132 (3)</t>
  </si>
  <si>
    <t>3 962 (11)</t>
  </si>
  <si>
    <t>4 153 (12)</t>
  </si>
  <si>
    <t>2 426 (7)</t>
  </si>
  <si>
    <t>3 164 (9)</t>
  </si>
  <si>
    <t>3 421 (10)</t>
  </si>
  <si>
    <t>4 822 (13)</t>
  </si>
  <si>
    <t>5 037 (14)</t>
  </si>
  <si>
    <t>5 248 (15)</t>
  </si>
  <si>
    <t>6 898 (19)</t>
  </si>
  <si>
    <t>2 043 (6)</t>
  </si>
  <si>
    <t>14,72</t>
  </si>
  <si>
    <t>23 (0)</t>
  </si>
  <si>
    <t>грязная цена, в KZT</t>
  </si>
  <si>
    <t>5,39</t>
  </si>
  <si>
    <t>450 (1)</t>
  </si>
  <si>
    <t>1 062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</si>
</sst>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0.0000000000"/>
    <numFmt numFmtId="184" formatCode="#,##0.000000000000"/>
    <numFmt numFmtId="185" formatCode="0.00000000000000000"/>
    <numFmt numFmtId="186" formatCode="0.000000000000000000000000000"/>
    <numFmt numFmtId="187" formatCode="0.0000000000000"/>
    <numFmt numFmtId="188" formatCode="#,##0.0"/>
  </numFmts>
  <fonts count="38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19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10" fontId="1" fillId="0" borderId="2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9" fontId="28" fillId="0" borderId="5" xfId="0" applyNumberFormat="1" applyFont="1" applyBorder="1" applyAlignment="1">
      <alignment horizontal="right" vertical="center" indent="1"/>
    </xf>
    <xf numFmtId="4" fontId="11" fillId="0" borderId="4" xfId="0" applyNumberFormat="1" applyFont="1" applyBorder="1" applyAlignment="1">
      <alignment horizontal="right" vertical="center" indent="1"/>
    </xf>
    <xf numFmtId="164" fontId="33" fillId="0" borderId="4" xfId="0" applyNumberFormat="1" applyFont="1" applyBorder="1" applyAlignment="1">
      <alignment horizontal="center" vertical="center"/>
    </xf>
    <xf numFmtId="169" fontId="28" fillId="0" borderId="4" xfId="0" applyNumberFormat="1" applyFont="1" applyBorder="1" applyAlignment="1">
      <alignment horizontal="right" vertical="center" indent="1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176" fontId="10" fillId="0" borderId="4" xfId="118" applyNumberFormat="1" applyFont="1" applyFill="1" applyBorder="1" applyAlignment="1"/>
    <xf numFmtId="0" fontId="10" fillId="0" borderId="11" xfId="118" applyNumberFormat="1" applyFont="1" applyFill="1" applyBorder="1" applyAlignment="1"/>
    <xf numFmtId="0" fontId="10" fillId="0" borderId="4" xfId="118" applyNumberFormat="1" applyFont="1" applyFill="1" applyBorder="1" applyAlignment="1"/>
    <xf numFmtId="177" fontId="10" fillId="0" borderId="4" xfId="118" applyNumberFormat="1" applyFont="1" applyFill="1" applyBorder="1" applyAlignment="1"/>
    <xf numFmtId="176" fontId="10" fillId="0" borderId="0" xfId="118" applyNumberFormat="1" applyFont="1" applyFill="1" applyBorder="1" applyAlignment="1"/>
    <xf numFmtId="4" fontId="10" fillId="0" borderId="0" xfId="118" applyNumberFormat="1" applyFont="1" applyFill="1" applyBorder="1" applyAlignment="1"/>
    <xf numFmtId="169" fontId="10" fillId="0" borderId="0" xfId="118" applyNumberFormat="1" applyFont="1" applyFill="1" applyBorder="1" applyAlignment="1"/>
    <xf numFmtId="178" fontId="10" fillId="0" borderId="0" xfId="118" applyNumberFormat="1" applyFont="1" applyFill="1" applyBorder="1" applyAlignment="1"/>
    <xf numFmtId="3" fontId="10" fillId="0" borderId="0" xfId="118" applyNumberFormat="1" applyFont="1" applyFill="1" applyBorder="1" applyAlignment="1"/>
    <xf numFmtId="187" fontId="0" fillId="0" borderId="0" xfId="0" applyNumberFormat="1"/>
    <xf numFmtId="0" fontId="0" fillId="0" borderId="4" xfId="0" applyBorder="1" applyAlignment="1">
      <alignment horizontal="center"/>
    </xf>
    <xf numFmtId="4" fontId="33" fillId="0" borderId="4" xfId="0" applyNumberFormat="1" applyFont="1" applyBorder="1" applyAlignment="1">
      <alignment horizontal="right" vertical="center" indent="1"/>
    </xf>
    <xf numFmtId="169" fontId="33" fillId="0" borderId="5" xfId="0" applyNumberFormat="1" applyFont="1" applyBorder="1" applyAlignment="1">
      <alignment horizontal="right" vertical="center" indent="1"/>
    </xf>
    <xf numFmtId="0" fontId="1" fillId="2" borderId="1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8" fontId="0" fillId="0" borderId="0" xfId="0" applyNumberFormat="1"/>
  </cellXfs>
  <cellStyles count="119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RFb19" TargetMode="External"/><Relationship Id="rId299" Type="http://schemas.openxmlformats.org/officeDocument/2006/relationships/hyperlink" Target="https://kase.kz/ru/investors/gsecs/MUM216_0002" TargetMode="External"/><Relationship Id="rId21" Type="http://schemas.openxmlformats.org/officeDocument/2006/relationships/hyperlink" Target="https://kase.kz/ru/investors/shares/CCBNp" TargetMode="External"/><Relationship Id="rId63" Type="http://schemas.openxmlformats.org/officeDocument/2006/relationships/hyperlink" Target="https://kase.kz/ru/investors/bonds/KMGZe12" TargetMode="External"/><Relationship Id="rId159" Type="http://schemas.openxmlformats.org/officeDocument/2006/relationships/hyperlink" Target="https://kase.kz/ru/investors/gsecs/MUJ180_0007" TargetMode="External"/><Relationship Id="rId324" Type="http://schemas.openxmlformats.org/officeDocument/2006/relationships/hyperlink" Target="https://kase.kz/ru/listing/issuers/TSSP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ZAP" TargetMode="External"/><Relationship Id="rId128" Type="http://schemas.openxmlformats.org/officeDocument/2006/relationships/hyperlink" Target="https://kase.kz/ru/listing/issuers/MFRK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216_0001" TargetMode="External"/><Relationship Id="rId237" Type="http://schemas.openxmlformats.org/officeDocument/2006/relationships/hyperlink" Target="https://kase.kz/ru/investors/gsecs/MUM120_0018" TargetMode="External"/><Relationship Id="rId279" Type="http://schemas.openxmlformats.org/officeDocument/2006/relationships/hyperlink" Target="https://kase.kz/ru/investors/gsecs/MUM180_0011" TargetMode="External"/><Relationship Id="rId43" Type="http://schemas.openxmlformats.org/officeDocument/2006/relationships/hyperlink" Target="https://kase.kz/ru/investors/mifs/HFINhl" TargetMode="External"/><Relationship Id="rId139" Type="http://schemas.openxmlformats.org/officeDocument/2006/relationships/hyperlink" Target="https://kase.kz/ru/investors/gsecs/MTM036_0001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MFMOb10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IGD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X072_0003" TargetMode="External"/><Relationship Id="rId54" Type="http://schemas.openxmlformats.org/officeDocument/2006/relationships/hyperlink" Target="https://kase.kz/ru/listing/issuers/HSBK" TargetMode="External"/><Relationship Id="rId96" Type="http://schemas.openxmlformats.org/officeDocument/2006/relationships/hyperlink" Target="https://kase.kz/ru/listing/issuers/MFOK" TargetMode="External"/><Relationship Id="rId161" Type="http://schemas.openxmlformats.org/officeDocument/2006/relationships/hyperlink" Target="https://kase.kz/ru/investors/gsecs/MUJ180_0008" TargetMode="External"/><Relationship Id="rId217" Type="http://schemas.openxmlformats.org/officeDocument/2006/relationships/hyperlink" Target="https://kase.kz/ru/investors/gsecs/MUM096_0011" TargetMode="External"/><Relationship Id="rId259" Type="http://schemas.openxmlformats.org/officeDocument/2006/relationships/hyperlink" Target="https://kase.kz/ru/investors/gsecs/MUM168_0002" TargetMode="External"/><Relationship Id="rId23" Type="http://schemas.openxmlformats.org/officeDocument/2006/relationships/hyperlink" Target="https://kase.kz/ru/investors/mifs/CSECfe" TargetMode="External"/><Relationship Id="rId119" Type="http://schemas.openxmlformats.org/officeDocument/2006/relationships/hyperlink" Target="https://kase.kz/ru/investors/bonds/MFSCb4" TargetMode="External"/><Relationship Id="rId270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KMGZe15" TargetMode="External"/><Relationship Id="rId130" Type="http://schemas.openxmlformats.org/officeDocument/2006/relationships/hyperlink" Target="https://kase.kz/ru/listing/issuers/MFR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12" TargetMode="External"/><Relationship Id="rId34" Type="http://schemas.openxmlformats.org/officeDocument/2006/relationships/hyperlink" Target="https://kase.kz/ru/listing/issuers/FFIN" TargetMode="External"/><Relationship Id="rId55" Type="http://schemas.openxmlformats.org/officeDocument/2006/relationships/hyperlink" Target="https://kase.kz/ru/investors/shares/IFDR" TargetMode="External"/><Relationship Id="rId76" Type="http://schemas.openxmlformats.org/officeDocument/2006/relationships/hyperlink" Target="https://kase.kz/ru/listing/issuers/KZTC" TargetMode="External"/><Relationship Id="rId97" Type="http://schemas.openxmlformats.org/officeDocument/2006/relationships/hyperlink" Target="https://kase.kz/ru/investors/bonds/MFOKb19" TargetMode="External"/><Relationship Id="rId120" Type="http://schemas.openxmlformats.org/officeDocument/2006/relationships/hyperlink" Target="https://kase.kz/ru/listing/issuers/MFSC" TargetMode="External"/><Relationship Id="rId141" Type="http://schemas.openxmlformats.org/officeDocument/2006/relationships/hyperlink" Target="https://kase.kz/ru/investors/gsecs/MTM048_0001" TargetMode="External"/><Relationship Id="rId7" Type="http://schemas.openxmlformats.org/officeDocument/2006/relationships/hyperlink" Target="https://kase.kz/ru/investors/bonds/ALMSb1" TargetMode="External"/><Relationship Id="rId162" Type="http://schemas.openxmlformats.org/officeDocument/2006/relationships/hyperlink" Target="https://kase.kz/ru/listing/issuers/MFRK" TargetMode="External"/><Relationship Id="rId183" Type="http://schemas.openxmlformats.org/officeDocument/2006/relationships/hyperlink" Target="https://kase.kz/ru/investors/gsecs/MUJ216_0002" TargetMode="External"/><Relationship Id="rId218" Type="http://schemas.openxmlformats.org/officeDocument/2006/relationships/hyperlink" Target="https://kase.kz/ru/listing/issuers/MFRK" TargetMode="External"/><Relationship Id="rId239" Type="http://schemas.openxmlformats.org/officeDocument/2006/relationships/hyperlink" Target="https://kase.kz/ru/investors/gsecs/MUM120_0019" TargetMode="External"/><Relationship Id="rId250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80_0006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SEC" TargetMode="External"/><Relationship Id="rId45" Type="http://schemas.openxmlformats.org/officeDocument/2006/relationships/hyperlink" Target="https://kase.kz/ru/investors/mifs/HFINhp" TargetMode="External"/><Relationship Id="rId66" Type="http://schemas.openxmlformats.org/officeDocument/2006/relationships/hyperlink" Target="https://kase.kz/ru/listing/issuers/KMGZ" TargetMode="External"/><Relationship Id="rId87" Type="http://schemas.openxmlformats.org/officeDocument/2006/relationships/hyperlink" Target="https://kase.kz/ru/investors/bonds/MFMOb17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gsecs/MOM048_0053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204_0003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108_0013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68_0003" TargetMode="External"/><Relationship Id="rId14" Type="http://schemas.openxmlformats.org/officeDocument/2006/relationships/hyperlink" Target="https://kase.kz/ru/listing/issuers/BRKZ" TargetMode="External"/><Relationship Id="rId35" Type="http://schemas.openxmlformats.org/officeDocument/2006/relationships/hyperlink" Target="https://kase.kz/ru/investors/mifs/FFINgw" TargetMode="External"/><Relationship Id="rId56" Type="http://schemas.openxmlformats.org/officeDocument/2006/relationships/hyperlink" Target="https://kase.kz/ru/listing/issuers/TCIB" TargetMode="External"/><Relationship Id="rId77" Type="http://schemas.openxmlformats.org/officeDocument/2006/relationships/hyperlink" Target="https://kase.kz/ru/investors/shares/KZTK" TargetMode="External"/><Relationship Id="rId100" Type="http://schemas.openxmlformats.org/officeDocument/2006/relationships/hyperlink" Target="https://kase.kz/ru/listing/issuers/MFOK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bonds/NCOMb6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OK" TargetMode="External"/><Relationship Id="rId121" Type="http://schemas.openxmlformats.org/officeDocument/2006/relationships/hyperlink" Target="https://kase.kz/ru/investors/bonds/MFTSb3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UJ192_0002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M096_0012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56_0006" TargetMode="External"/><Relationship Id="rId25" Type="http://schemas.openxmlformats.org/officeDocument/2006/relationships/hyperlink" Target="https://kase.kz/ru/investors/mifs/CSECtf" TargetMode="External"/><Relationship Id="rId46" Type="http://schemas.openxmlformats.org/officeDocument/2006/relationships/hyperlink" Target="https://kase.kz/ru/listing/issuers/HFIN" TargetMode="External"/><Relationship Id="rId67" Type="http://schemas.openxmlformats.org/officeDocument/2006/relationships/hyperlink" Target="https://kase.kz/ru/investors/bonds/KMGZe16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92_0002" TargetMode="External"/><Relationship Id="rId307" Type="http://schemas.openxmlformats.org/officeDocument/2006/relationships/hyperlink" Target="https://kase.kz/ru/investors/gsecs/MUM300_0001" TargetMode="External"/><Relationship Id="rId88" Type="http://schemas.openxmlformats.org/officeDocument/2006/relationships/hyperlink" Target="https://kase.kz/ru/listing/issuers/MFMO" TargetMode="External"/><Relationship Id="rId111" Type="http://schemas.openxmlformats.org/officeDocument/2006/relationships/hyperlink" Target="https://kase.kz/ru/investors/bonds/MFRFb12" TargetMode="External"/><Relationship Id="rId132" Type="http://schemas.openxmlformats.org/officeDocument/2006/relationships/hyperlink" Target="https://kase.kz/ru/listing/issuers/MFRK" TargetMode="External"/><Relationship Id="rId153" Type="http://schemas.openxmlformats.org/officeDocument/2006/relationships/hyperlink" Target="https://kase.kz/ru/investors/gsecs/MUJ156_0004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28_0003" TargetMode="External"/><Relationship Id="rId209" Type="http://schemas.openxmlformats.org/officeDocument/2006/relationships/hyperlink" Target="https://kase.kz/ru/investors/gsecs/MUM072_0015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120_0020" TargetMode="External"/><Relationship Id="rId15" Type="http://schemas.openxmlformats.org/officeDocument/2006/relationships/hyperlink" Target="https://kase.kz/ru/investors/bonds/BRKZe18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shares/KCEL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13" TargetMode="External"/><Relationship Id="rId318" Type="http://schemas.openxmlformats.org/officeDocument/2006/relationships/hyperlink" Target="https://kase.kz/ru/listing/issuers/NCOM" TargetMode="External"/><Relationship Id="rId78" Type="http://schemas.openxmlformats.org/officeDocument/2006/relationships/hyperlink" Target="https://kase.kz/ru/listing/issuers/KZTK" TargetMode="External"/><Relationship Id="rId99" Type="http://schemas.openxmlformats.org/officeDocument/2006/relationships/hyperlink" Target="https://kase.kz/ru/investors/bonds/MFOKb20" TargetMode="External"/><Relationship Id="rId101" Type="http://schemas.openxmlformats.org/officeDocument/2006/relationships/hyperlink" Target="https://kase.kz/ru/investors/bonds/MFOKb21" TargetMode="External"/><Relationship Id="rId122" Type="http://schemas.openxmlformats.org/officeDocument/2006/relationships/hyperlink" Target="https://kase.kz/ru/listing/issuers/MFTS" TargetMode="External"/><Relationship Id="rId143" Type="http://schemas.openxmlformats.org/officeDocument/2006/relationships/hyperlink" Target="https://kase.kz/ru/investors/gsecs/MTM060_0001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16_0003" TargetMode="External"/><Relationship Id="rId9" Type="http://schemas.openxmlformats.org/officeDocument/2006/relationships/hyperlink" Target="https://kase.kz/ru/investors/mifs/BCCIbe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108_0014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80_0007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47" Type="http://schemas.openxmlformats.org/officeDocument/2006/relationships/hyperlink" Target="https://kase.kz/ru/investors/mifs/HFINhs" TargetMode="External"/><Relationship Id="rId68" Type="http://schemas.openxmlformats.org/officeDocument/2006/relationships/hyperlink" Target="https://kase.kz/ru/listing/issuers/KMGZ" TargetMode="External"/><Relationship Id="rId89" Type="http://schemas.openxmlformats.org/officeDocument/2006/relationships/hyperlink" Target="https://kase.kz/ru/investors/bonds/MFMOb23" TargetMode="External"/><Relationship Id="rId112" Type="http://schemas.openxmlformats.org/officeDocument/2006/relationships/hyperlink" Target="https://kase.kz/ru/listing/issuers/MFRF" TargetMode="External"/><Relationship Id="rId133" Type="http://schemas.openxmlformats.org/officeDocument/2006/relationships/hyperlink" Target="https://kase.kz/ru/investors/gsecs/MOM048_0054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204_0004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RKZ" TargetMode="External"/><Relationship Id="rId221" Type="http://schemas.openxmlformats.org/officeDocument/2006/relationships/hyperlink" Target="https://kase.kz/ru/investors/gsecs/MUM096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68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NTK028_2865" TargetMode="External"/><Relationship Id="rId37" Type="http://schemas.openxmlformats.org/officeDocument/2006/relationships/hyperlink" Target="https://kase.kz/ru/investors/mifs/FHJIag" TargetMode="External"/><Relationship Id="rId58" Type="http://schemas.openxmlformats.org/officeDocument/2006/relationships/hyperlink" Target="https://kase.kz/ru/listing/issuers/KCEL" TargetMode="External"/><Relationship Id="rId79" Type="http://schemas.openxmlformats.org/officeDocument/2006/relationships/hyperlink" Target="https://kase.kz/ru/investors/shares/KZTKp" TargetMode="External"/><Relationship Id="rId102" Type="http://schemas.openxmlformats.org/officeDocument/2006/relationships/hyperlink" Target="https://kase.kz/ru/listing/issuers/MFOK" TargetMode="External"/><Relationship Id="rId123" Type="http://schemas.openxmlformats.org/officeDocument/2006/relationships/hyperlink" Target="https://kase.kz/ru/investors/gsecs/MKM012_0159" TargetMode="External"/><Relationship Id="rId144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MFMO" TargetMode="External"/><Relationship Id="rId165" Type="http://schemas.openxmlformats.org/officeDocument/2006/relationships/hyperlink" Target="https://kase.kz/ru/investors/gsecs/MUJ192_0003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M084_0018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56_0007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92_0003" TargetMode="External"/><Relationship Id="rId309" Type="http://schemas.openxmlformats.org/officeDocument/2006/relationships/hyperlink" Target="https://kase.kz/ru/investors/gsecs/MUM300_0002" TargetMode="External"/><Relationship Id="rId27" Type="http://schemas.openxmlformats.org/officeDocument/2006/relationships/hyperlink" Target="https://kase.kz/ru/investors/bonds/EABRb40" TargetMode="External"/><Relationship Id="rId48" Type="http://schemas.openxmlformats.org/officeDocument/2006/relationships/hyperlink" Target="https://kase.kz/ru/listing/issuers/HFIN" TargetMode="External"/><Relationship Id="rId69" Type="http://schemas.openxmlformats.org/officeDocument/2006/relationships/hyperlink" Target="https://kase.kz/ru/investors/shares/KSPI" TargetMode="External"/><Relationship Id="rId113" Type="http://schemas.openxmlformats.org/officeDocument/2006/relationships/hyperlink" Target="https://kase.kz/ru/investors/bonds/MFRFb13" TargetMode="External"/><Relationship Id="rId134" Type="http://schemas.openxmlformats.org/officeDocument/2006/relationships/hyperlink" Target="https://kase.kz/ru/listing/issuers/MFRK" TargetMode="External"/><Relationship Id="rId320" Type="http://schemas.openxmlformats.org/officeDocument/2006/relationships/hyperlink" Target="https://kase.kz/ru/listing/issuers/NBRK" TargetMode="External"/><Relationship Id="rId80" Type="http://schemas.openxmlformats.org/officeDocument/2006/relationships/hyperlink" Target="https://kase.kz/ru/listing/issuers/KZTK" TargetMode="External"/><Relationship Id="rId155" Type="http://schemas.openxmlformats.org/officeDocument/2006/relationships/hyperlink" Target="https://kase.kz/ru/investors/gsecs/MUJ168_0004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28_0004" TargetMode="External"/><Relationship Id="rId201" Type="http://schemas.openxmlformats.org/officeDocument/2006/relationships/hyperlink" Target="https://kase.kz/ru/investors/gsecs/MUJ228_0006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32_0007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14" TargetMode="External"/><Relationship Id="rId17" Type="http://schemas.openxmlformats.org/officeDocument/2006/relationships/hyperlink" Target="https://kase.kz/ru/investors/bonds/BRKZe4" TargetMode="External"/><Relationship Id="rId38" Type="http://schemas.openxmlformats.org/officeDocument/2006/relationships/hyperlink" Target="https://kase.kz/ru/listing/issuers/FHJI" TargetMode="External"/><Relationship Id="rId59" Type="http://schemas.openxmlformats.org/officeDocument/2006/relationships/hyperlink" Target="https://kase.kz/ru/investors/shares/KEGC" TargetMode="External"/><Relationship Id="rId103" Type="http://schemas.openxmlformats.org/officeDocument/2006/relationships/hyperlink" Target="https://kase.kz/ru/investors/bonds/MFOKb22" TargetMode="External"/><Relationship Id="rId124" Type="http://schemas.openxmlformats.org/officeDocument/2006/relationships/hyperlink" Target="https://kase.kz/ru/listing/issuers/MFR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SPI" TargetMode="External"/><Relationship Id="rId91" Type="http://schemas.openxmlformats.org/officeDocument/2006/relationships/hyperlink" Target="https://kase.kz/ru/investors/bonds/MFMOb28" TargetMode="External"/><Relationship Id="rId145" Type="http://schemas.openxmlformats.org/officeDocument/2006/relationships/hyperlink" Target="https://kase.kz/ru/investors/gsecs/MTM072_0001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16_0004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108_0015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EABR" TargetMode="External"/><Relationship Id="rId49" Type="http://schemas.openxmlformats.org/officeDocument/2006/relationships/hyperlink" Target="https://kase.kz/ru/investors/mifs/HFINhv" TargetMode="External"/><Relationship Id="rId114" Type="http://schemas.openxmlformats.org/officeDocument/2006/relationships/hyperlink" Target="https://kase.kz/ru/listing/issuers/MFRF" TargetMode="External"/><Relationship Id="rId275" Type="http://schemas.openxmlformats.org/officeDocument/2006/relationships/hyperlink" Target="https://kase.kz/ru/investors/gsecs/MUM180_0008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EGC" TargetMode="External"/><Relationship Id="rId81" Type="http://schemas.openxmlformats.org/officeDocument/2006/relationships/hyperlink" Target="https://kase.kz/ru/investors/shares/KZTO" TargetMode="External"/><Relationship Id="rId135" Type="http://schemas.openxmlformats.org/officeDocument/2006/relationships/hyperlink" Target="https://kase.kz/ru/investors/gsecs/MOM060_0052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204_000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bonds/SKKZe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96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mifs/FHJIpc" TargetMode="External"/><Relationship Id="rId265" Type="http://schemas.openxmlformats.org/officeDocument/2006/relationships/hyperlink" Target="https://kase.kz/ru/investors/gsecs/MUM180_0003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gsecs/MKM012_0160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92_0004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300_0003" TargetMode="External"/><Relationship Id="rId71" Type="http://schemas.openxmlformats.org/officeDocument/2006/relationships/hyperlink" Target="https://kase.kz/ru/investors/depts/KSPId" TargetMode="External"/><Relationship Id="rId92" Type="http://schemas.openxmlformats.org/officeDocument/2006/relationships/hyperlink" Target="https://kase.kz/ru/listing/issuers/MFMO" TargetMode="External"/><Relationship Id="rId213" Type="http://schemas.openxmlformats.org/officeDocument/2006/relationships/hyperlink" Target="https://kase.kz/ru/investors/gsecs/MUM084_0019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2" TargetMode="External"/><Relationship Id="rId255" Type="http://schemas.openxmlformats.org/officeDocument/2006/relationships/hyperlink" Target="https://kase.kz/ru/investors/gsecs/MUM156_0008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216_0001" TargetMode="External"/><Relationship Id="rId40" Type="http://schemas.openxmlformats.org/officeDocument/2006/relationships/hyperlink" Target="https://kase.kz/ru/listing/issuers/FHJI" TargetMode="External"/><Relationship Id="rId115" Type="http://schemas.openxmlformats.org/officeDocument/2006/relationships/hyperlink" Target="https://kase.kz/ru/investors/bonds/MFRFb14" TargetMode="External"/><Relationship Id="rId136" Type="http://schemas.openxmlformats.org/officeDocument/2006/relationships/hyperlink" Target="https://kase.kz/ru/listing/issuers/MFRK" TargetMode="External"/><Relationship Id="rId157" Type="http://schemas.openxmlformats.org/officeDocument/2006/relationships/hyperlink" Target="https://kase.kz/ru/investors/gsecs/MUJ168_0005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240_0001" TargetMode="External"/><Relationship Id="rId322" Type="http://schemas.openxmlformats.org/officeDocument/2006/relationships/hyperlink" Target="https://kase.kz/ru/listing/issuers/SKKZ" TargetMode="External"/><Relationship Id="rId61" Type="http://schemas.openxmlformats.org/officeDocument/2006/relationships/hyperlink" Target="https://kase.kz/ru/investors/shares/KMGZ" TargetMode="External"/><Relationship Id="rId82" Type="http://schemas.openxmlformats.org/officeDocument/2006/relationships/hyperlink" Target="https://kase.kz/ru/listing/issuers/KZTO" TargetMode="External"/><Relationship Id="rId199" Type="http://schemas.openxmlformats.org/officeDocument/2006/relationships/hyperlink" Target="https://kase.kz/ru/investors/gsecs/MUJ228_0005" TargetMode="External"/><Relationship Id="rId203" Type="http://schemas.openxmlformats.org/officeDocument/2006/relationships/hyperlink" Target="https://kase.kz/ru/investors/gsecs/MUJ240_0001" TargetMode="External"/><Relationship Id="rId19" Type="http://schemas.openxmlformats.org/officeDocument/2006/relationships/hyperlink" Target="https://kase.kz/ru/investors/shares/CCBN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44_0006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15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24" TargetMode="External"/><Relationship Id="rId126" Type="http://schemas.openxmlformats.org/officeDocument/2006/relationships/hyperlink" Target="https://kase.kz/ru/listing/issuers/MFRK" TargetMode="External"/><Relationship Id="rId147" Type="http://schemas.openxmlformats.org/officeDocument/2006/relationships/hyperlink" Target="https://kase.kz/ru/investors/gsecs/MTM084_0001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shares/HSBK" TargetMode="External"/><Relationship Id="rId72" Type="http://schemas.openxmlformats.org/officeDocument/2006/relationships/hyperlink" Target="https://kase.kz/ru/listing/issuers/KSPI" TargetMode="External"/><Relationship Id="rId93" Type="http://schemas.openxmlformats.org/officeDocument/2006/relationships/hyperlink" Target="https://kase.kz/ru/investors/bonds/MFOKb16" TargetMode="External"/><Relationship Id="rId189" Type="http://schemas.openxmlformats.org/officeDocument/2006/relationships/hyperlink" Target="https://kase.kz/ru/investors/gsecs/MUJ216_0005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120_0017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80_0009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RF" TargetMode="External"/><Relationship Id="rId137" Type="http://schemas.openxmlformats.org/officeDocument/2006/relationships/hyperlink" Target="https://kase.kz/ru/investors/gsecs/MOM060_0054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bonds/TSSPb1" TargetMode="External"/><Relationship Id="rId20" Type="http://schemas.openxmlformats.org/officeDocument/2006/relationships/hyperlink" Target="https://kase.kz/ru/listing/issuers/CCBN" TargetMode="External"/><Relationship Id="rId41" Type="http://schemas.openxmlformats.org/officeDocument/2006/relationships/hyperlink" Target="https://kase.kz/ru/investors/bonds/HCBNb9" TargetMode="External"/><Relationship Id="rId62" Type="http://schemas.openxmlformats.org/officeDocument/2006/relationships/hyperlink" Target="https://kase.kz/ru/listing/issuers/KMGZ" TargetMode="External"/><Relationship Id="rId83" Type="http://schemas.openxmlformats.org/officeDocument/2006/relationships/hyperlink" Target="https://kase.kz/ru/investors/gsecs/KZ_23_3504" TargetMode="External"/><Relationship Id="rId179" Type="http://schemas.openxmlformats.org/officeDocument/2006/relationships/hyperlink" Target="https://kase.kz/ru/investors/gsecs/MUJ204_0006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96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80_0004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gsecs/MKM012_0161" TargetMode="External"/><Relationship Id="rId313" Type="http://schemas.openxmlformats.org/officeDocument/2006/relationships/hyperlink" Target="https://kase.kz/ru/investors/gsecs/MUM360_0001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53" TargetMode="External"/><Relationship Id="rId52" Type="http://schemas.openxmlformats.org/officeDocument/2006/relationships/hyperlink" Target="https://kase.kz/ru/listing/issuers/HSBK" TargetMode="External"/><Relationship Id="rId73" Type="http://schemas.openxmlformats.org/officeDocument/2006/relationships/hyperlink" Target="https://kase.kz/ru/investors/shares/KZAP" TargetMode="External"/><Relationship Id="rId94" Type="http://schemas.openxmlformats.org/officeDocument/2006/relationships/hyperlink" Target="https://kase.kz/ru/listing/issuers/MFOK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204_0001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M084_0020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68_0001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240_0002" TargetMode="External"/><Relationship Id="rId42" Type="http://schemas.openxmlformats.org/officeDocument/2006/relationships/hyperlink" Target="https://kase.kz/ru/listing/issuers/HCBN" TargetMode="External"/><Relationship Id="rId84" Type="http://schemas.openxmlformats.org/officeDocument/2006/relationships/hyperlink" Target="https://kase.kz/ru/listing/issuers/MFRK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28_0001" TargetMode="External"/><Relationship Id="rId205" Type="http://schemas.openxmlformats.org/officeDocument/2006/relationships/hyperlink" Target="https://kase.kz/ru/investors/gsecs/MUM072_0013" TargetMode="External"/><Relationship Id="rId247" Type="http://schemas.openxmlformats.org/officeDocument/2006/relationships/hyperlink" Target="https://kase.kz/ru/investors/gsecs/MUM144_0009" TargetMode="External"/><Relationship Id="rId107" Type="http://schemas.openxmlformats.org/officeDocument/2006/relationships/hyperlink" Target="https://kase.kz/ru/investors/bonds/MFOKb25" TargetMode="External"/><Relationship Id="rId289" Type="http://schemas.openxmlformats.org/officeDocument/2006/relationships/hyperlink" Target="https://kase.kz/ru/investors/gsecs/MUM180_0016" TargetMode="External"/><Relationship Id="rId11" Type="http://schemas.openxmlformats.org/officeDocument/2006/relationships/hyperlink" Target="https://kase.kz/ru/investors/bonds/BIGDb5" TargetMode="External"/><Relationship Id="rId53" Type="http://schemas.openxmlformats.org/officeDocument/2006/relationships/hyperlink" Target="https://kase.kz/ru/investors/depts/HSBKd" TargetMode="External"/><Relationship Id="rId149" Type="http://schemas.openxmlformats.org/officeDocument/2006/relationships/hyperlink" Target="https://kase.kz/ru/investors/gsecs/MTM096_0001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OKb18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CBN" TargetMode="External"/><Relationship Id="rId64" Type="http://schemas.openxmlformats.org/officeDocument/2006/relationships/hyperlink" Target="https://kase.kz/ru/listing/issuers/KMGZ" TargetMode="External"/><Relationship Id="rId118" Type="http://schemas.openxmlformats.org/officeDocument/2006/relationships/hyperlink" Target="https://kase.kz/ru/listing/issuers/MFRF" TargetMode="External"/><Relationship Id="rId171" Type="http://schemas.openxmlformats.org/officeDocument/2006/relationships/hyperlink" Target="https://kase.kz/ru/investors/gsecs/MUJ204_0002" TargetMode="External"/><Relationship Id="rId227" Type="http://schemas.openxmlformats.org/officeDocument/2006/relationships/hyperlink" Target="https://kase.kz/ru/investors/gsecs/MUM108_0012" TargetMode="External"/><Relationship Id="rId269" Type="http://schemas.openxmlformats.org/officeDocument/2006/relationships/hyperlink" Target="https://kase.kz/ru/investors/gsecs/MUM180_0005" TargetMode="External"/><Relationship Id="rId33" Type="http://schemas.openxmlformats.org/officeDocument/2006/relationships/hyperlink" Target="https://kase.kz/ru/investors/mifs/FFIN_or" TargetMode="External"/><Relationship Id="rId129" Type="http://schemas.openxmlformats.org/officeDocument/2006/relationships/hyperlink" Target="https://kase.kz/ru/investors/gsecs/MOM048_0052" TargetMode="External"/><Relationship Id="rId280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ZTCb3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92_0001" TargetMode="External"/><Relationship Id="rId305" Type="http://schemas.openxmlformats.org/officeDocument/2006/relationships/hyperlink" Target="https://kase.kz/ru/investors/gsecs/MUM240_0004" TargetMode="External"/><Relationship Id="rId44" Type="http://schemas.openxmlformats.org/officeDocument/2006/relationships/hyperlink" Target="https://kase.kz/ru/listing/issuers/HFIN" TargetMode="External"/><Relationship Id="rId86" Type="http://schemas.openxmlformats.org/officeDocument/2006/relationships/hyperlink" Target="https://kase.kz/ru/listing/issuers/MFMO" TargetMode="External"/><Relationship Id="rId151" Type="http://schemas.openxmlformats.org/officeDocument/2006/relationships/hyperlink" Target="https://kase.kz/ru/investors/gsecs/MUJ144_0005" TargetMode="External"/><Relationship Id="rId193" Type="http://schemas.openxmlformats.org/officeDocument/2006/relationships/hyperlink" Target="https://kase.kz/ru/investors/gsecs/MUJ228_0002" TargetMode="External"/><Relationship Id="rId207" Type="http://schemas.openxmlformats.org/officeDocument/2006/relationships/hyperlink" Target="https://kase.kz/ru/investors/gsecs/MUM072_0014" TargetMode="External"/><Relationship Id="rId249" Type="http://schemas.openxmlformats.org/officeDocument/2006/relationships/hyperlink" Target="https://kase.kz/ru/investors/gsecs/MUM156_0005" TargetMode="External"/><Relationship Id="rId13" Type="http://schemas.openxmlformats.org/officeDocument/2006/relationships/hyperlink" Target="https://kase.kz/ru/investors/bonds/BRKZb19" TargetMode="External"/><Relationship Id="rId109" Type="http://schemas.openxmlformats.org/officeDocument/2006/relationships/hyperlink" Target="https://kase.kz/ru/investors/bonds/MFOKb26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8"/>
  <sheetViews>
    <sheetView tabSelected="1" zoomScale="90" zoomScaleNormal="90" workbookViewId="0">
      <pane ySplit="5" topLeftCell="A60" activePane="bottomLeft" state="frozen"/>
      <selection pane="bottomLeft" activeCell="D83" sqref="D83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8.42578125" bestFit="1" customWidth="1"/>
    <col min="7" max="7" width="16.28515625" bestFit="1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0.8554687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243</v>
      </c>
      <c r="B1" s="14">
        <v>45866</v>
      </c>
    </row>
    <row r="2" spans="1:23" x14ac:dyDescent="0.25">
      <c r="A2" s="6" t="s">
        <v>244</v>
      </c>
    </row>
    <row r="3" spans="1:23" x14ac:dyDescent="0.25">
      <c r="H3" s="8"/>
      <c r="K3" s="8"/>
    </row>
    <row r="4" spans="1:23" ht="15.75" thickBot="1" x14ac:dyDescent="0.3">
      <c r="A4" s="5" t="s">
        <v>245</v>
      </c>
      <c r="H4" s="8"/>
      <c r="L4" s="8"/>
      <c r="M4" s="8"/>
    </row>
    <row r="5" spans="1:23" ht="34.5" thickBot="1" x14ac:dyDescent="0.3">
      <c r="A5" s="1" t="s">
        <v>248</v>
      </c>
      <c r="B5" s="1" t="s">
        <v>0</v>
      </c>
      <c r="C5" s="1" t="s">
        <v>274</v>
      </c>
      <c r="D5" s="2" t="s">
        <v>351</v>
      </c>
      <c r="E5" s="2" t="s">
        <v>242</v>
      </c>
      <c r="F5" s="2" t="s">
        <v>241</v>
      </c>
      <c r="G5" s="2" t="s">
        <v>1</v>
      </c>
      <c r="H5" s="2" t="s">
        <v>374</v>
      </c>
      <c r="I5" s="2" t="s">
        <v>2630</v>
      </c>
      <c r="J5" s="2" t="s">
        <v>2631</v>
      </c>
      <c r="K5" s="2" t="s">
        <v>2</v>
      </c>
      <c r="L5" s="2" t="s">
        <v>384</v>
      </c>
      <c r="M5" s="2" t="s">
        <v>3</v>
      </c>
      <c r="N5" s="8"/>
    </row>
    <row r="6" spans="1:23" x14ac:dyDescent="0.25">
      <c r="A6" s="27" t="s">
        <v>271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364</v>
      </c>
      <c r="H6" s="29">
        <f>2755458875/3250000000*D6</f>
        <v>1483708625</v>
      </c>
      <c r="I6" s="32">
        <f>VLOOKUP(B6,'KASE за 28.07.25'!$C$5:$F$162,4,0)</f>
        <v>84.352599999999995</v>
      </c>
      <c r="J6" s="32">
        <f>VLOOKUP(B6,'KASE за 28.07.25'!$C$5:$G$162,5,0)</f>
        <v>86.197900000000004</v>
      </c>
      <c r="K6" s="29">
        <v>32291875</v>
      </c>
      <c r="L6" s="29">
        <f>D6*I6/100+K6</f>
        <v>1508462375</v>
      </c>
      <c r="M6" s="33">
        <f t="shared" ref="M6:M49" si="0">L6/$L$59</f>
        <v>5.8750983894943175E-2</v>
      </c>
      <c r="N6" s="13">
        <f>D6*E6%/360</f>
        <v>266875.00000000006</v>
      </c>
      <c r="O6" s="12">
        <f>K6+N6</f>
        <v>32558750</v>
      </c>
      <c r="Q6" s="8"/>
      <c r="R6" s="8"/>
      <c r="S6" s="8"/>
      <c r="T6" s="8"/>
    </row>
    <row r="7" spans="1:23" x14ac:dyDescent="0.25">
      <c r="A7" s="27" t="s">
        <v>271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365</v>
      </c>
      <c r="H7" s="29">
        <v>1838876000</v>
      </c>
      <c r="I7" s="32">
        <f>VLOOKUP(B7,'KASE за 28.07.25'!$C$5:$F$162,4,0)</f>
        <v>86.47</v>
      </c>
      <c r="J7" s="32">
        <f>VLOOKUP(B7,'KASE за 28.07.25'!$C$5:$G$162,5,0)</f>
        <v>89.532200000000003</v>
      </c>
      <c r="K7" s="64">
        <v>59713333.333333418</v>
      </c>
      <c r="L7" s="29">
        <f>D7*I7/100+K7</f>
        <v>1745878333.3333335</v>
      </c>
      <c r="M7" s="33">
        <f t="shared" si="0"/>
        <v>6.7997764839309902E-2</v>
      </c>
      <c r="N7" s="13">
        <f t="shared" ref="N7:N15" si="1">D7*E7%/360</f>
        <v>563333.33333333337</v>
      </c>
      <c r="O7" s="12">
        <f t="shared" ref="O7:O41" si="2">K7+N7</f>
        <v>60276666.666666754</v>
      </c>
      <c r="Q7" s="8"/>
      <c r="R7" s="8"/>
    </row>
    <row r="8" spans="1:23" x14ac:dyDescent="0.25">
      <c r="A8" s="27" t="s">
        <v>272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366</v>
      </c>
      <c r="H8" s="29">
        <f>1855844250/1950000000*D8</f>
        <v>1311796370.25</v>
      </c>
      <c r="I8" s="32">
        <f>VLOOKUP(B8,'KASE за 28.07.25'!$C$5:$F$162,4,0)</f>
        <v>84.756900000000002</v>
      </c>
      <c r="J8" s="32">
        <f>VLOOKUP(B8,'KASE за 28.07.25'!$C$5:$G$162,5,0)</f>
        <v>88.362499999999997</v>
      </c>
      <c r="K8" s="29">
        <v>49697175</v>
      </c>
      <c r="L8" s="29">
        <f>D8*I8/100+K8</f>
        <v>1217943906.1500001</v>
      </c>
      <c r="M8" s="33">
        <f t="shared" si="0"/>
        <v>4.7435987798610385E-2</v>
      </c>
      <c r="N8" s="13">
        <f>D8*E8%/360</f>
        <v>421162.5</v>
      </c>
      <c r="O8" s="12">
        <f t="shared" si="2"/>
        <v>50118337.5</v>
      </c>
      <c r="Q8" s="8"/>
      <c r="R8" s="8"/>
    </row>
    <row r="9" spans="1:23" x14ac:dyDescent="0.25">
      <c r="A9" s="27" t="s">
        <v>271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356</v>
      </c>
      <c r="H9" s="29">
        <f>1504310166.66923/1500000000*D9</f>
        <v>844419440.22366107</v>
      </c>
      <c r="I9" s="32">
        <f>VLOOKUP(B9,'KASE за 28.07.25'!$C$5:$F$162,4,0)</f>
        <v>82.864199999999997</v>
      </c>
      <c r="J9" s="32">
        <f>VLOOKUP(B9,'KASE за 28.07.25'!$C$5:$G$162,5,0)</f>
        <v>82.864199999999997</v>
      </c>
      <c r="K9" s="122">
        <f>88830999.9999999-88830999.9999999</f>
        <v>0</v>
      </c>
      <c r="L9" s="29">
        <f>D9*I9/100+K9</f>
        <v>697716564</v>
      </c>
      <c r="M9" s="33">
        <f t="shared" si="0"/>
        <v>2.7174383195867971E-2</v>
      </c>
      <c r="N9" s="13">
        <f>D9*E9%/360</f>
        <v>246752.77777777781</v>
      </c>
      <c r="O9" s="12">
        <f>K9+N9</f>
        <v>246752.77777777781</v>
      </c>
      <c r="Q9" s="8"/>
      <c r="R9" s="8"/>
    </row>
    <row r="10" spans="1:23" x14ac:dyDescent="0.25">
      <c r="A10" s="27" t="s">
        <v>271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367</v>
      </c>
      <c r="H10" s="29">
        <v>1307498994.4468999</v>
      </c>
      <c r="I10" s="32">
        <f>VLOOKUP(B10,'KASE за 28.07.25'!$C$5:$F$162,4,0)</f>
        <v>77.907399999999996</v>
      </c>
      <c r="J10" s="32">
        <f>VLOOKUP(B10,'KASE за 28.07.25'!$C$5:$G$162,5,0)</f>
        <v>81.655500000000004</v>
      </c>
      <c r="K10" s="29">
        <v>54346805.555555642</v>
      </c>
      <c r="L10" s="29">
        <f t="shared" ref="L10:L15" si="3">D10*I10/100+K10</f>
        <v>1184004105.5555556</v>
      </c>
      <c r="M10" s="33">
        <f t="shared" si="0"/>
        <v>4.611411414026223E-2</v>
      </c>
      <c r="N10" s="13">
        <f>D10*E10%/360</f>
        <v>414861.11111111112</v>
      </c>
      <c r="O10" s="12">
        <f t="shared" si="2"/>
        <v>54761666.666666754</v>
      </c>
      <c r="Q10" s="8"/>
      <c r="R10" s="8"/>
    </row>
    <row r="11" spans="1:23" x14ac:dyDescent="0.25">
      <c r="A11" s="27" t="s">
        <v>272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368</v>
      </c>
      <c r="H11" s="29">
        <v>1540335116.6700001</v>
      </c>
      <c r="I11" s="32">
        <f>VLOOKUP(B11,'KASE за 28.07.25'!$C$5:$F$162,4,0)</f>
        <v>68.601500000000001</v>
      </c>
      <c r="J11" s="32">
        <f>VLOOKUP(B11,'KASE за 28.07.25'!$C$5:$G$162,5,0)</f>
        <v>70.995699999999999</v>
      </c>
      <c r="K11" s="64">
        <v>46686250.00000003</v>
      </c>
      <c r="L11" s="29">
        <f t="shared" si="3"/>
        <v>1384415500</v>
      </c>
      <c r="M11" s="33">
        <f t="shared" si="0"/>
        <v>5.3919656262165438E-2</v>
      </c>
      <c r="N11" s="13">
        <f t="shared" si="1"/>
        <v>457708.33333333326</v>
      </c>
      <c r="O11" s="12">
        <f t="shared" si="2"/>
        <v>47143958.333333366</v>
      </c>
      <c r="Q11" s="8"/>
      <c r="R11" s="8"/>
    </row>
    <row r="12" spans="1:23" x14ac:dyDescent="0.25">
      <c r="A12" s="27" t="s">
        <v>273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369</v>
      </c>
      <c r="H12" s="29">
        <f>1897171250/1950000000*D12</f>
        <v>955395983.33333337</v>
      </c>
      <c r="I12" s="32">
        <f>VLOOKUP(B12,'KASE за 28.07.25'!$C$5:$F$162,4,0)</f>
        <v>76.778000000000006</v>
      </c>
      <c r="J12" s="32">
        <f>VLOOKUP(B12,'KASE за 28.07.25'!$C$5:$G$162,5,0)</f>
        <v>76.837199999999996</v>
      </c>
      <c r="K12" s="95">
        <v>581016.66666666663</v>
      </c>
      <c r="L12" s="29">
        <f>D12*I12/100+K12</f>
        <v>754540976.66666663</v>
      </c>
      <c r="M12" s="33">
        <f t="shared" si="0"/>
        <v>2.9387557490930475E-2</v>
      </c>
      <c r="N12" s="13">
        <f>D12*E12%/360</f>
        <v>290508.33333333331</v>
      </c>
      <c r="O12" s="12">
        <f t="shared" si="2"/>
        <v>871525</v>
      </c>
      <c r="Q12" s="8"/>
      <c r="R12" s="8"/>
    </row>
    <row r="13" spans="1:23" x14ac:dyDescent="0.25">
      <c r="A13" s="27" t="s">
        <v>273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369</v>
      </c>
      <c r="H13" s="29">
        <f>227969916.67/250000000*D13</f>
        <v>227969916.66999999</v>
      </c>
      <c r="I13" s="32">
        <f>VLOOKUP(B13,'KASE за 28.07.25'!$C$5:$F$162,4,0)</f>
        <v>76.778000000000006</v>
      </c>
      <c r="J13" s="32">
        <f>VLOOKUP(B13,'KASE за 28.07.25'!$C$5:$G$162,5,0)</f>
        <v>76.837199999999996</v>
      </c>
      <c r="K13" s="95">
        <v>147916.66666666666</v>
      </c>
      <c r="L13" s="29">
        <f>D13*I13/100+K13</f>
        <v>192092916.66666666</v>
      </c>
      <c r="M13" s="33">
        <f t="shared" si="0"/>
        <v>7.4815574060413635E-3</v>
      </c>
      <c r="N13" s="13">
        <f>D13*E13%/360</f>
        <v>73958.333333333328</v>
      </c>
      <c r="O13" s="12">
        <f t="shared" ref="O13" si="4">K13+N13</f>
        <v>221875</v>
      </c>
      <c r="Q13" s="8"/>
      <c r="R13" s="8"/>
      <c r="S13" s="43"/>
    </row>
    <row r="14" spans="1:23" x14ac:dyDescent="0.25">
      <c r="A14" s="27" t="s">
        <v>271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370</v>
      </c>
      <c r="H14" s="29">
        <v>1425576750</v>
      </c>
      <c r="I14" s="32">
        <f>VLOOKUP(B14,'KASE за 28.07.25'!$C$5:$F$165,4,0)</f>
        <v>62.556899999999999</v>
      </c>
      <c r="J14" s="32">
        <f>VLOOKUP(B14,'KASE за 28.07.25'!$C$5:$G$165,5,0)</f>
        <v>64.260599999999997</v>
      </c>
      <c r="K14" s="95">
        <v>33221500.000000004</v>
      </c>
      <c r="L14" s="29">
        <f t="shared" si="3"/>
        <v>1253081050</v>
      </c>
      <c r="M14" s="33">
        <f t="shared" si="0"/>
        <v>4.880449509893045E-2</v>
      </c>
      <c r="N14" s="13">
        <f t="shared" si="1"/>
        <v>437125.00000000006</v>
      </c>
      <c r="O14" s="12">
        <f t="shared" si="2"/>
        <v>33658625.000000007</v>
      </c>
      <c r="Q14" s="8"/>
      <c r="R14" s="8"/>
    </row>
    <row r="15" spans="1:23" x14ac:dyDescent="0.25">
      <c r="A15" s="27" t="s">
        <v>271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371</v>
      </c>
      <c r="H15" s="29">
        <v>1449433375</v>
      </c>
      <c r="I15" s="32">
        <f>VLOOKUP(B15,'KASE за 28.07.25'!$C$5:$F$165,4,0)</f>
        <v>61.182400000000001</v>
      </c>
      <c r="J15" s="32">
        <f>VLOOKUP(B15,'KASE за 28.07.25'!$C$5:$G$165,5,0)</f>
        <v>65.194999999999993</v>
      </c>
      <c r="K15" s="29">
        <v>78245375</v>
      </c>
      <c r="L15" s="29">
        <f t="shared" si="3"/>
        <v>1271302175</v>
      </c>
      <c r="M15" s="33">
        <f t="shared" si="0"/>
        <v>4.9514164122940907E-2</v>
      </c>
      <c r="N15" s="13">
        <f t="shared" si="1"/>
        <v>437125.00000000006</v>
      </c>
      <c r="O15" s="12">
        <f t="shared" si="2"/>
        <v>78682500</v>
      </c>
      <c r="Q15" s="8"/>
      <c r="R15" s="8"/>
    </row>
    <row r="16" spans="1:23" x14ac:dyDescent="0.25">
      <c r="A16" s="27" t="s">
        <v>276</v>
      </c>
      <c r="B16" s="28" t="s">
        <v>220</v>
      </c>
      <c r="C16" s="29">
        <f>312000-1</f>
        <v>311999</v>
      </c>
      <c r="D16" s="29">
        <f t="shared" ref="D16" si="5"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28.07.25'!$C$5:$F$165,4,0)</f>
        <v>57.166800000000002</v>
      </c>
      <c r="J16" s="32">
        <f>VLOOKUP(B16,'KASE за 28.07.25'!$C$5:$G$165,5,0)</f>
        <v>58.602899999999998</v>
      </c>
      <c r="K16" s="29">
        <v>4480652.3055555616</v>
      </c>
      <c r="L16" s="29">
        <f t="shared" ref="L16:L30" si="6">D16*I16/100+K16</f>
        <v>182840496.63755557</v>
      </c>
      <c r="M16" s="33">
        <f t="shared" si="0"/>
        <v>7.1211978842338972E-3</v>
      </c>
      <c r="N16" s="13">
        <f>D16*E16%/360</f>
        <v>47666.513888888891</v>
      </c>
      <c r="O16" s="12">
        <f t="shared" si="2"/>
        <v>4528318.8194444505</v>
      </c>
      <c r="Q16" s="8"/>
      <c r="R16" s="8"/>
      <c r="S16" s="99"/>
      <c r="T16" s="8"/>
      <c r="W16" s="10"/>
    </row>
    <row r="17" spans="1:23" x14ac:dyDescent="0.25">
      <c r="A17" s="27" t="s">
        <v>276</v>
      </c>
      <c r="B17" s="28" t="s">
        <v>220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28.07.25'!$C$5:$F$165,4,0)</f>
        <v>57.166800000000002</v>
      </c>
      <c r="J17" s="32">
        <f>VLOOKUP(B17,'KASE за 28.07.25'!$C$5:$G$165,5,0)</f>
        <v>58.602899999999998</v>
      </c>
      <c r="K17" s="29">
        <v>7180555.5555555634</v>
      </c>
      <c r="L17" s="29">
        <f t="shared" si="6"/>
        <v>293014555.55555558</v>
      </c>
      <c r="M17" s="33">
        <f t="shared" si="0"/>
        <v>1.1412212674133405E-2</v>
      </c>
      <c r="N17" s="13">
        <f t="shared" ref="N17:N27" si="7">D17*E17%/360</f>
        <v>76388.888888888891</v>
      </c>
      <c r="O17" s="12">
        <f t="shared" si="2"/>
        <v>7256944.4444444524</v>
      </c>
      <c r="Q17" s="8"/>
      <c r="R17" s="8"/>
      <c r="S17" s="99"/>
      <c r="W17" s="10"/>
    </row>
    <row r="18" spans="1:23" x14ac:dyDescent="0.25">
      <c r="A18" s="27" t="s">
        <v>276</v>
      </c>
      <c r="B18" s="28" t="s">
        <v>220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28.07.25'!$C$5:$F$165,4,0)</f>
        <v>57.166800000000002</v>
      </c>
      <c r="J18" s="32">
        <f>VLOOKUP(B18,'KASE за 28.07.25'!$C$5:$G$165,5,0)</f>
        <v>58.602899999999998</v>
      </c>
      <c r="K18" s="29">
        <v>7180555.5555555634</v>
      </c>
      <c r="L18" s="29">
        <f t="shared" ref="L18" si="8">D18*I18/100+K18</f>
        <v>293014555.55555558</v>
      </c>
      <c r="M18" s="33">
        <f t="shared" si="0"/>
        <v>1.1412212674133405E-2</v>
      </c>
      <c r="N18" s="13">
        <f t="shared" ref="N18" si="9">D18*E18%/360</f>
        <v>76388.888888888891</v>
      </c>
      <c r="O18" s="12">
        <f t="shared" si="2"/>
        <v>7256944.4444444524</v>
      </c>
      <c r="Q18" s="8"/>
      <c r="S18" s="43"/>
      <c r="W18" s="10"/>
    </row>
    <row r="19" spans="1:23" x14ac:dyDescent="0.25">
      <c r="A19" s="27" t="s">
        <v>276</v>
      </c>
      <c r="B19" s="28" t="s">
        <v>220</v>
      </c>
      <c r="C19" s="29">
        <v>300000</v>
      </c>
      <c r="D19" s="29">
        <f t="shared" ref="D19" si="10"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28.07.25'!$C$5:$F$165,4,0)</f>
        <v>57.166800000000002</v>
      </c>
      <c r="J19" s="32">
        <f>VLOOKUP(B19,'KASE за 28.07.25'!$C$5:$G$165,5,0)</f>
        <v>58.602899999999998</v>
      </c>
      <c r="K19" s="29">
        <v>4308333.3333333386</v>
      </c>
      <c r="L19" s="29">
        <f t="shared" ref="L19" si="11">D19*I19/100+K19</f>
        <v>175808733.33333334</v>
      </c>
      <c r="M19" s="33">
        <f t="shared" si="0"/>
        <v>6.8473276044800436E-3</v>
      </c>
      <c r="N19" s="13">
        <f>D19*E19%/360</f>
        <v>45833.333333333336</v>
      </c>
      <c r="O19" s="12">
        <f t="shared" si="2"/>
        <v>4354166.6666666716</v>
      </c>
      <c r="Q19" s="8"/>
      <c r="R19" s="8"/>
      <c r="S19" s="41"/>
    </row>
    <row r="20" spans="1:23" x14ac:dyDescent="0.25">
      <c r="A20" s="27" t="s">
        <v>276</v>
      </c>
      <c r="B20" s="28" t="s">
        <v>220</v>
      </c>
      <c r="C20" s="29">
        <v>300000</v>
      </c>
      <c r="D20" s="29">
        <f t="shared" ref="D20" si="12"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28.07.25'!$C$5:$F$165,4,0)</f>
        <v>57.166800000000002</v>
      </c>
      <c r="J20" s="32">
        <f>VLOOKUP(B20,'KASE за 28.07.25'!$C$5:$G$165,5,0)</f>
        <v>58.602899999999998</v>
      </c>
      <c r="K20" s="29">
        <v>4308333.3333333386</v>
      </c>
      <c r="L20" s="29">
        <f t="shared" ref="L20" si="13">D20*I20/100+K20</f>
        <v>175808733.33333334</v>
      </c>
      <c r="M20" s="33">
        <f t="shared" si="0"/>
        <v>6.8473276044800436E-3</v>
      </c>
      <c r="N20" s="13">
        <f>D20*E20%/360</f>
        <v>45833.333333333336</v>
      </c>
      <c r="O20" s="12">
        <f t="shared" si="2"/>
        <v>4354166.6666666716</v>
      </c>
      <c r="Q20" s="8"/>
      <c r="R20" s="8"/>
      <c r="S20" s="41"/>
    </row>
    <row r="21" spans="1:23" x14ac:dyDescent="0.25">
      <c r="A21" s="27" t="s">
        <v>271</v>
      </c>
      <c r="B21" s="28" t="s">
        <v>8</v>
      </c>
      <c r="C21" s="29">
        <v>500000</v>
      </c>
      <c r="D21" s="29">
        <f t="shared" ref="D21:D30" si="14">C21*1000</f>
        <v>500000000</v>
      </c>
      <c r="E21" s="30">
        <v>10.55</v>
      </c>
      <c r="F21" s="31">
        <v>45512</v>
      </c>
      <c r="G21" s="31" t="s">
        <v>356</v>
      </c>
      <c r="H21" s="29">
        <v>451940777.77999997</v>
      </c>
      <c r="I21" s="32">
        <f>VLOOKUP(B21,'KASE за 28.07.25'!$C$5:$F$162,4,0)</f>
        <v>82.864199999999997</v>
      </c>
      <c r="J21" s="32">
        <f>VLOOKUP(B21,'KASE за 28.07.25'!$C$5:$G$162,5,0)</f>
        <v>82.864199999999997</v>
      </c>
      <c r="K21" s="122">
        <f>52749999.9999998-52749999.9999998</f>
        <v>0</v>
      </c>
      <c r="L21" s="29">
        <f t="shared" si="6"/>
        <v>414321000</v>
      </c>
      <c r="M21" s="33">
        <f t="shared" si="0"/>
        <v>1.6136807123437038E-2</v>
      </c>
      <c r="N21" s="13">
        <f>D21*E21%/360</f>
        <v>146527.77777777781</v>
      </c>
      <c r="O21" s="12">
        <f t="shared" si="2"/>
        <v>146527.77777777781</v>
      </c>
      <c r="Q21" s="8"/>
      <c r="R21" s="8"/>
    </row>
    <row r="22" spans="1:23" x14ac:dyDescent="0.25">
      <c r="A22" s="27" t="s">
        <v>271</v>
      </c>
      <c r="B22" s="28" t="s">
        <v>8</v>
      </c>
      <c r="C22" s="29">
        <v>553430</v>
      </c>
      <c r="D22" s="29">
        <f t="shared" si="14"/>
        <v>553430000</v>
      </c>
      <c r="E22" s="30">
        <v>10.55</v>
      </c>
      <c r="F22" s="31">
        <v>45512</v>
      </c>
      <c r="G22" s="31" t="s">
        <v>356</v>
      </c>
      <c r="H22" s="29">
        <v>499999408.11000001</v>
      </c>
      <c r="I22" s="32">
        <f>VLOOKUP(B22,'KASE за 28.07.25'!$C$5:$F$162,4,0)</f>
        <v>82.864199999999997</v>
      </c>
      <c r="J22" s="32">
        <f>VLOOKUP(B22,'KASE за 28.07.25'!$C$5:$G$162,5,0)</f>
        <v>82.864199999999997</v>
      </c>
      <c r="K22" s="122">
        <f>58386865.0000005-58386865.0000005</f>
        <v>0</v>
      </c>
      <c r="L22" s="29">
        <f t="shared" si="6"/>
        <v>458595342.06</v>
      </c>
      <c r="M22" s="33">
        <f t="shared" si="0"/>
        <v>1.7861186332647518E-2</v>
      </c>
      <c r="N22" s="13">
        <f t="shared" si="7"/>
        <v>162185.73611111112</v>
      </c>
      <c r="O22" s="12">
        <f t="shared" si="2"/>
        <v>162185.73611111112</v>
      </c>
      <c r="Q22" s="8"/>
      <c r="R22" s="8"/>
    </row>
    <row r="23" spans="1:23" x14ac:dyDescent="0.25">
      <c r="A23" s="27" t="s">
        <v>272</v>
      </c>
      <c r="B23" s="28" t="s">
        <v>212</v>
      </c>
      <c r="C23" s="29">
        <v>636055</v>
      </c>
      <c r="D23" s="29">
        <f t="shared" si="14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28.07.25'!$C$5:$F$162,4,0)</f>
        <v>75.4422</v>
      </c>
      <c r="J23" s="32">
        <f>VLOOKUP(B23,'KASE за 28.07.25'!$C$5:$G$162,5,0)</f>
        <v>76.831100000000006</v>
      </c>
      <c r="K23" s="29">
        <v>8834097.2222222071</v>
      </c>
      <c r="L23" s="29">
        <f t="shared" si="6"/>
        <v>488687982.43222219</v>
      </c>
      <c r="M23" s="33">
        <f t="shared" si="0"/>
        <v>1.9033222347045787E-2</v>
      </c>
      <c r="N23" s="13">
        <f t="shared" si="7"/>
        <v>88340.972222222219</v>
      </c>
      <c r="O23" s="12">
        <f t="shared" si="2"/>
        <v>8922438.1944444291</v>
      </c>
      <c r="Q23" s="8"/>
      <c r="R23" s="8"/>
    </row>
    <row r="24" spans="1:23" x14ac:dyDescent="0.25">
      <c r="A24" s="27" t="s">
        <v>271</v>
      </c>
      <c r="B24" s="28" t="s">
        <v>226</v>
      </c>
      <c r="C24" s="29">
        <v>715927</v>
      </c>
      <c r="D24" s="29">
        <f t="shared" si="14"/>
        <v>715927000</v>
      </c>
      <c r="E24" s="30">
        <v>8.35</v>
      </c>
      <c r="F24" s="31">
        <v>45526</v>
      </c>
      <c r="G24" s="31">
        <v>50976</v>
      </c>
      <c r="H24" s="29">
        <v>499999479.19999999</v>
      </c>
      <c r="I24" s="32">
        <f>VLOOKUP(B24,'KASE за 28.07.25'!$C$5:$F$165,4,0)</f>
        <v>57.222999999999999</v>
      </c>
      <c r="J24" s="32">
        <f>VLOOKUP(B24,'KASE за 28.07.25'!$C$5:$G$165,5,0)</f>
        <v>57.2926</v>
      </c>
      <c r="K24" s="95">
        <v>498165.87083333329</v>
      </c>
      <c r="L24" s="29">
        <f t="shared" si="6"/>
        <v>410173073.08083332</v>
      </c>
      <c r="M24" s="33">
        <f t="shared" si="0"/>
        <v>1.5975255339538308E-2</v>
      </c>
      <c r="N24" s="13">
        <f t="shared" si="7"/>
        <v>166055.29027777776</v>
      </c>
      <c r="O24" s="12">
        <f t="shared" si="2"/>
        <v>664221.16111111105</v>
      </c>
      <c r="Q24" s="8"/>
      <c r="R24" s="8"/>
    </row>
    <row r="25" spans="1:23" x14ac:dyDescent="0.25">
      <c r="A25" s="27" t="s">
        <v>271</v>
      </c>
      <c r="B25" s="28" t="s">
        <v>226</v>
      </c>
      <c r="C25" s="29">
        <v>284073</v>
      </c>
      <c r="D25" s="29">
        <f t="shared" ref="D25" si="15"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28.07.25'!$C$5:$F$165,4,0)</f>
        <v>57.222999999999999</v>
      </c>
      <c r="J25" s="32">
        <f>VLOOKUP(B25,'KASE за 28.07.25'!$C$5:$G$165,5,0)</f>
        <v>57.2926</v>
      </c>
      <c r="K25" s="95">
        <v>197667.46249999997</v>
      </c>
      <c r="L25" s="29">
        <f>D25*I25/100+K25</f>
        <v>162752760.2525</v>
      </c>
      <c r="M25" s="33">
        <f t="shared" si="0"/>
        <v>6.3388288332031986E-3</v>
      </c>
      <c r="N25" s="13">
        <f t="shared" ref="N25" si="16">D25*E25%/360</f>
        <v>65889.15416666666</v>
      </c>
      <c r="O25" s="12">
        <f t="shared" si="2"/>
        <v>263556.61666666664</v>
      </c>
      <c r="Q25" s="8"/>
      <c r="R25" s="8"/>
      <c r="S25" s="38"/>
    </row>
    <row r="26" spans="1:23" x14ac:dyDescent="0.25">
      <c r="A26" s="27" t="s">
        <v>272</v>
      </c>
      <c r="B26" s="28" t="s">
        <v>200</v>
      </c>
      <c r="C26" s="29">
        <v>500000</v>
      </c>
      <c r="D26" s="29">
        <f t="shared" si="14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28.07.25'!$C$5:$F$162,4,0)</f>
        <v>72.681399999999996</v>
      </c>
      <c r="J26" s="32">
        <f>VLOOKUP(B26,'KASE за 28.07.25'!$C$5:$G$162,5,0)</f>
        <v>76.3934</v>
      </c>
      <c r="K26" s="29">
        <v>18559999.999999605</v>
      </c>
      <c r="L26" s="29">
        <f t="shared" si="6"/>
        <v>381966999.99999958</v>
      </c>
      <c r="M26" s="33">
        <f t="shared" si="0"/>
        <v>1.4876696586747638E-2</v>
      </c>
      <c r="N26" s="13">
        <f t="shared" si="7"/>
        <v>106666.66666666667</v>
      </c>
      <c r="O26" s="12">
        <f t="shared" si="2"/>
        <v>18666666.666666273</v>
      </c>
      <c r="Q26" s="8"/>
      <c r="R26" s="8"/>
    </row>
    <row r="27" spans="1:23" x14ac:dyDescent="0.25">
      <c r="A27" s="27" t="s">
        <v>272</v>
      </c>
      <c r="B27" s="28" t="s">
        <v>200</v>
      </c>
      <c r="C27" s="29">
        <v>500000</v>
      </c>
      <c r="D27" s="29">
        <f t="shared" si="14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28.07.25'!$C$5:$F$162,4,0)</f>
        <v>72.681399999999996</v>
      </c>
      <c r="J27" s="32">
        <f>VLOOKUP(B27,'KASE за 28.07.25'!$C$5:$G$162,5,0)</f>
        <v>76.3934</v>
      </c>
      <c r="K27" s="29">
        <v>18559999.999999605</v>
      </c>
      <c r="L27" s="29">
        <f t="shared" si="6"/>
        <v>381966999.99999958</v>
      </c>
      <c r="M27" s="33">
        <f t="shared" si="0"/>
        <v>1.4876696586747638E-2</v>
      </c>
      <c r="N27" s="13">
        <f t="shared" si="7"/>
        <v>106666.66666666667</v>
      </c>
      <c r="O27" s="12">
        <f t="shared" si="2"/>
        <v>18666666.666666273</v>
      </c>
      <c r="Q27" s="8"/>
      <c r="R27" s="8"/>
    </row>
    <row r="28" spans="1:23" x14ac:dyDescent="0.25">
      <c r="A28" s="27" t="s">
        <v>272</v>
      </c>
      <c r="B28" s="28" t="s">
        <v>200</v>
      </c>
      <c r="C28" s="29">
        <v>500000</v>
      </c>
      <c r="D28" s="29">
        <f t="shared" ref="D28" si="17"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28.07.25'!$C$5:$F$162,4,0)</f>
        <v>72.681399999999996</v>
      </c>
      <c r="J28" s="32">
        <f>VLOOKUP(B28,'KASE за 28.07.25'!$C$5:$G$162,5,0)</f>
        <v>76.3934</v>
      </c>
      <c r="K28" s="29">
        <v>18559999.999999605</v>
      </c>
      <c r="L28" s="29">
        <f t="shared" ref="L28" si="18">D28*I28/100+K28</f>
        <v>381966999.99999958</v>
      </c>
      <c r="M28" s="33">
        <f t="shared" si="0"/>
        <v>1.4876696586747638E-2</v>
      </c>
      <c r="N28" s="13">
        <f t="shared" ref="N28" si="19">D28*E28%/360</f>
        <v>106666.66666666667</v>
      </c>
      <c r="O28" s="12">
        <f t="shared" si="2"/>
        <v>18666666.666666273</v>
      </c>
      <c r="Q28" s="8"/>
      <c r="R28" s="8"/>
    </row>
    <row r="29" spans="1:23" x14ac:dyDescent="0.25">
      <c r="A29" s="27" t="s">
        <v>42</v>
      </c>
      <c r="B29" s="28" t="s">
        <v>372</v>
      </c>
      <c r="C29" s="29">
        <v>1700000</v>
      </c>
      <c r="D29" s="29">
        <f t="shared" si="14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28.07.25'!$C$4:$G$963,4,0)</f>
        <v>98.971537767324833</v>
      </c>
      <c r="J29" s="32">
        <f>VLOOKUP(B29,'Риск цены за 28.07.25'!$C$4:$G$963,5,0)</f>
        <v>111.88123776732483</v>
      </c>
      <c r="K29" s="29">
        <v>219465277.77778283</v>
      </c>
      <c r="L29" s="29">
        <f>D29*I29/100+K29</f>
        <v>1901981419.822305</v>
      </c>
      <c r="M29" s="33">
        <f t="shared" si="0"/>
        <v>7.4077604862011481E-2</v>
      </c>
      <c r="N29" s="13">
        <f t="shared" ref="N29:N35" si="20">D29*E29%/360</f>
        <v>675277.77777777787</v>
      </c>
      <c r="O29" s="12">
        <f t="shared" si="2"/>
        <v>220140555.55556062</v>
      </c>
      <c r="Q29" s="8"/>
      <c r="R29" s="8"/>
    </row>
    <row r="30" spans="1:23" x14ac:dyDescent="0.25">
      <c r="A30" s="27" t="s">
        <v>272</v>
      </c>
      <c r="B30" s="28" t="s">
        <v>148</v>
      </c>
      <c r="C30" s="29">
        <v>500000</v>
      </c>
      <c r="D30" s="29">
        <f t="shared" si="14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28.07.25'!$C$5:$F$162,4,0)</f>
        <v>83.799000000000007</v>
      </c>
      <c r="J30" s="32">
        <f>VLOOKUP(B30,'KASE за 28.07.25'!$C$5:$G$162,5,0)</f>
        <v>88.998999999999995</v>
      </c>
      <c r="K30" s="29">
        <v>25999999.999999724</v>
      </c>
      <c r="L30" s="29">
        <f t="shared" si="6"/>
        <v>444994999.9999997</v>
      </c>
      <c r="M30" s="33">
        <f t="shared" si="0"/>
        <v>1.7331485698030898E-2</v>
      </c>
      <c r="N30" s="13">
        <f t="shared" si="20"/>
        <v>166666.66666666666</v>
      </c>
      <c r="O30" s="12">
        <f t="shared" si="2"/>
        <v>26166666.666666392</v>
      </c>
      <c r="Q30" s="8"/>
      <c r="R30" s="8"/>
    </row>
    <row r="31" spans="1:23" x14ac:dyDescent="0.25">
      <c r="A31" s="27" t="s">
        <v>272</v>
      </c>
      <c r="B31" s="28" t="s">
        <v>145</v>
      </c>
      <c r="C31" s="29">
        <v>300000</v>
      </c>
      <c r="D31" s="29">
        <f t="shared" ref="D31" si="21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28.07.25'!$C$5:$F$162,4,0)</f>
        <v>85.475200000000001</v>
      </c>
      <c r="J31" s="32">
        <f>VLOOKUP(B31,'KASE за 28.07.25'!$C$5:$G$162,5,0)</f>
        <v>90.175200000000004</v>
      </c>
      <c r="K31" s="29">
        <v>14100000</v>
      </c>
      <c r="L31" s="29">
        <f t="shared" ref="L31" si="22">D31*I31/100+K31</f>
        <v>270525600</v>
      </c>
      <c r="M31" s="33">
        <f t="shared" si="0"/>
        <v>1.0536321907777009E-2</v>
      </c>
      <c r="N31" s="13">
        <f t="shared" si="20"/>
        <v>100000</v>
      </c>
      <c r="O31" s="12">
        <f t="shared" si="2"/>
        <v>14200000</v>
      </c>
      <c r="Q31" s="8"/>
      <c r="R31" s="8"/>
    </row>
    <row r="32" spans="1:23" x14ac:dyDescent="0.25">
      <c r="A32" s="27" t="s">
        <v>272</v>
      </c>
      <c r="B32" s="28" t="s">
        <v>145</v>
      </c>
      <c r="C32" s="29">
        <v>288579</v>
      </c>
      <c r="D32" s="29">
        <f t="shared" ref="D32:D33" si="23">C32*1000</f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28.07.25'!$C$5:$F$162,4,0)</f>
        <v>85.475200000000001</v>
      </c>
      <c r="J32" s="32">
        <f>VLOOKUP(B32,'KASE за 28.07.25'!$C$5:$G$162,5,0)</f>
        <v>90.175200000000004</v>
      </c>
      <c r="K32" s="29">
        <v>13563213</v>
      </c>
      <c r="L32" s="29">
        <f t="shared" ref="L32" si="24">D32*I32/100+K32</f>
        <v>260226690.40799999</v>
      </c>
      <c r="M32" s="33">
        <f t="shared" si="0"/>
        <v>1.0135204132747939E-2</v>
      </c>
      <c r="N32" s="13">
        <f t="shared" si="20"/>
        <v>96193</v>
      </c>
      <c r="O32" s="12">
        <f t="shared" si="2"/>
        <v>13659406</v>
      </c>
      <c r="Q32" s="8"/>
      <c r="R32" s="8"/>
    </row>
    <row r="33" spans="1:19" x14ac:dyDescent="0.25">
      <c r="A33" s="27" t="s">
        <v>397</v>
      </c>
      <c r="B33" s="28" t="s">
        <v>412</v>
      </c>
      <c r="C33" s="29">
        <v>300000</v>
      </c>
      <c r="D33" s="29">
        <f t="shared" si="23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28.07.25'!$C$4:$G$963,4,0)</f>
        <v>97.836730888212671</v>
      </c>
      <c r="J33" s="32">
        <f>VLOOKUP(B33,'Риск цены за 28.07.25'!$C$4:$G$963,5,0)</f>
        <v>100.15173088821267</v>
      </c>
      <c r="K33" s="95">
        <v>6945000</v>
      </c>
      <c r="L33" s="29">
        <f>D33*I33/100+K33</f>
        <v>300455192.66463804</v>
      </c>
      <c r="M33" s="33">
        <f t="shared" si="0"/>
        <v>1.1702007605852415E-2</v>
      </c>
      <c r="N33" s="13">
        <f t="shared" si="20"/>
        <v>115750</v>
      </c>
      <c r="O33" s="12">
        <f t="shared" si="2"/>
        <v>7060750</v>
      </c>
      <c r="Q33" s="8"/>
      <c r="R33" s="8"/>
    </row>
    <row r="34" spans="1:19" x14ac:dyDescent="0.25">
      <c r="A34" s="27" t="s">
        <v>272</v>
      </c>
      <c r="B34" s="28" t="s">
        <v>174</v>
      </c>
      <c r="C34" s="29">
        <f>220000-213000</f>
        <v>7000</v>
      </c>
      <c r="D34" s="29">
        <f t="shared" ref="D34:D35" si="25">C34*1000</f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28.07.25'!$C$5:$F$162,4,0)</f>
        <v>71.080200000000005</v>
      </c>
      <c r="J34" s="32">
        <f>VLOOKUP(B34,'KASE за 28.07.25'!$C$5:$G$162,5,0)</f>
        <v>72.908900000000003</v>
      </c>
      <c r="K34" s="95">
        <v>128006.66666666656</v>
      </c>
      <c r="L34" s="29">
        <f>D34*I34/100+K34</f>
        <v>5103620.6666666679</v>
      </c>
      <c r="M34" s="33">
        <f t="shared" si="0"/>
        <v>1.9877375834000008E-4</v>
      </c>
      <c r="N34" s="13">
        <f t="shared" si="20"/>
        <v>1641.1111111111109</v>
      </c>
      <c r="O34" s="12">
        <f t="shared" si="2"/>
        <v>129647.77777777766</v>
      </c>
      <c r="Q34" s="8"/>
      <c r="R34" s="8"/>
      <c r="S34" s="39"/>
    </row>
    <row r="35" spans="1:19" x14ac:dyDescent="0.25">
      <c r="A35" s="27" t="s">
        <v>272</v>
      </c>
      <c r="B35" s="28" t="s">
        <v>160</v>
      </c>
      <c r="C35" s="29">
        <f>173000-163000</f>
        <v>10000</v>
      </c>
      <c r="D35" s="29">
        <f t="shared" si="25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28.07.25'!$C$5:$F$162,4,0)</f>
        <v>89.996499999999997</v>
      </c>
      <c r="J35" s="32">
        <f>VLOOKUP(B35,'KASE за 28.07.25'!$C$5:$G$162,5,0)</f>
        <v>92.6798</v>
      </c>
      <c r="K35" s="95">
        <v>268333.33333333291</v>
      </c>
      <c r="L35" s="29">
        <f t="shared" ref="L35" si="26">D35*I35/100+K35</f>
        <v>9267983.3333333321</v>
      </c>
      <c r="M35" s="33">
        <f t="shared" si="0"/>
        <v>3.6096567510029434E-4</v>
      </c>
      <c r="N35" s="13">
        <f t="shared" si="20"/>
        <v>3888.8888888888896</v>
      </c>
      <c r="O35" s="12">
        <f t="shared" si="2"/>
        <v>272222.22222222178</v>
      </c>
      <c r="Q35" s="8"/>
      <c r="R35" s="8"/>
      <c r="S35" s="39"/>
    </row>
    <row r="36" spans="1:19" x14ac:dyDescent="0.25">
      <c r="A36" s="27" t="s">
        <v>272</v>
      </c>
      <c r="B36" s="28" t="s">
        <v>218</v>
      </c>
      <c r="C36" s="29">
        <v>300000</v>
      </c>
      <c r="D36" s="29">
        <f t="shared" ref="D36" si="27">C36*1000</f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28.07.25'!$C$5:$F$165,4,0)</f>
        <v>61.295299999999997</v>
      </c>
      <c r="J36" s="32">
        <f>VLOOKUP(B36,'KASE за 28.07.25'!$C$5:$G$165,5,0)</f>
        <v>65.331100000000006</v>
      </c>
      <c r="K36" s="29">
        <v>12107500</v>
      </c>
      <c r="L36" s="29">
        <f t="shared" ref="L36" si="28">D36*I36/100+K36</f>
        <v>195993400</v>
      </c>
      <c r="M36" s="33">
        <f t="shared" si="0"/>
        <v>7.6334718570061494E-3</v>
      </c>
      <c r="N36" s="13">
        <f>D36*E36%/360</f>
        <v>72500</v>
      </c>
      <c r="O36" s="12">
        <f t="shared" si="2"/>
        <v>12180000</v>
      </c>
      <c r="Q36" s="8"/>
      <c r="R36" s="8"/>
      <c r="S36" s="39"/>
    </row>
    <row r="37" spans="1:19" x14ac:dyDescent="0.25">
      <c r="A37" s="27" t="s">
        <v>272</v>
      </c>
      <c r="B37" s="28" t="s">
        <v>218</v>
      </c>
      <c r="C37" s="29">
        <v>200000</v>
      </c>
      <c r="D37" s="29">
        <f t="shared" ref="D37" si="29">C37*1000</f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28.07.25'!$C$5:$F$165,4,0)</f>
        <v>61.295299999999997</v>
      </c>
      <c r="J37" s="32">
        <f>VLOOKUP(B37,'KASE за 28.07.25'!$C$5:$G$165,5,0)</f>
        <v>65.331100000000006</v>
      </c>
      <c r="K37" s="29">
        <v>8071666.6666662991</v>
      </c>
      <c r="L37" s="29">
        <f t="shared" ref="L37" si="30">D37*I37/100+K37</f>
        <v>130662266.6666663</v>
      </c>
      <c r="M37" s="33">
        <f t="shared" si="0"/>
        <v>5.0889812380040854E-3</v>
      </c>
      <c r="N37" s="13">
        <f>D37*E37%/360</f>
        <v>48333.333333333336</v>
      </c>
      <c r="O37" s="12">
        <f t="shared" si="2"/>
        <v>8119999.9999996321</v>
      </c>
      <c r="Q37" s="8"/>
      <c r="R37" s="8"/>
      <c r="S37" s="39"/>
    </row>
    <row r="38" spans="1:19" x14ac:dyDescent="0.25">
      <c r="A38" s="27" t="s">
        <v>272</v>
      </c>
      <c r="B38" s="28" t="s">
        <v>153</v>
      </c>
      <c r="C38" s="29">
        <v>263000</v>
      </c>
      <c r="D38" s="29">
        <f t="shared" ref="D38" si="31">C38*1000</f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28.07.25'!$C$5:$F$162,4,0)</f>
        <v>82.5655</v>
      </c>
      <c r="J38" s="32">
        <f>VLOOKUP(B38,'KASE за 28.07.25'!$C$5:$G$162,5,0)</f>
        <v>87.882199999999997</v>
      </c>
      <c r="K38" s="29">
        <v>13982833.333333509</v>
      </c>
      <c r="L38" s="29">
        <f t="shared" ref="L38" si="32">D38*I38/100+K38</f>
        <v>231130098.33333352</v>
      </c>
      <c r="M38" s="33">
        <f t="shared" si="0"/>
        <v>9.0019618055228665E-3</v>
      </c>
      <c r="N38" s="13">
        <f>D38*E38%/360</f>
        <v>80361.111111111109</v>
      </c>
      <c r="O38" s="12">
        <f t="shared" si="2"/>
        <v>14063194.444444621</v>
      </c>
      <c r="Q38" s="8"/>
      <c r="R38" s="8"/>
      <c r="S38" s="39"/>
    </row>
    <row r="39" spans="1:19" x14ac:dyDescent="0.25">
      <c r="A39" s="27" t="s">
        <v>272</v>
      </c>
      <c r="B39" s="28" t="s">
        <v>143</v>
      </c>
      <c r="C39" s="29">
        <v>341000</v>
      </c>
      <c r="D39" s="29">
        <f t="shared" ref="D39" si="33">C39*1000</f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28.07.25'!$C$5:$F$162,4,0)</f>
        <v>95.827100000000002</v>
      </c>
      <c r="J39" s="32">
        <f>VLOOKUP(B39,'KASE за 28.07.25'!$C$5:$G$162,5,0)</f>
        <v>101.9896</v>
      </c>
      <c r="K39" s="29">
        <v>21014125</v>
      </c>
      <c r="L39" s="29">
        <f t="shared" ref="L39" si="34">D39*I39/100+K39</f>
        <v>347784536</v>
      </c>
      <c r="M39" s="33">
        <f t="shared" si="0"/>
        <v>1.3545371771998148E-2</v>
      </c>
      <c r="N39" s="13">
        <f t="shared" ref="N39" si="35">D39*E39%/360</f>
        <v>144925</v>
      </c>
      <c r="O39" s="12">
        <f t="shared" si="2"/>
        <v>21159050</v>
      </c>
      <c r="Q39" s="8"/>
      <c r="R39" s="8"/>
      <c r="S39" s="39"/>
    </row>
    <row r="40" spans="1:19" x14ac:dyDescent="0.25">
      <c r="A40" s="27" t="s">
        <v>272</v>
      </c>
      <c r="B40" s="28" t="s">
        <v>150</v>
      </c>
      <c r="C40" s="29">
        <f>214727-132000</f>
        <v>82727</v>
      </c>
      <c r="D40" s="29">
        <f t="shared" ref="D40" si="36">C40*1000</f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28.07.25'!$C$5:$F$162,4,0)</f>
        <v>84.745999999999995</v>
      </c>
      <c r="J40" s="32">
        <f>VLOOKUP(B40,'KASE за 28.07.25'!$C$5:$G$162,5,0)</f>
        <v>92.627600000000001</v>
      </c>
      <c r="K40" s="29">
        <v>6520197.4441666855</v>
      </c>
      <c r="L40" s="29">
        <f>D40*I40/100+K40</f>
        <v>76628020.864166692</v>
      </c>
      <c r="M40" s="33">
        <f t="shared" si="0"/>
        <v>2.9844772360941565E-3</v>
      </c>
      <c r="N40" s="13">
        <f t="shared" ref="N40:N43" si="37">D40*E40%/360</f>
        <v>24059.769166666669</v>
      </c>
      <c r="O40" s="12">
        <f t="shared" si="2"/>
        <v>6544257.2133333525</v>
      </c>
      <c r="Q40" s="8"/>
      <c r="R40" s="8"/>
      <c r="S40" s="43"/>
    </row>
    <row r="41" spans="1:19" x14ac:dyDescent="0.25">
      <c r="A41" s="27" t="s">
        <v>272</v>
      </c>
      <c r="B41" s="28" t="s">
        <v>198</v>
      </c>
      <c r="C41" s="29">
        <v>227500</v>
      </c>
      <c r="D41" s="29">
        <f t="shared" ref="D41:D44" si="38">C41*1000</f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28.07.25'!$C$5:$F$162,4,0)</f>
        <v>74.747399999999999</v>
      </c>
      <c r="J41" s="32">
        <f>VLOOKUP(B41,'KASE за 28.07.25'!$C$5:$G$162,5,0)</f>
        <v>82.107399999999998</v>
      </c>
      <c r="K41" s="29">
        <v>16744000.00000044</v>
      </c>
      <c r="L41" s="29">
        <f>D41*I41/100+K41</f>
        <v>186794335.00000045</v>
      </c>
      <c r="M41" s="33">
        <f t="shared" si="0"/>
        <v>7.2751903853429866E-3</v>
      </c>
      <c r="N41" s="13">
        <f t="shared" si="37"/>
        <v>48533.333333333336</v>
      </c>
      <c r="O41" s="12">
        <f t="shared" si="2"/>
        <v>16792533.333333772</v>
      </c>
      <c r="Q41" s="8"/>
      <c r="R41" s="8"/>
      <c r="S41" s="43"/>
    </row>
    <row r="42" spans="1:19" x14ac:dyDescent="0.25">
      <c r="A42" s="27" t="s">
        <v>406</v>
      </c>
      <c r="B42" s="28" t="s">
        <v>196</v>
      </c>
      <c r="C42" s="29">
        <v>500000</v>
      </c>
      <c r="D42" s="29">
        <f t="shared" si="3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28.07.25'!$C$5:$F$162,4,0)</f>
        <v>76.509600000000006</v>
      </c>
      <c r="J42" s="32">
        <f>VLOOKUP(B42,'KASE за 28.07.25'!$C$5:$G$162,5,0)</f>
        <v>81.082300000000004</v>
      </c>
      <c r="K42" s="29">
        <v>22863333.333322138</v>
      </c>
      <c r="L42" s="29">
        <f t="shared" ref="L42" si="39">D42*I42/100+K42</f>
        <v>405411333.33332217</v>
      </c>
      <c r="M42" s="33">
        <f t="shared" si="0"/>
        <v>1.5789797021283643E-2</v>
      </c>
      <c r="N42" s="13">
        <f t="shared" si="37"/>
        <v>100277.77777777778</v>
      </c>
      <c r="O42" s="12">
        <f>K42+N42</f>
        <v>22963611.111099914</v>
      </c>
      <c r="Q42" s="8"/>
      <c r="R42" s="12"/>
    </row>
    <row r="43" spans="1:19" x14ac:dyDescent="0.25">
      <c r="A43" s="27" t="s">
        <v>406</v>
      </c>
      <c r="B43" s="28" t="s">
        <v>143</v>
      </c>
      <c r="C43" s="29">
        <v>259000</v>
      </c>
      <c r="D43" s="29">
        <f t="shared" si="3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28.07.25'!$C$5:$F$162,4,0)</f>
        <v>95.827100000000002</v>
      </c>
      <c r="J43" s="32">
        <f>VLOOKUP(B43,'KASE за 28.07.25'!$C$5:$G$162,5,0)</f>
        <v>101.9896</v>
      </c>
      <c r="K43" s="29">
        <v>15960875</v>
      </c>
      <c r="L43" s="29">
        <f>D43*I43/100+K43</f>
        <v>264153064</v>
      </c>
      <c r="M43" s="33">
        <f t="shared" si="0"/>
        <v>1.0288126947060177E-2</v>
      </c>
      <c r="N43" s="13">
        <f t="shared" si="37"/>
        <v>110075</v>
      </c>
      <c r="O43" s="12">
        <f>K43+N43</f>
        <v>16070950</v>
      </c>
      <c r="Q43" s="8"/>
      <c r="R43" s="12"/>
    </row>
    <row r="44" spans="1:19" x14ac:dyDescent="0.25">
      <c r="A44" s="27" t="s">
        <v>397</v>
      </c>
      <c r="B44" s="28" t="s">
        <v>2164</v>
      </c>
      <c r="C44" s="29">
        <v>200000</v>
      </c>
      <c r="D44" s="29">
        <f t="shared" si="3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28.07.25'!$C$4:$G$963,4,0)</f>
        <v>99.402830070337842</v>
      </c>
      <c r="J44" s="32">
        <f>VLOOKUP(B44,'Риск цены за 28.07.25'!$C$4:$G$963,5,0)</f>
        <v>104.41283007033783</v>
      </c>
      <c r="K44" s="29">
        <v>10020000.000000017</v>
      </c>
      <c r="L44" s="29">
        <f>D44*I44/100+K44</f>
        <v>208825660.14067572</v>
      </c>
      <c r="M44" s="33">
        <f t="shared" si="0"/>
        <v>8.133257546961167E-3</v>
      </c>
      <c r="N44" s="13">
        <f>D44*E44%/360</f>
        <v>92777.777777777766</v>
      </c>
      <c r="O44" s="12">
        <f>K44+N44</f>
        <v>10112777.777777795</v>
      </c>
      <c r="Q44" s="8"/>
      <c r="R44" s="12"/>
    </row>
    <row r="45" spans="1:19" x14ac:dyDescent="0.25">
      <c r="A45" s="78" t="s">
        <v>406</v>
      </c>
      <c r="B45" s="77" t="s">
        <v>210</v>
      </c>
      <c r="C45" s="76">
        <v>500000</v>
      </c>
      <c r="D45" s="29">
        <f t="shared" ref="D45:D47" si="40">C45*1000</f>
        <v>500000000</v>
      </c>
      <c r="E45" s="75">
        <v>5.3</v>
      </c>
      <c r="F45" s="74">
        <v>45764</v>
      </c>
      <c r="G45" s="74">
        <v>46679</v>
      </c>
      <c r="H45" s="76">
        <v>412076777.77999997</v>
      </c>
      <c r="I45" s="86">
        <f>VLOOKUP(B45,'KASE за 28.07.25'!$C$5:$F$162,4,0)</f>
        <v>79.621200000000002</v>
      </c>
      <c r="J45" s="86">
        <f>VLOOKUP(B45,'KASE за 28.07.25'!$C$5:$G$162,5,0)</f>
        <v>83.728700000000003</v>
      </c>
      <c r="K45" s="76">
        <v>20537500.000000119</v>
      </c>
      <c r="L45" s="29">
        <f t="shared" ref="L45" si="41">D45*I45/100+K45</f>
        <v>418643500.00000012</v>
      </c>
      <c r="M45" s="87">
        <f t="shared" si="0"/>
        <v>1.6305158109245283E-2</v>
      </c>
      <c r="N45" s="13">
        <f>D45*E45%/360</f>
        <v>73611.111111111109</v>
      </c>
      <c r="O45" s="12">
        <f>K45+N45</f>
        <v>20611111.111111231</v>
      </c>
      <c r="Q45" s="8"/>
      <c r="R45" s="12"/>
    </row>
    <row r="46" spans="1:19" x14ac:dyDescent="0.25">
      <c r="A46" s="85" t="s">
        <v>406</v>
      </c>
      <c r="B46" s="84" t="s">
        <v>153</v>
      </c>
      <c r="C46" s="88">
        <v>737000</v>
      </c>
      <c r="D46" s="29">
        <f t="shared" si="40"/>
        <v>737000000</v>
      </c>
      <c r="E46" s="75">
        <v>11</v>
      </c>
      <c r="F46" s="89">
        <v>45771</v>
      </c>
      <c r="G46" s="89">
        <v>47518</v>
      </c>
      <c r="H46" s="76">
        <v>649670986.55999994</v>
      </c>
      <c r="I46" s="86">
        <f>VLOOKUP(B46,'KASE за 28.07.25'!$C$5:$F$162,4,0)</f>
        <v>82.5655</v>
      </c>
      <c r="J46" s="86">
        <f>VLOOKUP(B46,'KASE за 28.07.25'!$C$5:$G$162,5,0)</f>
        <v>87.882199999999997</v>
      </c>
      <c r="K46" s="88">
        <v>39183833.333333388</v>
      </c>
      <c r="L46" s="76">
        <f>D46*I46/100+K46</f>
        <v>647691568.33333337</v>
      </c>
      <c r="M46" s="87">
        <f t="shared" si="0"/>
        <v>2.5226029850457594E-2</v>
      </c>
      <c r="N46" s="13">
        <f>D46*E46%/360</f>
        <v>225194.44444444444</v>
      </c>
      <c r="O46" s="12">
        <f>K46+N46</f>
        <v>39409027.777777836</v>
      </c>
      <c r="Q46" s="8"/>
      <c r="R46" s="12"/>
    </row>
    <row r="47" spans="1:19" x14ac:dyDescent="0.25">
      <c r="A47" s="55" t="s">
        <v>406</v>
      </c>
      <c r="B47" s="56" t="s">
        <v>9</v>
      </c>
      <c r="C47" s="91">
        <v>6000</v>
      </c>
      <c r="D47" s="29">
        <f t="shared" si="40"/>
        <v>6000000</v>
      </c>
      <c r="E47" s="75">
        <v>10.3</v>
      </c>
      <c r="F47" s="90">
        <v>45775</v>
      </c>
      <c r="G47" s="90">
        <v>47924</v>
      </c>
      <c r="H47" s="29">
        <v>4822485.33</v>
      </c>
      <c r="I47" s="86">
        <f>VLOOKUP(B47,'KASE за 28.07.25'!$C$5:$F$162,4,0)</f>
        <v>77.907399999999996</v>
      </c>
      <c r="J47" s="86">
        <f>VLOOKUP(B47,'KASE за 28.07.25'!$C$5:$G$162,5,0)</f>
        <v>81.655500000000004</v>
      </c>
      <c r="K47" s="91">
        <v>224883.33333333299</v>
      </c>
      <c r="L47" s="76">
        <f t="shared" ref="L47:L56" si="42">D47*I47/100+K47</f>
        <v>4899327.333333333</v>
      </c>
      <c r="M47" s="87">
        <f t="shared" si="0"/>
        <v>1.9081702402867128E-4</v>
      </c>
      <c r="N47" s="13">
        <f t="shared" ref="N47" si="43">D47*E47%/360</f>
        <v>1716.6666666666667</v>
      </c>
      <c r="O47" s="12">
        <f t="shared" ref="O47" si="44">K47+N47</f>
        <v>226599.99999999965</v>
      </c>
      <c r="Q47" s="8"/>
      <c r="R47" s="12"/>
    </row>
    <row r="48" spans="1:19" x14ac:dyDescent="0.25">
      <c r="A48" s="85" t="s">
        <v>406</v>
      </c>
      <c r="B48" s="84" t="s">
        <v>9</v>
      </c>
      <c r="C48" s="88">
        <v>6000</v>
      </c>
      <c r="D48" s="76">
        <f>C48*1000</f>
        <v>6000000</v>
      </c>
      <c r="E48" s="75">
        <v>10.3</v>
      </c>
      <c r="F48" s="89">
        <v>45775</v>
      </c>
      <c r="G48" s="89">
        <v>47924</v>
      </c>
      <c r="H48" s="76">
        <v>4841157.33</v>
      </c>
      <c r="I48" s="86">
        <f>VLOOKUP(B48,'KASE за 28.07.25'!$C$5:$F$162,4,0)</f>
        <v>77.907399999999996</v>
      </c>
      <c r="J48" s="86">
        <f>VLOOKUP(B48,'KASE за 28.07.25'!$C$5:$G$162,5,0)</f>
        <v>81.655500000000004</v>
      </c>
      <c r="K48" s="88">
        <v>224883.33333333299</v>
      </c>
      <c r="L48" s="76">
        <f t="shared" si="42"/>
        <v>4899327.333333333</v>
      </c>
      <c r="M48" s="87">
        <f t="shared" si="0"/>
        <v>1.9081702402867128E-4</v>
      </c>
      <c r="N48" s="13">
        <f>D48*E48%/360</f>
        <v>1716.6666666666667</v>
      </c>
      <c r="O48" s="12">
        <f>K48+N48</f>
        <v>226599.99999999965</v>
      </c>
      <c r="Q48" s="8"/>
      <c r="R48" s="12"/>
    </row>
    <row r="49" spans="1:18" x14ac:dyDescent="0.25">
      <c r="A49" s="55" t="s">
        <v>29</v>
      </c>
      <c r="B49" s="56" t="s">
        <v>2187</v>
      </c>
      <c r="C49" s="91">
        <v>500000</v>
      </c>
      <c r="D49" s="29">
        <f>C49*1000</f>
        <v>500000000</v>
      </c>
      <c r="E49" s="30">
        <v>17</v>
      </c>
      <c r="F49" s="90">
        <v>45782</v>
      </c>
      <c r="G49" s="90">
        <v>46147</v>
      </c>
      <c r="H49" s="91">
        <v>500000000</v>
      </c>
      <c r="I49" s="96">
        <v>100</v>
      </c>
      <c r="J49" s="96">
        <v>100</v>
      </c>
      <c r="K49" s="97">
        <v>19597222.222222257</v>
      </c>
      <c r="L49" s="76">
        <f t="shared" si="42"/>
        <v>519597222.22222227</v>
      </c>
      <c r="M49" s="87">
        <f t="shared" si="0"/>
        <v>2.0237062946057895E-2</v>
      </c>
      <c r="N49" s="13">
        <f>D49*E49%/360</f>
        <v>236111.11111111112</v>
      </c>
      <c r="O49" s="12">
        <f>K49+N49</f>
        <v>19833333.333333369</v>
      </c>
      <c r="Q49" s="8"/>
      <c r="R49" s="12"/>
    </row>
    <row r="50" spans="1:18" x14ac:dyDescent="0.25">
      <c r="A50" s="85" t="s">
        <v>406</v>
      </c>
      <c r="B50" s="84" t="s">
        <v>174</v>
      </c>
      <c r="C50" s="88">
        <v>500000</v>
      </c>
      <c r="D50" s="29">
        <f t="shared" ref="D50:D51" si="45">C50*1000</f>
        <v>500000000</v>
      </c>
      <c r="E50" s="75">
        <v>8.44</v>
      </c>
      <c r="F50" s="89">
        <v>45799</v>
      </c>
      <c r="G50" s="89">
        <v>47978</v>
      </c>
      <c r="H50" s="88">
        <v>372237166.67000002</v>
      </c>
      <c r="I50" s="86">
        <f>VLOOKUP(B50,'KASE за 28.07.25'!$C$5:$F$165,4,0)</f>
        <v>71.080200000000005</v>
      </c>
      <c r="J50" s="86">
        <f>VLOOKUP(B50,'KASE за 28.07.25'!$C$5:$G$165,5,0)</f>
        <v>72.908900000000003</v>
      </c>
      <c r="K50" s="94">
        <v>9143333.3333333246</v>
      </c>
      <c r="L50" s="76">
        <f t="shared" si="42"/>
        <v>364544333.33333331</v>
      </c>
      <c r="M50" s="87">
        <f t="shared" ref="M50:M58" si="46">L50/$L$59</f>
        <v>1.4198125595714286E-2</v>
      </c>
      <c r="N50" s="13">
        <f>D50*E50%/360</f>
        <v>117222.2222222222</v>
      </c>
      <c r="O50" s="12">
        <f>K50+N50</f>
        <v>9260555.5555555467</v>
      </c>
      <c r="Q50" s="8"/>
      <c r="R50" s="12"/>
    </row>
    <row r="51" spans="1:18" x14ac:dyDescent="0.25">
      <c r="A51" s="55" t="s">
        <v>406</v>
      </c>
      <c r="B51" s="56" t="s">
        <v>198</v>
      </c>
      <c r="C51" s="91">
        <v>500000</v>
      </c>
      <c r="D51" s="29">
        <f t="shared" si="45"/>
        <v>500000000</v>
      </c>
      <c r="E51" s="30">
        <v>7.68</v>
      </c>
      <c r="F51" s="90">
        <v>45813</v>
      </c>
      <c r="G51" s="90">
        <v>47343</v>
      </c>
      <c r="H51" s="91">
        <v>403604166.67000002</v>
      </c>
      <c r="I51" s="86">
        <f>VLOOKUP(B51,'KASE за 28.07.25'!$C$5:$F$165,4,0)</f>
        <v>74.747399999999999</v>
      </c>
      <c r="J51" s="86">
        <f>VLOOKUP(B51,'KASE за 28.07.25'!$C$5:$G$165,5,0)</f>
        <v>82.107399999999998</v>
      </c>
      <c r="K51" s="97">
        <v>36799999.999999955</v>
      </c>
      <c r="L51" s="76">
        <f t="shared" si="42"/>
        <v>410536999.99999994</v>
      </c>
      <c r="M51" s="87">
        <f t="shared" si="46"/>
        <v>1.5989429418336195E-2</v>
      </c>
      <c r="N51" s="13">
        <f t="shared" ref="N51:N52" si="47">D51*E51%/360</f>
        <v>106666.66666666667</v>
      </c>
      <c r="O51" s="12">
        <f t="shared" ref="O51" si="48">K51+N51</f>
        <v>36906666.666666619</v>
      </c>
      <c r="Q51" s="8"/>
      <c r="R51" s="12"/>
    </row>
    <row r="52" spans="1:18" x14ac:dyDescent="0.25">
      <c r="A52" s="85" t="s">
        <v>406</v>
      </c>
      <c r="B52" s="84" t="s">
        <v>212</v>
      </c>
      <c r="C52" s="88">
        <v>500000</v>
      </c>
      <c r="D52" s="76">
        <f>C52*1000</f>
        <v>500000000</v>
      </c>
      <c r="E52" s="75">
        <v>5</v>
      </c>
      <c r="F52" s="89">
        <v>45813</v>
      </c>
      <c r="G52" s="89">
        <v>46861</v>
      </c>
      <c r="H52" s="88">
        <v>379402388.88999999</v>
      </c>
      <c r="I52" s="86">
        <f>VLOOKUP(B52,'KASE за 28.07.25'!$C$5:$F$165,4,0)</f>
        <v>75.4422</v>
      </c>
      <c r="J52" s="86">
        <f>VLOOKUP(B52,'KASE за 28.07.25'!$C$5:$G$165,5,0)</f>
        <v>76.831100000000006</v>
      </c>
      <c r="K52" s="94">
        <v>6944444.4444444282</v>
      </c>
      <c r="L52" s="76">
        <f t="shared" si="42"/>
        <v>384155444.44444442</v>
      </c>
      <c r="M52" s="87">
        <f t="shared" si="46"/>
        <v>1.4961931237900641E-2</v>
      </c>
      <c r="N52" s="13">
        <f t="shared" si="47"/>
        <v>69444.444444444438</v>
      </c>
      <c r="O52" s="12">
        <f>K52+N52</f>
        <v>7013888.8888888722</v>
      </c>
      <c r="Q52" s="8"/>
      <c r="R52" s="12"/>
    </row>
    <row r="53" spans="1:18" x14ac:dyDescent="0.25">
      <c r="A53" s="85" t="s">
        <v>406</v>
      </c>
      <c r="B53" s="84" t="s">
        <v>8</v>
      </c>
      <c r="C53" s="88">
        <v>200000</v>
      </c>
      <c r="D53" s="76">
        <f t="shared" ref="D53:D58" si="49">C53*1000</f>
        <v>200000000</v>
      </c>
      <c r="E53" s="75">
        <v>10.55</v>
      </c>
      <c r="F53" s="89">
        <v>45820</v>
      </c>
      <c r="G53" s="89">
        <v>47327</v>
      </c>
      <c r="H53" s="88">
        <v>182665288.88999999</v>
      </c>
      <c r="I53" s="86">
        <f>VLOOKUP(B53,'KASE за 28.07.25'!$C$5:$F$165,4,0)</f>
        <v>82.864199999999997</v>
      </c>
      <c r="J53" s="86">
        <f>VLOOKUP(B53,'KASE за 28.07.25'!$C$5:$G$165,5,0)</f>
        <v>82.864199999999997</v>
      </c>
      <c r="K53" s="123">
        <f>21100000-21100000</f>
        <v>0</v>
      </c>
      <c r="L53" s="76">
        <f t="shared" si="42"/>
        <v>165728400</v>
      </c>
      <c r="M53" s="87">
        <f t="shared" si="46"/>
        <v>6.4547228493748148E-3</v>
      </c>
      <c r="N53" s="13">
        <f t="shared" ref="N53" si="50">D53*E53%/360</f>
        <v>58611.111111111124</v>
      </c>
      <c r="O53" s="12">
        <f>K53+N53</f>
        <v>58611.111111111124</v>
      </c>
      <c r="Q53" s="8"/>
      <c r="R53" s="12"/>
    </row>
    <row r="54" spans="1:18" x14ac:dyDescent="0.25">
      <c r="A54" s="85" t="s">
        <v>406</v>
      </c>
      <c r="B54" s="84" t="s">
        <v>145</v>
      </c>
      <c r="C54" s="88">
        <v>500000</v>
      </c>
      <c r="D54" s="76">
        <f t="shared" si="49"/>
        <v>500000000</v>
      </c>
      <c r="E54" s="75">
        <v>12</v>
      </c>
      <c r="F54" s="89">
        <v>45832</v>
      </c>
      <c r="G54" s="89">
        <v>47549</v>
      </c>
      <c r="H54" s="88">
        <v>447016833.32999998</v>
      </c>
      <c r="I54" s="86">
        <f>VLOOKUP(B54,'KASE за 28.07.25'!$C$5:$F$165,4,0)</f>
        <v>85.475200000000001</v>
      </c>
      <c r="J54" s="86">
        <f>VLOOKUP(B54,'KASE за 28.07.25'!$C$5:$G$165,5,0)</f>
        <v>90.175200000000004</v>
      </c>
      <c r="K54" s="94">
        <v>23500000.000000041</v>
      </c>
      <c r="L54" s="76">
        <f>D54*I54/100+K54</f>
        <v>450876000.00000006</v>
      </c>
      <c r="M54" s="87">
        <f t="shared" si="46"/>
        <v>1.7560536512961685E-2</v>
      </c>
      <c r="N54" s="13">
        <f t="shared" ref="N54:N56" si="51">D54*E54%/360</f>
        <v>166666.66666666666</v>
      </c>
      <c r="O54" s="12">
        <f t="shared" ref="O54:O56" si="52">K54+N54</f>
        <v>23666666.666666709</v>
      </c>
      <c r="Q54" s="3"/>
      <c r="R54" s="12"/>
    </row>
    <row r="55" spans="1:18" x14ac:dyDescent="0.25">
      <c r="A55" s="85" t="s">
        <v>406</v>
      </c>
      <c r="B55" s="84" t="s">
        <v>145</v>
      </c>
      <c r="C55" s="88">
        <v>500000</v>
      </c>
      <c r="D55" s="76">
        <f t="shared" si="49"/>
        <v>500000000</v>
      </c>
      <c r="E55" s="75">
        <v>12</v>
      </c>
      <c r="F55" s="89">
        <v>45832</v>
      </c>
      <c r="G55" s="89">
        <v>47549</v>
      </c>
      <c r="H55" s="88">
        <v>445617333.32999998</v>
      </c>
      <c r="I55" s="86">
        <f>VLOOKUP(B55,'KASE за 28.07.25'!$C$5:$F$165,4,0)</f>
        <v>85.475200000000001</v>
      </c>
      <c r="J55" s="86">
        <f>VLOOKUP(B55,'KASE за 28.07.25'!$C$5:$G$165,5,0)</f>
        <v>90.175200000000004</v>
      </c>
      <c r="K55" s="94">
        <v>23500000.000000041</v>
      </c>
      <c r="L55" s="76">
        <f t="shared" si="42"/>
        <v>450876000.00000006</v>
      </c>
      <c r="M55" s="87">
        <f t="shared" si="46"/>
        <v>1.7560536512961685E-2</v>
      </c>
      <c r="N55" s="13">
        <f t="shared" si="51"/>
        <v>166666.66666666666</v>
      </c>
      <c r="O55" s="12">
        <f t="shared" si="52"/>
        <v>23666666.666666709</v>
      </c>
      <c r="Q55" s="3"/>
      <c r="R55" s="12"/>
    </row>
    <row r="56" spans="1:18" x14ac:dyDescent="0.25">
      <c r="A56" s="55" t="s">
        <v>406</v>
      </c>
      <c r="B56" s="56" t="s">
        <v>145</v>
      </c>
      <c r="C56" s="91">
        <v>411421</v>
      </c>
      <c r="D56" s="29">
        <f t="shared" si="49"/>
        <v>411421000</v>
      </c>
      <c r="E56" s="30">
        <v>12</v>
      </c>
      <c r="F56" s="90">
        <v>45832</v>
      </c>
      <c r="G56" s="90">
        <v>47549</v>
      </c>
      <c r="H56" s="91">
        <v>363768436.95999998</v>
      </c>
      <c r="I56" s="32">
        <f>VLOOKUP(B56,'KASE за 28.07.25'!$C$5:$F$165,4,0)</f>
        <v>85.475200000000001</v>
      </c>
      <c r="J56" s="32">
        <f>VLOOKUP(B56,'KASE за 28.07.25'!$C$5:$G$165,5,0)</f>
        <v>90.175200000000004</v>
      </c>
      <c r="K56" s="97">
        <v>19336786.999999989</v>
      </c>
      <c r="L56" s="29">
        <f t="shared" si="42"/>
        <v>370999709.59199995</v>
      </c>
      <c r="M56" s="87">
        <f t="shared" si="46"/>
        <v>1.4449546985398416E-2</v>
      </c>
      <c r="N56" s="13">
        <f t="shared" si="51"/>
        <v>137140.33333333334</v>
      </c>
      <c r="O56" s="12">
        <f t="shared" si="52"/>
        <v>19473927.333333321</v>
      </c>
      <c r="Q56" s="3"/>
      <c r="R56" s="12"/>
    </row>
    <row r="57" spans="1:18" x14ac:dyDescent="0.25">
      <c r="A57" s="55" t="s">
        <v>406</v>
      </c>
      <c r="B57" s="56" t="s">
        <v>2273</v>
      </c>
      <c r="C57" s="91">
        <v>500000</v>
      </c>
      <c r="D57" s="29">
        <f t="shared" si="49"/>
        <v>500000000</v>
      </c>
      <c r="E57" s="30">
        <v>14.45</v>
      </c>
      <c r="F57" s="90">
        <v>45848</v>
      </c>
      <c r="G57" s="90">
        <v>48735</v>
      </c>
      <c r="H57" s="91">
        <v>453416805.56</v>
      </c>
      <c r="I57" s="32">
        <f>VLOOKUP(B57,'KASE за 28.07.25'!$C$5:$F$165,4,0)</f>
        <v>91.320400000000006</v>
      </c>
      <c r="J57" s="32">
        <f>VLOOKUP(B57,'KASE за 28.07.25'!$C$5:$G$165,5,0)</f>
        <v>93.447800000000001</v>
      </c>
      <c r="K57" s="97">
        <v>10636805.555555549</v>
      </c>
      <c r="L57" s="29">
        <f>D57*I57/100+K57</f>
        <v>467238805.55555552</v>
      </c>
      <c r="M57" s="87">
        <f t="shared" si="46"/>
        <v>1.81978284611089E-2</v>
      </c>
      <c r="N57" s="13">
        <f>D57*E57%/360</f>
        <v>200694.44444444444</v>
      </c>
      <c r="O57" s="12">
        <f t="shared" ref="O57" si="53">K57+N57</f>
        <v>10837499.999999993</v>
      </c>
      <c r="Q57" s="3"/>
      <c r="R57" s="12"/>
    </row>
    <row r="58" spans="1:18" ht="15.75" thickBot="1" x14ac:dyDescent="0.3">
      <c r="A58" s="55" t="s">
        <v>406</v>
      </c>
      <c r="B58" s="56" t="s">
        <v>174</v>
      </c>
      <c r="C58" s="91">
        <v>500000</v>
      </c>
      <c r="D58" s="29">
        <f t="shared" si="49"/>
        <v>500000000</v>
      </c>
      <c r="E58" s="30">
        <v>8.44</v>
      </c>
      <c r="F58" s="90">
        <v>45862</v>
      </c>
      <c r="G58" s="90">
        <v>47978</v>
      </c>
      <c r="H58" s="91">
        <v>357881944.44</v>
      </c>
      <c r="I58" s="32">
        <f>VLOOKUP(B58,'KASE за 28.07.25'!$C$5:$F$165,4,0)</f>
        <v>71.080200000000005</v>
      </c>
      <c r="J58" s="32">
        <f>VLOOKUP(B58,'KASE за 28.07.25'!$C$5:$G$165,5,0)</f>
        <v>72.908900000000003</v>
      </c>
      <c r="K58" s="97">
        <v>9143333.3333333321</v>
      </c>
      <c r="L58" s="29">
        <f>D58*I58/100+K58</f>
        <v>364544333.33333331</v>
      </c>
      <c r="M58" s="87">
        <f t="shared" si="46"/>
        <v>1.4198125595714286E-2</v>
      </c>
      <c r="N58" s="13">
        <f>D58*E58%/360</f>
        <v>117222.2222222222</v>
      </c>
      <c r="O58" s="12">
        <f t="shared" ref="O58" si="54">K58+N58</f>
        <v>9260555.5555555541</v>
      </c>
      <c r="Q58" s="3"/>
      <c r="R58" s="12"/>
    </row>
    <row r="59" spans="1:18" ht="15.75" thickBot="1" x14ac:dyDescent="0.3">
      <c r="A59" s="73" t="s">
        <v>14</v>
      </c>
      <c r="B59" s="72"/>
      <c r="C59" s="71">
        <f>SUM(C6:C58)</f>
        <v>31893061</v>
      </c>
      <c r="D59" s="70">
        <f>SUM(D6:D58)</f>
        <v>31893061000</v>
      </c>
      <c r="E59" s="69"/>
      <c r="F59" s="68"/>
      <c r="G59" s="68"/>
      <c r="H59" s="70">
        <f>SUM(H6:H58)</f>
        <v>27348600613.896702</v>
      </c>
      <c r="I59" s="67"/>
      <c r="J59" s="70"/>
      <c r="K59" s="66">
        <f>SUM(K6:K58)</f>
        <v>1074126995.3052709</v>
      </c>
      <c r="L59" s="66">
        <f>SUM(L6:L58)</f>
        <v>25675525327.327099</v>
      </c>
      <c r="M59" s="65">
        <f>SUM(M6:M58)</f>
        <v>0.99999999999999989</v>
      </c>
      <c r="N59" s="13">
        <v>25675525327.327106</v>
      </c>
      <c r="O59" s="41">
        <f>L59-N59</f>
        <v>0</v>
      </c>
    </row>
    <row r="60" spans="1:18" x14ac:dyDescent="0.25">
      <c r="J60" s="4"/>
      <c r="K60" s="110"/>
      <c r="L60" s="42"/>
      <c r="M60" s="8"/>
      <c r="N60" s="106"/>
      <c r="O60" s="107"/>
    </row>
    <row r="61" spans="1:18" ht="15.75" thickBot="1" x14ac:dyDescent="0.3">
      <c r="A61" s="5" t="s">
        <v>389</v>
      </c>
      <c r="H61" s="101"/>
      <c r="K61" s="38"/>
      <c r="L61" s="44"/>
      <c r="M61" s="8"/>
      <c r="N61" s="120"/>
      <c r="O61" s="109"/>
    </row>
    <row r="62" spans="1:18" ht="15.75" thickBot="1" x14ac:dyDescent="0.3">
      <c r="A62" s="36" t="s">
        <v>246</v>
      </c>
      <c r="B62" s="37">
        <v>740983.16</v>
      </c>
      <c r="C62" s="8">
        <v>740983.16</v>
      </c>
      <c r="D62" s="8">
        <f>B62-C62</f>
        <v>0</v>
      </c>
      <c r="K62" s="38"/>
      <c r="L62" s="44"/>
      <c r="M62" s="98"/>
      <c r="O62" s="108"/>
    </row>
    <row r="63" spans="1:18" x14ac:dyDescent="0.25">
      <c r="N63" s="92"/>
      <c r="O63" s="108"/>
      <c r="Q63" s="8"/>
    </row>
    <row r="64" spans="1:18" ht="15.75" thickBot="1" x14ac:dyDescent="0.3">
      <c r="A64" s="5" t="s">
        <v>247</v>
      </c>
      <c r="N64" s="93"/>
      <c r="O64" s="98"/>
    </row>
    <row r="65" spans="1:15" ht="34.5" customHeight="1" thickBot="1" x14ac:dyDescent="0.3">
      <c r="A65" s="1" t="s">
        <v>248</v>
      </c>
      <c r="B65" s="1" t="s">
        <v>249</v>
      </c>
      <c r="C65" s="1" t="s">
        <v>250</v>
      </c>
      <c r="D65" s="1" t="s">
        <v>251</v>
      </c>
      <c r="E65" s="1" t="s">
        <v>252</v>
      </c>
      <c r="F65" s="1" t="s">
        <v>253</v>
      </c>
      <c r="G65" s="1" t="s">
        <v>254</v>
      </c>
      <c r="H65" s="1" t="s">
        <v>255</v>
      </c>
      <c r="I65" s="1" t="s">
        <v>352</v>
      </c>
      <c r="J65" s="1" t="s">
        <v>353</v>
      </c>
      <c r="K65" s="1" t="s">
        <v>354</v>
      </c>
      <c r="L65" s="1" t="s">
        <v>256</v>
      </c>
      <c r="M65" s="1" t="s">
        <v>355</v>
      </c>
    </row>
    <row r="66" spans="1:15" s="17" customFormat="1" ht="15" customHeight="1" x14ac:dyDescent="0.25">
      <c r="A66" s="55" t="s">
        <v>406</v>
      </c>
      <c r="B66" s="56" t="s">
        <v>1288</v>
      </c>
      <c r="C66" s="57">
        <v>2522960</v>
      </c>
      <c r="D66" s="58" t="s">
        <v>246</v>
      </c>
      <c r="E66" s="46">
        <v>45863</v>
      </c>
      <c r="F66" s="46">
        <v>45866</v>
      </c>
      <c r="G66" s="59">
        <v>531.95260000158498</v>
      </c>
      <c r="H66" s="59">
        <v>532.639911909028</v>
      </c>
      <c r="I66" s="57">
        <v>1342095131.7</v>
      </c>
      <c r="J66" s="57">
        <v>1343829192.1500001</v>
      </c>
      <c r="K66" s="60">
        <v>15.720000003484101</v>
      </c>
      <c r="L66" s="18">
        <f t="shared" ref="L66:L72" si="55">IF(($B$1-E66)=0,0,(J66-I66)/(F66-E66)*($B$1-E66))</f>
        <v>1734060.4500000477</v>
      </c>
      <c r="M66" s="18">
        <f t="shared" ref="M66:M72" si="56">IF((F66=$B$1),0,(I66+L66))</f>
        <v>0</v>
      </c>
      <c r="N66" s="16"/>
    </row>
    <row r="67" spans="1:15" s="17" customFormat="1" ht="15" customHeight="1" x14ac:dyDescent="0.25">
      <c r="A67" s="55" t="s">
        <v>2629</v>
      </c>
      <c r="B67" s="56" t="s">
        <v>2393</v>
      </c>
      <c r="C67" s="57">
        <v>80840</v>
      </c>
      <c r="D67" s="58" t="s">
        <v>246</v>
      </c>
      <c r="E67" s="46">
        <v>45863</v>
      </c>
      <c r="F67" s="46">
        <v>45866</v>
      </c>
      <c r="G67" s="59">
        <v>98.961799975259794</v>
      </c>
      <c r="H67" s="59">
        <v>99.089664027709006</v>
      </c>
      <c r="I67" s="57">
        <v>8000071.9100000001</v>
      </c>
      <c r="J67" s="57">
        <v>8010408.4400000004</v>
      </c>
      <c r="K67" s="60">
        <v>15.7199980718673</v>
      </c>
      <c r="L67" s="18">
        <f t="shared" si="55"/>
        <v>10336.530000000261</v>
      </c>
      <c r="M67" s="18">
        <f t="shared" si="56"/>
        <v>0</v>
      </c>
      <c r="N67" s="16"/>
    </row>
    <row r="68" spans="1:15" s="17" customFormat="1" ht="15" customHeight="1" x14ac:dyDescent="0.25">
      <c r="A68" s="55" t="s">
        <v>25</v>
      </c>
      <c r="B68" s="56" t="s">
        <v>2109</v>
      </c>
      <c r="C68" s="57">
        <v>84826</v>
      </c>
      <c r="D68" s="58" t="s">
        <v>246</v>
      </c>
      <c r="E68" s="46">
        <v>45863</v>
      </c>
      <c r="F68" s="46">
        <v>45866</v>
      </c>
      <c r="G68" s="59">
        <v>979.40499999999997</v>
      </c>
      <c r="H68" s="59">
        <v>980.668834909108</v>
      </c>
      <c r="I68" s="57">
        <v>83079008.530000001</v>
      </c>
      <c r="J68" s="57">
        <v>83186214.590000004</v>
      </c>
      <c r="K68" s="60">
        <v>15.6999995515795</v>
      </c>
      <c r="L68" s="18">
        <f t="shared" si="55"/>
        <v>107206.06000000238</v>
      </c>
      <c r="M68" s="18">
        <f t="shared" si="56"/>
        <v>0</v>
      </c>
      <c r="N68" s="16"/>
    </row>
    <row r="69" spans="1:15" s="17" customFormat="1" ht="15" customHeight="1" x14ac:dyDescent="0.25">
      <c r="A69" s="55" t="s">
        <v>406</v>
      </c>
      <c r="B69" s="56" t="s">
        <v>150</v>
      </c>
      <c r="C69" s="57">
        <v>1540080</v>
      </c>
      <c r="D69" s="58" t="s">
        <v>246</v>
      </c>
      <c r="E69" s="46">
        <v>45866</v>
      </c>
      <c r="F69" s="46">
        <v>45867</v>
      </c>
      <c r="G69" s="59">
        <v>926.27599999999995</v>
      </c>
      <c r="H69" s="59">
        <v>926.67416925744101</v>
      </c>
      <c r="I69" s="57">
        <v>1426539142.0799999</v>
      </c>
      <c r="J69" s="57">
        <v>1427152354.5899999</v>
      </c>
      <c r="K69" s="60">
        <v>15.689900090904599</v>
      </c>
      <c r="L69" s="18">
        <f t="shared" si="55"/>
        <v>0</v>
      </c>
      <c r="M69" s="18">
        <f t="shared" si="56"/>
        <v>1426539142.0799999</v>
      </c>
      <c r="N69" s="16"/>
    </row>
    <row r="70" spans="1:15" s="17" customFormat="1" ht="15" customHeight="1" x14ac:dyDescent="0.25">
      <c r="A70" s="55" t="s">
        <v>406</v>
      </c>
      <c r="B70" s="56" t="s">
        <v>127</v>
      </c>
      <c r="C70" s="57">
        <v>8910</v>
      </c>
      <c r="D70" s="58" t="s">
        <v>246</v>
      </c>
      <c r="E70" s="46">
        <v>45866</v>
      </c>
      <c r="F70" s="46">
        <v>45867</v>
      </c>
      <c r="G70" s="59">
        <v>1010.772</v>
      </c>
      <c r="H70" s="59">
        <v>1011.20649046016</v>
      </c>
      <c r="I70" s="57">
        <v>9005978.5199999996</v>
      </c>
      <c r="J70" s="57">
        <v>9009849.8300000001</v>
      </c>
      <c r="K70" s="60">
        <v>15.689890297451001</v>
      </c>
      <c r="L70" s="18">
        <f t="shared" si="55"/>
        <v>0</v>
      </c>
      <c r="M70" s="18">
        <f t="shared" si="56"/>
        <v>9005978.5199999996</v>
      </c>
      <c r="N70" s="16"/>
    </row>
    <row r="71" spans="1:15" s="17" customFormat="1" ht="15" customHeight="1" x14ac:dyDescent="0.25">
      <c r="A71" s="55" t="s">
        <v>406</v>
      </c>
      <c r="B71" s="56" t="s">
        <v>148</v>
      </c>
      <c r="C71" s="57">
        <v>393400</v>
      </c>
      <c r="D71" s="58" t="s">
        <v>246</v>
      </c>
      <c r="E71" s="46">
        <v>45866</v>
      </c>
      <c r="F71" s="46">
        <v>45867</v>
      </c>
      <c r="G71" s="59">
        <v>889.99</v>
      </c>
      <c r="H71" s="59">
        <v>890.37038416370103</v>
      </c>
      <c r="I71" s="57">
        <v>350122066</v>
      </c>
      <c r="J71" s="57">
        <v>350271709.13</v>
      </c>
      <c r="K71" s="60">
        <v>15.600199974257</v>
      </c>
      <c r="L71" s="18">
        <f t="shared" si="55"/>
        <v>0</v>
      </c>
      <c r="M71" s="18">
        <f t="shared" si="56"/>
        <v>350122066</v>
      </c>
      <c r="N71" s="16"/>
    </row>
    <row r="72" spans="1:15" s="17" customFormat="1" ht="15" customHeight="1" x14ac:dyDescent="0.25">
      <c r="A72" s="55" t="s">
        <v>406</v>
      </c>
      <c r="B72" s="56" t="s">
        <v>148</v>
      </c>
      <c r="C72" s="57">
        <v>2248</v>
      </c>
      <c r="D72" s="58" t="s">
        <v>246</v>
      </c>
      <c r="E72" s="46">
        <v>45866</v>
      </c>
      <c r="F72" s="46">
        <v>45867</v>
      </c>
      <c r="G72" s="59">
        <v>889.99</v>
      </c>
      <c r="H72" s="59">
        <v>890.370382562278</v>
      </c>
      <c r="I72" s="57">
        <v>2000697.52</v>
      </c>
      <c r="J72" s="57">
        <v>2001552.62</v>
      </c>
      <c r="K72" s="60">
        <v>15.6001342971625</v>
      </c>
      <c r="L72" s="18">
        <f t="shared" si="55"/>
        <v>0</v>
      </c>
      <c r="M72" s="18">
        <f t="shared" si="56"/>
        <v>2000697.52</v>
      </c>
      <c r="N72" s="16"/>
    </row>
    <row r="73" spans="1:15" s="17" customFormat="1" ht="12" customHeight="1" thickBot="1" x14ac:dyDescent="0.3">
      <c r="A73" s="55"/>
      <c r="B73" s="56"/>
      <c r="C73" s="57"/>
      <c r="D73" s="58"/>
      <c r="E73" s="46"/>
      <c r="F73" s="46"/>
      <c r="G73" s="59"/>
      <c r="H73" s="59"/>
      <c r="I73" s="57"/>
      <c r="J73" s="57"/>
      <c r="K73" s="60"/>
      <c r="L73" s="18"/>
      <c r="M73" s="18"/>
      <c r="N73" s="16"/>
    </row>
    <row r="74" spans="1:15" ht="15.75" thickBot="1" x14ac:dyDescent="0.3">
      <c r="A74" s="83" t="s">
        <v>14</v>
      </c>
      <c r="B74" s="72"/>
      <c r="C74" s="71">
        <f>SUM(C66:C72)</f>
        <v>4633264</v>
      </c>
      <c r="D74" s="82"/>
      <c r="E74" s="81"/>
      <c r="F74" s="82"/>
      <c r="G74" s="80"/>
      <c r="H74" s="82"/>
      <c r="I74" s="71">
        <f>SUM(I66:I72)</f>
        <v>3220842096.2600002</v>
      </c>
      <c r="J74" s="71">
        <f>SUM(J66:J72)</f>
        <v>3223461281.3499999</v>
      </c>
      <c r="K74" s="79"/>
      <c r="L74" s="71">
        <f>SUM(L66:L72)</f>
        <v>1851603.0400000503</v>
      </c>
      <c r="M74" s="71">
        <f>SUM(M66:M72)</f>
        <v>1787667884.1199999</v>
      </c>
      <c r="N74" s="129">
        <v>1787667884.1199999</v>
      </c>
      <c r="O74" s="8">
        <f>M74-N74</f>
        <v>0</v>
      </c>
    </row>
    <row r="75" spans="1:15" x14ac:dyDescent="0.25">
      <c r="A75" s="7"/>
      <c r="B75" s="47"/>
      <c r="C75" s="48"/>
      <c r="D75" s="49"/>
      <c r="E75" s="50"/>
      <c r="F75" s="51"/>
      <c r="G75" s="51"/>
      <c r="H75" s="52"/>
      <c r="I75" s="52"/>
      <c r="J75" s="49"/>
      <c r="K75" s="49"/>
      <c r="L75" s="53"/>
      <c r="M75" s="54"/>
      <c r="N75" s="54"/>
    </row>
    <row r="77" spans="1:15" ht="15.75" thickBot="1" x14ac:dyDescent="0.3">
      <c r="A77" s="5" t="s">
        <v>387</v>
      </c>
      <c r="L77" s="10"/>
      <c r="M77" s="11"/>
    </row>
    <row r="78" spans="1:15" ht="22.5" x14ac:dyDescent="0.25">
      <c r="A78" s="124" t="s">
        <v>16</v>
      </c>
      <c r="B78" s="124" t="s">
        <v>257</v>
      </c>
      <c r="C78" s="124" t="s">
        <v>251</v>
      </c>
      <c r="D78" s="124" t="s">
        <v>258</v>
      </c>
      <c r="E78" s="124" t="s">
        <v>250</v>
      </c>
      <c r="F78" s="124" t="s">
        <v>259</v>
      </c>
      <c r="G78" s="124" t="s">
        <v>260</v>
      </c>
      <c r="L78" s="10"/>
      <c r="M78" s="11"/>
    </row>
    <row r="79" spans="1:15" x14ac:dyDescent="0.25">
      <c r="A79" s="28"/>
      <c r="B79" s="28"/>
      <c r="C79" s="121"/>
      <c r="D79" s="31"/>
      <c r="E79" s="29"/>
      <c r="F79" s="29"/>
      <c r="G79" s="29"/>
      <c r="L79" s="10"/>
      <c r="M79" s="11"/>
    </row>
    <row r="80" spans="1:15" ht="15.75" x14ac:dyDescent="0.25">
      <c r="A80" s="9" t="s">
        <v>14</v>
      </c>
      <c r="B80" s="125"/>
      <c r="C80" s="125"/>
      <c r="D80" s="125"/>
      <c r="E80" s="125"/>
      <c r="F80" s="125"/>
      <c r="G80" s="126">
        <f>SUM(G79:G79)</f>
        <v>0</v>
      </c>
      <c r="L80" s="10"/>
      <c r="M80" s="11"/>
    </row>
    <row r="81" spans="1:14" ht="15.75" thickBot="1" x14ac:dyDescent="0.3">
      <c r="L81" s="10"/>
      <c r="M81" s="11"/>
    </row>
    <row r="82" spans="1:14" ht="15.75" thickBot="1" x14ac:dyDescent="0.3">
      <c r="A82" s="34" t="s">
        <v>261</v>
      </c>
      <c r="B82" s="35">
        <f>L59+B62+M74+G80</f>
        <v>27463934194.607098</v>
      </c>
      <c r="C82" s="129">
        <v>27463934194.607105</v>
      </c>
      <c r="D82" s="3">
        <f>B82-C82</f>
        <v>0</v>
      </c>
      <c r="L82" s="10"/>
      <c r="M82" s="10"/>
    </row>
    <row r="83" spans="1:14" x14ac:dyDescent="0.25">
      <c r="L83" s="10"/>
    </row>
    <row r="84" spans="1:14" x14ac:dyDescent="0.25">
      <c r="B84" s="38"/>
      <c r="G84" s="8"/>
    </row>
    <row r="85" spans="1:14" ht="15.75" x14ac:dyDescent="0.25">
      <c r="A85" s="19"/>
      <c r="B85" s="100"/>
    </row>
    <row r="86" spans="1:14" x14ac:dyDescent="0.25">
      <c r="A86" s="6" t="s">
        <v>385</v>
      </c>
      <c r="L86" s="13"/>
      <c r="N86"/>
    </row>
    <row r="87" spans="1:14" ht="15.75" x14ac:dyDescent="0.25">
      <c r="A87" s="20" t="s">
        <v>262</v>
      </c>
      <c r="B87" s="21">
        <f>4028672.96-4028672.96</f>
        <v>0</v>
      </c>
      <c r="K87" s="13"/>
      <c r="N87"/>
    </row>
    <row r="88" spans="1:14" ht="15.75" x14ac:dyDescent="0.25">
      <c r="A88" s="20" t="s">
        <v>263</v>
      </c>
      <c r="B88" s="22"/>
      <c r="K88" s="13"/>
      <c r="N88"/>
    </row>
    <row r="89" spans="1:14" ht="15.75" x14ac:dyDescent="0.25">
      <c r="A89" s="20" t="s">
        <v>264</v>
      </c>
      <c r="B89" s="23">
        <f>2000+3000+5000+7000+2000+4000+3000+5000+2000+3000+3000+2000+2000+24000+2000+6000+2000+2000+2000+2000+351673.18+71000+2000+6000+2000+3000+2000+3000+2000+2000+2000+2000-434673.18+2000+2000+2000+2000+2000+3000+3000+4000</f>
        <v>116999.99999999994</v>
      </c>
      <c r="C89" s="8"/>
      <c r="F89" s="8"/>
      <c r="K89" s="13"/>
      <c r="N89"/>
    </row>
    <row r="90" spans="1:14" ht="15.75" x14ac:dyDescent="0.25">
      <c r="A90" s="20" t="s">
        <v>265</v>
      </c>
      <c r="B90" s="22"/>
      <c r="K90" s="13"/>
      <c r="N90"/>
    </row>
    <row r="91" spans="1:14" ht="15.75" x14ac:dyDescent="0.25">
      <c r="A91" s="24" t="s">
        <v>388</v>
      </c>
      <c r="B91" s="21">
        <f>367821.53+24184.63-392006.16</f>
        <v>0</v>
      </c>
      <c r="C91" s="8"/>
      <c r="D91" s="8"/>
      <c r="K91" s="13"/>
      <c r="N91"/>
    </row>
    <row r="92" spans="1:14" ht="15.75" x14ac:dyDescent="0.25">
      <c r="A92" s="20" t="s">
        <v>266</v>
      </c>
      <c r="B92" s="23">
        <f>1657.93+17471.45+833.85+38281.52+5689.78+11446.32+972.72+14750.07+2307.41+6498.23+11312.18+793.95+2780.61+11287.83+2853.64+2484.36+2483.47+2482.94+9626+3231.91+4083.63+3230.48+3265.02+12872.21+3281.52+3247.37+2574.32+7640.52+2575.08+2576.75+2575.88+2577.32+7662+2583.06+2582.99+2585.09+2053.2+6452.61+2743.63-149246.17</f>
        <v>77162.679999999964</v>
      </c>
      <c r="K92" s="13"/>
      <c r="N92"/>
    </row>
    <row r="93" spans="1:14" ht="15.75" x14ac:dyDescent="0.25">
      <c r="A93" s="20" t="s">
        <v>267</v>
      </c>
      <c r="B93" s="23">
        <f>813.81+8735.72+373.69+128083.49+2827.48+5705.74+465.05+25613.5+1140.79+3234.71+5642.43+379.56+1378.16+5629.32+1415.42+126867.26+1228.08+1228.56+4813+1606.04+1606.55+1607.59+1608.19+6436.1+1611.94+1612.29+46613.68-327181.81+3820.27+1275.38+1275.47+1276.53+1276.5+3831+1278.62+1279.34+1280.38+36800.38+3224.64+1340.74</f>
        <v>119055.58999999997</v>
      </c>
      <c r="K93" s="13"/>
      <c r="N93"/>
    </row>
    <row r="94" spans="1:14" ht="15.75" x14ac:dyDescent="0.25">
      <c r="A94" s="20" t="s">
        <v>268</v>
      </c>
      <c r="B94" s="22"/>
      <c r="K94" s="13"/>
      <c r="N94"/>
    </row>
    <row r="95" spans="1:14" ht="17.25" customHeight="1" x14ac:dyDescent="0.25">
      <c r="A95" s="24" t="s">
        <v>269</v>
      </c>
      <c r="B95" s="22"/>
      <c r="K95" s="13"/>
      <c r="N95"/>
    </row>
    <row r="96" spans="1:14" ht="15.75" x14ac:dyDescent="0.25">
      <c r="A96" s="24" t="s">
        <v>270</v>
      </c>
      <c r="B96" s="22"/>
      <c r="K96" s="13"/>
      <c r="N96"/>
    </row>
    <row r="97" spans="1:14" ht="15.75" x14ac:dyDescent="0.25">
      <c r="A97" s="26" t="s">
        <v>386</v>
      </c>
      <c r="B97" s="25">
        <f>SUM(B87:B96)</f>
        <v>313218.2699999999</v>
      </c>
      <c r="L97" s="13"/>
      <c r="N97"/>
    </row>
    <row r="98" spans="1:14" x14ac:dyDescent="0.25">
      <c r="L98" s="13"/>
      <c r="N98"/>
    </row>
  </sheetData>
  <autoFilter ref="A65:T65" xr:uid="{00000000-0009-0000-0000-000000000000}"/>
  <conditionalFormatting sqref="F66:F73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0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45866</v>
      </c>
    </row>
    <row r="2" spans="1:10" ht="15" customHeight="1" x14ac:dyDescent="0.25"/>
    <row r="3" spans="1:10" ht="17.25" customHeight="1" x14ac:dyDescent="0.25">
      <c r="A3" s="127" t="s">
        <v>16</v>
      </c>
      <c r="B3" s="127" t="s">
        <v>350</v>
      </c>
      <c r="C3" s="127" t="s">
        <v>0</v>
      </c>
      <c r="D3" s="127" t="s">
        <v>17</v>
      </c>
      <c r="E3" s="127" t="s">
        <v>345</v>
      </c>
      <c r="F3" s="127" t="s">
        <v>346</v>
      </c>
      <c r="G3" s="127" t="s">
        <v>347</v>
      </c>
      <c r="H3" s="127" t="s">
        <v>2133</v>
      </c>
      <c r="I3" s="127" t="s">
        <v>348</v>
      </c>
      <c r="J3" s="127" t="s">
        <v>18</v>
      </c>
    </row>
    <row r="4" spans="1:10" ht="21" customHeight="1" x14ac:dyDescent="0.25">
      <c r="A4" s="128"/>
      <c r="B4" s="127"/>
      <c r="C4" s="127"/>
      <c r="D4" s="127"/>
      <c r="E4" s="127"/>
      <c r="F4" s="127"/>
      <c r="G4" s="127"/>
      <c r="H4" s="127"/>
      <c r="I4" s="127"/>
      <c r="J4" s="127"/>
    </row>
    <row r="5" spans="1:10" ht="15" x14ac:dyDescent="0.25">
      <c r="A5" s="15">
        <v>1</v>
      </c>
      <c r="B5" s="62" t="s">
        <v>2302</v>
      </c>
      <c r="C5" s="62" t="s">
        <v>21</v>
      </c>
      <c r="D5" s="62" t="s">
        <v>19</v>
      </c>
      <c r="E5" s="62" t="s">
        <v>2416</v>
      </c>
      <c r="F5" s="62">
        <v>742.02</v>
      </c>
      <c r="G5" s="62" t="s">
        <v>349</v>
      </c>
      <c r="H5" s="62" t="s">
        <v>349</v>
      </c>
      <c r="I5" s="62" t="s">
        <v>349</v>
      </c>
      <c r="J5" s="62" t="s">
        <v>246</v>
      </c>
    </row>
    <row r="6" spans="1:10" ht="15" x14ac:dyDescent="0.25">
      <c r="A6" s="40">
        <v>2</v>
      </c>
      <c r="B6" s="62" t="s">
        <v>2349</v>
      </c>
      <c r="C6" s="62" t="s">
        <v>533</v>
      </c>
      <c r="D6" s="62" t="s">
        <v>2417</v>
      </c>
      <c r="E6" s="62" t="s">
        <v>2416</v>
      </c>
      <c r="F6" s="62">
        <v>5.74</v>
      </c>
      <c r="G6" s="62" t="s">
        <v>349</v>
      </c>
      <c r="H6" s="62" t="s">
        <v>349</v>
      </c>
      <c r="I6" s="62" t="s">
        <v>349</v>
      </c>
      <c r="J6" s="62" t="s">
        <v>2032</v>
      </c>
    </row>
    <row r="7" spans="1:10" ht="15" x14ac:dyDescent="0.25">
      <c r="A7" s="40">
        <v>3</v>
      </c>
      <c r="B7" s="62" t="s">
        <v>2350</v>
      </c>
      <c r="C7" s="62" t="s">
        <v>24</v>
      </c>
      <c r="D7" s="62" t="s">
        <v>19</v>
      </c>
      <c r="E7" s="62" t="s">
        <v>2418</v>
      </c>
      <c r="F7" s="63">
        <v>6261.15</v>
      </c>
      <c r="G7" s="62" t="s">
        <v>349</v>
      </c>
      <c r="H7" s="62" t="s">
        <v>349</v>
      </c>
      <c r="I7" s="62" t="s">
        <v>349</v>
      </c>
      <c r="J7" s="62" t="s">
        <v>246</v>
      </c>
    </row>
    <row r="8" spans="1:10" ht="15" x14ac:dyDescent="0.25">
      <c r="A8" s="40">
        <v>4</v>
      </c>
      <c r="B8" s="62" t="s">
        <v>2351</v>
      </c>
      <c r="C8" s="62" t="s">
        <v>443</v>
      </c>
      <c r="D8" s="62" t="s">
        <v>2419</v>
      </c>
      <c r="E8" s="62" t="s">
        <v>2420</v>
      </c>
      <c r="F8" s="62">
        <v>100.02370000000001</v>
      </c>
      <c r="G8" s="62">
        <v>100.73480000000001</v>
      </c>
      <c r="H8" s="62" t="s">
        <v>2408</v>
      </c>
      <c r="I8" s="62" t="s">
        <v>2634</v>
      </c>
      <c r="J8" s="62" t="s">
        <v>277</v>
      </c>
    </row>
    <row r="9" spans="1:10" ht="15" x14ac:dyDescent="0.25">
      <c r="A9" s="40">
        <v>5</v>
      </c>
      <c r="B9" s="62" t="s">
        <v>2421</v>
      </c>
      <c r="C9" s="62" t="s">
        <v>644</v>
      </c>
      <c r="D9" s="62" t="s">
        <v>19</v>
      </c>
      <c r="E9" s="62" t="s">
        <v>2422</v>
      </c>
      <c r="F9" s="62">
        <v>26.18</v>
      </c>
      <c r="G9" s="62" t="s">
        <v>349</v>
      </c>
      <c r="H9" s="62" t="s">
        <v>349</v>
      </c>
      <c r="I9" s="62" t="s">
        <v>349</v>
      </c>
      <c r="J9" s="62" t="s">
        <v>246</v>
      </c>
    </row>
    <row r="10" spans="1:10" ht="15" x14ac:dyDescent="0.25">
      <c r="A10" s="40">
        <v>6</v>
      </c>
      <c r="B10" s="62" t="s">
        <v>2423</v>
      </c>
      <c r="C10" s="62" t="s">
        <v>748</v>
      </c>
      <c r="D10" s="62" t="s">
        <v>2424</v>
      </c>
      <c r="E10" s="62" t="s">
        <v>2425</v>
      </c>
      <c r="F10" s="62">
        <v>123.68</v>
      </c>
      <c r="G10" s="62" t="s">
        <v>349</v>
      </c>
      <c r="H10" s="62" t="s">
        <v>349</v>
      </c>
      <c r="I10" s="62" t="s">
        <v>349</v>
      </c>
      <c r="J10" s="62" t="s">
        <v>2032</v>
      </c>
    </row>
    <row r="11" spans="1:10" ht="15" x14ac:dyDescent="0.25">
      <c r="A11" s="40">
        <v>7</v>
      </c>
      <c r="B11" s="62" t="s">
        <v>2426</v>
      </c>
      <c r="C11" s="62" t="s">
        <v>27</v>
      </c>
      <c r="D11" s="62" t="s">
        <v>2424</v>
      </c>
      <c r="E11" s="62" t="s">
        <v>2425</v>
      </c>
      <c r="F11" s="63">
        <v>1445.71</v>
      </c>
      <c r="G11" s="62" t="s">
        <v>349</v>
      </c>
      <c r="H11" s="62" t="s">
        <v>349</v>
      </c>
      <c r="I11" s="62" t="s">
        <v>349</v>
      </c>
      <c r="J11" s="62" t="s">
        <v>246</v>
      </c>
    </row>
    <row r="12" spans="1:10" ht="15" x14ac:dyDescent="0.25">
      <c r="A12" s="40">
        <v>8</v>
      </c>
      <c r="B12" s="62" t="s">
        <v>2427</v>
      </c>
      <c r="C12" s="62" t="s">
        <v>751</v>
      </c>
      <c r="D12" s="62" t="s">
        <v>2424</v>
      </c>
      <c r="E12" s="62" t="s">
        <v>2425</v>
      </c>
      <c r="F12" s="62">
        <v>6.71</v>
      </c>
      <c r="G12" s="62" t="s">
        <v>349</v>
      </c>
      <c r="H12" s="62" t="s">
        <v>349</v>
      </c>
      <c r="I12" s="62" t="s">
        <v>349</v>
      </c>
      <c r="J12" s="62" t="s">
        <v>246</v>
      </c>
    </row>
    <row r="13" spans="1:10" ht="15.75" customHeight="1" x14ac:dyDescent="0.25">
      <c r="A13" s="40">
        <v>9</v>
      </c>
      <c r="B13" s="62" t="s">
        <v>2428</v>
      </c>
      <c r="C13" s="62" t="s">
        <v>2258</v>
      </c>
      <c r="D13" s="62" t="s">
        <v>2419</v>
      </c>
      <c r="E13" s="62" t="s">
        <v>2271</v>
      </c>
      <c r="F13" s="62">
        <v>101.0937</v>
      </c>
      <c r="G13" s="62">
        <v>104.2895</v>
      </c>
      <c r="H13" s="62" t="s">
        <v>2635</v>
      </c>
      <c r="I13" s="62" t="s">
        <v>2636</v>
      </c>
      <c r="J13" s="62" t="s">
        <v>277</v>
      </c>
    </row>
    <row r="14" spans="1:10" ht="15.75" customHeight="1" x14ac:dyDescent="0.25">
      <c r="A14" s="40">
        <v>10</v>
      </c>
      <c r="B14" s="62" t="s">
        <v>2429</v>
      </c>
      <c r="C14" s="62" t="s">
        <v>2166</v>
      </c>
      <c r="D14" s="62" t="s">
        <v>2419</v>
      </c>
      <c r="E14" s="62" t="s">
        <v>2430</v>
      </c>
      <c r="F14" s="62">
        <v>101.4303</v>
      </c>
      <c r="G14" s="62">
        <v>103.1647</v>
      </c>
      <c r="H14" s="62" t="s">
        <v>2380</v>
      </c>
      <c r="I14" s="62" t="s">
        <v>2637</v>
      </c>
      <c r="J14" s="62" t="s">
        <v>277</v>
      </c>
    </row>
    <row r="15" spans="1:10" ht="15.75" customHeight="1" x14ac:dyDescent="0.25">
      <c r="A15" s="40">
        <v>11</v>
      </c>
      <c r="B15" s="62" t="s">
        <v>2431</v>
      </c>
      <c r="C15" s="62" t="s">
        <v>2235</v>
      </c>
      <c r="D15" s="62" t="s">
        <v>2419</v>
      </c>
      <c r="E15" s="62" t="s">
        <v>2432</v>
      </c>
      <c r="F15" s="62">
        <v>101.1884</v>
      </c>
      <c r="G15" s="62">
        <v>102.3995</v>
      </c>
      <c r="H15" s="62" t="s">
        <v>2409</v>
      </c>
      <c r="I15" s="62" t="s">
        <v>2638</v>
      </c>
      <c r="J15" s="62" t="s">
        <v>277</v>
      </c>
    </row>
    <row r="16" spans="1:10" ht="15" x14ac:dyDescent="0.25">
      <c r="A16" s="40">
        <v>12</v>
      </c>
      <c r="B16" s="62" t="s">
        <v>2433</v>
      </c>
      <c r="C16" s="62" t="s">
        <v>33</v>
      </c>
      <c r="D16" s="62" t="s">
        <v>19</v>
      </c>
      <c r="E16" s="62" t="s">
        <v>2434</v>
      </c>
      <c r="F16" s="63">
        <v>3704.54</v>
      </c>
      <c r="G16" s="62" t="s">
        <v>349</v>
      </c>
      <c r="H16" s="62" t="s">
        <v>349</v>
      </c>
      <c r="I16" s="62" t="s">
        <v>349</v>
      </c>
      <c r="J16" s="62" t="s">
        <v>246</v>
      </c>
    </row>
    <row r="17" spans="1:10" ht="15" x14ac:dyDescent="0.25">
      <c r="A17" s="40">
        <v>13</v>
      </c>
      <c r="B17" s="62" t="s">
        <v>2435</v>
      </c>
      <c r="C17" s="62" t="s">
        <v>36</v>
      </c>
      <c r="D17" s="62" t="s">
        <v>19</v>
      </c>
      <c r="E17" s="62" t="s">
        <v>2434</v>
      </c>
      <c r="F17" s="63">
        <v>5265.13</v>
      </c>
      <c r="G17" s="62" t="s">
        <v>349</v>
      </c>
      <c r="H17" s="62" t="s">
        <v>349</v>
      </c>
      <c r="I17" s="62" t="s">
        <v>349</v>
      </c>
      <c r="J17" s="62" t="s">
        <v>246</v>
      </c>
    </row>
    <row r="18" spans="1:10" ht="15" x14ac:dyDescent="0.25">
      <c r="A18" s="40">
        <v>14</v>
      </c>
      <c r="B18" s="62" t="s">
        <v>2436</v>
      </c>
      <c r="C18" s="62" t="s">
        <v>2249</v>
      </c>
      <c r="D18" s="62" t="s">
        <v>2419</v>
      </c>
      <c r="E18" s="62" t="s">
        <v>2437</v>
      </c>
      <c r="F18" s="62">
        <v>99.941599999999994</v>
      </c>
      <c r="G18" s="62">
        <v>103.44159999999999</v>
      </c>
      <c r="H18" s="62" t="s">
        <v>2394</v>
      </c>
      <c r="I18" s="62" t="s">
        <v>2639</v>
      </c>
      <c r="J18" s="62" t="s">
        <v>277</v>
      </c>
    </row>
    <row r="19" spans="1:10" ht="15" x14ac:dyDescent="0.25">
      <c r="A19" s="40">
        <v>15</v>
      </c>
      <c r="B19" s="62" t="s">
        <v>2438</v>
      </c>
      <c r="C19" s="62" t="s">
        <v>38</v>
      </c>
      <c r="D19" s="62" t="s">
        <v>2424</v>
      </c>
      <c r="E19" s="62" t="s">
        <v>243</v>
      </c>
      <c r="F19" s="63">
        <v>5804336.1100000003</v>
      </c>
      <c r="G19" s="62" t="s">
        <v>349</v>
      </c>
      <c r="H19" s="62" t="s">
        <v>349</v>
      </c>
      <c r="I19" s="62" t="s">
        <v>349</v>
      </c>
      <c r="J19" s="62" t="s">
        <v>246</v>
      </c>
    </row>
    <row r="20" spans="1:10" ht="15" x14ac:dyDescent="0.25">
      <c r="A20" s="40">
        <v>16</v>
      </c>
      <c r="B20" s="62" t="s">
        <v>2439</v>
      </c>
      <c r="C20" s="62" t="s">
        <v>41</v>
      </c>
      <c r="D20" s="62" t="s">
        <v>2424</v>
      </c>
      <c r="E20" s="62" t="s">
        <v>243</v>
      </c>
      <c r="F20" s="63">
        <v>1718367.29</v>
      </c>
      <c r="G20" s="62" t="s">
        <v>349</v>
      </c>
      <c r="H20" s="62" t="s">
        <v>349</v>
      </c>
      <c r="I20" s="62" t="s">
        <v>349</v>
      </c>
      <c r="J20" s="62" t="s">
        <v>246</v>
      </c>
    </row>
    <row r="21" spans="1:10" ht="15" x14ac:dyDescent="0.25">
      <c r="A21" s="40">
        <v>17</v>
      </c>
      <c r="B21" s="62" t="s">
        <v>2440</v>
      </c>
      <c r="C21" s="62" t="s">
        <v>44</v>
      </c>
      <c r="D21" s="62" t="s">
        <v>2441</v>
      </c>
      <c r="E21" s="62" t="s">
        <v>42</v>
      </c>
      <c r="F21" s="62">
        <v>99.6614</v>
      </c>
      <c r="G21" s="62">
        <v>101.6952</v>
      </c>
      <c r="H21" s="62" t="s">
        <v>2366</v>
      </c>
      <c r="I21" s="62" t="s">
        <v>2640</v>
      </c>
      <c r="J21" s="62" t="s">
        <v>277</v>
      </c>
    </row>
    <row r="22" spans="1:10" ht="15" x14ac:dyDescent="0.25">
      <c r="A22" s="40">
        <v>18</v>
      </c>
      <c r="B22" s="62" t="s">
        <v>2442</v>
      </c>
      <c r="C22" s="62" t="s">
        <v>2079</v>
      </c>
      <c r="D22" s="62" t="s">
        <v>2441</v>
      </c>
      <c r="E22" s="62" t="s">
        <v>42</v>
      </c>
      <c r="F22" s="62">
        <v>100</v>
      </c>
      <c r="G22" s="62">
        <v>106.8116</v>
      </c>
      <c r="H22" s="62" t="s">
        <v>2344</v>
      </c>
      <c r="I22" s="62" t="s">
        <v>2641</v>
      </c>
      <c r="J22" s="62" t="s">
        <v>277</v>
      </c>
    </row>
    <row r="23" spans="1:10" ht="15" x14ac:dyDescent="0.25">
      <c r="A23" s="40">
        <v>19</v>
      </c>
      <c r="B23" s="62" t="s">
        <v>2443</v>
      </c>
      <c r="C23" s="62" t="s">
        <v>2130</v>
      </c>
      <c r="D23" s="62" t="s">
        <v>2441</v>
      </c>
      <c r="E23" s="62" t="s">
        <v>42</v>
      </c>
      <c r="F23" s="62">
        <v>100</v>
      </c>
      <c r="G23" s="62">
        <v>105.8973</v>
      </c>
      <c r="H23" s="62" t="s">
        <v>2330</v>
      </c>
      <c r="I23" s="62" t="s">
        <v>2642</v>
      </c>
      <c r="J23" s="62" t="s">
        <v>277</v>
      </c>
    </row>
    <row r="24" spans="1:10" ht="15" x14ac:dyDescent="0.25">
      <c r="A24" s="40">
        <v>20</v>
      </c>
      <c r="B24" s="62" t="s">
        <v>2444</v>
      </c>
      <c r="C24" s="62" t="s">
        <v>49</v>
      </c>
      <c r="D24" s="62" t="s">
        <v>2424</v>
      </c>
      <c r="E24" s="62" t="s">
        <v>2445</v>
      </c>
      <c r="F24" s="63">
        <v>88489.87</v>
      </c>
      <c r="G24" s="62" t="s">
        <v>349</v>
      </c>
      <c r="H24" s="62" t="s">
        <v>349</v>
      </c>
      <c r="I24" s="62" t="s">
        <v>349</v>
      </c>
      <c r="J24" s="62" t="s">
        <v>246</v>
      </c>
    </row>
    <row r="25" spans="1:10" ht="15" x14ac:dyDescent="0.25">
      <c r="A25" s="40">
        <v>21</v>
      </c>
      <c r="B25" s="62" t="s">
        <v>2446</v>
      </c>
      <c r="C25" s="62" t="s">
        <v>46</v>
      </c>
      <c r="D25" s="62" t="s">
        <v>2424</v>
      </c>
      <c r="E25" s="62" t="s">
        <v>2445</v>
      </c>
      <c r="F25" s="63">
        <v>5420.25</v>
      </c>
      <c r="G25" s="62" t="s">
        <v>349</v>
      </c>
      <c r="H25" s="62" t="s">
        <v>349</v>
      </c>
      <c r="I25" s="62" t="s">
        <v>349</v>
      </c>
      <c r="J25" s="62" t="s">
        <v>246</v>
      </c>
    </row>
    <row r="26" spans="1:10" ht="15" x14ac:dyDescent="0.25">
      <c r="A26" s="40">
        <v>22</v>
      </c>
      <c r="B26" s="62" t="s">
        <v>2447</v>
      </c>
      <c r="C26" s="62" t="s">
        <v>1008</v>
      </c>
      <c r="D26" s="62" t="s">
        <v>2424</v>
      </c>
      <c r="E26" s="62" t="s">
        <v>2448</v>
      </c>
      <c r="F26" s="63">
        <v>1019.88</v>
      </c>
      <c r="G26" s="62" t="s">
        <v>349</v>
      </c>
      <c r="H26" s="62" t="s">
        <v>349</v>
      </c>
      <c r="I26" s="62" t="s">
        <v>349</v>
      </c>
      <c r="J26" s="62" t="s">
        <v>2032</v>
      </c>
    </row>
    <row r="27" spans="1:10" ht="15" x14ac:dyDescent="0.25">
      <c r="A27" s="40">
        <v>23</v>
      </c>
      <c r="B27" s="62" t="s">
        <v>2449</v>
      </c>
      <c r="C27" s="62" t="s">
        <v>1015</v>
      </c>
      <c r="D27" s="62" t="s">
        <v>2424</v>
      </c>
      <c r="E27" s="62" t="s">
        <v>2448</v>
      </c>
      <c r="F27" s="63">
        <v>1156.48</v>
      </c>
      <c r="G27" s="62" t="s">
        <v>349</v>
      </c>
      <c r="H27" s="62" t="s">
        <v>349</v>
      </c>
      <c r="I27" s="62" t="s">
        <v>349</v>
      </c>
      <c r="J27" s="62" t="s">
        <v>2032</v>
      </c>
    </row>
    <row r="28" spans="1:10" ht="15" x14ac:dyDescent="0.25">
      <c r="A28" s="40">
        <v>24</v>
      </c>
      <c r="B28" s="62" t="s">
        <v>2450</v>
      </c>
      <c r="C28" s="62" t="s">
        <v>56</v>
      </c>
      <c r="D28" s="62" t="s">
        <v>2419</v>
      </c>
      <c r="E28" s="62" t="s">
        <v>2451</v>
      </c>
      <c r="F28" s="62">
        <v>99.905600000000007</v>
      </c>
      <c r="G28" s="62">
        <v>107.8806</v>
      </c>
      <c r="H28" s="62" t="s">
        <v>2643</v>
      </c>
      <c r="I28" s="62" t="s">
        <v>2644</v>
      </c>
      <c r="J28" s="62" t="s">
        <v>277</v>
      </c>
    </row>
    <row r="29" spans="1:10" ht="15" x14ac:dyDescent="0.25">
      <c r="A29" s="40">
        <v>25</v>
      </c>
      <c r="B29" s="62" t="s">
        <v>2452</v>
      </c>
      <c r="C29" s="62" t="s">
        <v>58</v>
      </c>
      <c r="D29" s="62" t="s">
        <v>2424</v>
      </c>
      <c r="E29" s="62" t="s">
        <v>2453</v>
      </c>
      <c r="F29" s="63">
        <v>52947.34</v>
      </c>
      <c r="G29" s="62" t="s">
        <v>349</v>
      </c>
      <c r="H29" s="62" t="s">
        <v>349</v>
      </c>
      <c r="I29" s="62" t="s">
        <v>349</v>
      </c>
      <c r="J29" s="62" t="s">
        <v>246</v>
      </c>
    </row>
    <row r="30" spans="1:10" ht="15" x14ac:dyDescent="0.25">
      <c r="A30" s="40">
        <v>26</v>
      </c>
      <c r="B30" s="62" t="s">
        <v>2454</v>
      </c>
      <c r="C30" s="62" t="s">
        <v>60</v>
      </c>
      <c r="D30" s="62" t="s">
        <v>2424</v>
      </c>
      <c r="E30" s="62" t="s">
        <v>2453</v>
      </c>
      <c r="F30" s="63">
        <v>73824.91</v>
      </c>
      <c r="G30" s="62" t="s">
        <v>349</v>
      </c>
      <c r="H30" s="62" t="s">
        <v>349</v>
      </c>
      <c r="I30" s="62" t="s">
        <v>349</v>
      </c>
      <c r="J30" s="62" t="s">
        <v>246</v>
      </c>
    </row>
    <row r="31" spans="1:10" ht="15" x14ac:dyDescent="0.25">
      <c r="A31" s="40">
        <v>27</v>
      </c>
      <c r="B31" s="62" t="s">
        <v>2455</v>
      </c>
      <c r="C31" s="62" t="s">
        <v>62</v>
      </c>
      <c r="D31" s="62" t="s">
        <v>2424</v>
      </c>
      <c r="E31" s="62" t="s">
        <v>2453</v>
      </c>
      <c r="F31" s="63">
        <v>72695.53</v>
      </c>
      <c r="G31" s="62" t="s">
        <v>349</v>
      </c>
      <c r="H31" s="62" t="s">
        <v>349</v>
      </c>
      <c r="I31" s="62" t="s">
        <v>349</v>
      </c>
      <c r="J31" s="62" t="s">
        <v>246</v>
      </c>
    </row>
    <row r="32" spans="1:10" ht="15" x14ac:dyDescent="0.25">
      <c r="A32" s="40">
        <v>28</v>
      </c>
      <c r="B32" s="62" t="s">
        <v>2456</v>
      </c>
      <c r="C32" s="62" t="s">
        <v>64</v>
      </c>
      <c r="D32" s="62" t="s">
        <v>2424</v>
      </c>
      <c r="E32" s="62" t="s">
        <v>2453</v>
      </c>
      <c r="F32" s="63">
        <v>574340.97</v>
      </c>
      <c r="G32" s="62" t="s">
        <v>349</v>
      </c>
      <c r="H32" s="62" t="s">
        <v>349</v>
      </c>
      <c r="I32" s="62" t="s">
        <v>349</v>
      </c>
      <c r="J32" s="62" t="s">
        <v>246</v>
      </c>
    </row>
    <row r="33" spans="1:10" ht="15" x14ac:dyDescent="0.25">
      <c r="A33" s="40">
        <v>29</v>
      </c>
      <c r="B33" s="62" t="s">
        <v>2457</v>
      </c>
      <c r="C33" s="62" t="s">
        <v>66</v>
      </c>
      <c r="D33" s="62" t="s">
        <v>19</v>
      </c>
      <c r="E33" s="62" t="s">
        <v>2458</v>
      </c>
      <c r="F33" s="62">
        <v>347.61</v>
      </c>
      <c r="G33" s="62" t="s">
        <v>349</v>
      </c>
      <c r="H33" s="62" t="s">
        <v>349</v>
      </c>
      <c r="I33" s="62" t="s">
        <v>349</v>
      </c>
      <c r="J33" s="62" t="s">
        <v>246</v>
      </c>
    </row>
    <row r="34" spans="1:10" ht="15" x14ac:dyDescent="0.25">
      <c r="A34" s="40">
        <v>30</v>
      </c>
      <c r="B34" s="62" t="s">
        <v>2459</v>
      </c>
      <c r="C34" s="62" t="s">
        <v>376</v>
      </c>
      <c r="D34" s="62" t="s">
        <v>2417</v>
      </c>
      <c r="E34" s="62" t="s">
        <v>2458</v>
      </c>
      <c r="F34" s="62">
        <v>25.05</v>
      </c>
      <c r="G34" s="62" t="s">
        <v>349</v>
      </c>
      <c r="H34" s="62" t="s">
        <v>349</v>
      </c>
      <c r="I34" s="62" t="s">
        <v>349</v>
      </c>
      <c r="J34" s="62" t="s">
        <v>2032</v>
      </c>
    </row>
    <row r="35" spans="1:10" ht="15" x14ac:dyDescent="0.25">
      <c r="A35" s="40">
        <v>31</v>
      </c>
      <c r="B35" s="62" t="s">
        <v>2460</v>
      </c>
      <c r="C35" s="62" t="s">
        <v>69</v>
      </c>
      <c r="D35" s="62" t="s">
        <v>19</v>
      </c>
      <c r="E35" s="62" t="s">
        <v>2461</v>
      </c>
      <c r="F35" s="63">
        <v>9490.25</v>
      </c>
      <c r="G35" s="62" t="s">
        <v>349</v>
      </c>
      <c r="H35" s="62" t="s">
        <v>349</v>
      </c>
      <c r="I35" s="62" t="s">
        <v>349</v>
      </c>
      <c r="J35" s="62" t="s">
        <v>246</v>
      </c>
    </row>
    <row r="36" spans="1:10" ht="15" x14ac:dyDescent="0.25">
      <c r="A36" s="40">
        <v>32</v>
      </c>
      <c r="B36" s="62" t="s">
        <v>2462</v>
      </c>
      <c r="C36" s="62" t="s">
        <v>82</v>
      </c>
      <c r="D36" s="62" t="s">
        <v>19</v>
      </c>
      <c r="E36" s="62" t="s">
        <v>2463</v>
      </c>
      <c r="F36" s="63">
        <v>3433.38</v>
      </c>
      <c r="G36" s="62" t="s">
        <v>349</v>
      </c>
      <c r="H36" s="62" t="s">
        <v>349</v>
      </c>
      <c r="I36" s="62" t="s">
        <v>349</v>
      </c>
      <c r="J36" s="62" t="s">
        <v>246</v>
      </c>
    </row>
    <row r="37" spans="1:10" ht="15" x14ac:dyDescent="0.25">
      <c r="A37" s="40">
        <v>33</v>
      </c>
      <c r="B37" s="62" t="s">
        <v>2464</v>
      </c>
      <c r="C37" s="62" t="s">
        <v>85</v>
      </c>
      <c r="D37" s="62" t="s">
        <v>19</v>
      </c>
      <c r="E37" s="62" t="s">
        <v>2465</v>
      </c>
      <c r="F37" s="63">
        <v>1447.42</v>
      </c>
      <c r="G37" s="62" t="s">
        <v>349</v>
      </c>
      <c r="H37" s="62" t="s">
        <v>349</v>
      </c>
      <c r="I37" s="62" t="s">
        <v>349</v>
      </c>
      <c r="J37" s="62" t="s">
        <v>246</v>
      </c>
    </row>
    <row r="38" spans="1:10" ht="15" x14ac:dyDescent="0.25">
      <c r="A38" s="40">
        <v>34</v>
      </c>
      <c r="B38" s="62" t="s">
        <v>2466</v>
      </c>
      <c r="C38" s="62" t="s">
        <v>88</v>
      </c>
      <c r="D38" s="62" t="s">
        <v>19</v>
      </c>
      <c r="E38" s="62" t="s">
        <v>2467</v>
      </c>
      <c r="F38" s="63">
        <v>19969.38</v>
      </c>
      <c r="G38" s="62" t="s">
        <v>349</v>
      </c>
      <c r="H38" s="62" t="s">
        <v>349</v>
      </c>
      <c r="I38" s="62" t="s">
        <v>349</v>
      </c>
      <c r="J38" s="62" t="s">
        <v>246</v>
      </c>
    </row>
    <row r="39" spans="1:10" ht="15" x14ac:dyDescent="0.25">
      <c r="A39" s="40">
        <v>35</v>
      </c>
      <c r="B39" s="62" t="s">
        <v>2468</v>
      </c>
      <c r="C39" s="62" t="s">
        <v>91</v>
      </c>
      <c r="D39" s="62" t="s">
        <v>2419</v>
      </c>
      <c r="E39" s="62" t="s">
        <v>2467</v>
      </c>
      <c r="F39" s="62">
        <v>86.472200000000001</v>
      </c>
      <c r="G39" s="62">
        <v>88.0535</v>
      </c>
      <c r="H39" s="62" t="s">
        <v>2365</v>
      </c>
      <c r="I39" s="62" t="s">
        <v>2645</v>
      </c>
      <c r="J39" s="62" t="s">
        <v>277</v>
      </c>
    </row>
    <row r="40" spans="1:10" ht="15" x14ac:dyDescent="0.25">
      <c r="A40" s="40">
        <v>36</v>
      </c>
      <c r="B40" s="62" t="s">
        <v>2469</v>
      </c>
      <c r="C40" s="62" t="s">
        <v>93</v>
      </c>
      <c r="D40" s="62" t="s">
        <v>2419</v>
      </c>
      <c r="E40" s="62" t="s">
        <v>2467</v>
      </c>
      <c r="F40" s="62">
        <v>101.241</v>
      </c>
      <c r="G40" s="62">
        <v>102.64449999999999</v>
      </c>
      <c r="H40" s="62" t="s">
        <v>2410</v>
      </c>
      <c r="I40" s="62" t="s">
        <v>2646</v>
      </c>
      <c r="J40" s="62" t="s">
        <v>277</v>
      </c>
    </row>
    <row r="41" spans="1:10" ht="15" x14ac:dyDescent="0.25">
      <c r="A41" s="40">
        <v>37</v>
      </c>
      <c r="B41" s="62" t="s">
        <v>2470</v>
      </c>
      <c r="C41" s="62" t="s">
        <v>95</v>
      </c>
      <c r="D41" s="62" t="s">
        <v>2419</v>
      </c>
      <c r="E41" s="62" t="s">
        <v>2467</v>
      </c>
      <c r="F41" s="62">
        <v>92.715900000000005</v>
      </c>
      <c r="G41" s="62">
        <v>94.380499999999998</v>
      </c>
      <c r="H41" s="62" t="s">
        <v>2367</v>
      </c>
      <c r="I41" s="62" t="s">
        <v>2647</v>
      </c>
      <c r="J41" s="62" t="s">
        <v>277</v>
      </c>
    </row>
    <row r="42" spans="1:10" ht="15" x14ac:dyDescent="0.25">
      <c r="A42" s="40">
        <v>38</v>
      </c>
      <c r="B42" s="62" t="s">
        <v>2471</v>
      </c>
      <c r="C42" s="62" t="s">
        <v>97</v>
      </c>
      <c r="D42" s="62" t="s">
        <v>2419</v>
      </c>
      <c r="E42" s="62" t="s">
        <v>2467</v>
      </c>
      <c r="F42" s="62">
        <v>87.485600000000005</v>
      </c>
      <c r="G42" s="62">
        <v>88.496700000000004</v>
      </c>
      <c r="H42" s="62" t="s">
        <v>2381</v>
      </c>
      <c r="I42" s="62" t="s">
        <v>2648</v>
      </c>
      <c r="J42" s="62" t="s">
        <v>277</v>
      </c>
    </row>
    <row r="43" spans="1:10" ht="15" x14ac:dyDescent="0.25">
      <c r="A43" s="40">
        <v>39</v>
      </c>
      <c r="B43" s="62" t="s">
        <v>2472</v>
      </c>
      <c r="C43" s="62" t="s">
        <v>99</v>
      </c>
      <c r="D43" s="62" t="s">
        <v>19</v>
      </c>
      <c r="E43" s="62" t="s">
        <v>2473</v>
      </c>
      <c r="F43" s="63">
        <v>47749</v>
      </c>
      <c r="G43" s="62" t="s">
        <v>349</v>
      </c>
      <c r="H43" s="62" t="s">
        <v>349</v>
      </c>
      <c r="I43" s="62" t="s">
        <v>349</v>
      </c>
      <c r="J43" s="62" t="s">
        <v>246</v>
      </c>
    </row>
    <row r="44" spans="1:10" ht="15" x14ac:dyDescent="0.25">
      <c r="A44" s="40">
        <v>40</v>
      </c>
      <c r="B44" s="62" t="s">
        <v>2474</v>
      </c>
      <c r="C44" s="62" t="s">
        <v>102</v>
      </c>
      <c r="D44" s="62" t="s">
        <v>2417</v>
      </c>
      <c r="E44" s="62" t="s">
        <v>2473</v>
      </c>
      <c r="F44" s="62">
        <v>88.33</v>
      </c>
      <c r="G44" s="62" t="s">
        <v>349</v>
      </c>
      <c r="H44" s="62" t="s">
        <v>349</v>
      </c>
      <c r="I44" s="62" t="s">
        <v>349</v>
      </c>
      <c r="J44" s="62" t="s">
        <v>2032</v>
      </c>
    </row>
    <row r="45" spans="1:10" ht="15" x14ac:dyDescent="0.25">
      <c r="A45" s="40">
        <v>41</v>
      </c>
      <c r="B45" s="62" t="s">
        <v>2475</v>
      </c>
      <c r="C45" s="62" t="s">
        <v>104</v>
      </c>
      <c r="D45" s="62" t="s">
        <v>19</v>
      </c>
      <c r="E45" s="62" t="s">
        <v>2476</v>
      </c>
      <c r="F45" s="63">
        <v>23284.42</v>
      </c>
      <c r="G45" s="62" t="s">
        <v>349</v>
      </c>
      <c r="H45" s="62" t="s">
        <v>349</v>
      </c>
      <c r="I45" s="62" t="s">
        <v>349</v>
      </c>
      <c r="J45" s="62" t="s">
        <v>246</v>
      </c>
    </row>
    <row r="46" spans="1:10" ht="15" x14ac:dyDescent="0.25">
      <c r="A46" s="40">
        <v>42</v>
      </c>
      <c r="B46" s="62" t="s">
        <v>2477</v>
      </c>
      <c r="C46" s="62" t="s">
        <v>2113</v>
      </c>
      <c r="D46" s="62" t="s">
        <v>2419</v>
      </c>
      <c r="E46" s="62" t="s">
        <v>2478</v>
      </c>
      <c r="F46" s="62">
        <v>102.8826</v>
      </c>
      <c r="G46" s="62">
        <v>110.8882</v>
      </c>
      <c r="H46" s="62" t="s">
        <v>2385</v>
      </c>
      <c r="I46" s="62" t="s">
        <v>2649</v>
      </c>
      <c r="J46" s="62" t="s">
        <v>277</v>
      </c>
    </row>
    <row r="47" spans="1:10" ht="15" x14ac:dyDescent="0.25">
      <c r="A47" s="40">
        <v>43</v>
      </c>
      <c r="B47" s="62" t="s">
        <v>2479</v>
      </c>
      <c r="C47" s="62" t="s">
        <v>106</v>
      </c>
      <c r="D47" s="62" t="s">
        <v>19</v>
      </c>
      <c r="E47" s="62" t="s">
        <v>2480</v>
      </c>
      <c r="F47" s="63">
        <v>39663.93</v>
      </c>
      <c r="G47" s="62" t="s">
        <v>349</v>
      </c>
      <c r="H47" s="62" t="s">
        <v>349</v>
      </c>
      <c r="I47" s="62" t="s">
        <v>349</v>
      </c>
      <c r="J47" s="62" t="s">
        <v>246</v>
      </c>
    </row>
    <row r="48" spans="1:10" ht="15" x14ac:dyDescent="0.25">
      <c r="A48" s="40">
        <v>44</v>
      </c>
      <c r="B48" s="62" t="s">
        <v>2481</v>
      </c>
      <c r="C48" s="62" t="s">
        <v>109</v>
      </c>
      <c r="D48" s="62" t="s">
        <v>19</v>
      </c>
      <c r="E48" s="62" t="s">
        <v>2480</v>
      </c>
      <c r="F48" s="63">
        <v>33139.1</v>
      </c>
      <c r="G48" s="62" t="s">
        <v>349</v>
      </c>
      <c r="H48" s="62" t="s">
        <v>349</v>
      </c>
      <c r="I48" s="62" t="s">
        <v>349</v>
      </c>
      <c r="J48" s="62" t="s">
        <v>246</v>
      </c>
    </row>
    <row r="49" spans="1:10" ht="15" x14ac:dyDescent="0.25">
      <c r="A49" s="40">
        <v>45</v>
      </c>
      <c r="B49" s="62" t="s">
        <v>2482</v>
      </c>
      <c r="C49" s="62" t="s">
        <v>111</v>
      </c>
      <c r="D49" s="62" t="s">
        <v>19</v>
      </c>
      <c r="E49" s="62" t="s">
        <v>2483</v>
      </c>
      <c r="F49" s="62">
        <v>810.58</v>
      </c>
      <c r="G49" s="62" t="s">
        <v>349</v>
      </c>
      <c r="H49" s="62" t="s">
        <v>349</v>
      </c>
      <c r="I49" s="62" t="s">
        <v>349</v>
      </c>
      <c r="J49" s="62" t="s">
        <v>246</v>
      </c>
    </row>
    <row r="50" spans="1:10" ht="15" x14ac:dyDescent="0.25">
      <c r="A50" s="40">
        <v>46</v>
      </c>
      <c r="B50" s="62" t="s">
        <v>2484</v>
      </c>
      <c r="C50" s="62" t="s">
        <v>1288</v>
      </c>
      <c r="D50" s="62" t="s">
        <v>2485</v>
      </c>
      <c r="E50" s="62" t="s">
        <v>2486</v>
      </c>
      <c r="F50" s="62">
        <v>97.5</v>
      </c>
      <c r="G50" s="62">
        <v>98.927300000000002</v>
      </c>
      <c r="H50" s="62" t="s">
        <v>2335</v>
      </c>
      <c r="I50" s="62" t="s">
        <v>2650</v>
      </c>
      <c r="J50" s="62" t="s">
        <v>277</v>
      </c>
    </row>
    <row r="51" spans="1:10" ht="15" x14ac:dyDescent="0.25">
      <c r="A51" s="40">
        <v>47</v>
      </c>
      <c r="B51" s="62" t="s">
        <v>2487</v>
      </c>
      <c r="C51" s="62" t="s">
        <v>433</v>
      </c>
      <c r="D51" s="62" t="s">
        <v>2419</v>
      </c>
      <c r="E51" s="62" t="s">
        <v>2488</v>
      </c>
      <c r="F51" s="62">
        <v>78.905000000000001</v>
      </c>
      <c r="G51" s="62">
        <v>81.438299999999998</v>
      </c>
      <c r="H51" s="62" t="s">
        <v>2651</v>
      </c>
      <c r="I51" s="62" t="s">
        <v>2652</v>
      </c>
      <c r="J51" s="62" t="s">
        <v>277</v>
      </c>
    </row>
    <row r="52" spans="1:10" ht="15" x14ac:dyDescent="0.25">
      <c r="A52" s="40">
        <v>48</v>
      </c>
      <c r="B52" s="62" t="s">
        <v>2489</v>
      </c>
      <c r="C52" s="62" t="s">
        <v>2071</v>
      </c>
      <c r="D52" s="62" t="s">
        <v>2419</v>
      </c>
      <c r="E52" s="62" t="s">
        <v>2488</v>
      </c>
      <c r="F52" s="62">
        <v>76.05</v>
      </c>
      <c r="G52" s="62">
        <v>76.283299999999997</v>
      </c>
      <c r="H52" s="62" t="s">
        <v>2653</v>
      </c>
      <c r="I52" s="62" t="s">
        <v>2654</v>
      </c>
      <c r="J52" s="62" t="s">
        <v>277</v>
      </c>
    </row>
    <row r="53" spans="1:10" ht="15" x14ac:dyDescent="0.25">
      <c r="A53" s="40">
        <v>49</v>
      </c>
      <c r="B53" s="62" t="s">
        <v>2490</v>
      </c>
      <c r="C53" s="62" t="s">
        <v>2215</v>
      </c>
      <c r="D53" s="62" t="s">
        <v>2419</v>
      </c>
      <c r="E53" s="62" t="s">
        <v>2488</v>
      </c>
      <c r="F53" s="62">
        <v>99.998900000000006</v>
      </c>
      <c r="G53" s="62">
        <v>100.73220000000001</v>
      </c>
      <c r="H53" s="62" t="s">
        <v>2320</v>
      </c>
      <c r="I53" s="62" t="s">
        <v>2655</v>
      </c>
      <c r="J53" s="62" t="s">
        <v>277</v>
      </c>
    </row>
    <row r="54" spans="1:10" ht="15" x14ac:dyDescent="0.25">
      <c r="A54" s="40">
        <v>50</v>
      </c>
      <c r="B54" s="62" t="s">
        <v>2492</v>
      </c>
      <c r="C54" s="62" t="s">
        <v>2284</v>
      </c>
      <c r="D54" s="62" t="s">
        <v>2419</v>
      </c>
      <c r="E54" s="62" t="s">
        <v>2488</v>
      </c>
      <c r="F54" s="62">
        <v>99.989900000000006</v>
      </c>
      <c r="G54" s="62">
        <v>100.25660000000001</v>
      </c>
      <c r="H54" s="62" t="s">
        <v>2493</v>
      </c>
      <c r="I54" s="62" t="s">
        <v>2656</v>
      </c>
      <c r="J54" s="62" t="s">
        <v>277</v>
      </c>
    </row>
    <row r="55" spans="1:10" ht="15" x14ac:dyDescent="0.25">
      <c r="A55" s="40">
        <v>51</v>
      </c>
      <c r="B55" s="62" t="s">
        <v>2494</v>
      </c>
      <c r="C55" s="62" t="s">
        <v>116</v>
      </c>
      <c r="D55" s="62" t="s">
        <v>2419</v>
      </c>
      <c r="E55" s="62" t="s">
        <v>2495</v>
      </c>
      <c r="F55" s="62">
        <v>100.274</v>
      </c>
      <c r="G55" s="62">
        <v>101.1443</v>
      </c>
      <c r="H55" s="62" t="s">
        <v>2657</v>
      </c>
      <c r="I55" s="62" t="s">
        <v>2658</v>
      </c>
      <c r="J55" s="62" t="s">
        <v>277</v>
      </c>
    </row>
    <row r="56" spans="1:10" ht="15" x14ac:dyDescent="0.25">
      <c r="A56" s="40">
        <v>52</v>
      </c>
      <c r="B56" s="62" t="s">
        <v>2496</v>
      </c>
      <c r="C56" s="62" t="s">
        <v>118</v>
      </c>
      <c r="D56" s="62" t="s">
        <v>2419</v>
      </c>
      <c r="E56" s="62" t="s">
        <v>2495</v>
      </c>
      <c r="F56" s="62">
        <v>97.590299999999999</v>
      </c>
      <c r="G56" s="62">
        <v>97.701400000000007</v>
      </c>
      <c r="H56" s="62" t="s">
        <v>2659</v>
      </c>
      <c r="I56" s="62" t="s">
        <v>2660</v>
      </c>
      <c r="J56" s="62" t="s">
        <v>277</v>
      </c>
    </row>
    <row r="57" spans="1:10" ht="15" x14ac:dyDescent="0.25">
      <c r="A57" s="40">
        <v>53</v>
      </c>
      <c r="B57" s="62" t="s">
        <v>2497</v>
      </c>
      <c r="C57" s="62" t="s">
        <v>1434</v>
      </c>
      <c r="D57" s="62" t="s">
        <v>2419</v>
      </c>
      <c r="E57" s="62" t="s">
        <v>2495</v>
      </c>
      <c r="F57" s="62">
        <v>96.530900000000003</v>
      </c>
      <c r="G57" s="62">
        <v>96.808700000000002</v>
      </c>
      <c r="H57" s="62" t="s">
        <v>2661</v>
      </c>
      <c r="I57" s="62" t="s">
        <v>2662</v>
      </c>
      <c r="J57" s="62" t="s">
        <v>277</v>
      </c>
    </row>
    <row r="58" spans="1:10" ht="15" x14ac:dyDescent="0.25">
      <c r="A58" s="40">
        <v>54</v>
      </c>
      <c r="B58" s="62" t="s">
        <v>2498</v>
      </c>
      <c r="C58" s="62" t="s">
        <v>363</v>
      </c>
      <c r="D58" s="62" t="s">
        <v>2419</v>
      </c>
      <c r="E58" s="62" t="s">
        <v>2495</v>
      </c>
      <c r="F58" s="62">
        <v>100.1489</v>
      </c>
      <c r="G58" s="62">
        <v>100.9318</v>
      </c>
      <c r="H58" s="62" t="s">
        <v>2499</v>
      </c>
      <c r="I58" s="62" t="s">
        <v>2663</v>
      </c>
      <c r="J58" s="62" t="s">
        <v>277</v>
      </c>
    </row>
    <row r="59" spans="1:10" ht="15" x14ac:dyDescent="0.25">
      <c r="A59" s="40">
        <v>55</v>
      </c>
      <c r="B59" s="62" t="s">
        <v>2500</v>
      </c>
      <c r="C59" s="62" t="s">
        <v>1436</v>
      </c>
      <c r="D59" s="62" t="s">
        <v>2419</v>
      </c>
      <c r="E59" s="62" t="s">
        <v>2495</v>
      </c>
      <c r="F59" s="62">
        <v>97.654700000000005</v>
      </c>
      <c r="G59" s="62">
        <v>97.654700000000005</v>
      </c>
      <c r="H59" s="62" t="s">
        <v>2664</v>
      </c>
      <c r="I59" s="62" t="s">
        <v>2665</v>
      </c>
      <c r="J59" s="62" t="s">
        <v>277</v>
      </c>
    </row>
    <row r="60" spans="1:10" ht="15" x14ac:dyDescent="0.25">
      <c r="A60" s="40">
        <v>56</v>
      </c>
      <c r="B60" s="62" t="s">
        <v>2501</v>
      </c>
      <c r="C60" s="62" t="s">
        <v>396</v>
      </c>
      <c r="D60" s="62" t="s">
        <v>2419</v>
      </c>
      <c r="E60" s="62" t="s">
        <v>2495</v>
      </c>
      <c r="F60" s="62">
        <v>96.790599999999998</v>
      </c>
      <c r="G60" s="62">
        <v>97.16</v>
      </c>
      <c r="H60" s="62" t="s">
        <v>2320</v>
      </c>
      <c r="I60" s="62" t="s">
        <v>2666</v>
      </c>
      <c r="J60" s="62" t="s">
        <v>277</v>
      </c>
    </row>
    <row r="61" spans="1:10" ht="15" x14ac:dyDescent="0.25">
      <c r="A61" s="40">
        <v>57</v>
      </c>
      <c r="B61" s="62" t="s">
        <v>2502</v>
      </c>
      <c r="C61" s="62" t="s">
        <v>2101</v>
      </c>
      <c r="D61" s="62" t="s">
        <v>2419</v>
      </c>
      <c r="E61" s="62" t="s">
        <v>2495</v>
      </c>
      <c r="F61" s="62">
        <v>100.7444</v>
      </c>
      <c r="G61" s="62">
        <v>101.6777</v>
      </c>
      <c r="H61" s="62" t="s">
        <v>2411</v>
      </c>
      <c r="I61" s="62" t="s">
        <v>2667</v>
      </c>
      <c r="J61" s="62" t="s">
        <v>277</v>
      </c>
    </row>
    <row r="62" spans="1:10" ht="15" x14ac:dyDescent="0.25">
      <c r="A62" s="40">
        <v>58</v>
      </c>
      <c r="B62" s="62" t="s">
        <v>2503</v>
      </c>
      <c r="C62" s="62" t="s">
        <v>2146</v>
      </c>
      <c r="D62" s="62" t="s">
        <v>2419</v>
      </c>
      <c r="E62" s="62" t="s">
        <v>2495</v>
      </c>
      <c r="F62" s="62">
        <v>102.625</v>
      </c>
      <c r="G62" s="62">
        <v>104.30500000000001</v>
      </c>
      <c r="H62" s="62" t="s">
        <v>2668</v>
      </c>
      <c r="I62" s="62" t="s">
        <v>2510</v>
      </c>
      <c r="J62" s="62" t="s">
        <v>277</v>
      </c>
    </row>
    <row r="63" spans="1:10" ht="15" x14ac:dyDescent="0.25">
      <c r="A63" s="40">
        <v>59</v>
      </c>
      <c r="B63" s="62" t="s">
        <v>2504</v>
      </c>
      <c r="C63" s="62" t="s">
        <v>2148</v>
      </c>
      <c r="D63" s="62" t="s">
        <v>2419</v>
      </c>
      <c r="E63" s="62" t="s">
        <v>2495</v>
      </c>
      <c r="F63" s="62">
        <v>92.934700000000007</v>
      </c>
      <c r="G63" s="62">
        <v>93.405600000000007</v>
      </c>
      <c r="H63" s="62" t="s">
        <v>2669</v>
      </c>
      <c r="I63" s="62" t="s">
        <v>2670</v>
      </c>
      <c r="J63" s="62" t="s">
        <v>277</v>
      </c>
    </row>
    <row r="64" spans="1:10" ht="15" x14ac:dyDescent="0.25">
      <c r="A64" s="40">
        <v>60</v>
      </c>
      <c r="B64" s="62" t="s">
        <v>2505</v>
      </c>
      <c r="C64" s="62" t="s">
        <v>391</v>
      </c>
      <c r="D64" s="62" t="s">
        <v>2419</v>
      </c>
      <c r="E64" s="62" t="s">
        <v>2506</v>
      </c>
      <c r="F64" s="62">
        <v>83.227900000000005</v>
      </c>
      <c r="G64" s="62">
        <v>83.752899999999997</v>
      </c>
      <c r="H64" s="62" t="s">
        <v>2671</v>
      </c>
      <c r="I64" s="62" t="s">
        <v>2672</v>
      </c>
      <c r="J64" s="62" t="s">
        <v>277</v>
      </c>
    </row>
    <row r="65" spans="1:10" ht="15" x14ac:dyDescent="0.25">
      <c r="A65" s="40">
        <v>61</v>
      </c>
      <c r="B65" s="62" t="s">
        <v>2507</v>
      </c>
      <c r="C65" s="62" t="s">
        <v>408</v>
      </c>
      <c r="D65" s="62" t="s">
        <v>2419</v>
      </c>
      <c r="E65" s="62" t="s">
        <v>2506</v>
      </c>
      <c r="F65" s="62">
        <v>79.049499999999995</v>
      </c>
      <c r="G65" s="62">
        <v>80.455100000000002</v>
      </c>
      <c r="H65" s="62" t="s">
        <v>2673</v>
      </c>
      <c r="I65" s="62" t="s">
        <v>2674</v>
      </c>
      <c r="J65" s="62" t="s">
        <v>277</v>
      </c>
    </row>
    <row r="66" spans="1:10" ht="15" x14ac:dyDescent="0.25">
      <c r="A66" s="40">
        <v>62</v>
      </c>
      <c r="B66" s="62" t="s">
        <v>2508</v>
      </c>
      <c r="C66" s="62" t="s">
        <v>400</v>
      </c>
      <c r="D66" s="62" t="s">
        <v>2419</v>
      </c>
      <c r="E66" s="62" t="s">
        <v>2506</v>
      </c>
      <c r="F66" s="62">
        <v>99.998699999999999</v>
      </c>
      <c r="G66" s="62">
        <v>101.63200000000001</v>
      </c>
      <c r="H66" s="62" t="s">
        <v>2394</v>
      </c>
      <c r="I66" s="62" t="s">
        <v>2675</v>
      </c>
      <c r="J66" s="62" t="s">
        <v>277</v>
      </c>
    </row>
    <row r="67" spans="1:10" ht="15" x14ac:dyDescent="0.25">
      <c r="A67" s="40">
        <v>63</v>
      </c>
      <c r="B67" s="62" t="s">
        <v>2509</v>
      </c>
      <c r="C67" s="62" t="s">
        <v>2132</v>
      </c>
      <c r="D67" s="62" t="s">
        <v>2419</v>
      </c>
      <c r="E67" s="62" t="s">
        <v>2506</v>
      </c>
      <c r="F67" s="62">
        <v>98.4298</v>
      </c>
      <c r="G67" s="62">
        <v>98.4298</v>
      </c>
      <c r="H67" s="62" t="s">
        <v>2676</v>
      </c>
      <c r="I67" s="62" t="s">
        <v>2677</v>
      </c>
      <c r="J67" s="62" t="s">
        <v>277</v>
      </c>
    </row>
    <row r="68" spans="1:10" ht="15" x14ac:dyDescent="0.25">
      <c r="A68" s="40">
        <v>64</v>
      </c>
      <c r="B68" s="62" t="s">
        <v>2511</v>
      </c>
      <c r="C68" s="62" t="s">
        <v>2309</v>
      </c>
      <c r="D68" s="62" t="s">
        <v>2419</v>
      </c>
      <c r="E68" s="62" t="s">
        <v>2506</v>
      </c>
      <c r="F68" s="62">
        <v>97.606399999999994</v>
      </c>
      <c r="G68" s="62">
        <v>97.723100000000002</v>
      </c>
      <c r="H68" s="62" t="s">
        <v>2678</v>
      </c>
      <c r="I68" s="62" t="s">
        <v>2679</v>
      </c>
      <c r="J68" s="62" t="s">
        <v>277</v>
      </c>
    </row>
    <row r="69" spans="1:10" ht="15" x14ac:dyDescent="0.25">
      <c r="A69" s="40">
        <v>65</v>
      </c>
      <c r="B69" s="62" t="s">
        <v>2512</v>
      </c>
      <c r="C69" s="62" t="s">
        <v>1450</v>
      </c>
      <c r="D69" s="62" t="s">
        <v>2419</v>
      </c>
      <c r="E69" s="62" t="s">
        <v>2513</v>
      </c>
      <c r="F69" s="62">
        <v>100</v>
      </c>
      <c r="G69" s="62">
        <v>100.175</v>
      </c>
      <c r="H69" s="62" t="s">
        <v>2394</v>
      </c>
      <c r="I69" s="62" t="s">
        <v>2680</v>
      </c>
      <c r="J69" s="62" t="s">
        <v>277</v>
      </c>
    </row>
    <row r="70" spans="1:10" ht="15" x14ac:dyDescent="0.25">
      <c r="A70" s="40">
        <v>66</v>
      </c>
      <c r="B70" s="62" t="s">
        <v>2514</v>
      </c>
      <c r="C70" s="62" t="s">
        <v>394</v>
      </c>
      <c r="D70" s="62" t="s">
        <v>2485</v>
      </c>
      <c r="E70" s="62" t="s">
        <v>2486</v>
      </c>
      <c r="F70" s="62">
        <v>96.462999999999994</v>
      </c>
      <c r="G70" s="62">
        <v>96.462999999999994</v>
      </c>
      <c r="H70" s="62" t="s">
        <v>2681</v>
      </c>
      <c r="I70" s="62" t="s">
        <v>2682</v>
      </c>
      <c r="J70" s="62" t="s">
        <v>277</v>
      </c>
    </row>
    <row r="71" spans="1:10" ht="15" x14ac:dyDescent="0.25">
      <c r="A71" s="40">
        <v>67</v>
      </c>
      <c r="B71" s="62" t="s">
        <v>2516</v>
      </c>
      <c r="C71" s="62" t="s">
        <v>2059</v>
      </c>
      <c r="D71" s="62" t="s">
        <v>2485</v>
      </c>
      <c r="E71" s="62" t="s">
        <v>2486</v>
      </c>
      <c r="F71" s="62">
        <v>92.245900000000006</v>
      </c>
      <c r="G71" s="62">
        <v>92.245900000000006</v>
      </c>
      <c r="H71" s="62" t="s">
        <v>2683</v>
      </c>
      <c r="I71" s="62" t="s">
        <v>2684</v>
      </c>
      <c r="J71" s="62" t="s">
        <v>277</v>
      </c>
    </row>
    <row r="72" spans="1:10" ht="15" x14ac:dyDescent="0.25">
      <c r="A72" s="40">
        <v>68</v>
      </c>
      <c r="B72" s="62" t="s">
        <v>2517</v>
      </c>
      <c r="C72" s="62" t="s">
        <v>2213</v>
      </c>
      <c r="D72" s="62" t="s">
        <v>2485</v>
      </c>
      <c r="E72" s="62" t="s">
        <v>2486</v>
      </c>
      <c r="F72" s="62">
        <v>88.4</v>
      </c>
      <c r="G72" s="62">
        <v>88.4</v>
      </c>
      <c r="H72" s="62" t="s">
        <v>2685</v>
      </c>
      <c r="I72" s="62" t="s">
        <v>2686</v>
      </c>
      <c r="J72" s="62" t="s">
        <v>277</v>
      </c>
    </row>
    <row r="73" spans="1:10" ht="15" x14ac:dyDescent="0.25">
      <c r="A73" s="40">
        <v>69</v>
      </c>
      <c r="B73" s="62" t="s">
        <v>2518</v>
      </c>
      <c r="C73" s="62" t="s">
        <v>4</v>
      </c>
      <c r="D73" s="62" t="s">
        <v>2485</v>
      </c>
      <c r="E73" s="62" t="s">
        <v>2486</v>
      </c>
      <c r="F73" s="62">
        <v>97.631699999999995</v>
      </c>
      <c r="G73" s="62">
        <v>97.839200000000005</v>
      </c>
      <c r="H73" s="62" t="s">
        <v>2687</v>
      </c>
      <c r="I73" s="62" t="s">
        <v>2688</v>
      </c>
      <c r="J73" s="62" t="s">
        <v>277</v>
      </c>
    </row>
    <row r="74" spans="1:10" ht="15" x14ac:dyDescent="0.25">
      <c r="A74" s="40">
        <v>70</v>
      </c>
      <c r="B74" s="62" t="s">
        <v>2519</v>
      </c>
      <c r="C74" s="62" t="s">
        <v>121</v>
      </c>
      <c r="D74" s="62" t="s">
        <v>2485</v>
      </c>
      <c r="E74" s="62" t="s">
        <v>2486</v>
      </c>
      <c r="F74" s="62">
        <v>98.003900000000002</v>
      </c>
      <c r="G74" s="62">
        <v>99.302499999999995</v>
      </c>
      <c r="H74" s="62" t="s">
        <v>2689</v>
      </c>
      <c r="I74" s="62" t="s">
        <v>2690</v>
      </c>
      <c r="J74" s="62" t="s">
        <v>277</v>
      </c>
    </row>
    <row r="75" spans="1:10" ht="15" x14ac:dyDescent="0.25">
      <c r="A75" s="40">
        <v>71</v>
      </c>
      <c r="B75" s="62" t="s">
        <v>2520</v>
      </c>
      <c r="C75" s="62" t="s">
        <v>123</v>
      </c>
      <c r="D75" s="62" t="s">
        <v>2485</v>
      </c>
      <c r="E75" s="62" t="s">
        <v>2486</v>
      </c>
      <c r="F75" s="62">
        <v>97.570800000000006</v>
      </c>
      <c r="G75" s="62">
        <v>102.6675</v>
      </c>
      <c r="H75" s="62" t="s">
        <v>2386</v>
      </c>
      <c r="I75" s="62" t="s">
        <v>2691</v>
      </c>
      <c r="J75" s="62" t="s">
        <v>277</v>
      </c>
    </row>
    <row r="76" spans="1:10" ht="15" x14ac:dyDescent="0.25">
      <c r="A76" s="40">
        <v>72</v>
      </c>
      <c r="B76" s="62" t="s">
        <v>2521</v>
      </c>
      <c r="C76" s="62" t="s">
        <v>125</v>
      </c>
      <c r="D76" s="62" t="s">
        <v>2485</v>
      </c>
      <c r="E76" s="62" t="s">
        <v>2486</v>
      </c>
      <c r="F76" s="62">
        <v>94.809100000000001</v>
      </c>
      <c r="G76" s="62">
        <v>99.884100000000004</v>
      </c>
      <c r="H76" s="62" t="s">
        <v>2692</v>
      </c>
      <c r="I76" s="62" t="s">
        <v>2693</v>
      </c>
      <c r="J76" s="62" t="s">
        <v>277</v>
      </c>
    </row>
    <row r="77" spans="1:10" ht="15" x14ac:dyDescent="0.25">
      <c r="A77" s="40">
        <v>73</v>
      </c>
      <c r="B77" s="62" t="s">
        <v>2522</v>
      </c>
      <c r="C77" s="62" t="s">
        <v>127</v>
      </c>
      <c r="D77" s="62" t="s">
        <v>2485</v>
      </c>
      <c r="E77" s="62" t="s">
        <v>2486</v>
      </c>
      <c r="F77" s="62">
        <v>98.092500000000001</v>
      </c>
      <c r="G77" s="62">
        <v>101.0772</v>
      </c>
      <c r="H77" s="62" t="s">
        <v>2396</v>
      </c>
      <c r="I77" s="62" t="s">
        <v>2694</v>
      </c>
      <c r="J77" s="62" t="s">
        <v>277</v>
      </c>
    </row>
    <row r="78" spans="1:10" ht="15" x14ac:dyDescent="0.25">
      <c r="A78" s="40">
        <v>74</v>
      </c>
      <c r="B78" s="62" t="s">
        <v>2523</v>
      </c>
      <c r="C78" s="62" t="s">
        <v>129</v>
      </c>
      <c r="D78" s="62" t="s">
        <v>2485</v>
      </c>
      <c r="E78" s="62" t="s">
        <v>2486</v>
      </c>
      <c r="F78" s="62">
        <v>100</v>
      </c>
      <c r="G78" s="62">
        <v>108.0719</v>
      </c>
      <c r="H78" s="62" t="s">
        <v>2695</v>
      </c>
      <c r="I78" s="62" t="s">
        <v>2696</v>
      </c>
      <c r="J78" s="62" t="s">
        <v>277</v>
      </c>
    </row>
    <row r="79" spans="1:10" ht="15" x14ac:dyDescent="0.25">
      <c r="A79" s="40">
        <v>75</v>
      </c>
      <c r="B79" s="62" t="s">
        <v>2524</v>
      </c>
      <c r="C79" s="62" t="s">
        <v>131</v>
      </c>
      <c r="D79" s="62" t="s">
        <v>2485</v>
      </c>
      <c r="E79" s="62" t="s">
        <v>2486</v>
      </c>
      <c r="F79" s="62">
        <v>100</v>
      </c>
      <c r="G79" s="62">
        <v>106.54</v>
      </c>
      <c r="H79" s="62" t="s">
        <v>2697</v>
      </c>
      <c r="I79" s="62" t="s">
        <v>2698</v>
      </c>
      <c r="J79" s="62" t="s">
        <v>277</v>
      </c>
    </row>
    <row r="80" spans="1:10" ht="15" x14ac:dyDescent="0.25">
      <c r="A80" s="40">
        <v>76</v>
      </c>
      <c r="B80" s="62" t="s">
        <v>2525</v>
      </c>
      <c r="C80" s="62" t="s">
        <v>133</v>
      </c>
      <c r="D80" s="62" t="s">
        <v>2485</v>
      </c>
      <c r="E80" s="62" t="s">
        <v>2486</v>
      </c>
      <c r="F80" s="62">
        <v>100</v>
      </c>
      <c r="G80" s="62">
        <v>104.9365</v>
      </c>
      <c r="H80" s="62" t="s">
        <v>2414</v>
      </c>
      <c r="I80" s="62" t="s">
        <v>2699</v>
      </c>
      <c r="J80" s="62" t="s">
        <v>277</v>
      </c>
    </row>
    <row r="81" spans="1:10" ht="15" x14ac:dyDescent="0.25">
      <c r="A81" s="40">
        <v>77</v>
      </c>
      <c r="B81" s="62" t="s">
        <v>2526</v>
      </c>
      <c r="C81" s="62" t="s">
        <v>135</v>
      </c>
      <c r="D81" s="62" t="s">
        <v>2485</v>
      </c>
      <c r="E81" s="62" t="s">
        <v>2486</v>
      </c>
      <c r="F81" s="62">
        <v>100</v>
      </c>
      <c r="G81" s="62">
        <v>103.3616</v>
      </c>
      <c r="H81" s="62" t="s">
        <v>2700</v>
      </c>
      <c r="I81" s="62" t="s">
        <v>2701</v>
      </c>
      <c r="J81" s="62" t="s">
        <v>277</v>
      </c>
    </row>
    <row r="82" spans="1:10" ht="15" x14ac:dyDescent="0.25">
      <c r="A82" s="40">
        <v>78</v>
      </c>
      <c r="B82" s="62" t="s">
        <v>2527</v>
      </c>
      <c r="C82" s="62" t="s">
        <v>137</v>
      </c>
      <c r="D82" s="62" t="s">
        <v>2485</v>
      </c>
      <c r="E82" s="62" t="s">
        <v>2486</v>
      </c>
      <c r="F82" s="62">
        <v>100</v>
      </c>
      <c r="G82" s="62">
        <v>107.0035</v>
      </c>
      <c r="H82" s="62" t="s">
        <v>2702</v>
      </c>
      <c r="I82" s="62" t="s">
        <v>2703</v>
      </c>
      <c r="J82" s="62" t="s">
        <v>277</v>
      </c>
    </row>
    <row r="83" spans="1:10" ht="15" x14ac:dyDescent="0.25">
      <c r="A83" s="40">
        <v>79</v>
      </c>
      <c r="B83" s="62" t="s">
        <v>2528</v>
      </c>
      <c r="C83" s="62" t="s">
        <v>139</v>
      </c>
      <c r="D83" s="62" t="s">
        <v>2485</v>
      </c>
      <c r="E83" s="62" t="s">
        <v>2486</v>
      </c>
      <c r="F83" s="62">
        <v>100</v>
      </c>
      <c r="G83" s="62">
        <v>100.7287</v>
      </c>
      <c r="H83" s="62" t="s">
        <v>2704</v>
      </c>
      <c r="I83" s="62" t="s">
        <v>2705</v>
      </c>
      <c r="J83" s="62" t="s">
        <v>277</v>
      </c>
    </row>
    <row r="84" spans="1:10" ht="15" x14ac:dyDescent="0.25">
      <c r="A84" s="40">
        <v>80</v>
      </c>
      <c r="B84" s="62" t="s">
        <v>2529</v>
      </c>
      <c r="C84" s="62" t="s">
        <v>292</v>
      </c>
      <c r="D84" s="62" t="s">
        <v>2485</v>
      </c>
      <c r="E84" s="62" t="s">
        <v>2486</v>
      </c>
      <c r="F84" s="62">
        <v>100</v>
      </c>
      <c r="G84" s="62">
        <v>107.8981</v>
      </c>
      <c r="H84" s="62" t="s">
        <v>2706</v>
      </c>
      <c r="I84" s="62" t="s">
        <v>2592</v>
      </c>
      <c r="J84" s="62" t="s">
        <v>277</v>
      </c>
    </row>
    <row r="85" spans="1:10" ht="15" x14ac:dyDescent="0.25">
      <c r="A85" s="40">
        <v>81</v>
      </c>
      <c r="B85" s="62" t="s">
        <v>2530</v>
      </c>
      <c r="C85" s="62" t="s">
        <v>294</v>
      </c>
      <c r="D85" s="62" t="s">
        <v>2485</v>
      </c>
      <c r="E85" s="62" t="s">
        <v>2486</v>
      </c>
      <c r="F85" s="62">
        <v>100</v>
      </c>
      <c r="G85" s="62">
        <v>109.76609999999999</v>
      </c>
      <c r="H85" s="62" t="s">
        <v>2531</v>
      </c>
      <c r="I85" s="62" t="s">
        <v>2707</v>
      </c>
      <c r="J85" s="62" t="s">
        <v>277</v>
      </c>
    </row>
    <row r="86" spans="1:10" ht="15" x14ac:dyDescent="0.25">
      <c r="A86" s="40">
        <v>82</v>
      </c>
      <c r="B86" s="62" t="s">
        <v>2532</v>
      </c>
      <c r="C86" s="62" t="s">
        <v>296</v>
      </c>
      <c r="D86" s="62" t="s">
        <v>2485</v>
      </c>
      <c r="E86" s="62" t="s">
        <v>2486</v>
      </c>
      <c r="F86" s="62">
        <v>100</v>
      </c>
      <c r="G86" s="62">
        <v>103.8999</v>
      </c>
      <c r="H86" s="62" t="s">
        <v>2412</v>
      </c>
      <c r="I86" s="62" t="s">
        <v>2708</v>
      </c>
      <c r="J86" s="62" t="s">
        <v>277</v>
      </c>
    </row>
    <row r="87" spans="1:10" ht="15" x14ac:dyDescent="0.25">
      <c r="A87" s="40">
        <v>83</v>
      </c>
      <c r="B87" s="62" t="s">
        <v>2533</v>
      </c>
      <c r="C87" s="62" t="s">
        <v>298</v>
      </c>
      <c r="D87" s="62" t="s">
        <v>2485</v>
      </c>
      <c r="E87" s="62" t="s">
        <v>2486</v>
      </c>
      <c r="F87" s="62">
        <v>100</v>
      </c>
      <c r="G87" s="62">
        <v>110.81480000000001</v>
      </c>
      <c r="H87" s="62" t="s">
        <v>2324</v>
      </c>
      <c r="I87" s="62" t="s">
        <v>2709</v>
      </c>
      <c r="J87" s="62" t="s">
        <v>277</v>
      </c>
    </row>
    <row r="88" spans="1:10" ht="15" x14ac:dyDescent="0.25">
      <c r="A88" s="40">
        <v>84</v>
      </c>
      <c r="B88" s="62" t="s">
        <v>2534</v>
      </c>
      <c r="C88" s="62" t="s">
        <v>300</v>
      </c>
      <c r="D88" s="62" t="s">
        <v>2485</v>
      </c>
      <c r="E88" s="62" t="s">
        <v>2486</v>
      </c>
      <c r="F88" s="62">
        <v>100</v>
      </c>
      <c r="G88" s="62">
        <v>108.8485</v>
      </c>
      <c r="H88" s="62" t="s">
        <v>2535</v>
      </c>
      <c r="I88" s="62" t="s">
        <v>2710</v>
      </c>
      <c r="J88" s="62" t="s">
        <v>277</v>
      </c>
    </row>
    <row r="89" spans="1:10" ht="15" x14ac:dyDescent="0.25">
      <c r="A89" s="40">
        <v>85</v>
      </c>
      <c r="B89" s="62" t="s">
        <v>2536</v>
      </c>
      <c r="C89" s="62" t="s">
        <v>302</v>
      </c>
      <c r="D89" s="62" t="s">
        <v>2485</v>
      </c>
      <c r="E89" s="62" t="s">
        <v>2486</v>
      </c>
      <c r="F89" s="62">
        <v>100</v>
      </c>
      <c r="G89" s="62">
        <v>107.43</v>
      </c>
      <c r="H89" s="62" t="s">
        <v>2322</v>
      </c>
      <c r="I89" s="62" t="s">
        <v>2599</v>
      </c>
      <c r="J89" s="62" t="s">
        <v>277</v>
      </c>
    </row>
    <row r="90" spans="1:10" ht="15" x14ac:dyDescent="0.25">
      <c r="A90" s="40">
        <v>86</v>
      </c>
      <c r="B90" s="62" t="s">
        <v>2537</v>
      </c>
      <c r="C90" s="62" t="s">
        <v>304</v>
      </c>
      <c r="D90" s="62" t="s">
        <v>2485</v>
      </c>
      <c r="E90" s="62" t="s">
        <v>2486</v>
      </c>
      <c r="F90" s="62">
        <v>100</v>
      </c>
      <c r="G90" s="62">
        <v>108.81570000000001</v>
      </c>
      <c r="H90" s="62" t="s">
        <v>2535</v>
      </c>
      <c r="I90" s="62" t="s">
        <v>2515</v>
      </c>
      <c r="J90" s="62" t="s">
        <v>277</v>
      </c>
    </row>
    <row r="91" spans="1:10" ht="15" x14ac:dyDescent="0.25">
      <c r="A91" s="40">
        <v>87</v>
      </c>
      <c r="B91" s="62" t="s">
        <v>2538</v>
      </c>
      <c r="C91" s="62" t="s">
        <v>306</v>
      </c>
      <c r="D91" s="62" t="s">
        <v>2485</v>
      </c>
      <c r="E91" s="62" t="s">
        <v>2486</v>
      </c>
      <c r="F91" s="62">
        <v>100</v>
      </c>
      <c r="G91" s="62">
        <v>101.9663</v>
      </c>
      <c r="H91" s="62" t="s">
        <v>2711</v>
      </c>
      <c r="I91" s="62" t="s">
        <v>2712</v>
      </c>
      <c r="J91" s="62" t="s">
        <v>277</v>
      </c>
    </row>
    <row r="92" spans="1:10" ht="15" x14ac:dyDescent="0.25">
      <c r="A92" s="40">
        <v>88</v>
      </c>
      <c r="B92" s="62" t="s">
        <v>2539</v>
      </c>
      <c r="C92" s="62" t="s">
        <v>308</v>
      </c>
      <c r="D92" s="62" t="s">
        <v>2485</v>
      </c>
      <c r="E92" s="62" t="s">
        <v>2486</v>
      </c>
      <c r="F92" s="62">
        <v>100</v>
      </c>
      <c r="G92" s="62">
        <v>105.08540000000001</v>
      </c>
      <c r="H92" s="62" t="s">
        <v>2323</v>
      </c>
      <c r="I92" s="62" t="s">
        <v>2713</v>
      </c>
      <c r="J92" s="62" t="s">
        <v>277</v>
      </c>
    </row>
    <row r="93" spans="1:10" ht="15" x14ac:dyDescent="0.25">
      <c r="A93" s="40">
        <v>89</v>
      </c>
      <c r="B93" s="62" t="s">
        <v>2540</v>
      </c>
      <c r="C93" s="62" t="s">
        <v>310</v>
      </c>
      <c r="D93" s="62" t="s">
        <v>2485</v>
      </c>
      <c r="E93" s="62" t="s">
        <v>2486</v>
      </c>
      <c r="F93" s="62">
        <v>100</v>
      </c>
      <c r="G93" s="62">
        <v>101.9663</v>
      </c>
      <c r="H93" s="62" t="s">
        <v>2711</v>
      </c>
      <c r="I93" s="62" t="s">
        <v>2712</v>
      </c>
      <c r="J93" s="62" t="s">
        <v>277</v>
      </c>
    </row>
    <row r="94" spans="1:10" ht="15" x14ac:dyDescent="0.25">
      <c r="A94" s="40">
        <v>90</v>
      </c>
      <c r="B94" s="62" t="s">
        <v>2541</v>
      </c>
      <c r="C94" s="62" t="s">
        <v>312</v>
      </c>
      <c r="D94" s="62" t="s">
        <v>2485</v>
      </c>
      <c r="E94" s="62" t="s">
        <v>2486</v>
      </c>
      <c r="F94" s="62">
        <v>100</v>
      </c>
      <c r="G94" s="62">
        <v>111.7325</v>
      </c>
      <c r="H94" s="62" t="s">
        <v>2327</v>
      </c>
      <c r="I94" s="62" t="s">
        <v>2714</v>
      </c>
      <c r="J94" s="62" t="s">
        <v>277</v>
      </c>
    </row>
    <row r="95" spans="1:10" ht="15" x14ac:dyDescent="0.25">
      <c r="A95" s="40">
        <v>91</v>
      </c>
      <c r="B95" s="62" t="s">
        <v>2542</v>
      </c>
      <c r="C95" s="62" t="s">
        <v>314</v>
      </c>
      <c r="D95" s="62" t="s">
        <v>2485</v>
      </c>
      <c r="E95" s="62" t="s">
        <v>2486</v>
      </c>
      <c r="F95" s="62">
        <v>100</v>
      </c>
      <c r="G95" s="62">
        <v>102.91670000000001</v>
      </c>
      <c r="H95" s="62" t="s">
        <v>2321</v>
      </c>
      <c r="I95" s="62" t="s">
        <v>2715</v>
      </c>
      <c r="J95" s="62" t="s">
        <v>277</v>
      </c>
    </row>
    <row r="96" spans="1:10" ht="15" x14ac:dyDescent="0.25">
      <c r="A96" s="40">
        <v>92</v>
      </c>
      <c r="B96" s="62" t="s">
        <v>2543</v>
      </c>
      <c r="C96" s="62" t="s">
        <v>316</v>
      </c>
      <c r="D96" s="62" t="s">
        <v>2485</v>
      </c>
      <c r="E96" s="62" t="s">
        <v>2486</v>
      </c>
      <c r="F96" s="62">
        <v>100</v>
      </c>
      <c r="G96" s="62">
        <v>111.76519999999999</v>
      </c>
      <c r="H96" s="62" t="s">
        <v>2716</v>
      </c>
      <c r="I96" s="62" t="s">
        <v>2717</v>
      </c>
      <c r="J96" s="62" t="s">
        <v>277</v>
      </c>
    </row>
    <row r="97" spans="1:10" ht="15" x14ac:dyDescent="0.25">
      <c r="A97" s="40">
        <v>93</v>
      </c>
      <c r="B97" s="62" t="s">
        <v>2544</v>
      </c>
      <c r="C97" s="62" t="s">
        <v>318</v>
      </c>
      <c r="D97" s="62" t="s">
        <v>2485</v>
      </c>
      <c r="E97" s="62" t="s">
        <v>2486</v>
      </c>
      <c r="F97" s="62">
        <v>100</v>
      </c>
      <c r="G97" s="62">
        <v>104.9158</v>
      </c>
      <c r="H97" s="62" t="s">
        <v>2325</v>
      </c>
      <c r="I97" s="62" t="s">
        <v>2718</v>
      </c>
      <c r="J97" s="62" t="s">
        <v>277</v>
      </c>
    </row>
    <row r="98" spans="1:10" ht="15" x14ac:dyDescent="0.25">
      <c r="A98" s="40">
        <v>94</v>
      </c>
      <c r="B98" s="62" t="s">
        <v>2545</v>
      </c>
      <c r="C98" s="62" t="s">
        <v>320</v>
      </c>
      <c r="D98" s="62" t="s">
        <v>2485</v>
      </c>
      <c r="E98" s="62" t="s">
        <v>2486</v>
      </c>
      <c r="F98" s="62">
        <v>100</v>
      </c>
      <c r="G98" s="62">
        <v>100.9832</v>
      </c>
      <c r="H98" s="62" t="s">
        <v>2328</v>
      </c>
      <c r="I98" s="62" t="s">
        <v>2719</v>
      </c>
      <c r="J98" s="62" t="s">
        <v>277</v>
      </c>
    </row>
    <row r="99" spans="1:10" ht="15" x14ac:dyDescent="0.25">
      <c r="A99" s="40">
        <v>95</v>
      </c>
      <c r="B99" s="62" t="s">
        <v>2546</v>
      </c>
      <c r="C99" s="62" t="s">
        <v>322</v>
      </c>
      <c r="D99" s="62" t="s">
        <v>2485</v>
      </c>
      <c r="E99" s="62" t="s">
        <v>2486</v>
      </c>
      <c r="F99" s="62">
        <v>100</v>
      </c>
      <c r="G99" s="62">
        <v>100.9504</v>
      </c>
      <c r="H99" s="62" t="s">
        <v>2326</v>
      </c>
      <c r="I99" s="62" t="s">
        <v>2720</v>
      </c>
      <c r="J99" s="62" t="s">
        <v>277</v>
      </c>
    </row>
    <row r="100" spans="1:10" ht="15" x14ac:dyDescent="0.25">
      <c r="A100" s="40">
        <v>96</v>
      </c>
      <c r="B100" s="62" t="s">
        <v>2547</v>
      </c>
      <c r="C100" s="62" t="s">
        <v>324</v>
      </c>
      <c r="D100" s="62" t="s">
        <v>2485</v>
      </c>
      <c r="E100" s="62" t="s">
        <v>2486</v>
      </c>
      <c r="F100" s="62">
        <v>100</v>
      </c>
      <c r="G100" s="62">
        <v>107.93089999999999</v>
      </c>
      <c r="H100" s="62" t="s">
        <v>2321</v>
      </c>
      <c r="I100" s="62" t="s">
        <v>2721</v>
      </c>
      <c r="J100" s="62" t="s">
        <v>277</v>
      </c>
    </row>
    <row r="101" spans="1:10" ht="15" x14ac:dyDescent="0.25">
      <c r="A101" s="40">
        <v>97</v>
      </c>
      <c r="B101" s="62" t="s">
        <v>2548</v>
      </c>
      <c r="C101" s="62" t="s">
        <v>326</v>
      </c>
      <c r="D101" s="62" t="s">
        <v>2485</v>
      </c>
      <c r="E101" s="62" t="s">
        <v>2486</v>
      </c>
      <c r="F101" s="62">
        <v>100</v>
      </c>
      <c r="G101" s="62">
        <v>105.0142</v>
      </c>
      <c r="H101" s="62" t="s">
        <v>2321</v>
      </c>
      <c r="I101" s="62" t="s">
        <v>2722</v>
      </c>
      <c r="J101" s="62" t="s">
        <v>277</v>
      </c>
    </row>
    <row r="102" spans="1:10" ht="15" x14ac:dyDescent="0.25">
      <c r="A102" s="40">
        <v>98</v>
      </c>
      <c r="B102" s="62" t="s">
        <v>2549</v>
      </c>
      <c r="C102" s="62" t="s">
        <v>328</v>
      </c>
      <c r="D102" s="62" t="s">
        <v>2485</v>
      </c>
      <c r="E102" s="62" t="s">
        <v>2486</v>
      </c>
      <c r="F102" s="62">
        <v>100</v>
      </c>
      <c r="G102" s="62">
        <v>110.8476</v>
      </c>
      <c r="H102" s="62" t="s">
        <v>2328</v>
      </c>
      <c r="I102" s="62" t="s">
        <v>2723</v>
      </c>
      <c r="J102" s="62" t="s">
        <v>277</v>
      </c>
    </row>
    <row r="103" spans="1:10" ht="15" x14ac:dyDescent="0.25">
      <c r="A103" s="40">
        <v>99</v>
      </c>
      <c r="B103" s="62" t="s">
        <v>2550</v>
      </c>
      <c r="C103" s="62" t="s">
        <v>330</v>
      </c>
      <c r="D103" s="62" t="s">
        <v>2485</v>
      </c>
      <c r="E103" s="62" t="s">
        <v>2486</v>
      </c>
      <c r="F103" s="62">
        <v>100</v>
      </c>
      <c r="G103" s="62">
        <v>101.9008</v>
      </c>
      <c r="H103" s="62" t="s">
        <v>2326</v>
      </c>
      <c r="I103" s="62" t="s">
        <v>2724</v>
      </c>
      <c r="J103" s="62" t="s">
        <v>277</v>
      </c>
    </row>
    <row r="104" spans="1:10" ht="15" x14ac:dyDescent="0.25">
      <c r="A104" s="40">
        <v>100</v>
      </c>
      <c r="B104" s="62" t="s">
        <v>2551</v>
      </c>
      <c r="C104" s="62" t="s">
        <v>332</v>
      </c>
      <c r="D104" s="62" t="s">
        <v>2485</v>
      </c>
      <c r="E104" s="62" t="s">
        <v>2486</v>
      </c>
      <c r="F104" s="62">
        <v>100</v>
      </c>
      <c r="G104" s="62">
        <v>110.8476</v>
      </c>
      <c r="H104" s="62" t="s">
        <v>2328</v>
      </c>
      <c r="I104" s="62" t="s">
        <v>2725</v>
      </c>
      <c r="J104" s="62" t="s">
        <v>277</v>
      </c>
    </row>
    <row r="105" spans="1:10" ht="15" x14ac:dyDescent="0.25">
      <c r="A105" s="40">
        <v>101</v>
      </c>
      <c r="B105" s="62" t="s">
        <v>2552</v>
      </c>
      <c r="C105" s="62" t="s">
        <v>334</v>
      </c>
      <c r="D105" s="62" t="s">
        <v>2485</v>
      </c>
      <c r="E105" s="62" t="s">
        <v>2486</v>
      </c>
      <c r="F105" s="62">
        <v>100</v>
      </c>
      <c r="G105" s="62">
        <v>106.81659999999999</v>
      </c>
      <c r="H105" s="62" t="s">
        <v>2325</v>
      </c>
      <c r="I105" s="62" t="s">
        <v>2726</v>
      </c>
      <c r="J105" s="62" t="s">
        <v>277</v>
      </c>
    </row>
    <row r="106" spans="1:10" ht="15" x14ac:dyDescent="0.25">
      <c r="A106" s="40">
        <v>102</v>
      </c>
      <c r="B106" s="62" t="s">
        <v>2553</v>
      </c>
      <c r="C106" s="62" t="s">
        <v>336</v>
      </c>
      <c r="D106" s="62" t="s">
        <v>2485</v>
      </c>
      <c r="E106" s="62" t="s">
        <v>2486</v>
      </c>
      <c r="F106" s="62">
        <v>100</v>
      </c>
      <c r="G106" s="62">
        <v>100.9504</v>
      </c>
      <c r="H106" s="62" t="s">
        <v>2328</v>
      </c>
      <c r="I106" s="62" t="s">
        <v>2727</v>
      </c>
      <c r="J106" s="62" t="s">
        <v>277</v>
      </c>
    </row>
    <row r="107" spans="1:10" ht="15" x14ac:dyDescent="0.25">
      <c r="A107" s="40">
        <v>103</v>
      </c>
      <c r="B107" s="62" t="s">
        <v>2554</v>
      </c>
      <c r="C107" s="62" t="s">
        <v>338</v>
      </c>
      <c r="D107" s="62" t="s">
        <v>2485</v>
      </c>
      <c r="E107" s="62" t="s">
        <v>2486</v>
      </c>
      <c r="F107" s="62">
        <v>100</v>
      </c>
      <c r="G107" s="62">
        <v>105.899</v>
      </c>
      <c r="H107" s="62" t="s">
        <v>2324</v>
      </c>
      <c r="I107" s="62" t="s">
        <v>2728</v>
      </c>
      <c r="J107" s="62" t="s">
        <v>277</v>
      </c>
    </row>
    <row r="108" spans="1:10" ht="15" x14ac:dyDescent="0.25">
      <c r="A108" s="40">
        <v>104</v>
      </c>
      <c r="B108" s="62" t="s">
        <v>2555</v>
      </c>
      <c r="C108" s="62" t="s">
        <v>340</v>
      </c>
      <c r="D108" s="62" t="s">
        <v>2485</v>
      </c>
      <c r="E108" s="62" t="s">
        <v>2486</v>
      </c>
      <c r="F108" s="62">
        <v>100</v>
      </c>
      <c r="G108" s="62">
        <v>109.7989</v>
      </c>
      <c r="H108" s="62" t="s">
        <v>2326</v>
      </c>
      <c r="I108" s="62" t="s">
        <v>2729</v>
      </c>
      <c r="J108" s="62" t="s">
        <v>277</v>
      </c>
    </row>
    <row r="109" spans="1:10" ht="15" x14ac:dyDescent="0.25">
      <c r="A109" s="40">
        <v>105</v>
      </c>
      <c r="B109" s="62" t="s">
        <v>2556</v>
      </c>
      <c r="C109" s="62" t="s">
        <v>342</v>
      </c>
      <c r="D109" s="62" t="s">
        <v>2485</v>
      </c>
      <c r="E109" s="62" t="s">
        <v>2486</v>
      </c>
      <c r="F109" s="62">
        <v>100</v>
      </c>
      <c r="G109" s="62">
        <v>109.8644</v>
      </c>
      <c r="H109" s="62" t="s">
        <v>2328</v>
      </c>
      <c r="I109" s="62" t="s">
        <v>2730</v>
      </c>
      <c r="J109" s="62" t="s">
        <v>277</v>
      </c>
    </row>
    <row r="110" spans="1:10" ht="15" x14ac:dyDescent="0.25">
      <c r="A110" s="40">
        <v>106</v>
      </c>
      <c r="B110" s="62" t="s">
        <v>2557</v>
      </c>
      <c r="C110" s="62" t="s">
        <v>344</v>
      </c>
      <c r="D110" s="62" t="s">
        <v>2485</v>
      </c>
      <c r="E110" s="62" t="s">
        <v>2486</v>
      </c>
      <c r="F110" s="62">
        <v>100</v>
      </c>
      <c r="G110" s="62">
        <v>106.8494</v>
      </c>
      <c r="H110" s="62" t="s">
        <v>2329</v>
      </c>
      <c r="I110" s="62" t="s">
        <v>2731</v>
      </c>
      <c r="J110" s="62" t="s">
        <v>277</v>
      </c>
    </row>
    <row r="111" spans="1:10" ht="15" x14ac:dyDescent="0.25">
      <c r="A111" s="40">
        <v>107</v>
      </c>
      <c r="B111" s="62" t="s">
        <v>2558</v>
      </c>
      <c r="C111" s="62" t="s">
        <v>141</v>
      </c>
      <c r="D111" s="62" t="s">
        <v>2485</v>
      </c>
      <c r="E111" s="62" t="s">
        <v>2486</v>
      </c>
      <c r="F111" s="62">
        <v>90.280900000000003</v>
      </c>
      <c r="G111" s="62">
        <v>92.274199999999993</v>
      </c>
      <c r="H111" s="62" t="s">
        <v>2732</v>
      </c>
      <c r="I111" s="62" t="s">
        <v>2491</v>
      </c>
      <c r="J111" s="62" t="s">
        <v>277</v>
      </c>
    </row>
    <row r="112" spans="1:10" ht="15" x14ac:dyDescent="0.25">
      <c r="A112" s="40">
        <v>108</v>
      </c>
      <c r="B112" s="62" t="s">
        <v>2559</v>
      </c>
      <c r="C112" s="62" t="s">
        <v>143</v>
      </c>
      <c r="D112" s="62" t="s">
        <v>2485</v>
      </c>
      <c r="E112" s="62" t="s">
        <v>2486</v>
      </c>
      <c r="F112" s="62">
        <v>95.827100000000002</v>
      </c>
      <c r="G112" s="62">
        <v>101.9896</v>
      </c>
      <c r="H112" s="62" t="s">
        <v>2733</v>
      </c>
      <c r="I112" s="62" t="s">
        <v>2734</v>
      </c>
      <c r="J112" s="62" t="s">
        <v>277</v>
      </c>
    </row>
    <row r="113" spans="1:10" ht="15" x14ac:dyDescent="0.25">
      <c r="A113" s="40">
        <v>109</v>
      </c>
      <c r="B113" s="62" t="s">
        <v>2560</v>
      </c>
      <c r="C113" s="62" t="s">
        <v>145</v>
      </c>
      <c r="D113" s="62" t="s">
        <v>2485</v>
      </c>
      <c r="E113" s="62" t="s">
        <v>2486</v>
      </c>
      <c r="F113" s="62">
        <v>85.475200000000001</v>
      </c>
      <c r="G113" s="62">
        <v>90.175200000000004</v>
      </c>
      <c r="H113" s="62" t="s">
        <v>2735</v>
      </c>
      <c r="I113" s="62" t="s">
        <v>2736</v>
      </c>
      <c r="J113" s="62" t="s">
        <v>277</v>
      </c>
    </row>
    <row r="114" spans="1:10" ht="15" x14ac:dyDescent="0.25">
      <c r="A114" s="40">
        <v>110</v>
      </c>
      <c r="B114" s="62" t="s">
        <v>2561</v>
      </c>
      <c r="C114" s="62" t="s">
        <v>6</v>
      </c>
      <c r="D114" s="62" t="s">
        <v>2485</v>
      </c>
      <c r="E114" s="62" t="s">
        <v>2486</v>
      </c>
      <c r="F114" s="62">
        <v>86.47</v>
      </c>
      <c r="G114" s="62">
        <v>89.532200000000003</v>
      </c>
      <c r="H114" s="62" t="s">
        <v>2737</v>
      </c>
      <c r="I114" s="62" t="s">
        <v>2738</v>
      </c>
      <c r="J114" s="62" t="s">
        <v>277</v>
      </c>
    </row>
    <row r="115" spans="1:10" ht="15" x14ac:dyDescent="0.25">
      <c r="A115" s="40">
        <v>111</v>
      </c>
      <c r="B115" s="62" t="s">
        <v>2562</v>
      </c>
      <c r="C115" s="62" t="s">
        <v>148</v>
      </c>
      <c r="D115" s="62" t="s">
        <v>2485</v>
      </c>
      <c r="E115" s="62" t="s">
        <v>2486</v>
      </c>
      <c r="F115" s="62">
        <v>83.799000000000007</v>
      </c>
      <c r="G115" s="62">
        <v>88.998999999999995</v>
      </c>
      <c r="H115" s="62" t="s">
        <v>2739</v>
      </c>
      <c r="I115" s="62" t="s">
        <v>2740</v>
      </c>
      <c r="J115" s="62" t="s">
        <v>277</v>
      </c>
    </row>
    <row r="116" spans="1:10" ht="15" x14ac:dyDescent="0.25">
      <c r="A116" s="40">
        <v>112</v>
      </c>
      <c r="B116" s="62" t="s">
        <v>2563</v>
      </c>
      <c r="C116" s="62" t="s">
        <v>2093</v>
      </c>
      <c r="D116" s="62" t="s">
        <v>2485</v>
      </c>
      <c r="E116" s="62" t="s">
        <v>2486</v>
      </c>
      <c r="F116" s="62">
        <v>92.318600000000004</v>
      </c>
      <c r="G116" s="62">
        <v>98.077500000000001</v>
      </c>
      <c r="H116" s="62" t="s">
        <v>2573</v>
      </c>
      <c r="I116" s="62" t="s">
        <v>2741</v>
      </c>
      <c r="J116" s="62" t="s">
        <v>277</v>
      </c>
    </row>
    <row r="117" spans="1:10" ht="15" x14ac:dyDescent="0.25">
      <c r="A117" s="40">
        <v>113</v>
      </c>
      <c r="B117" s="62" t="s">
        <v>2564</v>
      </c>
      <c r="C117" s="62" t="s">
        <v>150</v>
      </c>
      <c r="D117" s="62" t="s">
        <v>2485</v>
      </c>
      <c r="E117" s="62" t="s">
        <v>2486</v>
      </c>
      <c r="F117" s="62">
        <v>84.745999999999995</v>
      </c>
      <c r="G117" s="62">
        <v>92.627600000000001</v>
      </c>
      <c r="H117" s="62" t="s">
        <v>2697</v>
      </c>
      <c r="I117" s="62" t="s">
        <v>2742</v>
      </c>
      <c r="J117" s="62" t="s">
        <v>277</v>
      </c>
    </row>
    <row r="118" spans="1:10" ht="15" x14ac:dyDescent="0.25">
      <c r="A118" s="40">
        <v>114</v>
      </c>
      <c r="B118" s="62" t="s">
        <v>2565</v>
      </c>
      <c r="C118" s="62" t="s">
        <v>8</v>
      </c>
      <c r="D118" s="62" t="s">
        <v>2485</v>
      </c>
      <c r="E118" s="62" t="s">
        <v>2486</v>
      </c>
      <c r="F118" s="62">
        <v>82.864199999999997</v>
      </c>
      <c r="G118" s="62">
        <v>82.864199999999997</v>
      </c>
      <c r="H118" s="62" t="s">
        <v>2743</v>
      </c>
      <c r="I118" s="62" t="s">
        <v>2744</v>
      </c>
      <c r="J118" s="62" t="s">
        <v>277</v>
      </c>
    </row>
    <row r="119" spans="1:10" ht="15" x14ac:dyDescent="0.25">
      <c r="A119" s="40">
        <v>115</v>
      </c>
      <c r="B119" s="62" t="s">
        <v>2566</v>
      </c>
      <c r="C119" s="62" t="s">
        <v>153</v>
      </c>
      <c r="D119" s="62" t="s">
        <v>2485</v>
      </c>
      <c r="E119" s="62" t="s">
        <v>2486</v>
      </c>
      <c r="F119" s="62">
        <v>82.5655</v>
      </c>
      <c r="G119" s="62">
        <v>87.882199999999997</v>
      </c>
      <c r="H119" s="62" t="s">
        <v>2745</v>
      </c>
      <c r="I119" s="62" t="s">
        <v>2746</v>
      </c>
      <c r="J119" s="62" t="s">
        <v>277</v>
      </c>
    </row>
    <row r="120" spans="1:10" ht="15" x14ac:dyDescent="0.25">
      <c r="A120" s="40">
        <v>116</v>
      </c>
      <c r="B120" s="62" t="s">
        <v>2567</v>
      </c>
      <c r="C120" s="62" t="s">
        <v>155</v>
      </c>
      <c r="D120" s="62" t="s">
        <v>2485</v>
      </c>
      <c r="E120" s="62" t="s">
        <v>2486</v>
      </c>
      <c r="F120" s="62">
        <v>90.656400000000005</v>
      </c>
      <c r="G120" s="62">
        <v>93.611999999999995</v>
      </c>
      <c r="H120" s="62" t="s">
        <v>2747</v>
      </c>
      <c r="I120" s="62" t="s">
        <v>2748</v>
      </c>
      <c r="J120" s="62" t="s">
        <v>277</v>
      </c>
    </row>
    <row r="121" spans="1:10" ht="15" x14ac:dyDescent="0.25">
      <c r="A121" s="40">
        <v>117</v>
      </c>
      <c r="B121" s="62" t="s">
        <v>2568</v>
      </c>
      <c r="C121" s="62" t="s">
        <v>2273</v>
      </c>
      <c r="D121" s="62" t="s">
        <v>2485</v>
      </c>
      <c r="E121" s="62" t="s">
        <v>2486</v>
      </c>
      <c r="F121" s="62">
        <v>91.320400000000006</v>
      </c>
      <c r="G121" s="62">
        <v>93.447800000000001</v>
      </c>
      <c r="H121" s="62" t="s">
        <v>2749</v>
      </c>
      <c r="I121" s="62" t="s">
        <v>2750</v>
      </c>
      <c r="J121" s="62" t="s">
        <v>277</v>
      </c>
    </row>
    <row r="122" spans="1:10" ht="15" x14ac:dyDescent="0.25">
      <c r="A122" s="40">
        <v>118</v>
      </c>
      <c r="B122" s="62" t="s">
        <v>2570</v>
      </c>
      <c r="C122" s="62" t="s">
        <v>157</v>
      </c>
      <c r="D122" s="62" t="s">
        <v>2485</v>
      </c>
      <c r="E122" s="62" t="s">
        <v>2486</v>
      </c>
      <c r="F122" s="62">
        <v>93.767899999999997</v>
      </c>
      <c r="G122" s="62">
        <v>94.399799999999999</v>
      </c>
      <c r="H122" s="62" t="s">
        <v>2733</v>
      </c>
      <c r="I122" s="62" t="s">
        <v>2751</v>
      </c>
      <c r="J122" s="62" t="s">
        <v>277</v>
      </c>
    </row>
    <row r="123" spans="1:10" ht="15" x14ac:dyDescent="0.25">
      <c r="A123" s="40">
        <v>119</v>
      </c>
      <c r="B123" s="62" t="s">
        <v>2571</v>
      </c>
      <c r="C123" s="62" t="s">
        <v>7</v>
      </c>
      <c r="D123" s="62" t="s">
        <v>2485</v>
      </c>
      <c r="E123" s="62" t="s">
        <v>2486</v>
      </c>
      <c r="F123" s="62">
        <v>84.756900000000002</v>
      </c>
      <c r="G123" s="62">
        <v>88.362499999999997</v>
      </c>
      <c r="H123" s="62" t="s">
        <v>2752</v>
      </c>
      <c r="I123" s="62" t="s">
        <v>2753</v>
      </c>
      <c r="J123" s="62" t="s">
        <v>277</v>
      </c>
    </row>
    <row r="124" spans="1:10" ht="15" x14ac:dyDescent="0.25">
      <c r="A124" s="40">
        <v>120</v>
      </c>
      <c r="B124" s="62" t="s">
        <v>2572</v>
      </c>
      <c r="C124" s="62" t="s">
        <v>160</v>
      </c>
      <c r="D124" s="62" t="s">
        <v>2485</v>
      </c>
      <c r="E124" s="62" t="s">
        <v>2486</v>
      </c>
      <c r="F124" s="62">
        <v>89.996499999999997</v>
      </c>
      <c r="G124" s="62">
        <v>92.6798</v>
      </c>
      <c r="H124" s="62" t="s">
        <v>2754</v>
      </c>
      <c r="I124" s="62" t="s">
        <v>2755</v>
      </c>
      <c r="J124" s="62" t="s">
        <v>277</v>
      </c>
    </row>
    <row r="125" spans="1:10" ht="15" x14ac:dyDescent="0.25">
      <c r="A125" s="40">
        <v>121</v>
      </c>
      <c r="B125" s="62" t="s">
        <v>2574</v>
      </c>
      <c r="C125" s="62" t="s">
        <v>2095</v>
      </c>
      <c r="D125" s="62" t="s">
        <v>2485</v>
      </c>
      <c r="E125" s="62" t="s">
        <v>2486</v>
      </c>
      <c r="F125" s="62">
        <v>91.180700000000002</v>
      </c>
      <c r="G125" s="62">
        <v>96.900099999999995</v>
      </c>
      <c r="H125" s="62" t="s">
        <v>2399</v>
      </c>
      <c r="I125" s="62" t="s">
        <v>2756</v>
      </c>
      <c r="J125" s="62" t="s">
        <v>277</v>
      </c>
    </row>
    <row r="126" spans="1:10" ht="15" x14ac:dyDescent="0.25">
      <c r="A126" s="40">
        <v>122</v>
      </c>
      <c r="B126" s="62" t="s">
        <v>2575</v>
      </c>
      <c r="C126" s="62" t="s">
        <v>162</v>
      </c>
      <c r="D126" s="62" t="s">
        <v>2485</v>
      </c>
      <c r="E126" s="62" t="s">
        <v>2486</v>
      </c>
      <c r="F126" s="62">
        <v>89.362499999999997</v>
      </c>
      <c r="G126" s="62">
        <v>92.912499999999994</v>
      </c>
      <c r="H126" s="62" t="s">
        <v>2398</v>
      </c>
      <c r="I126" s="62" t="s">
        <v>2757</v>
      </c>
      <c r="J126" s="62" t="s">
        <v>277</v>
      </c>
    </row>
    <row r="127" spans="1:10" ht="15" x14ac:dyDescent="0.25">
      <c r="A127" s="40">
        <v>123</v>
      </c>
      <c r="B127" s="62" t="s">
        <v>2576</v>
      </c>
      <c r="C127" s="62" t="s">
        <v>164</v>
      </c>
      <c r="D127" s="62" t="s">
        <v>2485</v>
      </c>
      <c r="E127" s="62" t="s">
        <v>2486</v>
      </c>
      <c r="F127" s="62">
        <v>87.632099999999994</v>
      </c>
      <c r="G127" s="62">
        <v>88.257099999999994</v>
      </c>
      <c r="H127" s="62" t="s">
        <v>2758</v>
      </c>
      <c r="I127" s="62" t="s">
        <v>2759</v>
      </c>
      <c r="J127" s="62" t="s">
        <v>277</v>
      </c>
    </row>
    <row r="128" spans="1:10" ht="15" x14ac:dyDescent="0.25">
      <c r="A128" s="40">
        <v>124</v>
      </c>
      <c r="B128" s="62" t="s">
        <v>2577</v>
      </c>
      <c r="C128" s="62" t="s">
        <v>9</v>
      </c>
      <c r="D128" s="62" t="s">
        <v>2485</v>
      </c>
      <c r="E128" s="62" t="s">
        <v>2486</v>
      </c>
      <c r="F128" s="62">
        <v>77.907399999999996</v>
      </c>
      <c r="G128" s="62">
        <v>81.655500000000004</v>
      </c>
      <c r="H128" s="62" t="s">
        <v>2747</v>
      </c>
      <c r="I128" s="62" t="s">
        <v>2760</v>
      </c>
      <c r="J128" s="62" t="s">
        <v>277</v>
      </c>
    </row>
    <row r="129" spans="1:10" ht="15" x14ac:dyDescent="0.25">
      <c r="A129" s="40">
        <v>125</v>
      </c>
      <c r="B129" s="62" t="s">
        <v>2578</v>
      </c>
      <c r="C129" s="62" t="s">
        <v>2068</v>
      </c>
      <c r="D129" s="62" t="s">
        <v>2485</v>
      </c>
      <c r="E129" s="62" t="s">
        <v>2486</v>
      </c>
      <c r="F129" s="62">
        <v>88.491900000000001</v>
      </c>
      <c r="G129" s="62">
        <v>94.908600000000007</v>
      </c>
      <c r="H129" s="62" t="s">
        <v>2761</v>
      </c>
      <c r="I129" s="62" t="s">
        <v>2762</v>
      </c>
      <c r="J129" s="62" t="s">
        <v>277</v>
      </c>
    </row>
    <row r="130" spans="1:10" ht="15" x14ac:dyDescent="0.25">
      <c r="A130" s="40">
        <v>126</v>
      </c>
      <c r="B130" s="62" t="s">
        <v>2580</v>
      </c>
      <c r="C130" s="62" t="s">
        <v>11</v>
      </c>
      <c r="D130" s="62" t="s">
        <v>2485</v>
      </c>
      <c r="E130" s="62" t="s">
        <v>2486</v>
      </c>
      <c r="F130" s="62">
        <v>76.778000000000006</v>
      </c>
      <c r="G130" s="62">
        <v>76.837199999999996</v>
      </c>
      <c r="H130" s="62" t="s">
        <v>2569</v>
      </c>
      <c r="I130" s="62" t="s">
        <v>2763</v>
      </c>
      <c r="J130" s="62" t="s">
        <v>277</v>
      </c>
    </row>
    <row r="131" spans="1:10" ht="15" x14ac:dyDescent="0.25">
      <c r="A131" s="40">
        <v>127</v>
      </c>
      <c r="B131" s="62" t="s">
        <v>2581</v>
      </c>
      <c r="C131" s="62" t="s">
        <v>168</v>
      </c>
      <c r="D131" s="62" t="s">
        <v>2485</v>
      </c>
      <c r="E131" s="62" t="s">
        <v>2486</v>
      </c>
      <c r="F131" s="62">
        <v>99.537199999999999</v>
      </c>
      <c r="G131" s="62">
        <v>105.63500000000001</v>
      </c>
      <c r="H131" s="62" t="s">
        <v>2754</v>
      </c>
      <c r="I131" s="62" t="s">
        <v>2764</v>
      </c>
      <c r="J131" s="62" t="s">
        <v>277</v>
      </c>
    </row>
    <row r="132" spans="1:10" ht="15" x14ac:dyDescent="0.25">
      <c r="A132" s="40">
        <v>128</v>
      </c>
      <c r="B132" s="62" t="s">
        <v>2582</v>
      </c>
      <c r="C132" s="62" t="s">
        <v>170</v>
      </c>
      <c r="D132" s="62" t="s">
        <v>2485</v>
      </c>
      <c r="E132" s="62" t="s">
        <v>2486</v>
      </c>
      <c r="F132" s="62">
        <v>75.241900000000001</v>
      </c>
      <c r="G132" s="62">
        <v>85.189499999999995</v>
      </c>
      <c r="H132" s="62" t="s">
        <v>2399</v>
      </c>
      <c r="I132" s="62" t="s">
        <v>2765</v>
      </c>
      <c r="J132" s="62" t="s">
        <v>277</v>
      </c>
    </row>
    <row r="133" spans="1:10" ht="15" x14ac:dyDescent="0.25">
      <c r="A133" s="40">
        <v>129</v>
      </c>
      <c r="B133" s="62" t="s">
        <v>2583</v>
      </c>
      <c r="C133" s="62" t="s">
        <v>172</v>
      </c>
      <c r="D133" s="62" t="s">
        <v>2485</v>
      </c>
      <c r="E133" s="62" t="s">
        <v>2486</v>
      </c>
      <c r="F133" s="62">
        <v>85.496499999999997</v>
      </c>
      <c r="G133" s="62">
        <v>86.284999999999997</v>
      </c>
      <c r="H133" s="62" t="s">
        <v>2382</v>
      </c>
      <c r="I133" s="62" t="s">
        <v>2656</v>
      </c>
      <c r="J133" s="62" t="s">
        <v>277</v>
      </c>
    </row>
    <row r="134" spans="1:10" ht="15" x14ac:dyDescent="0.25">
      <c r="A134" s="40">
        <v>130</v>
      </c>
      <c r="B134" s="62" t="s">
        <v>2584</v>
      </c>
      <c r="C134" s="62" t="s">
        <v>174</v>
      </c>
      <c r="D134" s="62" t="s">
        <v>2485</v>
      </c>
      <c r="E134" s="62" t="s">
        <v>2486</v>
      </c>
      <c r="F134" s="62">
        <v>71.080200000000005</v>
      </c>
      <c r="G134" s="62">
        <v>72.908900000000003</v>
      </c>
      <c r="H134" s="62" t="s">
        <v>2766</v>
      </c>
      <c r="I134" s="62" t="s">
        <v>2767</v>
      </c>
      <c r="J134" s="62" t="s">
        <v>277</v>
      </c>
    </row>
    <row r="135" spans="1:10" ht="15" x14ac:dyDescent="0.25">
      <c r="A135" s="40">
        <v>131</v>
      </c>
      <c r="B135" s="62" t="s">
        <v>2585</v>
      </c>
      <c r="C135" s="62" t="s">
        <v>176</v>
      </c>
      <c r="D135" s="62" t="s">
        <v>2485</v>
      </c>
      <c r="E135" s="62" t="s">
        <v>2486</v>
      </c>
      <c r="F135" s="62">
        <v>71.898300000000006</v>
      </c>
      <c r="G135" s="62">
        <v>76.424199999999999</v>
      </c>
      <c r="H135" s="62" t="s">
        <v>2579</v>
      </c>
      <c r="I135" s="62" t="s">
        <v>2768</v>
      </c>
      <c r="J135" s="62" t="s">
        <v>277</v>
      </c>
    </row>
    <row r="136" spans="1:10" ht="15" x14ac:dyDescent="0.25">
      <c r="A136" s="40">
        <v>132</v>
      </c>
      <c r="B136" s="62" t="s">
        <v>2586</v>
      </c>
      <c r="C136" s="62" t="s">
        <v>2245</v>
      </c>
      <c r="D136" s="62" t="s">
        <v>2485</v>
      </c>
      <c r="E136" s="62" t="s">
        <v>2486</v>
      </c>
      <c r="F136" s="62">
        <v>88.1755</v>
      </c>
      <c r="G136" s="62">
        <v>90.760499999999993</v>
      </c>
      <c r="H136" s="62" t="s">
        <v>2415</v>
      </c>
      <c r="I136" s="62" t="s">
        <v>2769</v>
      </c>
      <c r="J136" s="62" t="s">
        <v>277</v>
      </c>
    </row>
    <row r="137" spans="1:10" ht="15" x14ac:dyDescent="0.25">
      <c r="A137" s="40">
        <v>133</v>
      </c>
      <c r="B137" s="62" t="s">
        <v>2587</v>
      </c>
      <c r="C137" s="62" t="s">
        <v>178</v>
      </c>
      <c r="D137" s="62" t="s">
        <v>2485</v>
      </c>
      <c r="E137" s="62" t="s">
        <v>2486</v>
      </c>
      <c r="F137" s="62">
        <v>98.101699999999994</v>
      </c>
      <c r="G137" s="62">
        <v>102.3218</v>
      </c>
      <c r="H137" s="62" t="s">
        <v>2770</v>
      </c>
      <c r="I137" s="62" t="s">
        <v>2771</v>
      </c>
      <c r="J137" s="62" t="s">
        <v>277</v>
      </c>
    </row>
    <row r="138" spans="1:10" ht="15" x14ac:dyDescent="0.25">
      <c r="A138" s="40">
        <v>134</v>
      </c>
      <c r="B138" s="62" t="s">
        <v>2588</v>
      </c>
      <c r="C138" s="62" t="s">
        <v>180</v>
      </c>
      <c r="D138" s="62" t="s">
        <v>2485</v>
      </c>
      <c r="E138" s="62" t="s">
        <v>2486</v>
      </c>
      <c r="F138" s="62">
        <v>96.811700000000002</v>
      </c>
      <c r="G138" s="62">
        <v>100.3117</v>
      </c>
      <c r="H138" s="62" t="s">
        <v>2383</v>
      </c>
      <c r="I138" s="62" t="s">
        <v>2772</v>
      </c>
      <c r="J138" s="62" t="s">
        <v>277</v>
      </c>
    </row>
    <row r="139" spans="1:10" ht="15" x14ac:dyDescent="0.25">
      <c r="A139" s="40">
        <v>135</v>
      </c>
      <c r="B139" s="62" t="s">
        <v>2589</v>
      </c>
      <c r="C139" s="62" t="s">
        <v>10</v>
      </c>
      <c r="D139" s="62" t="s">
        <v>2485</v>
      </c>
      <c r="E139" s="62" t="s">
        <v>2486</v>
      </c>
      <c r="F139" s="62">
        <v>68.601500000000001</v>
      </c>
      <c r="G139" s="62">
        <v>70.995699999999999</v>
      </c>
      <c r="H139" s="62" t="s">
        <v>2773</v>
      </c>
      <c r="I139" s="62" t="s">
        <v>2774</v>
      </c>
      <c r="J139" s="62" t="s">
        <v>277</v>
      </c>
    </row>
    <row r="140" spans="1:10" ht="15" x14ac:dyDescent="0.25">
      <c r="A140" s="40">
        <v>136</v>
      </c>
      <c r="B140" s="62" t="s">
        <v>2590</v>
      </c>
      <c r="C140" s="62" t="s">
        <v>183</v>
      </c>
      <c r="D140" s="62" t="s">
        <v>2485</v>
      </c>
      <c r="E140" s="62" t="s">
        <v>2486</v>
      </c>
      <c r="F140" s="62">
        <v>71.154899999999998</v>
      </c>
      <c r="G140" s="62">
        <v>75.084100000000007</v>
      </c>
      <c r="H140" s="62" t="s">
        <v>2403</v>
      </c>
      <c r="I140" s="62" t="s">
        <v>2775</v>
      </c>
      <c r="J140" s="62" t="s">
        <v>277</v>
      </c>
    </row>
    <row r="141" spans="1:10" ht="15" x14ac:dyDescent="0.25">
      <c r="A141" s="40">
        <v>137</v>
      </c>
      <c r="B141" s="62" t="s">
        <v>2591</v>
      </c>
      <c r="C141" s="62" t="s">
        <v>185</v>
      </c>
      <c r="D141" s="62" t="s">
        <v>2485</v>
      </c>
      <c r="E141" s="62" t="s">
        <v>2486</v>
      </c>
      <c r="F141" s="62">
        <v>96.748699999999999</v>
      </c>
      <c r="G141" s="62">
        <v>100.54430000000001</v>
      </c>
      <c r="H141" s="62" t="s">
        <v>2383</v>
      </c>
      <c r="I141" s="62" t="s">
        <v>2776</v>
      </c>
      <c r="J141" s="62" t="s">
        <v>277</v>
      </c>
    </row>
    <row r="142" spans="1:10" ht="15" x14ac:dyDescent="0.25">
      <c r="A142" s="40">
        <v>138</v>
      </c>
      <c r="B142" s="62" t="s">
        <v>2593</v>
      </c>
      <c r="C142" s="62" t="s">
        <v>187</v>
      </c>
      <c r="D142" s="62" t="s">
        <v>2485</v>
      </c>
      <c r="E142" s="62" t="s">
        <v>2486</v>
      </c>
      <c r="F142" s="62">
        <v>89.724299999999999</v>
      </c>
      <c r="G142" s="62">
        <v>94.918700000000001</v>
      </c>
      <c r="H142" s="62" t="s">
        <v>2397</v>
      </c>
      <c r="I142" s="62" t="s">
        <v>2777</v>
      </c>
      <c r="J142" s="62" t="s">
        <v>277</v>
      </c>
    </row>
    <row r="143" spans="1:10" ht="15" x14ac:dyDescent="0.25">
      <c r="A143" s="40">
        <v>139</v>
      </c>
      <c r="B143" s="62" t="s">
        <v>2594</v>
      </c>
      <c r="C143" s="62" t="s">
        <v>189</v>
      </c>
      <c r="D143" s="62" t="s">
        <v>2485</v>
      </c>
      <c r="E143" s="62" t="s">
        <v>2486</v>
      </c>
      <c r="F143" s="62">
        <v>86.702299999999994</v>
      </c>
      <c r="G143" s="62">
        <v>90.105099999999993</v>
      </c>
      <c r="H143" s="62" t="s">
        <v>2732</v>
      </c>
      <c r="I143" s="62" t="s">
        <v>2778</v>
      </c>
      <c r="J143" s="62" t="s">
        <v>277</v>
      </c>
    </row>
    <row r="144" spans="1:10" ht="15" x14ac:dyDescent="0.25">
      <c r="A144" s="40">
        <v>140</v>
      </c>
      <c r="B144" s="62" t="s">
        <v>2595</v>
      </c>
      <c r="C144" s="62" t="s">
        <v>5</v>
      </c>
      <c r="D144" s="62" t="s">
        <v>2485</v>
      </c>
      <c r="E144" s="62" t="s">
        <v>2486</v>
      </c>
      <c r="F144" s="62">
        <v>84.352599999999995</v>
      </c>
      <c r="G144" s="62">
        <v>86.197900000000004</v>
      </c>
      <c r="H144" s="62" t="s">
        <v>2398</v>
      </c>
      <c r="I144" s="62" t="s">
        <v>2779</v>
      </c>
      <c r="J144" s="62" t="s">
        <v>277</v>
      </c>
    </row>
    <row r="145" spans="1:10" ht="15" x14ac:dyDescent="0.25">
      <c r="A145" s="40">
        <v>141</v>
      </c>
      <c r="B145" s="62" t="s">
        <v>2596</v>
      </c>
      <c r="C145" s="62" t="s">
        <v>192</v>
      </c>
      <c r="D145" s="62" t="s">
        <v>2485</v>
      </c>
      <c r="E145" s="62" t="s">
        <v>2486</v>
      </c>
      <c r="F145" s="62">
        <v>80.5946</v>
      </c>
      <c r="G145" s="62">
        <v>85.322100000000006</v>
      </c>
      <c r="H145" s="62" t="s">
        <v>2401</v>
      </c>
      <c r="I145" s="62" t="s">
        <v>2780</v>
      </c>
      <c r="J145" s="62" t="s">
        <v>277</v>
      </c>
    </row>
    <row r="146" spans="1:10" ht="15" x14ac:dyDescent="0.25">
      <c r="A146" s="40">
        <v>142</v>
      </c>
      <c r="B146" s="62" t="s">
        <v>2597</v>
      </c>
      <c r="C146" s="62" t="s">
        <v>194</v>
      </c>
      <c r="D146" s="62" t="s">
        <v>2485</v>
      </c>
      <c r="E146" s="62" t="s">
        <v>2486</v>
      </c>
      <c r="F146" s="62">
        <v>81.593400000000003</v>
      </c>
      <c r="G146" s="62">
        <v>86.540599999999998</v>
      </c>
      <c r="H146" s="62" t="s">
        <v>2732</v>
      </c>
      <c r="I146" s="62" t="s">
        <v>2781</v>
      </c>
      <c r="J146" s="62" t="s">
        <v>277</v>
      </c>
    </row>
    <row r="147" spans="1:10" ht="15" x14ac:dyDescent="0.25">
      <c r="A147" s="40">
        <v>143</v>
      </c>
      <c r="B147" s="62" t="s">
        <v>2598</v>
      </c>
      <c r="C147" s="62" t="s">
        <v>196</v>
      </c>
      <c r="D147" s="62" t="s">
        <v>2485</v>
      </c>
      <c r="E147" s="62" t="s">
        <v>2486</v>
      </c>
      <c r="F147" s="62">
        <v>76.509600000000006</v>
      </c>
      <c r="G147" s="62">
        <v>81.082300000000004</v>
      </c>
      <c r="H147" s="62" t="s">
        <v>2782</v>
      </c>
      <c r="I147" s="62" t="s">
        <v>2783</v>
      </c>
      <c r="J147" s="62" t="s">
        <v>277</v>
      </c>
    </row>
    <row r="148" spans="1:10" ht="15" x14ac:dyDescent="0.25">
      <c r="A148" s="40">
        <v>144</v>
      </c>
      <c r="B148" s="62" t="s">
        <v>2600</v>
      </c>
      <c r="C148" s="62" t="s">
        <v>198</v>
      </c>
      <c r="D148" s="62" t="s">
        <v>2485</v>
      </c>
      <c r="E148" s="62" t="s">
        <v>2486</v>
      </c>
      <c r="F148" s="62">
        <v>74.747399999999999</v>
      </c>
      <c r="G148" s="62">
        <v>82.107399999999998</v>
      </c>
      <c r="H148" s="62" t="s">
        <v>2743</v>
      </c>
      <c r="I148" s="62" t="s">
        <v>2784</v>
      </c>
      <c r="J148" s="62" t="s">
        <v>277</v>
      </c>
    </row>
    <row r="149" spans="1:10" ht="15" x14ac:dyDescent="0.25">
      <c r="A149" s="40">
        <v>145</v>
      </c>
      <c r="B149" s="62" t="s">
        <v>2601</v>
      </c>
      <c r="C149" s="62" t="s">
        <v>200</v>
      </c>
      <c r="D149" s="62" t="s">
        <v>2485</v>
      </c>
      <c r="E149" s="62" t="s">
        <v>2486</v>
      </c>
      <c r="F149" s="62">
        <v>72.681399999999996</v>
      </c>
      <c r="G149" s="62">
        <v>76.3934</v>
      </c>
      <c r="H149" s="62" t="s">
        <v>2785</v>
      </c>
      <c r="I149" s="62" t="s">
        <v>2746</v>
      </c>
      <c r="J149" s="62" t="s">
        <v>277</v>
      </c>
    </row>
    <row r="150" spans="1:10" ht="15" x14ac:dyDescent="0.25">
      <c r="A150" s="40">
        <v>146</v>
      </c>
      <c r="B150" s="62" t="s">
        <v>2602</v>
      </c>
      <c r="C150" s="62" t="s">
        <v>202</v>
      </c>
      <c r="D150" s="62" t="s">
        <v>2485</v>
      </c>
      <c r="E150" s="62" t="s">
        <v>2486</v>
      </c>
      <c r="F150" s="62">
        <v>67.247</v>
      </c>
      <c r="G150" s="62">
        <v>69.9893</v>
      </c>
      <c r="H150" s="62" t="s">
        <v>2400</v>
      </c>
      <c r="I150" s="62" t="s">
        <v>2786</v>
      </c>
      <c r="J150" s="62" t="s">
        <v>277</v>
      </c>
    </row>
    <row r="151" spans="1:10" ht="15" x14ac:dyDescent="0.25">
      <c r="A151" s="40">
        <v>147</v>
      </c>
      <c r="B151" s="62" t="s">
        <v>2603</v>
      </c>
      <c r="C151" s="62" t="s">
        <v>204</v>
      </c>
      <c r="D151" s="62" t="s">
        <v>2485</v>
      </c>
      <c r="E151" s="62" t="s">
        <v>2486</v>
      </c>
      <c r="F151" s="62">
        <v>66.326099999999997</v>
      </c>
      <c r="G151" s="62">
        <v>68.558599999999998</v>
      </c>
      <c r="H151" s="62" t="s">
        <v>2399</v>
      </c>
      <c r="I151" s="62" t="s">
        <v>2787</v>
      </c>
      <c r="J151" s="62" t="s">
        <v>277</v>
      </c>
    </row>
    <row r="152" spans="1:10" ht="15" x14ac:dyDescent="0.25">
      <c r="A152" s="40">
        <v>148</v>
      </c>
      <c r="B152" s="62" t="s">
        <v>2604</v>
      </c>
      <c r="C152" s="62" t="s">
        <v>206</v>
      </c>
      <c r="D152" s="62" t="s">
        <v>2485</v>
      </c>
      <c r="E152" s="62" t="s">
        <v>2486</v>
      </c>
      <c r="F152" s="62">
        <v>72.286199999999994</v>
      </c>
      <c r="G152" s="62">
        <v>82.2577</v>
      </c>
      <c r="H152" s="62" t="s">
        <v>2396</v>
      </c>
      <c r="I152" s="62" t="s">
        <v>2788</v>
      </c>
      <c r="J152" s="62" t="s">
        <v>277</v>
      </c>
    </row>
    <row r="153" spans="1:10" ht="15" x14ac:dyDescent="0.25">
      <c r="A153" s="40">
        <v>149</v>
      </c>
      <c r="B153" s="62" t="s">
        <v>2605</v>
      </c>
      <c r="C153" s="62" t="s">
        <v>208</v>
      </c>
      <c r="D153" s="62" t="s">
        <v>2485</v>
      </c>
      <c r="E153" s="62" t="s">
        <v>2486</v>
      </c>
      <c r="F153" s="62">
        <v>73.103800000000007</v>
      </c>
      <c r="G153" s="62">
        <v>78.628799999999998</v>
      </c>
      <c r="H153" s="62" t="s">
        <v>2396</v>
      </c>
      <c r="I153" s="62" t="s">
        <v>2789</v>
      </c>
      <c r="J153" s="62" t="s">
        <v>277</v>
      </c>
    </row>
    <row r="154" spans="1:10" ht="15" x14ac:dyDescent="0.25">
      <c r="A154" s="40">
        <v>150</v>
      </c>
      <c r="B154" s="62" t="s">
        <v>2606</v>
      </c>
      <c r="C154" s="62" t="s">
        <v>210</v>
      </c>
      <c r="D154" s="62" t="s">
        <v>2485</v>
      </c>
      <c r="E154" s="62" t="s">
        <v>2486</v>
      </c>
      <c r="F154" s="62">
        <v>79.621200000000002</v>
      </c>
      <c r="G154" s="62">
        <v>83.728700000000003</v>
      </c>
      <c r="H154" s="62" t="s">
        <v>2758</v>
      </c>
      <c r="I154" s="62" t="s">
        <v>2790</v>
      </c>
      <c r="J154" s="62" t="s">
        <v>277</v>
      </c>
    </row>
    <row r="155" spans="1:10" ht="15" x14ac:dyDescent="0.25">
      <c r="A155" s="40">
        <v>151</v>
      </c>
      <c r="B155" s="62" t="s">
        <v>2607</v>
      </c>
      <c r="C155" s="62" t="s">
        <v>212</v>
      </c>
      <c r="D155" s="62" t="s">
        <v>2485</v>
      </c>
      <c r="E155" s="62" t="s">
        <v>2486</v>
      </c>
      <c r="F155" s="62">
        <v>75.4422</v>
      </c>
      <c r="G155" s="62">
        <v>76.831100000000006</v>
      </c>
      <c r="H155" s="62" t="s">
        <v>2737</v>
      </c>
      <c r="I155" s="62" t="s">
        <v>2791</v>
      </c>
      <c r="J155" s="62" t="s">
        <v>277</v>
      </c>
    </row>
    <row r="156" spans="1:10" ht="15" x14ac:dyDescent="0.25">
      <c r="A156" s="40">
        <v>152</v>
      </c>
      <c r="B156" s="62" t="s">
        <v>2608</v>
      </c>
      <c r="C156" s="62" t="s">
        <v>214</v>
      </c>
      <c r="D156" s="62" t="s">
        <v>2485</v>
      </c>
      <c r="E156" s="62" t="s">
        <v>2486</v>
      </c>
      <c r="F156" s="62">
        <v>73.759</v>
      </c>
      <c r="G156" s="62">
        <v>78.464600000000004</v>
      </c>
      <c r="H156" s="62" t="s">
        <v>2413</v>
      </c>
      <c r="I156" s="62" t="s">
        <v>2792</v>
      </c>
      <c r="J156" s="62" t="s">
        <v>277</v>
      </c>
    </row>
    <row r="157" spans="1:10" ht="15" x14ac:dyDescent="0.25">
      <c r="A157" s="40">
        <v>153</v>
      </c>
      <c r="B157" s="62" t="s">
        <v>2609</v>
      </c>
      <c r="C157" s="62" t="s">
        <v>216</v>
      </c>
      <c r="D157" s="62" t="s">
        <v>2485</v>
      </c>
      <c r="E157" s="62" t="s">
        <v>2486</v>
      </c>
      <c r="F157" s="62">
        <v>61.070599999999999</v>
      </c>
      <c r="G157" s="62">
        <v>69.503500000000003</v>
      </c>
      <c r="H157" s="62" t="s">
        <v>2610</v>
      </c>
      <c r="I157" s="62" t="s">
        <v>2793</v>
      </c>
      <c r="J157" s="62" t="s">
        <v>277</v>
      </c>
    </row>
    <row r="158" spans="1:10" ht="15" x14ac:dyDescent="0.25">
      <c r="A158" s="40">
        <v>154</v>
      </c>
      <c r="B158" s="62" t="s">
        <v>2611</v>
      </c>
      <c r="C158" s="62" t="s">
        <v>218</v>
      </c>
      <c r="D158" s="62" t="s">
        <v>2485</v>
      </c>
      <c r="E158" s="62" t="s">
        <v>2486</v>
      </c>
      <c r="F158" s="62">
        <v>61.295299999999997</v>
      </c>
      <c r="G158" s="62">
        <v>65.331100000000006</v>
      </c>
      <c r="H158" s="62" t="s">
        <v>2610</v>
      </c>
      <c r="I158" s="62" t="s">
        <v>2794</v>
      </c>
      <c r="J158" s="62" t="s">
        <v>277</v>
      </c>
    </row>
    <row r="159" spans="1:10" ht="15" x14ac:dyDescent="0.25">
      <c r="A159" s="40">
        <v>155</v>
      </c>
      <c r="B159" s="62" t="s">
        <v>2612</v>
      </c>
      <c r="C159" s="62" t="s">
        <v>220</v>
      </c>
      <c r="D159" s="62" t="s">
        <v>2485</v>
      </c>
      <c r="E159" s="62" t="s">
        <v>2486</v>
      </c>
      <c r="F159" s="62">
        <v>57.166800000000002</v>
      </c>
      <c r="G159" s="62">
        <v>58.602899999999998</v>
      </c>
      <c r="H159" s="62" t="s">
        <v>2749</v>
      </c>
      <c r="I159" s="62" t="s">
        <v>2795</v>
      </c>
      <c r="J159" s="62" t="s">
        <v>277</v>
      </c>
    </row>
    <row r="160" spans="1:10" ht="15" x14ac:dyDescent="0.25">
      <c r="A160" s="40">
        <v>156</v>
      </c>
      <c r="B160" s="62" t="s">
        <v>2613</v>
      </c>
      <c r="C160" s="62" t="s">
        <v>12</v>
      </c>
      <c r="D160" s="62" t="s">
        <v>2485</v>
      </c>
      <c r="E160" s="62" t="s">
        <v>2486</v>
      </c>
      <c r="F160" s="62">
        <v>62.556899999999999</v>
      </c>
      <c r="G160" s="62">
        <v>64.260599999999997</v>
      </c>
      <c r="H160" s="62" t="s">
        <v>2402</v>
      </c>
      <c r="I160" s="62" t="s">
        <v>2796</v>
      </c>
      <c r="J160" s="62" t="s">
        <v>277</v>
      </c>
    </row>
    <row r="161" spans="1:10" ht="15" x14ac:dyDescent="0.25">
      <c r="A161" s="40">
        <v>157</v>
      </c>
      <c r="B161" s="62" t="s">
        <v>2614</v>
      </c>
      <c r="C161" s="62" t="s">
        <v>13</v>
      </c>
      <c r="D161" s="62" t="s">
        <v>2485</v>
      </c>
      <c r="E161" s="62" t="s">
        <v>2486</v>
      </c>
      <c r="F161" s="62">
        <v>61.182400000000001</v>
      </c>
      <c r="G161" s="62">
        <v>65.194999999999993</v>
      </c>
      <c r="H161" s="62" t="s">
        <v>2403</v>
      </c>
      <c r="I161" s="62" t="s">
        <v>2797</v>
      </c>
      <c r="J161" s="62" t="s">
        <v>277</v>
      </c>
    </row>
    <row r="162" spans="1:10" ht="15" x14ac:dyDescent="0.25">
      <c r="A162" s="40">
        <v>158</v>
      </c>
      <c r="B162" s="62" t="s">
        <v>2615</v>
      </c>
      <c r="C162" s="62" t="s">
        <v>224</v>
      </c>
      <c r="D162" s="62" t="s">
        <v>2485</v>
      </c>
      <c r="E162" s="62" t="s">
        <v>2486</v>
      </c>
      <c r="F162" s="62">
        <v>55.218200000000003</v>
      </c>
      <c r="G162" s="62">
        <v>60.002099999999999</v>
      </c>
      <c r="H162" s="62" t="s">
        <v>2386</v>
      </c>
      <c r="I162" s="62" t="s">
        <v>2798</v>
      </c>
      <c r="J162" s="62" t="s">
        <v>277</v>
      </c>
    </row>
    <row r="163" spans="1:10" ht="17.25" customHeight="1" x14ac:dyDescent="0.25">
      <c r="A163" s="40">
        <v>159</v>
      </c>
      <c r="B163" s="62" t="s">
        <v>2616</v>
      </c>
      <c r="C163" s="62" t="s">
        <v>226</v>
      </c>
      <c r="D163" s="62" t="s">
        <v>2485</v>
      </c>
      <c r="E163" s="62" t="s">
        <v>2486</v>
      </c>
      <c r="F163" s="62">
        <v>57.222999999999999</v>
      </c>
      <c r="G163" s="62">
        <v>57.2926</v>
      </c>
      <c r="H163" s="62" t="s">
        <v>2395</v>
      </c>
      <c r="I163" s="62" t="s">
        <v>2799</v>
      </c>
      <c r="J163" s="62" t="s">
        <v>277</v>
      </c>
    </row>
    <row r="164" spans="1:10" ht="17.25" customHeight="1" x14ac:dyDescent="0.25">
      <c r="A164" s="40">
        <v>160</v>
      </c>
      <c r="B164" s="62" t="s">
        <v>2617</v>
      </c>
      <c r="C164" s="62" t="s">
        <v>228</v>
      </c>
      <c r="D164" s="62" t="s">
        <v>2485</v>
      </c>
      <c r="E164" s="62" t="s">
        <v>2486</v>
      </c>
      <c r="F164" s="62">
        <v>56.656999999999996</v>
      </c>
      <c r="G164" s="62">
        <v>60.191000000000003</v>
      </c>
      <c r="H164" s="62" t="s">
        <v>2386</v>
      </c>
      <c r="I164" s="62" t="s">
        <v>2800</v>
      </c>
      <c r="J164" s="62" t="s">
        <v>277</v>
      </c>
    </row>
    <row r="165" spans="1:10" ht="17.25" customHeight="1" x14ac:dyDescent="0.25">
      <c r="A165" s="15">
        <v>161</v>
      </c>
      <c r="B165" s="62" t="s">
        <v>2618</v>
      </c>
      <c r="C165" s="62" t="s">
        <v>230</v>
      </c>
      <c r="D165" s="62" t="s">
        <v>2485</v>
      </c>
      <c r="E165" s="62" t="s">
        <v>2486</v>
      </c>
      <c r="F165" s="62">
        <v>55.742800000000003</v>
      </c>
      <c r="G165" s="62">
        <v>62.999200000000002</v>
      </c>
      <c r="H165" s="62" t="s">
        <v>2619</v>
      </c>
      <c r="I165" s="62" t="s">
        <v>2801</v>
      </c>
      <c r="J165" s="62" t="s">
        <v>277</v>
      </c>
    </row>
    <row r="166" spans="1:10" ht="17.25" customHeight="1" x14ac:dyDescent="0.25">
      <c r="A166" s="15">
        <v>162</v>
      </c>
      <c r="B166" s="62" t="s">
        <v>2620</v>
      </c>
      <c r="C166" s="62" t="s">
        <v>2128</v>
      </c>
      <c r="D166" s="62" t="s">
        <v>2485</v>
      </c>
      <c r="E166" s="62" t="s">
        <v>2486</v>
      </c>
      <c r="F166" s="62">
        <v>100</v>
      </c>
      <c r="G166" s="62">
        <v>104.6833</v>
      </c>
      <c r="H166" s="62" t="s">
        <v>2384</v>
      </c>
      <c r="I166" s="62" t="s">
        <v>2802</v>
      </c>
      <c r="J166" s="62" t="s">
        <v>277</v>
      </c>
    </row>
    <row r="167" spans="1:10" ht="17.25" customHeight="1" x14ac:dyDescent="0.25">
      <c r="A167" s="15">
        <v>163</v>
      </c>
      <c r="B167" s="62" t="s">
        <v>2621</v>
      </c>
      <c r="C167" s="62" t="s">
        <v>2393</v>
      </c>
      <c r="D167" s="62" t="s">
        <v>2485</v>
      </c>
      <c r="E167" s="62" t="s">
        <v>2622</v>
      </c>
      <c r="F167" s="62">
        <v>99.080699999999993</v>
      </c>
      <c r="G167" s="62">
        <v>99.080699999999993</v>
      </c>
      <c r="H167" s="62" t="s">
        <v>2803</v>
      </c>
      <c r="I167" s="62" t="s">
        <v>2804</v>
      </c>
      <c r="J167" s="62" t="s">
        <v>277</v>
      </c>
    </row>
    <row r="168" spans="1:10" ht="17.25" customHeight="1" x14ac:dyDescent="0.25">
      <c r="A168" s="15">
        <v>164</v>
      </c>
      <c r="B168" s="62" t="s">
        <v>2623</v>
      </c>
      <c r="C168" s="62" t="s">
        <v>1614</v>
      </c>
      <c r="D168" s="62" t="s">
        <v>2419</v>
      </c>
      <c r="E168" s="62" t="s">
        <v>2624</v>
      </c>
      <c r="F168" s="63">
        <v>3432.3719999999998</v>
      </c>
      <c r="G168" s="63">
        <v>3432.3719999999998</v>
      </c>
      <c r="H168" s="62" t="s">
        <v>349</v>
      </c>
      <c r="I168" s="62" t="s">
        <v>2708</v>
      </c>
      <c r="J168" s="62" t="s">
        <v>2805</v>
      </c>
    </row>
    <row r="169" spans="1:10" ht="17.25" customHeight="1" x14ac:dyDescent="0.25">
      <c r="A169" s="15">
        <v>165</v>
      </c>
      <c r="B169" s="62" t="s">
        <v>2625</v>
      </c>
      <c r="C169" s="62" t="s">
        <v>437</v>
      </c>
      <c r="D169" s="62" t="s">
        <v>2419</v>
      </c>
      <c r="E169" s="62" t="s">
        <v>2626</v>
      </c>
      <c r="F169" s="62">
        <v>95.9572</v>
      </c>
      <c r="G169" s="62">
        <v>96.4572</v>
      </c>
      <c r="H169" s="62" t="s">
        <v>2806</v>
      </c>
      <c r="I169" s="62" t="s">
        <v>2807</v>
      </c>
      <c r="J169" s="62" t="s">
        <v>277</v>
      </c>
    </row>
    <row r="170" spans="1:10" ht="17.25" customHeight="1" x14ac:dyDescent="0.25">
      <c r="A170" s="15">
        <v>166</v>
      </c>
      <c r="B170" s="62" t="s">
        <v>2627</v>
      </c>
      <c r="C170" s="62" t="s">
        <v>2355</v>
      </c>
      <c r="D170" s="62" t="s">
        <v>2419</v>
      </c>
      <c r="E170" s="62" t="s">
        <v>2628</v>
      </c>
      <c r="F170" s="62">
        <v>91.444299999999998</v>
      </c>
      <c r="G170" s="62">
        <v>92.344300000000004</v>
      </c>
      <c r="H170" s="62" t="s">
        <v>2387</v>
      </c>
      <c r="I170" s="62" t="s">
        <v>2808</v>
      </c>
      <c r="J170" s="62" t="s">
        <v>277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77E9CDA7-DDEB-4DDD-8DB4-510CF2411A68}"/>
    <hyperlink ref="E5" r:id="rId2" display="https://kase.kz/ru/listing/issuers/AIRA" xr:uid="{6D259BBC-0831-4A1A-B0AD-ECA8A96B0221}"/>
    <hyperlink ref="B6" r:id="rId3" display="https://kase.kz/ru/investors/depts/AIRAd" xr:uid="{3E0FB6D4-9558-492C-98D0-6C81A8935628}"/>
    <hyperlink ref="E6" r:id="rId4" display="https://kase.kz/ru/listing/issuers/AIRA" xr:uid="{76CB9013-0F52-4907-8264-B533A6D686C6}"/>
    <hyperlink ref="B7" r:id="rId5" display="https://kase.kz/ru/investors/shares/AKZM" xr:uid="{52F640E0-2E92-4A1F-B8AB-64C5E463E52C}"/>
    <hyperlink ref="E7" r:id="rId6" display="https://kase.kz/ru/listing/issuers/AKZM" xr:uid="{476001D1-2624-469E-8E2B-AF5E27E4AE71}"/>
    <hyperlink ref="B8" r:id="rId7" display="https://kase.kz/ru/investors/bonds/ALMSb1" xr:uid="{8E06D5B9-8987-44B3-AB60-0B4363833BDC}"/>
    <hyperlink ref="E8" r:id="rId8" display="https://kase.kz/ru/listing/issuers/ALMS" xr:uid="{FB7ACCBF-6D35-4527-BA37-414A05931B37}"/>
    <hyperlink ref="B9" r:id="rId9" display="https://kase.kz/ru/investors/mifs/BCCIbe" xr:uid="{7CC22F97-6DEF-48DD-8E05-6BEEB8256F88}"/>
    <hyperlink ref="E9" r:id="rId10" display="https://kase.kz/ru/listing/issuers/BCCI" xr:uid="{8E1D3166-0258-4307-A68C-223D93241161}"/>
    <hyperlink ref="B10" r:id="rId11" display="https://kase.kz/ru/investors/bonds/BIGDb5" xr:uid="{71DE86F1-9E59-4873-9AF4-4D9E1874ECFC}"/>
    <hyperlink ref="E10" r:id="rId12" display="https://kase.kz/ru/listing/issuers/BIGD" xr:uid="{424164C1-94D4-4E22-BDE3-DCCB03C7E524}"/>
    <hyperlink ref="B11" r:id="rId13" display="https://kase.kz/ru/investors/bonds/BRKZb19" xr:uid="{639892BE-B960-4F74-9E58-0C6DF15BE2D5}"/>
    <hyperlink ref="E11" r:id="rId14" display="https://kase.kz/ru/listing/issuers/BRKZ" xr:uid="{FA2CFEE5-93D8-41D9-9049-C8D6E61F7EB9}"/>
    <hyperlink ref="B12" r:id="rId15" display="https://kase.kz/ru/investors/bonds/BRKZe18" xr:uid="{7F882C23-BD3A-4038-9C33-E0B0830E2025}"/>
    <hyperlink ref="E12" r:id="rId16" display="https://kase.kz/ru/listing/issuers/BRKZ" xr:uid="{D4B4896F-9147-4F23-B512-68408764FBEC}"/>
    <hyperlink ref="B13" r:id="rId17" display="https://kase.kz/ru/investors/bonds/BRKZe4" xr:uid="{57058346-6FD7-492B-9E92-71E7C22692E5}"/>
    <hyperlink ref="E13" r:id="rId18" display="https://kase.kz/ru/listing/issuers/BRKZ" xr:uid="{3716B42F-B42E-4668-82C0-94BB0D9CEE95}"/>
    <hyperlink ref="B14" r:id="rId19" display="https://kase.kz/ru/investors/shares/CCBN" xr:uid="{B6CC4F77-2768-415E-95A1-71B9921D6BFB}"/>
    <hyperlink ref="E14" r:id="rId20" display="https://kase.kz/ru/listing/issuers/CCBN" xr:uid="{E493CE2E-F712-4C97-B044-4CC2F24ACB74}"/>
    <hyperlink ref="B15" r:id="rId21" display="https://kase.kz/ru/investors/shares/CCBNp" xr:uid="{CAE26DDF-F08F-4738-AC08-2290220D739A}"/>
    <hyperlink ref="E15" r:id="rId22" display="https://kase.kz/ru/listing/issuers/CCBN" xr:uid="{B114C357-1DC0-4D0A-A55C-AA2D80FE5FD6}"/>
    <hyperlink ref="B16" r:id="rId23" display="https://kase.kz/ru/investors/mifs/CSECfe" xr:uid="{95448943-1E1B-4B43-B915-3660526641E3}"/>
    <hyperlink ref="E16" r:id="rId24" display="https://kase.kz/ru/listing/issuers/CSEC" xr:uid="{BB67113C-04BF-423A-89A2-036B6DF309AE}"/>
    <hyperlink ref="B17" r:id="rId25" display="https://kase.kz/ru/investors/mifs/CSECtf" xr:uid="{492C2177-83FE-453C-89F6-9D38609E05CC}"/>
    <hyperlink ref="E17" r:id="rId26" display="https://kase.kz/ru/listing/issuers/CSEC" xr:uid="{D2731363-70D2-42F8-8096-F4CD99E3DC02}"/>
    <hyperlink ref="B18" r:id="rId27" display="https://kase.kz/ru/investors/bonds/EABRb40" xr:uid="{6259AB77-1362-484E-90DC-7FAC908021F9}"/>
    <hyperlink ref="E18" r:id="rId28" display="https://kase.kz/ru/listing/issuers/EABR" xr:uid="{84E0ED1D-5D00-4D67-9739-B9512E146C23}"/>
    <hyperlink ref="B19" r:id="rId29" display="https://kase.kz/ru/investors/bonds/EABRb42" xr:uid="{29EB8BE9-9B1C-4BD9-B35E-BAE1B8796651}"/>
    <hyperlink ref="E19" r:id="rId30" display="https://kase.kz/ru/listing/issuers/EABR" xr:uid="{95B40392-3C23-4442-A931-84A5A44E286F}"/>
    <hyperlink ref="B20" r:id="rId31" display="https://kase.kz/ru/investors/bonds/EABRb53" xr:uid="{2A041859-61C9-4AF9-8D2A-9C4AE447B90B}"/>
    <hyperlink ref="E20" r:id="rId32" display="https://kase.kz/ru/listing/issuers/EABR" xr:uid="{26114BBB-1204-4A0C-9736-8AD57217DD9A}"/>
    <hyperlink ref="B21" r:id="rId33" display="https://kase.kz/ru/investors/mifs/FFIN_or" xr:uid="{8EA114F9-49E0-49C5-A9D3-049639DAB8AA}"/>
    <hyperlink ref="E21" r:id="rId34" display="https://kase.kz/ru/listing/issuers/FFIN" xr:uid="{D8DCF26C-7A41-438A-9C2C-93029CAA681C}"/>
    <hyperlink ref="B22" r:id="rId35" display="https://kase.kz/ru/investors/mifs/FFINgw" xr:uid="{CC032757-7C7C-44E2-BB5D-C2FC9F88C389}"/>
    <hyperlink ref="E22" r:id="rId36" display="https://kase.kz/ru/listing/issuers/FFIN" xr:uid="{C127285A-56C5-42E6-BDEB-BE2D67EE6021}"/>
    <hyperlink ref="B23" r:id="rId37" display="https://kase.kz/ru/investors/mifs/FHJIag" xr:uid="{F96EC01B-AA55-41BE-B888-ABF91639E207}"/>
    <hyperlink ref="E23" r:id="rId38" display="https://kase.kz/ru/listing/issuers/FHJI" xr:uid="{C67880B1-AAB0-4307-B15D-36FC90EE9C1C}"/>
    <hyperlink ref="B24" r:id="rId39" display="https://kase.kz/ru/investors/mifs/FHJIpc" xr:uid="{0E42E8F0-2D42-4FB5-9CD8-E82F6D3B2E83}"/>
    <hyperlink ref="E24" r:id="rId40" display="https://kase.kz/ru/listing/issuers/FHJI" xr:uid="{02C00C71-4002-436C-8389-AD2F06CC33F8}"/>
    <hyperlink ref="B25" r:id="rId41" display="https://kase.kz/ru/investors/bonds/HCBNb9" xr:uid="{EE2162F6-9A13-43A1-9264-0747BAC71303}"/>
    <hyperlink ref="E25" r:id="rId42" display="https://kase.kz/ru/listing/issuers/HCBN" xr:uid="{3181B2FF-B36C-4EA4-930F-8A7635DA8C5F}"/>
    <hyperlink ref="B26" r:id="rId43" display="https://kase.kz/ru/investors/mifs/HFINhl" xr:uid="{1DB8C46D-E2D7-4999-AA3F-A44A954D7ADA}"/>
    <hyperlink ref="E26" r:id="rId44" display="https://kase.kz/ru/listing/issuers/HFIN" xr:uid="{12C3BD48-E3D6-4EE5-8961-B2B9B4394A29}"/>
    <hyperlink ref="B27" r:id="rId45" display="https://kase.kz/ru/investors/mifs/HFINhp" xr:uid="{03D1E01A-4977-4D12-9DB0-A5D219036876}"/>
    <hyperlink ref="E27" r:id="rId46" display="https://kase.kz/ru/listing/issuers/HFIN" xr:uid="{63AD492C-2C1D-4C2C-872C-C37B49C04DD9}"/>
    <hyperlink ref="B28" r:id="rId47" display="https://kase.kz/ru/investors/mifs/HFINhs" xr:uid="{2D94343E-3518-4A32-B00A-3F849951A91B}"/>
    <hyperlink ref="E28" r:id="rId48" display="https://kase.kz/ru/listing/issuers/HFIN" xr:uid="{3EC54BA8-43DC-47AA-B336-4CC19BDD7997}"/>
    <hyperlink ref="B29" r:id="rId49" display="https://kase.kz/ru/investors/mifs/HFINhv" xr:uid="{0DD847B4-9CB6-4EE9-8CFE-86C06F328D2C}"/>
    <hyperlink ref="E29" r:id="rId50" display="https://kase.kz/ru/listing/issuers/HFIN" xr:uid="{492CF950-F679-4278-A960-E7C3AE466575}"/>
    <hyperlink ref="B30" r:id="rId51" display="https://kase.kz/ru/investors/shares/HSBK" xr:uid="{3B8B976E-7BA5-48E4-A756-C3CC7A2BF81B}"/>
    <hyperlink ref="E30" r:id="rId52" display="https://kase.kz/ru/listing/issuers/HSBK" xr:uid="{0E550FF1-086E-401C-AF81-08982778C609}"/>
    <hyperlink ref="B31" r:id="rId53" display="https://kase.kz/ru/investors/depts/HSBKd" xr:uid="{4B1C5C66-677C-4542-8B14-21EEC5FE8899}"/>
    <hyperlink ref="E31" r:id="rId54" display="https://kase.kz/ru/listing/issuers/HSBK" xr:uid="{4D58AA7A-6902-488D-B5AD-FAE43D93B984}"/>
    <hyperlink ref="B32" r:id="rId55" display="https://kase.kz/ru/investors/shares/IFDR" xr:uid="{907B9A29-CADB-44DE-8943-0F3CB3467C3C}"/>
    <hyperlink ref="E32" r:id="rId56" display="https://kase.kz/ru/listing/issuers/TCIB" xr:uid="{16971961-94DB-4BE5-B251-DF4499FED080}"/>
    <hyperlink ref="B33" r:id="rId57" display="https://kase.kz/ru/investors/shares/KCEL" xr:uid="{C4B28E0A-00BB-4B92-AA46-812A2D3EE1FF}"/>
    <hyperlink ref="E33" r:id="rId58" display="https://kase.kz/ru/listing/issuers/KCEL" xr:uid="{F16B8E36-B572-4463-ABD8-D9ADA2AB09F4}"/>
    <hyperlink ref="B34" r:id="rId59" display="https://kase.kz/ru/investors/shares/KEGC" xr:uid="{AE352EBD-4BF8-44B0-9289-C348466786DD}"/>
    <hyperlink ref="E34" r:id="rId60" display="https://kase.kz/ru/listing/issuers/KEGC" xr:uid="{31FD3C78-9D1D-4415-A5BC-3512E166AFFE}"/>
    <hyperlink ref="B35" r:id="rId61" display="https://kase.kz/ru/investors/shares/KMGZ" xr:uid="{99A50127-E33A-443D-94DA-8887D7AF3B34}"/>
    <hyperlink ref="E35" r:id="rId62" display="https://kase.kz/ru/listing/issuers/KMGZ" xr:uid="{D44887C3-27E5-4ACF-956E-B99B22EAB49B}"/>
    <hyperlink ref="B36" r:id="rId63" display="https://kase.kz/ru/investors/bonds/KMGZe12" xr:uid="{13DFF2BD-A1EC-4D18-BFAD-0C8958CE2008}"/>
    <hyperlink ref="E36" r:id="rId64" display="https://kase.kz/ru/listing/issuers/KMGZ" xr:uid="{24C686FD-9584-4410-A97D-1747D44E2092}"/>
    <hyperlink ref="B37" r:id="rId65" display="https://kase.kz/ru/investors/bonds/KMGZe15" xr:uid="{EACA6855-B12D-4FF1-8512-877C2982BC78}"/>
    <hyperlink ref="E37" r:id="rId66" display="https://kase.kz/ru/listing/issuers/KMGZ" xr:uid="{5553A5AE-029F-4034-BB05-041222DB3FD4}"/>
    <hyperlink ref="B38" r:id="rId67" display="https://kase.kz/ru/investors/bonds/KMGZe16" xr:uid="{29D29A84-A316-42FD-9BA9-479A5B1AB587}"/>
    <hyperlink ref="E38" r:id="rId68" display="https://kase.kz/ru/listing/issuers/KMGZ" xr:uid="{212F966E-6937-4346-BB32-39A6D718F54C}"/>
    <hyperlink ref="B39" r:id="rId69" display="https://kase.kz/ru/investors/shares/KSPI" xr:uid="{16F7955A-C23C-4E5F-9DAF-E861BB990018}"/>
    <hyperlink ref="E39" r:id="rId70" display="https://kase.kz/ru/listing/issuers/KSPI" xr:uid="{D00CF2BF-A9FC-436A-935D-CFFCB1B32731}"/>
    <hyperlink ref="B40" r:id="rId71" display="https://kase.kz/ru/investors/depts/KSPId" xr:uid="{F517EA83-C9C1-41A7-AADC-C6B40EE8CBC7}"/>
    <hyperlink ref="E40" r:id="rId72" display="https://kase.kz/ru/listing/issuers/KSPI" xr:uid="{5967C715-382D-4FBA-A223-58FB1EE84E1E}"/>
    <hyperlink ref="B41" r:id="rId73" display="https://kase.kz/ru/investors/shares/KZAP" xr:uid="{44C8FD4C-A403-4F95-9C69-ED83EC03C506}"/>
    <hyperlink ref="E41" r:id="rId74" display="https://kase.kz/ru/listing/issuers/KZAP" xr:uid="{9149B310-E561-4401-A63E-B101F868489C}"/>
    <hyperlink ref="B42" r:id="rId75" display="https://kase.kz/ru/investors/bonds/KZTCb3" xr:uid="{8015C2F5-EF80-4437-A90D-810BAC5AE348}"/>
    <hyperlink ref="E42" r:id="rId76" display="https://kase.kz/ru/listing/issuers/KZTC" xr:uid="{5DEA9AC6-E80D-487A-973B-93894AF738A7}"/>
    <hyperlink ref="B43" r:id="rId77" display="https://kase.kz/ru/investors/shares/KZTK" xr:uid="{238CEE0B-214D-4680-AB68-08EF3796141D}"/>
    <hyperlink ref="E43" r:id="rId78" display="https://kase.kz/ru/listing/issuers/KZTK" xr:uid="{8DC03224-00B2-43F1-8C93-3C6B3FDE5018}"/>
    <hyperlink ref="B44" r:id="rId79" display="https://kase.kz/ru/investors/shares/KZTKp" xr:uid="{C3F5BED2-AA97-4ED4-87F1-4FE04E11EF6F}"/>
    <hyperlink ref="E44" r:id="rId80" display="https://kase.kz/ru/listing/issuers/KZTK" xr:uid="{871CDB4B-529E-4B46-A9E9-F3167C64BB4E}"/>
    <hyperlink ref="B45" r:id="rId81" display="https://kase.kz/ru/investors/shares/KZTO" xr:uid="{9CF61104-D788-44C8-9F49-D806BB659FBD}"/>
    <hyperlink ref="E45" r:id="rId82" display="https://kase.kz/ru/listing/issuers/KZTO" xr:uid="{97EA81AC-6D30-4203-89A5-3795136C72F2}"/>
    <hyperlink ref="B46" r:id="rId83" display="https://kase.kz/ru/investors/gsecs/KZ_23_3504" xr:uid="{FF238DCC-FA58-4A3F-A977-BB52554891EA}"/>
    <hyperlink ref="E46" r:id="rId84" display="https://kase.kz/ru/listing/issuers/MFRK" xr:uid="{66E7945C-A6F2-4E81-99E7-F4FD194785FD}"/>
    <hyperlink ref="B47" r:id="rId85" display="https://kase.kz/ru/investors/bonds/MFMOb10" xr:uid="{FF9E08A6-1F24-4895-8C7D-1699FB3E28FC}"/>
    <hyperlink ref="E47" r:id="rId86" display="https://kase.kz/ru/listing/issuers/MFMO" xr:uid="{EAF18CEB-2B3B-41B0-8754-F26DF447C34C}"/>
    <hyperlink ref="B48" r:id="rId87" display="https://kase.kz/ru/investors/bonds/MFMOb17" xr:uid="{1C86D081-C2A8-4C9A-9AE1-053C64307C47}"/>
    <hyperlink ref="E48" r:id="rId88" display="https://kase.kz/ru/listing/issuers/MFMO" xr:uid="{9AC58E4D-67D9-49BD-9F33-637E815F3235}"/>
    <hyperlink ref="B49" r:id="rId89" display="https://kase.kz/ru/investors/bonds/MFMOb23" xr:uid="{CB1E324F-E5D2-41FA-BE86-B91B5FB1F279}"/>
    <hyperlink ref="E49" r:id="rId90" display="https://kase.kz/ru/listing/issuers/MFMO" xr:uid="{9329E19B-375C-45FD-8037-7862F05E1F78}"/>
    <hyperlink ref="B50" r:id="rId91" display="https://kase.kz/ru/investors/bonds/MFMOb28" xr:uid="{30D0B470-6F8D-4E92-9BAF-B1F7A2AAFFB2}"/>
    <hyperlink ref="E50" r:id="rId92" display="https://kase.kz/ru/listing/issuers/MFMO" xr:uid="{20C6FD5D-EA67-4556-A6AE-C7B636623B0E}"/>
    <hyperlink ref="B51" r:id="rId93" display="https://kase.kz/ru/investors/bonds/MFOKb16" xr:uid="{FCD8C742-A24D-4564-B3AC-ADF7B9E8964C}"/>
    <hyperlink ref="E51" r:id="rId94" display="https://kase.kz/ru/listing/issuers/MFOK" xr:uid="{8CD4BDA4-85C8-4C88-AEB7-E34E0A40BE15}"/>
    <hyperlink ref="B52" r:id="rId95" display="https://kase.kz/ru/investors/bonds/MFOKb18" xr:uid="{7267C06D-F4AC-46A9-B576-E41227259035}"/>
    <hyperlink ref="E52" r:id="rId96" display="https://kase.kz/ru/listing/issuers/MFOK" xr:uid="{6F83377C-4397-4224-BF2F-70FC55A9A95D}"/>
    <hyperlink ref="B53" r:id="rId97" display="https://kase.kz/ru/investors/bonds/MFOKb19" xr:uid="{B92DFFE1-D780-45CE-BD77-2C99E69E55EE}"/>
    <hyperlink ref="E53" r:id="rId98" display="https://kase.kz/ru/listing/issuers/MFOK" xr:uid="{54592041-03C4-4FD8-8468-0DEA648C3EE8}"/>
    <hyperlink ref="B54" r:id="rId99" display="https://kase.kz/ru/investors/bonds/MFOKb20" xr:uid="{6C6C5268-7CD9-4165-9749-A5EE52F63BA9}"/>
    <hyperlink ref="E54" r:id="rId100" display="https://kase.kz/ru/listing/issuers/MFOK" xr:uid="{C8D7399B-7116-426C-8512-9F041AC0361C}"/>
    <hyperlink ref="B55" r:id="rId101" display="https://kase.kz/ru/investors/bonds/MFOKb21" xr:uid="{E5BE0963-7104-4E0F-AE09-219B8D72ABE8}"/>
    <hyperlink ref="E55" r:id="rId102" display="https://kase.kz/ru/listing/issuers/MFOK" xr:uid="{B0F17553-A9E9-4F31-8C35-013B661D1CF9}"/>
    <hyperlink ref="B56" r:id="rId103" display="https://kase.kz/ru/investors/bonds/MFOKb22" xr:uid="{F8D839E9-41D9-40E5-9983-17201DA3F719}"/>
    <hyperlink ref="E56" r:id="rId104" display="https://kase.kz/ru/listing/issuers/MFOK" xr:uid="{3CAEB077-B425-44C9-97E1-9B9983A91641}"/>
    <hyperlink ref="B57" r:id="rId105" display="https://kase.kz/ru/investors/bonds/MFOKb24" xr:uid="{D6B83C1D-E8C9-4F03-9B0C-3A0272B97AA2}"/>
    <hyperlink ref="E57" r:id="rId106" display="https://kase.kz/ru/listing/issuers/MFOK" xr:uid="{F12714AC-6A2F-48A4-8F50-FDCC4460A4CA}"/>
    <hyperlink ref="B58" r:id="rId107" display="https://kase.kz/ru/investors/bonds/MFOKb25" xr:uid="{C2E298F6-DA51-4DC9-985F-B3AB11CFF49F}"/>
    <hyperlink ref="E58" r:id="rId108" display="https://kase.kz/ru/listing/issuers/MFOK" xr:uid="{0E8D11FE-DF96-4826-A0C9-5731101151B2}"/>
    <hyperlink ref="B59" r:id="rId109" display="https://kase.kz/ru/investors/bonds/MFOKb26" xr:uid="{826325BC-44A5-49A3-8A9D-2788A6CF6A50}"/>
    <hyperlink ref="E59" r:id="rId110" display="https://kase.kz/ru/listing/issuers/MFOK" xr:uid="{6EB6B48E-A639-4254-8A1E-B1E501A414FB}"/>
    <hyperlink ref="B60" r:id="rId111" display="https://kase.kz/ru/investors/bonds/MFRFb12" xr:uid="{2F513F01-D1B8-4F49-B486-A87D90B9EBD9}"/>
    <hyperlink ref="E60" r:id="rId112" display="https://kase.kz/ru/listing/issuers/MFRF" xr:uid="{95E5368C-0764-46ED-92A8-B0F75EDB9C32}"/>
    <hyperlink ref="B61" r:id="rId113" display="https://kase.kz/ru/investors/bonds/MFRFb13" xr:uid="{EF0703C2-E4F4-4BAE-9EDA-E58FE86B5C31}"/>
    <hyperlink ref="E61" r:id="rId114" display="https://kase.kz/ru/listing/issuers/MFRF" xr:uid="{5ADDCAC3-7879-4AAA-A74B-AABA9C3BD233}"/>
    <hyperlink ref="B62" r:id="rId115" display="https://kase.kz/ru/investors/bonds/MFRFb14" xr:uid="{2B281FA9-4082-4CCD-ADEE-6CD5F3587B98}"/>
    <hyperlink ref="E62" r:id="rId116" display="https://kase.kz/ru/listing/issuers/MFRF" xr:uid="{E67E8187-C96F-417C-B4A8-560D504706DC}"/>
    <hyperlink ref="B63" r:id="rId117" display="https://kase.kz/ru/investors/bonds/MFRFb19" xr:uid="{BE67B477-105D-431F-BAC2-6CF105AABEED}"/>
    <hyperlink ref="E63" r:id="rId118" display="https://kase.kz/ru/listing/issuers/MFRF" xr:uid="{1CCA8419-45F3-4713-93E5-7EA689B88DC3}"/>
    <hyperlink ref="B64" r:id="rId119" display="https://kase.kz/ru/investors/bonds/MFSCb4" xr:uid="{D09599B0-AC48-4E2F-8EB6-9A397DB7B220}"/>
    <hyperlink ref="E64" r:id="rId120" display="https://kase.kz/ru/listing/issuers/MFSC" xr:uid="{477E4194-3F0F-43FF-9843-50AD8B3A1AA7}"/>
    <hyperlink ref="B65" r:id="rId121" display="https://kase.kz/ru/investors/bonds/MFTSb3" xr:uid="{C41E34E9-9142-47CB-9548-8796B1662B20}"/>
    <hyperlink ref="E65" r:id="rId122" display="https://kase.kz/ru/listing/issuers/MFTS" xr:uid="{A88911D4-0A5E-4418-97DE-A45896DF0674}"/>
    <hyperlink ref="B66" r:id="rId123" display="https://kase.kz/ru/investors/gsecs/MKM012_0159" xr:uid="{9B86D7DC-3885-4C28-9CD8-DEFAA5541467}"/>
    <hyperlink ref="E66" r:id="rId124" display="https://kase.kz/ru/listing/issuers/MFRK" xr:uid="{10DD0E7B-C4C4-4D4F-A20E-989A350FAFE1}"/>
    <hyperlink ref="B67" r:id="rId125" display="https://kase.kz/ru/investors/gsecs/MKM012_0160" xr:uid="{E853BB3F-8AE3-4C57-85FA-A162DD0D628B}"/>
    <hyperlink ref="E67" r:id="rId126" display="https://kase.kz/ru/listing/issuers/MFRK" xr:uid="{D2126399-BB54-436F-8B99-CD8FAE8BC86C}"/>
    <hyperlink ref="B68" r:id="rId127" display="https://kase.kz/ru/investors/gsecs/MKM012_0161" xr:uid="{7AD5E79E-4723-4122-A9D0-85400CED02D2}"/>
    <hyperlink ref="E68" r:id="rId128" display="https://kase.kz/ru/listing/issuers/MFRK" xr:uid="{8319AB70-8049-4E7C-932D-A8521BC84357}"/>
    <hyperlink ref="B69" r:id="rId129" display="https://kase.kz/ru/investors/gsecs/MOM048_0052" xr:uid="{D46EC242-AFD3-4A29-8BF7-9DCA83C80DEB}"/>
    <hyperlink ref="E69" r:id="rId130" display="https://kase.kz/ru/listing/issuers/MFRK" xr:uid="{247558E7-96D5-4E08-9033-113BC7CD590D}"/>
    <hyperlink ref="B70" r:id="rId131" display="https://kase.kz/ru/investors/gsecs/MOM048_0053" xr:uid="{9A7887DE-DDB0-459F-8A34-4FEAE2DC477A}"/>
    <hyperlink ref="E70" r:id="rId132" display="https://kase.kz/ru/listing/issuers/MFRK" xr:uid="{999057E3-576B-48DD-A3BC-C21619A0C5A9}"/>
    <hyperlink ref="B71" r:id="rId133" display="https://kase.kz/ru/investors/gsecs/MOM048_0054" xr:uid="{7EF26A5B-0A38-473B-8255-3B3D9D1FCF3F}"/>
    <hyperlink ref="E71" r:id="rId134" display="https://kase.kz/ru/listing/issuers/MFRK" xr:uid="{C13D447F-8BDC-4E3C-A142-69D663190BA4}"/>
    <hyperlink ref="B72" r:id="rId135" display="https://kase.kz/ru/investors/gsecs/MOM060_0052" xr:uid="{4FFB76BE-6759-4C24-A193-A3CA76E0D19D}"/>
    <hyperlink ref="E72" r:id="rId136" display="https://kase.kz/ru/listing/issuers/MFRK" xr:uid="{B1E28F91-D12D-46DA-87C5-681689B48837}"/>
    <hyperlink ref="B73" r:id="rId137" display="https://kase.kz/ru/investors/gsecs/MOM060_0054" xr:uid="{E05295EA-91CF-45A3-899D-9BE2B327BDC0}"/>
    <hyperlink ref="E73" r:id="rId138" display="https://kase.kz/ru/listing/issuers/MFRK" xr:uid="{5FD6C324-D312-42AC-8E36-E54DF69D61A1}"/>
    <hyperlink ref="B74" r:id="rId139" display="https://kase.kz/ru/investors/gsecs/MTM036_0001" xr:uid="{7C52D1DE-DEF6-47C9-A907-CE59A39A94DF}"/>
    <hyperlink ref="E74" r:id="rId140" display="https://kase.kz/ru/listing/issuers/MFRK" xr:uid="{607FD892-818E-4184-A9D8-FF696543566E}"/>
    <hyperlink ref="B75" r:id="rId141" display="https://kase.kz/ru/investors/gsecs/MTM048_0001" xr:uid="{BE671403-0DC1-4BCF-86D0-488372C146AF}"/>
    <hyperlink ref="E75" r:id="rId142" display="https://kase.kz/ru/listing/issuers/MFRK" xr:uid="{1DF7D330-D506-4763-90EC-8F4C9577C3D5}"/>
    <hyperlink ref="B76" r:id="rId143" display="https://kase.kz/ru/investors/gsecs/MTM060_0001" xr:uid="{AB0993EA-D0DE-4893-B4B3-CEA37914661D}"/>
    <hyperlink ref="E76" r:id="rId144" display="https://kase.kz/ru/listing/issuers/MFRK" xr:uid="{D6F9B47D-4756-4BEC-A30A-DFB2229D1107}"/>
    <hyperlink ref="B77" r:id="rId145" display="https://kase.kz/ru/investors/gsecs/MTM072_0001" xr:uid="{126EA0DB-9268-4D46-9D2D-A392052D0313}"/>
    <hyperlink ref="E77" r:id="rId146" display="https://kase.kz/ru/listing/issuers/MFRK" xr:uid="{BFE486F7-B205-4645-8DE2-F6C3961DF323}"/>
    <hyperlink ref="B78" r:id="rId147" display="https://kase.kz/ru/investors/gsecs/MTM084_0001" xr:uid="{C8DD43F0-693D-4DCA-A474-AC1A9F0B6266}"/>
    <hyperlink ref="E78" r:id="rId148" display="https://kase.kz/ru/listing/issuers/MFRK" xr:uid="{FA0E725D-BA65-46E7-8D89-78F812B33B80}"/>
    <hyperlink ref="B79" r:id="rId149" display="https://kase.kz/ru/investors/gsecs/MTM096_0001" xr:uid="{2A5C578E-8BF1-432B-8385-DE614603370C}"/>
    <hyperlink ref="E79" r:id="rId150" display="https://kase.kz/ru/listing/issuers/MFRK" xr:uid="{A035F7A4-F3B6-44DF-9954-8A2F7854C9A2}"/>
    <hyperlink ref="B80" r:id="rId151" display="https://kase.kz/ru/investors/gsecs/MUJ144_0005" xr:uid="{406EDD40-7E7F-4406-84E4-723143075D84}"/>
    <hyperlink ref="E80" r:id="rId152" display="https://kase.kz/ru/listing/issuers/MFRK" xr:uid="{BC58BF09-0E0F-4586-9513-68F16F28F76F}"/>
    <hyperlink ref="B81" r:id="rId153" display="https://kase.kz/ru/investors/gsecs/MUJ156_0004" xr:uid="{CE3CD184-8FA6-4C5D-97B9-71558BF432DA}"/>
    <hyperlink ref="E81" r:id="rId154" display="https://kase.kz/ru/listing/issuers/MFRK" xr:uid="{257B63BB-266A-4F96-8C91-FD445C327C4A}"/>
    <hyperlink ref="B82" r:id="rId155" display="https://kase.kz/ru/investors/gsecs/MUJ168_0004" xr:uid="{997C8B2F-3F13-4E77-907C-53C0ABC55D9F}"/>
    <hyperlink ref="E82" r:id="rId156" display="https://kase.kz/ru/listing/issuers/MFRK" xr:uid="{90F05F52-D0C5-43F8-AA30-EB8460801A92}"/>
    <hyperlink ref="B83" r:id="rId157" display="https://kase.kz/ru/investors/gsecs/MUJ168_0005" xr:uid="{F70E0981-88AF-470A-B38E-C2EE4843740A}"/>
    <hyperlink ref="E83" r:id="rId158" display="https://kase.kz/ru/listing/issuers/MFRK" xr:uid="{AB124D82-C0BA-4B4F-A480-CD7E38A92B56}"/>
    <hyperlink ref="B84" r:id="rId159" display="https://kase.kz/ru/investors/gsecs/MUJ180_0007" xr:uid="{5E167390-EB2C-4ABF-BFEC-F52BDC701592}"/>
    <hyperlink ref="E84" r:id="rId160" display="https://kase.kz/ru/listing/issuers/MFRK" xr:uid="{6C701529-1396-4456-ACAA-7B4F9997119B}"/>
    <hyperlink ref="B85" r:id="rId161" display="https://kase.kz/ru/investors/gsecs/MUJ180_0008" xr:uid="{7F29EFF0-BCEC-44EF-A108-480835DF3BD3}"/>
    <hyperlink ref="E85" r:id="rId162" display="https://kase.kz/ru/listing/issuers/MFRK" xr:uid="{7A9525AA-3BB2-4614-AA4C-36153FB06BEC}"/>
    <hyperlink ref="B86" r:id="rId163" display="https://kase.kz/ru/investors/gsecs/MUJ192_0002" xr:uid="{9245E431-F0B9-4606-8F0B-88C9B909E57D}"/>
    <hyperlink ref="E86" r:id="rId164" display="https://kase.kz/ru/listing/issuers/MFRK" xr:uid="{D8DCFB80-1947-489C-88B0-8524246334FA}"/>
    <hyperlink ref="B87" r:id="rId165" display="https://kase.kz/ru/investors/gsecs/MUJ192_0003" xr:uid="{AF9C9F8B-8173-4483-B98B-261400FA9313}"/>
    <hyperlink ref="E87" r:id="rId166" display="https://kase.kz/ru/listing/issuers/MFRK" xr:uid="{91C4367C-603C-4A8D-81C4-421892038A92}"/>
    <hyperlink ref="B88" r:id="rId167" display="https://kase.kz/ru/investors/gsecs/MUJ192_0004" xr:uid="{662FC2E5-3ABC-4DB0-86E9-89F82A4DD981}"/>
    <hyperlink ref="E88" r:id="rId168" display="https://kase.kz/ru/listing/issuers/MFRK" xr:uid="{90374048-E372-4B89-B6B6-4C86D3978F95}"/>
    <hyperlink ref="B89" r:id="rId169" display="https://kase.kz/ru/investors/gsecs/MUJ204_0001" xr:uid="{6B1A9CE7-DCCE-4C53-8EFF-3E2F0DE42622}"/>
    <hyperlink ref="E89" r:id="rId170" display="https://kase.kz/ru/listing/issuers/MFRK" xr:uid="{F679468F-F5BB-4F22-9891-7570BD36ACEA}"/>
    <hyperlink ref="B90" r:id="rId171" display="https://kase.kz/ru/investors/gsecs/MUJ204_0002" xr:uid="{6EC89BDC-F70D-4270-BBCE-D93D593005C2}"/>
    <hyperlink ref="E90" r:id="rId172" display="https://kase.kz/ru/listing/issuers/MFRK" xr:uid="{82591A94-38F1-471F-840A-C15AF911D4BF}"/>
    <hyperlink ref="B91" r:id="rId173" display="https://kase.kz/ru/investors/gsecs/MUJ204_0003" xr:uid="{A6111E13-CCCF-4E49-9F82-311C5AC4E70D}"/>
    <hyperlink ref="E91" r:id="rId174" display="https://kase.kz/ru/listing/issuers/MFRK" xr:uid="{808D835C-8E3E-4D03-92DD-DD5069AB8890}"/>
    <hyperlink ref="B92" r:id="rId175" display="https://kase.kz/ru/investors/gsecs/MUJ204_0004" xr:uid="{26F4B411-275F-4BB1-9F78-62F46DBB9539}"/>
    <hyperlink ref="E92" r:id="rId176" display="https://kase.kz/ru/listing/issuers/MFRK" xr:uid="{A784ABC7-728F-43F8-9E12-D68FB95E1E2D}"/>
    <hyperlink ref="B93" r:id="rId177" display="https://kase.kz/ru/investors/gsecs/MUJ204_0005" xr:uid="{8B251622-2CA5-4A04-B922-450F607DEE03}"/>
    <hyperlink ref="E93" r:id="rId178" display="https://kase.kz/ru/listing/issuers/MFRK" xr:uid="{C82ED17F-763D-4548-B7AD-431B46CEDECF}"/>
    <hyperlink ref="B94" r:id="rId179" display="https://kase.kz/ru/investors/gsecs/MUJ204_0006" xr:uid="{65574258-3E73-498A-B070-1F035816F490}"/>
    <hyperlink ref="E94" r:id="rId180" display="https://kase.kz/ru/listing/issuers/MFRK" xr:uid="{6E328B9A-B784-4F46-9F9C-1ED42EF3E097}"/>
    <hyperlink ref="B95" r:id="rId181" display="https://kase.kz/ru/investors/gsecs/MUJ216_0001" xr:uid="{33060FCB-240A-49F6-8ABF-5869CCA88477}"/>
    <hyperlink ref="E95" r:id="rId182" display="https://kase.kz/ru/listing/issuers/MFRK" xr:uid="{1FED19F8-2584-41A4-9DD1-14F172DD62CF}"/>
    <hyperlink ref="B96" r:id="rId183" display="https://kase.kz/ru/investors/gsecs/MUJ216_0002" xr:uid="{E4F8DEB0-0FD4-4CC6-BAB4-98A03023FB49}"/>
    <hyperlink ref="E96" r:id="rId184" display="https://kase.kz/ru/listing/issuers/MFRK" xr:uid="{AD082B31-A26F-46A4-9355-537E54F50C12}"/>
    <hyperlink ref="B97" r:id="rId185" display="https://kase.kz/ru/investors/gsecs/MUJ216_0003" xr:uid="{EA078AAE-1296-4FED-A99A-610DDB39CEE5}"/>
    <hyperlink ref="E97" r:id="rId186" display="https://kase.kz/ru/listing/issuers/MFRK" xr:uid="{59839CC1-CD60-41F9-AD56-BD92D0B93EDD}"/>
    <hyperlink ref="B98" r:id="rId187" display="https://kase.kz/ru/investors/gsecs/MUJ216_0004" xr:uid="{6E2BFCEE-4885-46F0-85E6-C119E9F50AEB}"/>
    <hyperlink ref="E98" r:id="rId188" display="https://kase.kz/ru/listing/issuers/MFRK" xr:uid="{1BC34FB5-938B-4277-BBFD-09C4A7301991}"/>
    <hyperlink ref="B99" r:id="rId189" display="https://kase.kz/ru/investors/gsecs/MUJ216_0005" xr:uid="{B63FDA21-929F-4EB5-B006-9556CA38077F}"/>
    <hyperlink ref="E99" r:id="rId190" display="https://kase.kz/ru/listing/issuers/MFRK" xr:uid="{8090A50B-E029-4C38-B155-CAD647404DFB}"/>
    <hyperlink ref="B100" r:id="rId191" display="https://kase.kz/ru/investors/gsecs/MUJ228_0001" xr:uid="{999F758F-B61D-43D7-BA15-169A5B20FCA1}"/>
    <hyperlink ref="E100" r:id="rId192" display="https://kase.kz/ru/listing/issuers/MFRK" xr:uid="{1126625C-C042-41A5-96BB-1447ED374E8D}"/>
    <hyperlink ref="B101" r:id="rId193" display="https://kase.kz/ru/investors/gsecs/MUJ228_0002" xr:uid="{98F898F7-9538-45BF-B0ED-F0209C6908BC}"/>
    <hyperlink ref="E101" r:id="rId194" display="https://kase.kz/ru/listing/issuers/MFRK" xr:uid="{BCD8874E-BAD6-40F8-B48D-CCC6C68441AC}"/>
    <hyperlink ref="B102" r:id="rId195" display="https://kase.kz/ru/investors/gsecs/MUJ228_0003" xr:uid="{92E4DAB0-D4D0-4B61-846D-3636F17AF43B}"/>
    <hyperlink ref="E102" r:id="rId196" display="https://kase.kz/ru/listing/issuers/MFRK" xr:uid="{3A7EAC6E-3E17-4AFE-A2AD-7F5462B663C8}"/>
    <hyperlink ref="B103" r:id="rId197" display="https://kase.kz/ru/investors/gsecs/MUJ228_0004" xr:uid="{D3797542-0144-4D05-B76D-DE2CC9C5787F}"/>
    <hyperlink ref="E103" r:id="rId198" display="https://kase.kz/ru/listing/issuers/MFRK" xr:uid="{90775326-6926-4049-BC23-B0F2B1233CC1}"/>
    <hyperlink ref="B104" r:id="rId199" display="https://kase.kz/ru/investors/gsecs/MUJ228_0005" xr:uid="{9E11ECD7-8589-4BD1-9F95-D27B1AF39247}"/>
    <hyperlink ref="E104" r:id="rId200" display="https://kase.kz/ru/listing/issuers/MFRK" xr:uid="{9E0DBBC5-5D4F-49A1-8C6B-069F8158309D}"/>
    <hyperlink ref="B105" r:id="rId201" display="https://kase.kz/ru/investors/gsecs/MUJ228_0006" xr:uid="{46900EAD-806D-4E0F-B8D3-954FB554430E}"/>
    <hyperlink ref="E105" r:id="rId202" display="https://kase.kz/ru/listing/issuers/MFRK" xr:uid="{932C2EDA-EB61-476D-834A-A23A04504F82}"/>
    <hyperlink ref="B106" r:id="rId203" display="https://kase.kz/ru/investors/gsecs/MUJ240_0001" xr:uid="{4A690232-99CE-4B9B-BF4B-DAD21F11363A}"/>
    <hyperlink ref="E106" r:id="rId204" display="https://kase.kz/ru/listing/issuers/MFRK" xr:uid="{BDC82CD1-127B-47CB-A709-05124FC818B1}"/>
    <hyperlink ref="B107" r:id="rId205" display="https://kase.kz/ru/investors/gsecs/MUM072_0013" xr:uid="{34C04640-81D2-4277-B4FB-613E4583CB3B}"/>
    <hyperlink ref="E107" r:id="rId206" display="https://kase.kz/ru/listing/issuers/MFRK" xr:uid="{83D88BC8-E72E-47F3-8362-191A026D0666}"/>
    <hyperlink ref="B108" r:id="rId207" display="https://kase.kz/ru/investors/gsecs/MUM072_0014" xr:uid="{00B123FB-3440-4248-967A-17F5601324BA}"/>
    <hyperlink ref="E108" r:id="rId208" display="https://kase.kz/ru/listing/issuers/MFRK" xr:uid="{236AE878-D7FD-4C45-9115-8FED5FB5C1E4}"/>
    <hyperlink ref="B109" r:id="rId209" display="https://kase.kz/ru/investors/gsecs/MUM072_0015" xr:uid="{A7C9406E-CC2C-4081-8052-0BB5FA27083B}"/>
    <hyperlink ref="E109" r:id="rId210" display="https://kase.kz/ru/listing/issuers/MFRK" xr:uid="{407972FE-036E-4AB6-B14C-F98BE9204A09}"/>
    <hyperlink ref="B110" r:id="rId211" display="https://kase.kz/ru/investors/gsecs/MUM084_0018" xr:uid="{C4DD8249-0421-4A2D-9F99-41FC52EDA7F5}"/>
    <hyperlink ref="E110" r:id="rId212" display="https://kase.kz/ru/listing/issuers/MFRK" xr:uid="{5BB47F9F-FEC8-402E-A624-A0A5FA5A8905}"/>
    <hyperlink ref="B111" r:id="rId213" display="https://kase.kz/ru/investors/gsecs/MUM084_0019" xr:uid="{F9AAF5BE-958C-48CE-911F-77E4CDF0EC1B}"/>
    <hyperlink ref="E111" r:id="rId214" display="https://kase.kz/ru/listing/issuers/MFRK" xr:uid="{4BA8446E-2D60-4BB2-9CD7-8F70151E0236}"/>
    <hyperlink ref="B112" r:id="rId215" display="https://kase.kz/ru/investors/gsecs/MUM084_0020" xr:uid="{3299618F-79CF-46B7-993D-A2E942CC54B0}"/>
    <hyperlink ref="E112" r:id="rId216" display="https://kase.kz/ru/listing/issuers/MFRK" xr:uid="{CCFDCF30-8D36-4FC2-AFF3-F571E1BD249A}"/>
    <hyperlink ref="B113" r:id="rId217" display="https://kase.kz/ru/investors/gsecs/MUM096_0011" xr:uid="{77E87B4D-962F-4D6E-9F57-EE8B594DBBAA}"/>
    <hyperlink ref="E113" r:id="rId218" display="https://kase.kz/ru/listing/issuers/MFRK" xr:uid="{78CF440E-A9BB-4741-81B2-065757578A89}"/>
    <hyperlink ref="B114" r:id="rId219" display="https://kase.kz/ru/investors/gsecs/MUM096_0012" xr:uid="{6CE2FB10-0B6E-4C0D-B458-71B15567F9CB}"/>
    <hyperlink ref="E114" r:id="rId220" display="https://kase.kz/ru/listing/issuers/MFRK" xr:uid="{CF49EEBC-B227-48EE-A2DC-9D1526F4F56C}"/>
    <hyperlink ref="B115" r:id="rId221" display="https://kase.kz/ru/investors/gsecs/MUM096_0013" xr:uid="{320F0D00-717B-4D6B-8603-5CB3AB57A8A1}"/>
    <hyperlink ref="E115" r:id="rId222" display="https://kase.kz/ru/listing/issuers/MFRK" xr:uid="{9704FC5F-AA60-4545-A24B-6461DCB5CD2B}"/>
    <hyperlink ref="B116" r:id="rId223" display="https://kase.kz/ru/investors/gsecs/MUM096_0014" xr:uid="{CA03AE18-5B8E-4FB5-B3EE-3F029BAEF39A}"/>
    <hyperlink ref="E116" r:id="rId224" display="https://kase.kz/ru/listing/issuers/MFRK" xr:uid="{E0A3EDDB-EA15-4BD0-973B-436C8B75F454}"/>
    <hyperlink ref="B117" r:id="rId225" display="https://kase.kz/ru/investors/gsecs/MUM096_0015" xr:uid="{F15CB614-BFE1-4A1A-BF6C-A0C8B797DF30}"/>
    <hyperlink ref="E117" r:id="rId226" display="https://kase.kz/ru/listing/issuers/MFRK" xr:uid="{DAB78A81-F8A4-4CF9-AAC9-A66BFC1B1834}"/>
    <hyperlink ref="B118" r:id="rId227" display="https://kase.kz/ru/investors/gsecs/MUM108_0012" xr:uid="{FAFB6B19-D3B7-4241-A0C1-EB4850901BAC}"/>
    <hyperlink ref="E118" r:id="rId228" display="https://kase.kz/ru/listing/issuers/MFRK" xr:uid="{9A48DA2A-BBDF-466C-AEC6-5D79A9190344}"/>
    <hyperlink ref="B119" r:id="rId229" display="https://kase.kz/ru/investors/gsecs/MUM108_0013" xr:uid="{4F522F95-43A7-4630-9FBF-6312D5A31940}"/>
    <hyperlink ref="E119" r:id="rId230" display="https://kase.kz/ru/listing/issuers/MFRK" xr:uid="{4FD7F9F8-425A-46A0-8D8F-09EA210C2C18}"/>
    <hyperlink ref="B120" r:id="rId231" display="https://kase.kz/ru/investors/gsecs/MUM108_0014" xr:uid="{A3567308-34D3-46B9-A391-35B1042EE29E}"/>
    <hyperlink ref="E120" r:id="rId232" display="https://kase.kz/ru/listing/issuers/MFRK" xr:uid="{A1B8AF6C-BDF0-46ED-BBEB-DF94221A9F43}"/>
    <hyperlink ref="B121" r:id="rId233" display="https://kase.kz/ru/investors/gsecs/MUM108_0015" xr:uid="{CFB8F4A8-1E28-46A3-8A88-F82D9224D8C3}"/>
    <hyperlink ref="E121" r:id="rId234" display="https://kase.kz/ru/listing/issuers/MFRK" xr:uid="{BE1C99A5-61E1-49C8-A403-A51942A5BA7C}"/>
    <hyperlink ref="B122" r:id="rId235" display="https://kase.kz/ru/investors/gsecs/MUM120_0017" xr:uid="{30798D74-0EC2-4870-8485-F2F6B76A05DD}"/>
    <hyperlink ref="E122" r:id="rId236" display="https://kase.kz/ru/listing/issuers/MFRK" xr:uid="{C1111DE5-7360-4562-84BF-A27ABDFBCD10}"/>
    <hyperlink ref="B123" r:id="rId237" display="https://kase.kz/ru/investors/gsecs/MUM120_0018" xr:uid="{A57859C5-7341-4FD8-A122-DB41DD910BAC}"/>
    <hyperlink ref="E123" r:id="rId238" display="https://kase.kz/ru/listing/issuers/MFRK" xr:uid="{974F205E-ACAF-484C-A0B1-1BAD47B8D5E8}"/>
    <hyperlink ref="B124" r:id="rId239" display="https://kase.kz/ru/investors/gsecs/MUM120_0019" xr:uid="{87C78179-A51F-4D0C-83D2-2303258D40CA}"/>
    <hyperlink ref="E124" r:id="rId240" display="https://kase.kz/ru/listing/issuers/MFRK" xr:uid="{FC4EF549-4954-4636-84EF-EBE4F0649535}"/>
    <hyperlink ref="B125" r:id="rId241" display="https://kase.kz/ru/investors/gsecs/MUM120_0020" xr:uid="{FCEB3F62-CAF0-40F7-BD1F-0A4C703A9C34}"/>
    <hyperlink ref="E125" r:id="rId242" display="https://kase.kz/ru/listing/issuers/MFRK" xr:uid="{252716F4-16CC-4AEF-BF85-F9532F8FF9BD}"/>
    <hyperlink ref="B126" r:id="rId243" display="https://kase.kz/ru/investors/gsecs/MUM132_0007" xr:uid="{6207C0FB-3A4C-4988-9BCD-AE85D0ABA429}"/>
    <hyperlink ref="E126" r:id="rId244" display="https://kase.kz/ru/listing/issuers/MFRK" xr:uid="{75DF2E4F-AB77-4283-B095-ACD1C5A5F08A}"/>
    <hyperlink ref="B127" r:id="rId245" display="https://kase.kz/ru/investors/gsecs/MUM144_0006" xr:uid="{F55FFEE1-9FF5-4682-B816-48CCB8B7BE5D}"/>
    <hyperlink ref="E127" r:id="rId246" display="https://kase.kz/ru/listing/issuers/MFRK" xr:uid="{CDC78844-4DDD-4A18-B718-5AD8526F7F30}"/>
    <hyperlink ref="B128" r:id="rId247" display="https://kase.kz/ru/investors/gsecs/MUM144_0009" xr:uid="{ED710B9A-71DA-4B14-8F14-0F8B82F21E56}"/>
    <hyperlink ref="E128" r:id="rId248" display="https://kase.kz/ru/listing/issuers/MFRK" xr:uid="{76A30B4E-6443-4D51-A0AA-A170A52ECEF6}"/>
    <hyperlink ref="B129" r:id="rId249" display="https://kase.kz/ru/investors/gsecs/MUM156_0005" xr:uid="{FDA98BBC-AA0F-4DEF-8F75-222EB7A3CA99}"/>
    <hyperlink ref="E129" r:id="rId250" display="https://kase.kz/ru/listing/issuers/MFRK" xr:uid="{69F42715-9986-45BD-A85C-9E0B99BAE6C2}"/>
    <hyperlink ref="B130" r:id="rId251" display="https://kase.kz/ru/investors/gsecs/MUM156_0006" xr:uid="{94E85897-3CD4-44B1-A439-F34A6C762E7F}"/>
    <hyperlink ref="E130" r:id="rId252" display="https://kase.kz/ru/listing/issuers/MFRK" xr:uid="{1AC540C4-42F7-44E7-8F1F-FA20E0FC1E69}"/>
    <hyperlink ref="B131" r:id="rId253" display="https://kase.kz/ru/investors/gsecs/MUM156_0007" xr:uid="{91A5B3DC-8759-4B83-82F7-BC3062446B00}"/>
    <hyperlink ref="E131" r:id="rId254" display="https://kase.kz/ru/listing/issuers/MFRK" xr:uid="{2F2B316B-4530-4811-9177-9995D5336C87}"/>
    <hyperlink ref="B132" r:id="rId255" display="https://kase.kz/ru/investors/gsecs/MUM156_0008" xr:uid="{F603F666-7DB7-489A-AB78-B2FCD5F113B5}"/>
    <hyperlink ref="E132" r:id="rId256" display="https://kase.kz/ru/listing/issuers/MFRK" xr:uid="{A54602FA-B27C-42DB-A483-A5B1647CB381}"/>
    <hyperlink ref="B133" r:id="rId257" display="https://kase.kz/ru/investors/gsecs/MUM168_0001" xr:uid="{D2F14241-BF20-4454-A00F-FC3CA5480B7C}"/>
    <hyperlink ref="E133" r:id="rId258" display="https://kase.kz/ru/listing/issuers/MFRK" xr:uid="{9020E992-64EC-464E-9C27-3F3593F54403}"/>
    <hyperlink ref="B134" r:id="rId259" display="https://kase.kz/ru/investors/gsecs/MUM168_0002" xr:uid="{BE8191A8-92C2-4387-B706-61EBF18D1CD0}"/>
    <hyperlink ref="E134" r:id="rId260" display="https://kase.kz/ru/listing/issuers/MFRK" xr:uid="{30DB4D7A-6759-4858-B385-05BD6639F839}"/>
    <hyperlink ref="B135" r:id="rId261" display="https://kase.kz/ru/investors/gsecs/MUM168_0003" xr:uid="{629689AC-E6D9-40D1-B98C-8AD1BCEEDD97}"/>
    <hyperlink ref="E135" r:id="rId262" display="https://kase.kz/ru/listing/issuers/MFRK" xr:uid="{FA7A8C70-BB88-4F3E-B438-09A3CA7E7771}"/>
    <hyperlink ref="B136" r:id="rId263" display="https://kase.kz/ru/investors/gsecs/MUM168_0005" xr:uid="{50AC9AAF-C724-4221-930B-914D3633AAA0}"/>
    <hyperlink ref="E136" r:id="rId264" display="https://kase.kz/ru/listing/issuers/MFRK" xr:uid="{28497448-C347-4F1D-BCD6-E8D3E8F7571F}"/>
    <hyperlink ref="B137" r:id="rId265" display="https://kase.kz/ru/investors/gsecs/MUM180_0003" xr:uid="{1C8BE562-0753-42D7-B402-B2E7DB0A77EF}"/>
    <hyperlink ref="E137" r:id="rId266" display="https://kase.kz/ru/listing/issuers/MFRK" xr:uid="{E98A838E-089F-4CDE-A181-1C9E325E0F6D}"/>
    <hyperlink ref="B138" r:id="rId267" display="https://kase.kz/ru/investors/gsecs/MUM180_0004" xr:uid="{BFDE448C-D206-43FA-A345-569C6A15F3F0}"/>
    <hyperlink ref="E138" r:id="rId268" display="https://kase.kz/ru/listing/issuers/MFRK" xr:uid="{0310DB4E-ED71-4CB8-B4DC-EE0B9C42B0DB}"/>
    <hyperlink ref="B139" r:id="rId269" display="https://kase.kz/ru/investors/gsecs/MUM180_0005" xr:uid="{14B67CF5-937A-49E7-BE61-072293E0E88F}"/>
    <hyperlink ref="E139" r:id="rId270" display="https://kase.kz/ru/listing/issuers/MFRK" xr:uid="{AD081529-EEA2-46DE-B780-B552A9820AEB}"/>
    <hyperlink ref="B140" r:id="rId271" display="https://kase.kz/ru/investors/gsecs/MUM180_0006" xr:uid="{8F6B83D0-1564-47AE-A41A-1EAF3C5E5EEC}"/>
    <hyperlink ref="E140" r:id="rId272" display="https://kase.kz/ru/listing/issuers/MFRK" xr:uid="{05F267D2-4DE3-4338-97F1-4E9BC64ECE7B}"/>
    <hyperlink ref="B141" r:id="rId273" display="https://kase.kz/ru/investors/gsecs/MUM180_0007" xr:uid="{99350D1C-A36F-4EDE-BDE7-883CFDE82F3F}"/>
    <hyperlink ref="E141" r:id="rId274" display="https://kase.kz/ru/listing/issuers/MFRK" xr:uid="{F895C409-574C-4552-9C09-FEB597360DB8}"/>
    <hyperlink ref="B142" r:id="rId275" display="https://kase.kz/ru/investors/gsecs/MUM180_0008" xr:uid="{D50F585D-A583-4FEF-8320-020C31D93B49}"/>
    <hyperlink ref="E142" r:id="rId276" display="https://kase.kz/ru/listing/issuers/MFRK" xr:uid="{9025FD59-3A04-4D2E-A32E-B47C0E373681}"/>
    <hyperlink ref="B143" r:id="rId277" display="https://kase.kz/ru/investors/gsecs/MUM180_0009" xr:uid="{A9E1DD06-B84B-44FD-90C4-84C5E39E1430}"/>
    <hyperlink ref="E143" r:id="rId278" display="https://kase.kz/ru/listing/issuers/MFRK" xr:uid="{86B53E42-6FA6-46D3-A9D3-9CCA82574C6C}"/>
    <hyperlink ref="B144" r:id="rId279" display="https://kase.kz/ru/investors/gsecs/MUM180_0011" xr:uid="{5957426B-3F1B-4403-90D2-399170AE645D}"/>
    <hyperlink ref="E144" r:id="rId280" display="https://kase.kz/ru/listing/issuers/MFRK" xr:uid="{1AB274B3-003F-47B4-BD08-AC9E894790CF}"/>
    <hyperlink ref="B145" r:id="rId281" display="https://kase.kz/ru/investors/gsecs/MUM180_0012" xr:uid="{D2269D3A-4A65-41C7-ADDF-848D7C01DE37}"/>
    <hyperlink ref="E145" r:id="rId282" display="https://kase.kz/ru/listing/issuers/MFRK" xr:uid="{834EDAE5-28CE-4F4D-B3DA-CC0173E90D32}"/>
    <hyperlink ref="B146" r:id="rId283" display="https://kase.kz/ru/investors/gsecs/MUM180_0013" xr:uid="{64EC958E-DC92-4F0E-8848-5681B541FB68}"/>
    <hyperlink ref="E146" r:id="rId284" display="https://kase.kz/ru/listing/issuers/MFRK" xr:uid="{0D8CBC33-A069-4E3D-BF6B-671F83692BD6}"/>
    <hyperlink ref="B147" r:id="rId285" display="https://kase.kz/ru/investors/gsecs/MUM180_0014" xr:uid="{81EB5AE3-EE81-457E-8513-9855D450ED06}"/>
    <hyperlink ref="E147" r:id="rId286" display="https://kase.kz/ru/listing/issuers/MFRK" xr:uid="{345DCBAB-2E8F-4449-872E-FE4F3A70ED7A}"/>
    <hyperlink ref="B148" r:id="rId287" display="https://kase.kz/ru/investors/gsecs/MUM180_0015" xr:uid="{C3C94B4A-2826-4A29-B3C9-19B8B1E8F231}"/>
    <hyperlink ref="E148" r:id="rId288" display="https://kase.kz/ru/listing/issuers/MFRK" xr:uid="{51B317D8-B6D2-43B8-AD1E-F03276D1B7B2}"/>
    <hyperlink ref="B149" r:id="rId289" display="https://kase.kz/ru/investors/gsecs/MUM180_0016" xr:uid="{674245A5-E42E-4F41-9DC3-B1372B9AFAAE}"/>
    <hyperlink ref="E149" r:id="rId290" display="https://kase.kz/ru/listing/issuers/MFRK" xr:uid="{C5E5F2BE-FDD2-4994-A039-C4DD6F90C58A}"/>
    <hyperlink ref="B150" r:id="rId291" display="https://kase.kz/ru/investors/gsecs/MUM192_0001" xr:uid="{61847D21-82E2-4E2C-93EF-A78455DDCD99}"/>
    <hyperlink ref="E150" r:id="rId292" display="https://kase.kz/ru/listing/issuers/MFRK" xr:uid="{263C964B-7265-43D3-ADF4-A54594D80648}"/>
    <hyperlink ref="B151" r:id="rId293" display="https://kase.kz/ru/investors/gsecs/MUM192_0002" xr:uid="{FDCA4A1C-E6C4-4142-A7C2-244C2A223B5A}"/>
    <hyperlink ref="E151" r:id="rId294" display="https://kase.kz/ru/listing/issuers/MFRK" xr:uid="{26EABEB6-88E9-4AB7-9F3E-6193CC8D6C88}"/>
    <hyperlink ref="B152" r:id="rId295" display="https://kase.kz/ru/investors/gsecs/MUM192_0003" xr:uid="{9F93DC7F-2C75-40DE-88FF-38D0BE6CB4CB}"/>
    <hyperlink ref="E152" r:id="rId296" display="https://kase.kz/ru/listing/issuers/MFRK" xr:uid="{E8B29B96-5C01-4811-A032-FFB7E1C72EE3}"/>
    <hyperlink ref="B153" r:id="rId297" display="https://kase.kz/ru/investors/gsecs/MUM216_0001" xr:uid="{4FBBC802-31B7-456B-997A-E430736BF368}"/>
    <hyperlink ref="E153" r:id="rId298" display="https://kase.kz/ru/listing/issuers/MFRK" xr:uid="{69FC629B-A360-433D-BF22-6A429526CF53}"/>
    <hyperlink ref="B154" r:id="rId299" display="https://kase.kz/ru/investors/gsecs/MUM216_0002" xr:uid="{7B156C04-8FF1-4674-9EF5-9B6FC0F3F602}"/>
    <hyperlink ref="E154" r:id="rId300" display="https://kase.kz/ru/listing/issuers/MFRK" xr:uid="{D04DF92A-4729-4FB7-A809-8EB245461B6A}"/>
    <hyperlink ref="B155" r:id="rId301" display="https://kase.kz/ru/investors/gsecs/MUM240_0001" xr:uid="{658BACD8-62B6-479C-B2BB-441E181ABB37}"/>
    <hyperlink ref="E155" r:id="rId302" display="https://kase.kz/ru/listing/issuers/MFRK" xr:uid="{CB312339-8261-4D3F-9B34-96AD959BCD7C}"/>
    <hyperlink ref="B156" r:id="rId303" display="https://kase.kz/ru/investors/gsecs/MUM240_0002" xr:uid="{1985CBFE-4137-47B9-8214-425545EF8494}"/>
    <hyperlink ref="E156" r:id="rId304" display="https://kase.kz/ru/listing/issuers/MFRK" xr:uid="{54E1CA7B-1A99-43CA-A4F7-194A9FB08BBB}"/>
    <hyperlink ref="B157" r:id="rId305" display="https://kase.kz/ru/investors/gsecs/MUM240_0004" xr:uid="{9B748C9F-832E-407B-BF50-1F0657886CA5}"/>
    <hyperlink ref="E157" r:id="rId306" display="https://kase.kz/ru/listing/issuers/MFRK" xr:uid="{1A91506E-84C5-4F94-BDDE-76D1E269204A}"/>
    <hyperlink ref="B158" r:id="rId307" display="https://kase.kz/ru/investors/gsecs/MUM300_0001" xr:uid="{D4D52258-F5AF-4069-9365-BC3B9E7AF8B6}"/>
    <hyperlink ref="E158" r:id="rId308" display="https://kase.kz/ru/listing/issuers/MFRK" xr:uid="{F6D91FFE-28EB-4164-B161-0B15A9AD31A7}"/>
    <hyperlink ref="B159" r:id="rId309" display="https://kase.kz/ru/investors/gsecs/MUM300_0002" xr:uid="{F290EF30-9237-462C-BF3B-9BA2F2C20373}"/>
    <hyperlink ref="E159" r:id="rId310" display="https://kase.kz/ru/listing/issuers/MFRK" xr:uid="{FBBC1DEE-2AB6-41D9-8079-697CED8AF580}"/>
    <hyperlink ref="B160" r:id="rId311" display="https://kase.kz/ru/investors/gsecs/MUM300_0003" xr:uid="{9B6830DD-99C4-4F5A-8E2F-AD0FBBA27079}"/>
    <hyperlink ref="E160" r:id="rId312" display="https://kase.kz/ru/listing/issuers/MFRK" xr:uid="{732786B1-1B48-4BD4-92A1-EB2D515DC212}"/>
    <hyperlink ref="B161" r:id="rId313" display="https://kase.kz/ru/investors/gsecs/MUM360_0001" xr:uid="{5FF33DBC-7DAD-45D2-898C-6ED2B8508A04}"/>
    <hyperlink ref="E161" r:id="rId314" display="https://kase.kz/ru/listing/issuers/MFRK" xr:uid="{8D4A2801-1241-4061-BF10-BFB2123D36A1}"/>
    <hyperlink ref="B162" r:id="rId315" display="https://kase.kz/ru/investors/gsecs/MUX072_0003" xr:uid="{E9FE8D5D-B341-460C-985C-E0A18D649B10}"/>
    <hyperlink ref="E162" r:id="rId316" display="https://kase.kz/ru/listing/issuers/MFRK" xr:uid="{EF400EFC-1C16-4BCB-B362-4420A51AC923}"/>
    <hyperlink ref="B163" r:id="rId317" display="https://kase.kz/ru/investors/bonds/NCOMb6" xr:uid="{F0BE455B-CF6B-45DA-BCEC-C733AB9FD220}"/>
    <hyperlink ref="E163" r:id="rId318" display="https://kase.kz/ru/listing/issuers/NCOM" xr:uid="{81BB293D-B4B4-4A0B-A8E2-5CE1A634C73D}"/>
    <hyperlink ref="B164" r:id="rId319" display="https://kase.kz/ru/investors/gsecs/NTK028_2865" xr:uid="{FF16936D-0E4A-448D-B57C-FDAEE8D6D385}"/>
    <hyperlink ref="E164" r:id="rId320" display="https://kase.kz/ru/listing/issuers/NBRK" xr:uid="{4914F916-2678-437F-BBA6-DEA431882BDA}"/>
    <hyperlink ref="B165" r:id="rId321" display="https://kase.kz/ru/investors/bonds/SKKZe1" xr:uid="{C8310B66-4C91-454B-962C-6436E822F6D4}"/>
    <hyperlink ref="E165" r:id="rId322" display="https://kase.kz/ru/listing/issuers/SKKZ" xr:uid="{A9BE9EAF-BD8A-4E95-A9D3-9AC0B3CFFE80}"/>
    <hyperlink ref="B166" r:id="rId323" display="https://kase.kz/ru/investors/bonds/TSSPb1" xr:uid="{37241804-B6F4-4169-A26E-DBAB4E6722BC}"/>
    <hyperlink ref="E166" r:id="rId324" display="https://kase.kz/ru/listing/issuers/TSSP" xr:uid="{FF5E00D0-4C94-4E0D-A65C-0CC07BA57FE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4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4" t="s">
        <v>15</v>
      </c>
      <c r="B1" s="61"/>
      <c r="C1" s="105">
        <v>45866</v>
      </c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02" t="s">
        <v>16</v>
      </c>
      <c r="B3" s="103" t="s">
        <v>450</v>
      </c>
      <c r="C3" s="103" t="s">
        <v>0</v>
      </c>
      <c r="D3" s="103" t="s">
        <v>2233</v>
      </c>
      <c r="E3" s="103" t="s">
        <v>451</v>
      </c>
      <c r="F3" s="103" t="s">
        <v>452</v>
      </c>
      <c r="G3" s="103" t="s">
        <v>453</v>
      </c>
      <c r="H3" s="103" t="s">
        <v>2069</v>
      </c>
      <c r="I3" s="103" t="s">
        <v>454</v>
      </c>
      <c r="J3" s="103" t="s">
        <v>18</v>
      </c>
    </row>
    <row r="4" spans="1:10" x14ac:dyDescent="0.25">
      <c r="A4" s="111">
        <v>1</v>
      </c>
      <c r="B4" s="112" t="s">
        <v>455</v>
      </c>
      <c r="C4" s="113" t="s">
        <v>456</v>
      </c>
      <c r="D4" s="113" t="s">
        <v>457</v>
      </c>
      <c r="E4" s="113" t="s">
        <v>458</v>
      </c>
      <c r="F4" s="114">
        <v>100</v>
      </c>
      <c r="G4" s="113">
        <v>100</v>
      </c>
      <c r="H4" s="113">
        <v>0</v>
      </c>
      <c r="I4" s="113">
        <v>0</v>
      </c>
      <c r="J4" s="113" t="s">
        <v>246</v>
      </c>
    </row>
    <row r="5" spans="1:10" x14ac:dyDescent="0.25">
      <c r="A5" s="115">
        <v>2</v>
      </c>
      <c r="B5" s="112" t="s">
        <v>459</v>
      </c>
      <c r="C5" s="113" t="s">
        <v>460</v>
      </c>
      <c r="D5" s="113" t="s">
        <v>457</v>
      </c>
      <c r="E5" s="113" t="s">
        <v>461</v>
      </c>
      <c r="F5" s="116">
        <v>6309.7483499999998</v>
      </c>
      <c r="G5" s="114">
        <v>6309.7483499999998</v>
      </c>
      <c r="H5" s="114">
        <v>0</v>
      </c>
      <c r="I5" s="111">
        <v>0</v>
      </c>
      <c r="J5" s="113" t="s">
        <v>246</v>
      </c>
    </row>
    <row r="6" spans="1:10" x14ac:dyDescent="0.25">
      <c r="A6" s="115">
        <v>3</v>
      </c>
      <c r="B6" s="112" t="s">
        <v>462</v>
      </c>
      <c r="C6" s="113" t="s">
        <v>463</v>
      </c>
      <c r="D6" s="113" t="s">
        <v>457</v>
      </c>
      <c r="E6" s="113" t="s">
        <v>464</v>
      </c>
      <c r="F6" s="117">
        <v>117097.25375</v>
      </c>
      <c r="G6" s="118">
        <v>117097.25375</v>
      </c>
      <c r="H6" s="116">
        <v>0</v>
      </c>
      <c r="I6" s="119">
        <v>0</v>
      </c>
      <c r="J6" s="113" t="s">
        <v>246</v>
      </c>
    </row>
    <row r="7" spans="1:10" x14ac:dyDescent="0.25">
      <c r="A7" s="115">
        <v>4</v>
      </c>
      <c r="B7" s="112" t="s">
        <v>465</v>
      </c>
      <c r="C7" s="113" t="s">
        <v>466</v>
      </c>
      <c r="D7" s="113" t="s">
        <v>467</v>
      </c>
      <c r="E7" s="113" t="s">
        <v>468</v>
      </c>
      <c r="F7" s="116">
        <v>100</v>
      </c>
      <c r="G7" s="114">
        <v>100.8736</v>
      </c>
      <c r="H7" s="114">
        <v>4.2300000000000004</v>
      </c>
      <c r="I7" s="111">
        <v>406</v>
      </c>
      <c r="J7" s="113" t="s">
        <v>277</v>
      </c>
    </row>
    <row r="8" spans="1:10" x14ac:dyDescent="0.25">
      <c r="A8" s="115">
        <v>5</v>
      </c>
      <c r="B8" s="112" t="s">
        <v>469</v>
      </c>
      <c r="C8" s="113" t="s">
        <v>470</v>
      </c>
      <c r="D8" s="113" t="s">
        <v>467</v>
      </c>
      <c r="E8" s="113" t="s">
        <v>468</v>
      </c>
      <c r="F8" s="116">
        <v>100</v>
      </c>
      <c r="G8" s="114">
        <v>100.0583</v>
      </c>
      <c r="H8" s="114">
        <v>0.35</v>
      </c>
      <c r="I8" s="111">
        <v>300</v>
      </c>
      <c r="J8" s="113" t="s">
        <v>277</v>
      </c>
    </row>
    <row r="9" spans="1:10" x14ac:dyDescent="0.25">
      <c r="A9" s="115">
        <v>6</v>
      </c>
      <c r="B9" s="112" t="s">
        <v>471</v>
      </c>
      <c r="C9" s="113" t="s">
        <v>472</v>
      </c>
      <c r="D9" s="113" t="s">
        <v>467</v>
      </c>
      <c r="E9" s="113" t="s">
        <v>468</v>
      </c>
      <c r="F9" s="117">
        <v>100</v>
      </c>
      <c r="G9" s="118">
        <v>100.0168</v>
      </c>
      <c r="H9" s="116">
        <v>0.02</v>
      </c>
      <c r="I9" s="119">
        <v>3122</v>
      </c>
      <c r="J9" s="113" t="s">
        <v>277</v>
      </c>
    </row>
    <row r="10" spans="1:10" x14ac:dyDescent="0.25">
      <c r="A10" s="115">
        <v>7</v>
      </c>
      <c r="B10" s="112" t="s">
        <v>473</v>
      </c>
      <c r="C10" s="113" t="s">
        <v>474</v>
      </c>
      <c r="D10" s="113" t="s">
        <v>467</v>
      </c>
      <c r="E10" s="113" t="s">
        <v>468</v>
      </c>
      <c r="F10" s="117">
        <v>100</v>
      </c>
      <c r="G10" s="118">
        <v>100.5592</v>
      </c>
      <c r="H10" s="116">
        <v>6.09</v>
      </c>
      <c r="I10" s="119">
        <v>1737</v>
      </c>
      <c r="J10" s="113" t="s">
        <v>277</v>
      </c>
    </row>
    <row r="11" spans="1:10" x14ac:dyDescent="0.25">
      <c r="A11" s="115">
        <v>8</v>
      </c>
      <c r="B11" s="112" t="s">
        <v>475</v>
      </c>
      <c r="C11" s="113" t="s">
        <v>476</v>
      </c>
      <c r="D11" s="113" t="s">
        <v>467</v>
      </c>
      <c r="E11" s="113" t="s">
        <v>468</v>
      </c>
      <c r="F11" s="117">
        <v>100</v>
      </c>
      <c r="G11" s="118">
        <v>105.3447</v>
      </c>
      <c r="H11" s="116">
        <v>7.08</v>
      </c>
      <c r="I11" s="119">
        <v>2219</v>
      </c>
      <c r="J11" s="113" t="s">
        <v>277</v>
      </c>
    </row>
    <row r="12" spans="1:10" x14ac:dyDescent="0.25">
      <c r="A12" s="115">
        <v>9</v>
      </c>
      <c r="B12" s="112" t="s">
        <v>477</v>
      </c>
      <c r="C12" s="113" t="s">
        <v>478</v>
      </c>
      <c r="D12" s="113" t="s">
        <v>467</v>
      </c>
      <c r="E12" s="113" t="s">
        <v>468</v>
      </c>
      <c r="F12" s="117">
        <v>100</v>
      </c>
      <c r="G12" s="118">
        <v>105.8289</v>
      </c>
      <c r="H12" s="116">
        <v>6.09</v>
      </c>
      <c r="I12" s="119">
        <v>2146</v>
      </c>
      <c r="J12" s="113" t="s">
        <v>277</v>
      </c>
    </row>
    <row r="13" spans="1:10" x14ac:dyDescent="0.25">
      <c r="A13" s="115">
        <v>10</v>
      </c>
      <c r="B13" s="112" t="s">
        <v>479</v>
      </c>
      <c r="C13" s="113" t="s">
        <v>480</v>
      </c>
      <c r="D13" s="113" t="s">
        <v>467</v>
      </c>
      <c r="E13" s="113" t="s">
        <v>468</v>
      </c>
      <c r="F13" s="117">
        <v>100</v>
      </c>
      <c r="G13" s="118">
        <v>104.6767</v>
      </c>
      <c r="H13" s="116">
        <v>6.08</v>
      </c>
      <c r="I13" s="119">
        <v>2574</v>
      </c>
      <c r="J13" s="113" t="s">
        <v>277</v>
      </c>
    </row>
    <row r="14" spans="1:10" x14ac:dyDescent="0.25">
      <c r="A14" s="115">
        <v>11</v>
      </c>
      <c r="B14" s="112" t="s">
        <v>481</v>
      </c>
      <c r="C14" s="113" t="s">
        <v>482</v>
      </c>
      <c r="D14" s="113" t="s">
        <v>467</v>
      </c>
      <c r="E14" s="113" t="s">
        <v>468</v>
      </c>
      <c r="F14" s="117">
        <v>100</v>
      </c>
      <c r="G14" s="118">
        <v>104.6767</v>
      </c>
      <c r="H14" s="116">
        <v>6.08</v>
      </c>
      <c r="I14" s="119">
        <v>2574</v>
      </c>
      <c r="J14" s="113" t="s">
        <v>277</v>
      </c>
    </row>
    <row r="15" spans="1:10" x14ac:dyDescent="0.25">
      <c r="A15" s="115">
        <v>12</v>
      </c>
      <c r="B15" s="112" t="s">
        <v>483</v>
      </c>
      <c r="C15" s="113" t="s">
        <v>484</v>
      </c>
      <c r="D15" s="113" t="s">
        <v>457</v>
      </c>
      <c r="E15" s="113" t="s">
        <v>485</v>
      </c>
      <c r="F15" s="116">
        <v>68763.435649999999</v>
      </c>
      <c r="G15" s="114">
        <v>68763.435649999999</v>
      </c>
      <c r="H15" s="114">
        <v>0</v>
      </c>
      <c r="I15" s="111">
        <v>0</v>
      </c>
      <c r="J15" s="113" t="s">
        <v>246</v>
      </c>
    </row>
    <row r="16" spans="1:10" x14ac:dyDescent="0.25">
      <c r="A16" s="115">
        <v>13</v>
      </c>
      <c r="B16" s="112" t="s">
        <v>486</v>
      </c>
      <c r="C16" s="113" t="s">
        <v>487</v>
      </c>
      <c r="D16" s="113" t="s">
        <v>467</v>
      </c>
      <c r="E16" s="113" t="s">
        <v>488</v>
      </c>
      <c r="F16" s="116">
        <v>99.533488455107587</v>
      </c>
      <c r="G16" s="114">
        <v>100.45428845510759</v>
      </c>
      <c r="H16" s="114">
        <v>19.77</v>
      </c>
      <c r="I16" s="111">
        <v>703</v>
      </c>
      <c r="J16" s="113" t="s">
        <v>277</v>
      </c>
    </row>
    <row r="17" spans="1:10" x14ac:dyDescent="0.25">
      <c r="A17" s="115">
        <v>14</v>
      </c>
      <c r="B17" s="112" t="s">
        <v>489</v>
      </c>
      <c r="C17" s="113" t="s">
        <v>490</v>
      </c>
      <c r="D17" s="113" t="s">
        <v>457</v>
      </c>
      <c r="E17" s="113" t="s">
        <v>491</v>
      </c>
      <c r="F17" s="117">
        <v>13124.6</v>
      </c>
      <c r="G17" s="118">
        <v>13124.6</v>
      </c>
      <c r="H17" s="116">
        <v>0</v>
      </c>
      <c r="I17" s="119">
        <v>0</v>
      </c>
      <c r="J17" s="113" t="s">
        <v>246</v>
      </c>
    </row>
    <row r="18" spans="1:10" x14ac:dyDescent="0.25">
      <c r="A18" s="115">
        <v>15</v>
      </c>
      <c r="B18" s="112" t="s">
        <v>492</v>
      </c>
      <c r="C18" s="113" t="s">
        <v>493</v>
      </c>
      <c r="D18" s="113" t="s">
        <v>457</v>
      </c>
      <c r="E18" s="113" t="s">
        <v>494</v>
      </c>
      <c r="F18" s="116">
        <v>0.01</v>
      </c>
      <c r="G18" s="114">
        <v>0.01</v>
      </c>
      <c r="H18" s="114">
        <v>0</v>
      </c>
      <c r="I18" s="111">
        <v>0</v>
      </c>
      <c r="J18" s="113" t="s">
        <v>246</v>
      </c>
    </row>
    <row r="19" spans="1:10" x14ac:dyDescent="0.25">
      <c r="A19" s="115">
        <v>16</v>
      </c>
      <c r="B19" s="112" t="s">
        <v>500</v>
      </c>
      <c r="C19" s="113" t="s">
        <v>501</v>
      </c>
      <c r="D19" s="113" t="s">
        <v>457</v>
      </c>
      <c r="E19" s="113" t="s">
        <v>2134</v>
      </c>
      <c r="F19" s="116">
        <v>59662.994449999998</v>
      </c>
      <c r="G19" s="114">
        <v>59662.994449999998</v>
      </c>
      <c r="H19" s="114">
        <v>0</v>
      </c>
      <c r="I19" s="111">
        <v>0</v>
      </c>
      <c r="J19" s="113" t="s">
        <v>246</v>
      </c>
    </row>
    <row r="20" spans="1:10" x14ac:dyDescent="0.25">
      <c r="A20" s="115">
        <v>17</v>
      </c>
      <c r="B20" s="112" t="s">
        <v>495</v>
      </c>
      <c r="C20" s="113" t="s">
        <v>496</v>
      </c>
      <c r="D20" s="113" t="s">
        <v>467</v>
      </c>
      <c r="E20" s="113" t="s">
        <v>497</v>
      </c>
      <c r="F20" s="117">
        <v>95.691000000000003</v>
      </c>
      <c r="G20" s="118">
        <v>96.576400000000007</v>
      </c>
      <c r="H20" s="116">
        <v>4.1399999999999997</v>
      </c>
      <c r="I20" s="119">
        <v>1698</v>
      </c>
      <c r="J20" s="113" t="s">
        <v>277</v>
      </c>
    </row>
    <row r="21" spans="1:10" x14ac:dyDescent="0.25">
      <c r="A21" s="115">
        <v>18</v>
      </c>
      <c r="B21" s="112" t="s">
        <v>498</v>
      </c>
      <c r="C21" s="113" t="s">
        <v>499</v>
      </c>
      <c r="D21" s="113" t="s">
        <v>467</v>
      </c>
      <c r="E21" s="113" t="s">
        <v>497</v>
      </c>
      <c r="F21" s="117">
        <v>93.590999999999994</v>
      </c>
      <c r="G21" s="118">
        <v>94.410399999999996</v>
      </c>
      <c r="H21" s="116">
        <v>4.1900000000000004</v>
      </c>
      <c r="I21" s="119">
        <v>1502</v>
      </c>
      <c r="J21" s="113" t="s">
        <v>277</v>
      </c>
    </row>
    <row r="22" spans="1:10" x14ac:dyDescent="0.25">
      <c r="A22" s="115">
        <v>19</v>
      </c>
      <c r="B22" s="112" t="s">
        <v>502</v>
      </c>
      <c r="C22" s="113" t="s">
        <v>503</v>
      </c>
      <c r="D22" s="113" t="s">
        <v>467</v>
      </c>
      <c r="E22" s="113" t="s">
        <v>504</v>
      </c>
      <c r="F22" s="117">
        <v>94.641428892742596</v>
      </c>
      <c r="G22" s="118">
        <v>96.590028892742595</v>
      </c>
      <c r="H22" s="116">
        <v>18.68</v>
      </c>
      <c r="I22" s="119">
        <v>299</v>
      </c>
      <c r="J22" s="113" t="s">
        <v>277</v>
      </c>
    </row>
    <row r="23" spans="1:10" x14ac:dyDescent="0.25">
      <c r="A23" s="115">
        <v>20</v>
      </c>
      <c r="B23" s="112" t="s">
        <v>505</v>
      </c>
      <c r="C23" s="113" t="s">
        <v>506</v>
      </c>
      <c r="D23" s="113" t="s">
        <v>467</v>
      </c>
      <c r="E23" s="113" t="s">
        <v>504</v>
      </c>
      <c r="F23" s="117">
        <v>91.561625497423393</v>
      </c>
      <c r="G23" s="118">
        <v>94.786625497423401</v>
      </c>
      <c r="H23" s="116">
        <v>18.88</v>
      </c>
      <c r="I23" s="119">
        <v>432</v>
      </c>
      <c r="J23" s="113" t="s">
        <v>277</v>
      </c>
    </row>
    <row r="24" spans="1:10" x14ac:dyDescent="0.25">
      <c r="A24" s="115">
        <v>21</v>
      </c>
      <c r="B24" s="112" t="s">
        <v>507</v>
      </c>
      <c r="C24" s="113" t="s">
        <v>508</v>
      </c>
      <c r="D24" s="113" t="s">
        <v>467</v>
      </c>
      <c r="E24" s="113" t="s">
        <v>504</v>
      </c>
      <c r="F24" s="117">
        <v>74.98955087111122</v>
      </c>
      <c r="G24" s="118">
        <v>79.528450871111218</v>
      </c>
      <c r="H24" s="116">
        <v>18.55</v>
      </c>
      <c r="I24" s="119">
        <v>1828</v>
      </c>
      <c r="J24" s="113" t="s">
        <v>277</v>
      </c>
    </row>
    <row r="25" spans="1:10" x14ac:dyDescent="0.25">
      <c r="A25" s="115">
        <v>22</v>
      </c>
      <c r="B25" s="112" t="s">
        <v>509</v>
      </c>
      <c r="C25" s="113" t="s">
        <v>510</v>
      </c>
      <c r="D25" s="113" t="s">
        <v>467</v>
      </c>
      <c r="E25" s="113" t="s">
        <v>504</v>
      </c>
      <c r="F25" s="117">
        <v>87.266633562978186</v>
      </c>
      <c r="G25" s="118">
        <v>89.266633562978186</v>
      </c>
      <c r="H25" s="116">
        <v>18.46</v>
      </c>
      <c r="I25" s="119">
        <v>2292</v>
      </c>
      <c r="J25" s="113" t="s">
        <v>277</v>
      </c>
    </row>
    <row r="26" spans="1:10" x14ac:dyDescent="0.25">
      <c r="A26" s="115">
        <v>23</v>
      </c>
      <c r="B26" s="112" t="s">
        <v>511</v>
      </c>
      <c r="C26" s="113" t="s">
        <v>512</v>
      </c>
      <c r="D26" s="113" t="s">
        <v>467</v>
      </c>
      <c r="E26" s="113" t="s">
        <v>504</v>
      </c>
      <c r="F26" s="117">
        <v>57.697631600803987</v>
      </c>
      <c r="G26" s="118">
        <v>63.042331600803983</v>
      </c>
      <c r="H26" s="116">
        <v>19.28</v>
      </c>
      <c r="I26" s="119">
        <v>2249</v>
      </c>
      <c r="J26" s="113" t="s">
        <v>277</v>
      </c>
    </row>
    <row r="27" spans="1:10" x14ac:dyDescent="0.25">
      <c r="A27" s="115">
        <v>24</v>
      </c>
      <c r="B27" s="112" t="s">
        <v>513</v>
      </c>
      <c r="C27" s="113" t="s">
        <v>514</v>
      </c>
      <c r="D27" s="113" t="s">
        <v>467</v>
      </c>
      <c r="E27" s="113" t="s">
        <v>504</v>
      </c>
      <c r="F27" s="117">
        <v>74.478917566185956</v>
      </c>
      <c r="G27" s="118">
        <v>75.660817566185955</v>
      </c>
      <c r="H27" s="116">
        <v>18.45</v>
      </c>
      <c r="I27" s="119">
        <v>2303</v>
      </c>
      <c r="J27" s="113" t="s">
        <v>277</v>
      </c>
    </row>
    <row r="28" spans="1:10" x14ac:dyDescent="0.25">
      <c r="A28" s="115">
        <v>25</v>
      </c>
      <c r="B28" s="112" t="s">
        <v>515</v>
      </c>
      <c r="C28" s="113" t="s">
        <v>516</v>
      </c>
      <c r="D28" s="113" t="s">
        <v>467</v>
      </c>
      <c r="E28" s="113" t="s">
        <v>504</v>
      </c>
      <c r="F28" s="117">
        <v>96.192565083040932</v>
      </c>
      <c r="G28" s="118">
        <v>97.592565083040924</v>
      </c>
      <c r="H28" s="116">
        <v>18.73</v>
      </c>
      <c r="I28" s="119">
        <v>324</v>
      </c>
      <c r="J28" s="113" t="s">
        <v>277</v>
      </c>
    </row>
    <row r="29" spans="1:10" x14ac:dyDescent="0.25">
      <c r="A29" s="115">
        <v>26</v>
      </c>
      <c r="B29" s="112" t="s">
        <v>517</v>
      </c>
      <c r="C29" s="113" t="s">
        <v>518</v>
      </c>
      <c r="D29" s="113" t="s">
        <v>457</v>
      </c>
      <c r="E29" s="113" t="s">
        <v>519</v>
      </c>
      <c r="F29" s="117">
        <v>0.01</v>
      </c>
      <c r="G29" s="118">
        <v>0.01</v>
      </c>
      <c r="H29" s="116">
        <v>0</v>
      </c>
      <c r="I29" s="119">
        <v>0</v>
      </c>
      <c r="J29" s="113" t="s">
        <v>246</v>
      </c>
    </row>
    <row r="30" spans="1:10" x14ac:dyDescent="0.25">
      <c r="A30" s="115">
        <v>27</v>
      </c>
      <c r="B30" s="112" t="s">
        <v>520</v>
      </c>
      <c r="C30" s="113" t="s">
        <v>521</v>
      </c>
      <c r="D30" s="113" t="s">
        <v>467</v>
      </c>
      <c r="E30" s="113" t="s">
        <v>522</v>
      </c>
      <c r="F30" s="117">
        <v>100</v>
      </c>
      <c r="G30" s="118">
        <v>101.77079999999999</v>
      </c>
      <c r="H30" s="116">
        <v>4.24</v>
      </c>
      <c r="I30" s="119">
        <v>331</v>
      </c>
      <c r="J30" s="113" t="s">
        <v>277</v>
      </c>
    </row>
    <row r="31" spans="1:10" x14ac:dyDescent="0.25">
      <c r="A31" s="115">
        <v>28</v>
      </c>
      <c r="B31" s="112" t="s">
        <v>523</v>
      </c>
      <c r="C31" s="113" t="s">
        <v>524</v>
      </c>
      <c r="D31" s="113" t="s">
        <v>467</v>
      </c>
      <c r="E31" s="113" t="s">
        <v>522</v>
      </c>
      <c r="F31" s="117">
        <v>100</v>
      </c>
      <c r="G31" s="118">
        <v>100.0894</v>
      </c>
      <c r="H31" s="116">
        <v>0.35</v>
      </c>
      <c r="I31" s="119">
        <v>88</v>
      </c>
      <c r="J31" s="113" t="s">
        <v>277</v>
      </c>
    </row>
    <row r="32" spans="1:10" x14ac:dyDescent="0.25">
      <c r="A32" s="115">
        <v>29</v>
      </c>
      <c r="B32" s="112" t="s">
        <v>525</v>
      </c>
      <c r="C32" s="113" t="s">
        <v>526</v>
      </c>
      <c r="D32" s="113" t="s">
        <v>467</v>
      </c>
      <c r="E32" s="113" t="s">
        <v>522</v>
      </c>
      <c r="F32" s="117">
        <v>100</v>
      </c>
      <c r="G32" s="118">
        <v>100.0496</v>
      </c>
      <c r="H32" s="116">
        <v>0.35</v>
      </c>
      <c r="I32" s="119">
        <v>309</v>
      </c>
      <c r="J32" s="113" t="s">
        <v>277</v>
      </c>
    </row>
    <row r="33" spans="1:10" x14ac:dyDescent="0.25">
      <c r="A33" s="115">
        <v>30</v>
      </c>
      <c r="B33" s="112" t="s">
        <v>2246</v>
      </c>
      <c r="C33" s="113" t="s">
        <v>2247</v>
      </c>
      <c r="D33" s="113" t="s">
        <v>467</v>
      </c>
      <c r="E33" s="113" t="s">
        <v>522</v>
      </c>
      <c r="F33" s="117">
        <v>100</v>
      </c>
      <c r="G33" s="118">
        <v>100.05929999999999</v>
      </c>
      <c r="H33" s="116">
        <v>0.35</v>
      </c>
      <c r="I33" s="119">
        <v>659</v>
      </c>
      <c r="J33" s="113" t="s">
        <v>277</v>
      </c>
    </row>
    <row r="34" spans="1:10" x14ac:dyDescent="0.25">
      <c r="A34" s="115">
        <v>31</v>
      </c>
      <c r="B34" s="112" t="s">
        <v>1999</v>
      </c>
      <c r="C34" s="113" t="s">
        <v>2000</v>
      </c>
      <c r="D34" s="113" t="s">
        <v>467</v>
      </c>
      <c r="E34" s="113" t="s">
        <v>522</v>
      </c>
      <c r="F34" s="117">
        <v>100</v>
      </c>
      <c r="G34" s="118">
        <v>100.0123</v>
      </c>
      <c r="H34" s="116">
        <v>0.02</v>
      </c>
      <c r="I34" s="119">
        <v>3122</v>
      </c>
      <c r="J34" s="113" t="s">
        <v>277</v>
      </c>
    </row>
    <row r="35" spans="1:10" x14ac:dyDescent="0.25">
      <c r="A35" s="115">
        <v>32</v>
      </c>
      <c r="B35" s="112" t="s">
        <v>527</v>
      </c>
      <c r="C35" s="113" t="s">
        <v>528</v>
      </c>
      <c r="D35" s="113" t="s">
        <v>467</v>
      </c>
      <c r="E35" s="113" t="s">
        <v>522</v>
      </c>
      <c r="F35" s="117">
        <v>100</v>
      </c>
      <c r="G35" s="118">
        <v>100.0022</v>
      </c>
      <c r="H35" s="116">
        <v>0.02</v>
      </c>
      <c r="I35" s="119">
        <v>3122</v>
      </c>
      <c r="J35" s="113" t="s">
        <v>277</v>
      </c>
    </row>
    <row r="36" spans="1:10" x14ac:dyDescent="0.25">
      <c r="A36" s="115">
        <v>33</v>
      </c>
      <c r="B36" s="112" t="s">
        <v>20</v>
      </c>
      <c r="C36" s="113" t="s">
        <v>21</v>
      </c>
      <c r="D36" s="113" t="s">
        <v>457</v>
      </c>
      <c r="E36" s="113" t="s">
        <v>22</v>
      </c>
      <c r="F36" s="117">
        <v>747.45830000000001</v>
      </c>
      <c r="G36" s="118">
        <v>747.45830000000001</v>
      </c>
      <c r="H36" s="116">
        <v>0</v>
      </c>
      <c r="I36" s="119">
        <v>0</v>
      </c>
      <c r="J36" s="113" t="s">
        <v>246</v>
      </c>
    </row>
    <row r="37" spans="1:10" x14ac:dyDescent="0.25">
      <c r="A37" s="115">
        <v>34</v>
      </c>
      <c r="B37" s="112" t="s">
        <v>532</v>
      </c>
      <c r="C37" s="113" t="s">
        <v>533</v>
      </c>
      <c r="D37" s="113" t="s">
        <v>534</v>
      </c>
      <c r="E37" s="113" t="s">
        <v>22</v>
      </c>
      <c r="F37" s="117">
        <v>3068.9437499999999</v>
      </c>
      <c r="G37" s="118">
        <v>3068.9437499999999</v>
      </c>
      <c r="H37" s="116">
        <v>0</v>
      </c>
      <c r="I37" s="119">
        <v>0</v>
      </c>
      <c r="J37" s="113" t="s">
        <v>246</v>
      </c>
    </row>
    <row r="38" spans="1:10" x14ac:dyDescent="0.25">
      <c r="A38" s="115">
        <v>35</v>
      </c>
      <c r="B38" s="112" t="s">
        <v>529</v>
      </c>
      <c r="C38" s="113" t="s">
        <v>530</v>
      </c>
      <c r="D38" s="113" t="s">
        <v>457</v>
      </c>
      <c r="E38" s="113" t="s">
        <v>531</v>
      </c>
      <c r="F38" s="117">
        <v>115186.62780000002</v>
      </c>
      <c r="G38" s="118">
        <v>115186.62780000002</v>
      </c>
      <c r="H38" s="116">
        <v>0</v>
      </c>
      <c r="I38" s="119">
        <v>0</v>
      </c>
      <c r="J38" s="113" t="s">
        <v>246</v>
      </c>
    </row>
    <row r="39" spans="1:10" x14ac:dyDescent="0.25">
      <c r="A39" s="115">
        <v>36</v>
      </c>
      <c r="B39" s="112" t="s">
        <v>535</v>
      </c>
      <c r="C39" s="113" t="s">
        <v>536</v>
      </c>
      <c r="D39" s="113" t="s">
        <v>457</v>
      </c>
      <c r="E39" s="113" t="s">
        <v>537</v>
      </c>
      <c r="F39" s="117">
        <v>1000</v>
      </c>
      <c r="G39" s="118">
        <v>1000</v>
      </c>
      <c r="H39" s="116">
        <v>0</v>
      </c>
      <c r="I39" s="119">
        <v>0</v>
      </c>
      <c r="J39" s="113" t="s">
        <v>246</v>
      </c>
    </row>
    <row r="40" spans="1:10" x14ac:dyDescent="0.25">
      <c r="A40" s="115">
        <v>37</v>
      </c>
      <c r="B40" s="112" t="s">
        <v>538</v>
      </c>
      <c r="C40" s="113" t="s">
        <v>539</v>
      </c>
      <c r="D40" s="113" t="s">
        <v>467</v>
      </c>
      <c r="E40" s="113" t="s">
        <v>540</v>
      </c>
      <c r="F40" s="116">
        <v>100</v>
      </c>
      <c r="G40" s="114">
        <v>101.77079999999999</v>
      </c>
      <c r="H40" s="114">
        <v>4.24</v>
      </c>
      <c r="I40" s="111">
        <v>331</v>
      </c>
      <c r="J40" s="113" t="s">
        <v>277</v>
      </c>
    </row>
    <row r="41" spans="1:10" x14ac:dyDescent="0.25">
      <c r="A41" s="115">
        <v>38</v>
      </c>
      <c r="B41" s="112" t="s">
        <v>541</v>
      </c>
      <c r="C41" s="113" t="s">
        <v>542</v>
      </c>
      <c r="D41" s="113" t="s">
        <v>467</v>
      </c>
      <c r="E41" s="113" t="s">
        <v>540</v>
      </c>
      <c r="F41" s="116">
        <v>100</v>
      </c>
      <c r="G41" s="114">
        <v>100.0574</v>
      </c>
      <c r="H41" s="114">
        <v>0.35</v>
      </c>
      <c r="I41" s="111">
        <v>121</v>
      </c>
      <c r="J41" s="113" t="s">
        <v>277</v>
      </c>
    </row>
    <row r="42" spans="1:10" x14ac:dyDescent="0.25">
      <c r="A42" s="115">
        <v>39</v>
      </c>
      <c r="B42" s="112" t="s">
        <v>543</v>
      </c>
      <c r="C42" s="113" t="s">
        <v>544</v>
      </c>
      <c r="D42" s="113" t="s">
        <v>467</v>
      </c>
      <c r="E42" s="113" t="s">
        <v>540</v>
      </c>
      <c r="F42" s="117">
        <v>100</v>
      </c>
      <c r="G42" s="118">
        <v>100.0583</v>
      </c>
      <c r="H42" s="116">
        <v>0.35</v>
      </c>
      <c r="I42" s="119">
        <v>300</v>
      </c>
      <c r="J42" s="113" t="s">
        <v>277</v>
      </c>
    </row>
    <row r="43" spans="1:10" x14ac:dyDescent="0.25">
      <c r="A43" s="115">
        <v>40</v>
      </c>
      <c r="B43" s="112" t="s">
        <v>2310</v>
      </c>
      <c r="C43" s="113" t="s">
        <v>2311</v>
      </c>
      <c r="D43" s="113" t="s">
        <v>467</v>
      </c>
      <c r="E43" s="113" t="s">
        <v>540</v>
      </c>
      <c r="F43" s="117">
        <v>100</v>
      </c>
      <c r="G43" s="118">
        <v>100.02719999999999</v>
      </c>
      <c r="H43" s="116">
        <v>0.35</v>
      </c>
      <c r="I43" s="119">
        <v>692</v>
      </c>
      <c r="J43" s="113" t="s">
        <v>277</v>
      </c>
    </row>
    <row r="44" spans="1:10" x14ac:dyDescent="0.25">
      <c r="A44" s="115">
        <v>41</v>
      </c>
      <c r="B44" s="112" t="s">
        <v>545</v>
      </c>
      <c r="C44" s="113" t="s">
        <v>546</v>
      </c>
      <c r="D44" s="113" t="s">
        <v>467</v>
      </c>
      <c r="E44" s="113" t="s">
        <v>540</v>
      </c>
      <c r="F44" s="117">
        <v>100</v>
      </c>
      <c r="G44" s="118">
        <v>100.0196</v>
      </c>
      <c r="H44" s="116">
        <v>0.02</v>
      </c>
      <c r="I44" s="119">
        <v>3122</v>
      </c>
      <c r="J44" s="113" t="s">
        <v>277</v>
      </c>
    </row>
    <row r="45" spans="1:10" x14ac:dyDescent="0.25">
      <c r="A45" s="115">
        <v>42</v>
      </c>
      <c r="B45" s="112" t="s">
        <v>547</v>
      </c>
      <c r="C45" s="113" t="s">
        <v>548</v>
      </c>
      <c r="D45" s="113" t="s">
        <v>467</v>
      </c>
      <c r="E45" s="113" t="s">
        <v>540</v>
      </c>
      <c r="F45" s="117">
        <v>100</v>
      </c>
      <c r="G45" s="118">
        <v>100.5592</v>
      </c>
      <c r="H45" s="116">
        <v>6.09</v>
      </c>
      <c r="I45" s="119">
        <v>1737</v>
      </c>
      <c r="J45" s="113" t="s">
        <v>277</v>
      </c>
    </row>
    <row r="46" spans="1:10" x14ac:dyDescent="0.25">
      <c r="A46" s="115">
        <v>43</v>
      </c>
      <c r="B46" s="112" t="s">
        <v>549</v>
      </c>
      <c r="C46" s="113" t="s">
        <v>550</v>
      </c>
      <c r="D46" s="113" t="s">
        <v>467</v>
      </c>
      <c r="E46" s="113" t="s">
        <v>540</v>
      </c>
      <c r="F46" s="117">
        <v>100</v>
      </c>
      <c r="G46" s="118">
        <v>105.3447</v>
      </c>
      <c r="H46" s="116">
        <v>7.08</v>
      </c>
      <c r="I46" s="119">
        <v>2219</v>
      </c>
      <c r="J46" s="113" t="s">
        <v>277</v>
      </c>
    </row>
    <row r="47" spans="1:10" x14ac:dyDescent="0.25">
      <c r="A47" s="115">
        <v>44</v>
      </c>
      <c r="B47" s="112" t="s">
        <v>551</v>
      </c>
      <c r="C47" s="113" t="s">
        <v>552</v>
      </c>
      <c r="D47" s="113" t="s">
        <v>467</v>
      </c>
      <c r="E47" s="113" t="s">
        <v>540</v>
      </c>
      <c r="F47" s="116">
        <v>100</v>
      </c>
      <c r="G47" s="114">
        <v>105.8289</v>
      </c>
      <c r="H47" s="114">
        <v>6.09</v>
      </c>
      <c r="I47" s="111">
        <v>2146</v>
      </c>
      <c r="J47" s="113" t="s">
        <v>277</v>
      </c>
    </row>
    <row r="48" spans="1:10" x14ac:dyDescent="0.25">
      <c r="A48" s="115">
        <v>45</v>
      </c>
      <c r="B48" s="112" t="s">
        <v>553</v>
      </c>
      <c r="C48" s="113" t="s">
        <v>554</v>
      </c>
      <c r="D48" s="113" t="s">
        <v>467</v>
      </c>
      <c r="E48" s="113" t="s">
        <v>540</v>
      </c>
      <c r="F48" s="116">
        <v>100</v>
      </c>
      <c r="G48" s="114">
        <v>104.6767</v>
      </c>
      <c r="H48" s="114">
        <v>6.08</v>
      </c>
      <c r="I48" s="111">
        <v>2574</v>
      </c>
      <c r="J48" s="113" t="s">
        <v>277</v>
      </c>
    </row>
    <row r="49" spans="1:10" x14ac:dyDescent="0.25">
      <c r="A49" s="115">
        <v>46</v>
      </c>
      <c r="B49" s="112" t="s">
        <v>555</v>
      </c>
      <c r="C49" s="113" t="s">
        <v>556</v>
      </c>
      <c r="D49" s="113" t="s">
        <v>467</v>
      </c>
      <c r="E49" s="113" t="s">
        <v>540</v>
      </c>
      <c r="F49" s="116">
        <v>100</v>
      </c>
      <c r="G49" s="114">
        <v>104.6767</v>
      </c>
      <c r="H49" s="114">
        <v>6.08</v>
      </c>
      <c r="I49" s="111">
        <v>2574</v>
      </c>
      <c r="J49" s="113" t="s">
        <v>277</v>
      </c>
    </row>
    <row r="50" spans="1:10" x14ac:dyDescent="0.25">
      <c r="A50" s="115">
        <v>47</v>
      </c>
      <c r="B50" s="112" t="s">
        <v>557</v>
      </c>
      <c r="C50" s="113" t="s">
        <v>558</v>
      </c>
      <c r="D50" s="113" t="s">
        <v>467</v>
      </c>
      <c r="E50" s="113" t="s">
        <v>540</v>
      </c>
      <c r="F50" s="116">
        <v>100</v>
      </c>
      <c r="G50" s="114">
        <v>103.5414</v>
      </c>
      <c r="H50" s="114">
        <v>6.08</v>
      </c>
      <c r="I50" s="111">
        <v>2641</v>
      </c>
      <c r="J50" s="113" t="s">
        <v>277</v>
      </c>
    </row>
    <row r="51" spans="1:10" x14ac:dyDescent="0.25">
      <c r="A51" s="115">
        <v>48</v>
      </c>
      <c r="B51" s="112" t="s">
        <v>559</v>
      </c>
      <c r="C51" s="113" t="s">
        <v>560</v>
      </c>
      <c r="D51" s="113" t="s">
        <v>457</v>
      </c>
      <c r="E51" s="113" t="s">
        <v>561</v>
      </c>
      <c r="F51" s="116">
        <v>1129.78</v>
      </c>
      <c r="G51" s="114">
        <v>1129.78</v>
      </c>
      <c r="H51" s="114">
        <v>0</v>
      </c>
      <c r="I51" s="111">
        <v>3015</v>
      </c>
      <c r="J51" s="113" t="s">
        <v>246</v>
      </c>
    </row>
    <row r="52" spans="1:10" x14ac:dyDescent="0.25">
      <c r="A52" s="115">
        <v>49</v>
      </c>
      <c r="B52" s="112" t="s">
        <v>562</v>
      </c>
      <c r="C52" s="113" t="s">
        <v>563</v>
      </c>
      <c r="D52" s="113" t="s">
        <v>457</v>
      </c>
      <c r="E52" s="113" t="s">
        <v>561</v>
      </c>
      <c r="F52" s="117">
        <v>0.01</v>
      </c>
      <c r="G52" s="118">
        <v>0.01</v>
      </c>
      <c r="H52" s="116">
        <v>0</v>
      </c>
      <c r="I52" s="119">
        <v>1416</v>
      </c>
      <c r="J52" s="113" t="s">
        <v>246</v>
      </c>
    </row>
    <row r="53" spans="1:10" x14ac:dyDescent="0.25">
      <c r="A53" s="115">
        <v>50</v>
      </c>
      <c r="B53" s="112" t="s">
        <v>564</v>
      </c>
      <c r="C53" s="113" t="s">
        <v>565</v>
      </c>
      <c r="D53" s="113" t="s">
        <v>457</v>
      </c>
      <c r="E53" s="113" t="s">
        <v>566</v>
      </c>
      <c r="F53" s="116">
        <v>0.01</v>
      </c>
      <c r="G53" s="114">
        <v>0.01</v>
      </c>
      <c r="H53" s="114">
        <v>0</v>
      </c>
      <c r="I53" s="111">
        <v>0</v>
      </c>
      <c r="J53" s="113" t="s">
        <v>246</v>
      </c>
    </row>
    <row r="54" spans="1:10" x14ac:dyDescent="0.25">
      <c r="A54" s="115">
        <v>51</v>
      </c>
      <c r="B54" s="112" t="s">
        <v>2184</v>
      </c>
      <c r="C54" s="113" t="s">
        <v>2185</v>
      </c>
      <c r="D54" s="113" t="s">
        <v>467</v>
      </c>
      <c r="E54" s="113" t="s">
        <v>2186</v>
      </c>
      <c r="F54" s="117">
        <v>99.058771006683045</v>
      </c>
      <c r="G54" s="118">
        <v>99.058771006683045</v>
      </c>
      <c r="H54" s="116">
        <v>26.49</v>
      </c>
      <c r="I54" s="119">
        <v>990</v>
      </c>
      <c r="J54" s="113" t="s">
        <v>277</v>
      </c>
    </row>
    <row r="55" spans="1:10" x14ac:dyDescent="0.25">
      <c r="A55" s="115">
        <v>52</v>
      </c>
      <c r="B55" s="112" t="s">
        <v>23</v>
      </c>
      <c r="C55" s="113" t="s">
        <v>24</v>
      </c>
      <c r="D55" s="113" t="s">
        <v>457</v>
      </c>
      <c r="E55" s="113" t="s">
        <v>567</v>
      </c>
      <c r="F55" s="117">
        <v>6261.15</v>
      </c>
      <c r="G55" s="118">
        <v>6261.15</v>
      </c>
      <c r="H55" s="116">
        <v>0</v>
      </c>
      <c r="I55" s="119">
        <v>0</v>
      </c>
      <c r="J55" s="113" t="s">
        <v>246</v>
      </c>
    </row>
    <row r="56" spans="1:10" x14ac:dyDescent="0.25">
      <c r="A56" s="115">
        <v>53</v>
      </c>
      <c r="B56" s="112" t="s">
        <v>568</v>
      </c>
      <c r="C56" s="113" t="s">
        <v>569</v>
      </c>
      <c r="D56" s="113" t="s">
        <v>467</v>
      </c>
      <c r="E56" s="113" t="s">
        <v>34</v>
      </c>
      <c r="F56" s="117">
        <v>92.296928902802108</v>
      </c>
      <c r="G56" s="118">
        <v>95.074028902802112</v>
      </c>
      <c r="H56" s="116">
        <v>17.89</v>
      </c>
      <c r="I56" s="119">
        <v>447</v>
      </c>
      <c r="J56" s="113" t="s">
        <v>277</v>
      </c>
    </row>
    <row r="57" spans="1:10" x14ac:dyDescent="0.25">
      <c r="A57" s="115">
        <v>54</v>
      </c>
      <c r="B57" s="112" t="s">
        <v>570</v>
      </c>
      <c r="C57" s="113" t="s">
        <v>571</v>
      </c>
      <c r="D57" s="113" t="s">
        <v>467</v>
      </c>
      <c r="E57" s="113" t="s">
        <v>572</v>
      </c>
      <c r="F57" s="117">
        <v>100</v>
      </c>
      <c r="G57" s="118">
        <v>101.44029999999999</v>
      </c>
      <c r="H57" s="116">
        <v>4.24</v>
      </c>
      <c r="I57" s="119">
        <v>358</v>
      </c>
      <c r="J57" s="113" t="s">
        <v>277</v>
      </c>
    </row>
    <row r="58" spans="1:10" x14ac:dyDescent="0.25">
      <c r="A58" s="115">
        <v>55</v>
      </c>
      <c r="B58" s="112" t="s">
        <v>573</v>
      </c>
      <c r="C58" s="113" t="s">
        <v>574</v>
      </c>
      <c r="D58" s="113" t="s">
        <v>467</v>
      </c>
      <c r="E58" s="113" t="s">
        <v>572</v>
      </c>
      <c r="F58" s="117">
        <v>100</v>
      </c>
      <c r="G58" s="118">
        <v>100.0183</v>
      </c>
      <c r="H58" s="116">
        <v>0.02</v>
      </c>
      <c r="I58" s="119">
        <v>3122</v>
      </c>
      <c r="J58" s="113" t="s">
        <v>277</v>
      </c>
    </row>
    <row r="59" spans="1:10" x14ac:dyDescent="0.25">
      <c r="A59" s="115">
        <v>56</v>
      </c>
      <c r="B59" s="112" t="s">
        <v>575</v>
      </c>
      <c r="C59" s="113" t="s">
        <v>576</v>
      </c>
      <c r="D59" s="113" t="s">
        <v>467</v>
      </c>
      <c r="E59" s="113" t="s">
        <v>572</v>
      </c>
      <c r="F59" s="117">
        <v>100</v>
      </c>
      <c r="G59" s="118">
        <v>104.2206</v>
      </c>
      <c r="H59" s="116">
        <v>7.05</v>
      </c>
      <c r="I59" s="119">
        <v>2219</v>
      </c>
      <c r="J59" s="113" t="s">
        <v>277</v>
      </c>
    </row>
    <row r="60" spans="1:10" x14ac:dyDescent="0.25">
      <c r="A60" s="115">
        <v>57</v>
      </c>
      <c r="B60" s="112" t="s">
        <v>577</v>
      </c>
      <c r="C60" s="113" t="s">
        <v>578</v>
      </c>
      <c r="D60" s="113" t="s">
        <v>467</v>
      </c>
      <c r="E60" s="113" t="s">
        <v>572</v>
      </c>
      <c r="F60" s="116">
        <v>100</v>
      </c>
      <c r="G60" s="114">
        <v>100.5592</v>
      </c>
      <c r="H60" s="114">
        <v>6.09</v>
      </c>
      <c r="I60" s="111">
        <v>1737</v>
      </c>
      <c r="J60" s="113" t="s">
        <v>277</v>
      </c>
    </row>
    <row r="61" spans="1:10" x14ac:dyDescent="0.25">
      <c r="A61" s="115">
        <v>58</v>
      </c>
      <c r="B61" s="112" t="s">
        <v>579</v>
      </c>
      <c r="C61" s="113" t="s">
        <v>580</v>
      </c>
      <c r="D61" s="113" t="s">
        <v>467</v>
      </c>
      <c r="E61" s="113" t="s">
        <v>572</v>
      </c>
      <c r="F61" s="116">
        <v>100</v>
      </c>
      <c r="G61" s="114">
        <v>105.3447</v>
      </c>
      <c r="H61" s="114">
        <v>7.08</v>
      </c>
      <c r="I61" s="111">
        <v>2219</v>
      </c>
      <c r="J61" s="113" t="s">
        <v>277</v>
      </c>
    </row>
    <row r="62" spans="1:10" x14ac:dyDescent="0.25">
      <c r="A62" s="115">
        <v>59</v>
      </c>
      <c r="B62" s="112" t="s">
        <v>581</v>
      </c>
      <c r="C62" s="113" t="s">
        <v>582</v>
      </c>
      <c r="D62" s="113" t="s">
        <v>467</v>
      </c>
      <c r="E62" s="113" t="s">
        <v>572</v>
      </c>
      <c r="F62" s="117">
        <v>100</v>
      </c>
      <c r="G62" s="118">
        <v>105.8289</v>
      </c>
      <c r="H62" s="116">
        <v>6.09</v>
      </c>
      <c r="I62" s="119">
        <v>2146</v>
      </c>
      <c r="J62" s="113" t="s">
        <v>277</v>
      </c>
    </row>
    <row r="63" spans="1:10" x14ac:dyDescent="0.25">
      <c r="A63" s="115">
        <v>60</v>
      </c>
      <c r="B63" s="112" t="s">
        <v>583</v>
      </c>
      <c r="C63" s="113" t="s">
        <v>584</v>
      </c>
      <c r="D63" s="113" t="s">
        <v>467</v>
      </c>
      <c r="E63" s="113" t="s">
        <v>572</v>
      </c>
      <c r="F63" s="117">
        <v>100</v>
      </c>
      <c r="G63" s="118">
        <v>104.6767</v>
      </c>
      <c r="H63" s="116">
        <v>6.08</v>
      </c>
      <c r="I63" s="119">
        <v>2574</v>
      </c>
      <c r="J63" s="113" t="s">
        <v>277</v>
      </c>
    </row>
    <row r="64" spans="1:10" x14ac:dyDescent="0.25">
      <c r="A64" s="115">
        <v>61</v>
      </c>
      <c r="B64" s="112" t="s">
        <v>585</v>
      </c>
      <c r="C64" s="113" t="s">
        <v>586</v>
      </c>
      <c r="D64" s="113" t="s">
        <v>467</v>
      </c>
      <c r="E64" s="113" t="s">
        <v>572</v>
      </c>
      <c r="F64" s="117">
        <v>100</v>
      </c>
      <c r="G64" s="118">
        <v>104.6767</v>
      </c>
      <c r="H64" s="116">
        <v>6.08</v>
      </c>
      <c r="I64" s="119">
        <v>2574</v>
      </c>
      <c r="J64" s="113" t="s">
        <v>277</v>
      </c>
    </row>
    <row r="65" spans="1:10" x14ac:dyDescent="0.25">
      <c r="A65" s="115">
        <v>62</v>
      </c>
      <c r="B65" s="112" t="s">
        <v>587</v>
      </c>
      <c r="C65" s="113" t="s">
        <v>588</v>
      </c>
      <c r="D65" s="113" t="s">
        <v>467</v>
      </c>
      <c r="E65" s="113" t="s">
        <v>572</v>
      </c>
      <c r="F65" s="117">
        <v>100</v>
      </c>
      <c r="G65" s="118">
        <v>103.5414</v>
      </c>
      <c r="H65" s="116">
        <v>6.08</v>
      </c>
      <c r="I65" s="119">
        <v>2641</v>
      </c>
      <c r="J65" s="113" t="s">
        <v>277</v>
      </c>
    </row>
    <row r="66" spans="1:10" x14ac:dyDescent="0.25">
      <c r="A66" s="115">
        <v>63</v>
      </c>
      <c r="B66" s="112" t="s">
        <v>589</v>
      </c>
      <c r="C66" s="113" t="s">
        <v>590</v>
      </c>
      <c r="D66" s="113" t="s">
        <v>467</v>
      </c>
      <c r="E66" s="113" t="s">
        <v>2040</v>
      </c>
      <c r="F66" s="117">
        <v>89.32068580622898</v>
      </c>
      <c r="G66" s="118">
        <v>95.270685806228968</v>
      </c>
      <c r="H66" s="116">
        <v>29.11</v>
      </c>
      <c r="I66" s="119">
        <v>2526</v>
      </c>
      <c r="J66" s="113" t="s">
        <v>277</v>
      </c>
    </row>
    <row r="67" spans="1:10" x14ac:dyDescent="0.25">
      <c r="A67" s="115">
        <v>64</v>
      </c>
      <c r="B67" s="112" t="s">
        <v>591</v>
      </c>
      <c r="C67" s="113" t="s">
        <v>592</v>
      </c>
      <c r="D67" s="113" t="s">
        <v>457</v>
      </c>
      <c r="E67" s="113" t="s">
        <v>444</v>
      </c>
      <c r="F67" s="117">
        <v>14000</v>
      </c>
      <c r="G67" s="118">
        <v>14000</v>
      </c>
      <c r="H67" s="116">
        <v>0</v>
      </c>
      <c r="I67" s="119">
        <v>0</v>
      </c>
      <c r="J67" s="113" t="s">
        <v>246</v>
      </c>
    </row>
    <row r="68" spans="1:10" x14ac:dyDescent="0.25">
      <c r="A68" s="115">
        <v>65</v>
      </c>
      <c r="B68" s="112" t="s">
        <v>442</v>
      </c>
      <c r="C68" s="113" t="s">
        <v>443</v>
      </c>
      <c r="D68" s="113" t="s">
        <v>467</v>
      </c>
      <c r="E68" s="113" t="s">
        <v>444</v>
      </c>
      <c r="F68" s="117">
        <v>100.02525738739575</v>
      </c>
      <c r="G68" s="118">
        <v>100.73635738739576</v>
      </c>
      <c r="H68" s="116">
        <v>7.99</v>
      </c>
      <c r="I68" s="119">
        <v>868</v>
      </c>
      <c r="J68" s="113" t="s">
        <v>277</v>
      </c>
    </row>
    <row r="69" spans="1:10" x14ac:dyDescent="0.25">
      <c r="A69" s="115">
        <v>66</v>
      </c>
      <c r="B69" s="112" t="s">
        <v>593</v>
      </c>
      <c r="C69" s="113" t="s">
        <v>594</v>
      </c>
      <c r="D69" s="113" t="s">
        <v>457</v>
      </c>
      <c r="E69" s="113" t="s">
        <v>595</v>
      </c>
      <c r="F69" s="117">
        <v>0.01</v>
      </c>
      <c r="G69" s="118">
        <v>0.01</v>
      </c>
      <c r="H69" s="116">
        <v>0</v>
      </c>
      <c r="I69" s="119">
        <v>0</v>
      </c>
      <c r="J69" s="113" t="s">
        <v>246</v>
      </c>
    </row>
    <row r="70" spans="1:10" x14ac:dyDescent="0.25">
      <c r="A70" s="115">
        <v>67</v>
      </c>
      <c r="B70" s="112" t="s">
        <v>596</v>
      </c>
      <c r="C70" s="113" t="s">
        <v>597</v>
      </c>
      <c r="D70" s="113" t="s">
        <v>457</v>
      </c>
      <c r="E70" s="113" t="s">
        <v>598</v>
      </c>
      <c r="F70" s="117">
        <v>15.43</v>
      </c>
      <c r="G70" s="118">
        <v>15.43</v>
      </c>
      <c r="H70" s="116">
        <v>0</v>
      </c>
      <c r="I70" s="119">
        <v>0</v>
      </c>
      <c r="J70" s="113" t="s">
        <v>246</v>
      </c>
    </row>
    <row r="71" spans="1:10" x14ac:dyDescent="0.25">
      <c r="A71" s="115">
        <v>68</v>
      </c>
      <c r="B71" s="112" t="s">
        <v>599</v>
      </c>
      <c r="C71" s="113" t="s">
        <v>600</v>
      </c>
      <c r="D71" s="113" t="s">
        <v>457</v>
      </c>
      <c r="E71" s="113" t="s">
        <v>2135</v>
      </c>
      <c r="F71" s="117">
        <v>90988.044299999994</v>
      </c>
      <c r="G71" s="118">
        <v>90988.044299999994</v>
      </c>
      <c r="H71" s="116">
        <v>0</v>
      </c>
      <c r="I71" s="119">
        <v>0</v>
      </c>
      <c r="J71" s="113" t="s">
        <v>246</v>
      </c>
    </row>
    <row r="72" spans="1:10" x14ac:dyDescent="0.25">
      <c r="A72" s="115">
        <v>69</v>
      </c>
      <c r="B72" s="112" t="s">
        <v>601</v>
      </c>
      <c r="C72" s="113" t="s">
        <v>602</v>
      </c>
      <c r="D72" s="113" t="s">
        <v>457</v>
      </c>
      <c r="E72" s="113" t="s">
        <v>603</v>
      </c>
      <c r="F72" s="117">
        <v>15500.01</v>
      </c>
      <c r="G72" s="118">
        <v>15500.01</v>
      </c>
      <c r="H72" s="116">
        <v>0</v>
      </c>
      <c r="I72" s="119">
        <v>0</v>
      </c>
      <c r="J72" s="113" t="s">
        <v>246</v>
      </c>
    </row>
    <row r="73" spans="1:10" x14ac:dyDescent="0.25">
      <c r="A73" s="115">
        <v>70</v>
      </c>
      <c r="B73" s="112" t="s">
        <v>604</v>
      </c>
      <c r="C73" s="113" t="s">
        <v>605</v>
      </c>
      <c r="D73" s="113" t="s">
        <v>457</v>
      </c>
      <c r="E73" s="113" t="s">
        <v>606</v>
      </c>
      <c r="F73" s="117">
        <v>0.01</v>
      </c>
      <c r="G73" s="118">
        <v>0.01</v>
      </c>
      <c r="H73" s="116">
        <v>0</v>
      </c>
      <c r="I73" s="119">
        <v>0</v>
      </c>
      <c r="J73" s="113" t="s">
        <v>246</v>
      </c>
    </row>
    <row r="74" spans="1:10" x14ac:dyDescent="0.25">
      <c r="A74" s="115">
        <v>71</v>
      </c>
      <c r="B74" s="112" t="s">
        <v>607</v>
      </c>
      <c r="C74" s="113" t="s">
        <v>608</v>
      </c>
      <c r="D74" s="113" t="s">
        <v>457</v>
      </c>
      <c r="E74" s="113" t="s">
        <v>609</v>
      </c>
      <c r="F74" s="117">
        <v>0.01</v>
      </c>
      <c r="G74" s="118">
        <v>0.01</v>
      </c>
      <c r="H74" s="116">
        <v>0</v>
      </c>
      <c r="I74" s="119">
        <v>0</v>
      </c>
      <c r="J74" s="113" t="s">
        <v>246</v>
      </c>
    </row>
    <row r="75" spans="1:10" x14ac:dyDescent="0.25">
      <c r="A75" s="115">
        <v>72</v>
      </c>
      <c r="B75" s="112" t="s">
        <v>610</v>
      </c>
      <c r="C75" s="113" t="s">
        <v>611</v>
      </c>
      <c r="D75" s="113" t="s">
        <v>457</v>
      </c>
      <c r="E75" s="113" t="s">
        <v>2136</v>
      </c>
      <c r="F75" s="117">
        <v>126284.98935</v>
      </c>
      <c r="G75" s="118">
        <v>126284.98935</v>
      </c>
      <c r="H75" s="116">
        <v>0</v>
      </c>
      <c r="I75" s="119">
        <v>0</v>
      </c>
      <c r="J75" s="113" t="s">
        <v>246</v>
      </c>
    </row>
    <row r="76" spans="1:10" x14ac:dyDescent="0.25">
      <c r="A76" s="115">
        <v>73</v>
      </c>
      <c r="B76" s="112" t="s">
        <v>612</v>
      </c>
      <c r="C76" s="113" t="s">
        <v>613</v>
      </c>
      <c r="D76" s="113" t="s">
        <v>457</v>
      </c>
      <c r="E76" s="113" t="s">
        <v>614</v>
      </c>
      <c r="F76" s="116">
        <v>0.01</v>
      </c>
      <c r="G76" s="114">
        <v>0.01</v>
      </c>
      <c r="H76" s="114">
        <v>0</v>
      </c>
      <c r="I76" s="111">
        <v>0</v>
      </c>
      <c r="J76" s="113" t="s">
        <v>246</v>
      </c>
    </row>
    <row r="77" spans="1:10" x14ac:dyDescent="0.25">
      <c r="A77" s="115">
        <v>74</v>
      </c>
      <c r="B77" s="112" t="s">
        <v>615</v>
      </c>
      <c r="C77" s="113" t="s">
        <v>616</v>
      </c>
      <c r="D77" s="113" t="s">
        <v>467</v>
      </c>
      <c r="E77" s="113" t="s">
        <v>617</v>
      </c>
      <c r="F77" s="117">
        <v>92.099585868148409</v>
      </c>
      <c r="G77" s="118">
        <v>99.466285868148418</v>
      </c>
      <c r="H77" s="116">
        <v>28.11</v>
      </c>
      <c r="I77" s="119">
        <v>2416</v>
      </c>
      <c r="J77" s="113" t="s">
        <v>277</v>
      </c>
    </row>
    <row r="78" spans="1:10" x14ac:dyDescent="0.25">
      <c r="A78" s="115">
        <v>75</v>
      </c>
      <c r="B78" s="112" t="s">
        <v>618</v>
      </c>
      <c r="C78" s="113" t="s">
        <v>619</v>
      </c>
      <c r="D78" s="113" t="s">
        <v>467</v>
      </c>
      <c r="E78" s="113" t="s">
        <v>617</v>
      </c>
      <c r="F78" s="117">
        <v>93.496500961751863</v>
      </c>
      <c r="G78" s="118">
        <v>96.240900961751862</v>
      </c>
      <c r="H78" s="116">
        <v>28.09</v>
      </c>
      <c r="I78" s="119">
        <v>2662</v>
      </c>
      <c r="J78" s="113" t="s">
        <v>277</v>
      </c>
    </row>
    <row r="79" spans="1:10" x14ac:dyDescent="0.25">
      <c r="A79" s="115">
        <v>76</v>
      </c>
      <c r="B79" s="112" t="s">
        <v>620</v>
      </c>
      <c r="C79" s="113" t="s">
        <v>621</v>
      </c>
      <c r="D79" s="113" t="s">
        <v>467</v>
      </c>
      <c r="E79" s="113" t="s">
        <v>617</v>
      </c>
      <c r="F79" s="117">
        <v>93.376667505491469</v>
      </c>
      <c r="G79" s="118">
        <v>99.876667505491469</v>
      </c>
      <c r="H79" s="116">
        <v>28.07</v>
      </c>
      <c r="I79" s="119">
        <v>2790</v>
      </c>
      <c r="J79" s="113" t="s">
        <v>277</v>
      </c>
    </row>
    <row r="80" spans="1:10" x14ac:dyDescent="0.25">
      <c r="A80" s="115">
        <v>77</v>
      </c>
      <c r="B80" s="112" t="s">
        <v>622</v>
      </c>
      <c r="C80" s="113" t="s">
        <v>623</v>
      </c>
      <c r="D80" s="113" t="s">
        <v>467</v>
      </c>
      <c r="E80" s="113" t="s">
        <v>624</v>
      </c>
      <c r="F80" s="117">
        <v>100</v>
      </c>
      <c r="G80" s="118">
        <v>100.00069999999999</v>
      </c>
      <c r="H80" s="116">
        <v>0.02</v>
      </c>
      <c r="I80" s="119">
        <v>3122</v>
      </c>
      <c r="J80" s="113" t="s">
        <v>277</v>
      </c>
    </row>
    <row r="81" spans="1:10" x14ac:dyDescent="0.25">
      <c r="A81" s="115">
        <v>78</v>
      </c>
      <c r="B81" s="112" t="s">
        <v>625</v>
      </c>
      <c r="C81" s="113" t="s">
        <v>626</v>
      </c>
      <c r="D81" s="113" t="s">
        <v>467</v>
      </c>
      <c r="E81" s="113" t="s">
        <v>624</v>
      </c>
      <c r="F81" s="117">
        <v>100</v>
      </c>
      <c r="G81" s="118">
        <v>100.5592</v>
      </c>
      <c r="H81" s="116">
        <v>6.09</v>
      </c>
      <c r="I81" s="119">
        <v>1737</v>
      </c>
      <c r="J81" s="113" t="s">
        <v>277</v>
      </c>
    </row>
    <row r="82" spans="1:10" x14ac:dyDescent="0.25">
      <c r="A82" s="115">
        <v>79</v>
      </c>
      <c r="B82" s="112" t="s">
        <v>627</v>
      </c>
      <c r="C82" s="113" t="s">
        <v>628</v>
      </c>
      <c r="D82" s="113" t="s">
        <v>467</v>
      </c>
      <c r="E82" s="113" t="s">
        <v>624</v>
      </c>
      <c r="F82" s="116">
        <v>100</v>
      </c>
      <c r="G82" s="114">
        <v>105.3447</v>
      </c>
      <c r="H82" s="114">
        <v>7.08</v>
      </c>
      <c r="I82" s="111">
        <v>2219</v>
      </c>
      <c r="J82" s="113" t="s">
        <v>277</v>
      </c>
    </row>
    <row r="83" spans="1:10" x14ac:dyDescent="0.25">
      <c r="A83" s="115">
        <v>80</v>
      </c>
      <c r="B83" s="112" t="s">
        <v>629</v>
      </c>
      <c r="C83" s="113" t="s">
        <v>630</v>
      </c>
      <c r="D83" s="113" t="s">
        <v>467</v>
      </c>
      <c r="E83" s="113" t="s">
        <v>624</v>
      </c>
      <c r="F83" s="116">
        <v>100</v>
      </c>
      <c r="G83" s="114">
        <v>105.8289</v>
      </c>
      <c r="H83" s="114">
        <v>6.09</v>
      </c>
      <c r="I83" s="111">
        <v>2146</v>
      </c>
      <c r="J83" s="113" t="s">
        <v>277</v>
      </c>
    </row>
    <row r="84" spans="1:10" x14ac:dyDescent="0.25">
      <c r="A84" s="115">
        <v>81</v>
      </c>
      <c r="B84" s="112" t="s">
        <v>631</v>
      </c>
      <c r="C84" s="113" t="s">
        <v>632</v>
      </c>
      <c r="D84" s="113" t="s">
        <v>467</v>
      </c>
      <c r="E84" s="113" t="s">
        <v>624</v>
      </c>
      <c r="F84" s="116">
        <v>100</v>
      </c>
      <c r="G84" s="114">
        <v>104.6767</v>
      </c>
      <c r="H84" s="114">
        <v>6.08</v>
      </c>
      <c r="I84" s="111">
        <v>2574</v>
      </c>
      <c r="J84" s="113" t="s">
        <v>277</v>
      </c>
    </row>
    <row r="85" spans="1:10" x14ac:dyDescent="0.25">
      <c r="A85" s="115">
        <v>82</v>
      </c>
      <c r="B85" s="112" t="s">
        <v>633</v>
      </c>
      <c r="C85" s="113" t="s">
        <v>634</v>
      </c>
      <c r="D85" s="113" t="s">
        <v>467</v>
      </c>
      <c r="E85" s="113" t="s">
        <v>624</v>
      </c>
      <c r="F85" s="117">
        <v>100</v>
      </c>
      <c r="G85" s="118">
        <v>104.6767</v>
      </c>
      <c r="H85" s="116">
        <v>6.08</v>
      </c>
      <c r="I85" s="119">
        <v>2574</v>
      </c>
      <c r="J85" s="113" t="s">
        <v>277</v>
      </c>
    </row>
    <row r="86" spans="1:10" x14ac:dyDescent="0.25">
      <c r="A86" s="115">
        <v>83</v>
      </c>
      <c r="B86" s="112" t="s">
        <v>635</v>
      </c>
      <c r="C86" s="113" t="s">
        <v>636</v>
      </c>
      <c r="D86" s="113" t="s">
        <v>467</v>
      </c>
      <c r="E86" s="113" t="s">
        <v>624</v>
      </c>
      <c r="F86" s="116">
        <v>100</v>
      </c>
      <c r="G86" s="114">
        <v>103.5414</v>
      </c>
      <c r="H86" s="114">
        <v>6.08</v>
      </c>
      <c r="I86" s="111">
        <v>2641</v>
      </c>
      <c r="J86" s="113" t="s">
        <v>277</v>
      </c>
    </row>
    <row r="87" spans="1:10" x14ac:dyDescent="0.25">
      <c r="A87" s="115">
        <v>84</v>
      </c>
      <c r="B87" s="112" t="s">
        <v>637</v>
      </c>
      <c r="C87" s="113" t="s">
        <v>638</v>
      </c>
      <c r="D87" s="113" t="s">
        <v>467</v>
      </c>
      <c r="E87" s="113" t="s">
        <v>639</v>
      </c>
      <c r="F87" s="116">
        <v>87.409367777177025</v>
      </c>
      <c r="G87" s="114">
        <v>93.882967777177029</v>
      </c>
      <c r="H87" s="114">
        <v>24.7</v>
      </c>
      <c r="I87" s="111">
        <v>1503</v>
      </c>
      <c r="J87" s="113" t="s">
        <v>277</v>
      </c>
    </row>
    <row r="88" spans="1:10" x14ac:dyDescent="0.25">
      <c r="A88" s="115">
        <v>85</v>
      </c>
      <c r="B88" s="112" t="s">
        <v>640</v>
      </c>
      <c r="C88" s="113" t="s">
        <v>641</v>
      </c>
      <c r="D88" s="113" t="s">
        <v>467</v>
      </c>
      <c r="E88" s="113" t="s">
        <v>642</v>
      </c>
      <c r="F88" s="116">
        <v>96.885618162514206</v>
      </c>
      <c r="G88" s="114">
        <v>96.9856181625142</v>
      </c>
      <c r="H88" s="114">
        <v>0.84</v>
      </c>
      <c r="I88" s="111">
        <v>4980</v>
      </c>
      <c r="J88" s="113" t="s">
        <v>277</v>
      </c>
    </row>
    <row r="89" spans="1:10" x14ac:dyDescent="0.25">
      <c r="A89" s="115">
        <v>86</v>
      </c>
      <c r="B89" s="112" t="s">
        <v>2356</v>
      </c>
      <c r="C89" s="113" t="s">
        <v>2357</v>
      </c>
      <c r="D89" s="113" t="s">
        <v>467</v>
      </c>
      <c r="E89" s="113" t="s">
        <v>2358</v>
      </c>
      <c r="F89" s="117">
        <v>100.6633547889289</v>
      </c>
      <c r="G89" s="118">
        <v>101.0571547889289</v>
      </c>
      <c r="H89" s="116">
        <v>19.95</v>
      </c>
      <c r="I89" s="119">
        <v>1073</v>
      </c>
      <c r="J89" s="113" t="s">
        <v>277</v>
      </c>
    </row>
    <row r="90" spans="1:10" x14ac:dyDescent="0.25">
      <c r="A90" s="115">
        <v>87</v>
      </c>
      <c r="B90" s="112" t="s">
        <v>643</v>
      </c>
      <c r="C90" s="113" t="s">
        <v>644</v>
      </c>
      <c r="D90" s="113" t="s">
        <v>457</v>
      </c>
      <c r="E90" s="113" t="s">
        <v>645</v>
      </c>
      <c r="F90" s="117">
        <v>26.309513435858786</v>
      </c>
      <c r="G90" s="118">
        <v>26.309513435858786</v>
      </c>
      <c r="H90" s="116">
        <v>0</v>
      </c>
      <c r="I90" s="119">
        <v>0</v>
      </c>
      <c r="J90" s="113" t="s">
        <v>246</v>
      </c>
    </row>
    <row r="91" spans="1:10" x14ac:dyDescent="0.25">
      <c r="A91" s="115">
        <v>88</v>
      </c>
      <c r="B91" s="112" t="s">
        <v>646</v>
      </c>
      <c r="C91" s="113" t="s">
        <v>647</v>
      </c>
      <c r="D91" s="113" t="s">
        <v>534</v>
      </c>
      <c r="E91" s="113" t="s">
        <v>645</v>
      </c>
      <c r="F91" s="117">
        <v>2737.9090000000001</v>
      </c>
      <c r="G91" s="118">
        <v>2737.9090000000001</v>
      </c>
      <c r="H91" s="116">
        <v>0</v>
      </c>
      <c r="I91" s="119">
        <v>0</v>
      </c>
      <c r="J91" s="113" t="s">
        <v>246</v>
      </c>
    </row>
    <row r="92" spans="1:10" x14ac:dyDescent="0.25">
      <c r="A92" s="115">
        <v>89</v>
      </c>
      <c r="B92" s="112" t="s">
        <v>648</v>
      </c>
      <c r="C92" s="113" t="s">
        <v>649</v>
      </c>
      <c r="D92" s="113" t="s">
        <v>467</v>
      </c>
      <c r="E92" s="113" t="s">
        <v>650</v>
      </c>
      <c r="F92" s="117">
        <v>99.851917835196133</v>
      </c>
      <c r="G92" s="118">
        <v>106.29801783519613</v>
      </c>
      <c r="H92" s="116">
        <v>17.3</v>
      </c>
      <c r="I92" s="119">
        <v>14</v>
      </c>
      <c r="J92" s="113" t="s">
        <v>277</v>
      </c>
    </row>
    <row r="93" spans="1:10" x14ac:dyDescent="0.25">
      <c r="A93" s="115">
        <v>90</v>
      </c>
      <c r="B93" s="112" t="s">
        <v>651</v>
      </c>
      <c r="C93" s="113" t="s">
        <v>652</v>
      </c>
      <c r="D93" s="113" t="s">
        <v>467</v>
      </c>
      <c r="E93" s="113" t="s">
        <v>650</v>
      </c>
      <c r="F93" s="117">
        <v>87.583383258394832</v>
      </c>
      <c r="G93" s="118">
        <v>92.714183258394826</v>
      </c>
      <c r="H93" s="116">
        <v>17.510000000000002</v>
      </c>
      <c r="I93" s="119">
        <v>1939</v>
      </c>
      <c r="J93" s="113" t="s">
        <v>277</v>
      </c>
    </row>
    <row r="94" spans="1:10" x14ac:dyDescent="0.25">
      <c r="A94" s="115">
        <v>91</v>
      </c>
      <c r="B94" s="112" t="s">
        <v>653</v>
      </c>
      <c r="C94" s="113" t="s">
        <v>654</v>
      </c>
      <c r="D94" s="113" t="s">
        <v>467</v>
      </c>
      <c r="E94" s="113" t="s">
        <v>650</v>
      </c>
      <c r="F94" s="117">
        <v>99.578999999999994</v>
      </c>
      <c r="G94" s="118">
        <v>100.5478</v>
      </c>
      <c r="H94" s="116">
        <v>3.91</v>
      </c>
      <c r="I94" s="119">
        <v>987</v>
      </c>
      <c r="J94" s="113" t="s">
        <v>277</v>
      </c>
    </row>
    <row r="95" spans="1:10" x14ac:dyDescent="0.25">
      <c r="A95" s="115">
        <v>92</v>
      </c>
      <c r="B95" s="112" t="s">
        <v>655</v>
      </c>
      <c r="C95" s="113" t="s">
        <v>656</v>
      </c>
      <c r="D95" s="113" t="s">
        <v>467</v>
      </c>
      <c r="E95" s="113" t="s">
        <v>650</v>
      </c>
      <c r="F95" s="117">
        <v>101.401</v>
      </c>
      <c r="G95" s="118">
        <v>103.1267</v>
      </c>
      <c r="H95" s="116">
        <v>3.95</v>
      </c>
      <c r="I95" s="119">
        <v>1298</v>
      </c>
      <c r="J95" s="113" t="s">
        <v>277</v>
      </c>
    </row>
    <row r="96" spans="1:10" x14ac:dyDescent="0.25">
      <c r="A96" s="115">
        <v>93</v>
      </c>
      <c r="B96" s="112" t="s">
        <v>2038</v>
      </c>
      <c r="C96" s="113" t="s">
        <v>2039</v>
      </c>
      <c r="D96" s="113" t="s">
        <v>467</v>
      </c>
      <c r="E96" s="113" t="s">
        <v>650</v>
      </c>
      <c r="F96" s="117">
        <v>95.433198025549586</v>
      </c>
      <c r="G96" s="118">
        <v>95.665498025549581</v>
      </c>
      <c r="H96" s="116">
        <v>17.45</v>
      </c>
      <c r="I96" s="119">
        <v>533</v>
      </c>
      <c r="J96" s="113" t="s">
        <v>277</v>
      </c>
    </row>
    <row r="97" spans="1:10" x14ac:dyDescent="0.25">
      <c r="A97" s="115">
        <v>94</v>
      </c>
      <c r="B97" s="112" t="s">
        <v>657</v>
      </c>
      <c r="C97" s="113" t="s">
        <v>658</v>
      </c>
      <c r="D97" s="113" t="s">
        <v>467</v>
      </c>
      <c r="E97" s="113" t="s">
        <v>650</v>
      </c>
      <c r="F97" s="117">
        <v>98.847059096010838</v>
      </c>
      <c r="G97" s="118">
        <v>102.06355909601083</v>
      </c>
      <c r="H97" s="116">
        <v>15.37</v>
      </c>
      <c r="I97" s="119">
        <v>182</v>
      </c>
      <c r="J97" s="113" t="s">
        <v>277</v>
      </c>
    </row>
    <row r="98" spans="1:10" x14ac:dyDescent="0.25">
      <c r="A98" s="115">
        <v>95</v>
      </c>
      <c r="B98" s="112" t="s">
        <v>2110</v>
      </c>
      <c r="C98" s="113" t="s">
        <v>2111</v>
      </c>
      <c r="D98" s="113" t="s">
        <v>467</v>
      </c>
      <c r="E98" s="113" t="s">
        <v>650</v>
      </c>
      <c r="F98" s="117">
        <v>92.320597391225775</v>
      </c>
      <c r="G98" s="118">
        <v>97.906297391225777</v>
      </c>
      <c r="H98" s="116">
        <v>17.829999999999998</v>
      </c>
      <c r="I98" s="119">
        <v>1670</v>
      </c>
      <c r="J98" s="113" t="s">
        <v>277</v>
      </c>
    </row>
    <row r="99" spans="1:10" x14ac:dyDescent="0.25">
      <c r="A99" s="115">
        <v>96</v>
      </c>
      <c r="B99" s="112" t="s">
        <v>659</v>
      </c>
      <c r="C99" s="113" t="s">
        <v>660</v>
      </c>
      <c r="D99" s="113" t="s">
        <v>467</v>
      </c>
      <c r="E99" s="113" t="s">
        <v>650</v>
      </c>
      <c r="F99" s="117">
        <v>76.733000000000004</v>
      </c>
      <c r="G99" s="118">
        <v>80.426500000000004</v>
      </c>
      <c r="H99" s="116">
        <v>16.64</v>
      </c>
      <c r="I99" s="119">
        <v>1939</v>
      </c>
      <c r="J99" s="113" t="s">
        <v>277</v>
      </c>
    </row>
    <row r="100" spans="1:10" x14ac:dyDescent="0.25">
      <c r="A100" s="115">
        <v>97</v>
      </c>
      <c r="B100" s="112" t="s">
        <v>661</v>
      </c>
      <c r="C100" s="113" t="s">
        <v>662</v>
      </c>
      <c r="D100" s="113" t="s">
        <v>457</v>
      </c>
      <c r="E100" s="113" t="s">
        <v>650</v>
      </c>
      <c r="F100" s="117">
        <v>1.0022569444444445</v>
      </c>
      <c r="G100" s="118">
        <v>1.0022569444444445</v>
      </c>
      <c r="H100" s="116">
        <v>0</v>
      </c>
      <c r="I100" s="119">
        <v>229</v>
      </c>
      <c r="J100" s="113" t="s">
        <v>246</v>
      </c>
    </row>
    <row r="101" spans="1:10" x14ac:dyDescent="0.25">
      <c r="A101" s="115">
        <v>98</v>
      </c>
      <c r="B101" s="112" t="s">
        <v>663</v>
      </c>
      <c r="C101" s="113" t="s">
        <v>664</v>
      </c>
      <c r="D101" s="113" t="s">
        <v>457</v>
      </c>
      <c r="E101" s="113" t="s">
        <v>650</v>
      </c>
      <c r="F101" s="117">
        <v>0.87611638888888888</v>
      </c>
      <c r="G101" s="118">
        <v>0.87611638888888888</v>
      </c>
      <c r="H101" s="116">
        <v>0</v>
      </c>
      <c r="I101" s="119">
        <v>1490</v>
      </c>
      <c r="J101" s="113" t="s">
        <v>246</v>
      </c>
    </row>
    <row r="102" spans="1:10" x14ac:dyDescent="0.25">
      <c r="A102" s="115">
        <v>99</v>
      </c>
      <c r="B102" s="112" t="s">
        <v>665</v>
      </c>
      <c r="C102" s="113" t="s">
        <v>666</v>
      </c>
      <c r="D102" s="113" t="s">
        <v>467</v>
      </c>
      <c r="E102" s="113" t="s">
        <v>650</v>
      </c>
      <c r="F102" s="117">
        <v>79.662000000000006</v>
      </c>
      <c r="G102" s="118">
        <v>83.6648</v>
      </c>
      <c r="H102" s="116">
        <v>16.64</v>
      </c>
      <c r="I102" s="119">
        <v>1939</v>
      </c>
      <c r="J102" s="113" t="s">
        <v>277</v>
      </c>
    </row>
    <row r="103" spans="1:10" x14ac:dyDescent="0.25">
      <c r="A103" s="115">
        <v>100</v>
      </c>
      <c r="B103" s="112" t="s">
        <v>667</v>
      </c>
      <c r="C103" s="113" t="s">
        <v>668</v>
      </c>
      <c r="D103" s="113" t="s">
        <v>467</v>
      </c>
      <c r="E103" s="113" t="s">
        <v>669</v>
      </c>
      <c r="F103" s="117">
        <v>100</v>
      </c>
      <c r="G103" s="118">
        <v>100.21250000000001</v>
      </c>
      <c r="H103" s="116">
        <v>4.24</v>
      </c>
      <c r="I103" s="119">
        <v>282</v>
      </c>
      <c r="J103" s="113" t="s">
        <v>277</v>
      </c>
    </row>
    <row r="104" spans="1:10" x14ac:dyDescent="0.25">
      <c r="A104" s="115">
        <v>101</v>
      </c>
      <c r="B104" s="112" t="s">
        <v>2352</v>
      </c>
      <c r="C104" s="113" t="s">
        <v>2353</v>
      </c>
      <c r="D104" s="113" t="s">
        <v>467</v>
      </c>
      <c r="E104" s="113" t="s">
        <v>669</v>
      </c>
      <c r="F104" s="117">
        <v>100</v>
      </c>
      <c r="G104" s="118">
        <v>100.1653</v>
      </c>
      <c r="H104" s="116">
        <v>4.24</v>
      </c>
      <c r="I104" s="119">
        <v>646</v>
      </c>
      <c r="J104" s="113" t="s">
        <v>277</v>
      </c>
    </row>
    <row r="105" spans="1:10" x14ac:dyDescent="0.25">
      <c r="A105" s="115">
        <v>102</v>
      </c>
      <c r="B105" s="112" t="s">
        <v>670</v>
      </c>
      <c r="C105" s="113" t="s">
        <v>671</v>
      </c>
      <c r="D105" s="113" t="s">
        <v>467</v>
      </c>
      <c r="E105" s="113" t="s">
        <v>669</v>
      </c>
      <c r="F105" s="117">
        <v>100</v>
      </c>
      <c r="G105" s="118">
        <v>100.069</v>
      </c>
      <c r="H105" s="116">
        <v>0.35</v>
      </c>
      <c r="I105" s="119">
        <v>289</v>
      </c>
      <c r="J105" s="113" t="s">
        <v>277</v>
      </c>
    </row>
    <row r="106" spans="1:10" x14ac:dyDescent="0.25">
      <c r="A106" s="115">
        <v>103</v>
      </c>
      <c r="B106" s="112" t="s">
        <v>672</v>
      </c>
      <c r="C106" s="113" t="s">
        <v>673</v>
      </c>
      <c r="D106" s="113" t="s">
        <v>467</v>
      </c>
      <c r="E106" s="113" t="s">
        <v>669</v>
      </c>
      <c r="F106" s="117">
        <v>100</v>
      </c>
      <c r="G106" s="118">
        <v>100.0196</v>
      </c>
      <c r="H106" s="116">
        <v>0.02</v>
      </c>
      <c r="I106" s="119">
        <v>3122</v>
      </c>
      <c r="J106" s="113" t="s">
        <v>277</v>
      </c>
    </row>
    <row r="107" spans="1:10" x14ac:dyDescent="0.25">
      <c r="A107" s="115">
        <v>104</v>
      </c>
      <c r="B107" s="112" t="s">
        <v>674</v>
      </c>
      <c r="C107" s="113" t="s">
        <v>675</v>
      </c>
      <c r="D107" s="113" t="s">
        <v>467</v>
      </c>
      <c r="E107" s="113" t="s">
        <v>669</v>
      </c>
      <c r="F107" s="117">
        <v>100</v>
      </c>
      <c r="G107" s="118">
        <v>100.5592</v>
      </c>
      <c r="H107" s="116">
        <v>6.09</v>
      </c>
      <c r="I107" s="119">
        <v>1737</v>
      </c>
      <c r="J107" s="113" t="s">
        <v>277</v>
      </c>
    </row>
    <row r="108" spans="1:10" x14ac:dyDescent="0.25">
      <c r="A108" s="115">
        <v>105</v>
      </c>
      <c r="B108" s="112" t="s">
        <v>676</v>
      </c>
      <c r="C108" s="113" t="s">
        <v>677</v>
      </c>
      <c r="D108" s="113" t="s">
        <v>457</v>
      </c>
      <c r="E108" s="113" t="s">
        <v>678</v>
      </c>
      <c r="F108" s="117">
        <v>0.01</v>
      </c>
      <c r="G108" s="118">
        <v>0.01</v>
      </c>
      <c r="H108" s="116">
        <v>0</v>
      </c>
      <c r="I108" s="119">
        <v>0</v>
      </c>
      <c r="J108" s="113" t="s">
        <v>246</v>
      </c>
    </row>
    <row r="109" spans="1:10" x14ac:dyDescent="0.25">
      <c r="A109" s="115">
        <v>106</v>
      </c>
      <c r="B109" s="112" t="s">
        <v>679</v>
      </c>
      <c r="C109" s="113" t="s">
        <v>680</v>
      </c>
      <c r="D109" s="113" t="s">
        <v>467</v>
      </c>
      <c r="E109" s="113" t="s">
        <v>678</v>
      </c>
      <c r="F109" s="117">
        <v>93.35202059045892</v>
      </c>
      <c r="G109" s="118">
        <v>94.777020590458932</v>
      </c>
      <c r="H109" s="116">
        <v>14.61</v>
      </c>
      <c r="I109" s="119">
        <v>483</v>
      </c>
      <c r="J109" s="113" t="s">
        <v>277</v>
      </c>
    </row>
    <row r="110" spans="1:10" x14ac:dyDescent="0.25">
      <c r="A110" s="115">
        <v>107</v>
      </c>
      <c r="B110" s="112" t="s">
        <v>681</v>
      </c>
      <c r="C110" s="113" t="s">
        <v>682</v>
      </c>
      <c r="D110" s="113" t="s">
        <v>457</v>
      </c>
      <c r="E110" s="113" t="s">
        <v>678</v>
      </c>
      <c r="F110" s="117">
        <v>0.01</v>
      </c>
      <c r="G110" s="118">
        <v>0.01</v>
      </c>
      <c r="H110" s="116">
        <v>0</v>
      </c>
      <c r="I110" s="119">
        <v>0</v>
      </c>
      <c r="J110" s="113" t="s">
        <v>246</v>
      </c>
    </row>
    <row r="111" spans="1:10" x14ac:dyDescent="0.25">
      <c r="A111" s="115">
        <v>108</v>
      </c>
      <c r="B111" s="112" t="s">
        <v>683</v>
      </c>
      <c r="C111" s="113" t="s">
        <v>684</v>
      </c>
      <c r="D111" s="113" t="s">
        <v>457</v>
      </c>
      <c r="E111" s="113" t="s">
        <v>685</v>
      </c>
      <c r="F111" s="117">
        <v>2418.66</v>
      </c>
      <c r="G111" s="118">
        <v>2418.66</v>
      </c>
      <c r="H111" s="116">
        <v>0</v>
      </c>
      <c r="I111" s="119">
        <v>0</v>
      </c>
      <c r="J111" s="113" t="s">
        <v>246</v>
      </c>
    </row>
    <row r="112" spans="1:10" x14ac:dyDescent="0.25">
      <c r="A112" s="115">
        <v>109</v>
      </c>
      <c r="B112" s="112" t="s">
        <v>686</v>
      </c>
      <c r="C112" s="113" t="s">
        <v>687</v>
      </c>
      <c r="D112" s="113" t="s">
        <v>467</v>
      </c>
      <c r="E112" s="113" t="s">
        <v>688</v>
      </c>
      <c r="F112" s="117">
        <v>93.899246634836999</v>
      </c>
      <c r="G112" s="118">
        <v>98.160346634836998</v>
      </c>
      <c r="H112" s="116">
        <v>27.96</v>
      </c>
      <c r="I112" s="119">
        <v>2641</v>
      </c>
      <c r="J112" s="113" t="s">
        <v>277</v>
      </c>
    </row>
    <row r="113" spans="1:10" x14ac:dyDescent="0.25">
      <c r="A113" s="115">
        <v>110</v>
      </c>
      <c r="B113" s="112" t="s">
        <v>689</v>
      </c>
      <c r="C113" s="113" t="s">
        <v>690</v>
      </c>
      <c r="D113" s="113" t="s">
        <v>467</v>
      </c>
      <c r="E113" s="113" t="s">
        <v>688</v>
      </c>
      <c r="F113" s="117">
        <v>90.512722403440137</v>
      </c>
      <c r="G113" s="118">
        <v>90.79052240344015</v>
      </c>
      <c r="H113" s="116">
        <v>27.92</v>
      </c>
      <c r="I113" s="119">
        <v>3146</v>
      </c>
      <c r="J113" s="113" t="s">
        <v>277</v>
      </c>
    </row>
    <row r="114" spans="1:10" x14ac:dyDescent="0.25">
      <c r="A114" s="115">
        <v>111</v>
      </c>
      <c r="B114" s="112" t="s">
        <v>691</v>
      </c>
      <c r="C114" s="113" t="s">
        <v>692</v>
      </c>
      <c r="D114" s="113" t="s">
        <v>457</v>
      </c>
      <c r="E114" s="113" t="s">
        <v>693</v>
      </c>
      <c r="F114" s="117">
        <v>0.01</v>
      </c>
      <c r="G114" s="118">
        <v>0.01</v>
      </c>
      <c r="H114" s="116">
        <v>0</v>
      </c>
      <c r="I114" s="119">
        <v>0</v>
      </c>
      <c r="J114" s="113" t="s">
        <v>246</v>
      </c>
    </row>
    <row r="115" spans="1:10" x14ac:dyDescent="0.25">
      <c r="A115" s="115">
        <v>112</v>
      </c>
      <c r="B115" s="112" t="s">
        <v>697</v>
      </c>
      <c r="C115" s="113" t="s">
        <v>698</v>
      </c>
      <c r="D115" s="113" t="s">
        <v>457</v>
      </c>
      <c r="E115" s="113" t="s">
        <v>699</v>
      </c>
      <c r="F115" s="117">
        <v>0.01</v>
      </c>
      <c r="G115" s="118">
        <v>0.01</v>
      </c>
      <c r="H115" s="116">
        <v>0</v>
      </c>
      <c r="I115" s="119">
        <v>0</v>
      </c>
      <c r="J115" s="113" t="s">
        <v>246</v>
      </c>
    </row>
    <row r="116" spans="1:10" x14ac:dyDescent="0.25">
      <c r="A116" s="115">
        <v>113</v>
      </c>
      <c r="B116" s="112" t="s">
        <v>700</v>
      </c>
      <c r="C116" s="113" t="s">
        <v>701</v>
      </c>
      <c r="D116" s="113" t="s">
        <v>467</v>
      </c>
      <c r="E116" s="113" t="s">
        <v>2301</v>
      </c>
      <c r="F116" s="117">
        <v>95.89103593867469</v>
      </c>
      <c r="G116" s="118">
        <v>99.966835938674691</v>
      </c>
      <c r="H116" s="116">
        <v>18.09</v>
      </c>
      <c r="I116" s="119">
        <v>226</v>
      </c>
      <c r="J116" s="113" t="s">
        <v>277</v>
      </c>
    </row>
    <row r="117" spans="1:10" x14ac:dyDescent="0.25">
      <c r="A117" s="115">
        <v>114</v>
      </c>
      <c r="B117" s="112" t="s">
        <v>702</v>
      </c>
      <c r="C117" s="113" t="s">
        <v>703</v>
      </c>
      <c r="D117" s="113" t="s">
        <v>467</v>
      </c>
      <c r="E117" s="113" t="s">
        <v>2301</v>
      </c>
      <c r="F117" s="117">
        <v>8.2005520206879474</v>
      </c>
      <c r="G117" s="118">
        <v>8.2783520206879473</v>
      </c>
      <c r="H117" s="116">
        <v>16.89</v>
      </c>
      <c r="I117" s="119">
        <v>5493</v>
      </c>
      <c r="J117" s="113" t="s">
        <v>277</v>
      </c>
    </row>
    <row r="118" spans="1:10" x14ac:dyDescent="0.25">
      <c r="A118" s="115">
        <v>115</v>
      </c>
      <c r="B118" s="112" t="s">
        <v>704</v>
      </c>
      <c r="C118" s="113" t="s">
        <v>705</v>
      </c>
      <c r="D118" s="113" t="s">
        <v>467</v>
      </c>
      <c r="E118" s="113" t="s">
        <v>706</v>
      </c>
      <c r="F118" s="117">
        <v>100</v>
      </c>
      <c r="G118" s="118">
        <v>101.8535</v>
      </c>
      <c r="H118" s="116">
        <v>4.24</v>
      </c>
      <c r="I118" s="119">
        <v>323</v>
      </c>
      <c r="J118" s="113" t="s">
        <v>277</v>
      </c>
    </row>
    <row r="119" spans="1:10" x14ac:dyDescent="0.25">
      <c r="A119" s="115">
        <v>116</v>
      </c>
      <c r="B119" s="112" t="s">
        <v>707</v>
      </c>
      <c r="C119" s="113" t="s">
        <v>708</v>
      </c>
      <c r="D119" s="113" t="s">
        <v>467</v>
      </c>
      <c r="E119" s="113" t="s">
        <v>706</v>
      </c>
      <c r="F119" s="117">
        <v>100</v>
      </c>
      <c r="G119" s="118">
        <v>100.0496</v>
      </c>
      <c r="H119" s="116">
        <v>0.35</v>
      </c>
      <c r="I119" s="119">
        <v>309</v>
      </c>
      <c r="J119" s="113" t="s">
        <v>277</v>
      </c>
    </row>
    <row r="120" spans="1:10" x14ac:dyDescent="0.25">
      <c r="A120" s="115">
        <v>117</v>
      </c>
      <c r="B120" s="112" t="s">
        <v>2312</v>
      </c>
      <c r="C120" s="113" t="s">
        <v>2313</v>
      </c>
      <c r="D120" s="113" t="s">
        <v>467</v>
      </c>
      <c r="E120" s="113" t="s">
        <v>706</v>
      </c>
      <c r="F120" s="117">
        <v>100</v>
      </c>
      <c r="G120" s="118">
        <v>100.02719999999999</v>
      </c>
      <c r="H120" s="116">
        <v>0.35</v>
      </c>
      <c r="I120" s="119">
        <v>692</v>
      </c>
      <c r="J120" s="113" t="s">
        <v>277</v>
      </c>
    </row>
    <row r="121" spans="1:10" x14ac:dyDescent="0.25">
      <c r="A121" s="115">
        <v>118</v>
      </c>
      <c r="B121" s="112" t="s">
        <v>709</v>
      </c>
      <c r="C121" s="113" t="s">
        <v>710</v>
      </c>
      <c r="D121" s="113" t="s">
        <v>467</v>
      </c>
      <c r="E121" s="113" t="s">
        <v>706</v>
      </c>
      <c r="F121" s="117">
        <v>100</v>
      </c>
      <c r="G121" s="118">
        <v>100.0168</v>
      </c>
      <c r="H121" s="116">
        <v>0.02</v>
      </c>
      <c r="I121" s="119">
        <v>3122</v>
      </c>
      <c r="J121" s="113" t="s">
        <v>277</v>
      </c>
    </row>
    <row r="122" spans="1:10" x14ac:dyDescent="0.25">
      <c r="A122" s="115">
        <v>119</v>
      </c>
      <c r="B122" s="112" t="s">
        <v>711</v>
      </c>
      <c r="C122" s="113" t="s">
        <v>712</v>
      </c>
      <c r="D122" s="113" t="s">
        <v>467</v>
      </c>
      <c r="E122" s="113" t="s">
        <v>706</v>
      </c>
      <c r="F122" s="117">
        <v>100</v>
      </c>
      <c r="G122" s="118">
        <v>100.0196</v>
      </c>
      <c r="H122" s="116">
        <v>0.02</v>
      </c>
      <c r="I122" s="119">
        <v>3122</v>
      </c>
      <c r="J122" s="113" t="s">
        <v>277</v>
      </c>
    </row>
    <row r="123" spans="1:10" x14ac:dyDescent="0.25">
      <c r="A123" s="115">
        <v>120</v>
      </c>
      <c r="B123" s="112" t="s">
        <v>713</v>
      </c>
      <c r="C123" s="113" t="s">
        <v>714</v>
      </c>
      <c r="D123" s="113" t="s">
        <v>467</v>
      </c>
      <c r="E123" s="113" t="s">
        <v>706</v>
      </c>
      <c r="F123" s="117">
        <v>100</v>
      </c>
      <c r="G123" s="118">
        <v>100.5592</v>
      </c>
      <c r="H123" s="116">
        <v>6.09</v>
      </c>
      <c r="I123" s="119">
        <v>1737</v>
      </c>
      <c r="J123" s="113" t="s">
        <v>277</v>
      </c>
    </row>
    <row r="124" spans="1:10" x14ac:dyDescent="0.25">
      <c r="A124" s="115">
        <v>121</v>
      </c>
      <c r="B124" s="112" t="s">
        <v>715</v>
      </c>
      <c r="C124" s="113" t="s">
        <v>716</v>
      </c>
      <c r="D124" s="113" t="s">
        <v>467</v>
      </c>
      <c r="E124" s="113" t="s">
        <v>706</v>
      </c>
      <c r="F124" s="117">
        <v>100</v>
      </c>
      <c r="G124" s="118">
        <v>105.3447</v>
      </c>
      <c r="H124" s="116">
        <v>7.08</v>
      </c>
      <c r="I124" s="119">
        <v>2219</v>
      </c>
      <c r="J124" s="113" t="s">
        <v>277</v>
      </c>
    </row>
    <row r="125" spans="1:10" x14ac:dyDescent="0.25">
      <c r="A125" s="115">
        <v>122</v>
      </c>
      <c r="B125" s="112" t="s">
        <v>717</v>
      </c>
      <c r="C125" s="113" t="s">
        <v>718</v>
      </c>
      <c r="D125" s="113" t="s">
        <v>467</v>
      </c>
      <c r="E125" s="113" t="s">
        <v>706</v>
      </c>
      <c r="F125" s="117">
        <v>100</v>
      </c>
      <c r="G125" s="118">
        <v>105.8289</v>
      </c>
      <c r="H125" s="116">
        <v>6.09</v>
      </c>
      <c r="I125" s="119">
        <v>2146</v>
      </c>
      <c r="J125" s="113" t="s">
        <v>277</v>
      </c>
    </row>
    <row r="126" spans="1:10" x14ac:dyDescent="0.25">
      <c r="A126" s="115">
        <v>123</v>
      </c>
      <c r="B126" s="112" t="s">
        <v>719</v>
      </c>
      <c r="C126" s="113" t="s">
        <v>720</v>
      </c>
      <c r="D126" s="113" t="s">
        <v>467</v>
      </c>
      <c r="E126" s="113" t="s">
        <v>706</v>
      </c>
      <c r="F126" s="117">
        <v>100</v>
      </c>
      <c r="G126" s="118">
        <v>104.6767</v>
      </c>
      <c r="H126" s="116">
        <v>6.08</v>
      </c>
      <c r="I126" s="119">
        <v>2574</v>
      </c>
      <c r="J126" s="113" t="s">
        <v>277</v>
      </c>
    </row>
    <row r="127" spans="1:10" x14ac:dyDescent="0.25">
      <c r="A127" s="115">
        <v>124</v>
      </c>
      <c r="B127" s="112" t="s">
        <v>721</v>
      </c>
      <c r="C127" s="113" t="s">
        <v>722</v>
      </c>
      <c r="D127" s="113" t="s">
        <v>467</v>
      </c>
      <c r="E127" s="113" t="s">
        <v>706</v>
      </c>
      <c r="F127" s="117">
        <v>100</v>
      </c>
      <c r="G127" s="118">
        <v>104.6767</v>
      </c>
      <c r="H127" s="116">
        <v>6.08</v>
      </c>
      <c r="I127" s="119">
        <v>2574</v>
      </c>
      <c r="J127" s="113" t="s">
        <v>277</v>
      </c>
    </row>
    <row r="128" spans="1:10" x14ac:dyDescent="0.25">
      <c r="A128" s="115">
        <v>125</v>
      </c>
      <c r="B128" s="112" t="s">
        <v>723</v>
      </c>
      <c r="C128" s="113" t="s">
        <v>724</v>
      </c>
      <c r="D128" s="113" t="s">
        <v>467</v>
      </c>
      <c r="E128" s="113" t="s">
        <v>706</v>
      </c>
      <c r="F128" s="117">
        <v>100</v>
      </c>
      <c r="G128" s="118">
        <v>103.5414</v>
      </c>
      <c r="H128" s="116">
        <v>6.08</v>
      </c>
      <c r="I128" s="119">
        <v>2641</v>
      </c>
      <c r="J128" s="113" t="s">
        <v>277</v>
      </c>
    </row>
    <row r="129" spans="1:10" x14ac:dyDescent="0.25">
      <c r="A129" s="115">
        <v>126</v>
      </c>
      <c r="B129" s="112" t="s">
        <v>725</v>
      </c>
      <c r="C129" s="113" t="s">
        <v>726</v>
      </c>
      <c r="D129" s="113" t="s">
        <v>457</v>
      </c>
      <c r="E129" s="113" t="s">
        <v>727</v>
      </c>
      <c r="F129" s="117">
        <v>0.01</v>
      </c>
      <c r="G129" s="118">
        <v>0.01</v>
      </c>
      <c r="H129" s="116">
        <v>0</v>
      </c>
      <c r="I129" s="119">
        <v>0</v>
      </c>
      <c r="J129" s="113" t="s">
        <v>246</v>
      </c>
    </row>
    <row r="130" spans="1:10" x14ac:dyDescent="0.25">
      <c r="A130" s="115">
        <v>127</v>
      </c>
      <c r="B130" s="112" t="s">
        <v>694</v>
      </c>
      <c r="C130" s="113" t="s">
        <v>695</v>
      </c>
      <c r="D130" s="113" t="s">
        <v>467</v>
      </c>
      <c r="E130" s="113" t="s">
        <v>696</v>
      </c>
      <c r="F130" s="117">
        <v>30.45</v>
      </c>
      <c r="G130" s="118">
        <v>30.5152</v>
      </c>
      <c r="H130" s="116">
        <v>3.18</v>
      </c>
      <c r="I130" s="119">
        <v>34670</v>
      </c>
      <c r="J130" s="113" t="s">
        <v>277</v>
      </c>
    </row>
    <row r="131" spans="1:10" x14ac:dyDescent="0.25">
      <c r="A131" s="115">
        <v>128</v>
      </c>
      <c r="B131" s="112" t="s">
        <v>728</v>
      </c>
      <c r="C131" s="113" t="s">
        <v>729</v>
      </c>
      <c r="D131" s="113" t="s">
        <v>467</v>
      </c>
      <c r="E131" s="113" t="s">
        <v>730</v>
      </c>
      <c r="F131" s="117">
        <v>93.154222240796528</v>
      </c>
      <c r="G131" s="118">
        <v>98.354222240796517</v>
      </c>
      <c r="H131" s="116">
        <v>28.25</v>
      </c>
      <c r="I131" s="119">
        <v>2538</v>
      </c>
      <c r="J131" s="113" t="s">
        <v>277</v>
      </c>
    </row>
    <row r="132" spans="1:10" x14ac:dyDescent="0.25">
      <c r="A132" s="115">
        <v>129</v>
      </c>
      <c r="B132" s="112" t="s">
        <v>731</v>
      </c>
      <c r="C132" s="113" t="s">
        <v>732</v>
      </c>
      <c r="D132" s="113" t="s">
        <v>467</v>
      </c>
      <c r="E132" s="113" t="s">
        <v>730</v>
      </c>
      <c r="F132" s="117">
        <v>89.692203199174102</v>
      </c>
      <c r="G132" s="118">
        <v>90.456103199174095</v>
      </c>
      <c r="H132" s="116">
        <v>28.2</v>
      </c>
      <c r="I132" s="119">
        <v>3139</v>
      </c>
      <c r="J132" s="113" t="s">
        <v>277</v>
      </c>
    </row>
    <row r="133" spans="1:10" x14ac:dyDescent="0.25">
      <c r="A133" s="115">
        <v>130</v>
      </c>
      <c r="B133" s="112" t="s">
        <v>733</v>
      </c>
      <c r="C133" s="113" t="s">
        <v>734</v>
      </c>
      <c r="D133" s="113" t="s">
        <v>457</v>
      </c>
      <c r="E133" s="113" t="s">
        <v>735</v>
      </c>
      <c r="F133" s="117">
        <v>0.01</v>
      </c>
      <c r="G133" s="118">
        <v>0.01</v>
      </c>
      <c r="H133" s="116">
        <v>0</v>
      </c>
      <c r="I133" s="119">
        <v>0</v>
      </c>
      <c r="J133" s="113" t="s">
        <v>246</v>
      </c>
    </row>
    <row r="134" spans="1:10" x14ac:dyDescent="0.25">
      <c r="A134" s="115">
        <v>131</v>
      </c>
      <c r="B134" s="112" t="s">
        <v>736</v>
      </c>
      <c r="C134" s="113" t="s">
        <v>737</v>
      </c>
      <c r="D134" s="113" t="s">
        <v>457</v>
      </c>
      <c r="E134" s="113" t="s">
        <v>735</v>
      </c>
      <c r="F134" s="117">
        <v>0.01</v>
      </c>
      <c r="G134" s="118">
        <v>0.01</v>
      </c>
      <c r="H134" s="116">
        <v>0</v>
      </c>
      <c r="I134" s="119">
        <v>0</v>
      </c>
      <c r="J134" s="113" t="s">
        <v>246</v>
      </c>
    </row>
    <row r="135" spans="1:10" x14ac:dyDescent="0.25">
      <c r="A135" s="115">
        <v>132</v>
      </c>
      <c r="B135" s="112" t="s">
        <v>741</v>
      </c>
      <c r="C135" s="113" t="s">
        <v>742</v>
      </c>
      <c r="D135" s="113" t="s">
        <v>457</v>
      </c>
      <c r="E135" s="113" t="s">
        <v>743</v>
      </c>
      <c r="F135" s="117">
        <v>26311.07775</v>
      </c>
      <c r="G135" s="118">
        <v>26311.07775</v>
      </c>
      <c r="H135" s="116">
        <v>0</v>
      </c>
      <c r="I135" s="119">
        <v>0</v>
      </c>
      <c r="J135" s="113" t="s">
        <v>246</v>
      </c>
    </row>
    <row r="136" spans="1:10" x14ac:dyDescent="0.25">
      <c r="A136" s="115">
        <v>133</v>
      </c>
      <c r="B136" s="112" t="s">
        <v>744</v>
      </c>
      <c r="C136" s="113" t="s">
        <v>745</v>
      </c>
      <c r="D136" s="113" t="s">
        <v>457</v>
      </c>
      <c r="E136" s="113" t="s">
        <v>746</v>
      </c>
      <c r="F136" s="117">
        <v>6366.8388118414805</v>
      </c>
      <c r="G136" s="118">
        <v>6366.8388118414805</v>
      </c>
      <c r="H136" s="116">
        <v>0</v>
      </c>
      <c r="I136" s="119">
        <v>0</v>
      </c>
      <c r="J136" s="113" t="s">
        <v>246</v>
      </c>
    </row>
    <row r="137" spans="1:10" x14ac:dyDescent="0.25">
      <c r="A137" s="115">
        <v>134</v>
      </c>
      <c r="B137" s="112" t="s">
        <v>738</v>
      </c>
      <c r="C137" s="113" t="s">
        <v>739</v>
      </c>
      <c r="D137" s="113" t="s">
        <v>457</v>
      </c>
      <c r="E137" s="113" t="s">
        <v>740</v>
      </c>
      <c r="F137" s="117">
        <v>126227.70239999999</v>
      </c>
      <c r="G137" s="118">
        <v>126227.70239999999</v>
      </c>
      <c r="H137" s="116">
        <v>0</v>
      </c>
      <c r="I137" s="119">
        <v>0</v>
      </c>
      <c r="J137" s="113" t="s">
        <v>246</v>
      </c>
    </row>
    <row r="138" spans="1:10" x14ac:dyDescent="0.25">
      <c r="A138" s="115">
        <v>135</v>
      </c>
      <c r="B138" s="112" t="s">
        <v>747</v>
      </c>
      <c r="C138" s="113" t="s">
        <v>748</v>
      </c>
      <c r="D138" s="113" t="s">
        <v>749</v>
      </c>
      <c r="E138" s="113" t="s">
        <v>28</v>
      </c>
      <c r="F138" s="117">
        <v>67514.710904939013</v>
      </c>
      <c r="G138" s="118">
        <v>67514.710904939013</v>
      </c>
      <c r="H138" s="116">
        <v>0</v>
      </c>
      <c r="I138" s="119">
        <v>0</v>
      </c>
      <c r="J138" s="113" t="s">
        <v>246</v>
      </c>
    </row>
    <row r="139" spans="1:10" x14ac:dyDescent="0.25">
      <c r="A139" s="115">
        <v>136</v>
      </c>
      <c r="B139" s="112" t="s">
        <v>26</v>
      </c>
      <c r="C139" s="113" t="s">
        <v>27</v>
      </c>
      <c r="D139" s="113" t="s">
        <v>749</v>
      </c>
      <c r="E139" s="113" t="s">
        <v>28</v>
      </c>
      <c r="F139" s="117">
        <v>1449.365</v>
      </c>
      <c r="G139" s="118">
        <v>1449.365</v>
      </c>
      <c r="H139" s="116">
        <v>0</v>
      </c>
      <c r="I139" s="119">
        <v>0</v>
      </c>
      <c r="J139" s="113" t="s">
        <v>246</v>
      </c>
    </row>
    <row r="140" spans="1:10" x14ac:dyDescent="0.25">
      <c r="A140" s="115">
        <v>137</v>
      </c>
      <c r="B140" s="112" t="s">
        <v>750</v>
      </c>
      <c r="C140" s="113" t="s">
        <v>751</v>
      </c>
      <c r="D140" s="113" t="s">
        <v>749</v>
      </c>
      <c r="E140" s="113" t="s">
        <v>28</v>
      </c>
      <c r="F140" s="117">
        <v>6.7228436252256198</v>
      </c>
      <c r="G140" s="118">
        <v>6.7228436252256198</v>
      </c>
      <c r="H140" s="116">
        <v>0</v>
      </c>
      <c r="I140" s="119">
        <v>0</v>
      </c>
      <c r="J140" s="113" t="s">
        <v>246</v>
      </c>
    </row>
    <row r="141" spans="1:10" x14ac:dyDescent="0.25">
      <c r="A141" s="115">
        <v>138</v>
      </c>
      <c r="B141" s="112" t="s">
        <v>2122</v>
      </c>
      <c r="C141" s="113" t="s">
        <v>2123</v>
      </c>
      <c r="D141" s="113" t="s">
        <v>749</v>
      </c>
      <c r="E141" s="113" t="s">
        <v>28</v>
      </c>
      <c r="F141" s="117">
        <v>51213.876043577045</v>
      </c>
      <c r="G141" s="118">
        <v>51213.876043577045</v>
      </c>
      <c r="H141" s="116">
        <v>0</v>
      </c>
      <c r="I141" s="119">
        <v>0</v>
      </c>
      <c r="J141" s="113" t="s">
        <v>246</v>
      </c>
    </row>
    <row r="142" spans="1:10" x14ac:dyDescent="0.25">
      <c r="A142" s="115">
        <v>139</v>
      </c>
      <c r="B142" s="112" t="s">
        <v>752</v>
      </c>
      <c r="C142" s="113" t="s">
        <v>753</v>
      </c>
      <c r="D142" s="113" t="s">
        <v>457</v>
      </c>
      <c r="E142" s="113" t="s">
        <v>754</v>
      </c>
      <c r="F142" s="117">
        <v>0.01</v>
      </c>
      <c r="G142" s="118">
        <v>0.01</v>
      </c>
      <c r="H142" s="116">
        <v>0</v>
      </c>
      <c r="I142" s="119">
        <v>0</v>
      </c>
      <c r="J142" s="113" t="s">
        <v>246</v>
      </c>
    </row>
    <row r="143" spans="1:10" x14ac:dyDescent="0.25">
      <c r="A143" s="115">
        <v>140</v>
      </c>
      <c r="B143" s="112" t="s">
        <v>755</v>
      </c>
      <c r="C143" s="113" t="s">
        <v>756</v>
      </c>
      <c r="D143" s="113" t="s">
        <v>467</v>
      </c>
      <c r="E143" s="113" t="s">
        <v>2116</v>
      </c>
      <c r="F143" s="117">
        <v>29.073188602830211</v>
      </c>
      <c r="G143" s="118">
        <v>29.08248860283021</v>
      </c>
      <c r="H143" s="116">
        <v>17.2</v>
      </c>
      <c r="I143" s="119">
        <v>2697</v>
      </c>
      <c r="J143" s="113" t="s">
        <v>277</v>
      </c>
    </row>
    <row r="144" spans="1:10" x14ac:dyDescent="0.25">
      <c r="A144" s="115">
        <v>141</v>
      </c>
      <c r="B144" s="112" t="s">
        <v>757</v>
      </c>
      <c r="C144" s="113" t="s">
        <v>758</v>
      </c>
      <c r="D144" s="113" t="s">
        <v>467</v>
      </c>
      <c r="E144" s="113" t="s">
        <v>2116</v>
      </c>
      <c r="F144" s="117">
        <v>98.259353664712705</v>
      </c>
      <c r="G144" s="118">
        <v>104.94055366471271</v>
      </c>
      <c r="H144" s="116">
        <v>17.93</v>
      </c>
      <c r="I144" s="119">
        <v>395</v>
      </c>
      <c r="J144" s="113" t="s">
        <v>277</v>
      </c>
    </row>
    <row r="145" spans="1:10" x14ac:dyDescent="0.25">
      <c r="A145" s="115">
        <v>142</v>
      </c>
      <c r="B145" s="112" t="s">
        <v>759</v>
      </c>
      <c r="C145" s="113" t="s">
        <v>760</v>
      </c>
      <c r="D145" s="113" t="s">
        <v>467</v>
      </c>
      <c r="E145" s="113" t="s">
        <v>2116</v>
      </c>
      <c r="F145" s="117">
        <v>96.863328095103242</v>
      </c>
      <c r="G145" s="118">
        <v>103.56522809510325</v>
      </c>
      <c r="H145" s="116">
        <v>18.04</v>
      </c>
      <c r="I145" s="119">
        <v>760</v>
      </c>
      <c r="J145" s="113" t="s">
        <v>277</v>
      </c>
    </row>
    <row r="146" spans="1:10" x14ac:dyDescent="0.25">
      <c r="A146" s="115">
        <v>143</v>
      </c>
      <c r="B146" s="112" t="s">
        <v>445</v>
      </c>
      <c r="C146" s="113" t="s">
        <v>446</v>
      </c>
      <c r="D146" s="113" t="s">
        <v>467</v>
      </c>
      <c r="E146" s="113" t="s">
        <v>761</v>
      </c>
      <c r="F146" s="117">
        <v>98.91913252748455</v>
      </c>
      <c r="G146" s="118">
        <v>103.13583252748455</v>
      </c>
      <c r="H146" s="116">
        <v>18.16</v>
      </c>
      <c r="I146" s="119">
        <v>452</v>
      </c>
      <c r="J146" s="113" t="s">
        <v>277</v>
      </c>
    </row>
    <row r="147" spans="1:10" x14ac:dyDescent="0.25">
      <c r="A147" s="115">
        <v>144</v>
      </c>
      <c r="B147" s="112" t="s">
        <v>762</v>
      </c>
      <c r="C147" s="113" t="s">
        <v>763</v>
      </c>
      <c r="D147" s="113" t="s">
        <v>467</v>
      </c>
      <c r="E147" s="113" t="s">
        <v>761</v>
      </c>
      <c r="F147" s="117">
        <v>102.42319632397739</v>
      </c>
      <c r="G147" s="118">
        <v>104.25649632397739</v>
      </c>
      <c r="H147" s="116">
        <v>5.47</v>
      </c>
      <c r="I147" s="119">
        <v>452</v>
      </c>
      <c r="J147" s="113" t="s">
        <v>277</v>
      </c>
    </row>
    <row r="148" spans="1:10" x14ac:dyDescent="0.25">
      <c r="A148" s="115">
        <v>145</v>
      </c>
      <c r="B148" s="112" t="s">
        <v>2257</v>
      </c>
      <c r="C148" s="113" t="s">
        <v>2258</v>
      </c>
      <c r="D148" s="113" t="s">
        <v>467</v>
      </c>
      <c r="E148" s="113" t="s">
        <v>761</v>
      </c>
      <c r="F148" s="117">
        <v>101.06372501989544</v>
      </c>
      <c r="G148" s="118">
        <v>104.25952501989545</v>
      </c>
      <c r="H148" s="116">
        <v>18.72</v>
      </c>
      <c r="I148" s="119">
        <v>661</v>
      </c>
      <c r="J148" s="113" t="s">
        <v>277</v>
      </c>
    </row>
    <row r="149" spans="1:10" x14ac:dyDescent="0.25">
      <c r="A149" s="115">
        <v>146</v>
      </c>
      <c r="B149" s="112" t="s">
        <v>764</v>
      </c>
      <c r="C149" s="113" t="s">
        <v>765</v>
      </c>
      <c r="D149" s="113" t="s">
        <v>457</v>
      </c>
      <c r="E149" s="113" t="s">
        <v>766</v>
      </c>
      <c r="F149" s="117">
        <v>71147.663950000002</v>
      </c>
      <c r="G149" s="118">
        <v>71147.663950000002</v>
      </c>
      <c r="H149" s="116">
        <v>0</v>
      </c>
      <c r="I149" s="119">
        <v>0</v>
      </c>
      <c r="J149" s="113" t="s">
        <v>246</v>
      </c>
    </row>
    <row r="150" spans="1:10" x14ac:dyDescent="0.25">
      <c r="A150" s="115">
        <v>147</v>
      </c>
      <c r="B150" s="112" t="s">
        <v>2157</v>
      </c>
      <c r="C150" s="113" t="s">
        <v>1901</v>
      </c>
      <c r="D150" s="113" t="s">
        <v>769</v>
      </c>
      <c r="E150" s="113" t="s">
        <v>1902</v>
      </c>
      <c r="F150" s="117">
        <v>50038.786849999997</v>
      </c>
      <c r="G150" s="118">
        <v>50038.786849999997</v>
      </c>
      <c r="H150" s="116">
        <v>0</v>
      </c>
      <c r="I150" s="119">
        <v>0</v>
      </c>
      <c r="J150" s="113" t="s">
        <v>246</v>
      </c>
    </row>
    <row r="151" spans="1:10" x14ac:dyDescent="0.25">
      <c r="A151" s="115">
        <v>148</v>
      </c>
      <c r="B151" s="112" t="s">
        <v>767</v>
      </c>
      <c r="C151" s="113" t="s">
        <v>768</v>
      </c>
      <c r="D151" s="113" t="s">
        <v>769</v>
      </c>
      <c r="E151" s="113" t="s">
        <v>770</v>
      </c>
      <c r="F151" s="117">
        <v>12128.465700000001</v>
      </c>
      <c r="G151" s="118">
        <v>12128.465700000001</v>
      </c>
      <c r="H151" s="116">
        <v>0</v>
      </c>
      <c r="I151" s="119">
        <v>0</v>
      </c>
      <c r="J151" s="113" t="s">
        <v>246</v>
      </c>
    </row>
    <row r="152" spans="1:10" x14ac:dyDescent="0.25">
      <c r="A152" s="115">
        <v>149</v>
      </c>
      <c r="B152" s="112" t="s">
        <v>771</v>
      </c>
      <c r="C152" s="113" t="s">
        <v>772</v>
      </c>
      <c r="D152" s="113" t="s">
        <v>467</v>
      </c>
      <c r="E152" s="113" t="s">
        <v>773</v>
      </c>
      <c r="F152" s="117">
        <v>100.13384082551569</v>
      </c>
      <c r="G152" s="118">
        <v>104.3741408255157</v>
      </c>
      <c r="H152" s="116">
        <v>21.26</v>
      </c>
      <c r="I152" s="119">
        <v>469</v>
      </c>
      <c r="J152" s="113" t="s">
        <v>277</v>
      </c>
    </row>
    <row r="153" spans="1:10" x14ac:dyDescent="0.25">
      <c r="A153" s="115">
        <v>150</v>
      </c>
      <c r="B153" s="112" t="s">
        <v>774</v>
      </c>
      <c r="C153" s="113" t="s">
        <v>775</v>
      </c>
      <c r="D153" s="113" t="s">
        <v>769</v>
      </c>
      <c r="E153" s="113" t="s">
        <v>776</v>
      </c>
      <c r="F153" s="117">
        <v>18615.5308</v>
      </c>
      <c r="G153" s="118">
        <v>18615.5308</v>
      </c>
      <c r="H153" s="116">
        <v>0</v>
      </c>
      <c r="I153" s="119">
        <v>0</v>
      </c>
      <c r="J153" s="113" t="s">
        <v>246</v>
      </c>
    </row>
    <row r="154" spans="1:10" x14ac:dyDescent="0.25">
      <c r="A154" s="115">
        <v>151</v>
      </c>
      <c r="B154" s="112" t="s">
        <v>777</v>
      </c>
      <c r="C154" s="113" t="s">
        <v>778</v>
      </c>
      <c r="D154" s="113" t="s">
        <v>467</v>
      </c>
      <c r="E154" s="113" t="s">
        <v>779</v>
      </c>
      <c r="F154" s="117">
        <v>91.543655019236354</v>
      </c>
      <c r="G154" s="118">
        <v>100.25615501923636</v>
      </c>
      <c r="H154" s="116">
        <v>24.54</v>
      </c>
      <c r="I154" s="119">
        <v>1107</v>
      </c>
      <c r="J154" s="113" t="s">
        <v>277</v>
      </c>
    </row>
    <row r="155" spans="1:10" x14ac:dyDescent="0.25">
      <c r="A155" s="115">
        <v>152</v>
      </c>
      <c r="B155" s="112" t="s">
        <v>780</v>
      </c>
      <c r="C155" s="113" t="s">
        <v>781</v>
      </c>
      <c r="D155" s="113" t="s">
        <v>467</v>
      </c>
      <c r="E155" s="113" t="s">
        <v>29</v>
      </c>
      <c r="F155" s="117">
        <v>73.201427952441335</v>
      </c>
      <c r="G155" s="118">
        <v>78.076427952441335</v>
      </c>
      <c r="H155" s="116">
        <v>18.12</v>
      </c>
      <c r="I155" s="119">
        <v>2544</v>
      </c>
      <c r="J155" s="113" t="s">
        <v>277</v>
      </c>
    </row>
    <row r="156" spans="1:10" x14ac:dyDescent="0.25">
      <c r="A156" s="115">
        <v>153</v>
      </c>
      <c r="B156" s="112" t="s">
        <v>782</v>
      </c>
      <c r="C156" s="113" t="s">
        <v>783</v>
      </c>
      <c r="D156" s="113" t="s">
        <v>467</v>
      </c>
      <c r="E156" s="113" t="s">
        <v>29</v>
      </c>
      <c r="F156" s="117">
        <v>77.415412750541961</v>
      </c>
      <c r="G156" s="118">
        <v>82.259212750541963</v>
      </c>
      <c r="H156" s="116">
        <v>18.260000000000002</v>
      </c>
      <c r="I156" s="119">
        <v>1825</v>
      </c>
      <c r="J156" s="113" t="s">
        <v>277</v>
      </c>
    </row>
    <row r="157" spans="1:10" x14ac:dyDescent="0.25">
      <c r="A157" s="115">
        <v>154</v>
      </c>
      <c r="B157" s="112" t="s">
        <v>784</v>
      </c>
      <c r="C157" s="113" t="s">
        <v>785</v>
      </c>
      <c r="D157" s="113" t="s">
        <v>467</v>
      </c>
      <c r="E157" s="113" t="s">
        <v>29</v>
      </c>
      <c r="F157" s="117">
        <v>82.955313984328768</v>
      </c>
      <c r="G157" s="118">
        <v>87.660913984328772</v>
      </c>
      <c r="H157" s="116">
        <v>18.510000000000002</v>
      </c>
      <c r="I157" s="119">
        <v>1106</v>
      </c>
      <c r="J157" s="113" t="s">
        <v>277</v>
      </c>
    </row>
    <row r="158" spans="1:10" x14ac:dyDescent="0.25">
      <c r="A158" s="115">
        <v>155</v>
      </c>
      <c r="B158" s="112" t="s">
        <v>786</v>
      </c>
      <c r="C158" s="113" t="s">
        <v>787</v>
      </c>
      <c r="D158" s="113" t="s">
        <v>467</v>
      </c>
      <c r="E158" s="113" t="s">
        <v>29</v>
      </c>
      <c r="F158" s="117">
        <v>78.597191812196556</v>
      </c>
      <c r="G158" s="118">
        <v>80.277791812196554</v>
      </c>
      <c r="H158" s="116">
        <v>18.34</v>
      </c>
      <c r="I158" s="119">
        <v>1565</v>
      </c>
      <c r="J158" s="113" t="s">
        <v>277</v>
      </c>
    </row>
    <row r="159" spans="1:10" x14ac:dyDescent="0.25">
      <c r="A159" s="115">
        <v>156</v>
      </c>
      <c r="B159" s="112" t="s">
        <v>419</v>
      </c>
      <c r="C159" s="113" t="s">
        <v>420</v>
      </c>
      <c r="D159" s="113" t="s">
        <v>467</v>
      </c>
      <c r="E159" s="113" t="s">
        <v>29</v>
      </c>
      <c r="F159" s="117">
        <v>79.037582727123564</v>
      </c>
      <c r="G159" s="118">
        <v>80.259782727123564</v>
      </c>
      <c r="H159" s="116">
        <v>17.55</v>
      </c>
      <c r="I159" s="119">
        <v>1760</v>
      </c>
      <c r="J159" s="113" t="s">
        <v>277</v>
      </c>
    </row>
    <row r="160" spans="1:10" x14ac:dyDescent="0.25">
      <c r="A160" s="115">
        <v>157</v>
      </c>
      <c r="B160" s="112" t="s">
        <v>788</v>
      </c>
      <c r="C160" s="113" t="s">
        <v>789</v>
      </c>
      <c r="D160" s="113" t="s">
        <v>467</v>
      </c>
      <c r="E160" s="113" t="s">
        <v>29</v>
      </c>
      <c r="F160" s="117">
        <v>93.299361644354406</v>
      </c>
      <c r="G160" s="118">
        <v>94.410461644354413</v>
      </c>
      <c r="H160" s="116">
        <v>18.47</v>
      </c>
      <c r="I160" s="119">
        <v>320</v>
      </c>
      <c r="J160" s="113" t="s">
        <v>277</v>
      </c>
    </row>
    <row r="161" spans="1:10" x14ac:dyDescent="0.25">
      <c r="A161" s="115">
        <v>158</v>
      </c>
      <c r="B161" s="112" t="s">
        <v>790</v>
      </c>
      <c r="C161" s="113" t="s">
        <v>791</v>
      </c>
      <c r="D161" s="113" t="s">
        <v>467</v>
      </c>
      <c r="E161" s="113" t="s">
        <v>29</v>
      </c>
      <c r="F161" s="117">
        <v>9.7349401680495014</v>
      </c>
      <c r="G161" s="118">
        <v>9.7812401680495018</v>
      </c>
      <c r="H161" s="116">
        <v>17.739999999999998</v>
      </c>
      <c r="I161" s="119">
        <v>5109</v>
      </c>
      <c r="J161" s="113" t="s">
        <v>277</v>
      </c>
    </row>
    <row r="162" spans="1:10" x14ac:dyDescent="0.25">
      <c r="A162" s="115">
        <v>159</v>
      </c>
      <c r="B162" s="112" t="s">
        <v>792</v>
      </c>
      <c r="C162" s="113" t="s">
        <v>793</v>
      </c>
      <c r="D162" s="113" t="s">
        <v>467</v>
      </c>
      <c r="E162" s="113" t="s">
        <v>29</v>
      </c>
      <c r="F162" s="117">
        <v>8.8822676962487748</v>
      </c>
      <c r="G162" s="118">
        <v>8.9130676962487758</v>
      </c>
      <c r="H162" s="116">
        <v>17.73</v>
      </c>
      <c r="I162" s="119">
        <v>5326</v>
      </c>
      <c r="J162" s="113" t="s">
        <v>277</v>
      </c>
    </row>
    <row r="163" spans="1:10" x14ac:dyDescent="0.25">
      <c r="A163" s="115">
        <v>160</v>
      </c>
      <c r="B163" s="112" t="s">
        <v>794</v>
      </c>
      <c r="C163" s="113" t="s">
        <v>795</v>
      </c>
      <c r="D163" s="113" t="s">
        <v>467</v>
      </c>
      <c r="E163" s="113" t="s">
        <v>29</v>
      </c>
      <c r="F163" s="117">
        <v>78.51058719419855</v>
      </c>
      <c r="G163" s="118">
        <v>80.116687194198548</v>
      </c>
      <c r="H163" s="116">
        <v>18.23</v>
      </c>
      <c r="I163" s="119">
        <v>1931</v>
      </c>
      <c r="J163" s="113" t="s">
        <v>277</v>
      </c>
    </row>
    <row r="164" spans="1:10" x14ac:dyDescent="0.25">
      <c r="A164" s="115">
        <v>161</v>
      </c>
      <c r="B164" s="112" t="s">
        <v>796</v>
      </c>
      <c r="C164" s="113" t="s">
        <v>797</v>
      </c>
      <c r="D164" s="113" t="s">
        <v>467</v>
      </c>
      <c r="E164" s="113" t="s">
        <v>29</v>
      </c>
      <c r="F164" s="117">
        <v>87.429445108320706</v>
      </c>
      <c r="G164" s="118">
        <v>89.035545108320719</v>
      </c>
      <c r="H164" s="116">
        <v>18.579999999999998</v>
      </c>
      <c r="I164" s="119">
        <v>851</v>
      </c>
      <c r="J164" s="113" t="s">
        <v>277</v>
      </c>
    </row>
    <row r="165" spans="1:10" x14ac:dyDescent="0.25">
      <c r="A165" s="115">
        <v>162</v>
      </c>
      <c r="B165" s="112" t="s">
        <v>798</v>
      </c>
      <c r="C165" s="113" t="s">
        <v>799</v>
      </c>
      <c r="D165" s="113" t="s">
        <v>467</v>
      </c>
      <c r="E165" s="113" t="s">
        <v>29</v>
      </c>
      <c r="F165" s="117">
        <v>58.482622769153053</v>
      </c>
      <c r="G165" s="118">
        <v>63.827322769153056</v>
      </c>
      <c r="H165" s="116">
        <v>18.96</v>
      </c>
      <c r="I165" s="119">
        <v>2249</v>
      </c>
      <c r="J165" s="113" t="s">
        <v>277</v>
      </c>
    </row>
    <row r="166" spans="1:10" x14ac:dyDescent="0.25">
      <c r="A166" s="115">
        <v>163</v>
      </c>
      <c r="B166" s="112" t="s">
        <v>800</v>
      </c>
      <c r="C166" s="113" t="s">
        <v>801</v>
      </c>
      <c r="D166" s="113" t="s">
        <v>467</v>
      </c>
      <c r="E166" s="113" t="s">
        <v>29</v>
      </c>
      <c r="F166" s="117">
        <v>23.882075076810384</v>
      </c>
      <c r="G166" s="118">
        <v>24.170975076810386</v>
      </c>
      <c r="H166" s="116">
        <v>17.88</v>
      </c>
      <c r="I166" s="119">
        <v>3197</v>
      </c>
      <c r="J166" s="113" t="s">
        <v>277</v>
      </c>
    </row>
    <row r="167" spans="1:10" x14ac:dyDescent="0.25">
      <c r="A167" s="115">
        <v>164</v>
      </c>
      <c r="B167" s="112" t="s">
        <v>802</v>
      </c>
      <c r="C167" s="113" t="s">
        <v>803</v>
      </c>
      <c r="D167" s="113" t="s">
        <v>467</v>
      </c>
      <c r="E167" s="113" t="s">
        <v>29</v>
      </c>
      <c r="F167" s="117">
        <v>21.625723519141289</v>
      </c>
      <c r="G167" s="118">
        <v>21.852123519141291</v>
      </c>
      <c r="H167" s="116">
        <v>18.690000000000001</v>
      </c>
      <c r="I167" s="119">
        <v>3437</v>
      </c>
      <c r="J167" s="113" t="s">
        <v>277</v>
      </c>
    </row>
    <row r="168" spans="1:10" x14ac:dyDescent="0.25">
      <c r="A168" s="115">
        <v>165</v>
      </c>
      <c r="B168" s="112" t="s">
        <v>804</v>
      </c>
      <c r="C168" s="113" t="s">
        <v>805</v>
      </c>
      <c r="D168" s="113" t="s">
        <v>467</v>
      </c>
      <c r="E168" s="113" t="s">
        <v>29</v>
      </c>
      <c r="F168" s="117">
        <v>96.729777236186294</v>
      </c>
      <c r="G168" s="118">
        <v>99.179777236186297</v>
      </c>
      <c r="H168" s="116">
        <v>18.36</v>
      </c>
      <c r="I168" s="119">
        <v>297</v>
      </c>
      <c r="J168" s="113" t="s">
        <v>277</v>
      </c>
    </row>
    <row r="169" spans="1:10" x14ac:dyDescent="0.25">
      <c r="A169" s="115">
        <v>166</v>
      </c>
      <c r="B169" s="112" t="s">
        <v>806</v>
      </c>
      <c r="C169" s="113" t="s">
        <v>807</v>
      </c>
      <c r="D169" s="113" t="s">
        <v>467</v>
      </c>
      <c r="E169" s="113" t="s">
        <v>29</v>
      </c>
      <c r="F169" s="117">
        <v>100</v>
      </c>
      <c r="G169" s="118">
        <v>101.78570000000001</v>
      </c>
      <c r="H169" s="116">
        <v>17.32</v>
      </c>
      <c r="I169" s="119">
        <v>244</v>
      </c>
      <c r="J169" s="113" t="s">
        <v>277</v>
      </c>
    </row>
    <row r="170" spans="1:10" x14ac:dyDescent="0.25">
      <c r="A170" s="115">
        <v>167</v>
      </c>
      <c r="B170" s="112" t="s">
        <v>808</v>
      </c>
      <c r="C170" s="113" t="s">
        <v>809</v>
      </c>
      <c r="D170" s="113" t="s">
        <v>457</v>
      </c>
      <c r="E170" s="113" t="s">
        <v>29</v>
      </c>
      <c r="F170" s="117">
        <v>1015.5</v>
      </c>
      <c r="G170" s="118">
        <v>1015.5</v>
      </c>
      <c r="H170" s="116">
        <v>0</v>
      </c>
      <c r="I170" s="119">
        <v>3002</v>
      </c>
      <c r="J170" s="113" t="s">
        <v>246</v>
      </c>
    </row>
    <row r="171" spans="1:10" x14ac:dyDescent="0.25">
      <c r="A171" s="115">
        <v>168</v>
      </c>
      <c r="B171" s="112" t="s">
        <v>2001</v>
      </c>
      <c r="C171" s="113" t="s">
        <v>2002</v>
      </c>
      <c r="D171" s="113" t="s">
        <v>467</v>
      </c>
      <c r="E171" s="113" t="s">
        <v>29</v>
      </c>
      <c r="F171" s="117">
        <v>48.938197756964293</v>
      </c>
      <c r="G171" s="118">
        <v>52.471497756964297</v>
      </c>
      <c r="H171" s="116">
        <v>17.93</v>
      </c>
      <c r="I171" s="119">
        <v>2998</v>
      </c>
      <c r="J171" s="113" t="s">
        <v>277</v>
      </c>
    </row>
    <row r="172" spans="1:10" x14ac:dyDescent="0.25">
      <c r="A172" s="115">
        <v>169</v>
      </c>
      <c r="B172" s="112" t="s">
        <v>810</v>
      </c>
      <c r="C172" s="113" t="s">
        <v>811</v>
      </c>
      <c r="D172" s="113" t="s">
        <v>467</v>
      </c>
      <c r="E172" s="113" t="s">
        <v>29</v>
      </c>
      <c r="F172" s="117">
        <v>96.008061605571555</v>
      </c>
      <c r="G172" s="118">
        <v>102.89136160557155</v>
      </c>
      <c r="H172" s="116">
        <v>18.510000000000002</v>
      </c>
      <c r="I172" s="119">
        <v>363</v>
      </c>
      <c r="J172" s="113" t="s">
        <v>277</v>
      </c>
    </row>
    <row r="173" spans="1:10" x14ac:dyDescent="0.25">
      <c r="A173" s="115">
        <v>170</v>
      </c>
      <c r="B173" s="112" t="s">
        <v>812</v>
      </c>
      <c r="C173" s="113" t="s">
        <v>813</v>
      </c>
      <c r="D173" s="113" t="s">
        <v>467</v>
      </c>
      <c r="E173" s="113" t="s">
        <v>29</v>
      </c>
      <c r="F173" s="117">
        <v>88.648506929182702</v>
      </c>
      <c r="G173" s="118">
        <v>88.648506929182702</v>
      </c>
      <c r="H173" s="116">
        <v>18.190000000000001</v>
      </c>
      <c r="I173" s="119">
        <v>2160</v>
      </c>
      <c r="J173" s="113" t="s">
        <v>277</v>
      </c>
    </row>
    <row r="174" spans="1:10" x14ac:dyDescent="0.25">
      <c r="A174" s="115">
        <v>171</v>
      </c>
      <c r="B174" s="112" t="s">
        <v>404</v>
      </c>
      <c r="C174" s="113" t="s">
        <v>405</v>
      </c>
      <c r="D174" s="113" t="s">
        <v>467</v>
      </c>
      <c r="E174" s="113" t="s">
        <v>29</v>
      </c>
      <c r="F174" s="117">
        <v>95.371846797571521</v>
      </c>
      <c r="G174" s="118">
        <v>97.866046797571514</v>
      </c>
      <c r="H174" s="116">
        <v>17.53</v>
      </c>
      <c r="I174" s="119">
        <v>278</v>
      </c>
      <c r="J174" s="113" t="s">
        <v>277</v>
      </c>
    </row>
    <row r="175" spans="1:10" x14ac:dyDescent="0.25">
      <c r="A175" s="115">
        <v>172</v>
      </c>
      <c r="B175" s="112" t="s">
        <v>814</v>
      </c>
      <c r="C175" s="113" t="s">
        <v>815</v>
      </c>
      <c r="D175" s="113" t="s">
        <v>467</v>
      </c>
      <c r="E175" s="113" t="s">
        <v>29</v>
      </c>
      <c r="F175" s="117">
        <v>87.215240817004201</v>
      </c>
      <c r="G175" s="118">
        <v>87.887140817004195</v>
      </c>
      <c r="H175" s="116">
        <v>5.57</v>
      </c>
      <c r="I175" s="119">
        <v>2078</v>
      </c>
      <c r="J175" s="113" t="s">
        <v>277</v>
      </c>
    </row>
    <row r="176" spans="1:10" x14ac:dyDescent="0.25">
      <c r="A176" s="115">
        <v>173</v>
      </c>
      <c r="B176" s="112" t="s">
        <v>816</v>
      </c>
      <c r="C176" s="113" t="s">
        <v>817</v>
      </c>
      <c r="D176" s="113" t="s">
        <v>467</v>
      </c>
      <c r="E176" s="113" t="s">
        <v>29</v>
      </c>
      <c r="F176" s="117">
        <v>101.15900000000001</v>
      </c>
      <c r="G176" s="118">
        <v>102.73260000000001</v>
      </c>
      <c r="H176" s="116">
        <v>4.78</v>
      </c>
      <c r="I176" s="119">
        <v>617</v>
      </c>
      <c r="J176" s="113" t="s">
        <v>277</v>
      </c>
    </row>
    <row r="177" spans="1:10" x14ac:dyDescent="0.25">
      <c r="A177" s="115">
        <v>174</v>
      </c>
      <c r="B177" s="112" t="s">
        <v>818</v>
      </c>
      <c r="C177" s="113" t="s">
        <v>819</v>
      </c>
      <c r="D177" s="113" t="s">
        <v>467</v>
      </c>
      <c r="E177" s="113" t="s">
        <v>29</v>
      </c>
      <c r="F177" s="117">
        <v>93.348006344691797</v>
      </c>
      <c r="G177" s="118">
        <v>97.06740634469179</v>
      </c>
      <c r="H177" s="116">
        <v>17.62</v>
      </c>
      <c r="I177" s="119">
        <v>617</v>
      </c>
      <c r="J177" s="113" t="s">
        <v>277</v>
      </c>
    </row>
    <row r="178" spans="1:10" x14ac:dyDescent="0.25">
      <c r="A178" s="115">
        <v>175</v>
      </c>
      <c r="B178" s="112" t="s">
        <v>820</v>
      </c>
      <c r="C178" s="113" t="s">
        <v>821</v>
      </c>
      <c r="D178" s="113" t="s">
        <v>467</v>
      </c>
      <c r="E178" s="113" t="s">
        <v>29</v>
      </c>
      <c r="F178" s="117">
        <v>100.99</v>
      </c>
      <c r="G178" s="118">
        <v>102.3754</v>
      </c>
      <c r="H178" s="116">
        <v>4.99</v>
      </c>
      <c r="I178" s="119">
        <v>1525</v>
      </c>
      <c r="J178" s="113" t="s">
        <v>277</v>
      </c>
    </row>
    <row r="179" spans="1:10" x14ac:dyDescent="0.25">
      <c r="A179" s="115">
        <v>176</v>
      </c>
      <c r="B179" s="112" t="s">
        <v>822</v>
      </c>
      <c r="C179" s="113" t="s">
        <v>823</v>
      </c>
      <c r="D179" s="113" t="s">
        <v>467</v>
      </c>
      <c r="E179" s="113" t="s">
        <v>29</v>
      </c>
      <c r="F179" s="117">
        <v>90.194999999999993</v>
      </c>
      <c r="G179" s="118">
        <v>92.630600000000001</v>
      </c>
      <c r="H179" s="116">
        <v>18.05</v>
      </c>
      <c r="I179" s="119">
        <v>1015</v>
      </c>
      <c r="J179" s="113" t="s">
        <v>277</v>
      </c>
    </row>
    <row r="180" spans="1:10" x14ac:dyDescent="0.25">
      <c r="A180" s="115">
        <v>177</v>
      </c>
      <c r="B180" s="112" t="s">
        <v>2165</v>
      </c>
      <c r="C180" s="113" t="s">
        <v>2166</v>
      </c>
      <c r="D180" s="113" t="s">
        <v>467</v>
      </c>
      <c r="E180" s="113" t="s">
        <v>29</v>
      </c>
      <c r="F180" s="117">
        <v>101.48</v>
      </c>
      <c r="G180" s="118">
        <v>103.2144</v>
      </c>
      <c r="H180" s="116">
        <v>5.26</v>
      </c>
      <c r="I180" s="119">
        <v>1689</v>
      </c>
      <c r="J180" s="113" t="s">
        <v>277</v>
      </c>
    </row>
    <row r="181" spans="1:10" x14ac:dyDescent="0.25">
      <c r="A181" s="115">
        <v>178</v>
      </c>
      <c r="B181" s="112" t="s">
        <v>30</v>
      </c>
      <c r="C181" s="113" t="s">
        <v>31</v>
      </c>
      <c r="D181" s="113" t="s">
        <v>467</v>
      </c>
      <c r="E181" s="113" t="s">
        <v>29</v>
      </c>
      <c r="F181" s="117">
        <v>100.16831199481493</v>
      </c>
      <c r="G181" s="118">
        <v>102.25161199481492</v>
      </c>
      <c r="H181" s="116">
        <v>5.72</v>
      </c>
      <c r="I181" s="119">
        <v>235</v>
      </c>
      <c r="J181" s="113" t="s">
        <v>277</v>
      </c>
    </row>
    <row r="182" spans="1:10" x14ac:dyDescent="0.25">
      <c r="A182" s="115">
        <v>179</v>
      </c>
      <c r="B182" s="112" t="s">
        <v>824</v>
      </c>
      <c r="C182" s="113" t="s">
        <v>825</v>
      </c>
      <c r="D182" s="113" t="s">
        <v>457</v>
      </c>
      <c r="E182" s="113" t="s">
        <v>826</v>
      </c>
      <c r="F182" s="117">
        <v>0.01</v>
      </c>
      <c r="G182" s="118">
        <v>0.01</v>
      </c>
      <c r="H182" s="116">
        <v>0</v>
      </c>
      <c r="I182" s="119">
        <v>0</v>
      </c>
      <c r="J182" s="113" t="s">
        <v>246</v>
      </c>
    </row>
    <row r="183" spans="1:10" x14ac:dyDescent="0.25">
      <c r="A183" s="115">
        <v>180</v>
      </c>
      <c r="B183" s="112" t="s">
        <v>2003</v>
      </c>
      <c r="C183" s="113" t="s">
        <v>2004</v>
      </c>
      <c r="D183" s="113" t="s">
        <v>467</v>
      </c>
      <c r="E183" s="113" t="s">
        <v>2060</v>
      </c>
      <c r="F183" s="117">
        <v>102.69542636010792</v>
      </c>
      <c r="G183" s="118">
        <v>103.1642263601079</v>
      </c>
      <c r="H183" s="116">
        <v>5.48</v>
      </c>
      <c r="I183" s="119">
        <v>1413</v>
      </c>
      <c r="J183" s="113" t="s">
        <v>277</v>
      </c>
    </row>
    <row r="184" spans="1:10" x14ac:dyDescent="0.25">
      <c r="A184" s="115">
        <v>181</v>
      </c>
      <c r="B184" s="112" t="s">
        <v>827</v>
      </c>
      <c r="C184" s="113" t="s">
        <v>828</v>
      </c>
      <c r="D184" s="113" t="s">
        <v>457</v>
      </c>
      <c r="E184" s="113" t="s">
        <v>829</v>
      </c>
      <c r="F184" s="117">
        <v>294.35000000000002</v>
      </c>
      <c r="G184" s="118">
        <v>294.35000000000002</v>
      </c>
      <c r="H184" s="116">
        <v>0</v>
      </c>
      <c r="I184" s="119">
        <v>0</v>
      </c>
      <c r="J184" s="113" t="s">
        <v>246</v>
      </c>
    </row>
    <row r="185" spans="1:10" x14ac:dyDescent="0.25">
      <c r="A185" s="115">
        <v>182</v>
      </c>
      <c r="B185" s="112" t="s">
        <v>830</v>
      </c>
      <c r="C185" s="113" t="s">
        <v>831</v>
      </c>
      <c r="D185" s="113" t="s">
        <v>467</v>
      </c>
      <c r="E185" s="113" t="s">
        <v>832</v>
      </c>
      <c r="F185" s="117">
        <v>61.484487264579798</v>
      </c>
      <c r="G185" s="118">
        <v>62.036287264579798</v>
      </c>
      <c r="H185" s="116">
        <v>18.649999999999999</v>
      </c>
      <c r="I185" s="119">
        <v>1767</v>
      </c>
      <c r="J185" s="113" t="s">
        <v>277</v>
      </c>
    </row>
    <row r="186" spans="1:10" x14ac:dyDescent="0.25">
      <c r="A186" s="115">
        <v>183</v>
      </c>
      <c r="B186" s="112" t="s">
        <v>833</v>
      </c>
      <c r="C186" s="113" t="s">
        <v>834</v>
      </c>
      <c r="D186" s="113" t="s">
        <v>467</v>
      </c>
      <c r="E186" s="113" t="s">
        <v>832</v>
      </c>
      <c r="F186" s="117">
        <v>56.607746106876377</v>
      </c>
      <c r="G186" s="118">
        <v>62.360146106876378</v>
      </c>
      <c r="H186" s="116">
        <v>18.54</v>
      </c>
      <c r="I186" s="119">
        <v>2176</v>
      </c>
      <c r="J186" s="113" t="s">
        <v>277</v>
      </c>
    </row>
    <row r="187" spans="1:10" x14ac:dyDescent="0.25">
      <c r="A187" s="115">
        <v>184</v>
      </c>
      <c r="B187" s="112" t="s">
        <v>835</v>
      </c>
      <c r="C187" s="113" t="s">
        <v>836</v>
      </c>
      <c r="D187" s="113" t="s">
        <v>467</v>
      </c>
      <c r="E187" s="113" t="s">
        <v>832</v>
      </c>
      <c r="F187" s="117">
        <v>52.328200910464076</v>
      </c>
      <c r="G187" s="118">
        <v>56.943500910464074</v>
      </c>
      <c r="H187" s="116">
        <v>18.45</v>
      </c>
      <c r="I187" s="119">
        <v>2604</v>
      </c>
      <c r="J187" s="113" t="s">
        <v>277</v>
      </c>
    </row>
    <row r="188" spans="1:10" x14ac:dyDescent="0.25">
      <c r="A188" s="115">
        <v>185</v>
      </c>
      <c r="B188" s="112" t="s">
        <v>837</v>
      </c>
      <c r="C188" s="113" t="s">
        <v>838</v>
      </c>
      <c r="D188" s="113" t="s">
        <v>467</v>
      </c>
      <c r="E188" s="113" t="s">
        <v>832</v>
      </c>
      <c r="F188" s="117">
        <v>52.328200910464076</v>
      </c>
      <c r="G188" s="118">
        <v>56.943500910464074</v>
      </c>
      <c r="H188" s="116">
        <v>18.45</v>
      </c>
      <c r="I188" s="119">
        <v>2604</v>
      </c>
      <c r="J188" s="113" t="s">
        <v>277</v>
      </c>
    </row>
    <row r="189" spans="1:10" x14ac:dyDescent="0.25">
      <c r="A189" s="115">
        <v>186</v>
      </c>
      <c r="B189" s="112" t="s">
        <v>839</v>
      </c>
      <c r="C189" s="113" t="s">
        <v>840</v>
      </c>
      <c r="D189" s="113" t="s">
        <v>467</v>
      </c>
      <c r="E189" s="113" t="s">
        <v>397</v>
      </c>
      <c r="F189" s="117">
        <v>66.187096282526312</v>
      </c>
      <c r="G189" s="118">
        <v>67.005196282526313</v>
      </c>
      <c r="H189" s="116">
        <v>17.260000000000002</v>
      </c>
      <c r="I189" s="119">
        <v>3029</v>
      </c>
      <c r="J189" s="113" t="s">
        <v>277</v>
      </c>
    </row>
    <row r="190" spans="1:10" x14ac:dyDescent="0.25">
      <c r="A190" s="115">
        <v>187</v>
      </c>
      <c r="B190" s="112" t="s">
        <v>841</v>
      </c>
      <c r="C190" s="113" t="s">
        <v>842</v>
      </c>
      <c r="D190" s="113" t="s">
        <v>467</v>
      </c>
      <c r="E190" s="113" t="s">
        <v>397</v>
      </c>
      <c r="F190" s="117">
        <v>88.733914768759178</v>
      </c>
      <c r="G190" s="118">
        <v>91.16421476875918</v>
      </c>
      <c r="H190" s="116">
        <v>17.61</v>
      </c>
      <c r="I190" s="119">
        <v>1375</v>
      </c>
      <c r="J190" s="113" t="s">
        <v>277</v>
      </c>
    </row>
    <row r="191" spans="1:10" x14ac:dyDescent="0.25">
      <c r="A191" s="115">
        <v>188</v>
      </c>
      <c r="B191" s="112" t="s">
        <v>843</v>
      </c>
      <c r="C191" s="113" t="s">
        <v>844</v>
      </c>
      <c r="D191" s="113" t="s">
        <v>467</v>
      </c>
      <c r="E191" s="113" t="s">
        <v>397</v>
      </c>
      <c r="F191" s="117">
        <v>99.635300000000001</v>
      </c>
      <c r="G191" s="118">
        <v>104.9521</v>
      </c>
      <c r="H191" s="116">
        <v>16.7</v>
      </c>
      <c r="I191" s="119">
        <v>42</v>
      </c>
      <c r="J191" s="113" t="s">
        <v>277</v>
      </c>
    </row>
    <row r="192" spans="1:10" x14ac:dyDescent="0.25">
      <c r="A192" s="115">
        <v>189</v>
      </c>
      <c r="B192" s="112" t="s">
        <v>421</v>
      </c>
      <c r="C192" s="113" t="s">
        <v>412</v>
      </c>
      <c r="D192" s="113" t="s">
        <v>467</v>
      </c>
      <c r="E192" s="113" t="s">
        <v>397</v>
      </c>
      <c r="F192" s="117">
        <v>97.836730888212671</v>
      </c>
      <c r="G192" s="118">
        <v>100.15173088821267</v>
      </c>
      <c r="H192" s="116">
        <v>17.22</v>
      </c>
      <c r="I192" s="119">
        <v>240</v>
      </c>
      <c r="J192" s="113" t="s">
        <v>277</v>
      </c>
    </row>
    <row r="193" spans="1:10" x14ac:dyDescent="0.25">
      <c r="A193" s="115">
        <v>190</v>
      </c>
      <c r="B193" s="112" t="s">
        <v>2005</v>
      </c>
      <c r="C193" s="113" t="s">
        <v>2006</v>
      </c>
      <c r="D193" s="113" t="s">
        <v>467</v>
      </c>
      <c r="E193" s="113" t="s">
        <v>397</v>
      </c>
      <c r="F193" s="117">
        <v>98.562118096873661</v>
      </c>
      <c r="G193" s="118">
        <v>99.895418096873655</v>
      </c>
      <c r="H193" s="116">
        <v>17.09</v>
      </c>
      <c r="I193" s="119">
        <v>238</v>
      </c>
      <c r="J193" s="113" t="s">
        <v>277</v>
      </c>
    </row>
    <row r="194" spans="1:10" x14ac:dyDescent="0.25">
      <c r="A194" s="115">
        <v>191</v>
      </c>
      <c r="B194" s="112" t="s">
        <v>2162</v>
      </c>
      <c r="C194" s="113" t="s">
        <v>2163</v>
      </c>
      <c r="D194" s="113" t="s">
        <v>467</v>
      </c>
      <c r="E194" s="113" t="s">
        <v>397</v>
      </c>
      <c r="F194" s="117">
        <v>99.468854442757291</v>
      </c>
      <c r="G194" s="118">
        <v>104.7105544427573</v>
      </c>
      <c r="H194" s="116">
        <v>17.28</v>
      </c>
      <c r="I194" s="119">
        <v>339</v>
      </c>
      <c r="J194" s="113" t="s">
        <v>277</v>
      </c>
    </row>
    <row r="195" spans="1:10" x14ac:dyDescent="0.25">
      <c r="A195" s="115">
        <v>192</v>
      </c>
      <c r="B195" s="112" t="s">
        <v>2169</v>
      </c>
      <c r="C195" s="113" t="s">
        <v>2164</v>
      </c>
      <c r="D195" s="113" t="s">
        <v>467</v>
      </c>
      <c r="E195" s="113" t="s">
        <v>397</v>
      </c>
      <c r="F195" s="117">
        <v>99.402830070337842</v>
      </c>
      <c r="G195" s="118">
        <v>104.41283007033783</v>
      </c>
      <c r="H195" s="116">
        <v>17.510000000000002</v>
      </c>
      <c r="I195" s="119">
        <v>252</v>
      </c>
      <c r="J195" s="113" t="s">
        <v>277</v>
      </c>
    </row>
    <row r="196" spans="1:10" x14ac:dyDescent="0.25">
      <c r="A196" s="115">
        <v>193</v>
      </c>
      <c r="B196" s="112" t="s">
        <v>2199</v>
      </c>
      <c r="C196" s="113" t="s">
        <v>2188</v>
      </c>
      <c r="D196" s="113" t="s">
        <v>467</v>
      </c>
      <c r="E196" s="113" t="s">
        <v>397</v>
      </c>
      <c r="F196" s="117">
        <v>97.930400000000006</v>
      </c>
      <c r="G196" s="118">
        <v>101.68600000000001</v>
      </c>
      <c r="H196" s="116">
        <v>17.5</v>
      </c>
      <c r="I196" s="119">
        <v>1720</v>
      </c>
      <c r="J196" s="113" t="s">
        <v>277</v>
      </c>
    </row>
    <row r="197" spans="1:10" x14ac:dyDescent="0.25">
      <c r="A197" s="115">
        <v>194</v>
      </c>
      <c r="B197" s="112" t="s">
        <v>2289</v>
      </c>
      <c r="C197" s="113" t="s">
        <v>2290</v>
      </c>
      <c r="D197" s="113" t="s">
        <v>467</v>
      </c>
      <c r="E197" s="113" t="s">
        <v>397</v>
      </c>
      <c r="F197" s="117">
        <v>99.66278783569436</v>
      </c>
      <c r="G197" s="118">
        <v>101.89888783569437</v>
      </c>
      <c r="H197" s="116">
        <v>17.559999999999999</v>
      </c>
      <c r="I197" s="119">
        <v>1754</v>
      </c>
      <c r="J197" s="113" t="s">
        <v>277</v>
      </c>
    </row>
    <row r="198" spans="1:10" x14ac:dyDescent="0.25">
      <c r="A198" s="115">
        <v>195</v>
      </c>
      <c r="B198" s="112" t="s">
        <v>2291</v>
      </c>
      <c r="C198" s="113" t="s">
        <v>2292</v>
      </c>
      <c r="D198" s="113" t="s">
        <v>467</v>
      </c>
      <c r="E198" s="113" t="s">
        <v>397</v>
      </c>
      <c r="F198" s="117">
        <v>99.66278783569436</v>
      </c>
      <c r="G198" s="118">
        <v>101.89888783569437</v>
      </c>
      <c r="H198" s="116">
        <v>17.559999999999999</v>
      </c>
      <c r="I198" s="119">
        <v>1754</v>
      </c>
      <c r="J198" s="113" t="s">
        <v>277</v>
      </c>
    </row>
    <row r="199" spans="1:10" x14ac:dyDescent="0.25">
      <c r="A199" s="115">
        <v>196</v>
      </c>
      <c r="B199" s="112" t="s">
        <v>2221</v>
      </c>
      <c r="C199" s="113" t="s">
        <v>2222</v>
      </c>
      <c r="D199" s="113" t="s">
        <v>467</v>
      </c>
      <c r="E199" s="113" t="s">
        <v>397</v>
      </c>
      <c r="F199" s="117">
        <v>99.589520319422419</v>
      </c>
      <c r="G199" s="118">
        <v>103.02192031942242</v>
      </c>
      <c r="H199" s="116">
        <v>17.21</v>
      </c>
      <c r="I199" s="119">
        <v>296</v>
      </c>
      <c r="J199" s="113" t="s">
        <v>277</v>
      </c>
    </row>
    <row r="200" spans="1:10" x14ac:dyDescent="0.25">
      <c r="A200" s="115">
        <v>197</v>
      </c>
      <c r="B200" s="112" t="s">
        <v>2388</v>
      </c>
      <c r="C200" s="113" t="s">
        <v>2389</v>
      </c>
      <c r="D200" s="113" t="s">
        <v>467</v>
      </c>
      <c r="E200" s="113" t="s">
        <v>397</v>
      </c>
      <c r="F200" s="117">
        <v>100.04338656372815</v>
      </c>
      <c r="G200" s="118">
        <v>100.38288656372815</v>
      </c>
      <c r="H200" s="116">
        <v>17.64</v>
      </c>
      <c r="I200" s="119">
        <v>363</v>
      </c>
      <c r="J200" s="113" t="s">
        <v>277</v>
      </c>
    </row>
    <row r="201" spans="1:10" x14ac:dyDescent="0.25">
      <c r="A201" s="115">
        <v>198</v>
      </c>
      <c r="B201" s="112" t="s">
        <v>845</v>
      </c>
      <c r="C201" s="113" t="s">
        <v>846</v>
      </c>
      <c r="D201" s="113" t="s">
        <v>467</v>
      </c>
      <c r="E201" s="113" t="s">
        <v>397</v>
      </c>
      <c r="F201" s="117">
        <v>79.22255442161314</v>
      </c>
      <c r="G201" s="118">
        <v>81.639454421613152</v>
      </c>
      <c r="H201" s="116">
        <v>17.46</v>
      </c>
      <c r="I201" s="119">
        <v>1903</v>
      </c>
      <c r="J201" s="113" t="s">
        <v>277</v>
      </c>
    </row>
    <row r="202" spans="1:10" x14ac:dyDescent="0.25">
      <c r="A202" s="115">
        <v>199</v>
      </c>
      <c r="B202" s="112" t="s">
        <v>422</v>
      </c>
      <c r="C202" s="113" t="s">
        <v>423</v>
      </c>
      <c r="D202" s="113" t="s">
        <v>467</v>
      </c>
      <c r="E202" s="113" t="s">
        <v>397</v>
      </c>
      <c r="F202" s="117">
        <v>87.826777868211835</v>
      </c>
      <c r="G202" s="118">
        <v>89.364877868211835</v>
      </c>
      <c r="H202" s="116">
        <v>17.809999999999999</v>
      </c>
      <c r="I202" s="119">
        <v>851</v>
      </c>
      <c r="J202" s="113" t="s">
        <v>277</v>
      </c>
    </row>
    <row r="203" spans="1:10" x14ac:dyDescent="0.25">
      <c r="A203" s="115">
        <v>200</v>
      </c>
      <c r="B203" s="112" t="s">
        <v>847</v>
      </c>
      <c r="C203" s="113" t="s">
        <v>848</v>
      </c>
      <c r="D203" s="113" t="s">
        <v>467</v>
      </c>
      <c r="E203" s="113" t="s">
        <v>397</v>
      </c>
      <c r="F203" s="117">
        <v>79.07330725531672</v>
      </c>
      <c r="G203" s="118">
        <v>80.61140725531672</v>
      </c>
      <c r="H203" s="116">
        <v>17.45</v>
      </c>
      <c r="I203" s="119">
        <v>1931</v>
      </c>
      <c r="J203" s="113" t="s">
        <v>277</v>
      </c>
    </row>
    <row r="204" spans="1:10" x14ac:dyDescent="0.25">
      <c r="A204" s="115">
        <v>201</v>
      </c>
      <c r="B204" s="112" t="s">
        <v>424</v>
      </c>
      <c r="C204" s="113" t="s">
        <v>425</v>
      </c>
      <c r="D204" s="113" t="s">
        <v>467</v>
      </c>
      <c r="E204" s="113" t="s">
        <v>397</v>
      </c>
      <c r="F204" s="117">
        <v>80.111341136574964</v>
      </c>
      <c r="G204" s="118">
        <v>84.053041136574961</v>
      </c>
      <c r="H204" s="116">
        <v>16.54</v>
      </c>
      <c r="I204" s="119">
        <v>2031</v>
      </c>
      <c r="J204" s="113" t="s">
        <v>277</v>
      </c>
    </row>
    <row r="205" spans="1:10" x14ac:dyDescent="0.25">
      <c r="A205" s="115">
        <v>202</v>
      </c>
      <c r="B205" s="112" t="s">
        <v>426</v>
      </c>
      <c r="C205" s="113" t="s">
        <v>427</v>
      </c>
      <c r="D205" s="113" t="s">
        <v>467</v>
      </c>
      <c r="E205" s="113" t="s">
        <v>397</v>
      </c>
      <c r="F205" s="117">
        <v>75.937077831160892</v>
      </c>
      <c r="G205" s="118">
        <v>77.067677831160893</v>
      </c>
      <c r="H205" s="116">
        <v>17.37</v>
      </c>
      <c r="I205" s="119">
        <v>2303</v>
      </c>
      <c r="J205" s="113" t="s">
        <v>277</v>
      </c>
    </row>
    <row r="206" spans="1:10" x14ac:dyDescent="0.25">
      <c r="A206" s="115">
        <v>203</v>
      </c>
      <c r="B206" s="112" t="s">
        <v>382</v>
      </c>
      <c r="C206" s="113" t="s">
        <v>383</v>
      </c>
      <c r="D206" s="113" t="s">
        <v>467</v>
      </c>
      <c r="E206" s="113" t="s">
        <v>397</v>
      </c>
      <c r="F206" s="117">
        <v>81.095461631023355</v>
      </c>
      <c r="G206" s="118">
        <v>87.66766163102335</v>
      </c>
      <c r="H206" s="116">
        <v>16.53</v>
      </c>
      <c r="I206" s="119">
        <v>4858</v>
      </c>
      <c r="J206" s="113" t="s">
        <v>277</v>
      </c>
    </row>
    <row r="207" spans="1:10" x14ac:dyDescent="0.25">
      <c r="A207" s="115">
        <v>204</v>
      </c>
      <c r="B207" s="112" t="s">
        <v>2234</v>
      </c>
      <c r="C207" s="113" t="s">
        <v>2235</v>
      </c>
      <c r="D207" s="113" t="s">
        <v>467</v>
      </c>
      <c r="E207" s="113" t="s">
        <v>397</v>
      </c>
      <c r="F207" s="117">
        <v>100.96437208675134</v>
      </c>
      <c r="G207" s="118">
        <v>102.17547208675134</v>
      </c>
      <c r="H207" s="116">
        <v>5.07</v>
      </c>
      <c r="I207" s="119">
        <v>1000</v>
      </c>
      <c r="J207" s="113" t="s">
        <v>277</v>
      </c>
    </row>
    <row r="208" spans="1:10" x14ac:dyDescent="0.25">
      <c r="A208" s="115">
        <v>205</v>
      </c>
      <c r="B208" s="112" t="s">
        <v>849</v>
      </c>
      <c r="C208" s="113" t="s">
        <v>850</v>
      </c>
      <c r="D208" s="113" t="s">
        <v>467</v>
      </c>
      <c r="E208" s="113" t="s">
        <v>851</v>
      </c>
      <c r="F208" s="117">
        <v>96.431757405652775</v>
      </c>
      <c r="G208" s="118">
        <v>99.873457405652772</v>
      </c>
      <c r="H208" s="116">
        <v>21.78</v>
      </c>
      <c r="I208" s="119">
        <v>122</v>
      </c>
      <c r="J208" s="113" t="s">
        <v>277</v>
      </c>
    </row>
    <row r="209" spans="1:10" x14ac:dyDescent="0.25">
      <c r="A209" s="115">
        <v>206</v>
      </c>
      <c r="B209" s="112" t="s">
        <v>855</v>
      </c>
      <c r="C209" s="113" t="s">
        <v>856</v>
      </c>
      <c r="D209" s="113" t="s">
        <v>457</v>
      </c>
      <c r="E209" s="113" t="s">
        <v>857</v>
      </c>
      <c r="F209" s="117">
        <v>50</v>
      </c>
      <c r="G209" s="118">
        <v>50</v>
      </c>
      <c r="H209" s="116">
        <v>0</v>
      </c>
      <c r="I209" s="119">
        <v>0</v>
      </c>
      <c r="J209" s="113" t="s">
        <v>246</v>
      </c>
    </row>
    <row r="210" spans="1:10" x14ac:dyDescent="0.25">
      <c r="A210" s="115">
        <v>207</v>
      </c>
      <c r="B210" s="112" t="s">
        <v>858</v>
      </c>
      <c r="C210" s="113" t="s">
        <v>859</v>
      </c>
      <c r="D210" s="113" t="s">
        <v>457</v>
      </c>
      <c r="E210" s="113" t="s">
        <v>860</v>
      </c>
      <c r="F210" s="117">
        <v>234478.21429999999</v>
      </c>
      <c r="G210" s="118">
        <v>234478.21429999999</v>
      </c>
      <c r="H210" s="116">
        <v>0</v>
      </c>
      <c r="I210" s="119">
        <v>0</v>
      </c>
      <c r="J210" s="113" t="s">
        <v>246</v>
      </c>
    </row>
    <row r="211" spans="1:10" x14ac:dyDescent="0.25">
      <c r="A211" s="111">
        <v>208</v>
      </c>
      <c r="B211" s="112" t="s">
        <v>32</v>
      </c>
      <c r="C211" s="113" t="s">
        <v>33</v>
      </c>
      <c r="D211" s="113" t="s">
        <v>457</v>
      </c>
      <c r="E211" s="113" t="s">
        <v>34</v>
      </c>
      <c r="F211" s="114">
        <v>3693.3216649346386</v>
      </c>
      <c r="G211" s="114">
        <v>3693.3216649346386</v>
      </c>
      <c r="H211" s="114">
        <v>0</v>
      </c>
      <c r="I211" s="111">
        <v>0</v>
      </c>
      <c r="J211" s="113" t="s">
        <v>246</v>
      </c>
    </row>
    <row r="212" spans="1:10" x14ac:dyDescent="0.25">
      <c r="A212" s="111">
        <v>209</v>
      </c>
      <c r="B212" s="112" t="s">
        <v>861</v>
      </c>
      <c r="C212" s="113" t="s">
        <v>862</v>
      </c>
      <c r="D212" s="113" t="s">
        <v>467</v>
      </c>
      <c r="E212" s="113" t="s">
        <v>34</v>
      </c>
      <c r="F212" s="114">
        <v>98.352216327995208</v>
      </c>
      <c r="G212" s="114">
        <v>101.65781632799522</v>
      </c>
      <c r="H212" s="114">
        <v>20.03</v>
      </c>
      <c r="I212" s="111">
        <v>61</v>
      </c>
      <c r="J212" s="113" t="s">
        <v>277</v>
      </c>
    </row>
    <row r="213" spans="1:10" x14ac:dyDescent="0.25">
      <c r="A213" s="111">
        <v>210</v>
      </c>
      <c r="B213" s="112" t="s">
        <v>863</v>
      </c>
      <c r="C213" s="113" t="s">
        <v>864</v>
      </c>
      <c r="D213" s="113" t="s">
        <v>467</v>
      </c>
      <c r="E213" s="113" t="s">
        <v>34</v>
      </c>
      <c r="F213" s="114">
        <v>40.052669652164418</v>
      </c>
      <c r="G213" s="114">
        <v>42.99706965216442</v>
      </c>
      <c r="H213" s="114">
        <v>20.58</v>
      </c>
      <c r="I213" s="111">
        <v>2615</v>
      </c>
      <c r="J213" s="113" t="s">
        <v>277</v>
      </c>
    </row>
    <row r="214" spans="1:10" x14ac:dyDescent="0.25">
      <c r="A214" s="111">
        <v>211</v>
      </c>
      <c r="B214" s="112" t="s">
        <v>865</v>
      </c>
      <c r="C214" s="113" t="s">
        <v>866</v>
      </c>
      <c r="D214" s="113" t="s">
        <v>467</v>
      </c>
      <c r="E214" s="113" t="s">
        <v>34</v>
      </c>
      <c r="F214" s="114">
        <v>84.467906870551218</v>
      </c>
      <c r="G214" s="114">
        <v>90.234606870551218</v>
      </c>
      <c r="H214" s="114">
        <v>20.16</v>
      </c>
      <c r="I214" s="111">
        <v>907</v>
      </c>
      <c r="J214" s="113" t="s">
        <v>277</v>
      </c>
    </row>
    <row r="215" spans="1:10" x14ac:dyDescent="0.25">
      <c r="A215" s="111">
        <v>212</v>
      </c>
      <c r="B215" s="112" t="s">
        <v>867</v>
      </c>
      <c r="C215" s="113" t="s">
        <v>868</v>
      </c>
      <c r="D215" s="113" t="s">
        <v>467</v>
      </c>
      <c r="E215" s="113" t="s">
        <v>34</v>
      </c>
      <c r="F215" s="114">
        <v>96.594361035057929</v>
      </c>
      <c r="G215" s="114">
        <v>97.537261035057938</v>
      </c>
      <c r="H215" s="114">
        <v>19.829999999999998</v>
      </c>
      <c r="I215" s="111">
        <v>149</v>
      </c>
      <c r="J215" s="113" t="s">
        <v>277</v>
      </c>
    </row>
    <row r="216" spans="1:10" x14ac:dyDescent="0.25">
      <c r="A216" s="111">
        <v>213</v>
      </c>
      <c r="B216" s="112" t="s">
        <v>869</v>
      </c>
      <c r="C216" s="113" t="s">
        <v>870</v>
      </c>
      <c r="D216" s="113" t="s">
        <v>467</v>
      </c>
      <c r="E216" s="113" t="s">
        <v>34</v>
      </c>
      <c r="F216" s="114">
        <v>80.088404827138334</v>
      </c>
      <c r="G216" s="114">
        <v>82.612004827138335</v>
      </c>
      <c r="H216" s="114">
        <v>20.04</v>
      </c>
      <c r="I216" s="111">
        <v>1181</v>
      </c>
      <c r="J216" s="113" t="s">
        <v>277</v>
      </c>
    </row>
    <row r="217" spans="1:10" x14ac:dyDescent="0.25">
      <c r="A217" s="111">
        <v>214</v>
      </c>
      <c r="B217" s="112" t="s">
        <v>2104</v>
      </c>
      <c r="C217" s="113" t="s">
        <v>2105</v>
      </c>
      <c r="D217" s="113" t="s">
        <v>467</v>
      </c>
      <c r="E217" s="113" t="s">
        <v>34</v>
      </c>
      <c r="F217" s="114">
        <v>98.414271405200253</v>
      </c>
      <c r="G217" s="114">
        <v>98.414271405200253</v>
      </c>
      <c r="H217" s="114">
        <v>4.96</v>
      </c>
      <c r="I217" s="111">
        <v>117</v>
      </c>
      <c r="J217" s="113" t="s">
        <v>277</v>
      </c>
    </row>
    <row r="218" spans="1:10" x14ac:dyDescent="0.25">
      <c r="A218" s="111">
        <v>215</v>
      </c>
      <c r="B218" s="112" t="s">
        <v>35</v>
      </c>
      <c r="C218" s="113" t="s">
        <v>36</v>
      </c>
      <c r="D218" s="113" t="s">
        <v>457</v>
      </c>
      <c r="E218" s="113" t="s">
        <v>34</v>
      </c>
      <c r="F218" s="114">
        <v>5322.7303293775458</v>
      </c>
      <c r="G218" s="114">
        <v>5322.7303293775458</v>
      </c>
      <c r="H218" s="114">
        <v>0</v>
      </c>
      <c r="I218" s="111">
        <v>0</v>
      </c>
      <c r="J218" s="113" t="s">
        <v>246</v>
      </c>
    </row>
    <row r="219" spans="1:10" x14ac:dyDescent="0.25">
      <c r="A219" s="111">
        <v>216</v>
      </c>
      <c r="B219" s="112" t="s">
        <v>871</v>
      </c>
      <c r="C219" s="113" t="s">
        <v>872</v>
      </c>
      <c r="D219" s="113" t="s">
        <v>467</v>
      </c>
      <c r="E219" s="113" t="s">
        <v>873</v>
      </c>
      <c r="F219" s="114">
        <v>99.953277376108815</v>
      </c>
      <c r="G219" s="114">
        <v>110.58657737610882</v>
      </c>
      <c r="H219" s="114">
        <v>23.69</v>
      </c>
      <c r="I219" s="111">
        <v>6</v>
      </c>
      <c r="J219" s="113" t="s">
        <v>277</v>
      </c>
    </row>
    <row r="220" spans="1:10" x14ac:dyDescent="0.25">
      <c r="A220" s="111">
        <v>217</v>
      </c>
      <c r="B220" s="112" t="s">
        <v>874</v>
      </c>
      <c r="C220" s="113" t="s">
        <v>875</v>
      </c>
      <c r="D220" s="113" t="s">
        <v>467</v>
      </c>
      <c r="E220" s="113" t="s">
        <v>873</v>
      </c>
      <c r="F220" s="114">
        <v>100.2226249475945</v>
      </c>
      <c r="G220" s="114">
        <v>105.4782249475945</v>
      </c>
      <c r="H220" s="114">
        <v>21.29</v>
      </c>
      <c r="I220" s="111">
        <v>452</v>
      </c>
      <c r="J220" s="113" t="s">
        <v>277</v>
      </c>
    </row>
    <row r="221" spans="1:10" x14ac:dyDescent="0.25">
      <c r="A221" s="111">
        <v>218</v>
      </c>
      <c r="B221" s="112" t="s">
        <v>876</v>
      </c>
      <c r="C221" s="113" t="s">
        <v>877</v>
      </c>
      <c r="D221" s="113" t="s">
        <v>467</v>
      </c>
      <c r="E221" s="113" t="s">
        <v>873</v>
      </c>
      <c r="F221" s="114">
        <v>100.06522602269864</v>
      </c>
      <c r="G221" s="114">
        <v>101.09022602269863</v>
      </c>
      <c r="H221" s="114">
        <v>20.45</v>
      </c>
      <c r="I221" s="111">
        <v>702</v>
      </c>
      <c r="J221" s="113" t="s">
        <v>277</v>
      </c>
    </row>
    <row r="222" spans="1:10" x14ac:dyDescent="0.25">
      <c r="A222" s="111">
        <v>219</v>
      </c>
      <c r="B222" s="112" t="s">
        <v>878</v>
      </c>
      <c r="C222" s="113" t="s">
        <v>879</v>
      </c>
      <c r="D222" s="113" t="s">
        <v>467</v>
      </c>
      <c r="E222" s="113" t="s">
        <v>873</v>
      </c>
      <c r="F222" s="114">
        <v>100</v>
      </c>
      <c r="G222" s="114">
        <v>100.88890000000001</v>
      </c>
      <c r="H222" s="114">
        <v>19.989999999999998</v>
      </c>
      <c r="I222" s="111">
        <v>704</v>
      </c>
      <c r="J222" s="113" t="s">
        <v>277</v>
      </c>
    </row>
    <row r="223" spans="1:10" x14ac:dyDescent="0.25">
      <c r="A223" s="111">
        <v>220</v>
      </c>
      <c r="B223" s="112" t="s">
        <v>2248</v>
      </c>
      <c r="C223" s="113" t="s">
        <v>2249</v>
      </c>
      <c r="D223" s="113" t="s">
        <v>467</v>
      </c>
      <c r="E223" s="113" t="s">
        <v>873</v>
      </c>
      <c r="F223" s="114">
        <v>99.946589092180105</v>
      </c>
      <c r="G223" s="114">
        <v>103.4465890921801</v>
      </c>
      <c r="H223" s="114">
        <v>20.96</v>
      </c>
      <c r="I223" s="111">
        <v>60</v>
      </c>
      <c r="J223" s="113" t="s">
        <v>277</v>
      </c>
    </row>
    <row r="224" spans="1:10" x14ac:dyDescent="0.25">
      <c r="A224" s="111">
        <v>221</v>
      </c>
      <c r="B224" s="112" t="s">
        <v>2404</v>
      </c>
      <c r="C224" s="113" t="s">
        <v>2405</v>
      </c>
      <c r="D224" s="113" t="s">
        <v>457</v>
      </c>
      <c r="E224" s="113" t="s">
        <v>873</v>
      </c>
      <c r="F224" s="114">
        <v>1000.55</v>
      </c>
      <c r="G224" s="114">
        <v>1000.55</v>
      </c>
      <c r="H224" s="114">
        <v>0</v>
      </c>
      <c r="I224" s="111">
        <v>0</v>
      </c>
      <c r="J224" s="113" t="s">
        <v>246</v>
      </c>
    </row>
    <row r="225" spans="1:10" x14ac:dyDescent="0.25">
      <c r="A225" s="111">
        <v>222</v>
      </c>
      <c r="B225" s="112" t="s">
        <v>880</v>
      </c>
      <c r="C225" s="113" t="s">
        <v>881</v>
      </c>
      <c r="D225" s="113" t="s">
        <v>457</v>
      </c>
      <c r="E225" s="113" t="s">
        <v>882</v>
      </c>
      <c r="F225" s="114">
        <v>51817.410250000001</v>
      </c>
      <c r="G225" s="114">
        <v>51817.410250000001</v>
      </c>
      <c r="H225" s="114">
        <v>0</v>
      </c>
      <c r="I225" s="111">
        <v>0</v>
      </c>
      <c r="J225" s="113" t="s">
        <v>246</v>
      </c>
    </row>
    <row r="226" spans="1:10" x14ac:dyDescent="0.25">
      <c r="A226" s="111">
        <v>223</v>
      </c>
      <c r="B226" s="112" t="s">
        <v>886</v>
      </c>
      <c r="C226" s="113" t="s">
        <v>887</v>
      </c>
      <c r="D226" s="113" t="s">
        <v>457</v>
      </c>
      <c r="E226" s="113" t="s">
        <v>888</v>
      </c>
      <c r="F226" s="114">
        <v>0.01</v>
      </c>
      <c r="G226" s="114">
        <v>0.01</v>
      </c>
      <c r="H226" s="114">
        <v>0</v>
      </c>
      <c r="I226" s="111">
        <v>0</v>
      </c>
      <c r="J226" s="113" t="s">
        <v>246</v>
      </c>
    </row>
    <row r="227" spans="1:10" x14ac:dyDescent="0.25">
      <c r="A227" s="111">
        <v>224</v>
      </c>
      <c r="B227" s="112" t="s">
        <v>883</v>
      </c>
      <c r="C227" s="113" t="s">
        <v>884</v>
      </c>
      <c r="D227" s="113" t="s">
        <v>457</v>
      </c>
      <c r="E227" s="113" t="s">
        <v>885</v>
      </c>
      <c r="F227" s="114">
        <v>146752.79819999999</v>
      </c>
      <c r="G227" s="114">
        <v>146752.79819999999</v>
      </c>
      <c r="H227" s="114">
        <v>0</v>
      </c>
      <c r="I227" s="111">
        <v>0</v>
      </c>
      <c r="J227" s="113" t="s">
        <v>246</v>
      </c>
    </row>
    <row r="228" spans="1:10" x14ac:dyDescent="0.25">
      <c r="A228" s="111">
        <v>225</v>
      </c>
      <c r="B228" s="112" t="s">
        <v>889</v>
      </c>
      <c r="C228" s="113" t="s">
        <v>890</v>
      </c>
      <c r="D228" s="113" t="s">
        <v>457</v>
      </c>
      <c r="E228" s="113" t="s">
        <v>39</v>
      </c>
      <c r="F228" s="114">
        <v>2898</v>
      </c>
      <c r="G228" s="114">
        <v>2898</v>
      </c>
      <c r="H228" s="114">
        <v>0</v>
      </c>
      <c r="I228" s="111">
        <v>0</v>
      </c>
      <c r="J228" s="113" t="s">
        <v>246</v>
      </c>
    </row>
    <row r="229" spans="1:10" x14ac:dyDescent="0.25">
      <c r="A229" s="111">
        <v>226</v>
      </c>
      <c r="B229" s="112" t="s">
        <v>37</v>
      </c>
      <c r="C229" s="113" t="s">
        <v>38</v>
      </c>
      <c r="D229" s="113" t="s">
        <v>749</v>
      </c>
      <c r="E229" s="113" t="s">
        <v>39</v>
      </c>
      <c r="F229" s="114">
        <v>5863174.1550000003</v>
      </c>
      <c r="G229" s="114">
        <v>5863174.1550000003</v>
      </c>
      <c r="H229" s="114">
        <v>0</v>
      </c>
      <c r="I229" s="111">
        <v>0</v>
      </c>
      <c r="J229" s="113" t="s">
        <v>246</v>
      </c>
    </row>
    <row r="230" spans="1:10" x14ac:dyDescent="0.25">
      <c r="A230" s="111">
        <v>227</v>
      </c>
      <c r="B230" s="112" t="s">
        <v>891</v>
      </c>
      <c r="C230" s="113" t="s">
        <v>892</v>
      </c>
      <c r="D230" s="113" t="s">
        <v>749</v>
      </c>
      <c r="E230" s="113" t="s">
        <v>39</v>
      </c>
      <c r="F230" s="114">
        <v>2583834.38</v>
      </c>
      <c r="G230" s="114">
        <v>2583834.38</v>
      </c>
      <c r="H230" s="114">
        <v>0</v>
      </c>
      <c r="I230" s="111">
        <v>0</v>
      </c>
      <c r="J230" s="113" t="s">
        <v>246</v>
      </c>
    </row>
    <row r="231" spans="1:10" x14ac:dyDescent="0.25">
      <c r="A231" s="111">
        <v>228</v>
      </c>
      <c r="B231" s="112" t="s">
        <v>40</v>
      </c>
      <c r="C231" s="113" t="s">
        <v>41</v>
      </c>
      <c r="D231" s="113" t="s">
        <v>749</v>
      </c>
      <c r="E231" s="113" t="s">
        <v>39</v>
      </c>
      <c r="F231" s="114">
        <v>1723020.9750000001</v>
      </c>
      <c r="G231" s="114">
        <v>1723020.9750000001</v>
      </c>
      <c r="H231" s="114">
        <v>0</v>
      </c>
      <c r="I231" s="111">
        <v>0</v>
      </c>
      <c r="J231" s="113" t="s">
        <v>246</v>
      </c>
    </row>
    <row r="232" spans="1:10" x14ac:dyDescent="0.25">
      <c r="A232" s="111">
        <v>229</v>
      </c>
      <c r="B232" s="112" t="s">
        <v>852</v>
      </c>
      <c r="C232" s="113" t="s">
        <v>853</v>
      </c>
      <c r="D232" s="113" t="s">
        <v>457</v>
      </c>
      <c r="E232" s="113" t="s">
        <v>854</v>
      </c>
      <c r="F232" s="114">
        <v>51719.20405</v>
      </c>
      <c r="G232" s="114">
        <v>51719.20405</v>
      </c>
      <c r="H232" s="114">
        <v>0</v>
      </c>
      <c r="I232" s="111">
        <v>0</v>
      </c>
      <c r="J232" s="113" t="s">
        <v>246</v>
      </c>
    </row>
    <row r="233" spans="1:10" x14ac:dyDescent="0.25">
      <c r="A233" s="111">
        <v>230</v>
      </c>
      <c r="B233" s="112" t="s">
        <v>893</v>
      </c>
      <c r="C233" s="113" t="s">
        <v>894</v>
      </c>
      <c r="D233" s="113" t="s">
        <v>457</v>
      </c>
      <c r="E233" s="113" t="s">
        <v>895</v>
      </c>
      <c r="F233" s="114">
        <v>66081.860799999995</v>
      </c>
      <c r="G233" s="114">
        <v>66081.860799999995</v>
      </c>
      <c r="H233" s="114">
        <v>0</v>
      </c>
      <c r="I233" s="111">
        <v>0</v>
      </c>
      <c r="J233" s="113" t="s">
        <v>246</v>
      </c>
    </row>
    <row r="234" spans="1:10" x14ac:dyDescent="0.25">
      <c r="A234" s="111">
        <v>231</v>
      </c>
      <c r="B234" s="112" t="s">
        <v>896</v>
      </c>
      <c r="C234" s="113" t="s">
        <v>897</v>
      </c>
      <c r="D234" s="113" t="s">
        <v>467</v>
      </c>
      <c r="E234" s="113" t="s">
        <v>898</v>
      </c>
      <c r="F234" s="114">
        <v>72.356017995644024</v>
      </c>
      <c r="G234" s="114">
        <v>81.206617995644024</v>
      </c>
      <c r="H234" s="114">
        <v>26.08</v>
      </c>
      <c r="I234" s="111">
        <v>1084</v>
      </c>
      <c r="J234" s="113" t="s">
        <v>277</v>
      </c>
    </row>
    <row r="235" spans="1:10" x14ac:dyDescent="0.25">
      <c r="A235" s="111">
        <v>232</v>
      </c>
      <c r="B235" s="112" t="s">
        <v>899</v>
      </c>
      <c r="C235" s="113" t="s">
        <v>900</v>
      </c>
      <c r="D235" s="113" t="s">
        <v>467</v>
      </c>
      <c r="E235" s="113" t="s">
        <v>901</v>
      </c>
      <c r="F235" s="114">
        <v>100</v>
      </c>
      <c r="G235" s="114">
        <v>100.059</v>
      </c>
      <c r="H235" s="114">
        <v>4.24</v>
      </c>
      <c r="I235" s="111">
        <v>295</v>
      </c>
      <c r="J235" s="113" t="s">
        <v>277</v>
      </c>
    </row>
    <row r="236" spans="1:10" x14ac:dyDescent="0.25">
      <c r="A236" s="111">
        <v>233</v>
      </c>
      <c r="B236" s="112" t="s">
        <v>902</v>
      </c>
      <c r="C236" s="113" t="s">
        <v>903</v>
      </c>
      <c r="D236" s="113" t="s">
        <v>467</v>
      </c>
      <c r="E236" s="113" t="s">
        <v>901</v>
      </c>
      <c r="F236" s="114">
        <v>100</v>
      </c>
      <c r="G236" s="114">
        <v>100.0651</v>
      </c>
      <c r="H236" s="114">
        <v>0.35</v>
      </c>
      <c r="I236" s="111">
        <v>113</v>
      </c>
      <c r="J236" s="113" t="s">
        <v>277</v>
      </c>
    </row>
    <row r="237" spans="1:10" x14ac:dyDescent="0.25">
      <c r="A237" s="111">
        <v>234</v>
      </c>
      <c r="B237" s="112" t="s">
        <v>904</v>
      </c>
      <c r="C237" s="113" t="s">
        <v>905</v>
      </c>
      <c r="D237" s="113" t="s">
        <v>467</v>
      </c>
      <c r="E237" s="113" t="s">
        <v>901</v>
      </c>
      <c r="F237" s="114">
        <v>100</v>
      </c>
      <c r="G237" s="114">
        <v>100.0574</v>
      </c>
      <c r="H237" s="114">
        <v>0.35</v>
      </c>
      <c r="I237" s="111">
        <v>121</v>
      </c>
      <c r="J237" s="113" t="s">
        <v>277</v>
      </c>
    </row>
    <row r="238" spans="1:10" x14ac:dyDescent="0.25">
      <c r="A238" s="111">
        <v>235</v>
      </c>
      <c r="B238" s="112" t="s">
        <v>906</v>
      </c>
      <c r="C238" s="113" t="s">
        <v>907</v>
      </c>
      <c r="D238" s="113" t="s">
        <v>467</v>
      </c>
      <c r="E238" s="113" t="s">
        <v>901</v>
      </c>
      <c r="F238" s="114">
        <v>100</v>
      </c>
      <c r="G238" s="114">
        <v>100.07</v>
      </c>
      <c r="H238" s="114">
        <v>0.35</v>
      </c>
      <c r="I238" s="111">
        <v>288</v>
      </c>
      <c r="J238" s="113" t="s">
        <v>277</v>
      </c>
    </row>
    <row r="239" spans="1:10" x14ac:dyDescent="0.25">
      <c r="A239" s="111">
        <v>236</v>
      </c>
      <c r="B239" s="112" t="s">
        <v>2170</v>
      </c>
      <c r="C239" s="113" t="s">
        <v>2171</v>
      </c>
      <c r="D239" s="113" t="s">
        <v>467</v>
      </c>
      <c r="E239" s="113" t="s">
        <v>901</v>
      </c>
      <c r="F239" s="114">
        <v>100</v>
      </c>
      <c r="G239" s="114">
        <v>100.0972</v>
      </c>
      <c r="H239" s="114">
        <v>0.35</v>
      </c>
      <c r="I239" s="111">
        <v>620</v>
      </c>
      <c r="J239" s="113" t="s">
        <v>277</v>
      </c>
    </row>
    <row r="240" spans="1:10" x14ac:dyDescent="0.25">
      <c r="A240" s="111">
        <v>237</v>
      </c>
      <c r="B240" s="112" t="s">
        <v>908</v>
      </c>
      <c r="C240" s="113" t="s">
        <v>909</v>
      </c>
      <c r="D240" s="113" t="s">
        <v>467</v>
      </c>
      <c r="E240" s="113" t="s">
        <v>901</v>
      </c>
      <c r="F240" s="114">
        <v>100</v>
      </c>
      <c r="G240" s="114">
        <v>100.0022</v>
      </c>
      <c r="H240" s="114">
        <v>0.02</v>
      </c>
      <c r="I240" s="111">
        <v>3122</v>
      </c>
      <c r="J240" s="113" t="s">
        <v>277</v>
      </c>
    </row>
    <row r="241" spans="1:10" x14ac:dyDescent="0.25">
      <c r="A241" s="111">
        <v>238</v>
      </c>
      <c r="B241" s="112" t="s">
        <v>910</v>
      </c>
      <c r="C241" s="113" t="s">
        <v>911</v>
      </c>
      <c r="D241" s="113" t="s">
        <v>467</v>
      </c>
      <c r="E241" s="113" t="s">
        <v>901</v>
      </c>
      <c r="F241" s="114">
        <v>100</v>
      </c>
      <c r="G241" s="114">
        <v>100.5592</v>
      </c>
      <c r="H241" s="114">
        <v>6.09</v>
      </c>
      <c r="I241" s="111">
        <v>1737</v>
      </c>
      <c r="J241" s="113" t="s">
        <v>277</v>
      </c>
    </row>
    <row r="242" spans="1:10" x14ac:dyDescent="0.25">
      <c r="A242" s="111">
        <v>239</v>
      </c>
      <c r="B242" s="112" t="s">
        <v>912</v>
      </c>
      <c r="C242" s="113" t="s">
        <v>913</v>
      </c>
      <c r="D242" s="113" t="s">
        <v>467</v>
      </c>
      <c r="E242" s="113" t="s">
        <v>901</v>
      </c>
      <c r="F242" s="114">
        <v>100</v>
      </c>
      <c r="G242" s="114">
        <v>105.3447</v>
      </c>
      <c r="H242" s="114">
        <v>7.08</v>
      </c>
      <c r="I242" s="111">
        <v>2219</v>
      </c>
      <c r="J242" s="113" t="s">
        <v>277</v>
      </c>
    </row>
    <row r="243" spans="1:10" x14ac:dyDescent="0.25">
      <c r="A243" s="111">
        <v>240</v>
      </c>
      <c r="B243" s="112" t="s">
        <v>914</v>
      </c>
      <c r="C243" s="113" t="s">
        <v>915</v>
      </c>
      <c r="D243" s="113" t="s">
        <v>467</v>
      </c>
      <c r="E243" s="113" t="s">
        <v>901</v>
      </c>
      <c r="F243" s="114">
        <v>100</v>
      </c>
      <c r="G243" s="114">
        <v>105.8289</v>
      </c>
      <c r="H243" s="114">
        <v>6.09</v>
      </c>
      <c r="I243" s="111">
        <v>2146</v>
      </c>
      <c r="J243" s="113" t="s">
        <v>277</v>
      </c>
    </row>
    <row r="244" spans="1:10" x14ac:dyDescent="0.25">
      <c r="A244" s="111">
        <v>241</v>
      </c>
      <c r="B244" s="112" t="s">
        <v>916</v>
      </c>
      <c r="C244" s="113" t="s">
        <v>917</v>
      </c>
      <c r="D244" s="113" t="s">
        <v>467</v>
      </c>
      <c r="E244" s="113" t="s">
        <v>901</v>
      </c>
      <c r="F244" s="114">
        <v>100</v>
      </c>
      <c r="G244" s="114">
        <v>104.6767</v>
      </c>
      <c r="H244" s="114">
        <v>6.08</v>
      </c>
      <c r="I244" s="111">
        <v>2574</v>
      </c>
      <c r="J244" s="113" t="s">
        <v>277</v>
      </c>
    </row>
    <row r="245" spans="1:10" x14ac:dyDescent="0.25">
      <c r="A245" s="111">
        <v>242</v>
      </c>
      <c r="B245" s="112" t="s">
        <v>918</v>
      </c>
      <c r="C245" s="113" t="s">
        <v>919</v>
      </c>
      <c r="D245" s="113" t="s">
        <v>467</v>
      </c>
      <c r="E245" s="113" t="s">
        <v>901</v>
      </c>
      <c r="F245" s="114">
        <v>100</v>
      </c>
      <c r="G245" s="114">
        <v>104.6767</v>
      </c>
      <c r="H245" s="114">
        <v>6.08</v>
      </c>
      <c r="I245" s="111">
        <v>2574</v>
      </c>
      <c r="J245" s="113" t="s">
        <v>277</v>
      </c>
    </row>
    <row r="246" spans="1:10" x14ac:dyDescent="0.25">
      <c r="A246" s="111">
        <v>243</v>
      </c>
      <c r="B246" s="112" t="s">
        <v>920</v>
      </c>
      <c r="C246" s="113" t="s">
        <v>921</v>
      </c>
      <c r="D246" s="113" t="s">
        <v>467</v>
      </c>
      <c r="E246" s="113" t="s">
        <v>901</v>
      </c>
      <c r="F246" s="114">
        <v>100</v>
      </c>
      <c r="G246" s="114">
        <v>103.5414</v>
      </c>
      <c r="H246" s="114">
        <v>6.08</v>
      </c>
      <c r="I246" s="111">
        <v>2641</v>
      </c>
      <c r="J246" s="113" t="s">
        <v>277</v>
      </c>
    </row>
    <row r="247" spans="1:10" x14ac:dyDescent="0.25">
      <c r="A247" s="111">
        <v>244</v>
      </c>
      <c r="B247" s="112" t="s">
        <v>43</v>
      </c>
      <c r="C247" s="113" t="s">
        <v>44</v>
      </c>
      <c r="D247" s="113" t="s">
        <v>467</v>
      </c>
      <c r="E247" s="113" t="s">
        <v>42</v>
      </c>
      <c r="F247" s="114">
        <v>99.510795849187247</v>
      </c>
      <c r="G247" s="114">
        <v>101.54459584918725</v>
      </c>
      <c r="H247" s="114">
        <v>6.49</v>
      </c>
      <c r="I247" s="111">
        <v>232</v>
      </c>
      <c r="J247" s="113" t="s">
        <v>277</v>
      </c>
    </row>
    <row r="248" spans="1:10" x14ac:dyDescent="0.25">
      <c r="A248" s="111">
        <v>245</v>
      </c>
      <c r="B248" s="112" t="s">
        <v>922</v>
      </c>
      <c r="C248" s="113" t="s">
        <v>923</v>
      </c>
      <c r="D248" s="113" t="s">
        <v>467</v>
      </c>
      <c r="E248" s="113" t="s">
        <v>42</v>
      </c>
      <c r="F248" s="114">
        <v>99.91840677132592</v>
      </c>
      <c r="G248" s="114">
        <v>115.20310677132592</v>
      </c>
      <c r="H248" s="114">
        <v>20.36</v>
      </c>
      <c r="I248" s="111">
        <v>5</v>
      </c>
      <c r="J248" s="113" t="s">
        <v>277</v>
      </c>
    </row>
    <row r="249" spans="1:10" x14ac:dyDescent="0.25">
      <c r="A249" s="111">
        <v>246</v>
      </c>
      <c r="B249" s="112" t="s">
        <v>2078</v>
      </c>
      <c r="C249" s="113" t="s">
        <v>2079</v>
      </c>
      <c r="D249" s="113" t="s">
        <v>467</v>
      </c>
      <c r="E249" s="113" t="s">
        <v>42</v>
      </c>
      <c r="F249" s="114">
        <v>99.01385541742826</v>
      </c>
      <c r="G249" s="114">
        <v>105.82545541742826</v>
      </c>
      <c r="H249" s="114">
        <v>16.72</v>
      </c>
      <c r="I249" s="111">
        <v>942</v>
      </c>
      <c r="J249" s="113" t="s">
        <v>277</v>
      </c>
    </row>
    <row r="250" spans="1:10" x14ac:dyDescent="0.25">
      <c r="A250" s="111">
        <v>247</v>
      </c>
      <c r="B250" s="112" t="s">
        <v>924</v>
      </c>
      <c r="C250" s="113" t="s">
        <v>925</v>
      </c>
      <c r="D250" s="113" t="s">
        <v>467</v>
      </c>
      <c r="E250" s="113" t="s">
        <v>42</v>
      </c>
      <c r="F250" s="114">
        <v>94.943098523622282</v>
      </c>
      <c r="G250" s="114">
        <v>103.22639852362228</v>
      </c>
      <c r="H250" s="114">
        <v>16.86</v>
      </c>
      <c r="I250" s="111">
        <v>690</v>
      </c>
      <c r="J250" s="113" t="s">
        <v>277</v>
      </c>
    </row>
    <row r="251" spans="1:10" x14ac:dyDescent="0.25">
      <c r="A251" s="111">
        <v>248</v>
      </c>
      <c r="B251" s="112" t="s">
        <v>926</v>
      </c>
      <c r="C251" s="113" t="s">
        <v>927</v>
      </c>
      <c r="D251" s="113" t="s">
        <v>467</v>
      </c>
      <c r="E251" s="113" t="s">
        <v>42</v>
      </c>
      <c r="F251" s="114">
        <v>91.671561452004198</v>
      </c>
      <c r="G251" s="114">
        <v>96.328061452004192</v>
      </c>
      <c r="H251" s="114">
        <v>16.87</v>
      </c>
      <c r="I251" s="111">
        <v>766</v>
      </c>
      <c r="J251" s="113" t="s">
        <v>277</v>
      </c>
    </row>
    <row r="252" spans="1:10" x14ac:dyDescent="0.25">
      <c r="A252" s="111">
        <v>249</v>
      </c>
      <c r="B252" s="112" t="s">
        <v>373</v>
      </c>
      <c r="C252" s="113" t="s">
        <v>372</v>
      </c>
      <c r="D252" s="113" t="s">
        <v>467</v>
      </c>
      <c r="E252" s="113" t="s">
        <v>42</v>
      </c>
      <c r="F252" s="114">
        <v>98.971537767324833</v>
      </c>
      <c r="G252" s="114">
        <v>111.88123776732483</v>
      </c>
      <c r="H252" s="114">
        <v>14.85</v>
      </c>
      <c r="I252" s="111">
        <v>755</v>
      </c>
      <c r="J252" s="113" t="s">
        <v>277</v>
      </c>
    </row>
    <row r="253" spans="1:10" x14ac:dyDescent="0.25">
      <c r="A253" s="111">
        <v>250</v>
      </c>
      <c r="B253" s="112" t="s">
        <v>2129</v>
      </c>
      <c r="C253" s="113" t="s">
        <v>2130</v>
      </c>
      <c r="D253" s="113" t="s">
        <v>467</v>
      </c>
      <c r="E253" s="113" t="s">
        <v>42</v>
      </c>
      <c r="F253" s="114">
        <v>101.58673051769004</v>
      </c>
      <c r="G253" s="114">
        <v>107.48403051769004</v>
      </c>
      <c r="H253" s="114">
        <v>16.7</v>
      </c>
      <c r="I253" s="111">
        <v>973</v>
      </c>
      <c r="J253" s="113" t="s">
        <v>277</v>
      </c>
    </row>
    <row r="254" spans="1:10" x14ac:dyDescent="0.25">
      <c r="A254" s="111">
        <v>251</v>
      </c>
      <c r="B254" s="112" t="s">
        <v>928</v>
      </c>
      <c r="C254" s="113" t="s">
        <v>929</v>
      </c>
      <c r="D254" s="113" t="s">
        <v>467</v>
      </c>
      <c r="E254" s="113" t="s">
        <v>42</v>
      </c>
      <c r="F254" s="114">
        <v>100.19385506305194</v>
      </c>
      <c r="G254" s="114">
        <v>100.24635506305194</v>
      </c>
      <c r="H254" s="114">
        <v>6.25</v>
      </c>
      <c r="I254" s="111">
        <v>1797</v>
      </c>
      <c r="J254" s="113" t="s">
        <v>277</v>
      </c>
    </row>
    <row r="255" spans="1:10" x14ac:dyDescent="0.25">
      <c r="A255" s="111">
        <v>252</v>
      </c>
      <c r="B255" s="112" t="s">
        <v>930</v>
      </c>
      <c r="C255" s="113" t="s">
        <v>931</v>
      </c>
      <c r="D255" s="113" t="s">
        <v>467</v>
      </c>
      <c r="E255" s="113" t="s">
        <v>42</v>
      </c>
      <c r="F255" s="114">
        <v>96.611941037794068</v>
      </c>
      <c r="G255" s="114">
        <v>96.976341037794057</v>
      </c>
      <c r="H255" s="114">
        <v>6.6</v>
      </c>
      <c r="I255" s="111">
        <v>232</v>
      </c>
      <c r="J255" s="113" t="s">
        <v>277</v>
      </c>
    </row>
    <row r="256" spans="1:10" x14ac:dyDescent="0.25">
      <c r="A256" s="111">
        <v>253</v>
      </c>
      <c r="B256" s="112" t="s">
        <v>932</v>
      </c>
      <c r="C256" s="113" t="s">
        <v>933</v>
      </c>
      <c r="D256" s="113" t="s">
        <v>467</v>
      </c>
      <c r="E256" s="113" t="s">
        <v>934</v>
      </c>
      <c r="F256" s="114">
        <v>98.880709270419302</v>
      </c>
      <c r="G256" s="114">
        <v>100.5815092704193</v>
      </c>
      <c r="H256" s="114">
        <v>16.079999999999998</v>
      </c>
      <c r="I256" s="111">
        <v>861</v>
      </c>
      <c r="J256" s="113" t="s">
        <v>277</v>
      </c>
    </row>
    <row r="257" spans="1:10" x14ac:dyDescent="0.25">
      <c r="A257" s="111">
        <v>254</v>
      </c>
      <c r="B257" s="112" t="s">
        <v>935</v>
      </c>
      <c r="C257" s="113" t="s">
        <v>936</v>
      </c>
      <c r="D257" s="113" t="s">
        <v>467</v>
      </c>
      <c r="E257" s="113" t="s">
        <v>934</v>
      </c>
      <c r="F257" s="114">
        <v>99.646415618511327</v>
      </c>
      <c r="G257" s="114">
        <v>104.85401561851133</v>
      </c>
      <c r="H257" s="114">
        <v>16.02</v>
      </c>
      <c r="I257" s="111">
        <v>1101</v>
      </c>
      <c r="J257" s="113" t="s">
        <v>277</v>
      </c>
    </row>
    <row r="258" spans="1:10" x14ac:dyDescent="0.25">
      <c r="A258" s="111">
        <v>255</v>
      </c>
      <c r="B258" s="112" t="s">
        <v>937</v>
      </c>
      <c r="C258" s="113" t="s">
        <v>938</v>
      </c>
      <c r="D258" s="113" t="s">
        <v>467</v>
      </c>
      <c r="E258" s="113" t="s">
        <v>934</v>
      </c>
      <c r="F258" s="114">
        <v>100.4241915205309</v>
      </c>
      <c r="G258" s="114">
        <v>102.6741915205309</v>
      </c>
      <c r="H258" s="114">
        <v>15.85</v>
      </c>
      <c r="I258" s="111">
        <v>1570</v>
      </c>
      <c r="J258" s="113" t="s">
        <v>277</v>
      </c>
    </row>
    <row r="259" spans="1:10" x14ac:dyDescent="0.25">
      <c r="A259" s="111">
        <v>256</v>
      </c>
      <c r="B259" s="112" t="s">
        <v>939</v>
      </c>
      <c r="C259" s="113" t="s">
        <v>940</v>
      </c>
      <c r="D259" s="113" t="s">
        <v>457</v>
      </c>
      <c r="E259" s="113" t="s">
        <v>934</v>
      </c>
      <c r="F259" s="114">
        <v>1</v>
      </c>
      <c r="G259" s="114">
        <v>1</v>
      </c>
      <c r="H259" s="114">
        <v>0</v>
      </c>
      <c r="I259" s="111">
        <v>379</v>
      </c>
      <c r="J259" s="113" t="s">
        <v>246</v>
      </c>
    </row>
    <row r="260" spans="1:10" x14ac:dyDescent="0.25">
      <c r="A260" s="111">
        <v>257</v>
      </c>
      <c r="B260" s="112" t="s">
        <v>941</v>
      </c>
      <c r="C260" s="113" t="s">
        <v>942</v>
      </c>
      <c r="D260" s="113" t="s">
        <v>457</v>
      </c>
      <c r="E260" s="113" t="s">
        <v>934</v>
      </c>
      <c r="F260" s="114">
        <v>0.8</v>
      </c>
      <c r="G260" s="114">
        <v>0.8</v>
      </c>
      <c r="H260" s="114">
        <v>0</v>
      </c>
      <c r="I260" s="111">
        <v>446</v>
      </c>
      <c r="J260" s="113" t="s">
        <v>246</v>
      </c>
    </row>
    <row r="261" spans="1:10" x14ac:dyDescent="0.25">
      <c r="A261" s="111">
        <v>258</v>
      </c>
      <c r="B261" s="112" t="s">
        <v>943</v>
      </c>
      <c r="C261" s="113" t="s">
        <v>944</v>
      </c>
      <c r="D261" s="113" t="s">
        <v>467</v>
      </c>
      <c r="E261" s="113" t="s">
        <v>934</v>
      </c>
      <c r="F261" s="114">
        <v>98.556257449644647</v>
      </c>
      <c r="G261" s="114">
        <v>106.71625744964464</v>
      </c>
      <c r="H261" s="114">
        <v>16.91</v>
      </c>
      <c r="I261" s="111">
        <v>146</v>
      </c>
      <c r="J261" s="113" t="s">
        <v>277</v>
      </c>
    </row>
    <row r="262" spans="1:10" x14ac:dyDescent="0.25">
      <c r="A262" s="111">
        <v>259</v>
      </c>
      <c r="B262" s="112" t="s">
        <v>945</v>
      </c>
      <c r="C262" s="113" t="s">
        <v>946</v>
      </c>
      <c r="D262" s="113" t="s">
        <v>467</v>
      </c>
      <c r="E262" s="113" t="s">
        <v>934</v>
      </c>
      <c r="F262" s="114">
        <v>100</v>
      </c>
      <c r="G262" s="114">
        <v>103.52630000000001</v>
      </c>
      <c r="H262" s="114">
        <v>15.86</v>
      </c>
      <c r="I262" s="111">
        <v>560</v>
      </c>
      <c r="J262" s="113" t="s">
        <v>277</v>
      </c>
    </row>
    <row r="263" spans="1:10" x14ac:dyDescent="0.25">
      <c r="A263" s="111">
        <v>260</v>
      </c>
      <c r="B263" s="112" t="s">
        <v>947</v>
      </c>
      <c r="C263" s="113" t="s">
        <v>948</v>
      </c>
      <c r="D263" s="113" t="s">
        <v>467</v>
      </c>
      <c r="E263" s="113" t="s">
        <v>934</v>
      </c>
      <c r="F263" s="114">
        <v>100</v>
      </c>
      <c r="G263" s="114">
        <v>101.2838</v>
      </c>
      <c r="H263" s="114">
        <v>15.61</v>
      </c>
      <c r="I263" s="111">
        <v>1339</v>
      </c>
      <c r="J263" s="113" t="s">
        <v>277</v>
      </c>
    </row>
    <row r="264" spans="1:10" x14ac:dyDescent="0.25">
      <c r="A264" s="111">
        <v>261</v>
      </c>
      <c r="B264" s="112" t="s">
        <v>949</v>
      </c>
      <c r="C264" s="113" t="s">
        <v>950</v>
      </c>
      <c r="D264" s="113" t="s">
        <v>467</v>
      </c>
      <c r="E264" s="113" t="s">
        <v>934</v>
      </c>
      <c r="F264" s="114">
        <v>101.203</v>
      </c>
      <c r="G264" s="114">
        <v>102.8922</v>
      </c>
      <c r="H264" s="114">
        <v>3.89</v>
      </c>
      <c r="I264" s="111">
        <v>941</v>
      </c>
      <c r="J264" s="113" t="s">
        <v>277</v>
      </c>
    </row>
    <row r="265" spans="1:10" x14ac:dyDescent="0.25">
      <c r="A265" s="111">
        <v>262</v>
      </c>
      <c r="B265" s="112" t="s">
        <v>951</v>
      </c>
      <c r="C265" s="113" t="s">
        <v>952</v>
      </c>
      <c r="D265" s="113" t="s">
        <v>467</v>
      </c>
      <c r="E265" s="113" t="s">
        <v>934</v>
      </c>
      <c r="F265" s="114">
        <v>100.52800000000001</v>
      </c>
      <c r="G265" s="114">
        <v>100.5624</v>
      </c>
      <c r="H265" s="114">
        <v>3.96</v>
      </c>
      <c r="I265" s="111">
        <v>1257</v>
      </c>
      <c r="J265" s="113" t="s">
        <v>277</v>
      </c>
    </row>
    <row r="266" spans="1:10" x14ac:dyDescent="0.25">
      <c r="A266" s="111">
        <v>263</v>
      </c>
      <c r="B266" s="112" t="s">
        <v>2080</v>
      </c>
      <c r="C266" s="113" t="s">
        <v>2081</v>
      </c>
      <c r="D266" s="113" t="s">
        <v>467</v>
      </c>
      <c r="E266" s="113" t="s">
        <v>934</v>
      </c>
      <c r="F266" s="114">
        <v>100</v>
      </c>
      <c r="G266" s="114">
        <v>102.8048</v>
      </c>
      <c r="H266" s="114">
        <v>15.74</v>
      </c>
      <c r="I266" s="111">
        <v>576</v>
      </c>
      <c r="J266" s="113" t="s">
        <v>277</v>
      </c>
    </row>
    <row r="267" spans="1:10" x14ac:dyDescent="0.25">
      <c r="A267" s="111">
        <v>264</v>
      </c>
      <c r="B267" s="112" t="s">
        <v>2201</v>
      </c>
      <c r="C267" s="113" t="s">
        <v>2202</v>
      </c>
      <c r="D267" s="113" t="s">
        <v>467</v>
      </c>
      <c r="E267" s="113" t="s">
        <v>934</v>
      </c>
      <c r="F267" s="114">
        <v>100</v>
      </c>
      <c r="G267" s="114">
        <v>103.55289999999999</v>
      </c>
      <c r="H267" s="114">
        <v>15.97</v>
      </c>
      <c r="I267" s="111">
        <v>1015</v>
      </c>
      <c r="J267" s="113" t="s">
        <v>277</v>
      </c>
    </row>
    <row r="268" spans="1:10" x14ac:dyDescent="0.25">
      <c r="A268" s="111">
        <v>265</v>
      </c>
      <c r="B268" s="112" t="s">
        <v>953</v>
      </c>
      <c r="C268" s="113" t="s">
        <v>954</v>
      </c>
      <c r="D268" s="113" t="s">
        <v>467</v>
      </c>
      <c r="E268" s="113" t="s">
        <v>934</v>
      </c>
      <c r="F268" s="114">
        <v>99.189735632270924</v>
      </c>
      <c r="G268" s="114">
        <v>103.68583563227092</v>
      </c>
      <c r="H268" s="114">
        <v>15.78</v>
      </c>
      <c r="I268" s="111">
        <v>210</v>
      </c>
      <c r="J268" s="113" t="s">
        <v>277</v>
      </c>
    </row>
    <row r="269" spans="1:10" x14ac:dyDescent="0.25">
      <c r="A269" s="111">
        <v>266</v>
      </c>
      <c r="B269" s="112" t="s">
        <v>955</v>
      </c>
      <c r="C269" s="113" t="s">
        <v>956</v>
      </c>
      <c r="D269" s="113" t="s">
        <v>467</v>
      </c>
      <c r="E269" s="113" t="s">
        <v>934</v>
      </c>
      <c r="F269" s="114">
        <v>99.086076525776036</v>
      </c>
      <c r="G269" s="114">
        <v>100.64827652577604</v>
      </c>
      <c r="H269" s="114">
        <v>16.16</v>
      </c>
      <c r="I269" s="111">
        <v>323</v>
      </c>
      <c r="J269" s="113" t="s">
        <v>277</v>
      </c>
    </row>
    <row r="270" spans="1:10" x14ac:dyDescent="0.25">
      <c r="A270" s="111">
        <v>267</v>
      </c>
      <c r="B270" s="112" t="s">
        <v>957</v>
      </c>
      <c r="C270" s="113" t="s">
        <v>958</v>
      </c>
      <c r="D270" s="113" t="s">
        <v>467</v>
      </c>
      <c r="E270" s="113" t="s">
        <v>934</v>
      </c>
      <c r="F270" s="114">
        <v>98.138838071869287</v>
      </c>
      <c r="G270" s="114">
        <v>98.55513807186928</v>
      </c>
      <c r="H270" s="114">
        <v>16.100000000000001</v>
      </c>
      <c r="I270" s="111">
        <v>710</v>
      </c>
      <c r="J270" s="113" t="s">
        <v>277</v>
      </c>
    </row>
    <row r="271" spans="1:10" x14ac:dyDescent="0.25">
      <c r="A271" s="111">
        <v>268</v>
      </c>
      <c r="B271" s="112" t="s">
        <v>959</v>
      </c>
      <c r="C271" s="113" t="s">
        <v>960</v>
      </c>
      <c r="D271" s="113" t="s">
        <v>467</v>
      </c>
      <c r="E271" s="113" t="s">
        <v>934</v>
      </c>
      <c r="F271" s="114">
        <v>99.321838073288333</v>
      </c>
      <c r="G271" s="114">
        <v>101.02263807328833</v>
      </c>
      <c r="H271" s="114">
        <v>16.07</v>
      </c>
      <c r="I271" s="111">
        <v>501</v>
      </c>
      <c r="J271" s="113" t="s">
        <v>277</v>
      </c>
    </row>
    <row r="272" spans="1:10" x14ac:dyDescent="0.25">
      <c r="A272" s="111">
        <v>269</v>
      </c>
      <c r="B272" s="112" t="s">
        <v>961</v>
      </c>
      <c r="C272" s="113" t="s">
        <v>962</v>
      </c>
      <c r="D272" s="113" t="s">
        <v>467</v>
      </c>
      <c r="E272" s="113" t="s">
        <v>963</v>
      </c>
      <c r="F272" s="114">
        <v>98.727000000000004</v>
      </c>
      <c r="G272" s="114">
        <v>99.385999999999996</v>
      </c>
      <c r="H272" s="114">
        <v>3.83</v>
      </c>
      <c r="I272" s="111">
        <v>827</v>
      </c>
      <c r="J272" s="113" t="s">
        <v>277</v>
      </c>
    </row>
    <row r="273" spans="1:10" x14ac:dyDescent="0.25">
      <c r="A273" s="111">
        <v>270</v>
      </c>
      <c r="B273" s="112" t="s">
        <v>964</v>
      </c>
      <c r="C273" s="113" t="s">
        <v>965</v>
      </c>
      <c r="D273" s="113" t="s">
        <v>467</v>
      </c>
      <c r="E273" s="113" t="s">
        <v>963</v>
      </c>
      <c r="F273" s="114">
        <v>98.316000000000003</v>
      </c>
      <c r="G273" s="114">
        <v>98.446899999999999</v>
      </c>
      <c r="H273" s="114">
        <v>4</v>
      </c>
      <c r="I273" s="111">
        <v>1787</v>
      </c>
      <c r="J273" s="113" t="s">
        <v>277</v>
      </c>
    </row>
    <row r="274" spans="1:10" x14ac:dyDescent="0.25">
      <c r="A274" s="111">
        <v>271</v>
      </c>
      <c r="B274" s="112" t="s">
        <v>966</v>
      </c>
      <c r="C274" s="113" t="s">
        <v>967</v>
      </c>
      <c r="D274" s="113" t="s">
        <v>457</v>
      </c>
      <c r="E274" s="113" t="s">
        <v>968</v>
      </c>
      <c r="F274" s="114">
        <v>40000</v>
      </c>
      <c r="G274" s="114">
        <v>40000</v>
      </c>
      <c r="H274" s="114">
        <v>0</v>
      </c>
      <c r="I274" s="111">
        <v>0</v>
      </c>
      <c r="J274" s="113" t="s">
        <v>246</v>
      </c>
    </row>
    <row r="275" spans="1:10" x14ac:dyDescent="0.25">
      <c r="A275" s="111">
        <v>272</v>
      </c>
      <c r="B275" s="112" t="s">
        <v>970</v>
      </c>
      <c r="C275" s="113" t="s">
        <v>971</v>
      </c>
      <c r="D275" s="113" t="s">
        <v>467</v>
      </c>
      <c r="E275" s="113" t="s">
        <v>969</v>
      </c>
      <c r="F275" s="114">
        <v>46.932515057301998</v>
      </c>
      <c r="G275" s="114">
        <v>50.043615057301999</v>
      </c>
      <c r="H275" s="114">
        <v>17.47</v>
      </c>
      <c r="I275" s="111">
        <v>2600</v>
      </c>
      <c r="J275" s="113" t="s">
        <v>277</v>
      </c>
    </row>
    <row r="276" spans="1:10" x14ac:dyDescent="0.25">
      <c r="A276" s="111">
        <v>273</v>
      </c>
      <c r="B276" s="112" t="s">
        <v>972</v>
      </c>
      <c r="C276" s="113" t="s">
        <v>973</v>
      </c>
      <c r="D276" s="113" t="s">
        <v>467</v>
      </c>
      <c r="E276" s="113" t="s">
        <v>969</v>
      </c>
      <c r="F276" s="114">
        <v>94.170714438972681</v>
      </c>
      <c r="G276" s="114">
        <v>99.128614438972676</v>
      </c>
      <c r="H276" s="114">
        <v>17.25</v>
      </c>
      <c r="I276" s="111">
        <v>377</v>
      </c>
      <c r="J276" s="113" t="s">
        <v>277</v>
      </c>
    </row>
    <row r="277" spans="1:10" x14ac:dyDescent="0.25">
      <c r="A277" s="111">
        <v>274</v>
      </c>
      <c r="B277" s="112" t="s">
        <v>974</v>
      </c>
      <c r="C277" s="113" t="s">
        <v>975</v>
      </c>
      <c r="D277" s="113" t="s">
        <v>467</v>
      </c>
      <c r="E277" s="113" t="s">
        <v>976</v>
      </c>
      <c r="F277" s="114">
        <v>86.617367972392742</v>
      </c>
      <c r="G277" s="114">
        <v>87.839567972392743</v>
      </c>
      <c r="H277" s="114">
        <v>18.75</v>
      </c>
      <c r="I277" s="111">
        <v>676</v>
      </c>
      <c r="J277" s="113" t="s">
        <v>277</v>
      </c>
    </row>
    <row r="278" spans="1:10" x14ac:dyDescent="0.25">
      <c r="A278" s="111">
        <v>275</v>
      </c>
      <c r="B278" s="112" t="s">
        <v>977</v>
      </c>
      <c r="C278" s="113" t="s">
        <v>978</v>
      </c>
      <c r="D278" s="113" t="s">
        <v>769</v>
      </c>
      <c r="E278" s="113" t="s">
        <v>979</v>
      </c>
      <c r="F278" s="114">
        <v>23670.422149999999</v>
      </c>
      <c r="G278" s="114">
        <v>23670.422149999999</v>
      </c>
      <c r="H278" s="114">
        <v>0</v>
      </c>
      <c r="I278" s="111">
        <v>0</v>
      </c>
      <c r="J278" s="113" t="s">
        <v>246</v>
      </c>
    </row>
    <row r="279" spans="1:10" x14ac:dyDescent="0.25">
      <c r="A279" s="111">
        <v>276</v>
      </c>
      <c r="B279" s="112" t="s">
        <v>980</v>
      </c>
      <c r="C279" s="113" t="s">
        <v>981</v>
      </c>
      <c r="D279" s="113" t="s">
        <v>457</v>
      </c>
      <c r="E279" s="113" t="s">
        <v>982</v>
      </c>
      <c r="F279" s="114">
        <v>1000</v>
      </c>
      <c r="G279" s="114">
        <v>1000</v>
      </c>
      <c r="H279" s="114">
        <v>0</v>
      </c>
      <c r="I279" s="111">
        <v>0</v>
      </c>
      <c r="J279" s="113" t="s">
        <v>246</v>
      </c>
    </row>
    <row r="280" spans="1:10" x14ac:dyDescent="0.25">
      <c r="A280" s="111">
        <v>277</v>
      </c>
      <c r="B280" s="112" t="s">
        <v>983</v>
      </c>
      <c r="C280" s="113" t="s">
        <v>984</v>
      </c>
      <c r="D280" s="113" t="s">
        <v>457</v>
      </c>
      <c r="E280" s="113" t="s">
        <v>982</v>
      </c>
      <c r="F280" s="114">
        <v>1000</v>
      </c>
      <c r="G280" s="114">
        <v>1000</v>
      </c>
      <c r="H280" s="114">
        <v>0</v>
      </c>
      <c r="I280" s="111">
        <v>0</v>
      </c>
      <c r="J280" s="113" t="s">
        <v>246</v>
      </c>
    </row>
    <row r="281" spans="1:10" x14ac:dyDescent="0.25">
      <c r="A281" s="111">
        <v>278</v>
      </c>
      <c r="B281" s="112" t="s">
        <v>985</v>
      </c>
      <c r="C281" s="113" t="s">
        <v>986</v>
      </c>
      <c r="D281" s="113" t="s">
        <v>457</v>
      </c>
      <c r="E281" s="113" t="s">
        <v>987</v>
      </c>
      <c r="F281" s="114">
        <v>0.01</v>
      </c>
      <c r="G281" s="114">
        <v>0.01</v>
      </c>
      <c r="H281" s="114">
        <v>0</v>
      </c>
      <c r="I281" s="111">
        <v>0</v>
      </c>
      <c r="J281" s="113" t="s">
        <v>246</v>
      </c>
    </row>
    <row r="282" spans="1:10" x14ac:dyDescent="0.25">
      <c r="A282" s="111">
        <v>279</v>
      </c>
      <c r="B282" s="112" t="s">
        <v>991</v>
      </c>
      <c r="C282" s="113" t="s">
        <v>992</v>
      </c>
      <c r="D282" s="113" t="s">
        <v>467</v>
      </c>
      <c r="E282" s="113" t="s">
        <v>504</v>
      </c>
      <c r="F282" s="114">
        <v>95.225637110382777</v>
      </c>
      <c r="G282" s="114">
        <v>96.008837110382785</v>
      </c>
      <c r="H282" s="114">
        <v>17.579999999999998</v>
      </c>
      <c r="I282" s="111">
        <v>242</v>
      </c>
      <c r="J282" s="113" t="s">
        <v>277</v>
      </c>
    </row>
    <row r="283" spans="1:10" x14ac:dyDescent="0.25">
      <c r="A283" s="111">
        <v>280</v>
      </c>
      <c r="B283" s="112" t="s">
        <v>993</v>
      </c>
      <c r="C283" s="113" t="s">
        <v>994</v>
      </c>
      <c r="D283" s="113" t="s">
        <v>467</v>
      </c>
      <c r="E283" s="113" t="s">
        <v>504</v>
      </c>
      <c r="F283" s="114">
        <v>94.704360392370063</v>
      </c>
      <c r="G283" s="114">
        <v>97.417660392370067</v>
      </c>
      <c r="H283" s="114">
        <v>18.05</v>
      </c>
      <c r="I283" s="111">
        <v>263</v>
      </c>
      <c r="J283" s="113" t="s">
        <v>277</v>
      </c>
    </row>
    <row r="284" spans="1:10" x14ac:dyDescent="0.25">
      <c r="A284" s="111">
        <v>281</v>
      </c>
      <c r="B284" s="112" t="s">
        <v>995</v>
      </c>
      <c r="C284" s="113" t="s">
        <v>996</v>
      </c>
      <c r="D284" s="113" t="s">
        <v>457</v>
      </c>
      <c r="E284" s="113" t="s">
        <v>997</v>
      </c>
      <c r="F284" s="114">
        <v>1054.2494300000001</v>
      </c>
      <c r="G284" s="114">
        <v>1054.2494300000001</v>
      </c>
      <c r="H284" s="114">
        <v>0</v>
      </c>
      <c r="I284" s="111">
        <v>2096</v>
      </c>
      <c r="J284" s="113" t="s">
        <v>246</v>
      </c>
    </row>
    <row r="285" spans="1:10" x14ac:dyDescent="0.25">
      <c r="A285" s="111">
        <v>282</v>
      </c>
      <c r="B285" s="112" t="s">
        <v>998</v>
      </c>
      <c r="C285" s="113" t="s">
        <v>999</v>
      </c>
      <c r="D285" s="113" t="s">
        <v>467</v>
      </c>
      <c r="E285" s="113" t="s">
        <v>997</v>
      </c>
      <c r="F285" s="114">
        <v>73.401702517100347</v>
      </c>
      <c r="G285" s="114">
        <v>73.523902517100353</v>
      </c>
      <c r="H285" s="114">
        <v>17.8</v>
      </c>
      <c r="I285" s="111">
        <v>2516</v>
      </c>
      <c r="J285" s="113" t="s">
        <v>277</v>
      </c>
    </row>
    <row r="286" spans="1:10" x14ac:dyDescent="0.25">
      <c r="A286" s="111">
        <v>283</v>
      </c>
      <c r="B286" s="112" t="s">
        <v>1000</v>
      </c>
      <c r="C286" s="113" t="s">
        <v>1001</v>
      </c>
      <c r="D286" s="113" t="s">
        <v>467</v>
      </c>
      <c r="E286" s="113" t="s">
        <v>997</v>
      </c>
      <c r="F286" s="114">
        <v>96.067187436876324</v>
      </c>
      <c r="G286" s="114">
        <v>100.67548743687632</v>
      </c>
      <c r="H286" s="114">
        <v>18.14</v>
      </c>
      <c r="I286" s="111">
        <v>202</v>
      </c>
      <c r="J286" s="113" t="s">
        <v>277</v>
      </c>
    </row>
    <row r="287" spans="1:10" x14ac:dyDescent="0.25">
      <c r="A287" s="111">
        <v>284</v>
      </c>
      <c r="B287" s="112" t="s">
        <v>1002</v>
      </c>
      <c r="C287" s="113" t="s">
        <v>1003</v>
      </c>
      <c r="D287" s="113" t="s">
        <v>457</v>
      </c>
      <c r="E287" s="113" t="s">
        <v>1004</v>
      </c>
      <c r="F287" s="114">
        <v>24295.1227</v>
      </c>
      <c r="G287" s="114">
        <v>24295.1227</v>
      </c>
      <c r="H287" s="114">
        <v>0</v>
      </c>
      <c r="I287" s="111">
        <v>0</v>
      </c>
      <c r="J287" s="113" t="s">
        <v>246</v>
      </c>
    </row>
    <row r="288" spans="1:10" x14ac:dyDescent="0.25">
      <c r="A288" s="111">
        <v>285</v>
      </c>
      <c r="B288" s="112" t="s">
        <v>1005</v>
      </c>
      <c r="C288" s="113" t="s">
        <v>1006</v>
      </c>
      <c r="D288" s="113" t="s">
        <v>457</v>
      </c>
      <c r="E288" s="113" t="s">
        <v>47</v>
      </c>
      <c r="F288" s="114">
        <v>5830</v>
      </c>
      <c r="G288" s="114">
        <v>5830</v>
      </c>
      <c r="H288" s="114">
        <v>0</v>
      </c>
      <c r="I288" s="111">
        <v>0</v>
      </c>
      <c r="J288" s="113" t="s">
        <v>246</v>
      </c>
    </row>
    <row r="289" spans="1:10" x14ac:dyDescent="0.25">
      <c r="A289" s="111">
        <v>286</v>
      </c>
      <c r="B289" s="112" t="s">
        <v>48</v>
      </c>
      <c r="C289" s="113" t="s">
        <v>49</v>
      </c>
      <c r="D289" s="113" t="s">
        <v>749</v>
      </c>
      <c r="E289" s="113" t="s">
        <v>47</v>
      </c>
      <c r="F289" s="114">
        <v>89125.14220860909</v>
      </c>
      <c r="G289" s="114">
        <v>89125.14220860909</v>
      </c>
      <c r="H289" s="114">
        <v>0</v>
      </c>
      <c r="I289" s="111">
        <v>0</v>
      </c>
      <c r="J289" s="113" t="s">
        <v>246</v>
      </c>
    </row>
    <row r="290" spans="1:10" x14ac:dyDescent="0.25">
      <c r="A290" s="111">
        <v>287</v>
      </c>
      <c r="B290" s="112" t="s">
        <v>45</v>
      </c>
      <c r="C290" s="113" t="s">
        <v>46</v>
      </c>
      <c r="D290" s="113" t="s">
        <v>749</v>
      </c>
      <c r="E290" s="113" t="s">
        <v>47</v>
      </c>
      <c r="F290" s="114">
        <v>5361.2806295465734</v>
      </c>
      <c r="G290" s="114">
        <v>5361.2806295465734</v>
      </c>
      <c r="H290" s="114">
        <v>0</v>
      </c>
      <c r="I290" s="111">
        <v>0</v>
      </c>
      <c r="J290" s="113" t="s">
        <v>246</v>
      </c>
    </row>
    <row r="291" spans="1:10" x14ac:dyDescent="0.25">
      <c r="A291" s="111">
        <v>288</v>
      </c>
      <c r="B291" s="112" t="s">
        <v>1007</v>
      </c>
      <c r="C291" s="113" t="s">
        <v>1008</v>
      </c>
      <c r="D291" s="113" t="s">
        <v>749</v>
      </c>
      <c r="E291" s="113" t="s">
        <v>1009</v>
      </c>
      <c r="F291" s="114">
        <v>559592.56735000003</v>
      </c>
      <c r="G291" s="114">
        <v>559592.56735000003</v>
      </c>
      <c r="H291" s="114">
        <v>0</v>
      </c>
      <c r="I291" s="111">
        <v>0</v>
      </c>
      <c r="J291" s="113" t="s">
        <v>246</v>
      </c>
    </row>
    <row r="292" spans="1:10" x14ac:dyDescent="0.25">
      <c r="A292" s="111">
        <v>289</v>
      </c>
      <c r="B292" s="112" t="s">
        <v>1010</v>
      </c>
      <c r="C292" s="113" t="s">
        <v>1011</v>
      </c>
      <c r="D292" s="113" t="s">
        <v>749</v>
      </c>
      <c r="E292" s="113" t="s">
        <v>1009</v>
      </c>
      <c r="F292" s="114">
        <v>12010.075000000001</v>
      </c>
      <c r="G292" s="114">
        <v>12010.075000000001</v>
      </c>
      <c r="H292" s="114">
        <v>0</v>
      </c>
      <c r="I292" s="111">
        <v>0</v>
      </c>
      <c r="J292" s="113" t="s">
        <v>246</v>
      </c>
    </row>
    <row r="293" spans="1:10" x14ac:dyDescent="0.25">
      <c r="A293" s="111">
        <v>290</v>
      </c>
      <c r="B293" s="112" t="s">
        <v>1012</v>
      </c>
      <c r="C293" s="113" t="s">
        <v>1013</v>
      </c>
      <c r="D293" s="113" t="s">
        <v>749</v>
      </c>
      <c r="E293" s="113" t="s">
        <v>1009</v>
      </c>
      <c r="F293" s="114">
        <v>15073.115</v>
      </c>
      <c r="G293" s="114">
        <v>15073.115</v>
      </c>
      <c r="H293" s="114">
        <v>0</v>
      </c>
      <c r="I293" s="111">
        <v>0</v>
      </c>
      <c r="J293" s="113" t="s">
        <v>246</v>
      </c>
    </row>
    <row r="294" spans="1:10" x14ac:dyDescent="0.25">
      <c r="A294" s="111">
        <v>291</v>
      </c>
      <c r="B294" s="112" t="s">
        <v>1014</v>
      </c>
      <c r="C294" s="113" t="s">
        <v>1015</v>
      </c>
      <c r="D294" s="113" t="s">
        <v>749</v>
      </c>
      <c r="E294" s="113" t="s">
        <v>1009</v>
      </c>
      <c r="F294" s="114">
        <v>631307.64489999996</v>
      </c>
      <c r="G294" s="114">
        <v>631307.64489999996</v>
      </c>
      <c r="H294" s="114">
        <v>0</v>
      </c>
      <c r="I294" s="111">
        <v>0</v>
      </c>
      <c r="J294" s="113" t="s">
        <v>246</v>
      </c>
    </row>
    <row r="295" spans="1:10" x14ac:dyDescent="0.25">
      <c r="A295" s="111">
        <v>292</v>
      </c>
      <c r="B295" s="112" t="s">
        <v>1016</v>
      </c>
      <c r="C295" s="113" t="s">
        <v>1017</v>
      </c>
      <c r="D295" s="113" t="s">
        <v>457</v>
      </c>
      <c r="E295" s="113" t="s">
        <v>1018</v>
      </c>
      <c r="F295" s="114">
        <v>10691.67</v>
      </c>
      <c r="G295" s="114">
        <v>10691.67</v>
      </c>
      <c r="H295" s="114">
        <v>0</v>
      </c>
      <c r="I295" s="111">
        <v>0</v>
      </c>
      <c r="J295" s="113" t="s">
        <v>246</v>
      </c>
    </row>
    <row r="296" spans="1:10" x14ac:dyDescent="0.25">
      <c r="A296" s="111">
        <v>293</v>
      </c>
      <c r="B296" s="112" t="s">
        <v>1019</v>
      </c>
      <c r="C296" s="113" t="s">
        <v>1020</v>
      </c>
      <c r="D296" s="113" t="s">
        <v>467</v>
      </c>
      <c r="E296" s="113" t="s">
        <v>1021</v>
      </c>
      <c r="F296" s="114">
        <v>100</v>
      </c>
      <c r="G296" s="114">
        <v>100.9264</v>
      </c>
      <c r="H296" s="114">
        <v>11.48</v>
      </c>
      <c r="I296" s="111">
        <v>1051</v>
      </c>
      <c r="J296" s="113" t="s">
        <v>277</v>
      </c>
    </row>
    <row r="297" spans="1:10" x14ac:dyDescent="0.25">
      <c r="A297" s="111">
        <v>294</v>
      </c>
      <c r="B297" s="112" t="s">
        <v>1022</v>
      </c>
      <c r="C297" s="113" t="s">
        <v>1023</v>
      </c>
      <c r="D297" s="113" t="s">
        <v>467</v>
      </c>
      <c r="E297" s="113" t="s">
        <v>1021</v>
      </c>
      <c r="F297" s="114">
        <v>100</v>
      </c>
      <c r="G297" s="114">
        <v>109</v>
      </c>
      <c r="H297" s="114">
        <v>9.99</v>
      </c>
      <c r="I297" s="111">
        <v>3276</v>
      </c>
      <c r="J297" s="113" t="s">
        <v>277</v>
      </c>
    </row>
    <row r="298" spans="1:10" x14ac:dyDescent="0.25">
      <c r="A298" s="111">
        <v>295</v>
      </c>
      <c r="B298" s="112" t="s">
        <v>2090</v>
      </c>
      <c r="C298" s="113" t="s">
        <v>2091</v>
      </c>
      <c r="D298" s="113" t="s">
        <v>467</v>
      </c>
      <c r="E298" s="113" t="s">
        <v>1024</v>
      </c>
      <c r="F298" s="114">
        <v>100.9242587982615</v>
      </c>
      <c r="G298" s="114">
        <v>104.0492587982615</v>
      </c>
      <c r="H298" s="114">
        <v>23.29</v>
      </c>
      <c r="I298" s="111">
        <v>225</v>
      </c>
      <c r="J298" s="113" t="s">
        <v>277</v>
      </c>
    </row>
    <row r="299" spans="1:10" x14ac:dyDescent="0.25">
      <c r="A299" s="111">
        <v>296</v>
      </c>
      <c r="B299" s="112" t="s">
        <v>1025</v>
      </c>
      <c r="C299" s="113" t="s">
        <v>1026</v>
      </c>
      <c r="D299" s="113" t="s">
        <v>769</v>
      </c>
      <c r="E299" s="113" t="s">
        <v>2137</v>
      </c>
      <c r="F299" s="114">
        <v>17000.5844</v>
      </c>
      <c r="G299" s="114">
        <v>17000.5844</v>
      </c>
      <c r="H299" s="114">
        <v>0</v>
      </c>
      <c r="I299" s="111">
        <v>0</v>
      </c>
      <c r="J299" s="113" t="s">
        <v>246</v>
      </c>
    </row>
    <row r="300" spans="1:10" x14ac:dyDescent="0.25">
      <c r="A300" s="111">
        <v>297</v>
      </c>
      <c r="B300" s="112" t="s">
        <v>1027</v>
      </c>
      <c r="C300" s="113" t="s">
        <v>1028</v>
      </c>
      <c r="D300" s="113" t="s">
        <v>467</v>
      </c>
      <c r="E300" s="113" t="s">
        <v>1029</v>
      </c>
      <c r="F300" s="114">
        <v>99.226989276510437</v>
      </c>
      <c r="G300" s="114">
        <v>102.32698927651045</v>
      </c>
      <c r="H300" s="114">
        <v>13.06</v>
      </c>
      <c r="I300" s="111">
        <v>267</v>
      </c>
      <c r="J300" s="113" t="s">
        <v>277</v>
      </c>
    </row>
    <row r="301" spans="1:10" x14ac:dyDescent="0.25">
      <c r="A301" s="111">
        <v>298</v>
      </c>
      <c r="B301" s="112" t="s">
        <v>1030</v>
      </c>
      <c r="C301" s="113" t="s">
        <v>1031</v>
      </c>
      <c r="D301" s="113" t="s">
        <v>467</v>
      </c>
      <c r="E301" s="113" t="s">
        <v>1029</v>
      </c>
      <c r="F301" s="114">
        <v>97.988052071371385</v>
      </c>
      <c r="G301" s="114">
        <v>102.38805207137138</v>
      </c>
      <c r="H301" s="114">
        <v>12.99</v>
      </c>
      <c r="I301" s="111">
        <v>396</v>
      </c>
      <c r="J301" s="113" t="s">
        <v>277</v>
      </c>
    </row>
    <row r="302" spans="1:10" x14ac:dyDescent="0.25">
      <c r="A302" s="111">
        <v>299</v>
      </c>
      <c r="B302" s="112" t="s">
        <v>2106</v>
      </c>
      <c r="C302" s="113" t="s">
        <v>2107</v>
      </c>
      <c r="D302" s="113" t="s">
        <v>467</v>
      </c>
      <c r="E302" s="113" t="s">
        <v>1029</v>
      </c>
      <c r="F302" s="114">
        <v>98.715366392511527</v>
      </c>
      <c r="G302" s="114">
        <v>102.62646639251153</v>
      </c>
      <c r="H302" s="114">
        <v>13.08</v>
      </c>
      <c r="I302" s="111">
        <v>232</v>
      </c>
      <c r="J302" s="113" t="s">
        <v>277</v>
      </c>
    </row>
    <row r="303" spans="1:10" x14ac:dyDescent="0.25">
      <c r="A303" s="111">
        <v>300</v>
      </c>
      <c r="B303" s="112" t="s">
        <v>1032</v>
      </c>
      <c r="C303" s="113" t="s">
        <v>1033</v>
      </c>
      <c r="D303" s="113" t="s">
        <v>457</v>
      </c>
      <c r="E303" s="113" t="s">
        <v>1034</v>
      </c>
      <c r="F303" s="114">
        <v>92090.136100000003</v>
      </c>
      <c r="G303" s="114">
        <v>92090.136100000003</v>
      </c>
      <c r="H303" s="114">
        <v>0</v>
      </c>
      <c r="I303" s="111">
        <v>0</v>
      </c>
      <c r="J303" s="113" t="s">
        <v>246</v>
      </c>
    </row>
    <row r="304" spans="1:10" x14ac:dyDescent="0.25">
      <c r="A304" s="111">
        <v>301</v>
      </c>
      <c r="B304" s="112" t="s">
        <v>1035</v>
      </c>
      <c r="C304" s="113" t="s">
        <v>1036</v>
      </c>
      <c r="D304" s="113" t="s">
        <v>467</v>
      </c>
      <c r="E304" s="113" t="s">
        <v>1037</v>
      </c>
      <c r="F304" s="114">
        <v>93.523975520192565</v>
      </c>
      <c r="G304" s="114">
        <v>97.920375520192565</v>
      </c>
      <c r="H304" s="114">
        <v>18.45</v>
      </c>
      <c r="I304" s="111">
        <v>407</v>
      </c>
      <c r="J304" s="113" t="s">
        <v>277</v>
      </c>
    </row>
    <row r="305" spans="1:10" x14ac:dyDescent="0.25">
      <c r="A305" s="111">
        <v>302</v>
      </c>
      <c r="B305" s="112" t="s">
        <v>1038</v>
      </c>
      <c r="C305" s="113" t="s">
        <v>1039</v>
      </c>
      <c r="D305" s="113" t="s">
        <v>457</v>
      </c>
      <c r="E305" s="113" t="s">
        <v>2138</v>
      </c>
      <c r="F305" s="114">
        <v>57578.840649999998</v>
      </c>
      <c r="G305" s="114">
        <v>57578.840649999998</v>
      </c>
      <c r="H305" s="114">
        <v>0</v>
      </c>
      <c r="I305" s="111">
        <v>0</v>
      </c>
      <c r="J305" s="113" t="s">
        <v>246</v>
      </c>
    </row>
    <row r="306" spans="1:10" x14ac:dyDescent="0.25">
      <c r="A306" s="111">
        <v>303</v>
      </c>
      <c r="B306" s="112" t="s">
        <v>988</v>
      </c>
      <c r="C306" s="113" t="s">
        <v>989</v>
      </c>
      <c r="D306" s="113" t="s">
        <v>457</v>
      </c>
      <c r="E306" s="113" t="s">
        <v>990</v>
      </c>
      <c r="F306" s="114">
        <v>6140.6154500000002</v>
      </c>
      <c r="G306" s="114">
        <v>6140.6154500000002</v>
      </c>
      <c r="H306" s="114">
        <v>0</v>
      </c>
      <c r="I306" s="111">
        <v>0</v>
      </c>
      <c r="J306" s="113" t="s">
        <v>246</v>
      </c>
    </row>
    <row r="307" spans="1:10" x14ac:dyDescent="0.25">
      <c r="A307" s="111">
        <v>304</v>
      </c>
      <c r="B307" s="112" t="s">
        <v>1040</v>
      </c>
      <c r="C307" s="113" t="s">
        <v>1041</v>
      </c>
      <c r="D307" s="113" t="s">
        <v>457</v>
      </c>
      <c r="E307" s="113" t="s">
        <v>1042</v>
      </c>
      <c r="F307" s="114">
        <v>4303.4143999999997</v>
      </c>
      <c r="G307" s="114">
        <v>4303.4143999999997</v>
      </c>
      <c r="H307" s="114">
        <v>0</v>
      </c>
      <c r="I307" s="111">
        <v>0</v>
      </c>
      <c r="J307" s="113" t="s">
        <v>246</v>
      </c>
    </row>
    <row r="308" spans="1:10" x14ac:dyDescent="0.25">
      <c r="A308" s="111">
        <v>305</v>
      </c>
      <c r="B308" s="112" t="s">
        <v>1043</v>
      </c>
      <c r="C308" s="113" t="s">
        <v>1044</v>
      </c>
      <c r="D308" s="113" t="s">
        <v>769</v>
      </c>
      <c r="E308" s="113" t="s">
        <v>1045</v>
      </c>
      <c r="F308" s="114">
        <v>29221.8004</v>
      </c>
      <c r="G308" s="114">
        <v>29221.8004</v>
      </c>
      <c r="H308" s="114">
        <v>0</v>
      </c>
      <c r="I308" s="111">
        <v>0</v>
      </c>
      <c r="J308" s="113" t="s">
        <v>246</v>
      </c>
    </row>
    <row r="309" spans="1:10" x14ac:dyDescent="0.25">
      <c r="A309" s="111">
        <v>306</v>
      </c>
      <c r="B309" s="112" t="s">
        <v>2117</v>
      </c>
      <c r="C309" s="113" t="s">
        <v>1903</v>
      </c>
      <c r="D309" s="113" t="s">
        <v>769</v>
      </c>
      <c r="E309" s="113" t="s">
        <v>1904</v>
      </c>
      <c r="F309" s="114">
        <v>167717.09395000001</v>
      </c>
      <c r="G309" s="114">
        <v>167717.09395000001</v>
      </c>
      <c r="H309" s="114">
        <v>0</v>
      </c>
      <c r="I309" s="111">
        <v>0</v>
      </c>
      <c r="J309" s="113" t="s">
        <v>246</v>
      </c>
    </row>
    <row r="310" spans="1:10" x14ac:dyDescent="0.25">
      <c r="A310" s="111">
        <v>307</v>
      </c>
      <c r="B310" s="112" t="s">
        <v>1046</v>
      </c>
      <c r="C310" s="113" t="s">
        <v>1047</v>
      </c>
      <c r="D310" s="113" t="s">
        <v>457</v>
      </c>
      <c r="E310" s="113" t="s">
        <v>1048</v>
      </c>
      <c r="F310" s="114">
        <v>105858.09974999999</v>
      </c>
      <c r="G310" s="114">
        <v>105858.09974999999</v>
      </c>
      <c r="H310" s="114">
        <v>0</v>
      </c>
      <c r="I310" s="111">
        <v>0</v>
      </c>
      <c r="J310" s="113" t="s">
        <v>246</v>
      </c>
    </row>
    <row r="311" spans="1:10" x14ac:dyDescent="0.25">
      <c r="A311" s="111">
        <v>308</v>
      </c>
      <c r="B311" s="112" t="s">
        <v>50</v>
      </c>
      <c r="C311" s="113" t="s">
        <v>51</v>
      </c>
      <c r="D311" s="113" t="s">
        <v>467</v>
      </c>
      <c r="E311" s="113" t="s">
        <v>52</v>
      </c>
      <c r="F311" s="114">
        <v>98.433999999999997</v>
      </c>
      <c r="G311" s="114">
        <v>106.59229999999999</v>
      </c>
      <c r="H311" s="114">
        <v>18.27</v>
      </c>
      <c r="I311" s="111">
        <v>362</v>
      </c>
      <c r="J311" s="113" t="s">
        <v>277</v>
      </c>
    </row>
    <row r="312" spans="1:10" x14ac:dyDescent="0.25">
      <c r="A312" s="111">
        <v>309</v>
      </c>
      <c r="B312" s="112" t="s">
        <v>53</v>
      </c>
      <c r="C312" s="113" t="s">
        <v>54</v>
      </c>
      <c r="D312" s="113" t="s">
        <v>467</v>
      </c>
      <c r="E312" s="113" t="s">
        <v>52</v>
      </c>
      <c r="F312" s="114">
        <v>96.580600000000004</v>
      </c>
      <c r="G312" s="114">
        <v>104.3723</v>
      </c>
      <c r="H312" s="114">
        <v>18.010000000000002</v>
      </c>
      <c r="I312" s="111">
        <v>1090</v>
      </c>
      <c r="J312" s="113" t="s">
        <v>277</v>
      </c>
    </row>
    <row r="313" spans="1:10" x14ac:dyDescent="0.25">
      <c r="A313" s="111">
        <v>310</v>
      </c>
      <c r="B313" s="112" t="s">
        <v>2086</v>
      </c>
      <c r="C313" s="113" t="s">
        <v>2087</v>
      </c>
      <c r="D313" s="113" t="s">
        <v>467</v>
      </c>
      <c r="E313" s="113" t="s">
        <v>52</v>
      </c>
      <c r="F313" s="114">
        <v>98.169905670455691</v>
      </c>
      <c r="G313" s="114">
        <v>105.7828056704557</v>
      </c>
      <c r="H313" s="114">
        <v>19.05</v>
      </c>
      <c r="I313" s="111">
        <v>929</v>
      </c>
      <c r="J313" s="113" t="s">
        <v>277</v>
      </c>
    </row>
    <row r="314" spans="1:10" x14ac:dyDescent="0.25">
      <c r="A314" s="111">
        <v>311</v>
      </c>
      <c r="B314" s="112" t="s">
        <v>380</v>
      </c>
      <c r="C314" s="113" t="s">
        <v>381</v>
      </c>
      <c r="D314" s="113" t="s">
        <v>467</v>
      </c>
      <c r="E314" s="113" t="s">
        <v>52</v>
      </c>
      <c r="F314" s="114">
        <v>98.004199999999997</v>
      </c>
      <c r="G314" s="114">
        <v>99.585499999999996</v>
      </c>
      <c r="H314" s="114">
        <v>18.5</v>
      </c>
      <c r="I314" s="111">
        <v>687</v>
      </c>
      <c r="J314" s="113" t="s">
        <v>277</v>
      </c>
    </row>
    <row r="315" spans="1:10" x14ac:dyDescent="0.25">
      <c r="A315" s="111">
        <v>312</v>
      </c>
      <c r="B315" s="112" t="s">
        <v>378</v>
      </c>
      <c r="C315" s="113" t="s">
        <v>379</v>
      </c>
      <c r="D315" s="113" t="s">
        <v>467</v>
      </c>
      <c r="E315" s="113" t="s">
        <v>52</v>
      </c>
      <c r="F315" s="114">
        <v>97.908299999999997</v>
      </c>
      <c r="G315" s="114">
        <v>99.010400000000004</v>
      </c>
      <c r="H315" s="114">
        <v>18</v>
      </c>
      <c r="I315" s="111">
        <v>1417</v>
      </c>
      <c r="J315" s="113" t="s">
        <v>277</v>
      </c>
    </row>
    <row r="316" spans="1:10" x14ac:dyDescent="0.25">
      <c r="A316" s="111">
        <v>313</v>
      </c>
      <c r="B316" s="112" t="s">
        <v>2390</v>
      </c>
      <c r="C316" s="113" t="s">
        <v>2391</v>
      </c>
      <c r="D316" s="113" t="s">
        <v>467</v>
      </c>
      <c r="E316" s="113" t="s">
        <v>52</v>
      </c>
      <c r="F316" s="114">
        <v>101.01330610895155</v>
      </c>
      <c r="G316" s="114">
        <v>101.75610610895156</v>
      </c>
      <c r="H316" s="114">
        <v>18.77</v>
      </c>
      <c r="I316" s="111">
        <v>1786</v>
      </c>
      <c r="J316" s="113" t="s">
        <v>277</v>
      </c>
    </row>
    <row r="317" spans="1:10" x14ac:dyDescent="0.25">
      <c r="A317" s="111">
        <v>314</v>
      </c>
      <c r="B317" s="112" t="s">
        <v>2347</v>
      </c>
      <c r="C317" s="113" t="s">
        <v>2348</v>
      </c>
      <c r="D317" s="113" t="s">
        <v>467</v>
      </c>
      <c r="E317" s="113" t="s">
        <v>52</v>
      </c>
      <c r="F317" s="114">
        <v>100.25513021357911</v>
      </c>
      <c r="G317" s="114">
        <v>101.5384302135791</v>
      </c>
      <c r="H317" s="114">
        <v>19.05</v>
      </c>
      <c r="I317" s="111">
        <v>696</v>
      </c>
      <c r="J317" s="113" t="s">
        <v>277</v>
      </c>
    </row>
    <row r="318" spans="1:10" x14ac:dyDescent="0.25">
      <c r="A318" s="111">
        <v>315</v>
      </c>
      <c r="B318" s="112" t="s">
        <v>55</v>
      </c>
      <c r="C318" s="113" t="s">
        <v>56</v>
      </c>
      <c r="D318" s="113" t="s">
        <v>467</v>
      </c>
      <c r="E318" s="113" t="s">
        <v>52</v>
      </c>
      <c r="F318" s="114">
        <v>99.906037419695494</v>
      </c>
      <c r="G318" s="114">
        <v>107.8810374196955</v>
      </c>
      <c r="H318" s="114">
        <v>21.57</v>
      </c>
      <c r="I318" s="111">
        <v>6</v>
      </c>
      <c r="J318" s="113" t="s">
        <v>277</v>
      </c>
    </row>
    <row r="319" spans="1:10" x14ac:dyDescent="0.25">
      <c r="A319" s="111">
        <v>316</v>
      </c>
      <c r="B319" s="112" t="s">
        <v>57</v>
      </c>
      <c r="C319" s="113" t="s">
        <v>58</v>
      </c>
      <c r="D319" s="113" t="s">
        <v>749</v>
      </c>
      <c r="E319" s="113" t="s">
        <v>1049</v>
      </c>
      <c r="F319" s="114">
        <v>53754.127527575678</v>
      </c>
      <c r="G319" s="114">
        <v>53754.127527575678</v>
      </c>
      <c r="H319" s="114">
        <v>0</v>
      </c>
      <c r="I319" s="111">
        <v>0</v>
      </c>
      <c r="J319" s="113" t="s">
        <v>246</v>
      </c>
    </row>
    <row r="320" spans="1:10" x14ac:dyDescent="0.25">
      <c r="A320" s="111">
        <v>317</v>
      </c>
      <c r="B320" s="112" t="s">
        <v>59</v>
      </c>
      <c r="C320" s="113" t="s">
        <v>60</v>
      </c>
      <c r="D320" s="113" t="s">
        <v>749</v>
      </c>
      <c r="E320" s="113" t="s">
        <v>1049</v>
      </c>
      <c r="F320" s="114">
        <v>75012.544354096928</v>
      </c>
      <c r="G320" s="114">
        <v>75012.544354096928</v>
      </c>
      <c r="H320" s="114">
        <v>0</v>
      </c>
      <c r="I320" s="111">
        <v>0</v>
      </c>
      <c r="J320" s="113" t="s">
        <v>246</v>
      </c>
    </row>
    <row r="321" spans="1:10" x14ac:dyDescent="0.25">
      <c r="A321" s="111">
        <v>318</v>
      </c>
      <c r="B321" s="112" t="s">
        <v>61</v>
      </c>
      <c r="C321" s="113" t="s">
        <v>62</v>
      </c>
      <c r="D321" s="113" t="s">
        <v>749</v>
      </c>
      <c r="E321" s="113" t="s">
        <v>1049</v>
      </c>
      <c r="F321" s="114">
        <v>73950.112582667309</v>
      </c>
      <c r="G321" s="114">
        <v>73950.112582667309</v>
      </c>
      <c r="H321" s="114">
        <v>0</v>
      </c>
      <c r="I321" s="111">
        <v>0</v>
      </c>
      <c r="J321" s="113" t="s">
        <v>246</v>
      </c>
    </row>
    <row r="322" spans="1:10" x14ac:dyDescent="0.25">
      <c r="A322" s="111">
        <v>319</v>
      </c>
      <c r="B322" s="112" t="s">
        <v>63</v>
      </c>
      <c r="C322" s="113" t="s">
        <v>64</v>
      </c>
      <c r="D322" s="113" t="s">
        <v>749</v>
      </c>
      <c r="E322" s="113" t="s">
        <v>1049</v>
      </c>
      <c r="F322" s="114">
        <v>583588.98779148387</v>
      </c>
      <c r="G322" s="114">
        <v>583588.98779148387</v>
      </c>
      <c r="H322" s="114">
        <v>0</v>
      </c>
      <c r="I322" s="111">
        <v>0</v>
      </c>
      <c r="J322" s="113" t="s">
        <v>246</v>
      </c>
    </row>
    <row r="323" spans="1:10" x14ac:dyDescent="0.25">
      <c r="A323" s="111">
        <v>320</v>
      </c>
      <c r="B323" s="112" t="s">
        <v>1053</v>
      </c>
      <c r="C323" s="113" t="s">
        <v>1054</v>
      </c>
      <c r="D323" s="113" t="s">
        <v>749</v>
      </c>
      <c r="E323" s="113" t="s">
        <v>1049</v>
      </c>
      <c r="F323" s="114">
        <v>4308.0324000000001</v>
      </c>
      <c r="G323" s="114">
        <v>4308.0324000000001</v>
      </c>
      <c r="H323" s="114">
        <v>0</v>
      </c>
      <c r="I323" s="111">
        <v>0</v>
      </c>
      <c r="J323" s="113" t="s">
        <v>246</v>
      </c>
    </row>
    <row r="324" spans="1:10" x14ac:dyDescent="0.25">
      <c r="A324" s="111">
        <v>321</v>
      </c>
      <c r="B324" s="112" t="s">
        <v>1050</v>
      </c>
      <c r="C324" s="113" t="s">
        <v>1051</v>
      </c>
      <c r="D324" s="113" t="s">
        <v>457</v>
      </c>
      <c r="E324" s="113" t="s">
        <v>1052</v>
      </c>
      <c r="F324" s="114">
        <v>538.72920575000001</v>
      </c>
      <c r="G324" s="114">
        <v>538.72920575000001</v>
      </c>
      <c r="H324" s="114">
        <v>0</v>
      </c>
      <c r="I324" s="111">
        <v>570</v>
      </c>
      <c r="J324" s="113" t="s">
        <v>246</v>
      </c>
    </row>
    <row r="325" spans="1:10" x14ac:dyDescent="0.25">
      <c r="A325" s="111">
        <v>322</v>
      </c>
      <c r="B325" s="112" t="s">
        <v>65</v>
      </c>
      <c r="C325" s="113" t="s">
        <v>66</v>
      </c>
      <c r="D325" s="113" t="s">
        <v>457</v>
      </c>
      <c r="E325" s="113" t="s">
        <v>67</v>
      </c>
      <c r="F325" s="114">
        <v>347.79280835238467</v>
      </c>
      <c r="G325" s="114">
        <v>347.79280835238467</v>
      </c>
      <c r="H325" s="114">
        <v>0</v>
      </c>
      <c r="I325" s="111">
        <v>0</v>
      </c>
      <c r="J325" s="113" t="s">
        <v>246</v>
      </c>
    </row>
    <row r="326" spans="1:10" x14ac:dyDescent="0.25">
      <c r="A326" s="111">
        <v>323</v>
      </c>
      <c r="B326" s="112" t="s">
        <v>1055</v>
      </c>
      <c r="C326" s="113" t="s">
        <v>1056</v>
      </c>
      <c r="D326" s="113" t="s">
        <v>467</v>
      </c>
      <c r="E326" s="113" t="s">
        <v>67</v>
      </c>
      <c r="F326" s="114">
        <v>102.77810214470053</v>
      </c>
      <c r="G326" s="114">
        <v>102.93340214470052</v>
      </c>
      <c r="H326" s="114">
        <v>17.850000000000001</v>
      </c>
      <c r="I326" s="111">
        <v>2157</v>
      </c>
      <c r="J326" s="113" t="s">
        <v>277</v>
      </c>
    </row>
    <row r="327" spans="1:10" x14ac:dyDescent="0.25">
      <c r="A327" s="111">
        <v>324</v>
      </c>
      <c r="B327" s="112" t="s">
        <v>447</v>
      </c>
      <c r="C327" s="113" t="s">
        <v>448</v>
      </c>
      <c r="D327" s="113" t="s">
        <v>467</v>
      </c>
      <c r="E327" s="113" t="s">
        <v>67</v>
      </c>
      <c r="F327" s="114">
        <v>100</v>
      </c>
      <c r="G327" s="114">
        <v>102.55110000000001</v>
      </c>
      <c r="H327" s="114">
        <v>16.89</v>
      </c>
      <c r="I327" s="111">
        <v>858</v>
      </c>
      <c r="J327" s="113" t="s">
        <v>277</v>
      </c>
    </row>
    <row r="328" spans="1:10" x14ac:dyDescent="0.25">
      <c r="A328" s="111">
        <v>325</v>
      </c>
      <c r="B328" s="112" t="s">
        <v>375</v>
      </c>
      <c r="C328" s="113" t="s">
        <v>376</v>
      </c>
      <c r="D328" s="113" t="s">
        <v>534</v>
      </c>
      <c r="E328" s="113" t="s">
        <v>67</v>
      </c>
      <c r="F328" s="114">
        <v>13532.112780652613</v>
      </c>
      <c r="G328" s="114">
        <v>13532.112780652613</v>
      </c>
      <c r="H328" s="114">
        <v>0</v>
      </c>
      <c r="I328" s="111">
        <v>0</v>
      </c>
      <c r="J328" s="113" t="s">
        <v>246</v>
      </c>
    </row>
    <row r="329" spans="1:10" x14ac:dyDescent="0.25">
      <c r="A329" s="111">
        <v>326</v>
      </c>
      <c r="B329" s="112" t="s">
        <v>1057</v>
      </c>
      <c r="C329" s="113" t="s">
        <v>1058</v>
      </c>
      <c r="D329" s="113" t="s">
        <v>769</v>
      </c>
      <c r="E329" s="113" t="s">
        <v>2139</v>
      </c>
      <c r="F329" s="114">
        <v>43879.075750000004</v>
      </c>
      <c r="G329" s="114">
        <v>43879.075750000004</v>
      </c>
      <c r="H329" s="114">
        <v>0</v>
      </c>
      <c r="I329" s="111">
        <v>0</v>
      </c>
      <c r="J329" s="113" t="s">
        <v>246</v>
      </c>
    </row>
    <row r="330" spans="1:10" x14ac:dyDescent="0.25">
      <c r="A330" s="111">
        <v>327</v>
      </c>
      <c r="B330" s="112" t="s">
        <v>1059</v>
      </c>
      <c r="C330" s="113" t="s">
        <v>1060</v>
      </c>
      <c r="D330" s="113" t="s">
        <v>457</v>
      </c>
      <c r="E330" s="113" t="s">
        <v>1061</v>
      </c>
      <c r="F330" s="114">
        <v>140530.34424999999</v>
      </c>
      <c r="G330" s="114">
        <v>140530.34424999999</v>
      </c>
      <c r="H330" s="114">
        <v>0</v>
      </c>
      <c r="I330" s="111">
        <v>0</v>
      </c>
      <c r="J330" s="113" t="s">
        <v>246</v>
      </c>
    </row>
    <row r="331" spans="1:10" x14ac:dyDescent="0.25">
      <c r="A331" s="111">
        <v>328</v>
      </c>
      <c r="B331" s="112" t="s">
        <v>1062</v>
      </c>
      <c r="C331" s="113" t="s">
        <v>1063</v>
      </c>
      <c r="D331" s="113" t="s">
        <v>467</v>
      </c>
      <c r="E331" s="113" t="s">
        <v>1064</v>
      </c>
      <c r="F331" s="114">
        <v>102.175</v>
      </c>
      <c r="G331" s="114">
        <v>104.449</v>
      </c>
      <c r="H331" s="114">
        <v>3.85</v>
      </c>
      <c r="I331" s="111">
        <v>1083</v>
      </c>
      <c r="J331" s="113" t="s">
        <v>277</v>
      </c>
    </row>
    <row r="332" spans="1:10" x14ac:dyDescent="0.25">
      <c r="A332" s="111">
        <v>329</v>
      </c>
      <c r="B332" s="112" t="s">
        <v>1065</v>
      </c>
      <c r="C332" s="113" t="s">
        <v>1066</v>
      </c>
      <c r="D332" s="113" t="s">
        <v>467</v>
      </c>
      <c r="E332" s="113" t="s">
        <v>1064</v>
      </c>
      <c r="F332" s="114">
        <v>98.986999999999995</v>
      </c>
      <c r="G332" s="114">
        <v>100.2658</v>
      </c>
      <c r="H332" s="114">
        <v>3.89</v>
      </c>
      <c r="I332" s="111">
        <v>1493</v>
      </c>
      <c r="J332" s="113" t="s">
        <v>277</v>
      </c>
    </row>
    <row r="333" spans="1:10" x14ac:dyDescent="0.25">
      <c r="A333" s="111">
        <v>330</v>
      </c>
      <c r="B333" s="112" t="s">
        <v>1067</v>
      </c>
      <c r="C333" s="113" t="s">
        <v>1068</v>
      </c>
      <c r="D333" s="113" t="s">
        <v>467</v>
      </c>
      <c r="E333" s="113" t="s">
        <v>1064</v>
      </c>
      <c r="F333" s="114">
        <v>99.611000000000004</v>
      </c>
      <c r="G333" s="114">
        <v>99.811000000000007</v>
      </c>
      <c r="H333" s="114">
        <v>4.08</v>
      </c>
      <c r="I333" s="111">
        <v>1962</v>
      </c>
      <c r="J333" s="113" t="s">
        <v>277</v>
      </c>
    </row>
    <row r="334" spans="1:10" x14ac:dyDescent="0.25">
      <c r="A334" s="111">
        <v>331</v>
      </c>
      <c r="B334" s="112" t="s">
        <v>1069</v>
      </c>
      <c r="C334" s="113" t="s">
        <v>1070</v>
      </c>
      <c r="D334" s="113" t="s">
        <v>467</v>
      </c>
      <c r="E334" s="113" t="s">
        <v>1064</v>
      </c>
      <c r="F334" s="114">
        <v>101.962</v>
      </c>
      <c r="G334" s="114">
        <v>103.312</v>
      </c>
      <c r="H334" s="114">
        <v>4.1100000000000003</v>
      </c>
      <c r="I334" s="111">
        <v>2052</v>
      </c>
      <c r="J334" s="113" t="s">
        <v>277</v>
      </c>
    </row>
    <row r="335" spans="1:10" x14ac:dyDescent="0.25">
      <c r="A335" s="111">
        <v>332</v>
      </c>
      <c r="B335" s="112" t="s">
        <v>1071</v>
      </c>
      <c r="C335" s="113" t="s">
        <v>1072</v>
      </c>
      <c r="D335" s="113" t="s">
        <v>457</v>
      </c>
      <c r="E335" s="113" t="s">
        <v>1073</v>
      </c>
      <c r="F335" s="114">
        <v>1</v>
      </c>
      <c r="G335" s="114">
        <v>1</v>
      </c>
      <c r="H335" s="114">
        <v>0</v>
      </c>
      <c r="I335" s="111">
        <v>1043</v>
      </c>
      <c r="J335" s="113" t="s">
        <v>246</v>
      </c>
    </row>
    <row r="336" spans="1:10" x14ac:dyDescent="0.25">
      <c r="A336" s="111">
        <v>333</v>
      </c>
      <c r="B336" s="112" t="s">
        <v>2118</v>
      </c>
      <c r="C336" s="113" t="s">
        <v>1905</v>
      </c>
      <c r="D336" s="113" t="s">
        <v>769</v>
      </c>
      <c r="E336" s="113" t="s">
        <v>1099</v>
      </c>
      <c r="F336" s="114">
        <v>7608.2525500000002</v>
      </c>
      <c r="G336" s="114">
        <v>7608.2525500000002</v>
      </c>
      <c r="H336" s="114">
        <v>0</v>
      </c>
      <c r="I336" s="111">
        <v>0</v>
      </c>
      <c r="J336" s="113" t="s">
        <v>246</v>
      </c>
    </row>
    <row r="337" spans="1:10" x14ac:dyDescent="0.25">
      <c r="A337" s="111">
        <v>334</v>
      </c>
      <c r="B337" s="112" t="s">
        <v>2274</v>
      </c>
      <c r="C337" s="113" t="s">
        <v>2275</v>
      </c>
      <c r="D337" s="113" t="s">
        <v>467</v>
      </c>
      <c r="E337" s="113" t="s">
        <v>2276</v>
      </c>
      <c r="F337" s="114">
        <v>100.16198265096482</v>
      </c>
      <c r="G337" s="114">
        <v>100.16198265096482</v>
      </c>
      <c r="H337" s="114">
        <v>13</v>
      </c>
      <c r="I337" s="111">
        <v>120</v>
      </c>
      <c r="J337" s="113" t="s">
        <v>277</v>
      </c>
    </row>
    <row r="338" spans="1:10" x14ac:dyDescent="0.25">
      <c r="A338" s="111">
        <v>335</v>
      </c>
      <c r="B338" s="112" t="s">
        <v>1074</v>
      </c>
      <c r="C338" s="113" t="s">
        <v>1075</v>
      </c>
      <c r="D338" s="113" t="s">
        <v>467</v>
      </c>
      <c r="E338" s="113" t="s">
        <v>1076</v>
      </c>
      <c r="F338" s="114">
        <v>79.949468869292005</v>
      </c>
      <c r="G338" s="114">
        <v>82.473368869292003</v>
      </c>
      <c r="H338" s="114">
        <v>17.79</v>
      </c>
      <c r="I338" s="111">
        <v>1903</v>
      </c>
      <c r="J338" s="113" t="s">
        <v>277</v>
      </c>
    </row>
    <row r="339" spans="1:10" x14ac:dyDescent="0.25">
      <c r="A339" s="111">
        <v>336</v>
      </c>
      <c r="B339" s="112" t="s">
        <v>1077</v>
      </c>
      <c r="C339" s="113" t="s">
        <v>1078</v>
      </c>
      <c r="D339" s="113" t="s">
        <v>467</v>
      </c>
      <c r="E339" s="113" t="s">
        <v>1076</v>
      </c>
      <c r="F339" s="114">
        <v>78.244666118185563</v>
      </c>
      <c r="G339" s="114">
        <v>82.365466118185566</v>
      </c>
      <c r="H339" s="114">
        <v>17.739999999999998</v>
      </c>
      <c r="I339" s="111">
        <v>2031</v>
      </c>
      <c r="J339" s="113" t="s">
        <v>277</v>
      </c>
    </row>
    <row r="340" spans="1:10" x14ac:dyDescent="0.25">
      <c r="A340" s="111">
        <v>337</v>
      </c>
      <c r="B340" s="112" t="s">
        <v>1079</v>
      </c>
      <c r="C340" s="113" t="s">
        <v>1080</v>
      </c>
      <c r="D340" s="113" t="s">
        <v>467</v>
      </c>
      <c r="E340" s="113" t="s">
        <v>1076</v>
      </c>
      <c r="F340" s="114">
        <v>87.427911174314943</v>
      </c>
      <c r="G340" s="114">
        <v>90.045711174314931</v>
      </c>
      <c r="H340" s="114">
        <v>17.57</v>
      </c>
      <c r="I340" s="111">
        <v>1184</v>
      </c>
      <c r="J340" s="113" t="s">
        <v>277</v>
      </c>
    </row>
    <row r="341" spans="1:10" x14ac:dyDescent="0.25">
      <c r="A341" s="111">
        <v>338</v>
      </c>
      <c r="B341" s="112" t="s">
        <v>1081</v>
      </c>
      <c r="C341" s="113" t="s">
        <v>1082</v>
      </c>
      <c r="D341" s="113" t="s">
        <v>467</v>
      </c>
      <c r="E341" s="113" t="s">
        <v>1076</v>
      </c>
      <c r="F341" s="114">
        <v>74.583359383320115</v>
      </c>
      <c r="G341" s="114">
        <v>81.231459383320114</v>
      </c>
      <c r="H341" s="114">
        <v>18.28</v>
      </c>
      <c r="I341" s="111">
        <v>4858</v>
      </c>
      <c r="J341" s="113" t="s">
        <v>277</v>
      </c>
    </row>
    <row r="342" spans="1:10" x14ac:dyDescent="0.25">
      <c r="A342" s="111">
        <v>339</v>
      </c>
      <c r="B342" s="112" t="s">
        <v>1083</v>
      </c>
      <c r="C342" s="113" t="s">
        <v>1084</v>
      </c>
      <c r="D342" s="113" t="s">
        <v>457</v>
      </c>
      <c r="E342" s="113" t="s">
        <v>1076</v>
      </c>
      <c r="F342" s="114">
        <v>1037.19</v>
      </c>
      <c r="G342" s="114">
        <v>1037.19</v>
      </c>
      <c r="H342" s="114">
        <v>0</v>
      </c>
      <c r="I342" s="111">
        <v>3002</v>
      </c>
      <c r="J342" s="113" t="s">
        <v>246</v>
      </c>
    </row>
    <row r="343" spans="1:10" x14ac:dyDescent="0.25">
      <c r="A343" s="111">
        <v>340</v>
      </c>
      <c r="B343" s="112" t="s">
        <v>1085</v>
      </c>
      <c r="C343" s="113" t="s">
        <v>1086</v>
      </c>
      <c r="D343" s="113" t="s">
        <v>769</v>
      </c>
      <c r="E343" s="113" t="s">
        <v>1087</v>
      </c>
      <c r="F343" s="114">
        <v>4153.9886780068919</v>
      </c>
      <c r="G343" s="114">
        <v>4153.9886780068919</v>
      </c>
      <c r="H343" s="114">
        <v>0</v>
      </c>
      <c r="I343" s="111">
        <v>0</v>
      </c>
      <c r="J343" s="113" t="s">
        <v>246</v>
      </c>
    </row>
    <row r="344" spans="1:10" x14ac:dyDescent="0.25">
      <c r="A344" s="111">
        <v>341</v>
      </c>
      <c r="B344" s="112" t="s">
        <v>1088</v>
      </c>
      <c r="C344" s="113" t="s">
        <v>1089</v>
      </c>
      <c r="D344" s="113" t="s">
        <v>457</v>
      </c>
      <c r="E344" s="113" t="s">
        <v>1090</v>
      </c>
      <c r="F344" s="114">
        <v>74496.120393555553</v>
      </c>
      <c r="G344" s="114">
        <v>74496.120393555553</v>
      </c>
      <c r="H344" s="114">
        <v>0</v>
      </c>
      <c r="I344" s="111">
        <v>170</v>
      </c>
      <c r="J344" s="113" t="s">
        <v>246</v>
      </c>
    </row>
    <row r="345" spans="1:10" x14ac:dyDescent="0.25">
      <c r="A345" s="111">
        <v>342</v>
      </c>
      <c r="B345" s="112" t="s">
        <v>1091</v>
      </c>
      <c r="C345" s="113" t="s">
        <v>1092</v>
      </c>
      <c r="D345" s="113" t="s">
        <v>457</v>
      </c>
      <c r="E345" s="113" t="s">
        <v>1090</v>
      </c>
      <c r="F345" s="114">
        <v>1</v>
      </c>
      <c r="G345" s="114">
        <v>1</v>
      </c>
      <c r="H345" s="114">
        <v>0</v>
      </c>
      <c r="I345" s="111">
        <v>317</v>
      </c>
      <c r="J345" s="113" t="s">
        <v>246</v>
      </c>
    </row>
    <row r="346" spans="1:10" x14ac:dyDescent="0.25">
      <c r="A346" s="111">
        <v>343</v>
      </c>
      <c r="B346" s="112" t="s">
        <v>1093</v>
      </c>
      <c r="C346" s="113" t="s">
        <v>1094</v>
      </c>
      <c r="D346" s="113" t="s">
        <v>457</v>
      </c>
      <c r="E346" s="113" t="s">
        <v>1090</v>
      </c>
      <c r="F346" s="114">
        <v>1</v>
      </c>
      <c r="G346" s="114">
        <v>1</v>
      </c>
      <c r="H346" s="114">
        <v>0</v>
      </c>
      <c r="I346" s="111">
        <v>1139</v>
      </c>
      <c r="J346" s="113" t="s">
        <v>246</v>
      </c>
    </row>
    <row r="347" spans="1:10" x14ac:dyDescent="0.25">
      <c r="A347" s="111">
        <v>344</v>
      </c>
      <c r="B347" s="112" t="s">
        <v>1095</v>
      </c>
      <c r="C347" s="113" t="s">
        <v>1096</v>
      </c>
      <c r="D347" s="113" t="s">
        <v>467</v>
      </c>
      <c r="E347" s="113" t="s">
        <v>1090</v>
      </c>
      <c r="F347" s="114">
        <v>101.58499999999999</v>
      </c>
      <c r="G347" s="114">
        <v>101.77249999999999</v>
      </c>
      <c r="H347" s="114">
        <v>3.93</v>
      </c>
      <c r="I347" s="111">
        <v>1065</v>
      </c>
      <c r="J347" s="113" t="s">
        <v>277</v>
      </c>
    </row>
    <row r="348" spans="1:10" x14ac:dyDescent="0.25">
      <c r="A348" s="111">
        <v>345</v>
      </c>
      <c r="B348" s="112" t="s">
        <v>68</v>
      </c>
      <c r="C348" s="113" t="s">
        <v>69</v>
      </c>
      <c r="D348" s="113" t="s">
        <v>457</v>
      </c>
      <c r="E348" s="113" t="s">
        <v>70</v>
      </c>
      <c r="F348" s="114">
        <v>9490.25</v>
      </c>
      <c r="G348" s="114">
        <v>9490.25</v>
      </c>
      <c r="H348" s="114">
        <v>0</v>
      </c>
      <c r="I348" s="111">
        <v>0</v>
      </c>
      <c r="J348" s="113" t="s">
        <v>246</v>
      </c>
    </row>
    <row r="349" spans="1:10" x14ac:dyDescent="0.25">
      <c r="A349" s="111">
        <v>346</v>
      </c>
      <c r="B349" s="112" t="s">
        <v>1097</v>
      </c>
      <c r="C349" s="113" t="s">
        <v>1098</v>
      </c>
      <c r="D349" s="113" t="s">
        <v>769</v>
      </c>
      <c r="E349" s="113" t="s">
        <v>1099</v>
      </c>
      <c r="F349" s="114">
        <v>27014.888849999999</v>
      </c>
      <c r="G349" s="114">
        <v>27014.888849999999</v>
      </c>
      <c r="H349" s="114">
        <v>0</v>
      </c>
      <c r="I349" s="111">
        <v>0</v>
      </c>
      <c r="J349" s="113" t="s">
        <v>246</v>
      </c>
    </row>
    <row r="350" spans="1:10" x14ac:dyDescent="0.25">
      <c r="A350" s="111">
        <v>347</v>
      </c>
      <c r="B350" s="112" t="s">
        <v>1100</v>
      </c>
      <c r="C350" s="113" t="s">
        <v>1101</v>
      </c>
      <c r="D350" s="113" t="s">
        <v>467</v>
      </c>
      <c r="E350" s="113" t="s">
        <v>1102</v>
      </c>
      <c r="F350" s="114">
        <v>93.714754826771781</v>
      </c>
      <c r="G350" s="114">
        <v>98.624454826771782</v>
      </c>
      <c r="H350" s="114">
        <v>19.11</v>
      </c>
      <c r="I350" s="111">
        <v>2599</v>
      </c>
      <c r="J350" s="113" t="s">
        <v>277</v>
      </c>
    </row>
    <row r="351" spans="1:10" x14ac:dyDescent="0.25">
      <c r="A351" s="111">
        <v>348</v>
      </c>
      <c r="B351" s="112" t="s">
        <v>1103</v>
      </c>
      <c r="C351" s="113" t="s">
        <v>1104</v>
      </c>
      <c r="D351" s="113" t="s">
        <v>467</v>
      </c>
      <c r="E351" s="113" t="s">
        <v>1102</v>
      </c>
      <c r="F351" s="114">
        <v>93.698334544040378</v>
      </c>
      <c r="G351" s="114">
        <v>95.788634544040377</v>
      </c>
      <c r="H351" s="114">
        <v>19.11</v>
      </c>
      <c r="I351" s="111">
        <v>2657</v>
      </c>
      <c r="J351" s="113" t="s">
        <v>277</v>
      </c>
    </row>
    <row r="352" spans="1:10" x14ac:dyDescent="0.25">
      <c r="A352" s="111">
        <v>349</v>
      </c>
      <c r="B352" s="112" t="s">
        <v>1105</v>
      </c>
      <c r="C352" s="113" t="s">
        <v>1106</v>
      </c>
      <c r="D352" s="113" t="s">
        <v>467</v>
      </c>
      <c r="E352" s="113" t="s">
        <v>1102</v>
      </c>
      <c r="F352" s="114">
        <v>39.066343322414198</v>
      </c>
      <c r="G352" s="114">
        <v>39.388543322414201</v>
      </c>
      <c r="H352" s="114">
        <v>19.89</v>
      </c>
      <c r="I352" s="111">
        <v>2851</v>
      </c>
      <c r="J352" s="113" t="s">
        <v>277</v>
      </c>
    </row>
    <row r="353" spans="1:10" x14ac:dyDescent="0.25">
      <c r="A353" s="111">
        <v>350</v>
      </c>
      <c r="B353" s="112" t="s">
        <v>1107</v>
      </c>
      <c r="C353" s="113" t="s">
        <v>1108</v>
      </c>
      <c r="D353" s="113" t="s">
        <v>467</v>
      </c>
      <c r="E353" s="113" t="s">
        <v>1102</v>
      </c>
      <c r="F353" s="114">
        <v>38.537420779088308</v>
      </c>
      <c r="G353" s="114">
        <v>42.226320779088304</v>
      </c>
      <c r="H353" s="114">
        <v>19.89</v>
      </c>
      <c r="I353" s="111">
        <v>2908</v>
      </c>
      <c r="J353" s="113" t="s">
        <v>277</v>
      </c>
    </row>
    <row r="354" spans="1:10" x14ac:dyDescent="0.25">
      <c r="A354" s="111">
        <v>351</v>
      </c>
      <c r="B354" s="112" t="s">
        <v>1109</v>
      </c>
      <c r="C354" s="113" t="s">
        <v>1110</v>
      </c>
      <c r="D354" s="113" t="s">
        <v>467</v>
      </c>
      <c r="E354" s="113" t="s">
        <v>1102</v>
      </c>
      <c r="F354" s="114">
        <v>75.65528617660155</v>
      </c>
      <c r="G354" s="114">
        <v>82.221586176601548</v>
      </c>
      <c r="H354" s="114">
        <v>25.55</v>
      </c>
      <c r="I354" s="111">
        <v>2205</v>
      </c>
      <c r="J354" s="113" t="s">
        <v>277</v>
      </c>
    </row>
    <row r="355" spans="1:10" x14ac:dyDescent="0.25">
      <c r="A355" s="111">
        <v>352</v>
      </c>
      <c r="B355" s="112" t="s">
        <v>1111</v>
      </c>
      <c r="C355" s="113" t="s">
        <v>1112</v>
      </c>
      <c r="D355" s="113" t="s">
        <v>467</v>
      </c>
      <c r="E355" s="113" t="s">
        <v>1102</v>
      </c>
      <c r="F355" s="114">
        <v>41.11101266174326</v>
      </c>
      <c r="G355" s="114">
        <v>43.84431266174326</v>
      </c>
      <c r="H355" s="114">
        <v>19.940000000000001</v>
      </c>
      <c r="I355" s="111">
        <v>2634</v>
      </c>
      <c r="J355" s="113" t="s">
        <v>277</v>
      </c>
    </row>
    <row r="356" spans="1:10" x14ac:dyDescent="0.25">
      <c r="A356" s="111">
        <v>353</v>
      </c>
      <c r="B356" s="112" t="s">
        <v>1113</v>
      </c>
      <c r="C356" s="113" t="s">
        <v>1114</v>
      </c>
      <c r="D356" s="113" t="s">
        <v>467</v>
      </c>
      <c r="E356" s="113" t="s">
        <v>1102</v>
      </c>
      <c r="F356" s="114">
        <v>91.401811975851246</v>
      </c>
      <c r="G356" s="114">
        <v>95.173511975851255</v>
      </c>
      <c r="H356" s="114">
        <v>19.559999999999999</v>
      </c>
      <c r="I356" s="111">
        <v>416</v>
      </c>
      <c r="J356" s="113" t="s">
        <v>277</v>
      </c>
    </row>
    <row r="357" spans="1:10" x14ac:dyDescent="0.25">
      <c r="A357" s="111">
        <v>354</v>
      </c>
      <c r="B357" s="112" t="s">
        <v>1115</v>
      </c>
      <c r="C357" s="113" t="s">
        <v>1116</v>
      </c>
      <c r="D357" s="113" t="s">
        <v>467</v>
      </c>
      <c r="E357" s="113" t="s">
        <v>1102</v>
      </c>
      <c r="F357" s="114">
        <v>72.682472598991154</v>
      </c>
      <c r="G357" s="114">
        <v>74.098972598991153</v>
      </c>
      <c r="H357" s="114">
        <v>19.21</v>
      </c>
      <c r="I357" s="111">
        <v>1933</v>
      </c>
      <c r="J357" s="113" t="s">
        <v>277</v>
      </c>
    </row>
    <row r="358" spans="1:10" x14ac:dyDescent="0.25">
      <c r="A358" s="111">
        <v>355</v>
      </c>
      <c r="B358" s="112" t="s">
        <v>1117</v>
      </c>
      <c r="C358" s="113" t="s">
        <v>1118</v>
      </c>
      <c r="D358" s="113" t="s">
        <v>457</v>
      </c>
      <c r="E358" s="113" t="s">
        <v>1102</v>
      </c>
      <c r="F358" s="114">
        <v>10000</v>
      </c>
      <c r="G358" s="114">
        <v>10000</v>
      </c>
      <c r="H358" s="114">
        <v>0</v>
      </c>
      <c r="I358" s="111">
        <v>0</v>
      </c>
      <c r="J358" s="113" t="s">
        <v>246</v>
      </c>
    </row>
    <row r="359" spans="1:10" x14ac:dyDescent="0.25">
      <c r="A359" s="111">
        <v>356</v>
      </c>
      <c r="B359" s="112" t="s">
        <v>1119</v>
      </c>
      <c r="C359" s="113" t="s">
        <v>1120</v>
      </c>
      <c r="D359" s="113" t="s">
        <v>457</v>
      </c>
      <c r="E359" s="113" t="s">
        <v>1121</v>
      </c>
      <c r="F359" s="114">
        <v>11233.6981</v>
      </c>
      <c r="G359" s="114">
        <v>11233.6981</v>
      </c>
      <c r="H359" s="114">
        <v>0</v>
      </c>
      <c r="I359" s="111">
        <v>0</v>
      </c>
      <c r="J359" s="113" t="s">
        <v>246</v>
      </c>
    </row>
    <row r="360" spans="1:10" x14ac:dyDescent="0.25">
      <c r="A360" s="111">
        <v>357</v>
      </c>
      <c r="B360" s="112" t="s">
        <v>71</v>
      </c>
      <c r="C360" s="113" t="s">
        <v>72</v>
      </c>
      <c r="D360" s="113" t="s">
        <v>467</v>
      </c>
      <c r="E360" s="113" t="s">
        <v>73</v>
      </c>
      <c r="F360" s="114">
        <v>97.203021512737934</v>
      </c>
      <c r="G360" s="114">
        <v>99.33562151273793</v>
      </c>
      <c r="H360" s="114">
        <v>23.12</v>
      </c>
      <c r="I360" s="111">
        <v>503</v>
      </c>
      <c r="J360" s="113" t="s">
        <v>277</v>
      </c>
    </row>
    <row r="361" spans="1:10" x14ac:dyDescent="0.25">
      <c r="A361" s="111">
        <v>358</v>
      </c>
      <c r="B361" s="112" t="s">
        <v>1122</v>
      </c>
      <c r="C361" s="113" t="s">
        <v>1123</v>
      </c>
      <c r="D361" s="113" t="s">
        <v>457</v>
      </c>
      <c r="E361" s="113" t="s">
        <v>1124</v>
      </c>
      <c r="F361" s="114">
        <v>91779.149799999999</v>
      </c>
      <c r="G361" s="114">
        <v>91779.149799999999</v>
      </c>
      <c r="H361" s="114">
        <v>0</v>
      </c>
      <c r="I361" s="111">
        <v>0</v>
      </c>
      <c r="J361" s="113" t="s">
        <v>246</v>
      </c>
    </row>
    <row r="362" spans="1:10" x14ac:dyDescent="0.25">
      <c r="A362" s="111">
        <v>359</v>
      </c>
      <c r="B362" s="112" t="s">
        <v>1125</v>
      </c>
      <c r="C362" s="113" t="s">
        <v>1126</v>
      </c>
      <c r="D362" s="113" t="s">
        <v>457</v>
      </c>
      <c r="E362" s="113" t="s">
        <v>1127</v>
      </c>
      <c r="F362" s="114">
        <v>162741.31315</v>
      </c>
      <c r="G362" s="114">
        <v>162741.31315</v>
      </c>
      <c r="H362" s="114">
        <v>0</v>
      </c>
      <c r="I362" s="111">
        <v>0</v>
      </c>
      <c r="J362" s="113" t="s">
        <v>246</v>
      </c>
    </row>
    <row r="363" spans="1:10" x14ac:dyDescent="0.25">
      <c r="A363" s="111">
        <v>360</v>
      </c>
      <c r="B363" s="112" t="s">
        <v>1128</v>
      </c>
      <c r="C363" s="113" t="s">
        <v>1129</v>
      </c>
      <c r="D363" s="113" t="s">
        <v>457</v>
      </c>
      <c r="E363" s="113" t="s">
        <v>1130</v>
      </c>
      <c r="F363" s="114">
        <v>0.01</v>
      </c>
      <c r="G363" s="114">
        <v>0.01</v>
      </c>
      <c r="H363" s="114">
        <v>0</v>
      </c>
      <c r="I363" s="111">
        <v>0</v>
      </c>
      <c r="J363" s="113" t="s">
        <v>246</v>
      </c>
    </row>
    <row r="364" spans="1:10" x14ac:dyDescent="0.25">
      <c r="A364" s="111">
        <v>361</v>
      </c>
      <c r="B364" s="112" t="s">
        <v>1131</v>
      </c>
      <c r="C364" s="113" t="s">
        <v>1132</v>
      </c>
      <c r="D364" s="113" t="s">
        <v>467</v>
      </c>
      <c r="E364" s="113" t="s">
        <v>359</v>
      </c>
      <c r="F364" s="114">
        <v>94.232653473772658</v>
      </c>
      <c r="G364" s="114">
        <v>94.546453473772658</v>
      </c>
      <c r="H364" s="114">
        <v>16.96</v>
      </c>
      <c r="I364" s="111">
        <v>349</v>
      </c>
      <c r="J364" s="113" t="s">
        <v>277</v>
      </c>
    </row>
    <row r="365" spans="1:10" x14ac:dyDescent="0.25">
      <c r="A365" s="111">
        <v>362</v>
      </c>
      <c r="B365" s="112" t="s">
        <v>357</v>
      </c>
      <c r="C365" s="113" t="s">
        <v>358</v>
      </c>
      <c r="D365" s="113" t="s">
        <v>467</v>
      </c>
      <c r="E365" s="113" t="s">
        <v>359</v>
      </c>
      <c r="F365" s="114">
        <v>92.632273931403915</v>
      </c>
      <c r="G365" s="114">
        <v>92.790573931403927</v>
      </c>
      <c r="H365" s="114">
        <v>16.86</v>
      </c>
      <c r="I365" s="111">
        <v>1436</v>
      </c>
      <c r="J365" s="113" t="s">
        <v>277</v>
      </c>
    </row>
    <row r="366" spans="1:10" x14ac:dyDescent="0.25">
      <c r="A366" s="111">
        <v>363</v>
      </c>
      <c r="B366" s="112" t="s">
        <v>360</v>
      </c>
      <c r="C366" s="113" t="s">
        <v>361</v>
      </c>
      <c r="D366" s="113" t="s">
        <v>467</v>
      </c>
      <c r="E366" s="113" t="s">
        <v>359</v>
      </c>
      <c r="F366" s="114">
        <v>92.632273931403915</v>
      </c>
      <c r="G366" s="114">
        <v>92.790573931403927</v>
      </c>
      <c r="H366" s="114">
        <v>16.86</v>
      </c>
      <c r="I366" s="111">
        <v>1436</v>
      </c>
      <c r="J366" s="113" t="s">
        <v>277</v>
      </c>
    </row>
    <row r="367" spans="1:10" x14ac:dyDescent="0.25">
      <c r="A367" s="111">
        <v>364</v>
      </c>
      <c r="B367" s="112" t="s">
        <v>2007</v>
      </c>
      <c r="C367" s="113" t="s">
        <v>2008</v>
      </c>
      <c r="D367" s="113" t="s">
        <v>467</v>
      </c>
      <c r="E367" s="113" t="s">
        <v>359</v>
      </c>
      <c r="F367" s="114">
        <v>95.202333140040608</v>
      </c>
      <c r="G367" s="114">
        <v>97.10863314004061</v>
      </c>
      <c r="H367" s="114">
        <v>16.82</v>
      </c>
      <c r="I367" s="111">
        <v>1575</v>
      </c>
      <c r="J367" s="113" t="s">
        <v>277</v>
      </c>
    </row>
    <row r="368" spans="1:10" x14ac:dyDescent="0.25">
      <c r="A368" s="111">
        <v>365</v>
      </c>
      <c r="B368" s="112" t="s">
        <v>2223</v>
      </c>
      <c r="C368" s="113" t="s">
        <v>2224</v>
      </c>
      <c r="D368" s="113" t="s">
        <v>467</v>
      </c>
      <c r="E368" s="113" t="s">
        <v>359</v>
      </c>
      <c r="F368" s="114">
        <v>99.027085212488942</v>
      </c>
      <c r="G368" s="114">
        <v>103.33538521248894</v>
      </c>
      <c r="H368" s="114">
        <v>16.78</v>
      </c>
      <c r="I368" s="111">
        <v>1706</v>
      </c>
      <c r="J368" s="113" t="s">
        <v>277</v>
      </c>
    </row>
    <row r="369" spans="1:10" x14ac:dyDescent="0.25">
      <c r="A369" s="111">
        <v>366</v>
      </c>
      <c r="B369" s="112" t="s">
        <v>2297</v>
      </c>
      <c r="C369" s="113" t="s">
        <v>2298</v>
      </c>
      <c r="D369" s="113" t="s">
        <v>467</v>
      </c>
      <c r="E369" s="113" t="s">
        <v>359</v>
      </c>
      <c r="F369" s="114">
        <v>99.050385479088661</v>
      </c>
      <c r="G369" s="114">
        <v>102.16708547908866</v>
      </c>
      <c r="H369" s="114">
        <v>16.77</v>
      </c>
      <c r="I369" s="111">
        <v>1732</v>
      </c>
      <c r="J369" s="113" t="s">
        <v>277</v>
      </c>
    </row>
    <row r="370" spans="1:10" x14ac:dyDescent="0.25">
      <c r="A370" s="111">
        <v>367</v>
      </c>
      <c r="B370" s="112" t="s">
        <v>1133</v>
      </c>
      <c r="C370" s="113" t="s">
        <v>1134</v>
      </c>
      <c r="D370" s="113" t="s">
        <v>467</v>
      </c>
      <c r="E370" s="113" t="s">
        <v>1135</v>
      </c>
      <c r="F370" s="114">
        <v>100</v>
      </c>
      <c r="G370" s="114">
        <v>100.1069</v>
      </c>
      <c r="H370" s="114">
        <v>0.35</v>
      </c>
      <c r="I370" s="111">
        <v>370</v>
      </c>
      <c r="J370" s="113" t="s">
        <v>277</v>
      </c>
    </row>
    <row r="371" spans="1:10" x14ac:dyDescent="0.25">
      <c r="A371" s="111">
        <v>368</v>
      </c>
      <c r="B371" s="112" t="s">
        <v>1136</v>
      </c>
      <c r="C371" s="113" t="s">
        <v>1137</v>
      </c>
      <c r="D371" s="113" t="s">
        <v>467</v>
      </c>
      <c r="E371" s="113" t="s">
        <v>1135</v>
      </c>
      <c r="F371" s="114">
        <v>100</v>
      </c>
      <c r="G371" s="114">
        <v>101.27500000000001</v>
      </c>
      <c r="H371" s="114">
        <v>4.2300000000000004</v>
      </c>
      <c r="I371" s="111">
        <v>372</v>
      </c>
      <c r="J371" s="113" t="s">
        <v>277</v>
      </c>
    </row>
    <row r="372" spans="1:10" x14ac:dyDescent="0.25">
      <c r="A372" s="111">
        <v>369</v>
      </c>
      <c r="B372" s="112" t="s">
        <v>1138</v>
      </c>
      <c r="C372" s="113" t="s">
        <v>1139</v>
      </c>
      <c r="D372" s="113" t="s">
        <v>467</v>
      </c>
      <c r="E372" s="113" t="s">
        <v>1135</v>
      </c>
      <c r="F372" s="114">
        <v>100</v>
      </c>
      <c r="G372" s="114">
        <v>100.0885</v>
      </c>
      <c r="H372" s="114">
        <v>0.35</v>
      </c>
      <c r="I372" s="111">
        <v>89</v>
      </c>
      <c r="J372" s="113" t="s">
        <v>277</v>
      </c>
    </row>
    <row r="373" spans="1:10" x14ac:dyDescent="0.25">
      <c r="A373" s="111">
        <v>370</v>
      </c>
      <c r="B373" s="112" t="s">
        <v>2314</v>
      </c>
      <c r="C373" s="113" t="s">
        <v>2315</v>
      </c>
      <c r="D373" s="113" t="s">
        <v>467</v>
      </c>
      <c r="E373" s="113" t="s">
        <v>1135</v>
      </c>
      <c r="F373" s="114">
        <v>100</v>
      </c>
      <c r="G373" s="114">
        <v>100.02719999999999</v>
      </c>
      <c r="H373" s="114">
        <v>0.35</v>
      </c>
      <c r="I373" s="111">
        <v>692</v>
      </c>
      <c r="J373" s="113" t="s">
        <v>277</v>
      </c>
    </row>
    <row r="374" spans="1:10" x14ac:dyDescent="0.25">
      <c r="A374" s="111">
        <v>371</v>
      </c>
      <c r="B374" s="112" t="s">
        <v>1140</v>
      </c>
      <c r="C374" s="113" t="s">
        <v>1141</v>
      </c>
      <c r="D374" s="113" t="s">
        <v>467</v>
      </c>
      <c r="E374" s="113" t="s">
        <v>1135</v>
      </c>
      <c r="F374" s="114">
        <v>100</v>
      </c>
      <c r="G374" s="114">
        <v>100.00069999999999</v>
      </c>
      <c r="H374" s="114">
        <v>0.02</v>
      </c>
      <c r="I374" s="111">
        <v>3122</v>
      </c>
      <c r="J374" s="113" t="s">
        <v>277</v>
      </c>
    </row>
    <row r="375" spans="1:10" x14ac:dyDescent="0.25">
      <c r="A375" s="111">
        <v>372</v>
      </c>
      <c r="B375" s="112" t="s">
        <v>2368</v>
      </c>
      <c r="C375" s="113" t="s">
        <v>2369</v>
      </c>
      <c r="D375" s="113" t="s">
        <v>467</v>
      </c>
      <c r="E375" s="113" t="s">
        <v>1135</v>
      </c>
      <c r="F375" s="114">
        <v>90.213418465044015</v>
      </c>
      <c r="G375" s="114">
        <v>90.719018465044016</v>
      </c>
      <c r="H375" s="114">
        <v>20.57</v>
      </c>
      <c r="I375" s="111">
        <v>3590</v>
      </c>
      <c r="J375" s="113" t="s">
        <v>277</v>
      </c>
    </row>
    <row r="376" spans="1:10" x14ac:dyDescent="0.25">
      <c r="A376" s="111">
        <v>373</v>
      </c>
      <c r="B376" s="112" t="s">
        <v>1142</v>
      </c>
      <c r="C376" s="113" t="s">
        <v>1143</v>
      </c>
      <c r="D376" s="113" t="s">
        <v>467</v>
      </c>
      <c r="E376" s="113" t="s">
        <v>1144</v>
      </c>
      <c r="F376" s="114">
        <v>100</v>
      </c>
      <c r="G376" s="114">
        <v>105.3447</v>
      </c>
      <c r="H376" s="114">
        <v>7.09</v>
      </c>
      <c r="I376" s="111">
        <v>2249</v>
      </c>
      <c r="J376" s="113" t="s">
        <v>277</v>
      </c>
    </row>
    <row r="377" spans="1:10" x14ac:dyDescent="0.25">
      <c r="A377" s="111">
        <v>374</v>
      </c>
      <c r="B377" s="112" t="s">
        <v>75</v>
      </c>
      <c r="C377" s="113" t="s">
        <v>76</v>
      </c>
      <c r="D377" s="113" t="s">
        <v>467</v>
      </c>
      <c r="E377" s="113" t="s">
        <v>74</v>
      </c>
      <c r="F377" s="114">
        <v>89.386342057319595</v>
      </c>
      <c r="G377" s="114">
        <v>94.609142057319602</v>
      </c>
      <c r="H377" s="114">
        <v>16.440000000000001</v>
      </c>
      <c r="I377" s="111">
        <v>1102</v>
      </c>
      <c r="J377" s="113" t="s">
        <v>277</v>
      </c>
    </row>
    <row r="378" spans="1:10" x14ac:dyDescent="0.25">
      <c r="A378" s="111">
        <v>375</v>
      </c>
      <c r="B378" s="112" t="s">
        <v>77</v>
      </c>
      <c r="C378" s="113" t="s">
        <v>78</v>
      </c>
      <c r="D378" s="113" t="s">
        <v>467</v>
      </c>
      <c r="E378" s="113" t="s">
        <v>74</v>
      </c>
      <c r="F378" s="114">
        <v>101.55633098674116</v>
      </c>
      <c r="G378" s="114">
        <v>101.55633098674116</v>
      </c>
      <c r="H378" s="114">
        <v>16.309999999999999</v>
      </c>
      <c r="I378" s="111">
        <v>1440</v>
      </c>
      <c r="J378" s="113" t="s">
        <v>277</v>
      </c>
    </row>
    <row r="379" spans="1:10" x14ac:dyDescent="0.25">
      <c r="A379" s="111">
        <v>376</v>
      </c>
      <c r="B379" s="112" t="s">
        <v>79</v>
      </c>
      <c r="C379" s="113" t="s">
        <v>80</v>
      </c>
      <c r="D379" s="113" t="s">
        <v>467</v>
      </c>
      <c r="E379" s="113" t="s">
        <v>74</v>
      </c>
      <c r="F379" s="114">
        <v>110.065047785359</v>
      </c>
      <c r="G379" s="114">
        <v>110.92064778535901</v>
      </c>
      <c r="H379" s="114">
        <v>16.21</v>
      </c>
      <c r="I379" s="111">
        <v>1784</v>
      </c>
      <c r="J379" s="113" t="s">
        <v>277</v>
      </c>
    </row>
    <row r="380" spans="1:10" x14ac:dyDescent="0.25">
      <c r="A380" s="111">
        <v>377</v>
      </c>
      <c r="B380" s="112" t="s">
        <v>2265</v>
      </c>
      <c r="C380" s="113" t="s">
        <v>2266</v>
      </c>
      <c r="D380" s="113" t="s">
        <v>467</v>
      </c>
      <c r="E380" s="113" t="s">
        <v>2267</v>
      </c>
      <c r="F380" s="114">
        <v>99.808125034184755</v>
      </c>
      <c r="G380" s="114">
        <v>100.85532503418476</v>
      </c>
      <c r="H380" s="114">
        <v>6.57</v>
      </c>
      <c r="I380" s="111">
        <v>1022</v>
      </c>
      <c r="J380" s="113" t="s">
        <v>277</v>
      </c>
    </row>
    <row r="381" spans="1:10" x14ac:dyDescent="0.25">
      <c r="A381" s="111">
        <v>378</v>
      </c>
      <c r="B381" s="112" t="s">
        <v>1145</v>
      </c>
      <c r="C381" s="113" t="s">
        <v>1146</v>
      </c>
      <c r="D381" s="113" t="s">
        <v>457</v>
      </c>
      <c r="E381" s="113" t="s">
        <v>1147</v>
      </c>
      <c r="F381" s="114">
        <v>67249.5</v>
      </c>
      <c r="G381" s="114">
        <v>67249.5</v>
      </c>
      <c r="H381" s="114">
        <v>0</v>
      </c>
      <c r="I381" s="111">
        <v>0</v>
      </c>
      <c r="J381" s="113" t="s">
        <v>246</v>
      </c>
    </row>
    <row r="382" spans="1:10" x14ac:dyDescent="0.25">
      <c r="A382" s="111">
        <v>379</v>
      </c>
      <c r="B382" s="112" t="s">
        <v>1148</v>
      </c>
      <c r="C382" s="113" t="s">
        <v>1149</v>
      </c>
      <c r="D382" s="113" t="s">
        <v>457</v>
      </c>
      <c r="E382" s="113" t="s">
        <v>1150</v>
      </c>
      <c r="F382" s="114">
        <v>0.01</v>
      </c>
      <c r="G382" s="114">
        <v>0.01</v>
      </c>
      <c r="H382" s="114">
        <v>0</v>
      </c>
      <c r="I382" s="111">
        <v>0</v>
      </c>
      <c r="J382" s="113" t="s">
        <v>246</v>
      </c>
    </row>
    <row r="383" spans="1:10" x14ac:dyDescent="0.25">
      <c r="A383" s="111">
        <v>380</v>
      </c>
      <c r="B383" s="112" t="s">
        <v>1151</v>
      </c>
      <c r="C383" s="113" t="s">
        <v>1152</v>
      </c>
      <c r="D383" s="113" t="s">
        <v>457</v>
      </c>
      <c r="E383" s="113" t="s">
        <v>1150</v>
      </c>
      <c r="F383" s="114">
        <v>0.01</v>
      </c>
      <c r="G383" s="114">
        <v>0.01</v>
      </c>
      <c r="H383" s="114">
        <v>0</v>
      </c>
      <c r="I383" s="111">
        <v>0</v>
      </c>
      <c r="J383" s="113" t="s">
        <v>246</v>
      </c>
    </row>
    <row r="384" spans="1:10" x14ac:dyDescent="0.25">
      <c r="A384" s="111">
        <v>381</v>
      </c>
      <c r="B384" s="112" t="s">
        <v>81</v>
      </c>
      <c r="C384" s="113" t="s">
        <v>82</v>
      </c>
      <c r="D384" s="113" t="s">
        <v>457</v>
      </c>
      <c r="E384" s="113" t="s">
        <v>83</v>
      </c>
      <c r="F384" s="114">
        <v>3393.8631515615598</v>
      </c>
      <c r="G384" s="114">
        <v>3393.8631515615598</v>
      </c>
      <c r="H384" s="114">
        <v>0</v>
      </c>
      <c r="I384" s="111">
        <v>0</v>
      </c>
      <c r="J384" s="113" t="s">
        <v>246</v>
      </c>
    </row>
    <row r="385" spans="1:10" x14ac:dyDescent="0.25">
      <c r="A385" s="111">
        <v>382</v>
      </c>
      <c r="B385" s="112" t="s">
        <v>84</v>
      </c>
      <c r="C385" s="113" t="s">
        <v>85</v>
      </c>
      <c r="D385" s="113" t="s">
        <v>457</v>
      </c>
      <c r="E385" s="113" t="s">
        <v>86</v>
      </c>
      <c r="F385" s="114">
        <v>1445.4862440518514</v>
      </c>
      <c r="G385" s="114">
        <v>1445.4862440518514</v>
      </c>
      <c r="H385" s="114">
        <v>0</v>
      </c>
      <c r="I385" s="111">
        <v>0</v>
      </c>
      <c r="J385" s="113" t="s">
        <v>246</v>
      </c>
    </row>
    <row r="386" spans="1:10" x14ac:dyDescent="0.25">
      <c r="A386" s="111">
        <v>383</v>
      </c>
      <c r="B386" s="112" t="s">
        <v>1153</v>
      </c>
      <c r="C386" s="113" t="s">
        <v>1154</v>
      </c>
      <c r="D386" s="113" t="s">
        <v>467</v>
      </c>
      <c r="E386" s="113" t="s">
        <v>86</v>
      </c>
      <c r="F386" s="114">
        <v>83.630592115846326</v>
      </c>
      <c r="G386" s="114">
        <v>85.852292115846325</v>
      </c>
      <c r="H386" s="114">
        <v>17.57</v>
      </c>
      <c r="I386" s="111">
        <v>2098</v>
      </c>
      <c r="J386" s="113" t="s">
        <v>277</v>
      </c>
    </row>
    <row r="387" spans="1:10" x14ac:dyDescent="0.25">
      <c r="A387" s="111">
        <v>384</v>
      </c>
      <c r="B387" s="112" t="s">
        <v>1155</v>
      </c>
      <c r="C387" s="113" t="s">
        <v>1156</v>
      </c>
      <c r="D387" s="113" t="s">
        <v>467</v>
      </c>
      <c r="E387" s="113" t="s">
        <v>86</v>
      </c>
      <c r="F387" s="114">
        <v>76.613787291092237</v>
      </c>
      <c r="G387" s="114">
        <v>87.123487291092232</v>
      </c>
      <c r="H387" s="114">
        <v>17.489999999999998</v>
      </c>
      <c r="I387" s="111">
        <v>2551</v>
      </c>
      <c r="J387" s="113" t="s">
        <v>277</v>
      </c>
    </row>
    <row r="388" spans="1:10" x14ac:dyDescent="0.25">
      <c r="A388" s="111">
        <v>385</v>
      </c>
      <c r="B388" s="112" t="s">
        <v>1157</v>
      </c>
      <c r="C388" s="113" t="s">
        <v>1158</v>
      </c>
      <c r="D388" s="113" t="s">
        <v>467</v>
      </c>
      <c r="E388" s="113" t="s">
        <v>86</v>
      </c>
      <c r="F388" s="114">
        <v>72.971303421046812</v>
      </c>
      <c r="G388" s="114">
        <v>74.804603421046806</v>
      </c>
      <c r="H388" s="114">
        <v>16.670000000000002</v>
      </c>
      <c r="I388" s="111">
        <v>3540</v>
      </c>
      <c r="J388" s="113" t="s">
        <v>277</v>
      </c>
    </row>
    <row r="389" spans="1:10" x14ac:dyDescent="0.25">
      <c r="A389" s="111">
        <v>386</v>
      </c>
      <c r="B389" s="112" t="s">
        <v>1159</v>
      </c>
      <c r="C389" s="113" t="s">
        <v>1160</v>
      </c>
      <c r="D389" s="113" t="s">
        <v>467</v>
      </c>
      <c r="E389" s="113" t="s">
        <v>86</v>
      </c>
      <c r="F389" s="114">
        <v>100</v>
      </c>
      <c r="G389" s="114">
        <v>101.88630000000001</v>
      </c>
      <c r="H389" s="114">
        <v>18.59</v>
      </c>
      <c r="I389" s="111">
        <v>4529</v>
      </c>
      <c r="J389" s="113" t="s">
        <v>277</v>
      </c>
    </row>
    <row r="390" spans="1:10" x14ac:dyDescent="0.25">
      <c r="A390" s="111">
        <v>387</v>
      </c>
      <c r="B390" s="112" t="s">
        <v>1161</v>
      </c>
      <c r="C390" s="113" t="s">
        <v>1162</v>
      </c>
      <c r="D390" s="113" t="s">
        <v>467</v>
      </c>
      <c r="E390" s="113" t="s">
        <v>25</v>
      </c>
      <c r="F390" s="114">
        <v>79.731627741617899</v>
      </c>
      <c r="G390" s="114">
        <v>88.964927741617899</v>
      </c>
      <c r="H390" s="114">
        <v>17.04</v>
      </c>
      <c r="I390" s="111">
        <v>2603</v>
      </c>
      <c r="J390" s="113" t="s">
        <v>277</v>
      </c>
    </row>
    <row r="391" spans="1:10" x14ac:dyDescent="0.25">
      <c r="A391" s="111">
        <v>388</v>
      </c>
      <c r="B391" s="112" t="s">
        <v>417</v>
      </c>
      <c r="C391" s="113" t="s">
        <v>418</v>
      </c>
      <c r="D391" s="113" t="s">
        <v>467</v>
      </c>
      <c r="E391" s="113" t="s">
        <v>25</v>
      </c>
      <c r="F391" s="114">
        <v>85.170193622490842</v>
      </c>
      <c r="G391" s="114">
        <v>89.550793622490843</v>
      </c>
      <c r="H391" s="114">
        <v>17.079999999999998</v>
      </c>
      <c r="I391" s="111">
        <v>914</v>
      </c>
      <c r="J391" s="113" t="s">
        <v>277</v>
      </c>
    </row>
    <row r="392" spans="1:10" x14ac:dyDescent="0.25">
      <c r="A392" s="111">
        <v>389</v>
      </c>
      <c r="B392" s="112" t="s">
        <v>428</v>
      </c>
      <c r="C392" s="113" t="s">
        <v>429</v>
      </c>
      <c r="D392" s="113" t="s">
        <v>467</v>
      </c>
      <c r="E392" s="113" t="s">
        <v>25</v>
      </c>
      <c r="F392" s="114">
        <v>73.884300989990706</v>
      </c>
      <c r="G392" s="114">
        <v>77.657900989990708</v>
      </c>
      <c r="H392" s="114">
        <v>17.04</v>
      </c>
      <c r="I392" s="111">
        <v>2017</v>
      </c>
      <c r="J392" s="113" t="s">
        <v>277</v>
      </c>
    </row>
    <row r="393" spans="1:10" x14ac:dyDescent="0.25">
      <c r="A393" s="111">
        <v>390</v>
      </c>
      <c r="B393" s="112" t="s">
        <v>1163</v>
      </c>
      <c r="C393" s="113" t="s">
        <v>1164</v>
      </c>
      <c r="D393" s="113" t="s">
        <v>467</v>
      </c>
      <c r="E393" s="113" t="s">
        <v>25</v>
      </c>
      <c r="F393" s="114">
        <v>99.62365284390647</v>
      </c>
      <c r="G393" s="114">
        <v>108.78055284390646</v>
      </c>
      <c r="H393" s="114">
        <v>20.03</v>
      </c>
      <c r="I393" s="111">
        <v>13</v>
      </c>
      <c r="J393" s="113" t="s">
        <v>277</v>
      </c>
    </row>
    <row r="394" spans="1:10" x14ac:dyDescent="0.25">
      <c r="A394" s="111">
        <v>391</v>
      </c>
      <c r="B394" s="112" t="s">
        <v>413</v>
      </c>
      <c r="C394" s="113" t="s">
        <v>414</v>
      </c>
      <c r="D394" s="113" t="s">
        <v>467</v>
      </c>
      <c r="E394" s="113" t="s">
        <v>25</v>
      </c>
      <c r="F394" s="114">
        <v>98.912744079199257</v>
      </c>
      <c r="G394" s="114">
        <v>106.39744407919926</v>
      </c>
      <c r="H394" s="114">
        <v>17.8</v>
      </c>
      <c r="I394" s="111">
        <v>43</v>
      </c>
      <c r="J394" s="113" t="s">
        <v>277</v>
      </c>
    </row>
    <row r="395" spans="1:10" x14ac:dyDescent="0.25">
      <c r="A395" s="111">
        <v>392</v>
      </c>
      <c r="B395" s="112" t="s">
        <v>278</v>
      </c>
      <c r="C395" s="113" t="s">
        <v>279</v>
      </c>
      <c r="D395" s="113" t="s">
        <v>467</v>
      </c>
      <c r="E395" s="113" t="s">
        <v>25</v>
      </c>
      <c r="F395" s="114">
        <v>100</v>
      </c>
      <c r="G395" s="114">
        <v>102.7586</v>
      </c>
      <c r="H395" s="114">
        <v>17.73</v>
      </c>
      <c r="I395" s="111">
        <v>127</v>
      </c>
      <c r="J395" s="113" t="s">
        <v>277</v>
      </c>
    </row>
    <row r="396" spans="1:10" x14ac:dyDescent="0.25">
      <c r="A396" s="111">
        <v>393</v>
      </c>
      <c r="B396" s="112" t="s">
        <v>280</v>
      </c>
      <c r="C396" s="113" t="s">
        <v>281</v>
      </c>
      <c r="D396" s="113" t="s">
        <v>467</v>
      </c>
      <c r="E396" s="113" t="s">
        <v>25</v>
      </c>
      <c r="F396" s="114">
        <v>100</v>
      </c>
      <c r="G396" s="114">
        <v>105.75830000000001</v>
      </c>
      <c r="H396" s="114">
        <v>16.88</v>
      </c>
      <c r="I396" s="111">
        <v>63</v>
      </c>
      <c r="J396" s="113" t="s">
        <v>277</v>
      </c>
    </row>
    <row r="397" spans="1:10" x14ac:dyDescent="0.25">
      <c r="A397" s="111">
        <v>394</v>
      </c>
      <c r="B397" s="112" t="s">
        <v>282</v>
      </c>
      <c r="C397" s="113" t="s">
        <v>283</v>
      </c>
      <c r="D397" s="113" t="s">
        <v>467</v>
      </c>
      <c r="E397" s="113" t="s">
        <v>25</v>
      </c>
      <c r="F397" s="114">
        <v>100</v>
      </c>
      <c r="G397" s="114">
        <v>103.1825</v>
      </c>
      <c r="H397" s="114">
        <v>18.11</v>
      </c>
      <c r="I397" s="111">
        <v>850</v>
      </c>
      <c r="J397" s="113" t="s">
        <v>277</v>
      </c>
    </row>
    <row r="398" spans="1:10" x14ac:dyDescent="0.25">
      <c r="A398" s="111">
        <v>395</v>
      </c>
      <c r="B398" s="112" t="s">
        <v>284</v>
      </c>
      <c r="C398" s="113" t="s">
        <v>285</v>
      </c>
      <c r="D398" s="113" t="s">
        <v>467</v>
      </c>
      <c r="E398" s="113" t="s">
        <v>25</v>
      </c>
      <c r="F398" s="114">
        <v>100</v>
      </c>
      <c r="G398" s="114">
        <v>100.39870000000001</v>
      </c>
      <c r="H398" s="114">
        <v>18.190000000000001</v>
      </c>
      <c r="I398" s="111">
        <v>906</v>
      </c>
      <c r="J398" s="113" t="s">
        <v>277</v>
      </c>
    </row>
    <row r="399" spans="1:10" x14ac:dyDescent="0.25">
      <c r="A399" s="111">
        <v>396</v>
      </c>
      <c r="B399" s="112" t="s">
        <v>286</v>
      </c>
      <c r="C399" s="113" t="s">
        <v>275</v>
      </c>
      <c r="D399" s="113" t="s">
        <v>467</v>
      </c>
      <c r="E399" s="113" t="s">
        <v>25</v>
      </c>
      <c r="F399" s="114">
        <v>100</v>
      </c>
      <c r="G399" s="114">
        <v>100.40309999999999</v>
      </c>
      <c r="H399" s="114">
        <v>18.39</v>
      </c>
      <c r="I399" s="111">
        <v>1637</v>
      </c>
      <c r="J399" s="113" t="s">
        <v>277</v>
      </c>
    </row>
    <row r="400" spans="1:10" x14ac:dyDescent="0.25">
      <c r="A400" s="111">
        <v>397</v>
      </c>
      <c r="B400" s="112" t="s">
        <v>287</v>
      </c>
      <c r="C400" s="113" t="s">
        <v>288</v>
      </c>
      <c r="D400" s="113" t="s">
        <v>467</v>
      </c>
      <c r="E400" s="113" t="s">
        <v>25</v>
      </c>
      <c r="F400" s="114">
        <v>100</v>
      </c>
      <c r="G400" s="114">
        <v>103.2</v>
      </c>
      <c r="H400" s="114">
        <v>18.22</v>
      </c>
      <c r="I400" s="111">
        <v>1581</v>
      </c>
      <c r="J400" s="113" t="s">
        <v>277</v>
      </c>
    </row>
    <row r="401" spans="1:10" x14ac:dyDescent="0.25">
      <c r="A401" s="111">
        <v>398</v>
      </c>
      <c r="B401" s="112" t="s">
        <v>411</v>
      </c>
      <c r="C401" s="113" t="s">
        <v>410</v>
      </c>
      <c r="D401" s="113" t="s">
        <v>467</v>
      </c>
      <c r="E401" s="113" t="s">
        <v>25</v>
      </c>
      <c r="F401" s="114">
        <v>97.181873871902866</v>
      </c>
      <c r="G401" s="114">
        <v>103.17217387190286</v>
      </c>
      <c r="H401" s="114">
        <v>17.48</v>
      </c>
      <c r="I401" s="111">
        <v>133</v>
      </c>
      <c r="J401" s="113" t="s">
        <v>277</v>
      </c>
    </row>
    <row r="402" spans="1:10" x14ac:dyDescent="0.25">
      <c r="A402" s="111">
        <v>399</v>
      </c>
      <c r="B402" s="112" t="s">
        <v>1165</v>
      </c>
      <c r="C402" s="113" t="s">
        <v>1166</v>
      </c>
      <c r="D402" s="113" t="s">
        <v>467</v>
      </c>
      <c r="E402" s="113" t="s">
        <v>25</v>
      </c>
      <c r="F402" s="114">
        <v>99.639590949513504</v>
      </c>
      <c r="G402" s="114">
        <v>111.4451909495135</v>
      </c>
      <c r="H402" s="114">
        <v>18.48</v>
      </c>
      <c r="I402" s="111">
        <v>20</v>
      </c>
      <c r="J402" s="113" t="s">
        <v>277</v>
      </c>
    </row>
    <row r="403" spans="1:10" x14ac:dyDescent="0.25">
      <c r="A403" s="111">
        <v>400</v>
      </c>
      <c r="B403" s="112" t="s">
        <v>1167</v>
      </c>
      <c r="C403" s="113" t="s">
        <v>1168</v>
      </c>
      <c r="D403" s="113" t="s">
        <v>467</v>
      </c>
      <c r="E403" s="113" t="s">
        <v>25</v>
      </c>
      <c r="F403" s="114">
        <v>99.076747525023251</v>
      </c>
      <c r="G403" s="114">
        <v>109.45864752502325</v>
      </c>
      <c r="H403" s="114">
        <v>17.559999999999999</v>
      </c>
      <c r="I403" s="111">
        <v>61</v>
      </c>
      <c r="J403" s="113" t="s">
        <v>277</v>
      </c>
    </row>
    <row r="404" spans="1:10" x14ac:dyDescent="0.25">
      <c r="A404" s="111">
        <v>401</v>
      </c>
      <c r="B404" s="112" t="s">
        <v>289</v>
      </c>
      <c r="C404" s="113" t="s">
        <v>290</v>
      </c>
      <c r="D404" s="113" t="s">
        <v>467</v>
      </c>
      <c r="E404" s="113" t="s">
        <v>25</v>
      </c>
      <c r="F404" s="114">
        <v>100</v>
      </c>
      <c r="G404" s="114">
        <v>105.8848</v>
      </c>
      <c r="H404" s="114">
        <v>17.899999999999999</v>
      </c>
      <c r="I404" s="111">
        <v>246</v>
      </c>
      <c r="J404" s="113" t="s">
        <v>277</v>
      </c>
    </row>
    <row r="405" spans="1:10" x14ac:dyDescent="0.25">
      <c r="A405" s="111">
        <v>402</v>
      </c>
      <c r="B405" s="112" t="s">
        <v>1169</v>
      </c>
      <c r="C405" s="113" t="s">
        <v>1170</v>
      </c>
      <c r="D405" s="113" t="s">
        <v>467</v>
      </c>
      <c r="E405" s="113" t="s">
        <v>25</v>
      </c>
      <c r="F405" s="114">
        <v>100</v>
      </c>
      <c r="G405" s="114">
        <v>100.6409</v>
      </c>
      <c r="H405" s="114">
        <v>16.68</v>
      </c>
      <c r="I405" s="111">
        <v>351</v>
      </c>
      <c r="J405" s="113" t="s">
        <v>277</v>
      </c>
    </row>
    <row r="406" spans="1:10" x14ac:dyDescent="0.25">
      <c r="A406" s="111">
        <v>403</v>
      </c>
      <c r="B406" s="112" t="s">
        <v>401</v>
      </c>
      <c r="C406" s="113" t="s">
        <v>402</v>
      </c>
      <c r="D406" s="113" t="s">
        <v>467</v>
      </c>
      <c r="E406" s="113" t="s">
        <v>25</v>
      </c>
      <c r="F406" s="114">
        <v>85.936907236230383</v>
      </c>
      <c r="G406" s="114">
        <v>91.848007236230373</v>
      </c>
      <c r="H406" s="114">
        <v>17.09</v>
      </c>
      <c r="I406" s="111">
        <v>856</v>
      </c>
      <c r="J406" s="113" t="s">
        <v>277</v>
      </c>
    </row>
    <row r="407" spans="1:10" x14ac:dyDescent="0.25">
      <c r="A407" s="111">
        <v>404</v>
      </c>
      <c r="B407" s="112" t="s">
        <v>1171</v>
      </c>
      <c r="C407" s="113" t="s">
        <v>1172</v>
      </c>
      <c r="D407" s="113" t="s">
        <v>467</v>
      </c>
      <c r="E407" s="113" t="s">
        <v>25</v>
      </c>
      <c r="F407" s="114">
        <v>97.135481811662217</v>
      </c>
      <c r="G407" s="114">
        <v>103.00358181166222</v>
      </c>
      <c r="H407" s="114">
        <v>18.079999999999998</v>
      </c>
      <c r="I407" s="111">
        <v>191</v>
      </c>
      <c r="J407" s="113" t="s">
        <v>277</v>
      </c>
    </row>
    <row r="408" spans="1:10" x14ac:dyDescent="0.25">
      <c r="A408" s="111">
        <v>405</v>
      </c>
      <c r="B408" s="112" t="s">
        <v>430</v>
      </c>
      <c r="C408" s="113" t="s">
        <v>431</v>
      </c>
      <c r="D408" s="113" t="s">
        <v>467</v>
      </c>
      <c r="E408" s="113" t="s">
        <v>25</v>
      </c>
      <c r="F408" s="114">
        <v>74.758220751517797</v>
      </c>
      <c r="G408" s="114">
        <v>81.302620751517807</v>
      </c>
      <c r="H408" s="114">
        <v>17.05</v>
      </c>
      <c r="I408" s="111">
        <v>1912</v>
      </c>
      <c r="J408" s="113" t="s">
        <v>277</v>
      </c>
    </row>
    <row r="409" spans="1:10" x14ac:dyDescent="0.25">
      <c r="A409" s="111">
        <v>406</v>
      </c>
      <c r="B409" s="112" t="s">
        <v>1173</v>
      </c>
      <c r="C409" s="113" t="s">
        <v>1174</v>
      </c>
      <c r="D409" s="113" t="s">
        <v>467</v>
      </c>
      <c r="E409" s="113" t="s">
        <v>25</v>
      </c>
      <c r="F409" s="114">
        <v>94.461599365874051</v>
      </c>
      <c r="G409" s="114">
        <v>105.43379936587405</v>
      </c>
      <c r="H409" s="114">
        <v>18.27</v>
      </c>
      <c r="I409" s="111">
        <v>404</v>
      </c>
      <c r="J409" s="113" t="s">
        <v>277</v>
      </c>
    </row>
    <row r="410" spans="1:10" x14ac:dyDescent="0.25">
      <c r="A410" s="111">
        <v>407</v>
      </c>
      <c r="B410" s="112" t="s">
        <v>1175</v>
      </c>
      <c r="C410" s="113" t="s">
        <v>1176</v>
      </c>
      <c r="D410" s="113" t="s">
        <v>467</v>
      </c>
      <c r="E410" s="113" t="s">
        <v>25</v>
      </c>
      <c r="F410" s="114">
        <v>94.26553867542026</v>
      </c>
      <c r="G410" s="114">
        <v>104.75163867542027</v>
      </c>
      <c r="H410" s="114">
        <v>18.27</v>
      </c>
      <c r="I410" s="111">
        <v>418</v>
      </c>
      <c r="J410" s="113" t="s">
        <v>277</v>
      </c>
    </row>
    <row r="411" spans="1:10" x14ac:dyDescent="0.25">
      <c r="A411" s="111">
        <v>408</v>
      </c>
      <c r="B411" s="112" t="s">
        <v>2167</v>
      </c>
      <c r="C411" s="113" t="s">
        <v>2168</v>
      </c>
      <c r="D411" s="113" t="s">
        <v>467</v>
      </c>
      <c r="E411" s="113" t="s">
        <v>25</v>
      </c>
      <c r="F411" s="114">
        <v>96.514944118253382</v>
      </c>
      <c r="G411" s="114">
        <v>100.50804411825338</v>
      </c>
      <c r="H411" s="114">
        <v>18.010000000000002</v>
      </c>
      <c r="I411" s="111">
        <v>245</v>
      </c>
      <c r="J411" s="113" t="s">
        <v>277</v>
      </c>
    </row>
    <row r="412" spans="1:10" x14ac:dyDescent="0.25">
      <c r="A412" s="111">
        <v>409</v>
      </c>
      <c r="B412" s="112" t="s">
        <v>2193</v>
      </c>
      <c r="C412" s="113" t="s">
        <v>2194</v>
      </c>
      <c r="D412" s="113" t="s">
        <v>467</v>
      </c>
      <c r="E412" s="113" t="s">
        <v>25</v>
      </c>
      <c r="F412" s="114">
        <v>96.17606718603102</v>
      </c>
      <c r="G412" s="114">
        <v>99.162167186031027</v>
      </c>
      <c r="H412" s="114">
        <v>18.03</v>
      </c>
      <c r="I412" s="111">
        <v>274</v>
      </c>
      <c r="J412" s="113" t="s">
        <v>277</v>
      </c>
    </row>
    <row r="413" spans="1:10" x14ac:dyDescent="0.25">
      <c r="A413" s="111">
        <v>410</v>
      </c>
      <c r="B413" s="112" t="s">
        <v>1177</v>
      </c>
      <c r="C413" s="113" t="s">
        <v>1178</v>
      </c>
      <c r="D413" s="113" t="s">
        <v>467</v>
      </c>
      <c r="E413" s="113" t="s">
        <v>25</v>
      </c>
      <c r="F413" s="114">
        <v>98.971552610670344</v>
      </c>
      <c r="G413" s="114">
        <v>109.21465261067034</v>
      </c>
      <c r="H413" s="114">
        <v>17.84</v>
      </c>
      <c r="I413" s="111">
        <v>65</v>
      </c>
      <c r="J413" s="113" t="s">
        <v>277</v>
      </c>
    </row>
    <row r="414" spans="1:10" x14ac:dyDescent="0.25">
      <c r="A414" s="111">
        <v>411</v>
      </c>
      <c r="B414" s="112" t="s">
        <v>2065</v>
      </c>
      <c r="C414" s="113" t="s">
        <v>2066</v>
      </c>
      <c r="D414" s="113" t="s">
        <v>467</v>
      </c>
      <c r="E414" s="113" t="s">
        <v>25</v>
      </c>
      <c r="F414" s="114">
        <v>97.173825673704158</v>
      </c>
      <c r="G414" s="114">
        <v>103.14602567370416</v>
      </c>
      <c r="H414" s="114">
        <v>18.079999999999998</v>
      </c>
      <c r="I414" s="111">
        <v>188</v>
      </c>
      <c r="J414" s="113" t="s">
        <v>277</v>
      </c>
    </row>
    <row r="415" spans="1:10" x14ac:dyDescent="0.25">
      <c r="A415" s="111">
        <v>412</v>
      </c>
      <c r="B415" s="112" t="s">
        <v>2295</v>
      </c>
      <c r="C415" s="113" t="s">
        <v>2296</v>
      </c>
      <c r="D415" s="113" t="s">
        <v>467</v>
      </c>
      <c r="E415" s="113" t="s">
        <v>25</v>
      </c>
      <c r="F415" s="114">
        <v>95.688565338366999</v>
      </c>
      <c r="G415" s="114">
        <v>97.285765338367</v>
      </c>
      <c r="H415" s="114">
        <v>18.13</v>
      </c>
      <c r="I415" s="111">
        <v>314</v>
      </c>
      <c r="J415" s="113" t="s">
        <v>277</v>
      </c>
    </row>
    <row r="416" spans="1:10" x14ac:dyDescent="0.25">
      <c r="A416" s="111">
        <v>413</v>
      </c>
      <c r="B416" s="112" t="s">
        <v>2285</v>
      </c>
      <c r="C416" s="113" t="s">
        <v>2286</v>
      </c>
      <c r="D416" s="113" t="s">
        <v>467</v>
      </c>
      <c r="E416" s="113" t="s">
        <v>25</v>
      </c>
      <c r="F416" s="114">
        <v>95.763595642822224</v>
      </c>
      <c r="G416" s="114">
        <v>97.603895642822224</v>
      </c>
      <c r="H416" s="114">
        <v>18.12</v>
      </c>
      <c r="I416" s="111">
        <v>307</v>
      </c>
      <c r="J416" s="113" t="s">
        <v>277</v>
      </c>
    </row>
    <row r="417" spans="1:10" x14ac:dyDescent="0.25">
      <c r="A417" s="111">
        <v>414</v>
      </c>
      <c r="B417" s="112" t="s">
        <v>2345</v>
      </c>
      <c r="C417" s="113" t="s">
        <v>2346</v>
      </c>
      <c r="D417" s="113" t="s">
        <v>467</v>
      </c>
      <c r="E417" s="113" t="s">
        <v>25</v>
      </c>
      <c r="F417" s="114">
        <v>95.469263799571678</v>
      </c>
      <c r="G417" s="114">
        <v>96.337363799571676</v>
      </c>
      <c r="H417" s="114">
        <v>18.14</v>
      </c>
      <c r="I417" s="111">
        <v>335</v>
      </c>
      <c r="J417" s="113" t="s">
        <v>277</v>
      </c>
    </row>
    <row r="418" spans="1:10" x14ac:dyDescent="0.25">
      <c r="A418" s="111">
        <v>415</v>
      </c>
      <c r="B418" s="112" t="s">
        <v>415</v>
      </c>
      <c r="C418" s="113" t="s">
        <v>416</v>
      </c>
      <c r="D418" s="113" t="s">
        <v>467</v>
      </c>
      <c r="E418" s="113" t="s">
        <v>25</v>
      </c>
      <c r="F418" s="114">
        <v>96.43322758847016</v>
      </c>
      <c r="G418" s="114">
        <v>101.34152758847016</v>
      </c>
      <c r="H418" s="114">
        <v>17.37</v>
      </c>
      <c r="I418" s="111">
        <v>174</v>
      </c>
      <c r="J418" s="113" t="s">
        <v>277</v>
      </c>
    </row>
    <row r="419" spans="1:10" x14ac:dyDescent="0.25">
      <c r="A419" s="111">
        <v>416</v>
      </c>
      <c r="B419" s="112" t="s">
        <v>2108</v>
      </c>
      <c r="C419" s="113" t="s">
        <v>2109</v>
      </c>
      <c r="D419" s="113" t="s">
        <v>467</v>
      </c>
      <c r="E419" s="113" t="s">
        <v>25</v>
      </c>
      <c r="F419" s="114">
        <v>92.438057853297508</v>
      </c>
      <c r="G419" s="114">
        <v>98.167257853297514</v>
      </c>
      <c r="H419" s="114">
        <v>18.36</v>
      </c>
      <c r="I419" s="111">
        <v>555</v>
      </c>
      <c r="J419" s="113" t="s">
        <v>277</v>
      </c>
    </row>
    <row r="420" spans="1:10" x14ac:dyDescent="0.25">
      <c r="A420" s="111">
        <v>417</v>
      </c>
      <c r="B420" s="112" t="s">
        <v>2124</v>
      </c>
      <c r="C420" s="113" t="s">
        <v>2125</v>
      </c>
      <c r="D420" s="113" t="s">
        <v>467</v>
      </c>
      <c r="E420" s="113" t="s">
        <v>25</v>
      </c>
      <c r="F420" s="114">
        <v>92.146120896040529</v>
      </c>
      <c r="G420" s="114">
        <v>96.59052089604053</v>
      </c>
      <c r="H420" s="114">
        <v>18.27</v>
      </c>
      <c r="I420" s="111">
        <v>592</v>
      </c>
      <c r="J420" s="113" t="s">
        <v>277</v>
      </c>
    </row>
    <row r="421" spans="1:10" x14ac:dyDescent="0.25">
      <c r="A421" s="111">
        <v>418</v>
      </c>
      <c r="B421" s="112" t="s">
        <v>2195</v>
      </c>
      <c r="C421" s="113" t="s">
        <v>2196</v>
      </c>
      <c r="D421" s="113" t="s">
        <v>467</v>
      </c>
      <c r="E421" s="113" t="s">
        <v>25</v>
      </c>
      <c r="F421" s="114">
        <v>91.705802455628145</v>
      </c>
      <c r="G421" s="114">
        <v>94.691902455628139</v>
      </c>
      <c r="H421" s="114">
        <v>18.29</v>
      </c>
      <c r="I421" s="111">
        <v>634</v>
      </c>
      <c r="J421" s="113" t="s">
        <v>277</v>
      </c>
    </row>
    <row r="422" spans="1:10" x14ac:dyDescent="0.25">
      <c r="A422" s="111">
        <v>419</v>
      </c>
      <c r="B422" s="112" t="s">
        <v>1180</v>
      </c>
      <c r="C422" s="113" t="s">
        <v>1181</v>
      </c>
      <c r="D422" s="113" t="s">
        <v>467</v>
      </c>
      <c r="E422" s="113" t="s">
        <v>1179</v>
      </c>
      <c r="F422" s="114">
        <v>100</v>
      </c>
      <c r="G422" s="114">
        <v>100.0087</v>
      </c>
      <c r="H422" s="114">
        <v>0.35</v>
      </c>
      <c r="I422" s="111">
        <v>351</v>
      </c>
      <c r="J422" s="113" t="s">
        <v>277</v>
      </c>
    </row>
    <row r="423" spans="1:10" x14ac:dyDescent="0.25">
      <c r="A423" s="111">
        <v>420</v>
      </c>
      <c r="B423" s="112" t="s">
        <v>1182</v>
      </c>
      <c r="C423" s="113" t="s">
        <v>1183</v>
      </c>
      <c r="D423" s="113" t="s">
        <v>467</v>
      </c>
      <c r="E423" s="113" t="s">
        <v>1179</v>
      </c>
      <c r="F423" s="114">
        <v>100</v>
      </c>
      <c r="G423" s="114">
        <v>100.00069999999999</v>
      </c>
      <c r="H423" s="114">
        <v>0.02</v>
      </c>
      <c r="I423" s="111">
        <v>3122</v>
      </c>
      <c r="J423" s="113" t="s">
        <v>277</v>
      </c>
    </row>
    <row r="424" spans="1:10" x14ac:dyDescent="0.25">
      <c r="A424" s="111">
        <v>421</v>
      </c>
      <c r="B424" s="112" t="s">
        <v>1184</v>
      </c>
      <c r="C424" s="113" t="s">
        <v>1185</v>
      </c>
      <c r="D424" s="113" t="s">
        <v>467</v>
      </c>
      <c r="E424" s="113" t="s">
        <v>1179</v>
      </c>
      <c r="F424" s="114">
        <v>100</v>
      </c>
      <c r="G424" s="114">
        <v>104.2206</v>
      </c>
      <c r="H424" s="114">
        <v>7.05</v>
      </c>
      <c r="I424" s="111">
        <v>2219</v>
      </c>
      <c r="J424" s="113" t="s">
        <v>277</v>
      </c>
    </row>
    <row r="425" spans="1:10" x14ac:dyDescent="0.25">
      <c r="A425" s="111">
        <v>422</v>
      </c>
      <c r="B425" s="112" t="s">
        <v>1186</v>
      </c>
      <c r="C425" s="113" t="s">
        <v>1187</v>
      </c>
      <c r="D425" s="113" t="s">
        <v>467</v>
      </c>
      <c r="E425" s="113" t="s">
        <v>1179</v>
      </c>
      <c r="F425" s="114">
        <v>100</v>
      </c>
      <c r="G425" s="114">
        <v>100.5592</v>
      </c>
      <c r="H425" s="114">
        <v>6.09</v>
      </c>
      <c r="I425" s="111">
        <v>1737</v>
      </c>
      <c r="J425" s="113" t="s">
        <v>277</v>
      </c>
    </row>
    <row r="426" spans="1:10" x14ac:dyDescent="0.25">
      <c r="A426" s="111">
        <v>423</v>
      </c>
      <c r="B426" s="112" t="s">
        <v>1188</v>
      </c>
      <c r="C426" s="113" t="s">
        <v>1189</v>
      </c>
      <c r="D426" s="113" t="s">
        <v>467</v>
      </c>
      <c r="E426" s="113" t="s">
        <v>1179</v>
      </c>
      <c r="F426" s="114">
        <v>100</v>
      </c>
      <c r="G426" s="114">
        <v>105.3447</v>
      </c>
      <c r="H426" s="114">
        <v>7.08</v>
      </c>
      <c r="I426" s="111">
        <v>2219</v>
      </c>
      <c r="J426" s="113" t="s">
        <v>277</v>
      </c>
    </row>
    <row r="427" spans="1:10" x14ac:dyDescent="0.25">
      <c r="A427" s="111">
        <v>424</v>
      </c>
      <c r="B427" s="112" t="s">
        <v>1190</v>
      </c>
      <c r="C427" s="113" t="s">
        <v>1191</v>
      </c>
      <c r="D427" s="113" t="s">
        <v>467</v>
      </c>
      <c r="E427" s="113" t="s">
        <v>1179</v>
      </c>
      <c r="F427" s="114">
        <v>100</v>
      </c>
      <c r="G427" s="114">
        <v>105.8289</v>
      </c>
      <c r="H427" s="114">
        <v>6.09</v>
      </c>
      <c r="I427" s="111">
        <v>2146</v>
      </c>
      <c r="J427" s="113" t="s">
        <v>277</v>
      </c>
    </row>
    <row r="428" spans="1:10" x14ac:dyDescent="0.25">
      <c r="A428" s="111">
        <v>425</v>
      </c>
      <c r="B428" s="112" t="s">
        <v>1192</v>
      </c>
      <c r="C428" s="113" t="s">
        <v>1193</v>
      </c>
      <c r="D428" s="113" t="s">
        <v>467</v>
      </c>
      <c r="E428" s="113" t="s">
        <v>1179</v>
      </c>
      <c r="F428" s="114">
        <v>100</v>
      </c>
      <c r="G428" s="114">
        <v>104.6767</v>
      </c>
      <c r="H428" s="114">
        <v>6.08</v>
      </c>
      <c r="I428" s="111">
        <v>2574</v>
      </c>
      <c r="J428" s="113" t="s">
        <v>277</v>
      </c>
    </row>
    <row r="429" spans="1:10" x14ac:dyDescent="0.25">
      <c r="A429" s="111">
        <v>426</v>
      </c>
      <c r="B429" s="112" t="s">
        <v>1194</v>
      </c>
      <c r="C429" s="113" t="s">
        <v>1195</v>
      </c>
      <c r="D429" s="113" t="s">
        <v>467</v>
      </c>
      <c r="E429" s="113" t="s">
        <v>1179</v>
      </c>
      <c r="F429" s="114">
        <v>100</v>
      </c>
      <c r="G429" s="114">
        <v>104.6767</v>
      </c>
      <c r="H429" s="114">
        <v>6.08</v>
      </c>
      <c r="I429" s="111">
        <v>2574</v>
      </c>
      <c r="J429" s="113" t="s">
        <v>277</v>
      </c>
    </row>
    <row r="430" spans="1:10" x14ac:dyDescent="0.25">
      <c r="A430" s="111">
        <v>427</v>
      </c>
      <c r="B430" s="112" t="s">
        <v>1196</v>
      </c>
      <c r="C430" s="113" t="s">
        <v>1197</v>
      </c>
      <c r="D430" s="113" t="s">
        <v>467</v>
      </c>
      <c r="E430" s="113" t="s">
        <v>67</v>
      </c>
      <c r="F430" s="114">
        <v>97.950295013401231</v>
      </c>
      <c r="G430" s="114">
        <v>105.25999501340122</v>
      </c>
      <c r="H430" s="114">
        <v>18.68</v>
      </c>
      <c r="I430" s="111">
        <v>83</v>
      </c>
      <c r="J430" s="113" t="s">
        <v>277</v>
      </c>
    </row>
    <row r="431" spans="1:10" x14ac:dyDescent="0.25">
      <c r="A431" s="111">
        <v>428</v>
      </c>
      <c r="B431" s="112" t="s">
        <v>1198</v>
      </c>
      <c r="C431" s="113" t="s">
        <v>1199</v>
      </c>
      <c r="D431" s="113" t="s">
        <v>457</v>
      </c>
      <c r="E431" s="113" t="s">
        <v>1200</v>
      </c>
      <c r="F431" s="114">
        <v>0.01</v>
      </c>
      <c r="G431" s="114">
        <v>0.01</v>
      </c>
      <c r="H431" s="114">
        <v>0</v>
      </c>
      <c r="I431" s="111">
        <v>0</v>
      </c>
      <c r="J431" s="113" t="s">
        <v>246</v>
      </c>
    </row>
    <row r="432" spans="1:10" x14ac:dyDescent="0.25">
      <c r="A432" s="111">
        <v>429</v>
      </c>
      <c r="B432" s="112" t="s">
        <v>1201</v>
      </c>
      <c r="C432" s="113" t="s">
        <v>1202</v>
      </c>
      <c r="D432" s="113" t="s">
        <v>457</v>
      </c>
      <c r="E432" s="113" t="s">
        <v>1203</v>
      </c>
      <c r="F432" s="114">
        <v>71</v>
      </c>
      <c r="G432" s="114">
        <v>71</v>
      </c>
      <c r="H432" s="114">
        <v>0</v>
      </c>
      <c r="I432" s="111">
        <v>0</v>
      </c>
      <c r="J432" s="113" t="s">
        <v>246</v>
      </c>
    </row>
    <row r="433" spans="1:10" x14ac:dyDescent="0.25">
      <c r="A433" s="111">
        <v>430</v>
      </c>
      <c r="B433" s="112" t="s">
        <v>87</v>
      </c>
      <c r="C433" s="113" t="s">
        <v>88</v>
      </c>
      <c r="D433" s="113" t="s">
        <v>457</v>
      </c>
      <c r="E433" s="113" t="s">
        <v>89</v>
      </c>
      <c r="F433" s="114">
        <v>19896.189036284883</v>
      </c>
      <c r="G433" s="114">
        <v>19896.189036284883</v>
      </c>
      <c r="H433" s="114">
        <v>0</v>
      </c>
      <c r="I433" s="111">
        <v>0</v>
      </c>
      <c r="J433" s="113" t="s">
        <v>246</v>
      </c>
    </row>
    <row r="434" spans="1:10" x14ac:dyDescent="0.25">
      <c r="A434" s="111">
        <v>431</v>
      </c>
      <c r="B434" s="112" t="s">
        <v>1204</v>
      </c>
      <c r="C434" s="113" t="s">
        <v>1205</v>
      </c>
      <c r="D434" s="113" t="s">
        <v>467</v>
      </c>
      <c r="E434" s="113" t="s">
        <v>89</v>
      </c>
      <c r="F434" s="114">
        <v>99.897999999999996</v>
      </c>
      <c r="G434" s="114">
        <v>101.2043</v>
      </c>
      <c r="H434" s="114">
        <v>4.8099999999999996</v>
      </c>
      <c r="I434" s="111">
        <v>621</v>
      </c>
      <c r="J434" s="113" t="s">
        <v>277</v>
      </c>
    </row>
    <row r="435" spans="1:10" x14ac:dyDescent="0.25">
      <c r="A435" s="111">
        <v>432</v>
      </c>
      <c r="B435" s="112" t="s">
        <v>90</v>
      </c>
      <c r="C435" s="113" t="s">
        <v>91</v>
      </c>
      <c r="D435" s="113" t="s">
        <v>467</v>
      </c>
      <c r="E435" s="113" t="s">
        <v>89</v>
      </c>
      <c r="F435" s="114">
        <v>87.665000000000006</v>
      </c>
      <c r="G435" s="114">
        <v>89.246200000000002</v>
      </c>
      <c r="H435" s="114">
        <v>6.85</v>
      </c>
      <c r="I435" s="111">
        <v>7821</v>
      </c>
      <c r="J435" s="113" t="s">
        <v>277</v>
      </c>
    </row>
    <row r="436" spans="1:10" x14ac:dyDescent="0.25">
      <c r="A436" s="111">
        <v>433</v>
      </c>
      <c r="B436" s="112" t="s">
        <v>92</v>
      </c>
      <c r="C436" s="113" t="s">
        <v>93</v>
      </c>
      <c r="D436" s="113" t="s">
        <v>467</v>
      </c>
      <c r="E436" s="113" t="s">
        <v>89</v>
      </c>
      <c r="F436" s="114">
        <v>101.20399999999999</v>
      </c>
      <c r="G436" s="114">
        <v>102.6075</v>
      </c>
      <c r="H436" s="114">
        <v>5.08</v>
      </c>
      <c r="I436" s="111">
        <v>1706</v>
      </c>
      <c r="J436" s="113" t="s">
        <v>277</v>
      </c>
    </row>
    <row r="437" spans="1:10" x14ac:dyDescent="0.25">
      <c r="A437" s="111">
        <v>434</v>
      </c>
      <c r="B437" s="112" t="s">
        <v>94</v>
      </c>
      <c r="C437" s="113" t="s">
        <v>95</v>
      </c>
      <c r="D437" s="113" t="s">
        <v>467</v>
      </c>
      <c r="E437" s="113" t="s">
        <v>89</v>
      </c>
      <c r="F437" s="114">
        <v>93.507999999999996</v>
      </c>
      <c r="G437" s="114">
        <v>95.172600000000003</v>
      </c>
      <c r="H437" s="114">
        <v>6.94</v>
      </c>
      <c r="I437" s="111">
        <v>8366</v>
      </c>
      <c r="J437" s="113" t="s">
        <v>277</v>
      </c>
    </row>
    <row r="438" spans="1:10" x14ac:dyDescent="0.25">
      <c r="A438" s="111">
        <v>435</v>
      </c>
      <c r="B438" s="112" t="s">
        <v>96</v>
      </c>
      <c r="C438" s="113" t="s">
        <v>97</v>
      </c>
      <c r="D438" s="113" t="s">
        <v>467</v>
      </c>
      <c r="E438" s="113" t="s">
        <v>89</v>
      </c>
      <c r="F438" s="114">
        <v>87.188000000000002</v>
      </c>
      <c r="G438" s="114">
        <v>88.199100000000001</v>
      </c>
      <c r="H438" s="114">
        <v>5.57</v>
      </c>
      <c r="I438" s="111">
        <v>2776</v>
      </c>
      <c r="J438" s="113" t="s">
        <v>277</v>
      </c>
    </row>
    <row r="439" spans="1:10" x14ac:dyDescent="0.25">
      <c r="A439" s="111">
        <v>436</v>
      </c>
      <c r="B439" s="112" t="s">
        <v>1209</v>
      </c>
      <c r="C439" s="113" t="s">
        <v>1210</v>
      </c>
      <c r="D439" s="113" t="s">
        <v>467</v>
      </c>
      <c r="E439" s="113" t="s">
        <v>1211</v>
      </c>
      <c r="F439" s="114">
        <v>100</v>
      </c>
      <c r="G439" s="114">
        <v>101.9361</v>
      </c>
      <c r="H439" s="114">
        <v>4.24</v>
      </c>
      <c r="I439" s="111">
        <v>316</v>
      </c>
      <c r="J439" s="113" t="s">
        <v>277</v>
      </c>
    </row>
    <row r="440" spans="1:10" x14ac:dyDescent="0.25">
      <c r="A440" s="111">
        <v>437</v>
      </c>
      <c r="B440" s="112" t="s">
        <v>1212</v>
      </c>
      <c r="C440" s="113" t="s">
        <v>1213</v>
      </c>
      <c r="D440" s="113" t="s">
        <v>467</v>
      </c>
      <c r="E440" s="113" t="s">
        <v>1211</v>
      </c>
      <c r="F440" s="114">
        <v>100</v>
      </c>
      <c r="G440" s="114">
        <v>100.0574</v>
      </c>
      <c r="H440" s="114">
        <v>0.35</v>
      </c>
      <c r="I440" s="111">
        <v>121</v>
      </c>
      <c r="J440" s="113" t="s">
        <v>277</v>
      </c>
    </row>
    <row r="441" spans="1:10" x14ac:dyDescent="0.25">
      <c r="A441" s="111">
        <v>438</v>
      </c>
      <c r="B441" s="112" t="s">
        <v>1214</v>
      </c>
      <c r="C441" s="113" t="s">
        <v>1215</v>
      </c>
      <c r="D441" s="113" t="s">
        <v>467</v>
      </c>
      <c r="E441" s="113" t="s">
        <v>1211</v>
      </c>
      <c r="F441" s="114">
        <v>100</v>
      </c>
      <c r="G441" s="114">
        <v>100.0175</v>
      </c>
      <c r="H441" s="114">
        <v>0.35</v>
      </c>
      <c r="I441" s="111">
        <v>342</v>
      </c>
      <c r="J441" s="113" t="s">
        <v>277</v>
      </c>
    </row>
    <row r="442" spans="1:10" x14ac:dyDescent="0.25">
      <c r="A442" s="111">
        <v>439</v>
      </c>
      <c r="B442" s="112" t="s">
        <v>2206</v>
      </c>
      <c r="C442" s="113" t="s">
        <v>2207</v>
      </c>
      <c r="D442" s="113" t="s">
        <v>467</v>
      </c>
      <c r="E442" s="113" t="s">
        <v>1211</v>
      </c>
      <c r="F442" s="114">
        <v>100</v>
      </c>
      <c r="G442" s="114">
        <v>100.0719</v>
      </c>
      <c r="H442" s="114">
        <v>0.35</v>
      </c>
      <c r="I442" s="111">
        <v>646</v>
      </c>
      <c r="J442" s="113" t="s">
        <v>277</v>
      </c>
    </row>
    <row r="443" spans="1:10" x14ac:dyDescent="0.25">
      <c r="A443" s="111">
        <v>440</v>
      </c>
      <c r="B443" s="112" t="s">
        <v>2009</v>
      </c>
      <c r="C443" s="113" t="s">
        <v>2010</v>
      </c>
      <c r="D443" s="113" t="s">
        <v>467</v>
      </c>
      <c r="E443" s="113" t="s">
        <v>1211</v>
      </c>
      <c r="F443" s="114">
        <v>100</v>
      </c>
      <c r="G443" s="114">
        <v>100.0123</v>
      </c>
      <c r="H443" s="114">
        <v>0.02</v>
      </c>
      <c r="I443" s="111">
        <v>3122</v>
      </c>
      <c r="J443" s="113" t="s">
        <v>277</v>
      </c>
    </row>
    <row r="444" spans="1:10" x14ac:dyDescent="0.25">
      <c r="A444" s="111">
        <v>441</v>
      </c>
      <c r="B444" s="112" t="s">
        <v>1216</v>
      </c>
      <c r="C444" s="113" t="s">
        <v>1217</v>
      </c>
      <c r="D444" s="113" t="s">
        <v>467</v>
      </c>
      <c r="E444" s="113" t="s">
        <v>1211</v>
      </c>
      <c r="F444" s="114">
        <v>100</v>
      </c>
      <c r="G444" s="114">
        <v>100.0022</v>
      </c>
      <c r="H444" s="114">
        <v>0.02</v>
      </c>
      <c r="I444" s="111">
        <v>3122</v>
      </c>
      <c r="J444" s="113" t="s">
        <v>277</v>
      </c>
    </row>
    <row r="445" spans="1:10" x14ac:dyDescent="0.25">
      <c r="A445" s="111">
        <v>442</v>
      </c>
      <c r="B445" s="112" t="s">
        <v>1218</v>
      </c>
      <c r="C445" s="113" t="s">
        <v>1219</v>
      </c>
      <c r="D445" s="113" t="s">
        <v>467</v>
      </c>
      <c r="E445" s="113" t="s">
        <v>1211</v>
      </c>
      <c r="F445" s="114">
        <v>100</v>
      </c>
      <c r="G445" s="114">
        <v>100.5592</v>
      </c>
      <c r="H445" s="114">
        <v>6.09</v>
      </c>
      <c r="I445" s="111">
        <v>1737</v>
      </c>
      <c r="J445" s="113" t="s">
        <v>277</v>
      </c>
    </row>
    <row r="446" spans="1:10" x14ac:dyDescent="0.25">
      <c r="A446" s="111">
        <v>443</v>
      </c>
      <c r="B446" s="112" t="s">
        <v>1220</v>
      </c>
      <c r="C446" s="113" t="s">
        <v>1221</v>
      </c>
      <c r="D446" s="113" t="s">
        <v>467</v>
      </c>
      <c r="E446" s="113" t="s">
        <v>1211</v>
      </c>
      <c r="F446" s="114">
        <v>100</v>
      </c>
      <c r="G446" s="114">
        <v>105.8289</v>
      </c>
      <c r="H446" s="114">
        <v>6.09</v>
      </c>
      <c r="I446" s="111">
        <v>2146</v>
      </c>
      <c r="J446" s="113" t="s">
        <v>277</v>
      </c>
    </row>
    <row r="447" spans="1:10" x14ac:dyDescent="0.25">
      <c r="A447" s="111">
        <v>444</v>
      </c>
      <c r="B447" s="112" t="s">
        <v>1222</v>
      </c>
      <c r="C447" s="113" t="s">
        <v>1223</v>
      </c>
      <c r="D447" s="113" t="s">
        <v>467</v>
      </c>
      <c r="E447" s="113" t="s">
        <v>1211</v>
      </c>
      <c r="F447" s="114">
        <v>100</v>
      </c>
      <c r="G447" s="114">
        <v>104.6767</v>
      </c>
      <c r="H447" s="114">
        <v>6.08</v>
      </c>
      <c r="I447" s="111">
        <v>2574</v>
      </c>
      <c r="J447" s="113" t="s">
        <v>277</v>
      </c>
    </row>
    <row r="448" spans="1:10" x14ac:dyDescent="0.25">
      <c r="A448" s="111">
        <v>445</v>
      </c>
      <c r="B448" s="112" t="s">
        <v>1224</v>
      </c>
      <c r="C448" s="113" t="s">
        <v>1225</v>
      </c>
      <c r="D448" s="113" t="s">
        <v>467</v>
      </c>
      <c r="E448" s="113" t="s">
        <v>1211</v>
      </c>
      <c r="F448" s="114">
        <v>100</v>
      </c>
      <c r="G448" s="114">
        <v>104.6767</v>
      </c>
      <c r="H448" s="114">
        <v>6.08</v>
      </c>
      <c r="I448" s="111">
        <v>2574</v>
      </c>
      <c r="J448" s="113" t="s">
        <v>277</v>
      </c>
    </row>
    <row r="449" spans="1:10" x14ac:dyDescent="0.25">
      <c r="A449" s="111">
        <v>446</v>
      </c>
      <c r="B449" s="112" t="s">
        <v>1226</v>
      </c>
      <c r="C449" s="113" t="s">
        <v>1227</v>
      </c>
      <c r="D449" s="113" t="s">
        <v>467</v>
      </c>
      <c r="E449" s="113" t="s">
        <v>1211</v>
      </c>
      <c r="F449" s="114">
        <v>100</v>
      </c>
      <c r="G449" s="114">
        <v>103.5414</v>
      </c>
      <c r="H449" s="114">
        <v>6.08</v>
      </c>
      <c r="I449" s="111">
        <v>2641</v>
      </c>
      <c r="J449" s="113" t="s">
        <v>277</v>
      </c>
    </row>
    <row r="450" spans="1:10" x14ac:dyDescent="0.25">
      <c r="A450" s="111">
        <v>447</v>
      </c>
      <c r="B450" s="112" t="s">
        <v>1228</v>
      </c>
      <c r="C450" s="113" t="s">
        <v>1229</v>
      </c>
      <c r="D450" s="113" t="s">
        <v>457</v>
      </c>
      <c r="E450" s="113" t="s">
        <v>1230</v>
      </c>
      <c r="F450" s="114">
        <v>0.01</v>
      </c>
      <c r="G450" s="114">
        <v>0.01</v>
      </c>
      <c r="H450" s="114">
        <v>0</v>
      </c>
      <c r="I450" s="111">
        <v>0</v>
      </c>
      <c r="J450" s="113" t="s">
        <v>246</v>
      </c>
    </row>
    <row r="451" spans="1:10" x14ac:dyDescent="0.25">
      <c r="A451" s="111">
        <v>448</v>
      </c>
      <c r="B451" s="112" t="s">
        <v>1206</v>
      </c>
      <c r="C451" s="113" t="s">
        <v>1207</v>
      </c>
      <c r="D451" s="113" t="s">
        <v>457</v>
      </c>
      <c r="E451" s="113" t="s">
        <v>1208</v>
      </c>
      <c r="F451" s="114">
        <v>37566.599450000002</v>
      </c>
      <c r="G451" s="114">
        <v>37566.599450000002</v>
      </c>
      <c r="H451" s="114">
        <v>0</v>
      </c>
      <c r="I451" s="111">
        <v>0</v>
      </c>
      <c r="J451" s="113" t="s">
        <v>246</v>
      </c>
    </row>
    <row r="452" spans="1:10" x14ac:dyDescent="0.25">
      <c r="A452" s="111">
        <v>449</v>
      </c>
      <c r="B452" s="112" t="s">
        <v>1231</v>
      </c>
      <c r="C452" s="113" t="s">
        <v>1232</v>
      </c>
      <c r="D452" s="113" t="s">
        <v>467</v>
      </c>
      <c r="E452" s="113" t="s">
        <v>1233</v>
      </c>
      <c r="F452" s="114">
        <v>100</v>
      </c>
      <c r="G452" s="114">
        <v>100.8972</v>
      </c>
      <c r="H452" s="114">
        <v>4.2300000000000004</v>
      </c>
      <c r="I452" s="111">
        <v>404</v>
      </c>
      <c r="J452" s="113" t="s">
        <v>277</v>
      </c>
    </row>
    <row r="453" spans="1:10" x14ac:dyDescent="0.25">
      <c r="A453" s="111">
        <v>450</v>
      </c>
      <c r="B453" s="112" t="s">
        <v>1234</v>
      </c>
      <c r="C453" s="113" t="s">
        <v>1235</v>
      </c>
      <c r="D453" s="113" t="s">
        <v>467</v>
      </c>
      <c r="E453" s="113" t="s">
        <v>1233</v>
      </c>
      <c r="F453" s="114">
        <v>100</v>
      </c>
      <c r="G453" s="114">
        <v>100.0642</v>
      </c>
      <c r="H453" s="114">
        <v>0.35</v>
      </c>
      <c r="I453" s="111">
        <v>114</v>
      </c>
      <c r="J453" s="113" t="s">
        <v>277</v>
      </c>
    </row>
    <row r="454" spans="1:10" x14ac:dyDescent="0.25">
      <c r="A454" s="111">
        <v>451</v>
      </c>
      <c r="B454" s="112" t="s">
        <v>1236</v>
      </c>
      <c r="C454" s="113" t="s">
        <v>1237</v>
      </c>
      <c r="D454" s="113" t="s">
        <v>467</v>
      </c>
      <c r="E454" s="113" t="s">
        <v>1233</v>
      </c>
      <c r="F454" s="114">
        <v>100</v>
      </c>
      <c r="G454" s="114">
        <v>100.17010000000001</v>
      </c>
      <c r="H454" s="114">
        <v>0.35</v>
      </c>
      <c r="I454" s="111">
        <v>5</v>
      </c>
      <c r="J454" s="113" t="s">
        <v>277</v>
      </c>
    </row>
    <row r="455" spans="1:10" x14ac:dyDescent="0.25">
      <c r="A455" s="111">
        <v>452</v>
      </c>
      <c r="B455" s="112" t="s">
        <v>1238</v>
      </c>
      <c r="C455" s="113" t="s">
        <v>1239</v>
      </c>
      <c r="D455" s="113" t="s">
        <v>467</v>
      </c>
      <c r="E455" s="113" t="s">
        <v>1233</v>
      </c>
      <c r="F455" s="114">
        <v>100</v>
      </c>
      <c r="G455" s="114">
        <v>100.17310000000001</v>
      </c>
      <c r="H455" s="114">
        <v>0.35</v>
      </c>
      <c r="I455" s="111">
        <v>362</v>
      </c>
      <c r="J455" s="113" t="s">
        <v>277</v>
      </c>
    </row>
    <row r="456" spans="1:10" x14ac:dyDescent="0.25">
      <c r="A456" s="111">
        <v>453</v>
      </c>
      <c r="B456" s="112" t="s">
        <v>2172</v>
      </c>
      <c r="C456" s="113" t="s">
        <v>2173</v>
      </c>
      <c r="D456" s="113" t="s">
        <v>467</v>
      </c>
      <c r="E456" s="113" t="s">
        <v>1233</v>
      </c>
      <c r="F456" s="114">
        <v>100</v>
      </c>
      <c r="G456" s="114">
        <v>100.0972</v>
      </c>
      <c r="H456" s="114">
        <v>0.35</v>
      </c>
      <c r="I456" s="111">
        <v>620</v>
      </c>
      <c r="J456" s="113" t="s">
        <v>277</v>
      </c>
    </row>
    <row r="457" spans="1:10" x14ac:dyDescent="0.25">
      <c r="A457" s="111">
        <v>454</v>
      </c>
      <c r="B457" s="112" t="s">
        <v>1240</v>
      </c>
      <c r="C457" s="113" t="s">
        <v>1241</v>
      </c>
      <c r="D457" s="113" t="s">
        <v>467</v>
      </c>
      <c r="E457" s="113" t="s">
        <v>1233</v>
      </c>
      <c r="F457" s="114">
        <v>100</v>
      </c>
      <c r="G457" s="114">
        <v>100.0196</v>
      </c>
      <c r="H457" s="114">
        <v>0.02</v>
      </c>
      <c r="I457" s="111">
        <v>3122</v>
      </c>
      <c r="J457" s="113" t="s">
        <v>277</v>
      </c>
    </row>
    <row r="458" spans="1:10" x14ac:dyDescent="0.25">
      <c r="A458" s="111">
        <v>455</v>
      </c>
      <c r="B458" s="112" t="s">
        <v>1242</v>
      </c>
      <c r="C458" s="113" t="s">
        <v>1243</v>
      </c>
      <c r="D458" s="113" t="s">
        <v>467</v>
      </c>
      <c r="E458" s="113" t="s">
        <v>1233</v>
      </c>
      <c r="F458" s="114">
        <v>100</v>
      </c>
      <c r="G458" s="114">
        <v>100.0026</v>
      </c>
      <c r="H458" s="114">
        <v>0.02</v>
      </c>
      <c r="I458" s="111">
        <v>3122</v>
      </c>
      <c r="J458" s="113" t="s">
        <v>277</v>
      </c>
    </row>
    <row r="459" spans="1:10" x14ac:dyDescent="0.25">
      <c r="A459" s="111">
        <v>456</v>
      </c>
      <c r="B459" s="112" t="s">
        <v>1244</v>
      </c>
      <c r="C459" s="113" t="s">
        <v>1245</v>
      </c>
      <c r="D459" s="113" t="s">
        <v>467</v>
      </c>
      <c r="E459" s="113" t="s">
        <v>1233</v>
      </c>
      <c r="F459" s="114">
        <v>100</v>
      </c>
      <c r="G459" s="114">
        <v>100.5592</v>
      </c>
      <c r="H459" s="114">
        <v>6.09</v>
      </c>
      <c r="I459" s="111">
        <v>1737</v>
      </c>
      <c r="J459" s="113" t="s">
        <v>277</v>
      </c>
    </row>
    <row r="460" spans="1:10" x14ac:dyDescent="0.25">
      <c r="A460" s="111">
        <v>457</v>
      </c>
      <c r="B460" s="112" t="s">
        <v>1246</v>
      </c>
      <c r="C460" s="113" t="s">
        <v>1247</v>
      </c>
      <c r="D460" s="113" t="s">
        <v>467</v>
      </c>
      <c r="E460" s="113" t="s">
        <v>1233</v>
      </c>
      <c r="F460" s="114">
        <v>100</v>
      </c>
      <c r="G460" s="114">
        <v>105.3447</v>
      </c>
      <c r="H460" s="114">
        <v>7.08</v>
      </c>
      <c r="I460" s="111">
        <v>2219</v>
      </c>
      <c r="J460" s="113" t="s">
        <v>277</v>
      </c>
    </row>
    <row r="461" spans="1:10" x14ac:dyDescent="0.25">
      <c r="A461" s="111">
        <v>458</v>
      </c>
      <c r="B461" s="112" t="s">
        <v>2370</v>
      </c>
      <c r="C461" s="113" t="s">
        <v>2371</v>
      </c>
      <c r="D461" s="113" t="s">
        <v>467</v>
      </c>
      <c r="E461" s="113" t="s">
        <v>1233</v>
      </c>
      <c r="F461" s="114">
        <v>90.213418465044015</v>
      </c>
      <c r="G461" s="114">
        <v>90.719018465044016</v>
      </c>
      <c r="H461" s="114">
        <v>20.57</v>
      </c>
      <c r="I461" s="111">
        <v>3590</v>
      </c>
      <c r="J461" s="113" t="s">
        <v>277</v>
      </c>
    </row>
    <row r="462" spans="1:10" x14ac:dyDescent="0.25">
      <c r="A462" s="111">
        <v>459</v>
      </c>
      <c r="B462" s="112" t="s">
        <v>1248</v>
      </c>
      <c r="C462" s="113" t="s">
        <v>1249</v>
      </c>
      <c r="D462" s="113" t="s">
        <v>467</v>
      </c>
      <c r="E462" s="113" t="s">
        <v>1233</v>
      </c>
      <c r="F462" s="114">
        <v>100</v>
      </c>
      <c r="G462" s="114">
        <v>105.8289</v>
      </c>
      <c r="H462" s="114">
        <v>6.09</v>
      </c>
      <c r="I462" s="111">
        <v>2146</v>
      </c>
      <c r="J462" s="113" t="s">
        <v>277</v>
      </c>
    </row>
    <row r="463" spans="1:10" x14ac:dyDescent="0.25">
      <c r="A463" s="111">
        <v>460</v>
      </c>
      <c r="B463" s="112" t="s">
        <v>1250</v>
      </c>
      <c r="C463" s="113" t="s">
        <v>1251</v>
      </c>
      <c r="D463" s="113" t="s">
        <v>467</v>
      </c>
      <c r="E463" s="113" t="s">
        <v>1233</v>
      </c>
      <c r="F463" s="114">
        <v>100</v>
      </c>
      <c r="G463" s="114">
        <v>104.6767</v>
      </c>
      <c r="H463" s="114">
        <v>6.08</v>
      </c>
      <c r="I463" s="111">
        <v>2574</v>
      </c>
      <c r="J463" s="113" t="s">
        <v>277</v>
      </c>
    </row>
    <row r="464" spans="1:10" x14ac:dyDescent="0.25">
      <c r="A464" s="111">
        <v>461</v>
      </c>
      <c r="B464" s="112" t="s">
        <v>1252</v>
      </c>
      <c r="C464" s="113" t="s">
        <v>1253</v>
      </c>
      <c r="D464" s="113" t="s">
        <v>467</v>
      </c>
      <c r="E464" s="113" t="s">
        <v>1233</v>
      </c>
      <c r="F464" s="114">
        <v>100</v>
      </c>
      <c r="G464" s="114">
        <v>104.6767</v>
      </c>
      <c r="H464" s="114">
        <v>6.08</v>
      </c>
      <c r="I464" s="111">
        <v>2574</v>
      </c>
      <c r="J464" s="113" t="s">
        <v>277</v>
      </c>
    </row>
    <row r="465" spans="1:10" x14ac:dyDescent="0.25">
      <c r="A465" s="111">
        <v>462</v>
      </c>
      <c r="B465" s="112" t="s">
        <v>1254</v>
      </c>
      <c r="C465" s="113" t="s">
        <v>1255</v>
      </c>
      <c r="D465" s="113" t="s">
        <v>467</v>
      </c>
      <c r="E465" s="113" t="s">
        <v>1233</v>
      </c>
      <c r="F465" s="114">
        <v>100</v>
      </c>
      <c r="G465" s="114">
        <v>103.5414</v>
      </c>
      <c r="H465" s="114">
        <v>6.08</v>
      </c>
      <c r="I465" s="111">
        <v>2641</v>
      </c>
      <c r="J465" s="113" t="s">
        <v>277</v>
      </c>
    </row>
    <row r="466" spans="1:10" x14ac:dyDescent="0.25">
      <c r="A466" s="111">
        <v>463</v>
      </c>
      <c r="B466" s="112" t="s">
        <v>1256</v>
      </c>
      <c r="C466" s="113" t="s">
        <v>1257</v>
      </c>
      <c r="D466" s="113" t="s">
        <v>457</v>
      </c>
      <c r="E466" s="113" t="s">
        <v>1258</v>
      </c>
      <c r="F466" s="114">
        <v>0.01</v>
      </c>
      <c r="G466" s="114">
        <v>0.01</v>
      </c>
      <c r="H466" s="114">
        <v>0</v>
      </c>
      <c r="I466" s="111">
        <v>0</v>
      </c>
      <c r="J466" s="113" t="s">
        <v>246</v>
      </c>
    </row>
    <row r="467" spans="1:10" x14ac:dyDescent="0.25">
      <c r="A467" s="111">
        <v>464</v>
      </c>
      <c r="B467" s="112" t="s">
        <v>98</v>
      </c>
      <c r="C467" s="113" t="s">
        <v>99</v>
      </c>
      <c r="D467" s="113" t="s">
        <v>457</v>
      </c>
      <c r="E467" s="113" t="s">
        <v>100</v>
      </c>
      <c r="F467" s="114">
        <v>47643.096729252684</v>
      </c>
      <c r="G467" s="114">
        <v>47643.096729252684</v>
      </c>
      <c r="H467" s="114">
        <v>0</v>
      </c>
      <c r="I467" s="111">
        <v>0</v>
      </c>
      <c r="J467" s="113" t="s">
        <v>246</v>
      </c>
    </row>
    <row r="468" spans="1:10" x14ac:dyDescent="0.25">
      <c r="A468" s="111">
        <v>465</v>
      </c>
      <c r="B468" s="112" t="s">
        <v>101</v>
      </c>
      <c r="C468" s="113" t="s">
        <v>102</v>
      </c>
      <c r="D468" s="113" t="s">
        <v>534</v>
      </c>
      <c r="E468" s="113" t="s">
        <v>100</v>
      </c>
      <c r="F468" s="114">
        <v>47399.716573456215</v>
      </c>
      <c r="G468" s="114">
        <v>47399.716573456215</v>
      </c>
      <c r="H468" s="114">
        <v>0</v>
      </c>
      <c r="I468" s="111">
        <v>0</v>
      </c>
      <c r="J468" s="113" t="s">
        <v>246</v>
      </c>
    </row>
    <row r="469" spans="1:10" x14ac:dyDescent="0.25">
      <c r="A469" s="111">
        <v>466</v>
      </c>
      <c r="B469" s="112" t="s">
        <v>1259</v>
      </c>
      <c r="C469" s="113" t="s">
        <v>1260</v>
      </c>
      <c r="D469" s="113" t="s">
        <v>467</v>
      </c>
      <c r="E469" s="113" t="s">
        <v>1261</v>
      </c>
      <c r="F469" s="114">
        <v>95.827365564444619</v>
      </c>
      <c r="G469" s="114">
        <v>96.660665564444614</v>
      </c>
      <c r="H469" s="114">
        <v>19.05</v>
      </c>
      <c r="I469" s="111">
        <v>140</v>
      </c>
      <c r="J469" s="113" t="s">
        <v>277</v>
      </c>
    </row>
    <row r="470" spans="1:10" x14ac:dyDescent="0.25">
      <c r="A470" s="111">
        <v>467</v>
      </c>
      <c r="B470" s="112" t="s">
        <v>1262</v>
      </c>
      <c r="C470" s="113" t="s">
        <v>1263</v>
      </c>
      <c r="D470" s="113" t="s">
        <v>467</v>
      </c>
      <c r="E470" s="113" t="s">
        <v>1261</v>
      </c>
      <c r="F470" s="114">
        <v>98.08741660747998</v>
      </c>
      <c r="G470" s="114">
        <v>100.56661660747997</v>
      </c>
      <c r="H470" s="114">
        <v>19.260000000000002</v>
      </c>
      <c r="I470" s="111">
        <v>61</v>
      </c>
      <c r="J470" s="113" t="s">
        <v>277</v>
      </c>
    </row>
    <row r="471" spans="1:10" x14ac:dyDescent="0.25">
      <c r="A471" s="111">
        <v>468</v>
      </c>
      <c r="B471" s="112" t="s">
        <v>1264</v>
      </c>
      <c r="C471" s="113" t="s">
        <v>1265</v>
      </c>
      <c r="D471" s="113" t="s">
        <v>457</v>
      </c>
      <c r="E471" s="113" t="s">
        <v>1266</v>
      </c>
      <c r="F471" s="114">
        <v>254.86263600000004</v>
      </c>
      <c r="G471" s="114">
        <v>254.86263600000004</v>
      </c>
      <c r="H471" s="114">
        <v>0</v>
      </c>
      <c r="I471" s="111">
        <v>0</v>
      </c>
      <c r="J471" s="113" t="s">
        <v>246</v>
      </c>
    </row>
    <row r="472" spans="1:10" x14ac:dyDescent="0.25">
      <c r="A472" s="111">
        <v>469</v>
      </c>
      <c r="B472" s="112" t="s">
        <v>1289</v>
      </c>
      <c r="C472" s="113" t="s">
        <v>1290</v>
      </c>
      <c r="D472" s="113" t="s">
        <v>467</v>
      </c>
      <c r="E472" s="113" t="s">
        <v>397</v>
      </c>
      <c r="F472" s="114">
        <v>83.294011706265195</v>
      </c>
      <c r="G472" s="114">
        <v>84.752311706265203</v>
      </c>
      <c r="H472" s="114">
        <v>19.690000000000001</v>
      </c>
      <c r="I472" s="111">
        <v>2305</v>
      </c>
      <c r="J472" s="113" t="s">
        <v>277</v>
      </c>
    </row>
    <row r="473" spans="1:10" x14ac:dyDescent="0.25">
      <c r="A473" s="111">
        <v>470</v>
      </c>
      <c r="B473" s="112" t="s">
        <v>1291</v>
      </c>
      <c r="C473" s="113" t="s">
        <v>1292</v>
      </c>
      <c r="D473" s="113" t="s">
        <v>467</v>
      </c>
      <c r="E473" s="113" t="s">
        <v>397</v>
      </c>
      <c r="F473" s="114">
        <v>92.797516452205016</v>
      </c>
      <c r="G473" s="114">
        <v>94.197516452205008</v>
      </c>
      <c r="H473" s="114">
        <v>20.11</v>
      </c>
      <c r="I473" s="111">
        <v>504</v>
      </c>
      <c r="J473" s="113" t="s">
        <v>277</v>
      </c>
    </row>
    <row r="474" spans="1:10" x14ac:dyDescent="0.25">
      <c r="A474" s="111">
        <v>471</v>
      </c>
      <c r="B474" s="112" t="s">
        <v>1293</v>
      </c>
      <c r="C474" s="113" t="s">
        <v>1294</v>
      </c>
      <c r="D474" s="113" t="s">
        <v>457</v>
      </c>
      <c r="E474" s="113" t="s">
        <v>397</v>
      </c>
      <c r="F474" s="114">
        <v>0.01</v>
      </c>
      <c r="G474" s="114">
        <v>0.01</v>
      </c>
      <c r="H474" s="114">
        <v>0</v>
      </c>
      <c r="I474" s="111">
        <v>1051</v>
      </c>
      <c r="J474" s="113" t="s">
        <v>246</v>
      </c>
    </row>
    <row r="475" spans="1:10" x14ac:dyDescent="0.25">
      <c r="A475" s="111">
        <v>472</v>
      </c>
      <c r="B475" s="112" t="s">
        <v>1295</v>
      </c>
      <c r="C475" s="113" t="s">
        <v>1296</v>
      </c>
      <c r="D475" s="113" t="s">
        <v>467</v>
      </c>
      <c r="E475" s="113" t="s">
        <v>397</v>
      </c>
      <c r="F475" s="114">
        <v>59.29680002727892</v>
      </c>
      <c r="G475" s="114">
        <v>65.935700027278926</v>
      </c>
      <c r="H475" s="114">
        <v>20.54</v>
      </c>
      <c r="I475" s="111">
        <v>3001</v>
      </c>
      <c r="J475" s="113" t="s">
        <v>277</v>
      </c>
    </row>
    <row r="476" spans="1:10" x14ac:dyDescent="0.25">
      <c r="A476" s="111">
        <v>473</v>
      </c>
      <c r="B476" s="112" t="s">
        <v>103</v>
      </c>
      <c r="C476" s="113" t="s">
        <v>104</v>
      </c>
      <c r="D476" s="113" t="s">
        <v>457</v>
      </c>
      <c r="E476" s="113" t="s">
        <v>398</v>
      </c>
      <c r="F476" s="114">
        <v>23262.270359128765</v>
      </c>
      <c r="G476" s="114">
        <v>23262.270359128765</v>
      </c>
      <c r="H476" s="114">
        <v>0</v>
      </c>
      <c r="I476" s="111">
        <v>0</v>
      </c>
      <c r="J476" s="113" t="s">
        <v>246</v>
      </c>
    </row>
    <row r="477" spans="1:10" x14ac:dyDescent="0.25">
      <c r="A477" s="111">
        <v>474</v>
      </c>
      <c r="B477" s="112" t="s">
        <v>1297</v>
      </c>
      <c r="C477" s="113" t="s">
        <v>1298</v>
      </c>
      <c r="D477" s="113" t="s">
        <v>534</v>
      </c>
      <c r="E477" s="113" t="s">
        <v>398</v>
      </c>
      <c r="F477" s="114">
        <v>23651.326499999999</v>
      </c>
      <c r="G477" s="114">
        <v>23651.326499999999</v>
      </c>
      <c r="H477" s="114">
        <v>0</v>
      </c>
      <c r="I477" s="111">
        <v>0</v>
      </c>
      <c r="J477" s="113" t="s">
        <v>246</v>
      </c>
    </row>
    <row r="478" spans="1:10" x14ac:dyDescent="0.25">
      <c r="A478" s="111">
        <v>475</v>
      </c>
      <c r="B478" s="112" t="s">
        <v>1299</v>
      </c>
      <c r="C478" s="113" t="s">
        <v>1300</v>
      </c>
      <c r="D478" s="113" t="s">
        <v>457</v>
      </c>
      <c r="E478" s="113" t="s">
        <v>1301</v>
      </c>
      <c r="F478" s="114">
        <v>0.01</v>
      </c>
      <c r="G478" s="114">
        <v>0.01</v>
      </c>
      <c r="H478" s="114">
        <v>0</v>
      </c>
      <c r="I478" s="111">
        <v>0</v>
      </c>
      <c r="J478" s="113" t="s">
        <v>246</v>
      </c>
    </row>
    <row r="479" spans="1:10" x14ac:dyDescent="0.25">
      <c r="A479" s="111">
        <v>476</v>
      </c>
      <c r="B479" s="112" t="s">
        <v>1302</v>
      </c>
      <c r="C479" s="113" t="s">
        <v>1303</v>
      </c>
      <c r="D479" s="113" t="s">
        <v>457</v>
      </c>
      <c r="E479" s="113" t="s">
        <v>1304</v>
      </c>
      <c r="F479" s="114">
        <v>13473.57</v>
      </c>
      <c r="G479" s="114">
        <v>13473.57</v>
      </c>
      <c r="H479" s="114">
        <v>0</v>
      </c>
      <c r="I479" s="111">
        <v>0</v>
      </c>
      <c r="J479" s="113" t="s">
        <v>246</v>
      </c>
    </row>
    <row r="480" spans="1:10" x14ac:dyDescent="0.25">
      <c r="A480" s="111">
        <v>477</v>
      </c>
      <c r="B480" s="112" t="s">
        <v>1305</v>
      </c>
      <c r="C480" s="113" t="s">
        <v>1306</v>
      </c>
      <c r="D480" s="113" t="s">
        <v>467</v>
      </c>
      <c r="E480" s="113" t="s">
        <v>1304</v>
      </c>
      <c r="F480" s="114">
        <v>79.329980794044744</v>
      </c>
      <c r="G480" s="114">
        <v>83.607780794044743</v>
      </c>
      <c r="H480" s="114">
        <v>19.93</v>
      </c>
      <c r="I480" s="111">
        <v>2230</v>
      </c>
      <c r="J480" s="113" t="s">
        <v>277</v>
      </c>
    </row>
    <row r="481" spans="1:10" x14ac:dyDescent="0.25">
      <c r="A481" s="111">
        <v>478</v>
      </c>
      <c r="B481" s="112" t="s">
        <v>1307</v>
      </c>
      <c r="C481" s="113" t="s">
        <v>1308</v>
      </c>
      <c r="D481" s="113" t="s">
        <v>457</v>
      </c>
      <c r="E481" s="113" t="s">
        <v>832</v>
      </c>
      <c r="F481" s="114">
        <v>0.01</v>
      </c>
      <c r="G481" s="114">
        <v>0.01</v>
      </c>
      <c r="H481" s="114">
        <v>0</v>
      </c>
      <c r="I481" s="111">
        <v>0</v>
      </c>
      <c r="J481" s="113" t="s">
        <v>246</v>
      </c>
    </row>
    <row r="482" spans="1:10" x14ac:dyDescent="0.25">
      <c r="A482" s="111">
        <v>479</v>
      </c>
      <c r="B482" s="112" t="s">
        <v>1309</v>
      </c>
      <c r="C482" s="113" t="s">
        <v>1310</v>
      </c>
      <c r="D482" s="113" t="s">
        <v>467</v>
      </c>
      <c r="E482" s="113" t="s">
        <v>832</v>
      </c>
      <c r="F482" s="114">
        <v>86.679464529891149</v>
      </c>
      <c r="G482" s="114">
        <v>87.933664529891161</v>
      </c>
      <c r="H482" s="114">
        <v>17.559999999999999</v>
      </c>
      <c r="I482" s="111">
        <v>857</v>
      </c>
      <c r="J482" s="113" t="s">
        <v>277</v>
      </c>
    </row>
    <row r="483" spans="1:10" x14ac:dyDescent="0.25">
      <c r="A483" s="111">
        <v>480</v>
      </c>
      <c r="B483" s="112" t="s">
        <v>1311</v>
      </c>
      <c r="C483" s="113" t="s">
        <v>1312</v>
      </c>
      <c r="D483" s="113" t="s">
        <v>467</v>
      </c>
      <c r="E483" s="113" t="s">
        <v>832</v>
      </c>
      <c r="F483" s="114">
        <v>2.5036661388576489</v>
      </c>
      <c r="G483" s="114">
        <v>2.5139661388576489</v>
      </c>
      <c r="H483" s="114">
        <v>16.88</v>
      </c>
      <c r="I483" s="111">
        <v>8603</v>
      </c>
      <c r="J483" s="113" t="s">
        <v>277</v>
      </c>
    </row>
    <row r="484" spans="1:10" x14ac:dyDescent="0.25">
      <c r="A484" s="111">
        <v>481</v>
      </c>
      <c r="B484" s="112" t="s">
        <v>1313</v>
      </c>
      <c r="C484" s="113" t="s">
        <v>1314</v>
      </c>
      <c r="D484" s="113" t="s">
        <v>467</v>
      </c>
      <c r="E484" s="113" t="s">
        <v>832</v>
      </c>
      <c r="F484" s="114">
        <v>2.1806432817955606</v>
      </c>
      <c r="G484" s="114">
        <v>2.2034432817955603</v>
      </c>
      <c r="H484" s="114">
        <v>16.88</v>
      </c>
      <c r="I484" s="111">
        <v>9008</v>
      </c>
      <c r="J484" s="113" t="s">
        <v>277</v>
      </c>
    </row>
    <row r="485" spans="1:10" x14ac:dyDescent="0.25">
      <c r="A485" s="111">
        <v>482</v>
      </c>
      <c r="B485" s="112" t="s">
        <v>1315</v>
      </c>
      <c r="C485" s="113" t="s">
        <v>1316</v>
      </c>
      <c r="D485" s="113" t="s">
        <v>467</v>
      </c>
      <c r="E485" s="113" t="s">
        <v>832</v>
      </c>
      <c r="F485" s="114">
        <v>96.025864190778321</v>
      </c>
      <c r="G485" s="114">
        <v>100.41056419077832</v>
      </c>
      <c r="H485" s="114">
        <v>17.809999999999999</v>
      </c>
      <c r="I485" s="111">
        <v>206</v>
      </c>
      <c r="J485" s="113" t="s">
        <v>277</v>
      </c>
    </row>
    <row r="486" spans="1:10" x14ac:dyDescent="0.25">
      <c r="A486" s="111">
        <v>483</v>
      </c>
      <c r="B486" s="112" t="s">
        <v>1317</v>
      </c>
      <c r="C486" s="113" t="s">
        <v>1318</v>
      </c>
      <c r="D486" s="113" t="s">
        <v>467</v>
      </c>
      <c r="E486" s="113" t="s">
        <v>832</v>
      </c>
      <c r="F486" s="114">
        <v>1.4953138948288041</v>
      </c>
      <c r="G486" s="114">
        <v>1.5009138948288041</v>
      </c>
      <c r="H486" s="114">
        <v>16.87</v>
      </c>
      <c r="I486" s="111">
        <v>10240</v>
      </c>
      <c r="J486" s="113" t="s">
        <v>277</v>
      </c>
    </row>
    <row r="487" spans="1:10" x14ac:dyDescent="0.25">
      <c r="A487" s="111">
        <v>484</v>
      </c>
      <c r="B487" s="112" t="s">
        <v>1319</v>
      </c>
      <c r="C487" s="113" t="s">
        <v>1320</v>
      </c>
      <c r="D487" s="113" t="s">
        <v>467</v>
      </c>
      <c r="E487" s="113" t="s">
        <v>832</v>
      </c>
      <c r="F487" s="114">
        <v>2.0191167967454109</v>
      </c>
      <c r="G487" s="114">
        <v>2.0266167967454112</v>
      </c>
      <c r="H487" s="114">
        <v>16.88</v>
      </c>
      <c r="I487" s="111">
        <v>9243</v>
      </c>
      <c r="J487" s="113" t="s">
        <v>277</v>
      </c>
    </row>
    <row r="488" spans="1:10" x14ac:dyDescent="0.25">
      <c r="A488" s="111">
        <v>485</v>
      </c>
      <c r="B488" s="112" t="s">
        <v>1321</v>
      </c>
      <c r="C488" s="113" t="s">
        <v>1322</v>
      </c>
      <c r="D488" s="113" t="s">
        <v>467</v>
      </c>
      <c r="E488" s="113" t="s">
        <v>832</v>
      </c>
      <c r="F488" s="114">
        <v>51.711166472388506</v>
      </c>
      <c r="G488" s="114">
        <v>55.206066472388507</v>
      </c>
      <c r="H488" s="114">
        <v>18.440000000000001</v>
      </c>
      <c r="I488" s="111">
        <v>2671</v>
      </c>
      <c r="J488" s="113" t="s">
        <v>277</v>
      </c>
    </row>
    <row r="489" spans="1:10" x14ac:dyDescent="0.25">
      <c r="A489" s="111">
        <v>486</v>
      </c>
      <c r="B489" s="112" t="s">
        <v>1323</v>
      </c>
      <c r="C489" s="113" t="s">
        <v>1324</v>
      </c>
      <c r="D489" s="113" t="s">
        <v>467</v>
      </c>
      <c r="E489" s="113" t="s">
        <v>832</v>
      </c>
      <c r="F489" s="114">
        <v>71.015726872496899</v>
      </c>
      <c r="G489" s="114">
        <v>71.577326872496911</v>
      </c>
      <c r="H489" s="114">
        <v>17.86</v>
      </c>
      <c r="I489" s="111">
        <v>1777</v>
      </c>
      <c r="J489" s="113" t="s">
        <v>277</v>
      </c>
    </row>
    <row r="490" spans="1:10" x14ac:dyDescent="0.25">
      <c r="A490" s="111">
        <v>487</v>
      </c>
      <c r="B490" s="112" t="s">
        <v>1325</v>
      </c>
      <c r="C490" s="113" t="s">
        <v>1326</v>
      </c>
      <c r="D490" s="113" t="s">
        <v>467</v>
      </c>
      <c r="E490" s="113" t="s">
        <v>832</v>
      </c>
      <c r="F490" s="114">
        <v>1.8334582830325157</v>
      </c>
      <c r="G490" s="114">
        <v>1.8567582830325156</v>
      </c>
      <c r="H490" s="114">
        <v>16.88</v>
      </c>
      <c r="I490" s="111">
        <v>9546</v>
      </c>
      <c r="J490" s="113" t="s">
        <v>277</v>
      </c>
    </row>
    <row r="491" spans="1:10" x14ac:dyDescent="0.25">
      <c r="A491" s="111">
        <v>488</v>
      </c>
      <c r="B491" s="112" t="s">
        <v>1327</v>
      </c>
      <c r="C491" s="113" t="s">
        <v>1328</v>
      </c>
      <c r="D491" s="113" t="s">
        <v>467</v>
      </c>
      <c r="E491" s="113" t="s">
        <v>832</v>
      </c>
      <c r="F491" s="114">
        <v>59.263831333700772</v>
      </c>
      <c r="G491" s="114">
        <v>64.548331333700773</v>
      </c>
      <c r="H491" s="114">
        <v>18.52</v>
      </c>
      <c r="I491" s="111">
        <v>2249</v>
      </c>
      <c r="J491" s="113" t="s">
        <v>277</v>
      </c>
    </row>
    <row r="492" spans="1:10" x14ac:dyDescent="0.25">
      <c r="A492" s="111">
        <v>489</v>
      </c>
      <c r="B492" s="112" t="s">
        <v>1329</v>
      </c>
      <c r="C492" s="113" t="s">
        <v>1330</v>
      </c>
      <c r="D492" s="113" t="s">
        <v>457</v>
      </c>
      <c r="E492" s="113" t="s">
        <v>832</v>
      </c>
      <c r="F492" s="114">
        <v>1000</v>
      </c>
      <c r="G492" s="114">
        <v>1000</v>
      </c>
      <c r="H492" s="114">
        <v>0</v>
      </c>
      <c r="I492" s="111">
        <v>1774</v>
      </c>
      <c r="J492" s="113" t="s">
        <v>246</v>
      </c>
    </row>
    <row r="493" spans="1:10" x14ac:dyDescent="0.25">
      <c r="A493" s="111">
        <v>490</v>
      </c>
      <c r="B493" s="112" t="s">
        <v>1331</v>
      </c>
      <c r="C493" s="113" t="s">
        <v>1332</v>
      </c>
      <c r="D493" s="113" t="s">
        <v>467</v>
      </c>
      <c r="E493" s="113" t="s">
        <v>832</v>
      </c>
      <c r="F493" s="114">
        <v>35.345633862007233</v>
      </c>
      <c r="G493" s="114">
        <v>35.536933862007231</v>
      </c>
      <c r="H493" s="114">
        <v>17.510000000000002</v>
      </c>
      <c r="I493" s="111">
        <v>3943</v>
      </c>
      <c r="J493" s="113" t="s">
        <v>277</v>
      </c>
    </row>
    <row r="494" spans="1:10" x14ac:dyDescent="0.25">
      <c r="A494" s="111">
        <v>491</v>
      </c>
      <c r="B494" s="112" t="s">
        <v>2632</v>
      </c>
      <c r="C494" s="113" t="s">
        <v>2633</v>
      </c>
      <c r="D494" s="113" t="s">
        <v>467</v>
      </c>
      <c r="E494" s="113" t="s">
        <v>832</v>
      </c>
      <c r="F494" s="114">
        <v>97.991664419832546</v>
      </c>
      <c r="G494" s="114">
        <v>98.191664419832549</v>
      </c>
      <c r="H494" s="114">
        <v>18.649999999999999</v>
      </c>
      <c r="I494" s="111">
        <v>1796</v>
      </c>
      <c r="J494" s="113" t="s">
        <v>277</v>
      </c>
    </row>
    <row r="495" spans="1:10" x14ac:dyDescent="0.25">
      <c r="A495" s="111">
        <v>492</v>
      </c>
      <c r="B495" s="112" t="s">
        <v>2112</v>
      </c>
      <c r="C495" s="113" t="s">
        <v>2113</v>
      </c>
      <c r="D495" s="113" t="s">
        <v>467</v>
      </c>
      <c r="E495" s="113" t="s">
        <v>2114</v>
      </c>
      <c r="F495" s="114">
        <v>103.70017343139514</v>
      </c>
      <c r="G495" s="114">
        <v>111.70577343139514</v>
      </c>
      <c r="H495" s="114">
        <v>20.07</v>
      </c>
      <c r="I495" s="111">
        <v>949</v>
      </c>
      <c r="J495" s="113" t="s">
        <v>277</v>
      </c>
    </row>
    <row r="496" spans="1:10" x14ac:dyDescent="0.25">
      <c r="A496" s="111">
        <v>493</v>
      </c>
      <c r="B496" s="112" t="s">
        <v>1333</v>
      </c>
      <c r="C496" s="113" t="s">
        <v>1334</v>
      </c>
      <c r="D496" s="113" t="s">
        <v>467</v>
      </c>
      <c r="E496" s="113" t="s">
        <v>1335</v>
      </c>
      <c r="F496" s="114">
        <v>98.355000000000004</v>
      </c>
      <c r="G496" s="114">
        <v>99.837599999999995</v>
      </c>
      <c r="H496" s="114">
        <v>5.19</v>
      </c>
      <c r="I496" s="111">
        <v>778</v>
      </c>
      <c r="J496" s="113" t="s">
        <v>277</v>
      </c>
    </row>
    <row r="497" spans="1:10" x14ac:dyDescent="0.25">
      <c r="A497" s="111">
        <v>494</v>
      </c>
      <c r="B497" s="112" t="s">
        <v>105</v>
      </c>
      <c r="C497" s="113" t="s">
        <v>106</v>
      </c>
      <c r="D497" s="113" t="s">
        <v>457</v>
      </c>
      <c r="E497" s="113" t="s">
        <v>107</v>
      </c>
      <c r="F497" s="114">
        <v>40080.782695712413</v>
      </c>
      <c r="G497" s="114">
        <v>40080.782695712413</v>
      </c>
      <c r="H497" s="114">
        <v>0</v>
      </c>
      <c r="I497" s="111">
        <v>0</v>
      </c>
      <c r="J497" s="113" t="s">
        <v>246</v>
      </c>
    </row>
    <row r="498" spans="1:10" x14ac:dyDescent="0.25">
      <c r="A498" s="111">
        <v>495</v>
      </c>
      <c r="B498" s="112" t="s">
        <v>1336</v>
      </c>
      <c r="C498" s="113" t="s">
        <v>1337</v>
      </c>
      <c r="D498" s="113" t="s">
        <v>467</v>
      </c>
      <c r="E498" s="113" t="s">
        <v>107</v>
      </c>
      <c r="F498" s="114">
        <v>100</v>
      </c>
      <c r="G498" s="114">
        <v>101.2458</v>
      </c>
      <c r="H498" s="114">
        <v>11.47</v>
      </c>
      <c r="I498" s="111">
        <v>321</v>
      </c>
      <c r="J498" s="113" t="s">
        <v>277</v>
      </c>
    </row>
    <row r="499" spans="1:10" x14ac:dyDescent="0.25">
      <c r="A499" s="111">
        <v>496</v>
      </c>
      <c r="B499" s="112" t="s">
        <v>108</v>
      </c>
      <c r="C499" s="113" t="s">
        <v>109</v>
      </c>
      <c r="D499" s="113" t="s">
        <v>457</v>
      </c>
      <c r="E499" s="113" t="s">
        <v>107</v>
      </c>
      <c r="F499" s="114">
        <v>31694.490352080684</v>
      </c>
      <c r="G499" s="114">
        <v>31694.490352080684</v>
      </c>
      <c r="H499" s="114">
        <v>0</v>
      </c>
      <c r="I499" s="111">
        <v>0</v>
      </c>
      <c r="J499" s="113" t="s">
        <v>246</v>
      </c>
    </row>
    <row r="500" spans="1:10" x14ac:dyDescent="0.25">
      <c r="A500" s="111">
        <v>497</v>
      </c>
      <c r="B500" s="112" t="s">
        <v>110</v>
      </c>
      <c r="C500" s="113" t="s">
        <v>111</v>
      </c>
      <c r="D500" s="113" t="s">
        <v>457</v>
      </c>
      <c r="E500" s="113" t="s">
        <v>112</v>
      </c>
      <c r="F500" s="114">
        <v>807.84154190662036</v>
      </c>
      <c r="G500" s="114">
        <v>807.84154190662036</v>
      </c>
      <c r="H500" s="114">
        <v>0</v>
      </c>
      <c r="I500" s="111">
        <v>0</v>
      </c>
      <c r="J500" s="113" t="s">
        <v>246</v>
      </c>
    </row>
    <row r="501" spans="1:10" x14ac:dyDescent="0.25">
      <c r="A501" s="111">
        <v>498</v>
      </c>
      <c r="B501" s="112" t="s">
        <v>1338</v>
      </c>
      <c r="C501" s="113" t="s">
        <v>1339</v>
      </c>
      <c r="D501" s="113" t="s">
        <v>467</v>
      </c>
      <c r="E501" s="113" t="s">
        <v>1340</v>
      </c>
      <c r="F501" s="114">
        <v>92.569916549902999</v>
      </c>
      <c r="G501" s="114">
        <v>98.672016549903006</v>
      </c>
      <c r="H501" s="114">
        <v>25.18</v>
      </c>
      <c r="I501" s="111">
        <v>1159</v>
      </c>
      <c r="J501" s="113" t="s">
        <v>277</v>
      </c>
    </row>
    <row r="502" spans="1:10" x14ac:dyDescent="0.25">
      <c r="A502" s="111">
        <v>499</v>
      </c>
      <c r="B502" s="112" t="s">
        <v>1267</v>
      </c>
      <c r="C502" s="113" t="s">
        <v>1268</v>
      </c>
      <c r="D502" s="113" t="s">
        <v>467</v>
      </c>
      <c r="E502" s="113" t="s">
        <v>113</v>
      </c>
      <c r="F502" s="114">
        <v>88.228071728100602</v>
      </c>
      <c r="G502" s="114">
        <v>89.636371728100599</v>
      </c>
      <c r="H502" s="114">
        <v>5.91</v>
      </c>
      <c r="I502" s="111">
        <v>6916</v>
      </c>
      <c r="J502" s="113" t="s">
        <v>277</v>
      </c>
    </row>
    <row r="503" spans="1:10" x14ac:dyDescent="0.25">
      <c r="A503" s="111">
        <v>500</v>
      </c>
      <c r="B503" s="112" t="s">
        <v>1269</v>
      </c>
      <c r="C503" s="113" t="s">
        <v>1270</v>
      </c>
      <c r="D503" s="113" t="s">
        <v>467</v>
      </c>
      <c r="E503" s="113" t="s">
        <v>113</v>
      </c>
      <c r="F503" s="114">
        <v>97.833808854803564</v>
      </c>
      <c r="G503" s="114">
        <v>99.531108854803563</v>
      </c>
      <c r="H503" s="114">
        <v>3.08</v>
      </c>
      <c r="I503" s="111">
        <v>1200</v>
      </c>
      <c r="J503" s="113" t="s">
        <v>277</v>
      </c>
    </row>
    <row r="504" spans="1:10" x14ac:dyDescent="0.25">
      <c r="A504" s="111">
        <v>501</v>
      </c>
      <c r="B504" s="112" t="s">
        <v>1271</v>
      </c>
      <c r="C504" s="113" t="s">
        <v>1272</v>
      </c>
      <c r="D504" s="113" t="s">
        <v>467</v>
      </c>
      <c r="E504" s="113" t="s">
        <v>113</v>
      </c>
      <c r="F504" s="114">
        <v>97.387688532761615</v>
      </c>
      <c r="G504" s="114">
        <v>97.882088532761614</v>
      </c>
      <c r="H504" s="114">
        <v>2.89</v>
      </c>
      <c r="I504" s="111">
        <v>429</v>
      </c>
      <c r="J504" s="113" t="s">
        <v>277</v>
      </c>
    </row>
    <row r="505" spans="1:10" x14ac:dyDescent="0.25">
      <c r="A505" s="111">
        <v>502</v>
      </c>
      <c r="B505" s="112" t="s">
        <v>1273</v>
      </c>
      <c r="C505" s="113" t="s">
        <v>1274</v>
      </c>
      <c r="D505" s="113" t="s">
        <v>467</v>
      </c>
      <c r="E505" s="113" t="s">
        <v>113</v>
      </c>
      <c r="F505" s="114">
        <v>84.313952902837997</v>
      </c>
      <c r="G505" s="114">
        <v>86.664752902837989</v>
      </c>
      <c r="H505" s="114">
        <v>15.44</v>
      </c>
      <c r="I505" s="111">
        <v>779</v>
      </c>
      <c r="J505" s="113" t="s">
        <v>277</v>
      </c>
    </row>
    <row r="506" spans="1:10" x14ac:dyDescent="0.25">
      <c r="A506" s="111">
        <v>503</v>
      </c>
      <c r="B506" s="112" t="s">
        <v>1275</v>
      </c>
      <c r="C506" s="113" t="s">
        <v>1276</v>
      </c>
      <c r="D506" s="113" t="s">
        <v>467</v>
      </c>
      <c r="E506" s="113" t="s">
        <v>113</v>
      </c>
      <c r="F506" s="114">
        <v>70.454510287498223</v>
      </c>
      <c r="G506" s="114">
        <v>72.96681028749822</v>
      </c>
      <c r="H506" s="114">
        <v>15.57</v>
      </c>
      <c r="I506" s="111">
        <v>1871</v>
      </c>
      <c r="J506" s="113" t="s">
        <v>277</v>
      </c>
    </row>
    <row r="507" spans="1:10" x14ac:dyDescent="0.25">
      <c r="A507" s="111">
        <v>504</v>
      </c>
      <c r="B507" s="112" t="s">
        <v>1277</v>
      </c>
      <c r="C507" s="113" t="s">
        <v>1278</v>
      </c>
      <c r="D507" s="113" t="s">
        <v>467</v>
      </c>
      <c r="E507" s="113" t="s">
        <v>113</v>
      </c>
      <c r="F507" s="114">
        <v>93.322110576183888</v>
      </c>
      <c r="G507" s="114">
        <v>94.039410576183883</v>
      </c>
      <c r="H507" s="114">
        <v>15.68</v>
      </c>
      <c r="I507" s="111">
        <v>329</v>
      </c>
      <c r="J507" s="113" t="s">
        <v>277</v>
      </c>
    </row>
    <row r="508" spans="1:10" x14ac:dyDescent="0.25">
      <c r="A508" s="111">
        <v>505</v>
      </c>
      <c r="B508" s="112" t="s">
        <v>1279</v>
      </c>
      <c r="C508" s="113" t="s">
        <v>1280</v>
      </c>
      <c r="D508" s="113" t="s">
        <v>467</v>
      </c>
      <c r="E508" s="113" t="s">
        <v>113</v>
      </c>
      <c r="F508" s="114">
        <v>82.344956292788737</v>
      </c>
      <c r="G508" s="114">
        <v>83.082356292788745</v>
      </c>
      <c r="H508" s="114">
        <v>15.47</v>
      </c>
      <c r="I508" s="111">
        <v>1057</v>
      </c>
      <c r="J508" s="113" t="s">
        <v>277</v>
      </c>
    </row>
    <row r="509" spans="1:10" x14ac:dyDescent="0.25">
      <c r="A509" s="111">
        <v>506</v>
      </c>
      <c r="B509" s="112" t="s">
        <v>1281</v>
      </c>
      <c r="C509" s="113" t="s">
        <v>1282</v>
      </c>
      <c r="D509" s="113" t="s">
        <v>467</v>
      </c>
      <c r="E509" s="113" t="s">
        <v>113</v>
      </c>
      <c r="F509" s="114">
        <v>71.130974038009953</v>
      </c>
      <c r="G509" s="114">
        <v>71.890474038009955</v>
      </c>
      <c r="H509" s="114">
        <v>15.58</v>
      </c>
      <c r="I509" s="111">
        <v>2149</v>
      </c>
      <c r="J509" s="113" t="s">
        <v>277</v>
      </c>
    </row>
    <row r="510" spans="1:10" x14ac:dyDescent="0.25">
      <c r="A510" s="111">
        <v>507</v>
      </c>
      <c r="B510" s="112" t="s">
        <v>1283</v>
      </c>
      <c r="C510" s="113" t="s">
        <v>1284</v>
      </c>
      <c r="D510" s="113" t="s">
        <v>467</v>
      </c>
      <c r="E510" s="113" t="s">
        <v>113</v>
      </c>
      <c r="F510" s="114">
        <v>71.130974038009953</v>
      </c>
      <c r="G510" s="114">
        <v>71.890474038009955</v>
      </c>
      <c r="H510" s="114">
        <v>15.58</v>
      </c>
      <c r="I510" s="111">
        <v>2149</v>
      </c>
      <c r="J510" s="113" t="s">
        <v>277</v>
      </c>
    </row>
    <row r="511" spans="1:10" x14ac:dyDescent="0.25">
      <c r="A511" s="111">
        <v>508</v>
      </c>
      <c r="B511" s="112" t="s">
        <v>1285</v>
      </c>
      <c r="C511" s="113" t="s">
        <v>1286</v>
      </c>
      <c r="D511" s="113" t="s">
        <v>467</v>
      </c>
      <c r="E511" s="113" t="s">
        <v>113</v>
      </c>
      <c r="F511" s="114">
        <v>107.596</v>
      </c>
      <c r="G511" s="114">
        <v>107.72239999999999</v>
      </c>
      <c r="H511" s="114">
        <v>5.85</v>
      </c>
      <c r="I511" s="111">
        <v>7193</v>
      </c>
      <c r="J511" s="113" t="s">
        <v>277</v>
      </c>
    </row>
    <row r="512" spans="1:10" x14ac:dyDescent="0.25">
      <c r="A512" s="111">
        <v>509</v>
      </c>
      <c r="B512" s="112" t="s">
        <v>1287</v>
      </c>
      <c r="C512" s="113" t="s">
        <v>1288</v>
      </c>
      <c r="D512" s="113" t="s">
        <v>467</v>
      </c>
      <c r="E512" s="113" t="s">
        <v>113</v>
      </c>
      <c r="F512" s="114">
        <v>96.44</v>
      </c>
      <c r="G512" s="114">
        <v>97.8673</v>
      </c>
      <c r="H512" s="114">
        <v>5.18</v>
      </c>
      <c r="I512" s="111">
        <v>3491</v>
      </c>
      <c r="J512" s="113" t="s">
        <v>277</v>
      </c>
    </row>
    <row r="513" spans="1:10" x14ac:dyDescent="0.25">
      <c r="A513" s="111">
        <v>510</v>
      </c>
      <c r="B513" s="112" t="s">
        <v>2316</v>
      </c>
      <c r="C513" s="113" t="s">
        <v>2317</v>
      </c>
      <c r="D513" s="113" t="s">
        <v>467</v>
      </c>
      <c r="E513" s="113" t="s">
        <v>113</v>
      </c>
      <c r="F513" s="114">
        <v>100.02</v>
      </c>
      <c r="G513" s="114">
        <v>100.395</v>
      </c>
      <c r="H513" s="114">
        <v>5</v>
      </c>
      <c r="I513" s="111">
        <v>2493</v>
      </c>
      <c r="J513" s="113" t="s">
        <v>277</v>
      </c>
    </row>
    <row r="514" spans="1:10" x14ac:dyDescent="0.25">
      <c r="A514" s="111">
        <v>511</v>
      </c>
      <c r="B514" s="112" t="s">
        <v>2318</v>
      </c>
      <c r="C514" s="113" t="s">
        <v>2319</v>
      </c>
      <c r="D514" s="113" t="s">
        <v>467</v>
      </c>
      <c r="E514" s="113" t="s">
        <v>113</v>
      </c>
      <c r="F514" s="114">
        <v>100.099</v>
      </c>
      <c r="G514" s="114">
        <v>100.5115</v>
      </c>
      <c r="H514" s="114">
        <v>5.49</v>
      </c>
      <c r="I514" s="111">
        <v>4293</v>
      </c>
      <c r="J514" s="113" t="s">
        <v>277</v>
      </c>
    </row>
    <row r="515" spans="1:10" x14ac:dyDescent="0.25">
      <c r="A515" s="111">
        <v>512</v>
      </c>
      <c r="B515" s="112" t="s">
        <v>1341</v>
      </c>
      <c r="C515" s="113" t="s">
        <v>1342</v>
      </c>
      <c r="D515" s="113" t="s">
        <v>457</v>
      </c>
      <c r="E515" s="113" t="s">
        <v>1343</v>
      </c>
      <c r="F515" s="114">
        <v>0.01</v>
      </c>
      <c r="G515" s="114">
        <v>0.01</v>
      </c>
      <c r="H515" s="114">
        <v>0</v>
      </c>
      <c r="I515" s="111">
        <v>0</v>
      </c>
      <c r="J515" s="113" t="s">
        <v>246</v>
      </c>
    </row>
    <row r="516" spans="1:10" x14ac:dyDescent="0.25">
      <c r="A516" s="111">
        <v>513</v>
      </c>
      <c r="B516" s="112" t="s">
        <v>1344</v>
      </c>
      <c r="C516" s="113" t="s">
        <v>1345</v>
      </c>
      <c r="D516" s="113" t="s">
        <v>457</v>
      </c>
      <c r="E516" s="113" t="s">
        <v>1346</v>
      </c>
      <c r="F516" s="114">
        <v>0.01</v>
      </c>
      <c r="G516" s="114">
        <v>0.01</v>
      </c>
      <c r="H516" s="114">
        <v>0</v>
      </c>
      <c r="I516" s="111">
        <v>0</v>
      </c>
      <c r="J516" s="113" t="s">
        <v>246</v>
      </c>
    </row>
    <row r="517" spans="1:10" x14ac:dyDescent="0.25">
      <c r="A517" s="111">
        <v>514</v>
      </c>
      <c r="B517" s="112" t="s">
        <v>1347</v>
      </c>
      <c r="C517" s="113" t="s">
        <v>1348</v>
      </c>
      <c r="D517" s="113" t="s">
        <v>467</v>
      </c>
      <c r="E517" s="113" t="s">
        <v>1346</v>
      </c>
      <c r="F517" s="114">
        <v>100.52746175992598</v>
      </c>
      <c r="G517" s="114">
        <v>107.86076175992599</v>
      </c>
      <c r="H517" s="114">
        <v>21.66</v>
      </c>
      <c r="I517" s="111">
        <v>960</v>
      </c>
      <c r="J517" s="113" t="s">
        <v>277</v>
      </c>
    </row>
    <row r="518" spans="1:10" x14ac:dyDescent="0.25">
      <c r="A518" s="111">
        <v>515</v>
      </c>
      <c r="B518" s="112" t="s">
        <v>1349</v>
      </c>
      <c r="C518" s="113" t="s">
        <v>1350</v>
      </c>
      <c r="D518" s="113" t="s">
        <v>769</v>
      </c>
      <c r="E518" s="113" t="s">
        <v>2139</v>
      </c>
      <c r="F518" s="114">
        <v>59264.713750000003</v>
      </c>
      <c r="G518" s="114">
        <v>59264.713750000003</v>
      </c>
      <c r="H518" s="114">
        <v>0</v>
      </c>
      <c r="I518" s="111">
        <v>0</v>
      </c>
      <c r="J518" s="113" t="s">
        <v>246</v>
      </c>
    </row>
    <row r="519" spans="1:10" x14ac:dyDescent="0.25">
      <c r="A519" s="111">
        <v>516</v>
      </c>
      <c r="B519" s="112" t="s">
        <v>1351</v>
      </c>
      <c r="C519" s="113" t="s">
        <v>1352</v>
      </c>
      <c r="D519" s="113" t="s">
        <v>457</v>
      </c>
      <c r="E519" s="113" t="s">
        <v>1353</v>
      </c>
      <c r="F519" s="114">
        <v>1.81</v>
      </c>
      <c r="G519" s="114">
        <v>1.81</v>
      </c>
      <c r="H519" s="114">
        <v>0</v>
      </c>
      <c r="I519" s="111">
        <v>0</v>
      </c>
      <c r="J519" s="113" t="s">
        <v>246</v>
      </c>
    </row>
    <row r="520" spans="1:10" x14ac:dyDescent="0.25">
      <c r="A520" s="111">
        <v>517</v>
      </c>
      <c r="B520" s="112" t="s">
        <v>1354</v>
      </c>
      <c r="C520" s="113" t="s">
        <v>1355</v>
      </c>
      <c r="D520" s="113" t="s">
        <v>467</v>
      </c>
      <c r="E520" s="113" t="s">
        <v>1353</v>
      </c>
      <c r="F520" s="114">
        <v>99.833360954939053</v>
      </c>
      <c r="G520" s="114">
        <v>107.90866095493905</v>
      </c>
      <c r="H520" s="114">
        <v>10.48</v>
      </c>
      <c r="I520" s="111">
        <v>69</v>
      </c>
      <c r="J520" s="113" t="s">
        <v>277</v>
      </c>
    </row>
    <row r="521" spans="1:10" x14ac:dyDescent="0.25">
      <c r="A521" s="111">
        <v>518</v>
      </c>
      <c r="B521" s="112" t="s">
        <v>1361</v>
      </c>
      <c r="C521" s="113" t="s">
        <v>1362</v>
      </c>
      <c r="D521" s="113" t="s">
        <v>457</v>
      </c>
      <c r="E521" s="113" t="s">
        <v>1363</v>
      </c>
      <c r="F521" s="114">
        <v>7350</v>
      </c>
      <c r="G521" s="114">
        <v>7350</v>
      </c>
      <c r="H521" s="114">
        <v>0</v>
      </c>
      <c r="I521" s="111">
        <v>0</v>
      </c>
      <c r="J521" s="113" t="s">
        <v>246</v>
      </c>
    </row>
    <row r="522" spans="1:10" x14ac:dyDescent="0.25">
      <c r="A522" s="111">
        <v>519</v>
      </c>
      <c r="B522" s="112" t="s">
        <v>1359</v>
      </c>
      <c r="C522" s="113" t="s">
        <v>1360</v>
      </c>
      <c r="D522" s="113" t="s">
        <v>457</v>
      </c>
      <c r="E522" s="113" t="s">
        <v>2140</v>
      </c>
      <c r="F522" s="114">
        <v>309398.63309999998</v>
      </c>
      <c r="G522" s="114">
        <v>309398.63309999998</v>
      </c>
      <c r="H522" s="114">
        <v>0</v>
      </c>
      <c r="I522" s="111">
        <v>0</v>
      </c>
      <c r="J522" s="113" t="s">
        <v>246</v>
      </c>
    </row>
    <row r="523" spans="1:10" x14ac:dyDescent="0.25">
      <c r="A523" s="111">
        <v>520</v>
      </c>
      <c r="B523" s="112" t="s">
        <v>1364</v>
      </c>
      <c r="C523" s="113" t="s">
        <v>1365</v>
      </c>
      <c r="D523" s="113" t="s">
        <v>457</v>
      </c>
      <c r="E523" s="113" t="s">
        <v>2141</v>
      </c>
      <c r="F523" s="114">
        <v>390939.78655000002</v>
      </c>
      <c r="G523" s="114">
        <v>390939.78655000002</v>
      </c>
      <c r="H523" s="114">
        <v>0</v>
      </c>
      <c r="I523" s="111">
        <v>0</v>
      </c>
      <c r="J523" s="113" t="s">
        <v>246</v>
      </c>
    </row>
    <row r="524" spans="1:10" x14ac:dyDescent="0.25">
      <c r="A524" s="111">
        <v>521</v>
      </c>
      <c r="B524" s="112" t="s">
        <v>2142</v>
      </c>
      <c r="C524" s="113" t="s">
        <v>2143</v>
      </c>
      <c r="D524" s="113" t="s">
        <v>467</v>
      </c>
      <c r="E524" s="113" t="s">
        <v>2144</v>
      </c>
      <c r="F524" s="114">
        <v>95.971819069094053</v>
      </c>
      <c r="G524" s="114">
        <v>99.121819069094045</v>
      </c>
      <c r="H524" s="114">
        <v>22.01</v>
      </c>
      <c r="I524" s="111">
        <v>3456</v>
      </c>
      <c r="J524" s="113" t="s">
        <v>277</v>
      </c>
    </row>
    <row r="525" spans="1:10" x14ac:dyDescent="0.25">
      <c r="A525" s="111">
        <v>522</v>
      </c>
      <c r="B525" s="112" t="s">
        <v>1366</v>
      </c>
      <c r="C525" s="113" t="s">
        <v>1367</v>
      </c>
      <c r="D525" s="113" t="s">
        <v>467</v>
      </c>
      <c r="E525" s="113" t="s">
        <v>1368</v>
      </c>
      <c r="F525" s="114">
        <v>98.371760336781733</v>
      </c>
      <c r="G525" s="114">
        <v>101.01066033678174</v>
      </c>
      <c r="H525" s="114">
        <v>23.74</v>
      </c>
      <c r="I525" s="111">
        <v>130</v>
      </c>
      <c r="J525" s="113" t="s">
        <v>277</v>
      </c>
    </row>
    <row r="526" spans="1:10" x14ac:dyDescent="0.25">
      <c r="A526" s="111">
        <v>523</v>
      </c>
      <c r="B526" s="112" t="s">
        <v>1369</v>
      </c>
      <c r="C526" s="113" t="s">
        <v>1370</v>
      </c>
      <c r="D526" s="113" t="s">
        <v>467</v>
      </c>
      <c r="E526" s="113" t="s">
        <v>1371</v>
      </c>
      <c r="F526" s="114">
        <v>100.05173974620018</v>
      </c>
      <c r="G526" s="114">
        <v>102.06843974620018</v>
      </c>
      <c r="H526" s="114">
        <v>21.44</v>
      </c>
      <c r="I526" s="111">
        <v>57</v>
      </c>
      <c r="J526" s="113" t="s">
        <v>277</v>
      </c>
    </row>
    <row r="527" spans="1:10" x14ac:dyDescent="0.25">
      <c r="A527" s="111">
        <v>524</v>
      </c>
      <c r="B527" s="112" t="s">
        <v>1372</v>
      </c>
      <c r="C527" s="113" t="s">
        <v>1373</v>
      </c>
      <c r="D527" s="113" t="s">
        <v>467</v>
      </c>
      <c r="E527" s="113" t="s">
        <v>1371</v>
      </c>
      <c r="F527" s="114">
        <v>99.997803779936675</v>
      </c>
      <c r="G527" s="114">
        <v>100.89780377993667</v>
      </c>
      <c r="H527" s="114">
        <v>11.96</v>
      </c>
      <c r="I527" s="111">
        <v>63</v>
      </c>
      <c r="J527" s="113" t="s">
        <v>277</v>
      </c>
    </row>
    <row r="528" spans="1:10" x14ac:dyDescent="0.25">
      <c r="A528" s="111">
        <v>525</v>
      </c>
      <c r="B528" s="112" t="s">
        <v>2293</v>
      </c>
      <c r="C528" s="113" t="s">
        <v>2294</v>
      </c>
      <c r="D528" s="113" t="s">
        <v>467</v>
      </c>
      <c r="E528" s="113" t="s">
        <v>1371</v>
      </c>
      <c r="F528" s="114">
        <v>99.990200000000002</v>
      </c>
      <c r="G528" s="114">
        <v>101.0902</v>
      </c>
      <c r="H528" s="114">
        <v>12</v>
      </c>
      <c r="I528" s="111">
        <v>327</v>
      </c>
      <c r="J528" s="113" t="s">
        <v>277</v>
      </c>
    </row>
    <row r="529" spans="1:10" x14ac:dyDescent="0.25">
      <c r="A529" s="111">
        <v>526</v>
      </c>
      <c r="B529" s="112" t="s">
        <v>1375</v>
      </c>
      <c r="C529" s="113" t="s">
        <v>1376</v>
      </c>
      <c r="D529" s="113" t="s">
        <v>467</v>
      </c>
      <c r="E529" s="113" t="s">
        <v>1374</v>
      </c>
      <c r="F529" s="114">
        <v>99.688341357854171</v>
      </c>
      <c r="G529" s="114">
        <v>100.88834135785417</v>
      </c>
      <c r="H529" s="114">
        <v>25.49</v>
      </c>
      <c r="I529" s="111">
        <v>72</v>
      </c>
      <c r="J529" s="113" t="s">
        <v>277</v>
      </c>
    </row>
    <row r="530" spans="1:10" x14ac:dyDescent="0.25">
      <c r="A530" s="111">
        <v>527</v>
      </c>
      <c r="B530" s="112" t="s">
        <v>1377</v>
      </c>
      <c r="C530" s="113" t="s">
        <v>1378</v>
      </c>
      <c r="D530" s="113" t="s">
        <v>467</v>
      </c>
      <c r="E530" s="113" t="s">
        <v>1379</v>
      </c>
      <c r="F530" s="114">
        <v>100.03735497358581</v>
      </c>
      <c r="G530" s="114">
        <v>103.07065497358582</v>
      </c>
      <c r="H530" s="114">
        <v>20.92</v>
      </c>
      <c r="I530" s="111">
        <v>848</v>
      </c>
      <c r="J530" s="113" t="s">
        <v>277</v>
      </c>
    </row>
    <row r="531" spans="1:10" x14ac:dyDescent="0.25">
      <c r="A531" s="111">
        <v>528</v>
      </c>
      <c r="B531" s="112" t="s">
        <v>2331</v>
      </c>
      <c r="C531" s="113" t="s">
        <v>2332</v>
      </c>
      <c r="D531" s="113" t="s">
        <v>467</v>
      </c>
      <c r="E531" s="113" t="s">
        <v>1379</v>
      </c>
      <c r="F531" s="114">
        <v>101.32336417710356</v>
      </c>
      <c r="G531" s="114">
        <v>102.09976417710355</v>
      </c>
      <c r="H531" s="114">
        <v>20.420000000000002</v>
      </c>
      <c r="I531" s="111">
        <v>527</v>
      </c>
      <c r="J531" s="113" t="s">
        <v>277</v>
      </c>
    </row>
    <row r="532" spans="1:10" x14ac:dyDescent="0.25">
      <c r="A532" s="111">
        <v>529</v>
      </c>
      <c r="B532" s="112" t="s">
        <v>2333</v>
      </c>
      <c r="C532" s="113" t="s">
        <v>2334</v>
      </c>
      <c r="D532" s="113" t="s">
        <v>457</v>
      </c>
      <c r="E532" s="113" t="s">
        <v>1379</v>
      </c>
      <c r="F532" s="114">
        <v>1000</v>
      </c>
      <c r="G532" s="114">
        <v>1000</v>
      </c>
      <c r="H532" s="114">
        <v>0</v>
      </c>
      <c r="I532" s="111">
        <v>0</v>
      </c>
      <c r="J532" s="113" t="s">
        <v>246</v>
      </c>
    </row>
    <row r="533" spans="1:10" x14ac:dyDescent="0.25">
      <c r="A533" s="111">
        <v>530</v>
      </c>
      <c r="B533" s="112" t="s">
        <v>1380</v>
      </c>
      <c r="C533" s="113" t="s">
        <v>1381</v>
      </c>
      <c r="D533" s="113" t="s">
        <v>467</v>
      </c>
      <c r="E533" s="113" t="s">
        <v>1382</v>
      </c>
      <c r="F533" s="114">
        <v>98.273399999999995</v>
      </c>
      <c r="G533" s="114">
        <v>101.8317</v>
      </c>
      <c r="H533" s="114">
        <v>22.51</v>
      </c>
      <c r="I533" s="111">
        <v>479</v>
      </c>
      <c r="J533" s="113" t="s">
        <v>277</v>
      </c>
    </row>
    <row r="534" spans="1:10" x14ac:dyDescent="0.25">
      <c r="A534" s="111">
        <v>531</v>
      </c>
      <c r="B534" s="112" t="s">
        <v>1383</v>
      </c>
      <c r="C534" s="113" t="s">
        <v>1384</v>
      </c>
      <c r="D534" s="113" t="s">
        <v>467</v>
      </c>
      <c r="E534" s="113" t="s">
        <v>2115</v>
      </c>
      <c r="F534" s="114">
        <v>100</v>
      </c>
      <c r="G534" s="114">
        <v>104.58329999999999</v>
      </c>
      <c r="H534" s="114">
        <v>21.99</v>
      </c>
      <c r="I534" s="111">
        <v>645</v>
      </c>
      <c r="J534" s="113" t="s">
        <v>277</v>
      </c>
    </row>
    <row r="535" spans="1:10" x14ac:dyDescent="0.25">
      <c r="A535" s="111">
        <v>532</v>
      </c>
      <c r="B535" s="112" t="s">
        <v>1385</v>
      </c>
      <c r="C535" s="113" t="s">
        <v>1386</v>
      </c>
      <c r="D535" s="113" t="s">
        <v>467</v>
      </c>
      <c r="E535" s="113" t="s">
        <v>1387</v>
      </c>
      <c r="F535" s="114">
        <v>99.99118675721158</v>
      </c>
      <c r="G535" s="114">
        <v>100.28978675721157</v>
      </c>
      <c r="H535" s="114">
        <v>21.5</v>
      </c>
      <c r="I535" s="111">
        <v>175</v>
      </c>
      <c r="J535" s="113" t="s">
        <v>277</v>
      </c>
    </row>
    <row r="536" spans="1:10" x14ac:dyDescent="0.25">
      <c r="A536" s="111">
        <v>533</v>
      </c>
      <c r="B536" s="112" t="s">
        <v>1388</v>
      </c>
      <c r="C536" s="113" t="s">
        <v>1389</v>
      </c>
      <c r="D536" s="113" t="s">
        <v>467</v>
      </c>
      <c r="E536" s="113" t="s">
        <v>1387</v>
      </c>
      <c r="F536" s="114">
        <v>100.47928309682982</v>
      </c>
      <c r="G536" s="114">
        <v>100.75428309682982</v>
      </c>
      <c r="H536" s="114">
        <v>9.9499999999999993</v>
      </c>
      <c r="I536" s="111">
        <v>171</v>
      </c>
      <c r="J536" s="113" t="s">
        <v>277</v>
      </c>
    </row>
    <row r="537" spans="1:10" x14ac:dyDescent="0.25">
      <c r="A537" s="111">
        <v>534</v>
      </c>
      <c r="B537" s="112" t="s">
        <v>2303</v>
      </c>
      <c r="C537" s="113" t="s">
        <v>2304</v>
      </c>
      <c r="D537" s="113" t="s">
        <v>467</v>
      </c>
      <c r="E537" s="113" t="s">
        <v>1387</v>
      </c>
      <c r="F537" s="114">
        <v>98.4452</v>
      </c>
      <c r="G537" s="114">
        <v>98.561899999999994</v>
      </c>
      <c r="H537" s="114">
        <v>22</v>
      </c>
      <c r="I537" s="111">
        <v>688</v>
      </c>
      <c r="J537" s="113" t="s">
        <v>277</v>
      </c>
    </row>
    <row r="538" spans="1:10" x14ac:dyDescent="0.25">
      <c r="A538" s="111">
        <v>535</v>
      </c>
      <c r="B538" s="112" t="s">
        <v>1390</v>
      </c>
      <c r="C538" s="113" t="s">
        <v>1391</v>
      </c>
      <c r="D538" s="113" t="s">
        <v>467</v>
      </c>
      <c r="E538" s="113" t="s">
        <v>1392</v>
      </c>
      <c r="F538" s="114">
        <v>99.48145925245349</v>
      </c>
      <c r="G538" s="114">
        <v>103.69815925245349</v>
      </c>
      <c r="H538" s="114">
        <v>22.44</v>
      </c>
      <c r="I538" s="111">
        <v>471</v>
      </c>
      <c r="J538" s="113" t="s">
        <v>277</v>
      </c>
    </row>
    <row r="539" spans="1:10" x14ac:dyDescent="0.25">
      <c r="A539" s="111">
        <v>536</v>
      </c>
      <c r="B539" s="112" t="s">
        <v>1393</v>
      </c>
      <c r="C539" s="113" t="s">
        <v>1394</v>
      </c>
      <c r="D539" s="113" t="s">
        <v>467</v>
      </c>
      <c r="E539" s="113" t="s">
        <v>1395</v>
      </c>
      <c r="F539" s="114">
        <v>100.41097858480254</v>
      </c>
      <c r="G539" s="114">
        <v>106.34427858480254</v>
      </c>
      <c r="H539" s="114">
        <v>23.11</v>
      </c>
      <c r="I539" s="111">
        <v>181</v>
      </c>
      <c r="J539" s="113" t="s">
        <v>277</v>
      </c>
    </row>
    <row r="540" spans="1:10" x14ac:dyDescent="0.25">
      <c r="A540" s="111">
        <v>537</v>
      </c>
      <c r="B540" s="112" t="s">
        <v>1396</v>
      </c>
      <c r="C540" s="113" t="s">
        <v>1397</v>
      </c>
      <c r="D540" s="113" t="s">
        <v>467</v>
      </c>
      <c r="E540" s="113" t="s">
        <v>1395</v>
      </c>
      <c r="F540" s="114">
        <v>104.36064084898213</v>
      </c>
      <c r="G540" s="114">
        <v>104.48284084898214</v>
      </c>
      <c r="H540" s="114">
        <v>17.13</v>
      </c>
      <c r="I540" s="111">
        <v>358</v>
      </c>
      <c r="J540" s="113" t="s">
        <v>277</v>
      </c>
    </row>
    <row r="541" spans="1:10" x14ac:dyDescent="0.25">
      <c r="A541" s="111">
        <v>538</v>
      </c>
      <c r="B541" s="112" t="s">
        <v>2208</v>
      </c>
      <c r="C541" s="113" t="s">
        <v>2209</v>
      </c>
      <c r="D541" s="113" t="s">
        <v>467</v>
      </c>
      <c r="E541" s="113" t="s">
        <v>2200</v>
      </c>
      <c r="F541" s="114">
        <v>99.401792632219681</v>
      </c>
      <c r="G541" s="114">
        <v>103.41009263221969</v>
      </c>
      <c r="H541" s="114">
        <v>19.97</v>
      </c>
      <c r="I541" s="111">
        <v>286</v>
      </c>
      <c r="J541" s="113" t="s">
        <v>277</v>
      </c>
    </row>
    <row r="542" spans="1:10" x14ac:dyDescent="0.25">
      <c r="A542" s="111">
        <v>539</v>
      </c>
      <c r="B542" s="112" t="s">
        <v>2259</v>
      </c>
      <c r="C542" s="113" t="s">
        <v>2260</v>
      </c>
      <c r="D542" s="113" t="s">
        <v>467</v>
      </c>
      <c r="E542" s="113" t="s">
        <v>2200</v>
      </c>
      <c r="F542" s="114">
        <v>99.424736173516237</v>
      </c>
      <c r="G542" s="114">
        <v>102.62053617351624</v>
      </c>
      <c r="H542" s="114">
        <v>19.98</v>
      </c>
      <c r="I542" s="111">
        <v>301</v>
      </c>
      <c r="J542" s="113" t="s">
        <v>277</v>
      </c>
    </row>
    <row r="543" spans="1:10" x14ac:dyDescent="0.25">
      <c r="A543" s="111">
        <v>540</v>
      </c>
      <c r="B543" s="112" t="s">
        <v>2261</v>
      </c>
      <c r="C543" s="113" t="s">
        <v>2262</v>
      </c>
      <c r="D543" s="113" t="s">
        <v>467</v>
      </c>
      <c r="E543" s="113" t="s">
        <v>2200</v>
      </c>
      <c r="F543" s="114">
        <v>99.426475875108224</v>
      </c>
      <c r="G543" s="114">
        <v>102.56817587510822</v>
      </c>
      <c r="H543" s="114">
        <v>19.98</v>
      </c>
      <c r="I543" s="111">
        <v>302</v>
      </c>
      <c r="J543" s="113" t="s">
        <v>277</v>
      </c>
    </row>
    <row r="544" spans="1:10" x14ac:dyDescent="0.25">
      <c r="A544" s="111">
        <v>541</v>
      </c>
      <c r="B544" s="112" t="s">
        <v>1398</v>
      </c>
      <c r="C544" s="113" t="s">
        <v>1399</v>
      </c>
      <c r="D544" s="113" t="s">
        <v>467</v>
      </c>
      <c r="E544" s="113" t="s">
        <v>2203</v>
      </c>
      <c r="F544" s="114">
        <v>99.633395477026127</v>
      </c>
      <c r="G544" s="114">
        <v>99.911195477026126</v>
      </c>
      <c r="H544" s="114">
        <v>20.190000000000001</v>
      </c>
      <c r="I544" s="111">
        <v>895</v>
      </c>
      <c r="J544" s="113" t="s">
        <v>277</v>
      </c>
    </row>
    <row r="545" spans="1:10" x14ac:dyDescent="0.25">
      <c r="A545" s="111">
        <v>542</v>
      </c>
      <c r="B545" s="112" t="s">
        <v>1400</v>
      </c>
      <c r="C545" s="113" t="s">
        <v>1401</v>
      </c>
      <c r="D545" s="113" t="s">
        <v>467</v>
      </c>
      <c r="E545" s="113" t="s">
        <v>2203</v>
      </c>
      <c r="F545" s="114">
        <v>99.6</v>
      </c>
      <c r="G545" s="114">
        <v>101.7111</v>
      </c>
      <c r="H545" s="114">
        <v>20.16</v>
      </c>
      <c r="I545" s="111">
        <v>1132</v>
      </c>
      <c r="J545" s="113" t="s">
        <v>277</v>
      </c>
    </row>
    <row r="546" spans="1:10" x14ac:dyDescent="0.25">
      <c r="A546" s="111">
        <v>543</v>
      </c>
      <c r="B546" s="112" t="s">
        <v>1402</v>
      </c>
      <c r="C546" s="113" t="s">
        <v>1403</v>
      </c>
      <c r="D546" s="113" t="s">
        <v>467</v>
      </c>
      <c r="E546" s="113" t="s">
        <v>1404</v>
      </c>
      <c r="F546" s="114">
        <v>100.50630660177065</v>
      </c>
      <c r="G546" s="114">
        <v>101.17850660177065</v>
      </c>
      <c r="H546" s="114">
        <v>21.14</v>
      </c>
      <c r="I546" s="111">
        <v>229</v>
      </c>
      <c r="J546" s="113" t="s">
        <v>277</v>
      </c>
    </row>
    <row r="547" spans="1:10" x14ac:dyDescent="0.25">
      <c r="A547" s="111">
        <v>544</v>
      </c>
      <c r="B547" s="112" t="s">
        <v>2158</v>
      </c>
      <c r="C547" s="113" t="s">
        <v>2159</v>
      </c>
      <c r="D547" s="113" t="s">
        <v>467</v>
      </c>
      <c r="E547" s="113" t="s">
        <v>1404</v>
      </c>
      <c r="F547" s="114">
        <v>99.210589467752044</v>
      </c>
      <c r="G547" s="114">
        <v>106.23838946775204</v>
      </c>
      <c r="H547" s="114">
        <v>22.49</v>
      </c>
      <c r="I547" s="111">
        <v>605</v>
      </c>
      <c r="J547" s="113" t="s">
        <v>277</v>
      </c>
    </row>
    <row r="548" spans="1:10" x14ac:dyDescent="0.25">
      <c r="A548" s="111">
        <v>545</v>
      </c>
      <c r="B548" s="112" t="s">
        <v>2263</v>
      </c>
      <c r="C548" s="113" t="s">
        <v>2264</v>
      </c>
      <c r="D548" s="113" t="s">
        <v>467</v>
      </c>
      <c r="E548" s="113" t="s">
        <v>1404</v>
      </c>
      <c r="F548" s="114">
        <v>101.28601580453271</v>
      </c>
      <c r="G548" s="114">
        <v>102.88321580453271</v>
      </c>
      <c r="H548" s="114">
        <v>21.32</v>
      </c>
      <c r="I548" s="111">
        <v>305</v>
      </c>
      <c r="J548" s="113" t="s">
        <v>277</v>
      </c>
    </row>
    <row r="549" spans="1:10" x14ac:dyDescent="0.25">
      <c r="A549" s="111">
        <v>546</v>
      </c>
      <c r="B549" s="112" t="s">
        <v>2197</v>
      </c>
      <c r="C549" s="113" t="s">
        <v>2198</v>
      </c>
      <c r="D549" s="113" t="s">
        <v>467</v>
      </c>
      <c r="E549" s="113" t="s">
        <v>1404</v>
      </c>
      <c r="F549" s="114">
        <v>101.26059872851897</v>
      </c>
      <c r="G549" s="114">
        <v>102.28279872851897</v>
      </c>
      <c r="H549" s="114">
        <v>21.24</v>
      </c>
      <c r="I549" s="111">
        <v>284</v>
      </c>
      <c r="J549" s="113" t="s">
        <v>277</v>
      </c>
    </row>
    <row r="550" spans="1:10" x14ac:dyDescent="0.25">
      <c r="A550" s="111">
        <v>547</v>
      </c>
      <c r="B550" s="112" t="s">
        <v>1405</v>
      </c>
      <c r="C550" s="113" t="s">
        <v>1406</v>
      </c>
      <c r="D550" s="113" t="s">
        <v>467</v>
      </c>
      <c r="E550" s="113" t="s">
        <v>1404</v>
      </c>
      <c r="F550" s="114">
        <v>99.795672081700218</v>
      </c>
      <c r="G550" s="114">
        <v>100.74007208170022</v>
      </c>
      <c r="H550" s="114">
        <v>21.02</v>
      </c>
      <c r="I550" s="111">
        <v>73</v>
      </c>
      <c r="J550" s="113" t="s">
        <v>277</v>
      </c>
    </row>
    <row r="551" spans="1:10" x14ac:dyDescent="0.25">
      <c r="A551" s="111">
        <v>548</v>
      </c>
      <c r="B551" s="112" t="s">
        <v>1407</v>
      </c>
      <c r="C551" s="113" t="s">
        <v>1408</v>
      </c>
      <c r="D551" s="113" t="s">
        <v>467</v>
      </c>
      <c r="E551" s="113" t="s">
        <v>1404</v>
      </c>
      <c r="F551" s="114">
        <v>99.702199593704549</v>
      </c>
      <c r="G551" s="114">
        <v>101.25779959370455</v>
      </c>
      <c r="H551" s="114">
        <v>21.2</v>
      </c>
      <c r="I551" s="111">
        <v>92</v>
      </c>
      <c r="J551" s="113" t="s">
        <v>277</v>
      </c>
    </row>
    <row r="552" spans="1:10" x14ac:dyDescent="0.25">
      <c r="A552" s="111">
        <v>549</v>
      </c>
      <c r="B552" s="112" t="s">
        <v>1409</v>
      </c>
      <c r="C552" s="113" t="s">
        <v>1410</v>
      </c>
      <c r="D552" s="113" t="s">
        <v>467</v>
      </c>
      <c r="E552" s="113" t="s">
        <v>1404</v>
      </c>
      <c r="F552" s="114">
        <v>99.118377890933218</v>
      </c>
      <c r="G552" s="114">
        <v>103.34057789093322</v>
      </c>
      <c r="H552" s="114">
        <v>21.74</v>
      </c>
      <c r="I552" s="111">
        <v>194</v>
      </c>
      <c r="J552" s="113" t="s">
        <v>277</v>
      </c>
    </row>
    <row r="553" spans="1:10" x14ac:dyDescent="0.25">
      <c r="A553" s="111">
        <v>550</v>
      </c>
      <c r="B553" s="112" t="s">
        <v>1411</v>
      </c>
      <c r="C553" s="113" t="s">
        <v>1412</v>
      </c>
      <c r="D553" s="113" t="s">
        <v>467</v>
      </c>
      <c r="E553" s="113" t="s">
        <v>1404</v>
      </c>
      <c r="F553" s="114">
        <v>99.499414606425248</v>
      </c>
      <c r="G553" s="114">
        <v>102.88831460642524</v>
      </c>
      <c r="H553" s="114">
        <v>21.52</v>
      </c>
      <c r="I553" s="111">
        <v>119</v>
      </c>
      <c r="J553" s="113" t="s">
        <v>277</v>
      </c>
    </row>
    <row r="554" spans="1:10" x14ac:dyDescent="0.25">
      <c r="A554" s="111">
        <v>551</v>
      </c>
      <c r="B554" s="112" t="s">
        <v>1413</v>
      </c>
      <c r="C554" s="113" t="s">
        <v>1414</v>
      </c>
      <c r="D554" s="113" t="s">
        <v>467</v>
      </c>
      <c r="E554" s="113" t="s">
        <v>1404</v>
      </c>
      <c r="F554" s="114">
        <v>99.463940287316674</v>
      </c>
      <c r="G554" s="114">
        <v>102.35284028731668</v>
      </c>
      <c r="H554" s="114">
        <v>21.51</v>
      </c>
      <c r="I554" s="111">
        <v>128</v>
      </c>
      <c r="J554" s="113" t="s">
        <v>277</v>
      </c>
    </row>
    <row r="555" spans="1:10" x14ac:dyDescent="0.25">
      <c r="A555" s="111">
        <v>552</v>
      </c>
      <c r="B555" s="112" t="s">
        <v>2036</v>
      </c>
      <c r="C555" s="113" t="s">
        <v>2037</v>
      </c>
      <c r="D555" s="113" t="s">
        <v>467</v>
      </c>
      <c r="E555" s="113" t="s">
        <v>1404</v>
      </c>
      <c r="F555" s="114">
        <v>97.620287556902269</v>
      </c>
      <c r="G555" s="114">
        <v>97.898087556902269</v>
      </c>
      <c r="H555" s="114">
        <v>21.91</v>
      </c>
      <c r="I555" s="111">
        <v>535</v>
      </c>
      <c r="J555" s="113" t="s">
        <v>277</v>
      </c>
    </row>
    <row r="556" spans="1:10" x14ac:dyDescent="0.25">
      <c r="A556" s="111">
        <v>553</v>
      </c>
      <c r="B556" s="112" t="s">
        <v>2074</v>
      </c>
      <c r="C556" s="113" t="s">
        <v>2075</v>
      </c>
      <c r="D556" s="113" t="s">
        <v>467</v>
      </c>
      <c r="E556" s="113" t="s">
        <v>1404</v>
      </c>
      <c r="F556" s="114">
        <v>97.351500000000001</v>
      </c>
      <c r="G556" s="114">
        <v>100.7959</v>
      </c>
      <c r="H556" s="114">
        <v>22.01</v>
      </c>
      <c r="I556" s="111">
        <v>568</v>
      </c>
      <c r="J556" s="113" t="s">
        <v>277</v>
      </c>
    </row>
    <row r="557" spans="1:10" x14ac:dyDescent="0.25">
      <c r="A557" s="111">
        <v>554</v>
      </c>
      <c r="B557" s="112" t="s">
        <v>2119</v>
      </c>
      <c r="C557" s="113" t="s">
        <v>2120</v>
      </c>
      <c r="D557" s="113" t="s">
        <v>467</v>
      </c>
      <c r="E557" s="113" t="s">
        <v>1404</v>
      </c>
      <c r="F557" s="114">
        <v>100.25762158035569</v>
      </c>
      <c r="G557" s="114">
        <v>102.21322158035569</v>
      </c>
      <c r="H557" s="114">
        <v>21.52</v>
      </c>
      <c r="I557" s="111">
        <v>238</v>
      </c>
      <c r="J557" s="113" t="s">
        <v>277</v>
      </c>
    </row>
    <row r="558" spans="1:10" x14ac:dyDescent="0.25">
      <c r="A558" s="111">
        <v>555</v>
      </c>
      <c r="B558" s="112" t="s">
        <v>1415</v>
      </c>
      <c r="C558" s="113" t="s">
        <v>1416</v>
      </c>
      <c r="D558" s="113" t="s">
        <v>467</v>
      </c>
      <c r="E558" s="113" t="s">
        <v>1417</v>
      </c>
      <c r="F558" s="114">
        <v>100.55598766912948</v>
      </c>
      <c r="G558" s="114">
        <v>102.95598766912948</v>
      </c>
      <c r="H558" s="114">
        <v>22.4</v>
      </c>
      <c r="I558" s="111">
        <v>144</v>
      </c>
      <c r="J558" s="113" t="s">
        <v>277</v>
      </c>
    </row>
    <row r="559" spans="1:10" x14ac:dyDescent="0.25">
      <c r="A559" s="111">
        <v>556</v>
      </c>
      <c r="B559" s="112" t="s">
        <v>2028</v>
      </c>
      <c r="C559" s="113" t="s">
        <v>2029</v>
      </c>
      <c r="D559" s="113" t="s">
        <v>467</v>
      </c>
      <c r="E559" s="113" t="s">
        <v>1417</v>
      </c>
      <c r="F559" s="114">
        <v>96.49843017246755</v>
      </c>
      <c r="G559" s="114">
        <v>97.49843017246755</v>
      </c>
      <c r="H559" s="114">
        <v>22.89</v>
      </c>
      <c r="I559" s="111">
        <v>522</v>
      </c>
      <c r="J559" s="113" t="s">
        <v>277</v>
      </c>
    </row>
    <row r="560" spans="1:10" x14ac:dyDescent="0.25">
      <c r="A560" s="111">
        <v>557</v>
      </c>
      <c r="B560" s="112" t="s">
        <v>1418</v>
      </c>
      <c r="C560" s="113" t="s">
        <v>1419</v>
      </c>
      <c r="D560" s="113" t="s">
        <v>467</v>
      </c>
      <c r="E560" s="113" t="s">
        <v>377</v>
      </c>
      <c r="F560" s="114">
        <v>97.695300000000003</v>
      </c>
      <c r="G560" s="114">
        <v>101.2925</v>
      </c>
      <c r="H560" s="114">
        <v>19.510000000000002</v>
      </c>
      <c r="I560" s="111">
        <v>466</v>
      </c>
      <c r="J560" s="113" t="s">
        <v>277</v>
      </c>
    </row>
    <row r="561" spans="1:10" x14ac:dyDescent="0.25">
      <c r="A561" s="111">
        <v>558</v>
      </c>
      <c r="B561" s="112" t="s">
        <v>432</v>
      </c>
      <c r="C561" s="113" t="s">
        <v>433</v>
      </c>
      <c r="D561" s="113" t="s">
        <v>467</v>
      </c>
      <c r="E561" s="113" t="s">
        <v>409</v>
      </c>
      <c r="F561" s="114">
        <v>82.157192334939452</v>
      </c>
      <c r="G561" s="114">
        <v>84.690492334939449</v>
      </c>
      <c r="H561" s="114">
        <v>29.08</v>
      </c>
      <c r="I561" s="111">
        <v>464</v>
      </c>
      <c r="J561" s="113" t="s">
        <v>277</v>
      </c>
    </row>
    <row r="562" spans="1:10" x14ac:dyDescent="0.25">
      <c r="A562" s="111">
        <v>559</v>
      </c>
      <c r="B562" s="112" t="s">
        <v>2011</v>
      </c>
      <c r="C562" s="113" t="s">
        <v>2012</v>
      </c>
      <c r="D562" s="113" t="s">
        <v>467</v>
      </c>
      <c r="E562" s="113" t="s">
        <v>409</v>
      </c>
      <c r="F562" s="114">
        <v>100.30434560589218</v>
      </c>
      <c r="G562" s="114">
        <v>101.22104560589219</v>
      </c>
      <c r="H562" s="114">
        <v>21.29</v>
      </c>
      <c r="I562" s="111">
        <v>165</v>
      </c>
      <c r="J562" s="113" t="s">
        <v>277</v>
      </c>
    </row>
    <row r="563" spans="1:10" x14ac:dyDescent="0.25">
      <c r="A563" s="111">
        <v>560</v>
      </c>
      <c r="B563" s="112" t="s">
        <v>2013</v>
      </c>
      <c r="C563" s="113" t="s">
        <v>2014</v>
      </c>
      <c r="D563" s="113" t="s">
        <v>467</v>
      </c>
      <c r="E563" s="113" t="s">
        <v>409</v>
      </c>
      <c r="F563" s="114">
        <v>100.33701868739833</v>
      </c>
      <c r="G563" s="114">
        <v>102.10921868739833</v>
      </c>
      <c r="H563" s="114">
        <v>21.29</v>
      </c>
      <c r="I563" s="111">
        <v>181</v>
      </c>
      <c r="J563" s="113" t="s">
        <v>277</v>
      </c>
    </row>
    <row r="564" spans="1:10" x14ac:dyDescent="0.25">
      <c r="A564" s="111">
        <v>561</v>
      </c>
      <c r="B564" s="112" t="s">
        <v>2061</v>
      </c>
      <c r="C564" s="113" t="s">
        <v>2062</v>
      </c>
      <c r="D564" s="113" t="s">
        <v>467</v>
      </c>
      <c r="E564" s="113" t="s">
        <v>409</v>
      </c>
      <c r="F564" s="114">
        <v>100.31480494648179</v>
      </c>
      <c r="G564" s="114">
        <v>100.8648049464818</v>
      </c>
      <c r="H564" s="114">
        <v>21.39</v>
      </c>
      <c r="I564" s="111">
        <v>201</v>
      </c>
      <c r="J564" s="113" t="s">
        <v>277</v>
      </c>
    </row>
    <row r="565" spans="1:10" x14ac:dyDescent="0.25">
      <c r="A565" s="111">
        <v>562</v>
      </c>
      <c r="B565" s="112" t="s">
        <v>2088</v>
      </c>
      <c r="C565" s="113" t="s">
        <v>2089</v>
      </c>
      <c r="D565" s="113" t="s">
        <v>467</v>
      </c>
      <c r="E565" s="113" t="s">
        <v>409</v>
      </c>
      <c r="F565" s="114">
        <v>100.44110842829312</v>
      </c>
      <c r="G565" s="114">
        <v>101.84670842829311</v>
      </c>
      <c r="H565" s="114">
        <v>21.21</v>
      </c>
      <c r="I565" s="111">
        <v>217</v>
      </c>
      <c r="J565" s="113" t="s">
        <v>277</v>
      </c>
    </row>
    <row r="566" spans="1:10" x14ac:dyDescent="0.25">
      <c r="A566" s="111">
        <v>563</v>
      </c>
      <c r="B566" s="112" t="s">
        <v>2189</v>
      </c>
      <c r="C566" s="113" t="s">
        <v>2190</v>
      </c>
      <c r="D566" s="113" t="s">
        <v>457</v>
      </c>
      <c r="E566" s="113" t="s">
        <v>409</v>
      </c>
      <c r="F566" s="114">
        <v>1000</v>
      </c>
      <c r="G566" s="114">
        <v>1000</v>
      </c>
      <c r="H566" s="114">
        <v>0</v>
      </c>
      <c r="I566" s="111">
        <v>0</v>
      </c>
      <c r="J566" s="113" t="s">
        <v>246</v>
      </c>
    </row>
    <row r="567" spans="1:10" x14ac:dyDescent="0.25">
      <c r="A567" s="111">
        <v>564</v>
      </c>
      <c r="B567" s="112" t="s">
        <v>2063</v>
      </c>
      <c r="C567" s="113" t="s">
        <v>2064</v>
      </c>
      <c r="D567" s="113" t="s">
        <v>467</v>
      </c>
      <c r="E567" s="113" t="s">
        <v>409</v>
      </c>
      <c r="F567" s="114">
        <v>91.702241246067445</v>
      </c>
      <c r="G567" s="114">
        <v>92.302241246067439</v>
      </c>
      <c r="H567" s="114">
        <v>28.97</v>
      </c>
      <c r="I567" s="111">
        <v>192</v>
      </c>
      <c r="J567" s="113" t="s">
        <v>277</v>
      </c>
    </row>
    <row r="568" spans="1:10" x14ac:dyDescent="0.25">
      <c r="A568" s="111">
        <v>565</v>
      </c>
      <c r="B568" s="112" t="s">
        <v>2070</v>
      </c>
      <c r="C568" s="113" t="s">
        <v>2071</v>
      </c>
      <c r="D568" s="113" t="s">
        <v>467</v>
      </c>
      <c r="E568" s="113" t="s">
        <v>409</v>
      </c>
      <c r="F568" s="114">
        <v>91.297513660343114</v>
      </c>
      <c r="G568" s="114">
        <v>91.530813660343114</v>
      </c>
      <c r="H568" s="114">
        <v>28.91</v>
      </c>
      <c r="I568" s="111">
        <v>203</v>
      </c>
      <c r="J568" s="113" t="s">
        <v>277</v>
      </c>
    </row>
    <row r="569" spans="1:10" x14ac:dyDescent="0.25">
      <c r="A569" s="111">
        <v>566</v>
      </c>
      <c r="B569" s="112" t="s">
        <v>2076</v>
      </c>
      <c r="C569" s="113" t="s">
        <v>2077</v>
      </c>
      <c r="D569" s="113" t="s">
        <v>467</v>
      </c>
      <c r="E569" s="113" t="s">
        <v>409</v>
      </c>
      <c r="F569" s="114">
        <v>102.10090202439117</v>
      </c>
      <c r="G569" s="114">
        <v>102.22310202439117</v>
      </c>
      <c r="H569" s="114">
        <v>18.14</v>
      </c>
      <c r="I569" s="111">
        <v>208</v>
      </c>
      <c r="J569" s="113" t="s">
        <v>277</v>
      </c>
    </row>
    <row r="570" spans="1:10" x14ac:dyDescent="0.25">
      <c r="A570" s="111">
        <v>567</v>
      </c>
      <c r="B570" s="112" t="s">
        <v>2082</v>
      </c>
      <c r="C570" s="113" t="s">
        <v>2083</v>
      </c>
      <c r="D570" s="113" t="s">
        <v>467</v>
      </c>
      <c r="E570" s="113" t="s">
        <v>409</v>
      </c>
      <c r="F570" s="114">
        <v>91.078090663833834</v>
      </c>
      <c r="G570" s="114">
        <v>91.111390663833831</v>
      </c>
      <c r="H570" s="114">
        <v>28.87</v>
      </c>
      <c r="I570" s="111">
        <v>209</v>
      </c>
      <c r="J570" s="113" t="s">
        <v>277</v>
      </c>
    </row>
    <row r="571" spans="1:10" x14ac:dyDescent="0.25">
      <c r="A571" s="111">
        <v>568</v>
      </c>
      <c r="B571" s="112" t="s">
        <v>2084</v>
      </c>
      <c r="C571" s="113" t="s">
        <v>2085</v>
      </c>
      <c r="D571" s="113" t="s">
        <v>467</v>
      </c>
      <c r="E571" s="113" t="s">
        <v>409</v>
      </c>
      <c r="F571" s="114">
        <v>91.078090663833834</v>
      </c>
      <c r="G571" s="114">
        <v>91.111390663833831</v>
      </c>
      <c r="H571" s="114">
        <v>28.87</v>
      </c>
      <c r="I571" s="111">
        <v>209</v>
      </c>
      <c r="J571" s="113" t="s">
        <v>277</v>
      </c>
    </row>
    <row r="572" spans="1:10" x14ac:dyDescent="0.25">
      <c r="A572" s="111">
        <v>569</v>
      </c>
      <c r="B572" s="112" t="s">
        <v>2153</v>
      </c>
      <c r="C572" s="113" t="s">
        <v>2154</v>
      </c>
      <c r="D572" s="113" t="s">
        <v>467</v>
      </c>
      <c r="E572" s="113" t="s">
        <v>409</v>
      </c>
      <c r="F572" s="114">
        <v>89.872937583600375</v>
      </c>
      <c r="G572" s="114">
        <v>90.739637583600384</v>
      </c>
      <c r="H572" s="114">
        <v>28.61</v>
      </c>
      <c r="I572" s="111">
        <v>244</v>
      </c>
      <c r="J572" s="113" t="s">
        <v>277</v>
      </c>
    </row>
    <row r="573" spans="1:10" x14ac:dyDescent="0.25">
      <c r="A573" s="111">
        <v>570</v>
      </c>
      <c r="B573" s="112" t="s">
        <v>2160</v>
      </c>
      <c r="C573" s="113" t="s">
        <v>2161</v>
      </c>
      <c r="D573" s="113" t="s">
        <v>467</v>
      </c>
      <c r="E573" s="113" t="s">
        <v>409</v>
      </c>
      <c r="F573" s="114">
        <v>88.095621180033248</v>
      </c>
      <c r="G573" s="114">
        <v>88.26232118003324</v>
      </c>
      <c r="H573" s="114">
        <v>28.46</v>
      </c>
      <c r="I573" s="111">
        <v>295</v>
      </c>
      <c r="J573" s="113" t="s">
        <v>277</v>
      </c>
    </row>
    <row r="574" spans="1:10" x14ac:dyDescent="0.25">
      <c r="A574" s="111">
        <v>571</v>
      </c>
      <c r="B574" s="112" t="s">
        <v>2214</v>
      </c>
      <c r="C574" s="113" t="s">
        <v>2215</v>
      </c>
      <c r="D574" s="113" t="s">
        <v>467</v>
      </c>
      <c r="E574" s="113" t="s">
        <v>409</v>
      </c>
      <c r="F574" s="114">
        <v>99.998900000000006</v>
      </c>
      <c r="G574" s="114">
        <v>100.73220000000001</v>
      </c>
      <c r="H574" s="114">
        <v>22</v>
      </c>
      <c r="I574" s="111">
        <v>648</v>
      </c>
      <c r="J574" s="113" t="s">
        <v>277</v>
      </c>
    </row>
    <row r="575" spans="1:10" x14ac:dyDescent="0.25">
      <c r="A575" s="111">
        <v>572</v>
      </c>
      <c r="B575" s="112" t="s">
        <v>2277</v>
      </c>
      <c r="C575" s="113" t="s">
        <v>2278</v>
      </c>
      <c r="D575" s="113" t="s">
        <v>467</v>
      </c>
      <c r="E575" s="113" t="s">
        <v>409</v>
      </c>
      <c r="F575" s="114">
        <v>99.99675019630881</v>
      </c>
      <c r="G575" s="114">
        <v>101.58565019630882</v>
      </c>
      <c r="H575" s="114">
        <v>22</v>
      </c>
      <c r="I575" s="111">
        <v>694</v>
      </c>
      <c r="J575" s="113" t="s">
        <v>277</v>
      </c>
    </row>
    <row r="576" spans="1:10" x14ac:dyDescent="0.25">
      <c r="A576" s="111">
        <v>573</v>
      </c>
      <c r="B576" s="112" t="s">
        <v>2279</v>
      </c>
      <c r="C576" s="113" t="s">
        <v>2280</v>
      </c>
      <c r="D576" s="113" t="s">
        <v>457</v>
      </c>
      <c r="E576" s="113" t="s">
        <v>409</v>
      </c>
      <c r="F576" s="114">
        <v>1000</v>
      </c>
      <c r="G576" s="114">
        <v>1000</v>
      </c>
      <c r="H576" s="114">
        <v>0</v>
      </c>
      <c r="I576" s="111">
        <v>0</v>
      </c>
      <c r="J576" s="113" t="s">
        <v>246</v>
      </c>
    </row>
    <row r="577" spans="1:10" x14ac:dyDescent="0.25">
      <c r="A577" s="111">
        <v>574</v>
      </c>
      <c r="B577" s="112" t="s">
        <v>2216</v>
      </c>
      <c r="C577" s="113" t="s">
        <v>2217</v>
      </c>
      <c r="D577" s="113" t="s">
        <v>467</v>
      </c>
      <c r="E577" s="113" t="s">
        <v>409</v>
      </c>
      <c r="F577" s="114">
        <v>99</v>
      </c>
      <c r="G577" s="114">
        <v>99.4</v>
      </c>
      <c r="H577" s="114">
        <v>12.62</v>
      </c>
      <c r="I577" s="111">
        <v>648</v>
      </c>
      <c r="J577" s="113" t="s">
        <v>277</v>
      </c>
    </row>
    <row r="578" spans="1:10" x14ac:dyDescent="0.25">
      <c r="A578" s="111">
        <v>575</v>
      </c>
      <c r="B578" s="112" t="s">
        <v>2281</v>
      </c>
      <c r="C578" s="113" t="s">
        <v>2282</v>
      </c>
      <c r="D578" s="113" t="s">
        <v>467</v>
      </c>
      <c r="E578" s="113" t="s">
        <v>409</v>
      </c>
      <c r="F578" s="114">
        <v>76.076944013632783</v>
      </c>
      <c r="G578" s="114">
        <v>76.910244013632777</v>
      </c>
      <c r="H578" s="114">
        <v>28.21</v>
      </c>
      <c r="I578" s="111">
        <v>695</v>
      </c>
      <c r="J578" s="113" t="s">
        <v>277</v>
      </c>
    </row>
    <row r="579" spans="1:10" x14ac:dyDescent="0.25">
      <c r="A579" s="111">
        <v>576</v>
      </c>
      <c r="B579" s="112" t="s">
        <v>2283</v>
      </c>
      <c r="C579" s="113" t="s">
        <v>2284</v>
      </c>
      <c r="D579" s="113" t="s">
        <v>467</v>
      </c>
      <c r="E579" s="113" t="s">
        <v>409</v>
      </c>
      <c r="F579" s="114">
        <v>99.989900000000006</v>
      </c>
      <c r="G579" s="114">
        <v>100.25660000000001</v>
      </c>
      <c r="H579" s="114">
        <v>12.01</v>
      </c>
      <c r="I579" s="111">
        <v>682</v>
      </c>
      <c r="J579" s="113" t="s">
        <v>277</v>
      </c>
    </row>
    <row r="580" spans="1:10" x14ac:dyDescent="0.25">
      <c r="A580" s="111">
        <v>577</v>
      </c>
      <c r="B580" s="112" t="s">
        <v>1420</v>
      </c>
      <c r="C580" s="113" t="s">
        <v>1421</v>
      </c>
      <c r="D580" s="113" t="s">
        <v>467</v>
      </c>
      <c r="E580" s="113" t="s">
        <v>409</v>
      </c>
      <c r="F580" s="114">
        <v>100.00269118127139</v>
      </c>
      <c r="G580" s="114">
        <v>101.22489118127139</v>
      </c>
      <c r="H580" s="114">
        <v>21.77</v>
      </c>
      <c r="I580" s="111">
        <v>10</v>
      </c>
      <c r="J580" s="113" t="s">
        <v>277</v>
      </c>
    </row>
    <row r="581" spans="1:10" x14ac:dyDescent="0.25">
      <c r="A581" s="111">
        <v>578</v>
      </c>
      <c r="B581" s="112" t="s">
        <v>1422</v>
      </c>
      <c r="C581" s="113" t="s">
        <v>1423</v>
      </c>
      <c r="D581" s="113" t="s">
        <v>467</v>
      </c>
      <c r="E581" s="113" t="s">
        <v>409</v>
      </c>
      <c r="F581" s="114">
        <v>98.184373605126936</v>
      </c>
      <c r="G581" s="114">
        <v>99.017673605126944</v>
      </c>
      <c r="H581" s="114">
        <v>31.18</v>
      </c>
      <c r="I581" s="111">
        <v>35</v>
      </c>
      <c r="J581" s="113" t="s">
        <v>277</v>
      </c>
    </row>
    <row r="582" spans="1:10" x14ac:dyDescent="0.25">
      <c r="A582" s="111">
        <v>579</v>
      </c>
      <c r="B582" s="112" t="s">
        <v>1424</v>
      </c>
      <c r="C582" s="113" t="s">
        <v>1425</v>
      </c>
      <c r="D582" s="113" t="s">
        <v>467</v>
      </c>
      <c r="E582" s="113" t="s">
        <v>409</v>
      </c>
      <c r="F582" s="114">
        <v>100.01516092448675</v>
      </c>
      <c r="G582" s="114">
        <v>105.02626092448675</v>
      </c>
      <c r="H582" s="114">
        <v>21.97</v>
      </c>
      <c r="I582" s="111">
        <v>458</v>
      </c>
      <c r="J582" s="113" t="s">
        <v>277</v>
      </c>
    </row>
    <row r="583" spans="1:10" x14ac:dyDescent="0.25">
      <c r="A583" s="111">
        <v>580</v>
      </c>
      <c r="B583" s="112" t="s">
        <v>1426</v>
      </c>
      <c r="C583" s="113" t="s">
        <v>1427</v>
      </c>
      <c r="D583" s="113" t="s">
        <v>467</v>
      </c>
      <c r="E583" s="113" t="s">
        <v>409</v>
      </c>
      <c r="F583" s="114">
        <v>99.936575600791144</v>
      </c>
      <c r="G583" s="114">
        <v>101.21987560079114</v>
      </c>
      <c r="H583" s="114">
        <v>21.23</v>
      </c>
      <c r="I583" s="111">
        <v>98</v>
      </c>
      <c r="J583" s="113" t="s">
        <v>277</v>
      </c>
    </row>
    <row r="584" spans="1:10" x14ac:dyDescent="0.25">
      <c r="A584" s="111">
        <v>581</v>
      </c>
      <c r="B584" s="112" t="s">
        <v>1428</v>
      </c>
      <c r="C584" s="113" t="s">
        <v>1429</v>
      </c>
      <c r="D584" s="113" t="s">
        <v>467</v>
      </c>
      <c r="E584" s="113" t="s">
        <v>409</v>
      </c>
      <c r="F584" s="114">
        <v>95.220901593528254</v>
      </c>
      <c r="G584" s="114">
        <v>95.893101593528257</v>
      </c>
      <c r="H584" s="114">
        <v>29.48</v>
      </c>
      <c r="I584" s="111">
        <v>98</v>
      </c>
      <c r="J584" s="113" t="s">
        <v>277</v>
      </c>
    </row>
    <row r="585" spans="1:10" x14ac:dyDescent="0.25">
      <c r="A585" s="111">
        <v>582</v>
      </c>
      <c r="B585" s="112" t="s">
        <v>1430</v>
      </c>
      <c r="C585" s="113" t="s">
        <v>1431</v>
      </c>
      <c r="D585" s="113" t="s">
        <v>467</v>
      </c>
      <c r="E585" s="113" t="s">
        <v>1432</v>
      </c>
      <c r="F585" s="114">
        <v>95.774810865511597</v>
      </c>
      <c r="G585" s="114">
        <v>97.330410865511595</v>
      </c>
      <c r="H585" s="114">
        <v>19.260000000000002</v>
      </c>
      <c r="I585" s="111">
        <v>320</v>
      </c>
      <c r="J585" s="113" t="s">
        <v>277</v>
      </c>
    </row>
    <row r="586" spans="1:10" x14ac:dyDescent="0.25">
      <c r="A586" s="111">
        <v>583</v>
      </c>
      <c r="B586" s="112" t="s">
        <v>115</v>
      </c>
      <c r="C586" s="113" t="s">
        <v>116</v>
      </c>
      <c r="D586" s="113" t="s">
        <v>467</v>
      </c>
      <c r="E586" s="113" t="s">
        <v>114</v>
      </c>
      <c r="F586" s="114">
        <v>100.78842308632126</v>
      </c>
      <c r="G586" s="114">
        <v>101.65872308632126</v>
      </c>
      <c r="H586" s="114">
        <v>19.59</v>
      </c>
      <c r="I586" s="111">
        <v>106</v>
      </c>
      <c r="J586" s="113" t="s">
        <v>277</v>
      </c>
    </row>
    <row r="587" spans="1:10" x14ac:dyDescent="0.25">
      <c r="A587" s="111">
        <v>584</v>
      </c>
      <c r="B587" s="112" t="s">
        <v>117</v>
      </c>
      <c r="C587" s="113" t="s">
        <v>118</v>
      </c>
      <c r="D587" s="113" t="s">
        <v>467</v>
      </c>
      <c r="E587" s="113" t="s">
        <v>114</v>
      </c>
      <c r="F587" s="114">
        <v>100.47340401857042</v>
      </c>
      <c r="G587" s="114">
        <v>100.58450401857041</v>
      </c>
      <c r="H587" s="114">
        <v>19.309999999999999</v>
      </c>
      <c r="I587" s="111">
        <v>268</v>
      </c>
      <c r="J587" s="113" t="s">
        <v>277</v>
      </c>
    </row>
    <row r="588" spans="1:10" x14ac:dyDescent="0.25">
      <c r="A588" s="111">
        <v>585</v>
      </c>
      <c r="B588" s="112" t="s">
        <v>1433</v>
      </c>
      <c r="C588" s="113" t="s">
        <v>1434</v>
      </c>
      <c r="D588" s="113" t="s">
        <v>467</v>
      </c>
      <c r="E588" s="113" t="s">
        <v>114</v>
      </c>
      <c r="F588" s="114">
        <v>100.47894750673061</v>
      </c>
      <c r="G588" s="114">
        <v>100.7567475067306</v>
      </c>
      <c r="H588" s="114">
        <v>9.68</v>
      </c>
      <c r="I588" s="111">
        <v>590</v>
      </c>
      <c r="J588" s="113" t="s">
        <v>277</v>
      </c>
    </row>
    <row r="589" spans="1:10" x14ac:dyDescent="0.25">
      <c r="A589" s="111">
        <v>586</v>
      </c>
      <c r="B589" s="112" t="s">
        <v>362</v>
      </c>
      <c r="C589" s="113" t="s">
        <v>363</v>
      </c>
      <c r="D589" s="113" t="s">
        <v>467</v>
      </c>
      <c r="E589" s="113" t="s">
        <v>114</v>
      </c>
      <c r="F589" s="114">
        <v>100.99959987793247</v>
      </c>
      <c r="G589" s="114">
        <v>101.78249987793247</v>
      </c>
      <c r="H589" s="114">
        <v>21.07</v>
      </c>
      <c r="I589" s="111">
        <v>737</v>
      </c>
      <c r="J589" s="113" t="s">
        <v>277</v>
      </c>
    </row>
    <row r="590" spans="1:10" x14ac:dyDescent="0.25">
      <c r="A590" s="111">
        <v>587</v>
      </c>
      <c r="B590" s="112" t="s">
        <v>1435</v>
      </c>
      <c r="C590" s="113" t="s">
        <v>1436</v>
      </c>
      <c r="D590" s="113" t="s">
        <v>467</v>
      </c>
      <c r="E590" s="113" t="s">
        <v>114</v>
      </c>
      <c r="F590" s="114">
        <v>97.960238066620178</v>
      </c>
      <c r="G590" s="114">
        <v>97.960238066620178</v>
      </c>
      <c r="H590" s="114">
        <v>20.04</v>
      </c>
      <c r="I590" s="111">
        <v>900</v>
      </c>
      <c r="J590" s="113" t="s">
        <v>277</v>
      </c>
    </row>
    <row r="591" spans="1:10" x14ac:dyDescent="0.25">
      <c r="A591" s="111">
        <v>588</v>
      </c>
      <c r="B591" s="112" t="s">
        <v>395</v>
      </c>
      <c r="C591" s="113" t="s">
        <v>396</v>
      </c>
      <c r="D591" s="113" t="s">
        <v>467</v>
      </c>
      <c r="E591" s="113" t="s">
        <v>114</v>
      </c>
      <c r="F591" s="114">
        <v>98.266363864424292</v>
      </c>
      <c r="G591" s="114">
        <v>98.635763864424291</v>
      </c>
      <c r="H591" s="114">
        <v>20.6</v>
      </c>
      <c r="I591" s="111">
        <v>443</v>
      </c>
      <c r="J591" s="113" t="s">
        <v>277</v>
      </c>
    </row>
    <row r="592" spans="1:10" x14ac:dyDescent="0.25">
      <c r="A592" s="111">
        <v>589</v>
      </c>
      <c r="B592" s="112" t="s">
        <v>2072</v>
      </c>
      <c r="C592" s="113" t="s">
        <v>2073</v>
      </c>
      <c r="D592" s="113" t="s">
        <v>467</v>
      </c>
      <c r="E592" s="113" t="s">
        <v>114</v>
      </c>
      <c r="F592" s="114">
        <v>101.86949957927781</v>
      </c>
      <c r="G592" s="114">
        <v>102.39449957927782</v>
      </c>
      <c r="H592" s="114">
        <v>20.059999999999999</v>
      </c>
      <c r="I592" s="111">
        <v>921</v>
      </c>
      <c r="J592" s="113" t="s">
        <v>277</v>
      </c>
    </row>
    <row r="593" spans="1:10" x14ac:dyDescent="0.25">
      <c r="A593" s="111">
        <v>590</v>
      </c>
      <c r="B593" s="112" t="s">
        <v>2100</v>
      </c>
      <c r="C593" s="113" t="s">
        <v>2101</v>
      </c>
      <c r="D593" s="113" t="s">
        <v>467</v>
      </c>
      <c r="E593" s="113" t="s">
        <v>114</v>
      </c>
      <c r="F593" s="114">
        <v>101.95656617990414</v>
      </c>
      <c r="G593" s="114">
        <v>102.88986617990415</v>
      </c>
      <c r="H593" s="114">
        <v>20.03</v>
      </c>
      <c r="I593" s="111">
        <v>944</v>
      </c>
      <c r="J593" s="113" t="s">
        <v>277</v>
      </c>
    </row>
    <row r="594" spans="1:10" x14ac:dyDescent="0.25">
      <c r="A594" s="111">
        <v>591</v>
      </c>
      <c r="B594" s="112" t="s">
        <v>2145</v>
      </c>
      <c r="C594" s="113" t="s">
        <v>2146</v>
      </c>
      <c r="D594" s="113" t="s">
        <v>467</v>
      </c>
      <c r="E594" s="113" t="s">
        <v>114</v>
      </c>
      <c r="F594" s="114">
        <v>103.20042571033393</v>
      </c>
      <c r="G594" s="114">
        <v>104.88042571033394</v>
      </c>
      <c r="H594" s="114">
        <v>20.05</v>
      </c>
      <c r="I594" s="111">
        <v>962</v>
      </c>
      <c r="J594" s="113" t="s">
        <v>277</v>
      </c>
    </row>
    <row r="595" spans="1:10" x14ac:dyDescent="0.25">
      <c r="A595" s="111">
        <v>592</v>
      </c>
      <c r="B595" s="112" t="s">
        <v>2147</v>
      </c>
      <c r="C595" s="113" t="s">
        <v>2148</v>
      </c>
      <c r="D595" s="113" t="s">
        <v>467</v>
      </c>
      <c r="E595" s="113" t="s">
        <v>114</v>
      </c>
      <c r="F595" s="114">
        <v>101</v>
      </c>
      <c r="G595" s="114">
        <v>101.4709</v>
      </c>
      <c r="H595" s="114">
        <v>20.73</v>
      </c>
      <c r="I595" s="111">
        <v>1042</v>
      </c>
      <c r="J595" s="113" t="s">
        <v>277</v>
      </c>
    </row>
    <row r="596" spans="1:10" x14ac:dyDescent="0.25">
      <c r="A596" s="111">
        <v>593</v>
      </c>
      <c r="B596" s="112" t="s">
        <v>2218</v>
      </c>
      <c r="C596" s="113" t="s">
        <v>2219</v>
      </c>
      <c r="D596" s="113" t="s">
        <v>467</v>
      </c>
      <c r="E596" s="113" t="s">
        <v>2220</v>
      </c>
      <c r="F596" s="114">
        <v>100.4937389711518</v>
      </c>
      <c r="G596" s="114">
        <v>102.5215389711518</v>
      </c>
      <c r="H596" s="114">
        <v>9.69</v>
      </c>
      <c r="I596" s="111">
        <v>647</v>
      </c>
      <c r="J596" s="113" t="s">
        <v>277</v>
      </c>
    </row>
    <row r="597" spans="1:10" x14ac:dyDescent="0.25">
      <c r="A597" s="111">
        <v>594</v>
      </c>
      <c r="B597" s="112" t="s">
        <v>1437</v>
      </c>
      <c r="C597" s="113" t="s">
        <v>1438</v>
      </c>
      <c r="D597" s="113" t="s">
        <v>467</v>
      </c>
      <c r="E597" s="113" t="s">
        <v>392</v>
      </c>
      <c r="F597" s="114">
        <v>96.176307077319819</v>
      </c>
      <c r="G597" s="114">
        <v>97.581907077319812</v>
      </c>
      <c r="H597" s="114">
        <v>31.01</v>
      </c>
      <c r="I597" s="111">
        <v>188</v>
      </c>
      <c r="J597" s="113" t="s">
        <v>277</v>
      </c>
    </row>
    <row r="598" spans="1:10" x14ac:dyDescent="0.25">
      <c r="A598" s="111">
        <v>595</v>
      </c>
      <c r="B598" s="112" t="s">
        <v>390</v>
      </c>
      <c r="C598" s="113" t="s">
        <v>391</v>
      </c>
      <c r="D598" s="113" t="s">
        <v>467</v>
      </c>
      <c r="E598" s="113" t="s">
        <v>392</v>
      </c>
      <c r="F598" s="114">
        <v>99.8</v>
      </c>
      <c r="G598" s="114">
        <v>100.325</v>
      </c>
      <c r="H598" s="114">
        <v>21.9</v>
      </c>
      <c r="I598" s="111">
        <v>81</v>
      </c>
      <c r="J598" s="113" t="s">
        <v>277</v>
      </c>
    </row>
    <row r="599" spans="1:10" x14ac:dyDescent="0.25">
      <c r="A599" s="111">
        <v>596</v>
      </c>
      <c r="B599" s="112" t="s">
        <v>407</v>
      </c>
      <c r="C599" s="113" t="s">
        <v>408</v>
      </c>
      <c r="D599" s="113" t="s">
        <v>467</v>
      </c>
      <c r="E599" s="113" t="s">
        <v>392</v>
      </c>
      <c r="F599" s="114">
        <v>87.082769441506045</v>
      </c>
      <c r="G599" s="114">
        <v>88.488369441506038</v>
      </c>
      <c r="H599" s="114">
        <v>30.95</v>
      </c>
      <c r="I599" s="111">
        <v>697</v>
      </c>
      <c r="J599" s="113" t="s">
        <v>277</v>
      </c>
    </row>
    <row r="600" spans="1:10" x14ac:dyDescent="0.25">
      <c r="A600" s="111">
        <v>597</v>
      </c>
      <c r="B600" s="112" t="s">
        <v>399</v>
      </c>
      <c r="C600" s="113" t="s">
        <v>400</v>
      </c>
      <c r="D600" s="113" t="s">
        <v>467</v>
      </c>
      <c r="E600" s="113" t="s">
        <v>392</v>
      </c>
      <c r="F600" s="114">
        <v>99.998845616982436</v>
      </c>
      <c r="G600" s="114">
        <v>101.63214561698243</v>
      </c>
      <c r="H600" s="114">
        <v>21</v>
      </c>
      <c r="I600" s="111">
        <v>452</v>
      </c>
      <c r="J600" s="113" t="s">
        <v>277</v>
      </c>
    </row>
    <row r="601" spans="1:10" x14ac:dyDescent="0.25">
      <c r="A601" s="111">
        <v>598</v>
      </c>
      <c r="B601" s="112" t="s">
        <v>2131</v>
      </c>
      <c r="C601" s="113" t="s">
        <v>2132</v>
      </c>
      <c r="D601" s="113" t="s">
        <v>467</v>
      </c>
      <c r="E601" s="113" t="s">
        <v>392</v>
      </c>
      <c r="F601" s="114">
        <v>82.155221720276259</v>
      </c>
      <c r="G601" s="114">
        <v>82.155221720276259</v>
      </c>
      <c r="H601" s="114">
        <v>30.9</v>
      </c>
      <c r="I601" s="111">
        <v>960</v>
      </c>
      <c r="J601" s="113" t="s">
        <v>277</v>
      </c>
    </row>
    <row r="602" spans="1:10" x14ac:dyDescent="0.25">
      <c r="A602" s="111">
        <v>599</v>
      </c>
      <c r="B602" s="112" t="s">
        <v>2242</v>
      </c>
      <c r="C602" s="113" t="s">
        <v>2243</v>
      </c>
      <c r="D602" s="113" t="s">
        <v>467</v>
      </c>
      <c r="E602" s="113" t="s">
        <v>392</v>
      </c>
      <c r="F602" s="114">
        <v>91.591661729933804</v>
      </c>
      <c r="G602" s="114">
        <v>91.961061729933803</v>
      </c>
      <c r="H602" s="114">
        <v>30.81</v>
      </c>
      <c r="I602" s="111">
        <v>293</v>
      </c>
      <c r="J602" s="113" t="s">
        <v>277</v>
      </c>
    </row>
    <row r="603" spans="1:10" x14ac:dyDescent="0.25">
      <c r="A603" s="111">
        <v>600</v>
      </c>
      <c r="B603" s="112" t="s">
        <v>2406</v>
      </c>
      <c r="C603" s="113" t="s">
        <v>2407</v>
      </c>
      <c r="D603" s="113" t="s">
        <v>467</v>
      </c>
      <c r="E603" s="113" t="s">
        <v>392</v>
      </c>
      <c r="F603" s="114">
        <v>100.23190078497481</v>
      </c>
      <c r="G603" s="114">
        <v>100.59860078497481</v>
      </c>
      <c r="H603" s="114">
        <v>21.85</v>
      </c>
      <c r="I603" s="111">
        <v>714</v>
      </c>
      <c r="J603" s="113" t="s">
        <v>277</v>
      </c>
    </row>
    <row r="604" spans="1:10" x14ac:dyDescent="0.25">
      <c r="A604" s="111">
        <v>601</v>
      </c>
      <c r="B604" s="112" t="s">
        <v>2308</v>
      </c>
      <c r="C604" s="113" t="s">
        <v>2309</v>
      </c>
      <c r="D604" s="113" t="s">
        <v>467</v>
      </c>
      <c r="E604" s="113" t="s">
        <v>392</v>
      </c>
      <c r="F604" s="114">
        <v>99.96</v>
      </c>
      <c r="G604" s="114">
        <v>100.0767</v>
      </c>
      <c r="H604" s="114">
        <v>21.02</v>
      </c>
      <c r="I604" s="111">
        <v>1048</v>
      </c>
      <c r="J604" s="113" t="s">
        <v>277</v>
      </c>
    </row>
    <row r="605" spans="1:10" x14ac:dyDescent="0.25">
      <c r="A605" s="111">
        <v>602</v>
      </c>
      <c r="B605" s="112" t="s">
        <v>1439</v>
      </c>
      <c r="C605" s="113" t="s">
        <v>1440</v>
      </c>
      <c r="D605" s="113" t="s">
        <v>467</v>
      </c>
      <c r="E605" s="113" t="s">
        <v>392</v>
      </c>
      <c r="F605" s="114">
        <v>96.629750404305398</v>
      </c>
      <c r="G605" s="114">
        <v>96.629750404305398</v>
      </c>
      <c r="H605" s="114">
        <v>30.65</v>
      </c>
      <c r="I605" s="111">
        <v>240</v>
      </c>
      <c r="J605" s="113" t="s">
        <v>277</v>
      </c>
    </row>
    <row r="606" spans="1:10" x14ac:dyDescent="0.25">
      <c r="A606" s="111">
        <v>603</v>
      </c>
      <c r="B606" s="112" t="s">
        <v>1441</v>
      </c>
      <c r="C606" s="113" t="s">
        <v>1442</v>
      </c>
      <c r="D606" s="113" t="s">
        <v>467</v>
      </c>
      <c r="E606" s="113" t="s">
        <v>392</v>
      </c>
      <c r="F606" s="114">
        <v>93.379734295331232</v>
      </c>
      <c r="G606" s="114">
        <v>94.351934295331233</v>
      </c>
      <c r="H606" s="114">
        <v>30.96</v>
      </c>
      <c r="I606" s="111">
        <v>496</v>
      </c>
      <c r="J606" s="113" t="s">
        <v>277</v>
      </c>
    </row>
    <row r="607" spans="1:10" x14ac:dyDescent="0.25">
      <c r="A607" s="111">
        <v>604</v>
      </c>
      <c r="B607" s="112" t="s">
        <v>1443</v>
      </c>
      <c r="C607" s="113" t="s">
        <v>1444</v>
      </c>
      <c r="D607" s="113" t="s">
        <v>457</v>
      </c>
      <c r="E607" s="113" t="s">
        <v>1445</v>
      </c>
      <c r="F607" s="114">
        <v>1000</v>
      </c>
      <c r="G607" s="114">
        <v>1000</v>
      </c>
      <c r="H607" s="114">
        <v>0</v>
      </c>
      <c r="I607" s="111">
        <v>0</v>
      </c>
      <c r="J607" s="113" t="s">
        <v>246</v>
      </c>
    </row>
    <row r="608" spans="1:10" x14ac:dyDescent="0.25">
      <c r="A608" s="111">
        <v>605</v>
      </c>
      <c r="B608" s="112" t="s">
        <v>1446</v>
      </c>
      <c r="C608" s="113" t="s">
        <v>1447</v>
      </c>
      <c r="D608" s="113" t="s">
        <v>467</v>
      </c>
      <c r="E608" s="113" t="s">
        <v>1448</v>
      </c>
      <c r="F608" s="114">
        <v>100.39821573515381</v>
      </c>
      <c r="G608" s="114">
        <v>101.09821573515381</v>
      </c>
      <c r="H608" s="114">
        <v>-13.19</v>
      </c>
      <c r="I608" s="111">
        <v>6</v>
      </c>
      <c r="J608" s="113" t="s">
        <v>277</v>
      </c>
    </row>
    <row r="609" spans="1:10" x14ac:dyDescent="0.25">
      <c r="A609" s="111">
        <v>606</v>
      </c>
      <c r="B609" s="112" t="s">
        <v>1449</v>
      </c>
      <c r="C609" s="113" t="s">
        <v>1450</v>
      </c>
      <c r="D609" s="113" t="s">
        <v>467</v>
      </c>
      <c r="E609" s="113" t="s">
        <v>1448</v>
      </c>
      <c r="F609" s="114">
        <v>100</v>
      </c>
      <c r="G609" s="114">
        <v>100.175</v>
      </c>
      <c r="H609" s="114">
        <v>21</v>
      </c>
      <c r="I609" s="111">
        <v>327</v>
      </c>
      <c r="J609" s="113" t="s">
        <v>277</v>
      </c>
    </row>
    <row r="610" spans="1:10" x14ac:dyDescent="0.25">
      <c r="A610" s="111">
        <v>607</v>
      </c>
      <c r="B610" s="112" t="s">
        <v>2180</v>
      </c>
      <c r="C610" s="113" t="s">
        <v>2181</v>
      </c>
      <c r="D610" s="113" t="s">
        <v>467</v>
      </c>
      <c r="E610" s="113" t="s">
        <v>1448</v>
      </c>
      <c r="F610" s="114">
        <v>101.68804302854778</v>
      </c>
      <c r="G610" s="114">
        <v>101.77554302854779</v>
      </c>
      <c r="H610" s="114">
        <v>9.44</v>
      </c>
      <c r="I610" s="111">
        <v>627</v>
      </c>
      <c r="J610" s="113" t="s">
        <v>277</v>
      </c>
    </row>
    <row r="611" spans="1:10" x14ac:dyDescent="0.25">
      <c r="A611" s="111">
        <v>608</v>
      </c>
      <c r="B611" s="112" t="s">
        <v>2204</v>
      </c>
      <c r="C611" s="113" t="s">
        <v>2205</v>
      </c>
      <c r="D611" s="113" t="s">
        <v>467</v>
      </c>
      <c r="E611" s="113" t="s">
        <v>1453</v>
      </c>
      <c r="F611" s="114">
        <v>99.382914507402774</v>
      </c>
      <c r="G611" s="114">
        <v>101.54961450740278</v>
      </c>
      <c r="H611" s="114">
        <v>20.74</v>
      </c>
      <c r="I611" s="111">
        <v>321</v>
      </c>
      <c r="J611" s="113" t="s">
        <v>277</v>
      </c>
    </row>
    <row r="612" spans="1:10" x14ac:dyDescent="0.25">
      <c r="A612" s="111">
        <v>609</v>
      </c>
      <c r="B612" s="112" t="s">
        <v>1451</v>
      </c>
      <c r="C612" s="113" t="s">
        <v>1452</v>
      </c>
      <c r="D612" s="113" t="s">
        <v>467</v>
      </c>
      <c r="E612" s="113" t="s">
        <v>1453</v>
      </c>
      <c r="F612" s="114">
        <v>99.69656760632563</v>
      </c>
      <c r="G612" s="114">
        <v>102.44656760632563</v>
      </c>
      <c r="H612" s="114">
        <v>20.94</v>
      </c>
      <c r="I612" s="111">
        <v>35</v>
      </c>
      <c r="J612" s="113" t="s">
        <v>277</v>
      </c>
    </row>
    <row r="613" spans="1:10" x14ac:dyDescent="0.25">
      <c r="A613" s="111">
        <v>610</v>
      </c>
      <c r="B613" s="112" t="s">
        <v>1454</v>
      </c>
      <c r="C613" s="113" t="s">
        <v>1455</v>
      </c>
      <c r="D613" s="113" t="s">
        <v>467</v>
      </c>
      <c r="E613" s="113" t="s">
        <v>1453</v>
      </c>
      <c r="F613" s="114">
        <v>100.12191696935062</v>
      </c>
      <c r="G613" s="114">
        <v>101.63861696935062</v>
      </c>
      <c r="H613" s="114">
        <v>20.85</v>
      </c>
      <c r="I613" s="111">
        <v>424</v>
      </c>
      <c r="J613" s="113" t="s">
        <v>277</v>
      </c>
    </row>
    <row r="614" spans="1:10" x14ac:dyDescent="0.25">
      <c r="A614" s="111">
        <v>611</v>
      </c>
      <c r="B614" s="112" t="s">
        <v>1456</v>
      </c>
      <c r="C614" s="113" t="s">
        <v>1457</v>
      </c>
      <c r="D614" s="113" t="s">
        <v>467</v>
      </c>
      <c r="E614" s="113" t="s">
        <v>1453</v>
      </c>
      <c r="F614" s="114">
        <v>100.22595962379752</v>
      </c>
      <c r="G614" s="114">
        <v>100.98425962379753</v>
      </c>
      <c r="H614" s="114">
        <v>20.63</v>
      </c>
      <c r="I614" s="111">
        <v>257</v>
      </c>
      <c r="J614" s="113" t="s">
        <v>277</v>
      </c>
    </row>
    <row r="615" spans="1:10" x14ac:dyDescent="0.25">
      <c r="A615" s="111">
        <v>612</v>
      </c>
      <c r="B615" s="112" t="s">
        <v>1458</v>
      </c>
      <c r="C615" s="113" t="s">
        <v>1459</v>
      </c>
      <c r="D615" s="113" t="s">
        <v>467</v>
      </c>
      <c r="E615" s="113" t="s">
        <v>1453</v>
      </c>
      <c r="F615" s="114">
        <v>100.13300483927053</v>
      </c>
      <c r="G615" s="114">
        <v>100.89130483927053</v>
      </c>
      <c r="H615" s="114">
        <v>20.89</v>
      </c>
      <c r="I615" s="111">
        <v>617</v>
      </c>
      <c r="J615" s="113" t="s">
        <v>277</v>
      </c>
    </row>
    <row r="616" spans="1:10" x14ac:dyDescent="0.25">
      <c r="A616" s="111">
        <v>613</v>
      </c>
      <c r="B616" s="112" t="s">
        <v>1460</v>
      </c>
      <c r="C616" s="113" t="s">
        <v>1461</v>
      </c>
      <c r="D616" s="113" t="s">
        <v>457</v>
      </c>
      <c r="E616" s="113" t="s">
        <v>1453</v>
      </c>
      <c r="F616" s="114">
        <v>1000</v>
      </c>
      <c r="G616" s="114">
        <v>1000</v>
      </c>
      <c r="H616" s="114">
        <v>0</v>
      </c>
      <c r="I616" s="111">
        <v>0</v>
      </c>
      <c r="J616" s="113" t="s">
        <v>246</v>
      </c>
    </row>
    <row r="617" spans="1:10" x14ac:dyDescent="0.25">
      <c r="A617" s="111">
        <v>614</v>
      </c>
      <c r="B617" s="112" t="s">
        <v>2030</v>
      </c>
      <c r="C617" s="113" t="s">
        <v>2031</v>
      </c>
      <c r="D617" s="113" t="s">
        <v>467</v>
      </c>
      <c r="E617" s="113" t="s">
        <v>1453</v>
      </c>
      <c r="F617" s="114">
        <v>90.897549146932661</v>
      </c>
      <c r="G617" s="114">
        <v>90.897549146932661</v>
      </c>
      <c r="H617" s="114">
        <v>21.46</v>
      </c>
      <c r="I617" s="111">
        <v>168</v>
      </c>
      <c r="J617" s="113" t="s">
        <v>277</v>
      </c>
    </row>
    <row r="618" spans="1:10" x14ac:dyDescent="0.25">
      <c r="A618" s="111">
        <v>615</v>
      </c>
      <c r="B618" s="112" t="s">
        <v>1462</v>
      </c>
      <c r="C618" s="113" t="s">
        <v>1463</v>
      </c>
      <c r="D618" s="113" t="s">
        <v>467</v>
      </c>
      <c r="E618" s="113" t="s">
        <v>1464</v>
      </c>
      <c r="F618" s="114">
        <v>94.290199999999999</v>
      </c>
      <c r="G618" s="114">
        <v>94.442999999999998</v>
      </c>
      <c r="H618" s="114">
        <v>17.55</v>
      </c>
      <c r="I618" s="111">
        <v>355</v>
      </c>
      <c r="J618" s="113" t="s">
        <v>277</v>
      </c>
    </row>
    <row r="619" spans="1:10" x14ac:dyDescent="0.25">
      <c r="A619" s="111">
        <v>616</v>
      </c>
      <c r="B619" s="112" t="s">
        <v>1465</v>
      </c>
      <c r="C619" s="113" t="s">
        <v>1466</v>
      </c>
      <c r="D619" s="113" t="s">
        <v>467</v>
      </c>
      <c r="E619" s="113" t="s">
        <v>1464</v>
      </c>
      <c r="F619" s="114">
        <v>90.943704892014395</v>
      </c>
      <c r="G619" s="114">
        <v>91.06040489201439</v>
      </c>
      <c r="H619" s="114">
        <v>18.05</v>
      </c>
      <c r="I619" s="111">
        <v>1077</v>
      </c>
      <c r="J619" s="113" t="s">
        <v>277</v>
      </c>
    </row>
    <row r="620" spans="1:10" x14ac:dyDescent="0.25">
      <c r="A620" s="111">
        <v>617</v>
      </c>
      <c r="B620" s="112" t="s">
        <v>1467</v>
      </c>
      <c r="C620" s="113" t="s">
        <v>1468</v>
      </c>
      <c r="D620" s="113" t="s">
        <v>457</v>
      </c>
      <c r="E620" s="113" t="s">
        <v>1464</v>
      </c>
      <c r="F620" s="114">
        <v>1003</v>
      </c>
      <c r="G620" s="114">
        <v>1003</v>
      </c>
      <c r="H620" s="114">
        <v>0</v>
      </c>
      <c r="I620" s="111">
        <v>1497</v>
      </c>
      <c r="J620" s="113" t="s">
        <v>246</v>
      </c>
    </row>
    <row r="621" spans="1:10" x14ac:dyDescent="0.25">
      <c r="A621" s="111">
        <v>618</v>
      </c>
      <c r="B621" s="112" t="s">
        <v>2191</v>
      </c>
      <c r="C621" s="113" t="s">
        <v>2192</v>
      </c>
      <c r="D621" s="113" t="s">
        <v>457</v>
      </c>
      <c r="E621" s="113" t="s">
        <v>1464</v>
      </c>
      <c r="F621" s="114">
        <v>100.62</v>
      </c>
      <c r="G621" s="114">
        <v>100.62</v>
      </c>
      <c r="H621" s="114">
        <v>0</v>
      </c>
      <c r="I621" s="111">
        <v>1376</v>
      </c>
      <c r="J621" s="113" t="s">
        <v>246</v>
      </c>
    </row>
    <row r="622" spans="1:10" x14ac:dyDescent="0.25">
      <c r="A622" s="111">
        <v>619</v>
      </c>
      <c r="B622" s="112" t="s">
        <v>1469</v>
      </c>
      <c r="C622" s="113" t="s">
        <v>1470</v>
      </c>
      <c r="D622" s="113" t="s">
        <v>467</v>
      </c>
      <c r="E622" s="113" t="s">
        <v>1471</v>
      </c>
      <c r="F622" s="114">
        <v>100.53919423661991</v>
      </c>
      <c r="G622" s="114">
        <v>103.2280942366199</v>
      </c>
      <c r="H622" s="114">
        <v>20.38</v>
      </c>
      <c r="I622" s="111">
        <v>136</v>
      </c>
      <c r="J622" s="113" t="s">
        <v>277</v>
      </c>
    </row>
    <row r="623" spans="1:10" x14ac:dyDescent="0.25">
      <c r="A623" s="111">
        <v>620</v>
      </c>
      <c r="B623" s="112" t="s">
        <v>1472</v>
      </c>
      <c r="C623" s="113" t="s">
        <v>1473</v>
      </c>
      <c r="D623" s="113" t="s">
        <v>467</v>
      </c>
      <c r="E623" s="113" t="s">
        <v>1471</v>
      </c>
      <c r="F623" s="114">
        <v>99.825318568529582</v>
      </c>
      <c r="G623" s="114">
        <v>100.33781856852958</v>
      </c>
      <c r="H623" s="114">
        <v>20.69</v>
      </c>
      <c r="I623" s="111">
        <v>351</v>
      </c>
      <c r="J623" s="113" t="s">
        <v>277</v>
      </c>
    </row>
    <row r="624" spans="1:10" x14ac:dyDescent="0.25">
      <c r="A624" s="111">
        <v>621</v>
      </c>
      <c r="B624" s="112" t="s">
        <v>2359</v>
      </c>
      <c r="C624" s="113" t="s">
        <v>2360</v>
      </c>
      <c r="D624" s="113" t="s">
        <v>467</v>
      </c>
      <c r="E624" s="113" t="s">
        <v>1471</v>
      </c>
      <c r="F624" s="114">
        <v>100.24210346896922</v>
      </c>
      <c r="G624" s="114">
        <v>101.00040346896921</v>
      </c>
      <c r="H624" s="114">
        <v>20.84</v>
      </c>
      <c r="I624" s="111">
        <v>707</v>
      </c>
      <c r="J624" s="113" t="s">
        <v>277</v>
      </c>
    </row>
    <row r="625" spans="1:10" x14ac:dyDescent="0.25">
      <c r="A625" s="111">
        <v>622</v>
      </c>
      <c r="B625" s="112" t="s">
        <v>1475</v>
      </c>
      <c r="C625" s="113" t="s">
        <v>1476</v>
      </c>
      <c r="D625" s="113" t="s">
        <v>467</v>
      </c>
      <c r="E625" s="113" t="s">
        <v>1474</v>
      </c>
      <c r="F625" s="114">
        <v>99.535772292629289</v>
      </c>
      <c r="G625" s="114">
        <v>100.25797229262929</v>
      </c>
      <c r="H625" s="114">
        <v>12.64</v>
      </c>
      <c r="I625" s="111">
        <v>64</v>
      </c>
      <c r="J625" s="113" t="s">
        <v>277</v>
      </c>
    </row>
    <row r="626" spans="1:10" x14ac:dyDescent="0.25">
      <c r="A626" s="111">
        <v>623</v>
      </c>
      <c r="B626" s="112" t="s">
        <v>1477</v>
      </c>
      <c r="C626" s="113" t="s">
        <v>1478</v>
      </c>
      <c r="D626" s="113" t="s">
        <v>467</v>
      </c>
      <c r="E626" s="113" t="s">
        <v>1474</v>
      </c>
      <c r="F626" s="114">
        <v>99.541067248284619</v>
      </c>
      <c r="G626" s="114">
        <v>100.29106724828462</v>
      </c>
      <c r="H626" s="114">
        <v>12.64</v>
      </c>
      <c r="I626" s="111">
        <v>63</v>
      </c>
      <c r="J626" s="113" t="s">
        <v>277</v>
      </c>
    </row>
    <row r="627" spans="1:10" x14ac:dyDescent="0.25">
      <c r="A627" s="111">
        <v>624</v>
      </c>
      <c r="B627" s="112" t="s">
        <v>1479</v>
      </c>
      <c r="C627" s="113" t="s">
        <v>1480</v>
      </c>
      <c r="D627" s="113" t="s">
        <v>467</v>
      </c>
      <c r="E627" s="113" t="s">
        <v>1474</v>
      </c>
      <c r="F627" s="114">
        <v>97.601297878418151</v>
      </c>
      <c r="G627" s="114">
        <v>98.323497878418152</v>
      </c>
      <c r="H627" s="114">
        <v>22.82</v>
      </c>
      <c r="I627" s="111">
        <v>347</v>
      </c>
      <c r="J627" s="113" t="s">
        <v>277</v>
      </c>
    </row>
    <row r="628" spans="1:10" x14ac:dyDescent="0.25">
      <c r="A628" s="111">
        <v>625</v>
      </c>
      <c r="B628" s="112" t="s">
        <v>2052</v>
      </c>
      <c r="C628" s="113" t="s">
        <v>2053</v>
      </c>
      <c r="D628" s="113" t="s">
        <v>467</v>
      </c>
      <c r="E628" s="113" t="s">
        <v>1474</v>
      </c>
      <c r="F628" s="114">
        <v>101.6204478484544</v>
      </c>
      <c r="G628" s="114">
        <v>103.0287478484544</v>
      </c>
      <c r="H628" s="114">
        <v>11.89</v>
      </c>
      <c r="I628" s="111">
        <v>591</v>
      </c>
      <c r="J628" s="113" t="s">
        <v>277</v>
      </c>
    </row>
    <row r="629" spans="1:10" x14ac:dyDescent="0.25">
      <c r="A629" s="111">
        <v>626</v>
      </c>
      <c r="B629" s="112" t="s">
        <v>2287</v>
      </c>
      <c r="C629" s="113" t="s">
        <v>2288</v>
      </c>
      <c r="D629" s="113" t="s">
        <v>467</v>
      </c>
      <c r="E629" s="113" t="s">
        <v>1474</v>
      </c>
      <c r="F629" s="114">
        <v>93.932346199103492</v>
      </c>
      <c r="G629" s="114">
        <v>96.154546199103478</v>
      </c>
      <c r="H629" s="114">
        <v>22.91</v>
      </c>
      <c r="I629" s="111">
        <v>1040</v>
      </c>
      <c r="J629" s="113" t="s">
        <v>277</v>
      </c>
    </row>
    <row r="630" spans="1:10" x14ac:dyDescent="0.25">
      <c r="A630" s="111">
        <v>627</v>
      </c>
      <c r="B630" s="112" t="s">
        <v>1481</v>
      </c>
      <c r="C630" s="113" t="s">
        <v>1482</v>
      </c>
      <c r="D630" s="113" t="s">
        <v>467</v>
      </c>
      <c r="E630" s="113" t="s">
        <v>1483</v>
      </c>
      <c r="F630" s="114">
        <v>100</v>
      </c>
      <c r="G630" s="114">
        <v>100.0196</v>
      </c>
      <c r="H630" s="114">
        <v>0.02</v>
      </c>
      <c r="I630" s="111">
        <v>3122</v>
      </c>
      <c r="J630" s="113" t="s">
        <v>277</v>
      </c>
    </row>
    <row r="631" spans="1:10" x14ac:dyDescent="0.25">
      <c r="A631" s="111">
        <v>628</v>
      </c>
      <c r="B631" s="112" t="s">
        <v>1484</v>
      </c>
      <c r="C631" s="113" t="s">
        <v>1485</v>
      </c>
      <c r="D631" s="113" t="s">
        <v>467</v>
      </c>
      <c r="E631" s="113" t="s">
        <v>1483</v>
      </c>
      <c r="F631" s="114">
        <v>100</v>
      </c>
      <c r="G631" s="114">
        <v>104.6939</v>
      </c>
      <c r="H631" s="114">
        <v>7.06</v>
      </c>
      <c r="I631" s="111">
        <v>2219</v>
      </c>
      <c r="J631" s="113" t="s">
        <v>277</v>
      </c>
    </row>
    <row r="632" spans="1:10" x14ac:dyDescent="0.25">
      <c r="A632" s="111">
        <v>629</v>
      </c>
      <c r="B632" s="112" t="s">
        <v>1486</v>
      </c>
      <c r="C632" s="113" t="s">
        <v>1487</v>
      </c>
      <c r="D632" s="113" t="s">
        <v>467</v>
      </c>
      <c r="E632" s="113" t="s">
        <v>1483</v>
      </c>
      <c r="F632" s="114">
        <v>100</v>
      </c>
      <c r="G632" s="114">
        <v>100.5592</v>
      </c>
      <c r="H632" s="114">
        <v>6.09</v>
      </c>
      <c r="I632" s="111">
        <v>1737</v>
      </c>
      <c r="J632" s="113" t="s">
        <v>277</v>
      </c>
    </row>
    <row r="633" spans="1:10" x14ac:dyDescent="0.25">
      <c r="A633" s="111">
        <v>630</v>
      </c>
      <c r="B633" s="112" t="s">
        <v>1488</v>
      </c>
      <c r="C633" s="113" t="s">
        <v>1489</v>
      </c>
      <c r="D633" s="113" t="s">
        <v>467</v>
      </c>
      <c r="E633" s="113" t="s">
        <v>1483</v>
      </c>
      <c r="F633" s="114">
        <v>100</v>
      </c>
      <c r="G633" s="114">
        <v>105.3447</v>
      </c>
      <c r="H633" s="114">
        <v>7.08</v>
      </c>
      <c r="I633" s="111">
        <v>2219</v>
      </c>
      <c r="J633" s="113" t="s">
        <v>277</v>
      </c>
    </row>
    <row r="634" spans="1:10" x14ac:dyDescent="0.25">
      <c r="A634" s="111">
        <v>631</v>
      </c>
      <c r="B634" s="112" t="s">
        <v>1490</v>
      </c>
      <c r="C634" s="113" t="s">
        <v>1491</v>
      </c>
      <c r="D634" s="113" t="s">
        <v>467</v>
      </c>
      <c r="E634" s="113" t="s">
        <v>1483</v>
      </c>
      <c r="F634" s="114">
        <v>100</v>
      </c>
      <c r="G634" s="114">
        <v>104.03279999999999</v>
      </c>
      <c r="H634" s="114">
        <v>6.07</v>
      </c>
      <c r="I634" s="111">
        <v>2574</v>
      </c>
      <c r="J634" s="113" t="s">
        <v>277</v>
      </c>
    </row>
    <row r="635" spans="1:10" x14ac:dyDescent="0.25">
      <c r="A635" s="111">
        <v>632</v>
      </c>
      <c r="B635" s="112" t="s">
        <v>1492</v>
      </c>
      <c r="C635" s="113" t="s">
        <v>1493</v>
      </c>
      <c r="D635" s="113" t="s">
        <v>467</v>
      </c>
      <c r="E635" s="113" t="s">
        <v>1483</v>
      </c>
      <c r="F635" s="114">
        <v>100</v>
      </c>
      <c r="G635" s="114">
        <v>105.8289</v>
      </c>
      <c r="H635" s="114">
        <v>6.09</v>
      </c>
      <c r="I635" s="111">
        <v>2146</v>
      </c>
      <c r="J635" s="113" t="s">
        <v>277</v>
      </c>
    </row>
    <row r="636" spans="1:10" x14ac:dyDescent="0.25">
      <c r="A636" s="111">
        <v>633</v>
      </c>
      <c r="B636" s="112" t="s">
        <v>1494</v>
      </c>
      <c r="C636" s="113" t="s">
        <v>1495</v>
      </c>
      <c r="D636" s="113" t="s">
        <v>467</v>
      </c>
      <c r="E636" s="113" t="s">
        <v>1483</v>
      </c>
      <c r="F636" s="114">
        <v>100</v>
      </c>
      <c r="G636" s="114">
        <v>104.03279999999999</v>
      </c>
      <c r="H636" s="114">
        <v>6.09</v>
      </c>
      <c r="I636" s="111">
        <v>2641</v>
      </c>
      <c r="J636" s="113" t="s">
        <v>277</v>
      </c>
    </row>
    <row r="637" spans="1:10" x14ac:dyDescent="0.25">
      <c r="A637" s="111">
        <v>634</v>
      </c>
      <c r="B637" s="112" t="s">
        <v>1496</v>
      </c>
      <c r="C637" s="113" t="s">
        <v>1497</v>
      </c>
      <c r="D637" s="113" t="s">
        <v>467</v>
      </c>
      <c r="E637" s="113" t="s">
        <v>1483</v>
      </c>
      <c r="F637" s="114">
        <v>100</v>
      </c>
      <c r="G637" s="114">
        <v>104.6767</v>
      </c>
      <c r="H637" s="114">
        <v>6.08</v>
      </c>
      <c r="I637" s="111">
        <v>2574</v>
      </c>
      <c r="J637" s="113" t="s">
        <v>277</v>
      </c>
    </row>
    <row r="638" spans="1:10" x14ac:dyDescent="0.25">
      <c r="A638" s="111">
        <v>635</v>
      </c>
      <c r="B638" s="112" t="s">
        <v>1498</v>
      </c>
      <c r="C638" s="113" t="s">
        <v>1499</v>
      </c>
      <c r="D638" s="113" t="s">
        <v>467</v>
      </c>
      <c r="E638" s="113" t="s">
        <v>1483</v>
      </c>
      <c r="F638" s="114">
        <v>100</v>
      </c>
      <c r="G638" s="114">
        <v>104.6767</v>
      </c>
      <c r="H638" s="114">
        <v>6.08</v>
      </c>
      <c r="I638" s="111">
        <v>2574</v>
      </c>
      <c r="J638" s="113" t="s">
        <v>277</v>
      </c>
    </row>
    <row r="639" spans="1:10" x14ac:dyDescent="0.25">
      <c r="A639" s="111">
        <v>636</v>
      </c>
      <c r="B639" s="112" t="s">
        <v>1500</v>
      </c>
      <c r="C639" s="113" t="s">
        <v>1501</v>
      </c>
      <c r="D639" s="113" t="s">
        <v>467</v>
      </c>
      <c r="E639" s="113" t="s">
        <v>1483</v>
      </c>
      <c r="F639" s="114">
        <v>100</v>
      </c>
      <c r="G639" s="114">
        <v>103.5414</v>
      </c>
      <c r="H639" s="114">
        <v>6.08</v>
      </c>
      <c r="I639" s="111">
        <v>2641</v>
      </c>
      <c r="J639" s="113" t="s">
        <v>277</v>
      </c>
    </row>
    <row r="640" spans="1:10" x14ac:dyDescent="0.25">
      <c r="A640" s="111">
        <v>637</v>
      </c>
      <c r="B640" s="112" t="s">
        <v>2305</v>
      </c>
      <c r="C640" s="113" t="s">
        <v>2306</v>
      </c>
      <c r="D640" s="113" t="s">
        <v>467</v>
      </c>
      <c r="E640" s="113" t="s">
        <v>2307</v>
      </c>
      <c r="F640" s="114">
        <v>101.60606848531476</v>
      </c>
      <c r="G640" s="114">
        <v>103.91716848531476</v>
      </c>
      <c r="H640" s="114">
        <v>25.18</v>
      </c>
      <c r="I640" s="111">
        <v>1048</v>
      </c>
      <c r="J640" s="113" t="s">
        <v>277</v>
      </c>
    </row>
    <row r="641" spans="1:10" x14ac:dyDescent="0.25">
      <c r="A641" s="111">
        <v>638</v>
      </c>
      <c r="B641" s="112" t="s">
        <v>1502</v>
      </c>
      <c r="C641" s="113" t="s">
        <v>1503</v>
      </c>
      <c r="D641" s="113" t="s">
        <v>457</v>
      </c>
      <c r="E641" s="113" t="s">
        <v>1504</v>
      </c>
      <c r="F641" s="114">
        <v>52664.62</v>
      </c>
      <c r="G641" s="114">
        <v>52664.62</v>
      </c>
      <c r="H641" s="114">
        <v>0</v>
      </c>
      <c r="I641" s="111">
        <v>0</v>
      </c>
      <c r="J641" s="113" t="s">
        <v>246</v>
      </c>
    </row>
    <row r="642" spans="1:10" x14ac:dyDescent="0.25">
      <c r="A642" s="111">
        <v>639</v>
      </c>
      <c r="B642" s="112" t="s">
        <v>393</v>
      </c>
      <c r="C642" s="113" t="s">
        <v>394</v>
      </c>
      <c r="D642" s="113" t="s">
        <v>467</v>
      </c>
      <c r="E642" s="113" t="s">
        <v>113</v>
      </c>
      <c r="F642" s="114">
        <v>96.462999999999994</v>
      </c>
      <c r="G642" s="114">
        <v>96.462999999999994</v>
      </c>
      <c r="H642" s="114">
        <v>15.21</v>
      </c>
      <c r="I642" s="111">
        <v>88</v>
      </c>
      <c r="J642" s="113" t="s">
        <v>277</v>
      </c>
    </row>
    <row r="643" spans="1:10" x14ac:dyDescent="0.25">
      <c r="A643" s="111">
        <v>640</v>
      </c>
      <c r="B643" s="112" t="s">
        <v>2058</v>
      </c>
      <c r="C643" s="113" t="s">
        <v>2059</v>
      </c>
      <c r="D643" s="113" t="s">
        <v>467</v>
      </c>
      <c r="E643" s="113" t="s">
        <v>113</v>
      </c>
      <c r="F643" s="114">
        <v>92.245900000000006</v>
      </c>
      <c r="G643" s="114">
        <v>92.245900000000006</v>
      </c>
      <c r="H643" s="114">
        <v>15.9</v>
      </c>
      <c r="I643" s="111">
        <v>193</v>
      </c>
      <c r="J643" s="113" t="s">
        <v>277</v>
      </c>
    </row>
    <row r="644" spans="1:10" x14ac:dyDescent="0.25">
      <c r="A644" s="111">
        <v>641</v>
      </c>
      <c r="B644" s="112" t="s">
        <v>2212</v>
      </c>
      <c r="C644" s="113" t="s">
        <v>2213</v>
      </c>
      <c r="D644" s="113" t="s">
        <v>467</v>
      </c>
      <c r="E644" s="113" t="s">
        <v>113</v>
      </c>
      <c r="F644" s="114">
        <v>88.4</v>
      </c>
      <c r="G644" s="114">
        <v>88.4</v>
      </c>
      <c r="H644" s="114">
        <v>16.46</v>
      </c>
      <c r="I644" s="111">
        <v>291</v>
      </c>
      <c r="J644" s="113" t="s">
        <v>277</v>
      </c>
    </row>
    <row r="645" spans="1:10" x14ac:dyDescent="0.25">
      <c r="A645" s="111">
        <v>642</v>
      </c>
      <c r="B645" s="112" t="s">
        <v>1505</v>
      </c>
      <c r="C645" s="113" t="s">
        <v>1506</v>
      </c>
      <c r="D645" s="113" t="s">
        <v>457</v>
      </c>
      <c r="E645" s="113" t="s">
        <v>1507</v>
      </c>
      <c r="F645" s="114">
        <v>0.01</v>
      </c>
      <c r="G645" s="114">
        <v>0.01</v>
      </c>
      <c r="H645" s="114">
        <v>0</v>
      </c>
      <c r="I645" s="111">
        <v>0</v>
      </c>
      <c r="J645" s="113" t="s">
        <v>246</v>
      </c>
    </row>
    <row r="646" spans="1:10" x14ac:dyDescent="0.25">
      <c r="A646" s="111">
        <v>643</v>
      </c>
      <c r="B646" s="112" t="s">
        <v>1508</v>
      </c>
      <c r="C646" s="113" t="s">
        <v>1509</v>
      </c>
      <c r="D646" s="113" t="s">
        <v>457</v>
      </c>
      <c r="E646" s="113" t="s">
        <v>1507</v>
      </c>
      <c r="F646" s="114">
        <v>5695</v>
      </c>
      <c r="G646" s="114">
        <v>5695</v>
      </c>
      <c r="H646" s="114">
        <v>0</v>
      </c>
      <c r="I646" s="111">
        <v>0</v>
      </c>
      <c r="J646" s="113" t="s">
        <v>246</v>
      </c>
    </row>
    <row r="647" spans="1:10" x14ac:dyDescent="0.25">
      <c r="A647" s="111">
        <v>644</v>
      </c>
      <c r="B647" s="112" t="s">
        <v>1510</v>
      </c>
      <c r="C647" s="113" t="s">
        <v>1511</v>
      </c>
      <c r="D647" s="113" t="s">
        <v>457</v>
      </c>
      <c r="E647" s="113" t="s">
        <v>1512</v>
      </c>
      <c r="F647" s="114">
        <v>13000</v>
      </c>
      <c r="G647" s="114">
        <v>13000</v>
      </c>
      <c r="H647" s="114">
        <v>0</v>
      </c>
      <c r="I647" s="111">
        <v>0</v>
      </c>
      <c r="J647" s="113" t="s">
        <v>246</v>
      </c>
    </row>
    <row r="648" spans="1:10" x14ac:dyDescent="0.25">
      <c r="A648" s="111">
        <v>645</v>
      </c>
      <c r="B648" s="112" t="s">
        <v>1513</v>
      </c>
      <c r="C648" s="113" t="s">
        <v>1514</v>
      </c>
      <c r="D648" s="113" t="s">
        <v>467</v>
      </c>
      <c r="E648" s="113" t="s">
        <v>1515</v>
      </c>
      <c r="F648" s="114">
        <v>88.960825933354428</v>
      </c>
      <c r="G648" s="114">
        <v>90.960825933354428</v>
      </c>
      <c r="H648" s="114">
        <v>10.87</v>
      </c>
      <c r="I648" s="111">
        <v>960</v>
      </c>
      <c r="J648" s="113" t="s">
        <v>277</v>
      </c>
    </row>
    <row r="649" spans="1:10" x14ac:dyDescent="0.25">
      <c r="A649" s="111">
        <v>646</v>
      </c>
      <c r="B649" s="112" t="s">
        <v>119</v>
      </c>
      <c r="C649" s="113" t="s">
        <v>4</v>
      </c>
      <c r="D649" s="113" t="s">
        <v>467</v>
      </c>
      <c r="E649" s="113" t="s">
        <v>113</v>
      </c>
      <c r="F649" s="114">
        <v>97.631699999999995</v>
      </c>
      <c r="G649" s="114">
        <v>97.839200000000005</v>
      </c>
      <c r="H649" s="114">
        <v>15.97</v>
      </c>
      <c r="I649" s="111">
        <v>173</v>
      </c>
      <c r="J649" s="113" t="s">
        <v>277</v>
      </c>
    </row>
    <row r="650" spans="1:10" x14ac:dyDescent="0.25">
      <c r="A650" s="111">
        <v>647</v>
      </c>
      <c r="B650" s="112" t="s">
        <v>120</v>
      </c>
      <c r="C650" s="113" t="s">
        <v>121</v>
      </c>
      <c r="D650" s="113" t="s">
        <v>467</v>
      </c>
      <c r="E650" s="113" t="s">
        <v>113</v>
      </c>
      <c r="F650" s="114">
        <v>98.003900000000002</v>
      </c>
      <c r="G650" s="114">
        <v>99.302499999999995</v>
      </c>
      <c r="H650" s="114">
        <v>16.16</v>
      </c>
      <c r="I650" s="111">
        <v>326</v>
      </c>
      <c r="J650" s="113" t="s">
        <v>277</v>
      </c>
    </row>
    <row r="651" spans="1:10" x14ac:dyDescent="0.25">
      <c r="A651" s="111">
        <v>648</v>
      </c>
      <c r="B651" s="112" t="s">
        <v>122</v>
      </c>
      <c r="C651" s="113" t="s">
        <v>123</v>
      </c>
      <c r="D651" s="113" t="s">
        <v>467</v>
      </c>
      <c r="E651" s="113" t="s">
        <v>113</v>
      </c>
      <c r="F651" s="114">
        <v>97.570800000000006</v>
      </c>
      <c r="G651" s="114">
        <v>102.6675</v>
      </c>
      <c r="H651" s="114">
        <v>16.28</v>
      </c>
      <c r="I651" s="111">
        <v>408</v>
      </c>
      <c r="J651" s="113" t="s">
        <v>277</v>
      </c>
    </row>
    <row r="652" spans="1:10" x14ac:dyDescent="0.25">
      <c r="A652" s="111">
        <v>649</v>
      </c>
      <c r="B652" s="112" t="s">
        <v>124</v>
      </c>
      <c r="C652" s="113" t="s">
        <v>125</v>
      </c>
      <c r="D652" s="113" t="s">
        <v>467</v>
      </c>
      <c r="E652" s="113" t="s">
        <v>113</v>
      </c>
      <c r="F652" s="114">
        <v>94.809100000000001</v>
      </c>
      <c r="G652" s="114">
        <v>99.884100000000004</v>
      </c>
      <c r="H652" s="114">
        <v>16.239999999999998</v>
      </c>
      <c r="I652" s="111">
        <v>366</v>
      </c>
      <c r="J652" s="113" t="s">
        <v>277</v>
      </c>
    </row>
    <row r="653" spans="1:10" x14ac:dyDescent="0.25">
      <c r="A653" s="111">
        <v>650</v>
      </c>
      <c r="B653" s="112" t="s">
        <v>126</v>
      </c>
      <c r="C653" s="113" t="s">
        <v>127</v>
      </c>
      <c r="D653" s="113" t="s">
        <v>467</v>
      </c>
      <c r="E653" s="113" t="s">
        <v>113</v>
      </c>
      <c r="F653" s="114">
        <v>98.092500000000001</v>
      </c>
      <c r="G653" s="114">
        <v>101.0772</v>
      </c>
      <c r="H653" s="114">
        <v>16.34</v>
      </c>
      <c r="I653" s="111">
        <v>830</v>
      </c>
      <c r="J653" s="113" t="s">
        <v>277</v>
      </c>
    </row>
    <row r="654" spans="1:10" x14ac:dyDescent="0.25">
      <c r="A654" s="111">
        <v>651</v>
      </c>
      <c r="B654" s="112" t="s">
        <v>1516</v>
      </c>
      <c r="C654" s="113" t="s">
        <v>1517</v>
      </c>
      <c r="D654" s="113" t="s">
        <v>457</v>
      </c>
      <c r="E654" s="113" t="s">
        <v>1518</v>
      </c>
      <c r="F654" s="114">
        <v>0.01</v>
      </c>
      <c r="G654" s="114">
        <v>0.01</v>
      </c>
      <c r="H654" s="114">
        <v>0</v>
      </c>
      <c r="I654" s="111">
        <v>0</v>
      </c>
      <c r="J654" s="113" t="s">
        <v>246</v>
      </c>
    </row>
    <row r="655" spans="1:10" x14ac:dyDescent="0.25">
      <c r="A655" s="111">
        <v>652</v>
      </c>
      <c r="B655" s="112" t="s">
        <v>1519</v>
      </c>
      <c r="C655" s="113" t="s">
        <v>1520</v>
      </c>
      <c r="D655" s="113" t="s">
        <v>457</v>
      </c>
      <c r="E655" s="113" t="s">
        <v>1521</v>
      </c>
      <c r="F655" s="114">
        <v>18517.3246</v>
      </c>
      <c r="G655" s="114">
        <v>18517.3246</v>
      </c>
      <c r="H655" s="114">
        <v>0</v>
      </c>
      <c r="I655" s="111">
        <v>0</v>
      </c>
      <c r="J655" s="113" t="s">
        <v>246</v>
      </c>
    </row>
    <row r="656" spans="1:10" x14ac:dyDescent="0.25">
      <c r="A656" s="111">
        <v>653</v>
      </c>
      <c r="B656" s="112" t="s">
        <v>1522</v>
      </c>
      <c r="C656" s="113" t="s">
        <v>1523</v>
      </c>
      <c r="D656" s="113" t="s">
        <v>457</v>
      </c>
      <c r="E656" s="113" t="s">
        <v>1524</v>
      </c>
      <c r="F656" s="114">
        <v>279644.88244999998</v>
      </c>
      <c r="G656" s="114">
        <v>279644.88244999998</v>
      </c>
      <c r="H656" s="114">
        <v>0</v>
      </c>
      <c r="I656" s="111">
        <v>0</v>
      </c>
      <c r="J656" s="113" t="s">
        <v>246</v>
      </c>
    </row>
    <row r="657" spans="1:10" x14ac:dyDescent="0.25">
      <c r="A657" s="111">
        <v>654</v>
      </c>
      <c r="B657" s="112" t="s">
        <v>1525</v>
      </c>
      <c r="C657" s="113" t="s">
        <v>1526</v>
      </c>
      <c r="D657" s="113" t="s">
        <v>457</v>
      </c>
      <c r="E657" s="113" t="s">
        <v>1527</v>
      </c>
      <c r="F657" s="114">
        <v>104431.38189999999</v>
      </c>
      <c r="G657" s="114">
        <v>104431.38189999999</v>
      </c>
      <c r="H657" s="114">
        <v>0</v>
      </c>
      <c r="I657" s="111">
        <v>0</v>
      </c>
      <c r="J657" s="113" t="s">
        <v>246</v>
      </c>
    </row>
    <row r="658" spans="1:10" x14ac:dyDescent="0.25">
      <c r="A658" s="111">
        <v>655</v>
      </c>
      <c r="B658" s="112" t="s">
        <v>128</v>
      </c>
      <c r="C658" s="113" t="s">
        <v>129</v>
      </c>
      <c r="D658" s="113" t="s">
        <v>467</v>
      </c>
      <c r="E658" s="113" t="s">
        <v>113</v>
      </c>
      <c r="F658" s="114">
        <v>100</v>
      </c>
      <c r="G658" s="114">
        <v>100</v>
      </c>
      <c r="H658" s="114">
        <v>16.797000000000001</v>
      </c>
      <c r="I658" s="111">
        <v>7</v>
      </c>
      <c r="J658" s="113" t="s">
        <v>277</v>
      </c>
    </row>
    <row r="659" spans="1:10" x14ac:dyDescent="0.25">
      <c r="A659" s="111">
        <v>656</v>
      </c>
      <c r="B659" s="112" t="s">
        <v>130</v>
      </c>
      <c r="C659" s="113" t="s">
        <v>131</v>
      </c>
      <c r="D659" s="113" t="s">
        <v>467</v>
      </c>
      <c r="E659" s="113" t="s">
        <v>113</v>
      </c>
      <c r="F659" s="114">
        <v>100</v>
      </c>
      <c r="G659" s="114">
        <v>100</v>
      </c>
      <c r="H659" s="114">
        <v>16.937999999999999</v>
      </c>
      <c r="I659" s="111">
        <v>401</v>
      </c>
      <c r="J659" s="113" t="s">
        <v>277</v>
      </c>
    </row>
    <row r="660" spans="1:10" x14ac:dyDescent="0.25">
      <c r="A660" s="111">
        <v>657</v>
      </c>
      <c r="B660" s="112" t="s">
        <v>132</v>
      </c>
      <c r="C660" s="113" t="s">
        <v>133</v>
      </c>
      <c r="D660" s="113" t="s">
        <v>467</v>
      </c>
      <c r="E660" s="113" t="s">
        <v>113</v>
      </c>
      <c r="F660" s="114">
        <v>100</v>
      </c>
      <c r="G660" s="114">
        <v>100</v>
      </c>
      <c r="H660" s="114">
        <v>17.088000000000001</v>
      </c>
      <c r="I660" s="111">
        <v>796</v>
      </c>
      <c r="J660" s="113" t="s">
        <v>277</v>
      </c>
    </row>
    <row r="661" spans="1:10" x14ac:dyDescent="0.25">
      <c r="A661" s="111">
        <v>658</v>
      </c>
      <c r="B661" s="112" t="s">
        <v>134</v>
      </c>
      <c r="C661" s="113" t="s">
        <v>135</v>
      </c>
      <c r="D661" s="113" t="s">
        <v>467</v>
      </c>
      <c r="E661" s="113" t="s">
        <v>113</v>
      </c>
      <c r="F661" s="114">
        <v>100</v>
      </c>
      <c r="G661" s="114">
        <v>100</v>
      </c>
      <c r="H661" s="114">
        <v>17.288</v>
      </c>
      <c r="I661" s="111">
        <v>1190</v>
      </c>
      <c r="J661" s="113" t="s">
        <v>277</v>
      </c>
    </row>
    <row r="662" spans="1:10" x14ac:dyDescent="0.25">
      <c r="A662" s="111">
        <v>659</v>
      </c>
      <c r="B662" s="112" t="s">
        <v>136</v>
      </c>
      <c r="C662" s="113" t="s">
        <v>137</v>
      </c>
      <c r="D662" s="113" t="s">
        <v>467</v>
      </c>
      <c r="E662" s="113" t="s">
        <v>113</v>
      </c>
      <c r="F662" s="114">
        <v>100</v>
      </c>
      <c r="G662" s="114">
        <v>100</v>
      </c>
      <c r="H662" s="114">
        <v>17.388000000000002</v>
      </c>
      <c r="I662" s="111">
        <v>1655</v>
      </c>
      <c r="J662" s="113" t="s">
        <v>277</v>
      </c>
    </row>
    <row r="663" spans="1:10" x14ac:dyDescent="0.25">
      <c r="A663" s="111">
        <v>660</v>
      </c>
      <c r="B663" s="112" t="s">
        <v>138</v>
      </c>
      <c r="C663" s="113" t="s">
        <v>139</v>
      </c>
      <c r="D663" s="113" t="s">
        <v>467</v>
      </c>
      <c r="E663" s="113" t="s">
        <v>113</v>
      </c>
      <c r="F663" s="114">
        <v>100</v>
      </c>
      <c r="G663" s="114">
        <v>100</v>
      </c>
      <c r="H663" s="114">
        <v>17.488</v>
      </c>
      <c r="I663" s="111">
        <v>1965</v>
      </c>
      <c r="J663" s="113" t="s">
        <v>277</v>
      </c>
    </row>
    <row r="664" spans="1:10" x14ac:dyDescent="0.25">
      <c r="A664" s="111">
        <v>661</v>
      </c>
      <c r="B664" s="112" t="s">
        <v>291</v>
      </c>
      <c r="C664" s="113" t="s">
        <v>292</v>
      </c>
      <c r="D664" s="113" t="s">
        <v>467</v>
      </c>
      <c r="E664" s="113" t="s">
        <v>113</v>
      </c>
      <c r="F664" s="114">
        <v>99.853499999999997</v>
      </c>
      <c r="G664" s="114">
        <v>99.853499999999997</v>
      </c>
      <c r="H664" s="114">
        <v>11.798</v>
      </c>
      <c r="I664" s="111">
        <v>119</v>
      </c>
      <c r="J664" s="113" t="s">
        <v>277</v>
      </c>
    </row>
    <row r="665" spans="1:10" x14ac:dyDescent="0.25">
      <c r="A665" s="111">
        <v>662</v>
      </c>
      <c r="B665" s="112" t="s">
        <v>293</v>
      </c>
      <c r="C665" s="113" t="s">
        <v>294</v>
      </c>
      <c r="D665" s="113" t="s">
        <v>467</v>
      </c>
      <c r="E665" s="113" t="s">
        <v>113</v>
      </c>
      <c r="F665" s="114">
        <v>99.905100000000004</v>
      </c>
      <c r="G665" s="114">
        <v>99.905100000000004</v>
      </c>
      <c r="H665" s="114">
        <v>11.798</v>
      </c>
      <c r="I665" s="111">
        <v>422</v>
      </c>
      <c r="J665" s="113" t="s">
        <v>277</v>
      </c>
    </row>
    <row r="666" spans="1:10" x14ac:dyDescent="0.25">
      <c r="A666" s="111">
        <v>663</v>
      </c>
      <c r="B666" s="112" t="s">
        <v>295</v>
      </c>
      <c r="C666" s="113" t="s">
        <v>296</v>
      </c>
      <c r="D666" s="113" t="s">
        <v>467</v>
      </c>
      <c r="E666" s="113" t="s">
        <v>113</v>
      </c>
      <c r="F666" s="114">
        <v>99.855400000000003</v>
      </c>
      <c r="G666" s="114">
        <v>99.855400000000003</v>
      </c>
      <c r="H666" s="114">
        <v>11.798</v>
      </c>
      <c r="I666" s="111">
        <v>241</v>
      </c>
      <c r="J666" s="113" t="s">
        <v>277</v>
      </c>
    </row>
    <row r="667" spans="1:10" x14ac:dyDescent="0.25">
      <c r="A667" s="111">
        <v>664</v>
      </c>
      <c r="B667" s="112" t="s">
        <v>297</v>
      </c>
      <c r="C667" s="113" t="s">
        <v>298</v>
      </c>
      <c r="D667" s="113" t="s">
        <v>467</v>
      </c>
      <c r="E667" s="113" t="s">
        <v>113</v>
      </c>
      <c r="F667" s="114">
        <v>99.948999999999998</v>
      </c>
      <c r="G667" s="114">
        <v>99.948999999999998</v>
      </c>
      <c r="H667" s="114">
        <v>11.798</v>
      </c>
      <c r="I667" s="111">
        <v>390</v>
      </c>
      <c r="J667" s="113" t="s">
        <v>277</v>
      </c>
    </row>
    <row r="668" spans="1:10" x14ac:dyDescent="0.25">
      <c r="A668" s="111">
        <v>665</v>
      </c>
      <c r="B668" s="112" t="s">
        <v>299</v>
      </c>
      <c r="C668" s="113" t="s">
        <v>300</v>
      </c>
      <c r="D668" s="113" t="s">
        <v>467</v>
      </c>
      <c r="E668" s="113" t="s">
        <v>113</v>
      </c>
      <c r="F668" s="114">
        <v>99.875500000000002</v>
      </c>
      <c r="G668" s="114">
        <v>99.875500000000002</v>
      </c>
      <c r="H668" s="114">
        <v>11.798</v>
      </c>
      <c r="I668" s="111">
        <v>90</v>
      </c>
      <c r="J668" s="113" t="s">
        <v>277</v>
      </c>
    </row>
    <row r="669" spans="1:10" x14ac:dyDescent="0.25">
      <c r="A669" s="111">
        <v>666</v>
      </c>
      <c r="B669" s="112" t="s">
        <v>301</v>
      </c>
      <c r="C669" s="113" t="s">
        <v>302</v>
      </c>
      <c r="D669" s="113" t="s">
        <v>467</v>
      </c>
      <c r="E669" s="113" t="s">
        <v>113</v>
      </c>
      <c r="F669" s="114">
        <v>99.842799999999997</v>
      </c>
      <c r="G669" s="114">
        <v>99.842799999999997</v>
      </c>
      <c r="H669" s="114">
        <v>11.888</v>
      </c>
      <c r="I669" s="111">
        <v>1215</v>
      </c>
      <c r="J669" s="113" t="s">
        <v>277</v>
      </c>
    </row>
    <row r="670" spans="1:10" x14ac:dyDescent="0.25">
      <c r="A670" s="111">
        <v>667</v>
      </c>
      <c r="B670" s="112" t="s">
        <v>303</v>
      </c>
      <c r="C670" s="113" t="s">
        <v>304</v>
      </c>
      <c r="D670" s="113" t="s">
        <v>467</v>
      </c>
      <c r="E670" s="113" t="s">
        <v>113</v>
      </c>
      <c r="F670" s="114">
        <v>99.874600000000001</v>
      </c>
      <c r="G670" s="114">
        <v>99.874600000000001</v>
      </c>
      <c r="H670" s="114">
        <v>11.798</v>
      </c>
      <c r="I670" s="111">
        <v>91</v>
      </c>
      <c r="J670" s="113" t="s">
        <v>277</v>
      </c>
    </row>
    <row r="671" spans="1:10" x14ac:dyDescent="0.25">
      <c r="A671" s="111">
        <v>668</v>
      </c>
      <c r="B671" s="112" t="s">
        <v>305</v>
      </c>
      <c r="C671" s="113" t="s">
        <v>306</v>
      </c>
      <c r="D671" s="113" t="s">
        <v>467</v>
      </c>
      <c r="E671" s="113" t="s">
        <v>113</v>
      </c>
      <c r="F671" s="114">
        <v>99.909800000000004</v>
      </c>
      <c r="G671" s="114">
        <v>99.909800000000004</v>
      </c>
      <c r="H671" s="114">
        <v>11.798</v>
      </c>
      <c r="I671" s="111">
        <v>300</v>
      </c>
      <c r="J671" s="113" t="s">
        <v>277</v>
      </c>
    </row>
    <row r="672" spans="1:10" x14ac:dyDescent="0.25">
      <c r="A672" s="111">
        <v>669</v>
      </c>
      <c r="B672" s="112" t="s">
        <v>307</v>
      </c>
      <c r="C672" s="113" t="s">
        <v>308</v>
      </c>
      <c r="D672" s="113" t="s">
        <v>467</v>
      </c>
      <c r="E672" s="113" t="s">
        <v>113</v>
      </c>
      <c r="F672" s="114">
        <v>99.837000000000003</v>
      </c>
      <c r="G672" s="114">
        <v>99.837000000000003</v>
      </c>
      <c r="H672" s="114">
        <v>11.888</v>
      </c>
      <c r="I672" s="111">
        <v>1646</v>
      </c>
      <c r="J672" s="113" t="s">
        <v>277</v>
      </c>
    </row>
    <row r="673" spans="1:10" x14ac:dyDescent="0.25">
      <c r="A673" s="111">
        <v>670</v>
      </c>
      <c r="B673" s="112" t="s">
        <v>309</v>
      </c>
      <c r="C673" s="113" t="s">
        <v>310</v>
      </c>
      <c r="D673" s="113" t="s">
        <v>467</v>
      </c>
      <c r="E673" s="113" t="s">
        <v>113</v>
      </c>
      <c r="F673" s="114">
        <v>99.909800000000004</v>
      </c>
      <c r="G673" s="114">
        <v>99.909800000000004</v>
      </c>
      <c r="H673" s="114">
        <v>11.798</v>
      </c>
      <c r="I673" s="111">
        <v>300</v>
      </c>
      <c r="J673" s="113" t="s">
        <v>277</v>
      </c>
    </row>
    <row r="674" spans="1:10" x14ac:dyDescent="0.25">
      <c r="A674" s="111">
        <v>671</v>
      </c>
      <c r="B674" s="112" t="s">
        <v>311</v>
      </c>
      <c r="C674" s="113" t="s">
        <v>312</v>
      </c>
      <c r="D674" s="113" t="s">
        <v>467</v>
      </c>
      <c r="E674" s="113" t="s">
        <v>113</v>
      </c>
      <c r="F674" s="114">
        <v>99.996300000000005</v>
      </c>
      <c r="G674" s="114">
        <v>99.996300000000005</v>
      </c>
      <c r="H674" s="114">
        <v>11.798</v>
      </c>
      <c r="I674" s="111">
        <v>362</v>
      </c>
      <c r="J674" s="113" t="s">
        <v>277</v>
      </c>
    </row>
    <row r="675" spans="1:10" x14ac:dyDescent="0.25">
      <c r="A675" s="111">
        <v>672</v>
      </c>
      <c r="B675" s="112" t="s">
        <v>313</v>
      </c>
      <c r="C675" s="113" t="s">
        <v>314</v>
      </c>
      <c r="D675" s="113" t="s">
        <v>467</v>
      </c>
      <c r="E675" s="113" t="s">
        <v>113</v>
      </c>
      <c r="F675" s="114">
        <v>99.878699999999995</v>
      </c>
      <c r="G675" s="114">
        <v>99.878699999999995</v>
      </c>
      <c r="H675" s="114">
        <v>11.798</v>
      </c>
      <c r="I675" s="111">
        <v>631</v>
      </c>
      <c r="J675" s="113" t="s">
        <v>277</v>
      </c>
    </row>
    <row r="676" spans="1:10" x14ac:dyDescent="0.25">
      <c r="A676" s="111">
        <v>673</v>
      </c>
      <c r="B676" s="112" t="s">
        <v>315</v>
      </c>
      <c r="C676" s="113" t="s">
        <v>316</v>
      </c>
      <c r="D676" s="113" t="s">
        <v>467</v>
      </c>
      <c r="E676" s="113" t="s">
        <v>113</v>
      </c>
      <c r="F676" s="114">
        <v>99.998099999999994</v>
      </c>
      <c r="G676" s="114">
        <v>99.998099999999994</v>
      </c>
      <c r="H676" s="114">
        <v>11.798</v>
      </c>
      <c r="I676" s="111">
        <v>721</v>
      </c>
      <c r="J676" s="113" t="s">
        <v>277</v>
      </c>
    </row>
    <row r="677" spans="1:10" x14ac:dyDescent="0.25">
      <c r="A677" s="111">
        <v>674</v>
      </c>
      <c r="B677" s="112" t="s">
        <v>317</v>
      </c>
      <c r="C677" s="113" t="s">
        <v>318</v>
      </c>
      <c r="D677" s="113" t="s">
        <v>467</v>
      </c>
      <c r="E677" s="113" t="s">
        <v>113</v>
      </c>
      <c r="F677" s="114">
        <v>99.840599999999995</v>
      </c>
      <c r="G677" s="114">
        <v>99.840599999999995</v>
      </c>
      <c r="H677" s="114">
        <v>11.798</v>
      </c>
      <c r="I677" s="111">
        <v>1290</v>
      </c>
      <c r="J677" s="113" t="s">
        <v>277</v>
      </c>
    </row>
    <row r="678" spans="1:10" x14ac:dyDescent="0.25">
      <c r="A678" s="111">
        <v>675</v>
      </c>
      <c r="B678" s="112" t="s">
        <v>319</v>
      </c>
      <c r="C678" s="113" t="s">
        <v>320</v>
      </c>
      <c r="D678" s="113" t="s">
        <v>467</v>
      </c>
      <c r="E678" s="113" t="s">
        <v>113</v>
      </c>
      <c r="F678" s="114">
        <v>99.950500000000005</v>
      </c>
      <c r="G678" s="114">
        <v>99.950500000000005</v>
      </c>
      <c r="H678" s="114">
        <v>11.798</v>
      </c>
      <c r="I678" s="111">
        <v>1410</v>
      </c>
      <c r="J678" s="113" t="s">
        <v>277</v>
      </c>
    </row>
    <row r="679" spans="1:10" x14ac:dyDescent="0.25">
      <c r="A679" s="111">
        <v>676</v>
      </c>
      <c r="B679" s="112" t="s">
        <v>321</v>
      </c>
      <c r="C679" s="113" t="s">
        <v>322</v>
      </c>
      <c r="D679" s="113" t="s">
        <v>467</v>
      </c>
      <c r="E679" s="113" t="s">
        <v>113</v>
      </c>
      <c r="F679" s="114">
        <v>99.951999999999998</v>
      </c>
      <c r="G679" s="114">
        <v>99.951999999999998</v>
      </c>
      <c r="H679" s="114">
        <v>11.798</v>
      </c>
      <c r="I679" s="111">
        <v>691</v>
      </c>
      <c r="J679" s="113" t="s">
        <v>277</v>
      </c>
    </row>
    <row r="680" spans="1:10" x14ac:dyDescent="0.25">
      <c r="A680" s="111">
        <v>677</v>
      </c>
      <c r="B680" s="112" t="s">
        <v>323</v>
      </c>
      <c r="C680" s="113" t="s">
        <v>324</v>
      </c>
      <c r="D680" s="113" t="s">
        <v>467</v>
      </c>
      <c r="E680" s="113" t="s">
        <v>113</v>
      </c>
      <c r="F680" s="114">
        <v>99.854100000000003</v>
      </c>
      <c r="G680" s="114">
        <v>99.854100000000003</v>
      </c>
      <c r="H680" s="114">
        <v>11.798</v>
      </c>
      <c r="I680" s="111">
        <v>838</v>
      </c>
      <c r="J680" s="113" t="s">
        <v>277</v>
      </c>
    </row>
    <row r="681" spans="1:10" x14ac:dyDescent="0.25">
      <c r="A681" s="111">
        <v>678</v>
      </c>
      <c r="B681" s="112" t="s">
        <v>325</v>
      </c>
      <c r="C681" s="113" t="s">
        <v>326</v>
      </c>
      <c r="D681" s="113" t="s">
        <v>467</v>
      </c>
      <c r="E681" s="113" t="s">
        <v>113</v>
      </c>
      <c r="F681" s="114">
        <v>99.839699999999993</v>
      </c>
      <c r="G681" s="114">
        <v>99.839699999999993</v>
      </c>
      <c r="H681" s="114">
        <v>11.798</v>
      </c>
      <c r="I681" s="111">
        <v>927</v>
      </c>
      <c r="J681" s="113" t="s">
        <v>277</v>
      </c>
    </row>
    <row r="682" spans="1:10" x14ac:dyDescent="0.25">
      <c r="A682" s="111">
        <v>679</v>
      </c>
      <c r="B682" s="112" t="s">
        <v>327</v>
      </c>
      <c r="C682" s="113" t="s">
        <v>328</v>
      </c>
      <c r="D682" s="113" t="s">
        <v>467</v>
      </c>
      <c r="E682" s="113" t="s">
        <v>113</v>
      </c>
      <c r="F682" s="114">
        <v>99.950500000000005</v>
      </c>
      <c r="G682" s="114">
        <v>99.950500000000005</v>
      </c>
      <c r="H682" s="114">
        <v>11.798</v>
      </c>
      <c r="I682" s="111">
        <v>1469</v>
      </c>
      <c r="J682" s="113" t="s">
        <v>277</v>
      </c>
    </row>
    <row r="683" spans="1:10" x14ac:dyDescent="0.25">
      <c r="A683" s="111">
        <v>680</v>
      </c>
      <c r="B683" s="112" t="s">
        <v>329</v>
      </c>
      <c r="C683" s="113" t="s">
        <v>330</v>
      </c>
      <c r="D683" s="113" t="s">
        <v>467</v>
      </c>
      <c r="E683" s="113" t="s">
        <v>113</v>
      </c>
      <c r="F683" s="114">
        <v>99.912199999999999</v>
      </c>
      <c r="G683" s="114">
        <v>99.912199999999999</v>
      </c>
      <c r="H683" s="114">
        <v>11.798</v>
      </c>
      <c r="I683" s="111">
        <v>1742</v>
      </c>
      <c r="J683" s="113" t="s">
        <v>277</v>
      </c>
    </row>
    <row r="684" spans="1:10" x14ac:dyDescent="0.25">
      <c r="A684" s="111">
        <v>681</v>
      </c>
      <c r="B684" s="112" t="s">
        <v>331</v>
      </c>
      <c r="C684" s="113" t="s">
        <v>332</v>
      </c>
      <c r="D684" s="113" t="s">
        <v>467</v>
      </c>
      <c r="E684" s="113" t="s">
        <v>113</v>
      </c>
      <c r="F684" s="114">
        <v>99.950500000000005</v>
      </c>
      <c r="G684" s="114">
        <v>99.950500000000005</v>
      </c>
      <c r="H684" s="114">
        <v>11.798</v>
      </c>
      <c r="I684" s="111">
        <v>1109</v>
      </c>
      <c r="J684" s="113" t="s">
        <v>277</v>
      </c>
    </row>
    <row r="685" spans="1:10" x14ac:dyDescent="0.25">
      <c r="A685" s="111">
        <v>682</v>
      </c>
      <c r="B685" s="112" t="s">
        <v>333</v>
      </c>
      <c r="C685" s="113" t="s">
        <v>334</v>
      </c>
      <c r="D685" s="113" t="s">
        <v>467</v>
      </c>
      <c r="E685" s="113" t="s">
        <v>113</v>
      </c>
      <c r="F685" s="114">
        <v>99.839100000000002</v>
      </c>
      <c r="G685" s="114">
        <v>99.839100000000002</v>
      </c>
      <c r="H685" s="114">
        <v>11.798</v>
      </c>
      <c r="I685" s="111">
        <v>1232</v>
      </c>
      <c r="J685" s="113" t="s">
        <v>277</v>
      </c>
    </row>
    <row r="686" spans="1:10" x14ac:dyDescent="0.25">
      <c r="A686" s="111">
        <v>683</v>
      </c>
      <c r="B686" s="112" t="s">
        <v>335</v>
      </c>
      <c r="C686" s="113" t="s">
        <v>336</v>
      </c>
      <c r="D686" s="113" t="s">
        <v>467</v>
      </c>
      <c r="E686" s="113" t="s">
        <v>113</v>
      </c>
      <c r="F686" s="114">
        <v>99.951999999999998</v>
      </c>
      <c r="G686" s="114">
        <v>99.951999999999998</v>
      </c>
      <c r="H686" s="114">
        <v>11.798</v>
      </c>
      <c r="I686" s="111">
        <v>1411</v>
      </c>
      <c r="J686" s="113" t="s">
        <v>277</v>
      </c>
    </row>
    <row r="687" spans="1:10" x14ac:dyDescent="0.25">
      <c r="A687" s="111">
        <v>684</v>
      </c>
      <c r="B687" s="112" t="s">
        <v>337</v>
      </c>
      <c r="C687" s="113" t="s">
        <v>338</v>
      </c>
      <c r="D687" s="113" t="s">
        <v>467</v>
      </c>
      <c r="E687" s="113" t="s">
        <v>113</v>
      </c>
      <c r="F687" s="114">
        <v>99.835599999999999</v>
      </c>
      <c r="G687" s="114">
        <v>99.835599999999999</v>
      </c>
      <c r="H687" s="114">
        <v>11.798</v>
      </c>
      <c r="I687" s="111">
        <v>1620</v>
      </c>
      <c r="J687" s="113" t="s">
        <v>277</v>
      </c>
    </row>
    <row r="688" spans="1:10" x14ac:dyDescent="0.25">
      <c r="A688" s="111">
        <v>685</v>
      </c>
      <c r="B688" s="112" t="s">
        <v>339</v>
      </c>
      <c r="C688" s="113" t="s">
        <v>340</v>
      </c>
      <c r="D688" s="113" t="s">
        <v>467</v>
      </c>
      <c r="E688" s="113" t="s">
        <v>113</v>
      </c>
      <c r="F688" s="114">
        <v>99.906300000000002</v>
      </c>
      <c r="G688" s="114">
        <v>99.906300000000002</v>
      </c>
      <c r="H688" s="114">
        <v>11.798</v>
      </c>
      <c r="I688" s="111">
        <v>1861</v>
      </c>
      <c r="J688" s="113" t="s">
        <v>277</v>
      </c>
    </row>
    <row r="689" spans="1:10" x14ac:dyDescent="0.25">
      <c r="A689" s="111">
        <v>686</v>
      </c>
      <c r="B689" s="112" t="s">
        <v>341</v>
      </c>
      <c r="C689" s="113" t="s">
        <v>342</v>
      </c>
      <c r="D689" s="113" t="s">
        <v>467</v>
      </c>
      <c r="E689" s="113" t="s">
        <v>113</v>
      </c>
      <c r="F689" s="114">
        <v>99.908699999999996</v>
      </c>
      <c r="G689" s="114">
        <v>99.908699999999996</v>
      </c>
      <c r="H689" s="114">
        <v>11.798</v>
      </c>
      <c r="I689" s="111">
        <v>2219</v>
      </c>
      <c r="J689" s="113" t="s">
        <v>277</v>
      </c>
    </row>
    <row r="690" spans="1:10" x14ac:dyDescent="0.25">
      <c r="A690" s="111">
        <v>687</v>
      </c>
      <c r="B690" s="112" t="s">
        <v>343</v>
      </c>
      <c r="C690" s="113" t="s">
        <v>344</v>
      </c>
      <c r="D690" s="113" t="s">
        <v>467</v>
      </c>
      <c r="E690" s="113" t="s">
        <v>113</v>
      </c>
      <c r="F690" s="114">
        <v>99.839399999999998</v>
      </c>
      <c r="G690" s="114">
        <v>99.839399999999998</v>
      </c>
      <c r="H690" s="114">
        <v>11.798</v>
      </c>
      <c r="I690" s="111">
        <v>2311</v>
      </c>
      <c r="J690" s="113" t="s">
        <v>277</v>
      </c>
    </row>
    <row r="691" spans="1:10" x14ac:dyDescent="0.25">
      <c r="A691" s="111">
        <v>688</v>
      </c>
      <c r="B691" s="112" t="s">
        <v>140</v>
      </c>
      <c r="C691" s="113" t="s">
        <v>141</v>
      </c>
      <c r="D691" s="113" t="s">
        <v>467</v>
      </c>
      <c r="E691" s="113" t="s">
        <v>113</v>
      </c>
      <c r="F691" s="114">
        <v>90.280900000000003</v>
      </c>
      <c r="G691" s="114">
        <v>92.274199999999993</v>
      </c>
      <c r="H691" s="114">
        <v>17</v>
      </c>
      <c r="I691" s="111">
        <v>651</v>
      </c>
      <c r="J691" s="113" t="s">
        <v>277</v>
      </c>
    </row>
    <row r="692" spans="1:10" x14ac:dyDescent="0.25">
      <c r="A692" s="111">
        <v>689</v>
      </c>
      <c r="B692" s="112" t="s">
        <v>142</v>
      </c>
      <c r="C692" s="113" t="s">
        <v>143</v>
      </c>
      <c r="D692" s="113" t="s">
        <v>467</v>
      </c>
      <c r="E692" s="113" t="s">
        <v>113</v>
      </c>
      <c r="F692" s="114">
        <v>95.827100000000002</v>
      </c>
      <c r="G692" s="114">
        <v>101.9896</v>
      </c>
      <c r="H692" s="114">
        <v>16.829999999999998</v>
      </c>
      <c r="I692" s="111">
        <v>1295</v>
      </c>
      <c r="J692" s="113" t="s">
        <v>277</v>
      </c>
    </row>
    <row r="693" spans="1:10" x14ac:dyDescent="0.25">
      <c r="A693" s="111">
        <v>690</v>
      </c>
      <c r="B693" s="112" t="s">
        <v>144</v>
      </c>
      <c r="C693" s="113" t="s">
        <v>145</v>
      </c>
      <c r="D693" s="113" t="s">
        <v>467</v>
      </c>
      <c r="E693" s="113" t="s">
        <v>113</v>
      </c>
      <c r="F693" s="114">
        <v>85.475200000000001</v>
      </c>
      <c r="G693" s="114">
        <v>90.175200000000004</v>
      </c>
      <c r="H693" s="114">
        <v>16.690000000000001</v>
      </c>
      <c r="I693" s="111">
        <v>1659</v>
      </c>
      <c r="J693" s="113" t="s">
        <v>277</v>
      </c>
    </row>
    <row r="694" spans="1:10" x14ac:dyDescent="0.25">
      <c r="A694" s="111">
        <v>691</v>
      </c>
      <c r="B694" s="112" t="s">
        <v>146</v>
      </c>
      <c r="C694" s="113" t="s">
        <v>6</v>
      </c>
      <c r="D694" s="113" t="s">
        <v>467</v>
      </c>
      <c r="E694" s="113" t="s">
        <v>113</v>
      </c>
      <c r="F694" s="114">
        <v>86.47</v>
      </c>
      <c r="G694" s="114">
        <v>89.532200000000003</v>
      </c>
      <c r="H694" s="114">
        <v>16.96</v>
      </c>
      <c r="I694" s="111">
        <v>974</v>
      </c>
      <c r="J694" s="113" t="s">
        <v>277</v>
      </c>
    </row>
    <row r="695" spans="1:10" x14ac:dyDescent="0.25">
      <c r="A695" s="111">
        <v>692</v>
      </c>
      <c r="B695" s="112" t="s">
        <v>147</v>
      </c>
      <c r="C695" s="113" t="s">
        <v>148</v>
      </c>
      <c r="D695" s="113" t="s">
        <v>467</v>
      </c>
      <c r="E695" s="113" t="s">
        <v>113</v>
      </c>
      <c r="F695" s="114">
        <v>83.799000000000007</v>
      </c>
      <c r="G695" s="114">
        <v>88.998999999999995</v>
      </c>
      <c r="H695" s="114">
        <v>16.62</v>
      </c>
      <c r="I695" s="111">
        <v>2004</v>
      </c>
      <c r="J695" s="113" t="s">
        <v>277</v>
      </c>
    </row>
    <row r="696" spans="1:10" x14ac:dyDescent="0.25">
      <c r="A696" s="111">
        <v>693</v>
      </c>
      <c r="B696" s="112" t="s">
        <v>2092</v>
      </c>
      <c r="C696" s="113" t="s">
        <v>2093</v>
      </c>
      <c r="D696" s="113" t="s">
        <v>467</v>
      </c>
      <c r="E696" s="113" t="s">
        <v>113</v>
      </c>
      <c r="F696" s="114">
        <v>92.318600000000004</v>
      </c>
      <c r="G696" s="114">
        <v>98.077500000000001</v>
      </c>
      <c r="H696" s="114">
        <v>16.53</v>
      </c>
      <c r="I696" s="111">
        <v>2378</v>
      </c>
      <c r="J696" s="113" t="s">
        <v>277</v>
      </c>
    </row>
    <row r="697" spans="1:10" x14ac:dyDescent="0.25">
      <c r="A697" s="111">
        <v>694</v>
      </c>
      <c r="B697" s="112" t="s">
        <v>149</v>
      </c>
      <c r="C697" s="113" t="s">
        <v>150</v>
      </c>
      <c r="D697" s="113" t="s">
        <v>467</v>
      </c>
      <c r="E697" s="113" t="s">
        <v>113</v>
      </c>
      <c r="F697" s="114">
        <v>84.745999999999995</v>
      </c>
      <c r="G697" s="114">
        <v>92.627600000000001</v>
      </c>
      <c r="H697" s="114">
        <v>16.88</v>
      </c>
      <c r="I697" s="111">
        <v>1169</v>
      </c>
      <c r="J697" s="113" t="s">
        <v>277</v>
      </c>
    </row>
    <row r="698" spans="1:10" x14ac:dyDescent="0.25">
      <c r="A698" s="111">
        <v>695</v>
      </c>
      <c r="B698" s="112" t="s">
        <v>151</v>
      </c>
      <c r="C698" s="113" t="s">
        <v>8</v>
      </c>
      <c r="D698" s="113" t="s">
        <v>467</v>
      </c>
      <c r="E698" s="113" t="s">
        <v>113</v>
      </c>
      <c r="F698" s="114">
        <v>82.864199999999997</v>
      </c>
      <c r="G698" s="114">
        <v>82.864199999999997</v>
      </c>
      <c r="H698" s="114">
        <v>16.77</v>
      </c>
      <c r="I698" s="111">
        <v>1440</v>
      </c>
      <c r="J698" s="113" t="s">
        <v>277</v>
      </c>
    </row>
    <row r="699" spans="1:10" x14ac:dyDescent="0.25">
      <c r="A699" s="111">
        <v>696</v>
      </c>
      <c r="B699" s="112" t="s">
        <v>152</v>
      </c>
      <c r="C699" s="113" t="s">
        <v>153</v>
      </c>
      <c r="D699" s="113" t="s">
        <v>467</v>
      </c>
      <c r="E699" s="113" t="s">
        <v>113</v>
      </c>
      <c r="F699" s="114">
        <v>82.5655</v>
      </c>
      <c r="G699" s="114">
        <v>87.882199999999997</v>
      </c>
      <c r="H699" s="114">
        <v>16.73</v>
      </c>
      <c r="I699" s="111">
        <v>1626</v>
      </c>
      <c r="J699" s="113" t="s">
        <v>277</v>
      </c>
    </row>
    <row r="700" spans="1:10" x14ac:dyDescent="0.25">
      <c r="A700" s="111">
        <v>697</v>
      </c>
      <c r="B700" s="112" t="s">
        <v>154</v>
      </c>
      <c r="C700" s="113" t="s">
        <v>155</v>
      </c>
      <c r="D700" s="113" t="s">
        <v>467</v>
      </c>
      <c r="E700" s="113" t="s">
        <v>113</v>
      </c>
      <c r="F700" s="114">
        <v>90.656400000000005</v>
      </c>
      <c r="G700" s="114">
        <v>93.611999999999995</v>
      </c>
      <c r="H700" s="114">
        <v>16.579999999999998</v>
      </c>
      <c r="I700" s="111">
        <v>2084</v>
      </c>
      <c r="J700" s="113" t="s">
        <v>277</v>
      </c>
    </row>
    <row r="701" spans="1:10" x14ac:dyDescent="0.25">
      <c r="A701" s="111">
        <v>698</v>
      </c>
      <c r="B701" s="112" t="s">
        <v>2272</v>
      </c>
      <c r="C701" s="113" t="s">
        <v>2273</v>
      </c>
      <c r="D701" s="113" t="s">
        <v>467</v>
      </c>
      <c r="E701" s="113" t="s">
        <v>113</v>
      </c>
      <c r="F701" s="114">
        <v>91.320400000000006</v>
      </c>
      <c r="G701" s="114">
        <v>93.447800000000001</v>
      </c>
      <c r="H701" s="114">
        <v>16.47</v>
      </c>
      <c r="I701" s="111">
        <v>2827</v>
      </c>
      <c r="J701" s="113" t="s">
        <v>277</v>
      </c>
    </row>
    <row r="702" spans="1:10" x14ac:dyDescent="0.25">
      <c r="A702" s="111">
        <v>699</v>
      </c>
      <c r="B702" s="112" t="s">
        <v>156</v>
      </c>
      <c r="C702" s="113" t="s">
        <v>157</v>
      </c>
      <c r="D702" s="113" t="s">
        <v>467</v>
      </c>
      <c r="E702" s="113" t="s">
        <v>113</v>
      </c>
      <c r="F702" s="114">
        <v>93.767899999999997</v>
      </c>
      <c r="G702" s="114">
        <v>94.399799999999999</v>
      </c>
      <c r="H702" s="114">
        <v>16.829999999999998</v>
      </c>
      <c r="I702" s="111">
        <v>335</v>
      </c>
      <c r="J702" s="113" t="s">
        <v>277</v>
      </c>
    </row>
    <row r="703" spans="1:10" x14ac:dyDescent="0.25">
      <c r="A703" s="111">
        <v>700</v>
      </c>
      <c r="B703" s="112" t="s">
        <v>158</v>
      </c>
      <c r="C703" s="113" t="s">
        <v>7</v>
      </c>
      <c r="D703" s="113" t="s">
        <v>467</v>
      </c>
      <c r="E703" s="113" t="s">
        <v>113</v>
      </c>
      <c r="F703" s="114">
        <v>84.756900000000002</v>
      </c>
      <c r="G703" s="114">
        <v>88.362499999999997</v>
      </c>
      <c r="H703" s="114">
        <v>16.82</v>
      </c>
      <c r="I703" s="111">
        <v>1322</v>
      </c>
      <c r="J703" s="113" t="s">
        <v>277</v>
      </c>
    </row>
    <row r="704" spans="1:10" x14ac:dyDescent="0.25">
      <c r="A704" s="111">
        <v>701</v>
      </c>
      <c r="B704" s="112" t="s">
        <v>159</v>
      </c>
      <c r="C704" s="113" t="s">
        <v>160</v>
      </c>
      <c r="D704" s="113" t="s">
        <v>467</v>
      </c>
      <c r="E704" s="113" t="s">
        <v>113</v>
      </c>
      <c r="F704" s="114">
        <v>89.996499999999997</v>
      </c>
      <c r="G704" s="114">
        <v>92.6798</v>
      </c>
      <c r="H704" s="114">
        <v>16.510000000000002</v>
      </c>
      <c r="I704" s="111">
        <v>2451</v>
      </c>
      <c r="J704" s="113" t="s">
        <v>277</v>
      </c>
    </row>
    <row r="705" spans="1:10" x14ac:dyDescent="0.25">
      <c r="A705" s="111">
        <v>702</v>
      </c>
      <c r="B705" s="112" t="s">
        <v>2094</v>
      </c>
      <c r="C705" s="113" t="s">
        <v>2095</v>
      </c>
      <c r="D705" s="113" t="s">
        <v>467</v>
      </c>
      <c r="E705" s="113" t="s">
        <v>113</v>
      </c>
      <c r="F705" s="114">
        <v>91.180700000000002</v>
      </c>
      <c r="G705" s="114">
        <v>96.900099999999995</v>
      </c>
      <c r="H705" s="114">
        <v>16.43</v>
      </c>
      <c r="I705" s="111">
        <v>3098</v>
      </c>
      <c r="J705" s="113" t="s">
        <v>277</v>
      </c>
    </row>
    <row r="706" spans="1:10" x14ac:dyDescent="0.25">
      <c r="A706" s="111">
        <v>703</v>
      </c>
      <c r="B706" s="112" t="s">
        <v>161</v>
      </c>
      <c r="C706" s="113" t="s">
        <v>162</v>
      </c>
      <c r="D706" s="113" t="s">
        <v>467</v>
      </c>
      <c r="E706" s="113" t="s">
        <v>113</v>
      </c>
      <c r="F706" s="114">
        <v>89.362499999999997</v>
      </c>
      <c r="G706" s="114">
        <v>92.912499999999994</v>
      </c>
      <c r="H706" s="114">
        <v>16.989999999999998</v>
      </c>
      <c r="I706" s="111">
        <v>578</v>
      </c>
      <c r="J706" s="113" t="s">
        <v>277</v>
      </c>
    </row>
    <row r="707" spans="1:10" x14ac:dyDescent="0.25">
      <c r="A707" s="111">
        <v>704</v>
      </c>
      <c r="B707" s="112" t="s">
        <v>163</v>
      </c>
      <c r="C707" s="113" t="s">
        <v>164</v>
      </c>
      <c r="D707" s="113" t="s">
        <v>467</v>
      </c>
      <c r="E707" s="113" t="s">
        <v>113</v>
      </c>
      <c r="F707" s="114">
        <v>87.632099999999994</v>
      </c>
      <c r="G707" s="114">
        <v>88.257099999999994</v>
      </c>
      <c r="H707" s="114">
        <v>17.010000000000002</v>
      </c>
      <c r="I707" s="111">
        <v>695</v>
      </c>
      <c r="J707" s="113" t="s">
        <v>277</v>
      </c>
    </row>
    <row r="708" spans="1:10" x14ac:dyDescent="0.25">
      <c r="A708" s="111">
        <v>705</v>
      </c>
      <c r="B708" s="112" t="s">
        <v>165</v>
      </c>
      <c r="C708" s="113" t="s">
        <v>9</v>
      </c>
      <c r="D708" s="113" t="s">
        <v>467</v>
      </c>
      <c r="E708" s="113" t="s">
        <v>113</v>
      </c>
      <c r="F708" s="114">
        <v>77.907399999999996</v>
      </c>
      <c r="G708" s="114">
        <v>81.655500000000004</v>
      </c>
      <c r="H708" s="114">
        <v>16.579999999999998</v>
      </c>
      <c r="I708" s="111">
        <v>2029</v>
      </c>
      <c r="J708" s="113" t="s">
        <v>277</v>
      </c>
    </row>
    <row r="709" spans="1:10" x14ac:dyDescent="0.25">
      <c r="A709" s="111">
        <v>706</v>
      </c>
      <c r="B709" s="112" t="s">
        <v>2067</v>
      </c>
      <c r="C709" s="113" t="s">
        <v>2068</v>
      </c>
      <c r="D709" s="113" t="s">
        <v>467</v>
      </c>
      <c r="E709" s="113" t="s">
        <v>113</v>
      </c>
      <c r="F709" s="114">
        <v>88.491900000000001</v>
      </c>
      <c r="G709" s="114">
        <v>94.908600000000007</v>
      </c>
      <c r="H709" s="114">
        <v>16.41</v>
      </c>
      <c r="I709" s="111">
        <v>3435</v>
      </c>
      <c r="J709" s="113" t="s">
        <v>277</v>
      </c>
    </row>
    <row r="710" spans="1:10" x14ac:dyDescent="0.25">
      <c r="A710" s="111">
        <v>707</v>
      </c>
      <c r="B710" s="112" t="s">
        <v>166</v>
      </c>
      <c r="C710" s="113" t="s">
        <v>11</v>
      </c>
      <c r="D710" s="113" t="s">
        <v>467</v>
      </c>
      <c r="E710" s="113" t="s">
        <v>113</v>
      </c>
      <c r="F710" s="114">
        <v>76.778000000000006</v>
      </c>
      <c r="G710" s="114">
        <v>76.837199999999996</v>
      </c>
      <c r="H710" s="114">
        <v>16.48</v>
      </c>
      <c r="I710" s="111">
        <v>2518</v>
      </c>
      <c r="J710" s="113" t="s">
        <v>277</v>
      </c>
    </row>
    <row r="711" spans="1:10" x14ac:dyDescent="0.25">
      <c r="A711" s="111">
        <v>708</v>
      </c>
      <c r="B711" s="112" t="s">
        <v>167</v>
      </c>
      <c r="C711" s="113" t="s">
        <v>168</v>
      </c>
      <c r="D711" s="113" t="s">
        <v>467</v>
      </c>
      <c r="E711" s="113" t="s">
        <v>113</v>
      </c>
      <c r="F711" s="114">
        <v>99.537199999999999</v>
      </c>
      <c r="G711" s="114">
        <v>105.63500000000001</v>
      </c>
      <c r="H711" s="114">
        <v>16.510000000000002</v>
      </c>
      <c r="I711" s="111">
        <v>17</v>
      </c>
      <c r="J711" s="113" t="s">
        <v>277</v>
      </c>
    </row>
    <row r="712" spans="1:10" x14ac:dyDescent="0.25">
      <c r="A712" s="111">
        <v>709</v>
      </c>
      <c r="B712" s="112" t="s">
        <v>169</v>
      </c>
      <c r="C712" s="113" t="s">
        <v>170</v>
      </c>
      <c r="D712" s="113" t="s">
        <v>467</v>
      </c>
      <c r="E712" s="113" t="s">
        <v>113</v>
      </c>
      <c r="F712" s="114">
        <v>75.241900000000001</v>
      </c>
      <c r="G712" s="114">
        <v>85.189499999999995</v>
      </c>
      <c r="H712" s="114">
        <v>16.43</v>
      </c>
      <c r="I712" s="111">
        <v>2905</v>
      </c>
      <c r="J712" s="113" t="s">
        <v>277</v>
      </c>
    </row>
    <row r="713" spans="1:10" x14ac:dyDescent="0.25">
      <c r="A713" s="111">
        <v>710</v>
      </c>
      <c r="B713" s="112" t="s">
        <v>171</v>
      </c>
      <c r="C713" s="113" t="s">
        <v>172</v>
      </c>
      <c r="D713" s="113" t="s">
        <v>467</v>
      </c>
      <c r="E713" s="113" t="s">
        <v>113</v>
      </c>
      <c r="F713" s="114">
        <v>85.496499999999997</v>
      </c>
      <c r="G713" s="114">
        <v>86.284999999999997</v>
      </c>
      <c r="H713" s="114">
        <v>17.02</v>
      </c>
      <c r="I713" s="111">
        <v>682</v>
      </c>
      <c r="J713" s="113" t="s">
        <v>277</v>
      </c>
    </row>
    <row r="714" spans="1:10" x14ac:dyDescent="0.25">
      <c r="A714" s="111">
        <v>711</v>
      </c>
      <c r="B714" s="112" t="s">
        <v>173</v>
      </c>
      <c r="C714" s="113" t="s">
        <v>174</v>
      </c>
      <c r="D714" s="113" t="s">
        <v>467</v>
      </c>
      <c r="E714" s="113" t="s">
        <v>113</v>
      </c>
      <c r="F714" s="114">
        <v>71.080200000000005</v>
      </c>
      <c r="G714" s="114">
        <v>72.908900000000003</v>
      </c>
      <c r="H714" s="114">
        <v>16.559999999999999</v>
      </c>
      <c r="I714" s="111">
        <v>2082</v>
      </c>
      <c r="J714" s="113" t="s">
        <v>277</v>
      </c>
    </row>
    <row r="715" spans="1:10" x14ac:dyDescent="0.25">
      <c r="A715" s="111">
        <v>712</v>
      </c>
      <c r="B715" s="112" t="s">
        <v>175</v>
      </c>
      <c r="C715" s="113" t="s">
        <v>176</v>
      </c>
      <c r="D715" s="113" t="s">
        <v>467</v>
      </c>
      <c r="E715" s="113" t="s">
        <v>113</v>
      </c>
      <c r="F715" s="114">
        <v>71.898300000000006</v>
      </c>
      <c r="G715" s="114">
        <v>76.424199999999999</v>
      </c>
      <c r="H715" s="114">
        <v>16.420000000000002</v>
      </c>
      <c r="I715" s="111">
        <v>3079</v>
      </c>
      <c r="J715" s="113" t="s">
        <v>277</v>
      </c>
    </row>
    <row r="716" spans="1:10" x14ac:dyDescent="0.25">
      <c r="A716" s="111">
        <v>713</v>
      </c>
      <c r="B716" s="112" t="s">
        <v>2244</v>
      </c>
      <c r="C716" s="113" t="s">
        <v>2245</v>
      </c>
      <c r="D716" s="113" t="s">
        <v>467</v>
      </c>
      <c r="E716" s="113" t="s">
        <v>113</v>
      </c>
      <c r="F716" s="114">
        <v>88.1755</v>
      </c>
      <c r="G716" s="114">
        <v>90.760499999999993</v>
      </c>
      <c r="H716" s="114">
        <v>16.329999999999998</v>
      </c>
      <c r="I716" s="111">
        <v>4614</v>
      </c>
      <c r="J716" s="113" t="s">
        <v>277</v>
      </c>
    </row>
    <row r="717" spans="1:10" x14ac:dyDescent="0.25">
      <c r="A717" s="111">
        <v>714</v>
      </c>
      <c r="B717" s="112" t="s">
        <v>177</v>
      </c>
      <c r="C717" s="113" t="s">
        <v>178</v>
      </c>
      <c r="D717" s="113" t="s">
        <v>467</v>
      </c>
      <c r="E717" s="113" t="s">
        <v>113</v>
      </c>
      <c r="F717" s="114">
        <v>98.101699999999994</v>
      </c>
      <c r="G717" s="114">
        <v>102.3218</v>
      </c>
      <c r="H717" s="114">
        <v>16.3</v>
      </c>
      <c r="I717" s="111">
        <v>65</v>
      </c>
      <c r="J717" s="113" t="s">
        <v>277</v>
      </c>
    </row>
    <row r="718" spans="1:10" x14ac:dyDescent="0.25">
      <c r="A718" s="111">
        <v>715</v>
      </c>
      <c r="B718" s="112" t="s">
        <v>179</v>
      </c>
      <c r="C718" s="113" t="s">
        <v>180</v>
      </c>
      <c r="D718" s="113" t="s">
        <v>467</v>
      </c>
      <c r="E718" s="113" t="s">
        <v>113</v>
      </c>
      <c r="F718" s="114">
        <v>96.811700000000002</v>
      </c>
      <c r="G718" s="114">
        <v>100.3117</v>
      </c>
      <c r="H718" s="114">
        <v>16.45</v>
      </c>
      <c r="I718" s="111">
        <v>108</v>
      </c>
      <c r="J718" s="113" t="s">
        <v>277</v>
      </c>
    </row>
    <row r="719" spans="1:10" x14ac:dyDescent="0.25">
      <c r="A719" s="111">
        <v>716</v>
      </c>
      <c r="B719" s="112" t="s">
        <v>181</v>
      </c>
      <c r="C719" s="113" t="s">
        <v>10</v>
      </c>
      <c r="D719" s="113" t="s">
        <v>467</v>
      </c>
      <c r="E719" s="113" t="s">
        <v>113</v>
      </c>
      <c r="F719" s="114">
        <v>68.601500000000001</v>
      </c>
      <c r="G719" s="114">
        <v>70.995699999999999</v>
      </c>
      <c r="H719" s="114">
        <v>16.489999999999998</v>
      </c>
      <c r="I719" s="111">
        <v>2418</v>
      </c>
      <c r="J719" s="113" t="s">
        <v>277</v>
      </c>
    </row>
    <row r="720" spans="1:10" x14ac:dyDescent="0.25">
      <c r="A720" s="111">
        <v>717</v>
      </c>
      <c r="B720" s="112" t="s">
        <v>182</v>
      </c>
      <c r="C720" s="113" t="s">
        <v>183</v>
      </c>
      <c r="D720" s="113" t="s">
        <v>467</v>
      </c>
      <c r="E720" s="113" t="s">
        <v>113</v>
      </c>
      <c r="F720" s="114">
        <v>71.154899999999998</v>
      </c>
      <c r="G720" s="114">
        <v>75.084100000000007</v>
      </c>
      <c r="H720" s="114">
        <v>16.36</v>
      </c>
      <c r="I720" s="111">
        <v>3462</v>
      </c>
      <c r="J720" s="113" t="s">
        <v>277</v>
      </c>
    </row>
    <row r="721" spans="1:10" x14ac:dyDescent="0.25">
      <c r="A721" s="111">
        <v>718</v>
      </c>
      <c r="B721" s="112" t="s">
        <v>184</v>
      </c>
      <c r="C721" s="113" t="s">
        <v>185</v>
      </c>
      <c r="D721" s="113" t="s">
        <v>467</v>
      </c>
      <c r="E721" s="113" t="s">
        <v>113</v>
      </c>
      <c r="F721" s="114">
        <v>96.748699999999999</v>
      </c>
      <c r="G721" s="114">
        <v>100.54430000000001</v>
      </c>
      <c r="H721" s="114">
        <v>16.45</v>
      </c>
      <c r="I721" s="111">
        <v>116</v>
      </c>
      <c r="J721" s="113" t="s">
        <v>277</v>
      </c>
    </row>
    <row r="722" spans="1:10" x14ac:dyDescent="0.25">
      <c r="A722" s="111">
        <v>719</v>
      </c>
      <c r="B722" s="112" t="s">
        <v>186</v>
      </c>
      <c r="C722" s="113" t="s">
        <v>187</v>
      </c>
      <c r="D722" s="113" t="s">
        <v>467</v>
      </c>
      <c r="E722" s="113" t="s">
        <v>113</v>
      </c>
      <c r="F722" s="114">
        <v>89.724299999999999</v>
      </c>
      <c r="G722" s="114">
        <v>94.918700000000001</v>
      </c>
      <c r="H722" s="114">
        <v>16.899999999999999</v>
      </c>
      <c r="I722" s="111">
        <v>380</v>
      </c>
      <c r="J722" s="113" t="s">
        <v>277</v>
      </c>
    </row>
    <row r="723" spans="1:10" x14ac:dyDescent="0.25">
      <c r="A723" s="111">
        <v>720</v>
      </c>
      <c r="B723" s="112" t="s">
        <v>188</v>
      </c>
      <c r="C723" s="113" t="s">
        <v>189</v>
      </c>
      <c r="D723" s="113" t="s">
        <v>467</v>
      </c>
      <c r="E723" s="113" t="s">
        <v>113</v>
      </c>
      <c r="F723" s="114">
        <v>86.702299999999994</v>
      </c>
      <c r="G723" s="114">
        <v>90.105099999999993</v>
      </c>
      <c r="H723" s="114">
        <v>17</v>
      </c>
      <c r="I723" s="111">
        <v>475</v>
      </c>
      <c r="J723" s="113" t="s">
        <v>277</v>
      </c>
    </row>
    <row r="724" spans="1:10" x14ac:dyDescent="0.25">
      <c r="A724" s="111">
        <v>721</v>
      </c>
      <c r="B724" s="112" t="s">
        <v>190</v>
      </c>
      <c r="C724" s="113" t="s">
        <v>5</v>
      </c>
      <c r="D724" s="113" t="s">
        <v>467</v>
      </c>
      <c r="E724" s="113" t="s">
        <v>113</v>
      </c>
      <c r="F724" s="114">
        <v>84.352599999999995</v>
      </c>
      <c r="G724" s="114">
        <v>86.197900000000004</v>
      </c>
      <c r="H724" s="114">
        <v>16.989999999999998</v>
      </c>
      <c r="I724" s="111">
        <v>599</v>
      </c>
      <c r="J724" s="113" t="s">
        <v>277</v>
      </c>
    </row>
    <row r="725" spans="1:10" x14ac:dyDescent="0.25">
      <c r="A725" s="111">
        <v>722</v>
      </c>
      <c r="B725" s="112" t="s">
        <v>191</v>
      </c>
      <c r="C725" s="113" t="s">
        <v>192</v>
      </c>
      <c r="D725" s="113" t="s">
        <v>467</v>
      </c>
      <c r="E725" s="113" t="s">
        <v>113</v>
      </c>
      <c r="F725" s="114">
        <v>80.5946</v>
      </c>
      <c r="G725" s="114">
        <v>85.322100000000006</v>
      </c>
      <c r="H725" s="114">
        <v>17.03</v>
      </c>
      <c r="I725" s="111">
        <v>770</v>
      </c>
      <c r="J725" s="113" t="s">
        <v>277</v>
      </c>
    </row>
    <row r="726" spans="1:10" x14ac:dyDescent="0.25">
      <c r="A726" s="111">
        <v>723</v>
      </c>
      <c r="B726" s="112" t="s">
        <v>193</v>
      </c>
      <c r="C726" s="113" t="s">
        <v>194</v>
      </c>
      <c r="D726" s="113" t="s">
        <v>467</v>
      </c>
      <c r="E726" s="113" t="s">
        <v>113</v>
      </c>
      <c r="F726" s="114">
        <v>81.593400000000003</v>
      </c>
      <c r="G726" s="114">
        <v>86.540599999999998</v>
      </c>
      <c r="H726" s="114">
        <v>17</v>
      </c>
      <c r="I726" s="111">
        <v>806</v>
      </c>
      <c r="J726" s="113" t="s">
        <v>277</v>
      </c>
    </row>
    <row r="727" spans="1:10" x14ac:dyDescent="0.25">
      <c r="A727" s="111">
        <v>724</v>
      </c>
      <c r="B727" s="112" t="s">
        <v>195</v>
      </c>
      <c r="C727" s="113" t="s">
        <v>196</v>
      </c>
      <c r="D727" s="113" t="s">
        <v>467</v>
      </c>
      <c r="E727" s="113" t="s">
        <v>113</v>
      </c>
      <c r="F727" s="114">
        <v>76.509600000000006</v>
      </c>
      <c r="G727" s="114">
        <v>81.082300000000004</v>
      </c>
      <c r="H727" s="114">
        <v>16.87</v>
      </c>
      <c r="I727" s="111">
        <v>1212</v>
      </c>
      <c r="J727" s="113" t="s">
        <v>277</v>
      </c>
    </row>
    <row r="728" spans="1:10" x14ac:dyDescent="0.25">
      <c r="A728" s="111">
        <v>725</v>
      </c>
      <c r="B728" s="112" t="s">
        <v>197</v>
      </c>
      <c r="C728" s="113" t="s">
        <v>198</v>
      </c>
      <c r="D728" s="113" t="s">
        <v>467</v>
      </c>
      <c r="E728" s="113" t="s">
        <v>113</v>
      </c>
      <c r="F728" s="114">
        <v>74.747399999999999</v>
      </c>
      <c r="G728" s="114">
        <v>82.107399999999998</v>
      </c>
      <c r="H728" s="114">
        <v>16.77</v>
      </c>
      <c r="I728" s="111">
        <v>1455</v>
      </c>
      <c r="J728" s="113" t="s">
        <v>277</v>
      </c>
    </row>
    <row r="729" spans="1:10" x14ac:dyDescent="0.25">
      <c r="A729" s="111">
        <v>726</v>
      </c>
      <c r="B729" s="112" t="s">
        <v>199</v>
      </c>
      <c r="C729" s="113" t="s">
        <v>200</v>
      </c>
      <c r="D729" s="113" t="s">
        <v>467</v>
      </c>
      <c r="E729" s="113" t="s">
        <v>113</v>
      </c>
      <c r="F729" s="114">
        <v>72.681399999999996</v>
      </c>
      <c r="G729" s="114">
        <v>76.3934</v>
      </c>
      <c r="H729" s="114">
        <v>16.72</v>
      </c>
      <c r="I729" s="111">
        <v>1626</v>
      </c>
      <c r="J729" s="113" t="s">
        <v>277</v>
      </c>
    </row>
    <row r="730" spans="1:10" x14ac:dyDescent="0.25">
      <c r="A730" s="111">
        <v>727</v>
      </c>
      <c r="B730" s="112" t="s">
        <v>201</v>
      </c>
      <c r="C730" s="113" t="s">
        <v>202</v>
      </c>
      <c r="D730" s="113" t="s">
        <v>467</v>
      </c>
      <c r="E730" s="113" t="s">
        <v>113</v>
      </c>
      <c r="F730" s="114">
        <v>67.247</v>
      </c>
      <c r="G730" s="114">
        <v>69.9893</v>
      </c>
      <c r="H730" s="114">
        <v>16.43</v>
      </c>
      <c r="I730" s="111">
        <v>2766</v>
      </c>
      <c r="J730" s="113" t="s">
        <v>277</v>
      </c>
    </row>
    <row r="731" spans="1:10" x14ac:dyDescent="0.25">
      <c r="A731" s="111">
        <v>728</v>
      </c>
      <c r="B731" s="112" t="s">
        <v>203</v>
      </c>
      <c r="C731" s="113" t="s">
        <v>204</v>
      </c>
      <c r="D731" s="113" t="s">
        <v>467</v>
      </c>
      <c r="E731" s="113" t="s">
        <v>113</v>
      </c>
      <c r="F731" s="114">
        <v>66.326099999999997</v>
      </c>
      <c r="G731" s="114">
        <v>68.558599999999998</v>
      </c>
      <c r="H731" s="114">
        <v>16.43</v>
      </c>
      <c r="I731" s="111">
        <v>2785</v>
      </c>
      <c r="J731" s="113" t="s">
        <v>277</v>
      </c>
    </row>
    <row r="732" spans="1:10" x14ac:dyDescent="0.25">
      <c r="A732" s="111">
        <v>729</v>
      </c>
      <c r="B732" s="112" t="s">
        <v>205</v>
      </c>
      <c r="C732" s="113" t="s">
        <v>206</v>
      </c>
      <c r="D732" s="113" t="s">
        <v>467</v>
      </c>
      <c r="E732" s="113" t="s">
        <v>113</v>
      </c>
      <c r="F732" s="114">
        <v>72.286199999999994</v>
      </c>
      <c r="G732" s="114">
        <v>82.2577</v>
      </c>
      <c r="H732" s="114">
        <v>16.34</v>
      </c>
      <c r="I732" s="111">
        <v>3987</v>
      </c>
      <c r="J732" s="113" t="s">
        <v>277</v>
      </c>
    </row>
    <row r="733" spans="1:10" x14ac:dyDescent="0.25">
      <c r="A733" s="111">
        <v>730</v>
      </c>
      <c r="B733" s="112" t="s">
        <v>207</v>
      </c>
      <c r="C733" s="113" t="s">
        <v>208</v>
      </c>
      <c r="D733" s="113" t="s">
        <v>467</v>
      </c>
      <c r="E733" s="113" t="s">
        <v>113</v>
      </c>
      <c r="F733" s="114">
        <v>73.103800000000007</v>
      </c>
      <c r="G733" s="114">
        <v>78.628799999999998</v>
      </c>
      <c r="H733" s="114">
        <v>16.34</v>
      </c>
      <c r="I733" s="111">
        <v>4140</v>
      </c>
      <c r="J733" s="113" t="s">
        <v>277</v>
      </c>
    </row>
    <row r="734" spans="1:10" x14ac:dyDescent="0.25">
      <c r="A734" s="111">
        <v>731</v>
      </c>
      <c r="B734" s="112" t="s">
        <v>209</v>
      </c>
      <c r="C734" s="113" t="s">
        <v>210</v>
      </c>
      <c r="D734" s="113" t="s">
        <v>467</v>
      </c>
      <c r="E734" s="113" t="s">
        <v>113</v>
      </c>
      <c r="F734" s="114">
        <v>79.621200000000002</v>
      </c>
      <c r="G734" s="114">
        <v>83.728700000000003</v>
      </c>
      <c r="H734" s="114">
        <v>17.010000000000002</v>
      </c>
      <c r="I734" s="111">
        <v>801</v>
      </c>
      <c r="J734" s="113" t="s">
        <v>277</v>
      </c>
    </row>
    <row r="735" spans="1:10" x14ac:dyDescent="0.25">
      <c r="A735" s="111">
        <v>732</v>
      </c>
      <c r="B735" s="112" t="s">
        <v>211</v>
      </c>
      <c r="C735" s="113" t="s">
        <v>212</v>
      </c>
      <c r="D735" s="113" t="s">
        <v>467</v>
      </c>
      <c r="E735" s="113" t="s">
        <v>113</v>
      </c>
      <c r="F735" s="114">
        <v>75.4422</v>
      </c>
      <c r="G735" s="114">
        <v>76.831100000000006</v>
      </c>
      <c r="H735" s="114">
        <v>16.96</v>
      </c>
      <c r="I735" s="111">
        <v>980</v>
      </c>
      <c r="J735" s="113" t="s">
        <v>277</v>
      </c>
    </row>
    <row r="736" spans="1:10" x14ac:dyDescent="0.25">
      <c r="A736" s="111">
        <v>733</v>
      </c>
      <c r="B736" s="112" t="s">
        <v>213</v>
      </c>
      <c r="C736" s="113" t="s">
        <v>214</v>
      </c>
      <c r="D736" s="113" t="s">
        <v>467</v>
      </c>
      <c r="E736" s="113" t="s">
        <v>113</v>
      </c>
      <c r="F736" s="114">
        <v>73.759</v>
      </c>
      <c r="G736" s="114">
        <v>78.464600000000004</v>
      </c>
      <c r="H736" s="114">
        <v>16.91</v>
      </c>
      <c r="I736" s="111">
        <v>1132</v>
      </c>
      <c r="J736" s="113" t="s">
        <v>277</v>
      </c>
    </row>
    <row r="737" spans="1:10" x14ac:dyDescent="0.25">
      <c r="A737" s="111">
        <v>734</v>
      </c>
      <c r="B737" s="112" t="s">
        <v>215</v>
      </c>
      <c r="C737" s="113" t="s">
        <v>216</v>
      </c>
      <c r="D737" s="113" t="s">
        <v>467</v>
      </c>
      <c r="E737" s="113" t="s">
        <v>113</v>
      </c>
      <c r="F737" s="114">
        <v>61.070599999999999</v>
      </c>
      <c r="G737" s="114">
        <v>69.503500000000003</v>
      </c>
      <c r="H737" s="114">
        <v>16.32</v>
      </c>
      <c r="I737" s="111">
        <v>3962</v>
      </c>
      <c r="J737" s="113" t="s">
        <v>277</v>
      </c>
    </row>
    <row r="738" spans="1:10" x14ac:dyDescent="0.25">
      <c r="A738" s="111">
        <v>735</v>
      </c>
      <c r="B738" s="112" t="s">
        <v>217</v>
      </c>
      <c r="C738" s="113" t="s">
        <v>218</v>
      </c>
      <c r="D738" s="113" t="s">
        <v>467</v>
      </c>
      <c r="E738" s="113" t="s">
        <v>113</v>
      </c>
      <c r="F738" s="114">
        <v>61.295299999999997</v>
      </c>
      <c r="G738" s="114">
        <v>65.331100000000006</v>
      </c>
      <c r="H738" s="114">
        <v>16.32</v>
      </c>
      <c r="I738" s="111">
        <v>4153</v>
      </c>
      <c r="J738" s="113" t="s">
        <v>277</v>
      </c>
    </row>
    <row r="739" spans="1:10" x14ac:dyDescent="0.25">
      <c r="A739" s="111">
        <v>736</v>
      </c>
      <c r="B739" s="112" t="s">
        <v>219</v>
      </c>
      <c r="C739" s="113" t="s">
        <v>220</v>
      </c>
      <c r="D739" s="113" t="s">
        <v>467</v>
      </c>
      <c r="E739" s="113" t="s">
        <v>113</v>
      </c>
      <c r="F739" s="114">
        <v>57.166800000000002</v>
      </c>
      <c r="G739" s="114">
        <v>58.602899999999998</v>
      </c>
      <c r="H739" s="114">
        <v>16.47</v>
      </c>
      <c r="I739" s="111">
        <v>2426</v>
      </c>
      <c r="J739" s="113" t="s">
        <v>277</v>
      </c>
    </row>
    <row r="740" spans="1:10" x14ac:dyDescent="0.25">
      <c r="A740" s="111">
        <v>737</v>
      </c>
      <c r="B740" s="112" t="s">
        <v>221</v>
      </c>
      <c r="C740" s="113" t="s">
        <v>12</v>
      </c>
      <c r="D740" s="113" t="s">
        <v>467</v>
      </c>
      <c r="E740" s="113" t="s">
        <v>113</v>
      </c>
      <c r="F740" s="114">
        <v>62.556899999999999</v>
      </c>
      <c r="G740" s="114">
        <v>64.260599999999997</v>
      </c>
      <c r="H740" s="114">
        <v>16.38</v>
      </c>
      <c r="I740" s="111">
        <v>3164</v>
      </c>
      <c r="J740" s="113" t="s">
        <v>277</v>
      </c>
    </row>
    <row r="741" spans="1:10" x14ac:dyDescent="0.25">
      <c r="A741" s="111">
        <v>738</v>
      </c>
      <c r="B741" s="112" t="s">
        <v>222</v>
      </c>
      <c r="C741" s="113" t="s">
        <v>13</v>
      </c>
      <c r="D741" s="113" t="s">
        <v>467</v>
      </c>
      <c r="E741" s="113" t="s">
        <v>113</v>
      </c>
      <c r="F741" s="114">
        <v>61.182400000000001</v>
      </c>
      <c r="G741" s="114">
        <v>65.194999999999993</v>
      </c>
      <c r="H741" s="114">
        <v>16.36</v>
      </c>
      <c r="I741" s="111">
        <v>3421</v>
      </c>
      <c r="J741" s="113" t="s">
        <v>277</v>
      </c>
    </row>
    <row r="742" spans="1:10" x14ac:dyDescent="0.25">
      <c r="A742" s="111">
        <v>739</v>
      </c>
      <c r="B742" s="112" t="s">
        <v>223</v>
      </c>
      <c r="C742" s="113" t="s">
        <v>224</v>
      </c>
      <c r="D742" s="113" t="s">
        <v>467</v>
      </c>
      <c r="E742" s="113" t="s">
        <v>113</v>
      </c>
      <c r="F742" s="114">
        <v>55.218200000000003</v>
      </c>
      <c r="G742" s="114">
        <v>60.002099999999999</v>
      </c>
      <c r="H742" s="114">
        <v>16.28</v>
      </c>
      <c r="I742" s="111">
        <v>4822</v>
      </c>
      <c r="J742" s="113" t="s">
        <v>277</v>
      </c>
    </row>
    <row r="743" spans="1:10" x14ac:dyDescent="0.25">
      <c r="A743" s="111">
        <v>740</v>
      </c>
      <c r="B743" s="112" t="s">
        <v>225</v>
      </c>
      <c r="C743" s="113" t="s">
        <v>226</v>
      </c>
      <c r="D743" s="113" t="s">
        <v>467</v>
      </c>
      <c r="E743" s="113" t="s">
        <v>113</v>
      </c>
      <c r="F743" s="114">
        <v>57.222999999999999</v>
      </c>
      <c r="G743" s="114">
        <v>57.2926</v>
      </c>
      <c r="H743" s="114">
        <v>16.27</v>
      </c>
      <c r="I743" s="111">
        <v>5037</v>
      </c>
      <c r="J743" s="113" t="s">
        <v>277</v>
      </c>
    </row>
    <row r="744" spans="1:10" x14ac:dyDescent="0.25">
      <c r="A744" s="111">
        <v>741</v>
      </c>
      <c r="B744" s="112" t="s">
        <v>227</v>
      </c>
      <c r="C744" s="113" t="s">
        <v>228</v>
      </c>
      <c r="D744" s="113" t="s">
        <v>467</v>
      </c>
      <c r="E744" s="113" t="s">
        <v>113</v>
      </c>
      <c r="F744" s="114">
        <v>56.656999999999996</v>
      </c>
      <c r="G744" s="114">
        <v>60.191000000000003</v>
      </c>
      <c r="H744" s="114">
        <v>16.28</v>
      </c>
      <c r="I744" s="111">
        <v>5248</v>
      </c>
      <c r="J744" s="113" t="s">
        <v>277</v>
      </c>
    </row>
    <row r="745" spans="1:10" x14ac:dyDescent="0.25">
      <c r="A745" s="111">
        <v>742</v>
      </c>
      <c r="B745" s="112" t="s">
        <v>229</v>
      </c>
      <c r="C745" s="113" t="s">
        <v>230</v>
      </c>
      <c r="D745" s="113" t="s">
        <v>467</v>
      </c>
      <c r="E745" s="113" t="s">
        <v>113</v>
      </c>
      <c r="F745" s="114">
        <v>55.742800000000003</v>
      </c>
      <c r="G745" s="114">
        <v>62.999200000000002</v>
      </c>
      <c r="H745" s="114">
        <v>16.25</v>
      </c>
      <c r="I745" s="111">
        <v>6898</v>
      </c>
      <c r="J745" s="113" t="s">
        <v>277</v>
      </c>
    </row>
    <row r="746" spans="1:10" x14ac:dyDescent="0.25">
      <c r="A746" s="111">
        <v>743</v>
      </c>
      <c r="B746" s="112" t="s">
        <v>2127</v>
      </c>
      <c r="C746" s="113" t="s">
        <v>2128</v>
      </c>
      <c r="D746" s="113" t="s">
        <v>467</v>
      </c>
      <c r="E746" s="113" t="s">
        <v>113</v>
      </c>
      <c r="F746" s="114">
        <v>99.791499999999999</v>
      </c>
      <c r="G746" s="114">
        <v>99.791499999999999</v>
      </c>
      <c r="H746" s="114">
        <v>14.288</v>
      </c>
      <c r="I746" s="111">
        <v>2042</v>
      </c>
      <c r="J746" s="113" t="s">
        <v>277</v>
      </c>
    </row>
    <row r="747" spans="1:10" x14ac:dyDescent="0.25">
      <c r="A747" s="111">
        <v>744</v>
      </c>
      <c r="B747" s="112" t="s">
        <v>1528</v>
      </c>
      <c r="C747" s="113" t="s">
        <v>1529</v>
      </c>
      <c r="D747" s="113" t="s">
        <v>457</v>
      </c>
      <c r="E747" s="113" t="s">
        <v>2149</v>
      </c>
      <c r="F747" s="114">
        <v>60364.077599999997</v>
      </c>
      <c r="G747" s="114">
        <v>60364.077599999997</v>
      </c>
      <c r="H747" s="114">
        <v>0</v>
      </c>
      <c r="I747" s="111">
        <v>0</v>
      </c>
      <c r="J747" s="113" t="s">
        <v>246</v>
      </c>
    </row>
    <row r="748" spans="1:10" x14ac:dyDescent="0.25">
      <c r="A748" s="111">
        <v>745</v>
      </c>
      <c r="B748" s="112" t="s">
        <v>1530</v>
      </c>
      <c r="C748" s="113" t="s">
        <v>1531</v>
      </c>
      <c r="D748" s="113" t="s">
        <v>457</v>
      </c>
      <c r="E748" s="113" t="s">
        <v>1532</v>
      </c>
      <c r="F748" s="114">
        <v>484.62850135000002</v>
      </c>
      <c r="G748" s="114">
        <v>484.62850135000002</v>
      </c>
      <c r="H748" s="114">
        <v>0</v>
      </c>
      <c r="I748" s="111">
        <v>2070</v>
      </c>
      <c r="J748" s="113" t="s">
        <v>246</v>
      </c>
    </row>
    <row r="749" spans="1:10" x14ac:dyDescent="0.25">
      <c r="A749" s="111">
        <v>746</v>
      </c>
      <c r="B749" s="112" t="s">
        <v>1356</v>
      </c>
      <c r="C749" s="113" t="s">
        <v>1357</v>
      </c>
      <c r="D749" s="113" t="s">
        <v>457</v>
      </c>
      <c r="E749" s="113" t="s">
        <v>1358</v>
      </c>
      <c r="F749" s="114">
        <v>7029.9271500000004</v>
      </c>
      <c r="G749" s="114">
        <v>7029.9271500000004</v>
      </c>
      <c r="H749" s="114">
        <v>0</v>
      </c>
      <c r="I749" s="111">
        <v>0</v>
      </c>
      <c r="J749" s="113" t="s">
        <v>246</v>
      </c>
    </row>
    <row r="750" spans="1:10" x14ac:dyDescent="0.25">
      <c r="A750" s="111">
        <v>747</v>
      </c>
      <c r="B750" s="112" t="s">
        <v>231</v>
      </c>
      <c r="C750" s="113" t="s">
        <v>232</v>
      </c>
      <c r="D750" s="113" t="s">
        <v>467</v>
      </c>
      <c r="E750" s="113" t="s">
        <v>233</v>
      </c>
      <c r="F750" s="114">
        <v>83.847529865797057</v>
      </c>
      <c r="G750" s="114">
        <v>84.847529865797057</v>
      </c>
      <c r="H750" s="114">
        <v>17.899999999999999</v>
      </c>
      <c r="I750" s="111">
        <v>1410</v>
      </c>
      <c r="J750" s="113" t="s">
        <v>277</v>
      </c>
    </row>
    <row r="751" spans="1:10" x14ac:dyDescent="0.25">
      <c r="A751" s="111">
        <v>748</v>
      </c>
      <c r="B751" s="112" t="s">
        <v>234</v>
      </c>
      <c r="C751" s="113" t="s">
        <v>235</v>
      </c>
      <c r="D751" s="113" t="s">
        <v>467</v>
      </c>
      <c r="E751" s="113" t="s">
        <v>233</v>
      </c>
      <c r="F751" s="114">
        <v>100.35608672326293</v>
      </c>
      <c r="G751" s="114">
        <v>105.85468672326293</v>
      </c>
      <c r="H751" s="114">
        <v>17.79</v>
      </c>
      <c r="I751" s="111">
        <v>253</v>
      </c>
      <c r="J751" s="113" t="s">
        <v>277</v>
      </c>
    </row>
    <row r="752" spans="1:10" x14ac:dyDescent="0.25">
      <c r="A752" s="111">
        <v>749</v>
      </c>
      <c r="B752" s="112" t="s">
        <v>1533</v>
      </c>
      <c r="C752" s="113" t="s">
        <v>1534</v>
      </c>
      <c r="D752" s="113" t="s">
        <v>467</v>
      </c>
      <c r="E752" s="113" t="s">
        <v>233</v>
      </c>
      <c r="F752" s="114">
        <v>99</v>
      </c>
      <c r="G752" s="114">
        <v>102.4722</v>
      </c>
      <c r="H752" s="114">
        <v>16.600000000000001</v>
      </c>
      <c r="I752" s="111">
        <v>55</v>
      </c>
      <c r="J752" s="113" t="s">
        <v>277</v>
      </c>
    </row>
    <row r="753" spans="1:10" x14ac:dyDescent="0.25">
      <c r="A753" s="111">
        <v>750</v>
      </c>
      <c r="B753" s="112" t="s">
        <v>2048</v>
      </c>
      <c r="C753" s="113" t="s">
        <v>2049</v>
      </c>
      <c r="D753" s="113" t="s">
        <v>467</v>
      </c>
      <c r="E753" s="113" t="s">
        <v>233</v>
      </c>
      <c r="F753" s="114">
        <v>98.793472628858368</v>
      </c>
      <c r="G753" s="114">
        <v>104.14067262885837</v>
      </c>
      <c r="H753" s="114">
        <v>13.5</v>
      </c>
      <c r="I753" s="111">
        <v>185</v>
      </c>
      <c r="J753" s="113" t="s">
        <v>277</v>
      </c>
    </row>
    <row r="754" spans="1:10" x14ac:dyDescent="0.25">
      <c r="A754" s="111">
        <v>751</v>
      </c>
      <c r="B754" s="112" t="s">
        <v>2182</v>
      </c>
      <c r="C754" s="113" t="s">
        <v>2183</v>
      </c>
      <c r="D754" s="113" t="s">
        <v>467</v>
      </c>
      <c r="E754" s="113" t="s">
        <v>233</v>
      </c>
      <c r="F754" s="114">
        <v>98.316254508320412</v>
      </c>
      <c r="G754" s="114">
        <v>100.36345450832042</v>
      </c>
      <c r="H754" s="114">
        <v>13.19</v>
      </c>
      <c r="I754" s="111">
        <v>293</v>
      </c>
      <c r="J754" s="113" t="s">
        <v>277</v>
      </c>
    </row>
    <row r="755" spans="1:10" x14ac:dyDescent="0.25">
      <c r="A755" s="111">
        <v>752</v>
      </c>
      <c r="B755" s="112" t="s">
        <v>1535</v>
      </c>
      <c r="C755" s="113" t="s">
        <v>1536</v>
      </c>
      <c r="D755" s="113" t="s">
        <v>467</v>
      </c>
      <c r="E755" s="113" t="s">
        <v>233</v>
      </c>
      <c r="F755" s="114">
        <v>98.932910815831733</v>
      </c>
      <c r="G755" s="114">
        <v>100.39121081583173</v>
      </c>
      <c r="H755" s="114">
        <v>13.53</v>
      </c>
      <c r="I755" s="111">
        <v>130</v>
      </c>
      <c r="J755" s="113" t="s">
        <v>277</v>
      </c>
    </row>
    <row r="756" spans="1:10" x14ac:dyDescent="0.25">
      <c r="A756" s="111">
        <v>753</v>
      </c>
      <c r="B756" s="112" t="s">
        <v>1537</v>
      </c>
      <c r="C756" s="113" t="s">
        <v>1538</v>
      </c>
      <c r="D756" s="113" t="s">
        <v>467</v>
      </c>
      <c r="E756" s="113" t="s">
        <v>233</v>
      </c>
      <c r="F756" s="114">
        <v>91.161828823904344</v>
      </c>
      <c r="G756" s="114">
        <v>92.272928823904337</v>
      </c>
      <c r="H756" s="114">
        <v>12.96</v>
      </c>
      <c r="I756" s="111">
        <v>1400</v>
      </c>
      <c r="J756" s="113" t="s">
        <v>277</v>
      </c>
    </row>
    <row r="757" spans="1:10" x14ac:dyDescent="0.25">
      <c r="A757" s="111">
        <v>754</v>
      </c>
      <c r="B757" s="112" t="s">
        <v>1539</v>
      </c>
      <c r="C757" s="113" t="s">
        <v>1540</v>
      </c>
      <c r="D757" s="113" t="s">
        <v>457</v>
      </c>
      <c r="E757" s="113" t="s">
        <v>1541</v>
      </c>
      <c r="F757" s="114">
        <v>35779.792200000004</v>
      </c>
      <c r="G757" s="114">
        <v>35779.792200000004</v>
      </c>
      <c r="H757" s="114">
        <v>0</v>
      </c>
      <c r="I757" s="111">
        <v>0</v>
      </c>
      <c r="J757" s="113" t="s">
        <v>246</v>
      </c>
    </row>
    <row r="758" spans="1:10" x14ac:dyDescent="0.25">
      <c r="A758" s="111">
        <v>755</v>
      </c>
      <c r="B758" s="112" t="s">
        <v>1542</v>
      </c>
      <c r="C758" s="113" t="s">
        <v>1543</v>
      </c>
      <c r="D758" s="113" t="s">
        <v>457</v>
      </c>
      <c r="E758" s="113" t="s">
        <v>2150</v>
      </c>
      <c r="F758" s="114">
        <v>644786.44585000002</v>
      </c>
      <c r="G758" s="114">
        <v>644786.44585000002</v>
      </c>
      <c r="H758" s="114">
        <v>0</v>
      </c>
      <c r="I758" s="111">
        <v>0</v>
      </c>
      <c r="J758" s="113" t="s">
        <v>246</v>
      </c>
    </row>
    <row r="759" spans="1:10" x14ac:dyDescent="0.25">
      <c r="A759" s="111">
        <v>756</v>
      </c>
      <c r="B759" s="112" t="s">
        <v>2033</v>
      </c>
      <c r="C759" s="113" t="s">
        <v>2034</v>
      </c>
      <c r="D759" s="113" t="s">
        <v>467</v>
      </c>
      <c r="E759" s="113" t="s">
        <v>2035</v>
      </c>
      <c r="F759" s="114">
        <v>99.648898365254269</v>
      </c>
      <c r="G759" s="114">
        <v>101.28499836525427</v>
      </c>
      <c r="H759" s="114">
        <v>19.16</v>
      </c>
      <c r="I759" s="111">
        <v>869</v>
      </c>
      <c r="J759" s="113" t="s">
        <v>277</v>
      </c>
    </row>
    <row r="760" spans="1:10" x14ac:dyDescent="0.25">
      <c r="A760" s="111">
        <v>757</v>
      </c>
      <c r="B760" s="112" t="s">
        <v>1544</v>
      </c>
      <c r="C760" s="113" t="s">
        <v>1545</v>
      </c>
      <c r="D760" s="113" t="s">
        <v>457</v>
      </c>
      <c r="E760" s="113" t="s">
        <v>2151</v>
      </c>
      <c r="F760" s="114">
        <v>41298.43505</v>
      </c>
      <c r="G760" s="114">
        <v>41298.43505</v>
      </c>
      <c r="H760" s="114">
        <v>0</v>
      </c>
      <c r="I760" s="111">
        <v>0</v>
      </c>
      <c r="J760" s="113" t="s">
        <v>246</v>
      </c>
    </row>
    <row r="761" spans="1:10" x14ac:dyDescent="0.25">
      <c r="A761" s="111">
        <v>758</v>
      </c>
      <c r="B761" s="112" t="s">
        <v>1546</v>
      </c>
      <c r="C761" s="113" t="s">
        <v>1547</v>
      </c>
      <c r="D761" s="113" t="s">
        <v>457</v>
      </c>
      <c r="E761" s="113" t="s">
        <v>1548</v>
      </c>
      <c r="F761" s="114">
        <v>6751.38</v>
      </c>
      <c r="G761" s="114">
        <v>6751.38</v>
      </c>
      <c r="H761" s="114">
        <v>0</v>
      </c>
      <c r="I761" s="111">
        <v>0</v>
      </c>
      <c r="J761" s="113" t="s">
        <v>246</v>
      </c>
    </row>
    <row r="762" spans="1:10" x14ac:dyDescent="0.25">
      <c r="A762" s="111">
        <v>759</v>
      </c>
      <c r="B762" s="112" t="s">
        <v>1549</v>
      </c>
      <c r="C762" s="113" t="s">
        <v>1550</v>
      </c>
      <c r="D762" s="113" t="s">
        <v>457</v>
      </c>
      <c r="E762" s="113" t="s">
        <v>1548</v>
      </c>
      <c r="F762" s="114">
        <v>88.363100000000003</v>
      </c>
      <c r="G762" s="114">
        <v>88.363100000000003</v>
      </c>
      <c r="H762" s="114">
        <v>0</v>
      </c>
      <c r="I762" s="111">
        <v>899</v>
      </c>
      <c r="J762" s="113" t="s">
        <v>246</v>
      </c>
    </row>
    <row r="763" spans="1:10" x14ac:dyDescent="0.25">
      <c r="A763" s="111">
        <v>760</v>
      </c>
      <c r="B763" s="112" t="s">
        <v>1551</v>
      </c>
      <c r="C763" s="113" t="s">
        <v>1552</v>
      </c>
      <c r="D763" s="113" t="s">
        <v>457</v>
      </c>
      <c r="E763" s="113" t="s">
        <v>1548</v>
      </c>
      <c r="F763" s="114">
        <v>0.01</v>
      </c>
      <c r="G763" s="114">
        <v>0.01</v>
      </c>
      <c r="H763" s="114">
        <v>0</v>
      </c>
      <c r="I763" s="111">
        <v>0</v>
      </c>
      <c r="J763" s="113" t="s">
        <v>246</v>
      </c>
    </row>
    <row r="764" spans="1:10" x14ac:dyDescent="0.25">
      <c r="A764" s="111">
        <v>761</v>
      </c>
      <c r="B764" s="112" t="s">
        <v>1553</v>
      </c>
      <c r="C764" s="113" t="s">
        <v>1554</v>
      </c>
      <c r="D764" s="113" t="s">
        <v>457</v>
      </c>
      <c r="E764" s="113" t="s">
        <v>1548</v>
      </c>
      <c r="F764" s="114">
        <v>0.01</v>
      </c>
      <c r="G764" s="114">
        <v>0.01</v>
      </c>
      <c r="H764" s="114">
        <v>0</v>
      </c>
      <c r="I764" s="111">
        <v>0</v>
      </c>
      <c r="J764" s="113" t="s">
        <v>246</v>
      </c>
    </row>
    <row r="765" spans="1:10" x14ac:dyDescent="0.25">
      <c r="A765" s="111">
        <v>762</v>
      </c>
      <c r="B765" s="112" t="s">
        <v>1555</v>
      </c>
      <c r="C765" s="113" t="s">
        <v>1556</v>
      </c>
      <c r="D765" s="113" t="s">
        <v>467</v>
      </c>
      <c r="E765" s="113" t="s">
        <v>1548</v>
      </c>
      <c r="F765" s="114">
        <v>96.108948471809512</v>
      </c>
      <c r="G765" s="114">
        <v>100.70184847180951</v>
      </c>
      <c r="H765" s="114">
        <v>18.25</v>
      </c>
      <c r="I765" s="111">
        <v>209</v>
      </c>
      <c r="J765" s="113" t="s">
        <v>277</v>
      </c>
    </row>
    <row r="766" spans="1:10" x14ac:dyDescent="0.25">
      <c r="A766" s="111">
        <v>763</v>
      </c>
      <c r="B766" s="112" t="s">
        <v>1557</v>
      </c>
      <c r="C766" s="113" t="s">
        <v>1558</v>
      </c>
      <c r="D766" s="113" t="s">
        <v>467</v>
      </c>
      <c r="E766" s="113" t="s">
        <v>1548</v>
      </c>
      <c r="F766" s="114">
        <v>36.45831045448498</v>
      </c>
      <c r="G766" s="114">
        <v>37.447210454484981</v>
      </c>
      <c r="H766" s="114">
        <v>18.53</v>
      </c>
      <c r="I766" s="111">
        <v>3511</v>
      </c>
      <c r="J766" s="113" t="s">
        <v>277</v>
      </c>
    </row>
    <row r="767" spans="1:10" x14ac:dyDescent="0.25">
      <c r="A767" s="111">
        <v>764</v>
      </c>
      <c r="B767" s="112" t="s">
        <v>1559</v>
      </c>
      <c r="C767" s="113" t="s">
        <v>1560</v>
      </c>
      <c r="D767" s="113" t="s">
        <v>457</v>
      </c>
      <c r="E767" s="113" t="s">
        <v>1548</v>
      </c>
      <c r="F767" s="114">
        <v>11898.67</v>
      </c>
      <c r="G767" s="114">
        <v>11898.67</v>
      </c>
      <c r="H767" s="114">
        <v>0</v>
      </c>
      <c r="I767" s="111">
        <v>0</v>
      </c>
      <c r="J767" s="113" t="s">
        <v>246</v>
      </c>
    </row>
    <row r="768" spans="1:10" x14ac:dyDescent="0.25">
      <c r="A768" s="111">
        <v>765</v>
      </c>
      <c r="B768" s="112" t="s">
        <v>1561</v>
      </c>
      <c r="C768" s="113" t="s">
        <v>1562</v>
      </c>
      <c r="D768" s="113" t="s">
        <v>467</v>
      </c>
      <c r="E768" s="113" t="s">
        <v>669</v>
      </c>
      <c r="F768" s="114">
        <v>100</v>
      </c>
      <c r="G768" s="114">
        <v>105.3447</v>
      </c>
      <c r="H768" s="114">
        <v>7.08</v>
      </c>
      <c r="I768" s="111">
        <v>2219</v>
      </c>
      <c r="J768" s="113" t="s">
        <v>277</v>
      </c>
    </row>
    <row r="769" spans="1:10" x14ac:dyDescent="0.25">
      <c r="A769" s="111">
        <v>766</v>
      </c>
      <c r="B769" s="112" t="s">
        <v>1563</v>
      </c>
      <c r="C769" s="113" t="s">
        <v>1564</v>
      </c>
      <c r="D769" s="113" t="s">
        <v>467</v>
      </c>
      <c r="E769" s="113" t="s">
        <v>669</v>
      </c>
      <c r="F769" s="114">
        <v>100</v>
      </c>
      <c r="G769" s="114">
        <v>105.8289</v>
      </c>
      <c r="H769" s="114">
        <v>6.09</v>
      </c>
      <c r="I769" s="111">
        <v>2146</v>
      </c>
      <c r="J769" s="113" t="s">
        <v>277</v>
      </c>
    </row>
    <row r="770" spans="1:10" x14ac:dyDescent="0.25">
      <c r="A770" s="111">
        <v>767</v>
      </c>
      <c r="B770" s="112" t="s">
        <v>1565</v>
      </c>
      <c r="C770" s="113" t="s">
        <v>1566</v>
      </c>
      <c r="D770" s="113" t="s">
        <v>467</v>
      </c>
      <c r="E770" s="113" t="s">
        <v>669</v>
      </c>
      <c r="F770" s="114">
        <v>100</v>
      </c>
      <c r="G770" s="114">
        <v>104.6767</v>
      </c>
      <c r="H770" s="114">
        <v>6.08</v>
      </c>
      <c r="I770" s="111">
        <v>2574</v>
      </c>
      <c r="J770" s="113" t="s">
        <v>277</v>
      </c>
    </row>
    <row r="771" spans="1:10" x14ac:dyDescent="0.25">
      <c r="A771" s="111">
        <v>768</v>
      </c>
      <c r="B771" s="112" t="s">
        <v>1567</v>
      </c>
      <c r="C771" s="113" t="s">
        <v>1568</v>
      </c>
      <c r="D771" s="113" t="s">
        <v>467</v>
      </c>
      <c r="E771" s="113" t="s">
        <v>669</v>
      </c>
      <c r="F771" s="114">
        <v>100</v>
      </c>
      <c r="G771" s="114">
        <v>104.6767</v>
      </c>
      <c r="H771" s="114">
        <v>6.08</v>
      </c>
      <c r="I771" s="111">
        <v>2574</v>
      </c>
      <c r="J771" s="113" t="s">
        <v>277</v>
      </c>
    </row>
    <row r="772" spans="1:10" x14ac:dyDescent="0.25">
      <c r="A772" s="111">
        <v>769</v>
      </c>
      <c r="B772" s="112" t="s">
        <v>1569</v>
      </c>
      <c r="C772" s="113" t="s">
        <v>1570</v>
      </c>
      <c r="D772" s="113" t="s">
        <v>467</v>
      </c>
      <c r="E772" s="113" t="s">
        <v>669</v>
      </c>
      <c r="F772" s="114">
        <v>100</v>
      </c>
      <c r="G772" s="114">
        <v>103.5414</v>
      </c>
      <c r="H772" s="114">
        <v>6.08</v>
      </c>
      <c r="I772" s="111">
        <v>2641</v>
      </c>
      <c r="J772" s="113" t="s">
        <v>277</v>
      </c>
    </row>
    <row r="773" spans="1:10" x14ac:dyDescent="0.25">
      <c r="A773" s="111">
        <v>770</v>
      </c>
      <c r="B773" s="112" t="s">
        <v>2392</v>
      </c>
      <c r="C773" s="113" t="s">
        <v>2393</v>
      </c>
      <c r="D773" s="113" t="s">
        <v>467</v>
      </c>
      <c r="E773" s="113" t="s">
        <v>236</v>
      </c>
      <c r="F773" s="114">
        <v>99.080699999999993</v>
      </c>
      <c r="G773" s="114">
        <v>99.080699999999993</v>
      </c>
      <c r="H773" s="114">
        <v>14.72</v>
      </c>
      <c r="I773" s="111">
        <v>23</v>
      </c>
      <c r="J773" s="113" t="s">
        <v>277</v>
      </c>
    </row>
    <row r="774" spans="1:10" x14ac:dyDescent="0.25">
      <c r="A774" s="111">
        <v>771</v>
      </c>
      <c r="B774" s="112" t="s">
        <v>1571</v>
      </c>
      <c r="C774" s="113" t="s">
        <v>1572</v>
      </c>
      <c r="D774" s="113" t="s">
        <v>457</v>
      </c>
      <c r="E774" s="113" t="s">
        <v>1573</v>
      </c>
      <c r="F774" s="114">
        <v>95178.175499999998</v>
      </c>
      <c r="G774" s="114">
        <v>95178.175499999998</v>
      </c>
      <c r="H774" s="114">
        <v>0</v>
      </c>
      <c r="I774" s="111">
        <v>0</v>
      </c>
      <c r="J774" s="113" t="s">
        <v>246</v>
      </c>
    </row>
    <row r="775" spans="1:10" x14ac:dyDescent="0.25">
      <c r="A775" s="111">
        <v>772</v>
      </c>
      <c r="B775" s="112" t="s">
        <v>1574</v>
      </c>
      <c r="C775" s="113" t="s">
        <v>1575</v>
      </c>
      <c r="D775" s="113" t="s">
        <v>467</v>
      </c>
      <c r="E775" s="113" t="s">
        <v>1576</v>
      </c>
      <c r="F775" s="114">
        <v>99.272522347897919</v>
      </c>
      <c r="G775" s="114">
        <v>102.12252234789793</v>
      </c>
      <c r="H775" s="114">
        <v>6.13</v>
      </c>
      <c r="I775" s="111">
        <v>2349</v>
      </c>
      <c r="J775" s="113" t="s">
        <v>277</v>
      </c>
    </row>
    <row r="776" spans="1:10" x14ac:dyDescent="0.25">
      <c r="A776" s="111">
        <v>773</v>
      </c>
      <c r="B776" s="112" t="s">
        <v>1577</v>
      </c>
      <c r="C776" s="113" t="s">
        <v>1578</v>
      </c>
      <c r="D776" s="113" t="s">
        <v>467</v>
      </c>
      <c r="E776" s="113" t="s">
        <v>1579</v>
      </c>
      <c r="F776" s="114">
        <v>104.952</v>
      </c>
      <c r="G776" s="114">
        <v>107.902</v>
      </c>
      <c r="H776" s="114">
        <v>4.63</v>
      </c>
      <c r="I776" s="111">
        <v>1443</v>
      </c>
      <c r="J776" s="113" t="s">
        <v>277</v>
      </c>
    </row>
    <row r="777" spans="1:10" x14ac:dyDescent="0.25">
      <c r="A777" s="111">
        <v>774</v>
      </c>
      <c r="B777" s="112" t="s">
        <v>2015</v>
      </c>
      <c r="C777" s="113" t="s">
        <v>2016</v>
      </c>
      <c r="D777" s="113" t="s">
        <v>467</v>
      </c>
      <c r="E777" s="113" t="s">
        <v>449</v>
      </c>
      <c r="F777" s="114">
        <v>99.996799999999993</v>
      </c>
      <c r="G777" s="114">
        <v>100.8635</v>
      </c>
      <c r="H777" s="114">
        <v>19.5</v>
      </c>
      <c r="I777" s="111">
        <v>134</v>
      </c>
      <c r="J777" s="113" t="s">
        <v>277</v>
      </c>
    </row>
    <row r="778" spans="1:10" x14ac:dyDescent="0.25">
      <c r="A778" s="111">
        <v>775</v>
      </c>
      <c r="B778" s="112" t="s">
        <v>2102</v>
      </c>
      <c r="C778" s="113" t="s">
        <v>2103</v>
      </c>
      <c r="D778" s="113" t="s">
        <v>467</v>
      </c>
      <c r="E778" s="113" t="s">
        <v>449</v>
      </c>
      <c r="F778" s="114">
        <v>100.42316204516082</v>
      </c>
      <c r="G778" s="114">
        <v>101.75646204516083</v>
      </c>
      <c r="H778" s="114">
        <v>19.239999999999998</v>
      </c>
      <c r="I778" s="111">
        <v>216</v>
      </c>
      <c r="J778" s="113" t="s">
        <v>277</v>
      </c>
    </row>
    <row r="779" spans="1:10" x14ac:dyDescent="0.25">
      <c r="A779" s="111">
        <v>776</v>
      </c>
      <c r="B779" s="112" t="s">
        <v>2178</v>
      </c>
      <c r="C779" s="113" t="s">
        <v>2179</v>
      </c>
      <c r="D779" s="113" t="s">
        <v>467</v>
      </c>
      <c r="E779" s="113" t="s">
        <v>449</v>
      </c>
      <c r="F779" s="114">
        <v>100.41640568538485</v>
      </c>
      <c r="G779" s="114">
        <v>100.74970568538485</v>
      </c>
      <c r="H779" s="114">
        <v>19.38</v>
      </c>
      <c r="I779" s="111">
        <v>264</v>
      </c>
      <c r="J779" s="113" t="s">
        <v>277</v>
      </c>
    </row>
    <row r="780" spans="1:10" x14ac:dyDescent="0.25">
      <c r="A780" s="111">
        <v>777</v>
      </c>
      <c r="B780" s="112" t="s">
        <v>2017</v>
      </c>
      <c r="C780" s="113" t="s">
        <v>2018</v>
      </c>
      <c r="D780" s="113" t="s">
        <v>457</v>
      </c>
      <c r="E780" s="113" t="s">
        <v>2019</v>
      </c>
      <c r="F780" s="114">
        <v>132954.82709999999</v>
      </c>
      <c r="G780" s="114">
        <v>132954.82709999999</v>
      </c>
      <c r="H780" s="114">
        <v>0</v>
      </c>
      <c r="I780" s="111">
        <v>0</v>
      </c>
      <c r="J780" s="113" t="s">
        <v>246</v>
      </c>
    </row>
    <row r="781" spans="1:10" x14ac:dyDescent="0.25">
      <c r="A781" s="111">
        <v>778</v>
      </c>
      <c r="B781" s="112" t="s">
        <v>1580</v>
      </c>
      <c r="C781" s="113" t="s">
        <v>1581</v>
      </c>
      <c r="D781" s="113" t="s">
        <v>467</v>
      </c>
      <c r="E781" s="113" t="s">
        <v>1582</v>
      </c>
      <c r="F781" s="114">
        <v>87.155393244592247</v>
      </c>
      <c r="G781" s="114">
        <v>93.519293244592248</v>
      </c>
      <c r="H781" s="114">
        <v>23.26</v>
      </c>
      <c r="I781" s="111">
        <v>3187</v>
      </c>
      <c r="J781" s="113" t="s">
        <v>277</v>
      </c>
    </row>
    <row r="782" spans="1:10" x14ac:dyDescent="0.25">
      <c r="A782" s="111">
        <v>779</v>
      </c>
      <c r="B782" s="112" t="s">
        <v>1583</v>
      </c>
      <c r="C782" s="113" t="s">
        <v>1584</v>
      </c>
      <c r="D782" s="113" t="s">
        <v>467</v>
      </c>
      <c r="E782" s="113" t="s">
        <v>1585</v>
      </c>
      <c r="F782" s="114">
        <v>94.597180354109327</v>
      </c>
      <c r="G782" s="114">
        <v>94.888880354109332</v>
      </c>
      <c r="H782" s="114">
        <v>16.739999999999998</v>
      </c>
      <c r="I782" s="111">
        <v>350</v>
      </c>
      <c r="J782" s="113" t="s">
        <v>277</v>
      </c>
    </row>
    <row r="783" spans="1:10" x14ac:dyDescent="0.25">
      <c r="A783" s="111">
        <v>780</v>
      </c>
      <c r="B783" s="112" t="s">
        <v>1586</v>
      </c>
      <c r="C783" s="113" t="s">
        <v>1587</v>
      </c>
      <c r="D783" s="113" t="s">
        <v>467</v>
      </c>
      <c r="E783" s="113" t="s">
        <v>1585</v>
      </c>
      <c r="F783" s="114">
        <v>88.43888096742964</v>
      </c>
      <c r="G783" s="114">
        <v>91.093080967429628</v>
      </c>
      <c r="H783" s="114">
        <v>16.86</v>
      </c>
      <c r="I783" s="111">
        <v>809</v>
      </c>
      <c r="J783" s="113" t="s">
        <v>277</v>
      </c>
    </row>
    <row r="784" spans="1:10" x14ac:dyDescent="0.25">
      <c r="A784" s="111">
        <v>781</v>
      </c>
      <c r="B784" s="112" t="s">
        <v>1588</v>
      </c>
      <c r="C784" s="113" t="s">
        <v>1589</v>
      </c>
      <c r="D784" s="113" t="s">
        <v>457</v>
      </c>
      <c r="E784" s="113" t="s">
        <v>1590</v>
      </c>
      <c r="F784" s="114">
        <v>24232.379850000001</v>
      </c>
      <c r="G784" s="114">
        <v>24232.379850000001</v>
      </c>
      <c r="H784" s="114">
        <v>0</v>
      </c>
      <c r="I784" s="111">
        <v>0</v>
      </c>
      <c r="J784" s="113" t="s">
        <v>246</v>
      </c>
    </row>
    <row r="785" spans="1:10" x14ac:dyDescent="0.25">
      <c r="A785" s="111">
        <v>782</v>
      </c>
      <c r="B785" s="112" t="s">
        <v>1591</v>
      </c>
      <c r="C785" s="113" t="s">
        <v>1592</v>
      </c>
      <c r="D785" s="113" t="s">
        <v>467</v>
      </c>
      <c r="E785" s="113" t="s">
        <v>1593</v>
      </c>
      <c r="F785" s="114">
        <v>100</v>
      </c>
      <c r="G785" s="114">
        <v>103.7867</v>
      </c>
      <c r="H785" s="114">
        <v>9.58</v>
      </c>
      <c r="I785" s="111">
        <v>398</v>
      </c>
      <c r="J785" s="113" t="s">
        <v>277</v>
      </c>
    </row>
    <row r="786" spans="1:10" x14ac:dyDescent="0.25">
      <c r="A786" s="111">
        <v>783</v>
      </c>
      <c r="B786" s="112" t="s">
        <v>1594</v>
      </c>
      <c r="C786" s="113" t="s">
        <v>1595</v>
      </c>
      <c r="D786" s="113" t="s">
        <v>467</v>
      </c>
      <c r="E786" s="113" t="s">
        <v>1596</v>
      </c>
      <c r="F786" s="114">
        <v>99.936000000000007</v>
      </c>
      <c r="G786" s="114">
        <v>101.6891</v>
      </c>
      <c r="H786" s="114">
        <v>4.16</v>
      </c>
      <c r="I786" s="111">
        <v>747</v>
      </c>
      <c r="J786" s="113" t="s">
        <v>277</v>
      </c>
    </row>
    <row r="787" spans="1:10" x14ac:dyDescent="0.25">
      <c r="A787" s="111">
        <v>784</v>
      </c>
      <c r="B787" s="112" t="s">
        <v>1597</v>
      </c>
      <c r="C787" s="113" t="s">
        <v>1598</v>
      </c>
      <c r="D787" s="113" t="s">
        <v>467</v>
      </c>
      <c r="E787" s="113" t="s">
        <v>1596</v>
      </c>
      <c r="F787" s="114">
        <v>98.698999999999998</v>
      </c>
      <c r="G787" s="114">
        <v>98.732200000000006</v>
      </c>
      <c r="H787" s="114">
        <v>5.14</v>
      </c>
      <c r="I787" s="111">
        <v>175</v>
      </c>
      <c r="J787" s="113" t="s">
        <v>277</v>
      </c>
    </row>
    <row r="788" spans="1:10" x14ac:dyDescent="0.25">
      <c r="A788" s="111">
        <v>785</v>
      </c>
      <c r="B788" s="112" t="s">
        <v>1599</v>
      </c>
      <c r="C788" s="113" t="s">
        <v>1600</v>
      </c>
      <c r="D788" s="113" t="s">
        <v>457</v>
      </c>
      <c r="E788" s="113" t="s">
        <v>1601</v>
      </c>
      <c r="F788" s="114">
        <v>13473.34505</v>
      </c>
      <c r="G788" s="114">
        <v>13473.34505</v>
      </c>
      <c r="H788" s="114">
        <v>0</v>
      </c>
      <c r="I788" s="111">
        <v>0</v>
      </c>
      <c r="J788" s="113" t="s">
        <v>246</v>
      </c>
    </row>
    <row r="789" spans="1:10" x14ac:dyDescent="0.25">
      <c r="A789" s="111">
        <v>786</v>
      </c>
      <c r="B789" s="112" t="s">
        <v>2121</v>
      </c>
      <c r="C789" s="113" t="s">
        <v>1906</v>
      </c>
      <c r="D789" s="113" t="s">
        <v>769</v>
      </c>
      <c r="E789" s="113" t="s">
        <v>1656</v>
      </c>
      <c r="F789" s="114">
        <v>38627.771999999997</v>
      </c>
      <c r="G789" s="114">
        <v>38627.771999999997</v>
      </c>
      <c r="H789" s="114">
        <v>0</v>
      </c>
      <c r="I789" s="111">
        <v>0</v>
      </c>
      <c r="J789" s="113" t="s">
        <v>246</v>
      </c>
    </row>
    <row r="790" spans="1:10" x14ac:dyDescent="0.25">
      <c r="A790" s="111">
        <v>787</v>
      </c>
      <c r="B790" s="112" t="s">
        <v>1607</v>
      </c>
      <c r="C790" s="113" t="s">
        <v>1608</v>
      </c>
      <c r="D790" s="113" t="s">
        <v>457</v>
      </c>
      <c r="E790" s="113" t="s">
        <v>1609</v>
      </c>
      <c r="F790" s="114">
        <v>0.01</v>
      </c>
      <c r="G790" s="114">
        <v>0.01</v>
      </c>
      <c r="H790" s="114">
        <v>0</v>
      </c>
      <c r="I790" s="111">
        <v>0</v>
      </c>
      <c r="J790" s="113" t="s">
        <v>246</v>
      </c>
    </row>
    <row r="791" spans="1:10" x14ac:dyDescent="0.25">
      <c r="A791" s="111">
        <v>788</v>
      </c>
      <c r="B791" s="112" t="s">
        <v>1602</v>
      </c>
      <c r="C791" s="113" t="s">
        <v>1603</v>
      </c>
      <c r="D791" s="113" t="s">
        <v>467</v>
      </c>
      <c r="E791" s="113" t="s">
        <v>1604</v>
      </c>
      <c r="F791" s="114">
        <v>97.938999999999993</v>
      </c>
      <c r="G791" s="114">
        <v>98.084800000000001</v>
      </c>
      <c r="H791" s="114">
        <v>4.4000000000000004</v>
      </c>
      <c r="I791" s="111">
        <v>1246</v>
      </c>
      <c r="J791" s="113" t="s">
        <v>277</v>
      </c>
    </row>
    <row r="792" spans="1:10" x14ac:dyDescent="0.25">
      <c r="A792" s="111">
        <v>789</v>
      </c>
      <c r="B792" s="112" t="s">
        <v>1605</v>
      </c>
      <c r="C792" s="113" t="s">
        <v>1606</v>
      </c>
      <c r="D792" s="113" t="s">
        <v>467</v>
      </c>
      <c r="E792" s="113" t="s">
        <v>1604</v>
      </c>
      <c r="F792" s="114">
        <v>96.804000000000002</v>
      </c>
      <c r="G792" s="114">
        <v>98.278999999999996</v>
      </c>
      <c r="H792" s="114">
        <v>4.3600000000000003</v>
      </c>
      <c r="I792" s="111">
        <v>903</v>
      </c>
      <c r="J792" s="113" t="s">
        <v>277</v>
      </c>
    </row>
    <row r="793" spans="1:10" x14ac:dyDescent="0.25">
      <c r="A793" s="111">
        <v>790</v>
      </c>
      <c r="B793" s="112" t="s">
        <v>1610</v>
      </c>
      <c r="C793" s="113" t="s">
        <v>1611</v>
      </c>
      <c r="D793" s="113" t="s">
        <v>467</v>
      </c>
      <c r="E793" s="113" t="s">
        <v>1612</v>
      </c>
      <c r="F793" s="114">
        <v>92.356264259005485</v>
      </c>
      <c r="G793" s="114">
        <v>95.117364259005484</v>
      </c>
      <c r="H793" s="114">
        <v>16.170000000000002</v>
      </c>
      <c r="I793" s="111">
        <v>1909</v>
      </c>
      <c r="J793" s="113" t="s">
        <v>277</v>
      </c>
    </row>
    <row r="794" spans="1:10" x14ac:dyDescent="0.25">
      <c r="A794" s="111">
        <v>791</v>
      </c>
      <c r="B794" s="112" t="s">
        <v>2096</v>
      </c>
      <c r="C794" s="113" t="s">
        <v>2097</v>
      </c>
      <c r="D794" s="113" t="s">
        <v>467</v>
      </c>
      <c r="E794" s="113" t="s">
        <v>403</v>
      </c>
      <c r="F794" s="114">
        <v>100.12485830745224</v>
      </c>
      <c r="G794" s="114">
        <v>104.17485830745224</v>
      </c>
      <c r="H794" s="114">
        <v>17.850000000000001</v>
      </c>
      <c r="I794" s="111">
        <v>369</v>
      </c>
      <c r="J794" s="113" t="s">
        <v>277</v>
      </c>
    </row>
    <row r="795" spans="1:10" x14ac:dyDescent="0.25">
      <c r="A795" s="111">
        <v>792</v>
      </c>
      <c r="B795" s="112" t="s">
        <v>2098</v>
      </c>
      <c r="C795" s="113" t="s">
        <v>2099</v>
      </c>
      <c r="D795" s="113" t="s">
        <v>467</v>
      </c>
      <c r="E795" s="113" t="s">
        <v>403</v>
      </c>
      <c r="F795" s="114">
        <v>100.12485830745224</v>
      </c>
      <c r="G795" s="114">
        <v>104.17485830745224</v>
      </c>
      <c r="H795" s="114">
        <v>17.850000000000001</v>
      </c>
      <c r="I795" s="111">
        <v>369</v>
      </c>
      <c r="J795" s="113" t="s">
        <v>277</v>
      </c>
    </row>
    <row r="796" spans="1:10" x14ac:dyDescent="0.25">
      <c r="A796" s="111">
        <v>793</v>
      </c>
      <c r="B796" s="112" t="s">
        <v>1613</v>
      </c>
      <c r="C796" s="113" t="s">
        <v>1614</v>
      </c>
      <c r="D796" s="113" t="s">
        <v>457</v>
      </c>
      <c r="E796" s="113" t="s">
        <v>403</v>
      </c>
      <c r="F796" s="114">
        <v>3450.9650000000001</v>
      </c>
      <c r="G796" s="114">
        <v>3450.9650000000001</v>
      </c>
      <c r="H796" s="114">
        <v>0</v>
      </c>
      <c r="I796" s="111">
        <v>241</v>
      </c>
      <c r="J796" s="113" t="s">
        <v>246</v>
      </c>
    </row>
    <row r="797" spans="1:10" x14ac:dyDescent="0.25">
      <c r="A797" s="111">
        <v>794</v>
      </c>
      <c r="B797" s="112" t="s">
        <v>1615</v>
      </c>
      <c r="C797" s="113" t="s">
        <v>1616</v>
      </c>
      <c r="D797" s="113" t="s">
        <v>467</v>
      </c>
      <c r="E797" s="113" t="s">
        <v>1617</v>
      </c>
      <c r="F797" s="114">
        <v>100</v>
      </c>
      <c r="G797" s="114">
        <v>101.8535</v>
      </c>
      <c r="H797" s="114">
        <v>4.24</v>
      </c>
      <c r="I797" s="111">
        <v>323</v>
      </c>
      <c r="J797" s="113" t="s">
        <v>277</v>
      </c>
    </row>
    <row r="798" spans="1:10" x14ac:dyDescent="0.25">
      <c r="A798" s="111">
        <v>795</v>
      </c>
      <c r="B798" s="112" t="s">
        <v>1618</v>
      </c>
      <c r="C798" s="113" t="s">
        <v>1619</v>
      </c>
      <c r="D798" s="113" t="s">
        <v>467</v>
      </c>
      <c r="E798" s="113" t="s">
        <v>1617</v>
      </c>
      <c r="F798" s="114">
        <v>100</v>
      </c>
      <c r="G798" s="114">
        <v>100.0574</v>
      </c>
      <c r="H798" s="114">
        <v>0.35</v>
      </c>
      <c r="I798" s="111">
        <v>121</v>
      </c>
      <c r="J798" s="113" t="s">
        <v>277</v>
      </c>
    </row>
    <row r="799" spans="1:10" x14ac:dyDescent="0.25">
      <c r="A799" s="111">
        <v>796</v>
      </c>
      <c r="B799" s="112" t="s">
        <v>1620</v>
      </c>
      <c r="C799" s="113" t="s">
        <v>1621</v>
      </c>
      <c r="D799" s="113" t="s">
        <v>467</v>
      </c>
      <c r="E799" s="113" t="s">
        <v>1617</v>
      </c>
      <c r="F799" s="114">
        <v>100</v>
      </c>
      <c r="G799" s="114">
        <v>100.0535</v>
      </c>
      <c r="H799" s="114">
        <v>0.35</v>
      </c>
      <c r="I799" s="111">
        <v>305</v>
      </c>
      <c r="J799" s="113" t="s">
        <v>277</v>
      </c>
    </row>
    <row r="800" spans="1:10" x14ac:dyDescent="0.25">
      <c r="A800" s="111">
        <v>797</v>
      </c>
      <c r="B800" s="112" t="s">
        <v>2250</v>
      </c>
      <c r="C800" s="113" t="s">
        <v>2251</v>
      </c>
      <c r="D800" s="113" t="s">
        <v>467</v>
      </c>
      <c r="E800" s="113" t="s">
        <v>1617</v>
      </c>
      <c r="F800" s="114">
        <v>100</v>
      </c>
      <c r="G800" s="114">
        <v>100.05929999999999</v>
      </c>
      <c r="H800" s="114">
        <v>0.35</v>
      </c>
      <c r="I800" s="111">
        <v>659</v>
      </c>
      <c r="J800" s="113" t="s">
        <v>277</v>
      </c>
    </row>
    <row r="801" spans="1:10" x14ac:dyDescent="0.25">
      <c r="A801" s="111">
        <v>798</v>
      </c>
      <c r="B801" s="112" t="s">
        <v>1622</v>
      </c>
      <c r="C801" s="113" t="s">
        <v>1623</v>
      </c>
      <c r="D801" s="113" t="s">
        <v>467</v>
      </c>
      <c r="E801" s="113" t="s">
        <v>1617</v>
      </c>
      <c r="F801" s="114">
        <v>100</v>
      </c>
      <c r="G801" s="114">
        <v>100.0196</v>
      </c>
      <c r="H801" s="114">
        <v>0.02</v>
      </c>
      <c r="I801" s="111">
        <v>3122</v>
      </c>
      <c r="J801" s="113" t="s">
        <v>277</v>
      </c>
    </row>
    <row r="802" spans="1:10" x14ac:dyDescent="0.25">
      <c r="A802" s="111">
        <v>799</v>
      </c>
      <c r="B802" s="112" t="s">
        <v>1624</v>
      </c>
      <c r="C802" s="113" t="s">
        <v>1625</v>
      </c>
      <c r="D802" s="113" t="s">
        <v>467</v>
      </c>
      <c r="E802" s="113" t="s">
        <v>1617</v>
      </c>
      <c r="F802" s="114">
        <v>100</v>
      </c>
      <c r="G802" s="114">
        <v>100.5592</v>
      </c>
      <c r="H802" s="114">
        <v>6.09</v>
      </c>
      <c r="I802" s="111">
        <v>1737</v>
      </c>
      <c r="J802" s="113" t="s">
        <v>277</v>
      </c>
    </row>
    <row r="803" spans="1:10" x14ac:dyDescent="0.25">
      <c r="A803" s="111">
        <v>800</v>
      </c>
      <c r="B803" s="112" t="s">
        <v>1626</v>
      </c>
      <c r="C803" s="113" t="s">
        <v>1627</v>
      </c>
      <c r="D803" s="113" t="s">
        <v>467</v>
      </c>
      <c r="E803" s="113" t="s">
        <v>1617</v>
      </c>
      <c r="F803" s="114">
        <v>100</v>
      </c>
      <c r="G803" s="114">
        <v>105.3447</v>
      </c>
      <c r="H803" s="114">
        <v>7.08</v>
      </c>
      <c r="I803" s="111">
        <v>2219</v>
      </c>
      <c r="J803" s="113" t="s">
        <v>277</v>
      </c>
    </row>
    <row r="804" spans="1:10" x14ac:dyDescent="0.25">
      <c r="A804" s="111">
        <v>801</v>
      </c>
      <c r="B804" s="112" t="s">
        <v>2372</v>
      </c>
      <c r="C804" s="113" t="s">
        <v>2373</v>
      </c>
      <c r="D804" s="113" t="s">
        <v>467</v>
      </c>
      <c r="E804" s="113" t="s">
        <v>1617</v>
      </c>
      <c r="F804" s="114">
        <v>90.213418465044015</v>
      </c>
      <c r="G804" s="114">
        <v>90.719018465044016</v>
      </c>
      <c r="H804" s="114">
        <v>20.57</v>
      </c>
      <c r="I804" s="111">
        <v>3590</v>
      </c>
      <c r="J804" s="113" t="s">
        <v>277</v>
      </c>
    </row>
    <row r="805" spans="1:10" x14ac:dyDescent="0.25">
      <c r="A805" s="111">
        <v>802</v>
      </c>
      <c r="B805" s="112" t="s">
        <v>1628</v>
      </c>
      <c r="C805" s="113" t="s">
        <v>1629</v>
      </c>
      <c r="D805" s="113" t="s">
        <v>467</v>
      </c>
      <c r="E805" s="113" t="s">
        <v>1617</v>
      </c>
      <c r="F805" s="114">
        <v>100</v>
      </c>
      <c r="G805" s="114">
        <v>105.8289</v>
      </c>
      <c r="H805" s="114">
        <v>6.09</v>
      </c>
      <c r="I805" s="111">
        <v>2146</v>
      </c>
      <c r="J805" s="113" t="s">
        <v>277</v>
      </c>
    </row>
    <row r="806" spans="1:10" x14ac:dyDescent="0.25">
      <c r="A806" s="111">
        <v>803</v>
      </c>
      <c r="B806" s="112" t="s">
        <v>1630</v>
      </c>
      <c r="C806" s="113" t="s">
        <v>1631</v>
      </c>
      <c r="D806" s="113" t="s">
        <v>467</v>
      </c>
      <c r="E806" s="113" t="s">
        <v>1617</v>
      </c>
      <c r="F806" s="114">
        <v>100</v>
      </c>
      <c r="G806" s="114">
        <v>104.6767</v>
      </c>
      <c r="H806" s="114">
        <v>6.08</v>
      </c>
      <c r="I806" s="111">
        <v>2574</v>
      </c>
      <c r="J806" s="113" t="s">
        <v>277</v>
      </c>
    </row>
    <row r="807" spans="1:10" x14ac:dyDescent="0.25">
      <c r="A807" s="111">
        <v>804</v>
      </c>
      <c r="B807" s="112" t="s">
        <v>1632</v>
      </c>
      <c r="C807" s="113" t="s">
        <v>1633</v>
      </c>
      <c r="D807" s="113" t="s">
        <v>467</v>
      </c>
      <c r="E807" s="113" t="s">
        <v>1617</v>
      </c>
      <c r="F807" s="114">
        <v>100</v>
      </c>
      <c r="G807" s="114">
        <v>104.6767</v>
      </c>
      <c r="H807" s="114">
        <v>6.08</v>
      </c>
      <c r="I807" s="111">
        <v>2574</v>
      </c>
      <c r="J807" s="113" t="s">
        <v>277</v>
      </c>
    </row>
    <row r="808" spans="1:10" x14ac:dyDescent="0.25">
      <c r="A808" s="111">
        <v>805</v>
      </c>
      <c r="B808" s="112" t="s">
        <v>1634</v>
      </c>
      <c r="C808" s="113" t="s">
        <v>1635</v>
      </c>
      <c r="D808" s="113" t="s">
        <v>467</v>
      </c>
      <c r="E808" s="113" t="s">
        <v>1617</v>
      </c>
      <c r="F808" s="114">
        <v>100</v>
      </c>
      <c r="G808" s="114">
        <v>103.5414</v>
      </c>
      <c r="H808" s="114">
        <v>6.08</v>
      </c>
      <c r="I808" s="111">
        <v>2641</v>
      </c>
      <c r="J808" s="113" t="s">
        <v>277</v>
      </c>
    </row>
    <row r="809" spans="1:10" x14ac:dyDescent="0.25">
      <c r="A809" s="111">
        <v>806</v>
      </c>
      <c r="B809" s="112" t="s">
        <v>1636</v>
      </c>
      <c r="C809" s="113" t="s">
        <v>1637</v>
      </c>
      <c r="D809" s="113" t="s">
        <v>457</v>
      </c>
      <c r="E809" s="113" t="s">
        <v>1638</v>
      </c>
      <c r="F809" s="114">
        <v>42594.211300000003</v>
      </c>
      <c r="G809" s="114">
        <v>42594.211300000003</v>
      </c>
      <c r="H809" s="114">
        <v>0</v>
      </c>
      <c r="I809" s="111">
        <v>0</v>
      </c>
      <c r="J809" s="113" t="s">
        <v>246</v>
      </c>
    </row>
    <row r="810" spans="1:10" x14ac:dyDescent="0.25">
      <c r="A810" s="111">
        <v>807</v>
      </c>
      <c r="B810" s="112" t="s">
        <v>1639</v>
      </c>
      <c r="C810" s="113" t="s">
        <v>1640</v>
      </c>
      <c r="D810" s="113" t="s">
        <v>457</v>
      </c>
      <c r="E810" s="113" t="s">
        <v>1641</v>
      </c>
      <c r="F810" s="114">
        <v>0.01</v>
      </c>
      <c r="G810" s="114">
        <v>0.01</v>
      </c>
      <c r="H810" s="114">
        <v>0</v>
      </c>
      <c r="I810" s="111">
        <v>0</v>
      </c>
      <c r="J810" s="113" t="s">
        <v>246</v>
      </c>
    </row>
    <row r="811" spans="1:10" x14ac:dyDescent="0.25">
      <c r="A811" s="111">
        <v>808</v>
      </c>
      <c r="B811" s="112" t="s">
        <v>1642</v>
      </c>
      <c r="C811" s="113" t="s">
        <v>1643</v>
      </c>
      <c r="D811" s="113" t="s">
        <v>467</v>
      </c>
      <c r="E811" s="113" t="s">
        <v>1644</v>
      </c>
      <c r="F811" s="114">
        <v>99.001999999999995</v>
      </c>
      <c r="G811" s="114">
        <v>99.507599999999996</v>
      </c>
      <c r="H811" s="114">
        <v>4.46</v>
      </c>
      <c r="I811" s="111">
        <v>304</v>
      </c>
      <c r="J811" s="113" t="s">
        <v>277</v>
      </c>
    </row>
    <row r="812" spans="1:10" x14ac:dyDescent="0.25">
      <c r="A812" s="111">
        <v>809</v>
      </c>
      <c r="B812" s="112" t="s">
        <v>1645</v>
      </c>
      <c r="C812" s="113" t="s">
        <v>1646</v>
      </c>
      <c r="D812" s="113" t="s">
        <v>467</v>
      </c>
      <c r="E812" s="113" t="s">
        <v>1644</v>
      </c>
      <c r="F812" s="114">
        <v>97.93</v>
      </c>
      <c r="G812" s="114">
        <v>98.992500000000007</v>
      </c>
      <c r="H812" s="114">
        <v>4.24</v>
      </c>
      <c r="I812" s="111">
        <v>1698</v>
      </c>
      <c r="J812" s="113" t="s">
        <v>277</v>
      </c>
    </row>
    <row r="813" spans="1:10" x14ac:dyDescent="0.25">
      <c r="A813" s="111">
        <v>810</v>
      </c>
      <c r="B813" s="112" t="s">
        <v>1647</v>
      </c>
      <c r="C813" s="113" t="s">
        <v>1648</v>
      </c>
      <c r="D813" s="113" t="s">
        <v>467</v>
      </c>
      <c r="E813" s="113" t="s">
        <v>1644</v>
      </c>
      <c r="F813" s="114">
        <v>99.262870587019535</v>
      </c>
      <c r="G813" s="114">
        <v>100.75177058701954</v>
      </c>
      <c r="H813" s="114">
        <v>4.22</v>
      </c>
      <c r="I813" s="111">
        <v>1306</v>
      </c>
      <c r="J813" s="113" t="s">
        <v>277</v>
      </c>
    </row>
    <row r="814" spans="1:10" x14ac:dyDescent="0.25">
      <c r="A814" s="111">
        <v>811</v>
      </c>
      <c r="B814" s="112" t="s">
        <v>1649</v>
      </c>
      <c r="C814" s="113" t="s">
        <v>1650</v>
      </c>
      <c r="D814" s="113" t="s">
        <v>467</v>
      </c>
      <c r="E814" s="113" t="s">
        <v>1644</v>
      </c>
      <c r="F814" s="114">
        <v>100.982</v>
      </c>
      <c r="G814" s="114">
        <v>102.1695</v>
      </c>
      <c r="H814" s="114">
        <v>4.1100000000000003</v>
      </c>
      <c r="I814" s="111">
        <v>985</v>
      </c>
      <c r="J814" s="113" t="s">
        <v>277</v>
      </c>
    </row>
    <row r="815" spans="1:10" x14ac:dyDescent="0.25">
      <c r="A815" s="111">
        <v>812</v>
      </c>
      <c r="B815" s="112" t="s">
        <v>1651</v>
      </c>
      <c r="C815" s="113" t="s">
        <v>1652</v>
      </c>
      <c r="D815" s="113" t="s">
        <v>457</v>
      </c>
      <c r="E815" s="113" t="s">
        <v>1653</v>
      </c>
      <c r="F815" s="114">
        <v>86165.028699999995</v>
      </c>
      <c r="G815" s="114">
        <v>86165.028699999995</v>
      </c>
      <c r="H815" s="114">
        <v>0</v>
      </c>
      <c r="I815" s="111">
        <v>0</v>
      </c>
      <c r="J815" s="113" t="s">
        <v>246</v>
      </c>
    </row>
    <row r="816" spans="1:10" x14ac:dyDescent="0.25">
      <c r="A816" s="111">
        <v>813</v>
      </c>
      <c r="B816" s="112" t="s">
        <v>1654</v>
      </c>
      <c r="C816" s="113" t="s">
        <v>1655</v>
      </c>
      <c r="D816" s="113" t="s">
        <v>769</v>
      </c>
      <c r="E816" s="113" t="s">
        <v>1656</v>
      </c>
      <c r="F816" s="114">
        <v>308806.66794999997</v>
      </c>
      <c r="G816" s="114">
        <v>308806.66794999997</v>
      </c>
      <c r="H816" s="114">
        <v>0</v>
      </c>
      <c r="I816" s="111">
        <v>0</v>
      </c>
      <c r="J816" s="113" t="s">
        <v>246</v>
      </c>
    </row>
    <row r="817" spans="1:10" x14ac:dyDescent="0.25">
      <c r="A817" s="111">
        <v>814</v>
      </c>
      <c r="B817" s="112" t="s">
        <v>1657</v>
      </c>
      <c r="C817" s="113" t="s">
        <v>1658</v>
      </c>
      <c r="D817" s="113" t="s">
        <v>457</v>
      </c>
      <c r="E817" s="113" t="s">
        <v>1659</v>
      </c>
      <c r="F817" s="114">
        <v>17000.39</v>
      </c>
      <c r="G817" s="114">
        <v>17000.39</v>
      </c>
      <c r="H817" s="114">
        <v>0</v>
      </c>
      <c r="I817" s="111">
        <v>0</v>
      </c>
      <c r="J817" s="113" t="s">
        <v>246</v>
      </c>
    </row>
    <row r="818" spans="1:10" x14ac:dyDescent="0.25">
      <c r="A818" s="111">
        <v>815</v>
      </c>
      <c r="B818" s="112" t="s">
        <v>1660</v>
      </c>
      <c r="C818" s="113" t="s">
        <v>1661</v>
      </c>
      <c r="D818" s="113" t="s">
        <v>467</v>
      </c>
      <c r="E818" s="113" t="s">
        <v>1662</v>
      </c>
      <c r="F818" s="114">
        <v>96.144338266709809</v>
      </c>
      <c r="G818" s="114">
        <v>99.727638266709803</v>
      </c>
      <c r="H818" s="114">
        <v>31.58</v>
      </c>
      <c r="I818" s="111">
        <v>1667</v>
      </c>
      <c r="J818" s="113" t="s">
        <v>277</v>
      </c>
    </row>
    <row r="819" spans="1:10" x14ac:dyDescent="0.25">
      <c r="A819" s="111">
        <v>816</v>
      </c>
      <c r="B819" s="112" t="s">
        <v>1663</v>
      </c>
      <c r="C819" s="113" t="s">
        <v>1664</v>
      </c>
      <c r="D819" s="113" t="s">
        <v>467</v>
      </c>
      <c r="E819" s="113" t="s">
        <v>1665</v>
      </c>
      <c r="F819" s="114">
        <v>73.613067503485624</v>
      </c>
      <c r="G819" s="114">
        <v>76.168667503485622</v>
      </c>
      <c r="H819" s="114">
        <v>29.71</v>
      </c>
      <c r="I819" s="111">
        <v>2114</v>
      </c>
      <c r="J819" s="113" t="s">
        <v>277</v>
      </c>
    </row>
    <row r="820" spans="1:10" x14ac:dyDescent="0.25">
      <c r="A820" s="111">
        <v>817</v>
      </c>
      <c r="B820" s="112" t="s">
        <v>1666</v>
      </c>
      <c r="C820" s="113" t="s">
        <v>1667</v>
      </c>
      <c r="D820" s="113" t="s">
        <v>467</v>
      </c>
      <c r="E820" s="113" t="s">
        <v>1665</v>
      </c>
      <c r="F820" s="114">
        <v>71.047466816205642</v>
      </c>
      <c r="G820" s="114">
        <v>73.714166816205648</v>
      </c>
      <c r="H820" s="114">
        <v>29.64</v>
      </c>
      <c r="I820" s="111">
        <v>2832</v>
      </c>
      <c r="J820" s="113" t="s">
        <v>277</v>
      </c>
    </row>
    <row r="821" spans="1:10" x14ac:dyDescent="0.25">
      <c r="A821" s="111">
        <v>818</v>
      </c>
      <c r="B821" s="112" t="s">
        <v>1668</v>
      </c>
      <c r="C821" s="113" t="s">
        <v>1669</v>
      </c>
      <c r="D821" s="113" t="s">
        <v>457</v>
      </c>
      <c r="E821" s="113" t="s">
        <v>1670</v>
      </c>
      <c r="F821" s="114">
        <v>0.01</v>
      </c>
      <c r="G821" s="114">
        <v>0.01</v>
      </c>
      <c r="H821" s="114">
        <v>0</v>
      </c>
      <c r="I821" s="111">
        <v>0</v>
      </c>
      <c r="J821" s="113" t="s">
        <v>246</v>
      </c>
    </row>
    <row r="822" spans="1:10" x14ac:dyDescent="0.25">
      <c r="A822" s="111">
        <v>819</v>
      </c>
      <c r="B822" s="112" t="s">
        <v>1671</v>
      </c>
      <c r="C822" s="113" t="s">
        <v>1672</v>
      </c>
      <c r="D822" s="113" t="s">
        <v>457</v>
      </c>
      <c r="E822" s="113" t="s">
        <v>1670</v>
      </c>
      <c r="F822" s="114">
        <v>0.01</v>
      </c>
      <c r="G822" s="114">
        <v>0.01</v>
      </c>
      <c r="H822" s="114">
        <v>0</v>
      </c>
      <c r="I822" s="111">
        <v>0</v>
      </c>
      <c r="J822" s="113" t="s">
        <v>246</v>
      </c>
    </row>
    <row r="823" spans="1:10" x14ac:dyDescent="0.25">
      <c r="A823" s="111">
        <v>820</v>
      </c>
      <c r="B823" s="112" t="s">
        <v>1684</v>
      </c>
      <c r="C823" s="113" t="s">
        <v>1685</v>
      </c>
      <c r="D823" s="113" t="s">
        <v>457</v>
      </c>
      <c r="E823" s="113" t="s">
        <v>1686</v>
      </c>
      <c r="F823" s="114">
        <v>34400</v>
      </c>
      <c r="G823" s="114">
        <v>34400</v>
      </c>
      <c r="H823" s="114">
        <v>0</v>
      </c>
      <c r="I823" s="111">
        <v>0</v>
      </c>
      <c r="J823" s="113" t="s">
        <v>246</v>
      </c>
    </row>
    <row r="824" spans="1:10" x14ac:dyDescent="0.25">
      <c r="A824" s="111">
        <v>821</v>
      </c>
      <c r="B824" s="112" t="s">
        <v>1687</v>
      </c>
      <c r="C824" s="113" t="s">
        <v>1688</v>
      </c>
      <c r="D824" s="113" t="s">
        <v>457</v>
      </c>
      <c r="E824" s="113" t="s">
        <v>1686</v>
      </c>
      <c r="F824" s="114">
        <v>17800</v>
      </c>
      <c r="G824" s="114">
        <v>17800</v>
      </c>
      <c r="H824" s="114">
        <v>0</v>
      </c>
      <c r="I824" s="111">
        <v>0</v>
      </c>
      <c r="J824" s="113" t="s">
        <v>246</v>
      </c>
    </row>
    <row r="825" spans="1:10" x14ac:dyDescent="0.25">
      <c r="A825" s="111">
        <v>822</v>
      </c>
      <c r="B825" s="112" t="s">
        <v>1689</v>
      </c>
      <c r="C825" s="113" t="s">
        <v>1690</v>
      </c>
      <c r="D825" s="113" t="s">
        <v>457</v>
      </c>
      <c r="E825" s="113" t="s">
        <v>1691</v>
      </c>
      <c r="F825" s="114">
        <v>1000</v>
      </c>
      <c r="G825" s="114">
        <v>1000</v>
      </c>
      <c r="H825" s="114">
        <v>0</v>
      </c>
      <c r="I825" s="111">
        <v>268</v>
      </c>
      <c r="J825" s="113" t="s">
        <v>246</v>
      </c>
    </row>
    <row r="826" spans="1:10" x14ac:dyDescent="0.25">
      <c r="A826" s="111">
        <v>823</v>
      </c>
      <c r="B826" s="112" t="s">
        <v>1692</v>
      </c>
      <c r="C826" s="113" t="s">
        <v>1693</v>
      </c>
      <c r="D826" s="113" t="s">
        <v>457</v>
      </c>
      <c r="E826" s="113" t="s">
        <v>1694</v>
      </c>
      <c r="F826" s="114">
        <v>0.01</v>
      </c>
      <c r="G826" s="114">
        <v>0.01</v>
      </c>
      <c r="H826" s="114">
        <v>0</v>
      </c>
      <c r="I826" s="111">
        <v>0</v>
      </c>
      <c r="J826" s="113" t="s">
        <v>246</v>
      </c>
    </row>
    <row r="827" spans="1:10" x14ac:dyDescent="0.25">
      <c r="A827" s="111">
        <v>824</v>
      </c>
      <c r="B827" s="112" t="s">
        <v>1695</v>
      </c>
      <c r="C827" s="113" t="s">
        <v>1696</v>
      </c>
      <c r="D827" s="113" t="s">
        <v>457</v>
      </c>
      <c r="E827" s="113" t="s">
        <v>1697</v>
      </c>
      <c r="F827" s="114">
        <v>0.01</v>
      </c>
      <c r="G827" s="114">
        <v>0.01</v>
      </c>
      <c r="H827" s="114">
        <v>0</v>
      </c>
      <c r="I827" s="111">
        <v>0</v>
      </c>
      <c r="J827" s="113" t="s">
        <v>246</v>
      </c>
    </row>
    <row r="828" spans="1:10" x14ac:dyDescent="0.25">
      <c r="A828" s="111">
        <v>825</v>
      </c>
      <c r="B828" s="112" t="s">
        <v>1698</v>
      </c>
      <c r="C828" s="113" t="s">
        <v>1699</v>
      </c>
      <c r="D828" s="113" t="s">
        <v>457</v>
      </c>
      <c r="E828" s="113" t="s">
        <v>1697</v>
      </c>
      <c r="F828" s="114">
        <v>0.01</v>
      </c>
      <c r="G828" s="114">
        <v>0.01</v>
      </c>
      <c r="H828" s="114">
        <v>0</v>
      </c>
      <c r="I828" s="111">
        <v>0</v>
      </c>
      <c r="J828" s="113" t="s">
        <v>246</v>
      </c>
    </row>
    <row r="829" spans="1:10" x14ac:dyDescent="0.25">
      <c r="A829" s="111">
        <v>826</v>
      </c>
      <c r="B829" s="112" t="s">
        <v>1673</v>
      </c>
      <c r="C829" s="113" t="s">
        <v>1674</v>
      </c>
      <c r="D829" s="113" t="s">
        <v>467</v>
      </c>
      <c r="E829" s="113" t="s">
        <v>1675</v>
      </c>
      <c r="F829" s="114">
        <v>98.206999999999994</v>
      </c>
      <c r="G829" s="114">
        <v>99.656999999999996</v>
      </c>
      <c r="H829" s="114">
        <v>4.3600000000000003</v>
      </c>
      <c r="I829" s="111">
        <v>936</v>
      </c>
      <c r="J829" s="113" t="s">
        <v>277</v>
      </c>
    </row>
    <row r="830" spans="1:10" x14ac:dyDescent="0.25">
      <c r="A830" s="111">
        <v>827</v>
      </c>
      <c r="B830" s="112" t="s">
        <v>1676</v>
      </c>
      <c r="C830" s="113" t="s">
        <v>1677</v>
      </c>
      <c r="D830" s="113" t="s">
        <v>467</v>
      </c>
      <c r="E830" s="113" t="s">
        <v>1675</v>
      </c>
      <c r="F830" s="114">
        <v>99.818134474469488</v>
      </c>
      <c r="G830" s="114">
        <v>101.05773447446948</v>
      </c>
      <c r="H830" s="114">
        <v>4.43</v>
      </c>
      <c r="I830" s="111">
        <v>1338</v>
      </c>
      <c r="J830" s="113" t="s">
        <v>277</v>
      </c>
    </row>
    <row r="831" spans="1:10" x14ac:dyDescent="0.25">
      <c r="A831" s="111">
        <v>828</v>
      </c>
      <c r="B831" s="112" t="s">
        <v>1678</v>
      </c>
      <c r="C831" s="113" t="s">
        <v>1679</v>
      </c>
      <c r="D831" s="113" t="s">
        <v>467</v>
      </c>
      <c r="E831" s="113" t="s">
        <v>1675</v>
      </c>
      <c r="F831" s="114">
        <v>97.087999999999994</v>
      </c>
      <c r="G831" s="114">
        <v>98.303299999999993</v>
      </c>
      <c r="H831" s="114">
        <v>4.51</v>
      </c>
      <c r="I831" s="111">
        <v>545</v>
      </c>
      <c r="J831" s="113" t="s">
        <v>277</v>
      </c>
    </row>
    <row r="832" spans="1:10" x14ac:dyDescent="0.25">
      <c r="A832" s="111">
        <v>829</v>
      </c>
      <c r="B832" s="112" t="s">
        <v>1680</v>
      </c>
      <c r="C832" s="113" t="s">
        <v>1681</v>
      </c>
      <c r="D832" s="113" t="s">
        <v>467</v>
      </c>
      <c r="E832" s="113" t="s">
        <v>1675</v>
      </c>
      <c r="F832" s="114">
        <v>98.48</v>
      </c>
      <c r="G832" s="114">
        <v>99.310599999999994</v>
      </c>
      <c r="H832" s="114">
        <v>4.5199999999999996</v>
      </c>
      <c r="I832" s="111">
        <v>448</v>
      </c>
      <c r="J832" s="113" t="s">
        <v>277</v>
      </c>
    </row>
    <row r="833" spans="1:10" x14ac:dyDescent="0.25">
      <c r="A833" s="111">
        <v>830</v>
      </c>
      <c r="B833" s="112" t="s">
        <v>1682</v>
      </c>
      <c r="C833" s="113" t="s">
        <v>1683</v>
      </c>
      <c r="D833" s="113" t="s">
        <v>457</v>
      </c>
      <c r="E833" s="113" t="s">
        <v>1675</v>
      </c>
      <c r="F833" s="114">
        <v>537.93264435000003</v>
      </c>
      <c r="G833" s="114">
        <v>537.93264435000003</v>
      </c>
      <c r="H833" s="114">
        <v>0</v>
      </c>
      <c r="I833" s="111">
        <v>622</v>
      </c>
      <c r="J833" s="113" t="s">
        <v>246</v>
      </c>
    </row>
    <row r="834" spans="1:10" x14ac:dyDescent="0.25">
      <c r="A834" s="111">
        <v>831</v>
      </c>
      <c r="B834" s="112" t="s">
        <v>1700</v>
      </c>
      <c r="C834" s="113" t="s">
        <v>1701</v>
      </c>
      <c r="D834" s="113" t="s">
        <v>457</v>
      </c>
      <c r="E834" s="113" t="s">
        <v>1702</v>
      </c>
      <c r="F834" s="114">
        <v>50608.928399999997</v>
      </c>
      <c r="G834" s="114">
        <v>50608.928399999997</v>
      </c>
      <c r="H834" s="114">
        <v>0</v>
      </c>
      <c r="I834" s="111">
        <v>0</v>
      </c>
      <c r="J834" s="113" t="s">
        <v>246</v>
      </c>
    </row>
    <row r="835" spans="1:10" x14ac:dyDescent="0.25">
      <c r="A835" s="111">
        <v>832</v>
      </c>
      <c r="B835" s="112" t="s">
        <v>2041</v>
      </c>
      <c r="C835" s="113" t="s">
        <v>2042</v>
      </c>
      <c r="D835" s="113" t="s">
        <v>467</v>
      </c>
      <c r="E835" s="113" t="s">
        <v>2043</v>
      </c>
      <c r="F835" s="114">
        <v>96.643996724536393</v>
      </c>
      <c r="G835" s="114">
        <v>101.5939967245364</v>
      </c>
      <c r="H835" s="114">
        <v>22.03</v>
      </c>
      <c r="I835" s="111">
        <v>902</v>
      </c>
      <c r="J835" s="113" t="s">
        <v>277</v>
      </c>
    </row>
    <row r="836" spans="1:10" x14ac:dyDescent="0.25">
      <c r="A836" s="111">
        <v>833</v>
      </c>
      <c r="B836" s="112" t="s">
        <v>1703</v>
      </c>
      <c r="C836" s="113" t="s">
        <v>1704</v>
      </c>
      <c r="D836" s="113" t="s">
        <v>467</v>
      </c>
      <c r="E836" s="113" t="s">
        <v>1705</v>
      </c>
      <c r="F836" s="114">
        <v>100</v>
      </c>
      <c r="G836" s="114">
        <v>100.059</v>
      </c>
      <c r="H836" s="114">
        <v>4.24</v>
      </c>
      <c r="I836" s="111">
        <v>295</v>
      </c>
      <c r="J836" s="113" t="s">
        <v>277</v>
      </c>
    </row>
    <row r="837" spans="1:10" x14ac:dyDescent="0.25">
      <c r="A837" s="111">
        <v>834</v>
      </c>
      <c r="B837" s="112" t="s">
        <v>2174</v>
      </c>
      <c r="C837" s="113" t="s">
        <v>2175</v>
      </c>
      <c r="D837" s="113" t="s">
        <v>467</v>
      </c>
      <c r="E837" s="113" t="s">
        <v>1705</v>
      </c>
      <c r="F837" s="114">
        <v>100</v>
      </c>
      <c r="G837" s="114">
        <v>101.1806</v>
      </c>
      <c r="H837" s="114">
        <v>4.2300000000000004</v>
      </c>
      <c r="I837" s="111">
        <v>560</v>
      </c>
      <c r="J837" s="113" t="s">
        <v>277</v>
      </c>
    </row>
    <row r="838" spans="1:10" x14ac:dyDescent="0.25">
      <c r="A838" s="111">
        <v>835</v>
      </c>
      <c r="B838" s="112" t="s">
        <v>1706</v>
      </c>
      <c r="C838" s="113" t="s">
        <v>1707</v>
      </c>
      <c r="D838" s="113" t="s">
        <v>467</v>
      </c>
      <c r="E838" s="113" t="s">
        <v>1705</v>
      </c>
      <c r="F838" s="114">
        <v>100</v>
      </c>
      <c r="G838" s="114">
        <v>100.0496</v>
      </c>
      <c r="H838" s="114">
        <v>0.35</v>
      </c>
      <c r="I838" s="111">
        <v>309</v>
      </c>
      <c r="J838" s="113" t="s">
        <v>277</v>
      </c>
    </row>
    <row r="839" spans="1:10" x14ac:dyDescent="0.25">
      <c r="A839" s="111">
        <v>836</v>
      </c>
      <c r="B839" s="112" t="s">
        <v>1708</v>
      </c>
      <c r="C839" s="113" t="s">
        <v>1709</v>
      </c>
      <c r="D839" s="113" t="s">
        <v>467</v>
      </c>
      <c r="E839" s="113" t="s">
        <v>1705</v>
      </c>
      <c r="F839" s="114">
        <v>94.72399194292835</v>
      </c>
      <c r="G839" s="114">
        <v>98.593991942928355</v>
      </c>
      <c r="H839" s="114">
        <v>19.87</v>
      </c>
      <c r="I839" s="111">
        <v>231</v>
      </c>
      <c r="J839" s="113" t="s">
        <v>277</v>
      </c>
    </row>
    <row r="840" spans="1:10" x14ac:dyDescent="0.25">
      <c r="A840" s="111">
        <v>837</v>
      </c>
      <c r="B840" s="112" t="s">
        <v>1710</v>
      </c>
      <c r="C840" s="113" t="s">
        <v>1711</v>
      </c>
      <c r="D840" s="113" t="s">
        <v>467</v>
      </c>
      <c r="E840" s="113" t="s">
        <v>1705</v>
      </c>
      <c r="F840" s="114">
        <v>100</v>
      </c>
      <c r="G840" s="114">
        <v>100.0196</v>
      </c>
      <c r="H840" s="114">
        <v>0.02</v>
      </c>
      <c r="I840" s="111">
        <v>3122</v>
      </c>
      <c r="J840" s="113" t="s">
        <v>277</v>
      </c>
    </row>
    <row r="841" spans="1:10" x14ac:dyDescent="0.25">
      <c r="A841" s="111">
        <v>838</v>
      </c>
      <c r="B841" s="112" t="s">
        <v>1712</v>
      </c>
      <c r="C841" s="113" t="s">
        <v>1713</v>
      </c>
      <c r="D841" s="113" t="s">
        <v>467</v>
      </c>
      <c r="E841" s="113" t="s">
        <v>1705</v>
      </c>
      <c r="F841" s="114">
        <v>100</v>
      </c>
      <c r="G841" s="114">
        <v>100.5592</v>
      </c>
      <c r="H841" s="114">
        <v>6.09</v>
      </c>
      <c r="I841" s="111">
        <v>1737</v>
      </c>
      <c r="J841" s="113" t="s">
        <v>277</v>
      </c>
    </row>
    <row r="842" spans="1:10" x14ac:dyDescent="0.25">
      <c r="A842" s="111">
        <v>839</v>
      </c>
      <c r="B842" s="112" t="s">
        <v>1714</v>
      </c>
      <c r="C842" s="113" t="s">
        <v>1715</v>
      </c>
      <c r="D842" s="113" t="s">
        <v>467</v>
      </c>
      <c r="E842" s="113" t="s">
        <v>1705</v>
      </c>
      <c r="F842" s="114">
        <v>100</v>
      </c>
      <c r="G842" s="114">
        <v>105.3447</v>
      </c>
      <c r="H842" s="114">
        <v>7.08</v>
      </c>
      <c r="I842" s="111">
        <v>2219</v>
      </c>
      <c r="J842" s="113" t="s">
        <v>277</v>
      </c>
    </row>
    <row r="843" spans="1:10" x14ac:dyDescent="0.25">
      <c r="A843" s="111">
        <v>840</v>
      </c>
      <c r="B843" s="112" t="s">
        <v>1716</v>
      </c>
      <c r="C843" s="113" t="s">
        <v>1717</v>
      </c>
      <c r="D843" s="113" t="s">
        <v>467</v>
      </c>
      <c r="E843" s="113" t="s">
        <v>1705</v>
      </c>
      <c r="F843" s="114">
        <v>100</v>
      </c>
      <c r="G843" s="114">
        <v>105.8289</v>
      </c>
      <c r="H843" s="114">
        <v>6.09</v>
      </c>
      <c r="I843" s="111">
        <v>2146</v>
      </c>
      <c r="J843" s="113" t="s">
        <v>277</v>
      </c>
    </row>
    <row r="844" spans="1:10" x14ac:dyDescent="0.25">
      <c r="A844" s="111">
        <v>841</v>
      </c>
      <c r="B844" s="112" t="s">
        <v>1718</v>
      </c>
      <c r="C844" s="113" t="s">
        <v>1719</v>
      </c>
      <c r="D844" s="113" t="s">
        <v>467</v>
      </c>
      <c r="E844" s="113" t="s">
        <v>1705</v>
      </c>
      <c r="F844" s="114">
        <v>100</v>
      </c>
      <c r="G844" s="114">
        <v>104.6767</v>
      </c>
      <c r="H844" s="114">
        <v>6.08</v>
      </c>
      <c r="I844" s="111">
        <v>2574</v>
      </c>
      <c r="J844" s="113" t="s">
        <v>277</v>
      </c>
    </row>
    <row r="845" spans="1:10" x14ac:dyDescent="0.25">
      <c r="A845" s="111">
        <v>842</v>
      </c>
      <c r="B845" s="112" t="s">
        <v>1720</v>
      </c>
      <c r="C845" s="113" t="s">
        <v>1721</v>
      </c>
      <c r="D845" s="113" t="s">
        <v>467</v>
      </c>
      <c r="E845" s="113" t="s">
        <v>1705</v>
      </c>
      <c r="F845" s="114">
        <v>100</v>
      </c>
      <c r="G845" s="114">
        <v>104.6767</v>
      </c>
      <c r="H845" s="114">
        <v>6.08</v>
      </c>
      <c r="I845" s="111">
        <v>2574</v>
      </c>
      <c r="J845" s="113" t="s">
        <v>277</v>
      </c>
    </row>
    <row r="846" spans="1:10" x14ac:dyDescent="0.25">
      <c r="A846" s="111">
        <v>843</v>
      </c>
      <c r="B846" s="112" t="s">
        <v>1722</v>
      </c>
      <c r="C846" s="113" t="s">
        <v>1723</v>
      </c>
      <c r="D846" s="113" t="s">
        <v>467</v>
      </c>
      <c r="E846" s="113" t="s">
        <v>1705</v>
      </c>
      <c r="F846" s="114">
        <v>100</v>
      </c>
      <c r="G846" s="114">
        <v>103.5414</v>
      </c>
      <c r="H846" s="114">
        <v>6.08</v>
      </c>
      <c r="I846" s="111">
        <v>2641</v>
      </c>
      <c r="J846" s="113" t="s">
        <v>277</v>
      </c>
    </row>
    <row r="847" spans="1:10" x14ac:dyDescent="0.25">
      <c r="A847" s="111">
        <v>844</v>
      </c>
      <c r="B847" s="112" t="s">
        <v>1724</v>
      </c>
      <c r="C847" s="113" t="s">
        <v>1725</v>
      </c>
      <c r="D847" s="113" t="s">
        <v>457</v>
      </c>
      <c r="E847" s="113" t="s">
        <v>1726</v>
      </c>
      <c r="F847" s="114">
        <v>0.01</v>
      </c>
      <c r="G847" s="114">
        <v>0.01</v>
      </c>
      <c r="H847" s="114">
        <v>0</v>
      </c>
      <c r="I847" s="111">
        <v>0</v>
      </c>
      <c r="J847" s="113" t="s">
        <v>246</v>
      </c>
    </row>
    <row r="848" spans="1:10" x14ac:dyDescent="0.25">
      <c r="A848" s="111">
        <v>845</v>
      </c>
      <c r="B848" s="112" t="s">
        <v>1727</v>
      </c>
      <c r="C848" s="113" t="s">
        <v>1728</v>
      </c>
      <c r="D848" s="113" t="s">
        <v>457</v>
      </c>
      <c r="E848" s="113" t="s">
        <v>1729</v>
      </c>
      <c r="F848" s="114">
        <v>0.01</v>
      </c>
      <c r="G848" s="114">
        <v>0.01</v>
      </c>
      <c r="H848" s="114">
        <v>0</v>
      </c>
      <c r="I848" s="111">
        <v>0</v>
      </c>
      <c r="J848" s="113" t="s">
        <v>246</v>
      </c>
    </row>
    <row r="849" spans="1:10" x14ac:dyDescent="0.25">
      <c r="A849" s="111">
        <v>846</v>
      </c>
      <c r="B849" s="112" t="s">
        <v>1730</v>
      </c>
      <c r="C849" s="113" t="s">
        <v>1731</v>
      </c>
      <c r="D849" s="113" t="s">
        <v>467</v>
      </c>
      <c r="E849" s="113" t="s">
        <v>1732</v>
      </c>
      <c r="F849" s="114">
        <v>91.513930313549366</v>
      </c>
      <c r="G849" s="114">
        <v>91.743130313549358</v>
      </c>
      <c r="H849" s="114">
        <v>20.67</v>
      </c>
      <c r="I849" s="111">
        <v>534</v>
      </c>
      <c r="J849" s="113" t="s">
        <v>277</v>
      </c>
    </row>
    <row r="850" spans="1:10" x14ac:dyDescent="0.25">
      <c r="A850" s="111">
        <v>847</v>
      </c>
      <c r="B850" s="112" t="s">
        <v>1733</v>
      </c>
      <c r="C850" s="113" t="s">
        <v>1734</v>
      </c>
      <c r="D850" s="113" t="s">
        <v>467</v>
      </c>
      <c r="E850" s="113" t="s">
        <v>1735</v>
      </c>
      <c r="F850" s="114">
        <v>100</v>
      </c>
      <c r="G850" s="114">
        <v>100.09820000000001</v>
      </c>
      <c r="H850" s="114">
        <v>0.35</v>
      </c>
      <c r="I850" s="111">
        <v>79</v>
      </c>
      <c r="J850" s="113" t="s">
        <v>277</v>
      </c>
    </row>
    <row r="851" spans="1:10" x14ac:dyDescent="0.25">
      <c r="A851" s="111">
        <v>848</v>
      </c>
      <c r="B851" s="112" t="s">
        <v>1736</v>
      </c>
      <c r="C851" s="113" t="s">
        <v>1737</v>
      </c>
      <c r="D851" s="113" t="s">
        <v>467</v>
      </c>
      <c r="E851" s="113" t="s">
        <v>1735</v>
      </c>
      <c r="F851" s="114">
        <v>100</v>
      </c>
      <c r="G851" s="114">
        <v>100.0574</v>
      </c>
      <c r="H851" s="114">
        <v>0.35</v>
      </c>
      <c r="I851" s="111">
        <v>121</v>
      </c>
      <c r="J851" s="113" t="s">
        <v>277</v>
      </c>
    </row>
    <row r="852" spans="1:10" x14ac:dyDescent="0.25">
      <c r="A852" s="111">
        <v>849</v>
      </c>
      <c r="B852" s="112" t="s">
        <v>1738</v>
      </c>
      <c r="C852" s="113" t="s">
        <v>1739</v>
      </c>
      <c r="D852" s="113" t="s">
        <v>467</v>
      </c>
      <c r="E852" s="113" t="s">
        <v>1735</v>
      </c>
      <c r="F852" s="114">
        <v>100</v>
      </c>
      <c r="G852" s="114">
        <v>100.0496</v>
      </c>
      <c r="H852" s="114">
        <v>0.35</v>
      </c>
      <c r="I852" s="111">
        <v>309</v>
      </c>
      <c r="J852" s="113" t="s">
        <v>277</v>
      </c>
    </row>
    <row r="853" spans="1:10" x14ac:dyDescent="0.25">
      <c r="A853" s="111">
        <v>850</v>
      </c>
      <c r="B853" s="112" t="s">
        <v>1740</v>
      </c>
      <c r="C853" s="113" t="s">
        <v>1741</v>
      </c>
      <c r="D853" s="113" t="s">
        <v>467</v>
      </c>
      <c r="E853" s="113" t="s">
        <v>1735</v>
      </c>
      <c r="F853" s="114">
        <v>100</v>
      </c>
      <c r="G853" s="114">
        <v>100.0149</v>
      </c>
      <c r="H853" s="114">
        <v>0.02</v>
      </c>
      <c r="I853" s="111">
        <v>3122</v>
      </c>
      <c r="J853" s="113" t="s">
        <v>277</v>
      </c>
    </row>
    <row r="854" spans="1:10" x14ac:dyDescent="0.25">
      <c r="A854" s="111">
        <v>851</v>
      </c>
      <c r="B854" s="112" t="s">
        <v>1742</v>
      </c>
      <c r="C854" s="113" t="s">
        <v>1743</v>
      </c>
      <c r="D854" s="113" t="s">
        <v>467</v>
      </c>
      <c r="E854" s="113" t="s">
        <v>1735</v>
      </c>
      <c r="F854" s="114">
        <v>100</v>
      </c>
      <c r="G854" s="114">
        <v>100.5592</v>
      </c>
      <c r="H854" s="114">
        <v>6.09</v>
      </c>
      <c r="I854" s="111">
        <v>1737</v>
      </c>
      <c r="J854" s="113" t="s">
        <v>277</v>
      </c>
    </row>
    <row r="855" spans="1:10" x14ac:dyDescent="0.25">
      <c r="A855" s="111">
        <v>852</v>
      </c>
      <c r="B855" s="112" t="s">
        <v>1744</v>
      </c>
      <c r="C855" s="113" t="s">
        <v>1745</v>
      </c>
      <c r="D855" s="113" t="s">
        <v>467</v>
      </c>
      <c r="E855" s="113" t="s">
        <v>1735</v>
      </c>
      <c r="F855" s="114">
        <v>100</v>
      </c>
      <c r="G855" s="114">
        <v>105.3447</v>
      </c>
      <c r="H855" s="114">
        <v>7.08</v>
      </c>
      <c r="I855" s="111">
        <v>2219</v>
      </c>
      <c r="J855" s="113" t="s">
        <v>277</v>
      </c>
    </row>
    <row r="856" spans="1:10" x14ac:dyDescent="0.25">
      <c r="A856" s="111">
        <v>853</v>
      </c>
      <c r="B856" s="112" t="s">
        <v>2374</v>
      </c>
      <c r="C856" s="113" t="s">
        <v>2375</v>
      </c>
      <c r="D856" s="113" t="s">
        <v>467</v>
      </c>
      <c r="E856" s="113" t="s">
        <v>1735</v>
      </c>
      <c r="F856" s="114">
        <v>90.213418465044015</v>
      </c>
      <c r="G856" s="114">
        <v>90.719018465044016</v>
      </c>
      <c r="H856" s="114">
        <v>20.57</v>
      </c>
      <c r="I856" s="111">
        <v>3590</v>
      </c>
      <c r="J856" s="113" t="s">
        <v>277</v>
      </c>
    </row>
    <row r="857" spans="1:10" x14ac:dyDescent="0.25">
      <c r="A857" s="111">
        <v>854</v>
      </c>
      <c r="B857" s="112" t="s">
        <v>1746</v>
      </c>
      <c r="C857" s="113" t="s">
        <v>1747</v>
      </c>
      <c r="D857" s="113" t="s">
        <v>467</v>
      </c>
      <c r="E857" s="113" t="s">
        <v>1735</v>
      </c>
      <c r="F857" s="114">
        <v>100</v>
      </c>
      <c r="G857" s="114">
        <v>105.8289</v>
      </c>
      <c r="H857" s="114">
        <v>6.09</v>
      </c>
      <c r="I857" s="111">
        <v>2146</v>
      </c>
      <c r="J857" s="113" t="s">
        <v>277</v>
      </c>
    </row>
    <row r="858" spans="1:10" x14ac:dyDescent="0.25">
      <c r="A858" s="111">
        <v>855</v>
      </c>
      <c r="B858" s="112" t="s">
        <v>1748</v>
      </c>
      <c r="C858" s="113" t="s">
        <v>1749</v>
      </c>
      <c r="D858" s="113" t="s">
        <v>467</v>
      </c>
      <c r="E858" s="113" t="s">
        <v>1735</v>
      </c>
      <c r="F858" s="114">
        <v>100</v>
      </c>
      <c r="G858" s="114">
        <v>104.6767</v>
      </c>
      <c r="H858" s="114">
        <v>6.08</v>
      </c>
      <c r="I858" s="111">
        <v>2574</v>
      </c>
      <c r="J858" s="113" t="s">
        <v>277</v>
      </c>
    </row>
    <row r="859" spans="1:10" x14ac:dyDescent="0.25">
      <c r="A859" s="111">
        <v>856</v>
      </c>
      <c r="B859" s="112" t="s">
        <v>1750</v>
      </c>
      <c r="C859" s="113" t="s">
        <v>1751</v>
      </c>
      <c r="D859" s="113" t="s">
        <v>467</v>
      </c>
      <c r="E859" s="113" t="s">
        <v>1735</v>
      </c>
      <c r="F859" s="114">
        <v>100</v>
      </c>
      <c r="G859" s="114">
        <v>104.6767</v>
      </c>
      <c r="H859" s="114">
        <v>6.08</v>
      </c>
      <c r="I859" s="111">
        <v>2574</v>
      </c>
      <c r="J859" s="113" t="s">
        <v>277</v>
      </c>
    </row>
    <row r="860" spans="1:10" x14ac:dyDescent="0.25">
      <c r="A860" s="111">
        <v>857</v>
      </c>
      <c r="B860" s="112" t="s">
        <v>1752</v>
      </c>
      <c r="C860" s="113" t="s">
        <v>1753</v>
      </c>
      <c r="D860" s="113" t="s">
        <v>467</v>
      </c>
      <c r="E860" s="113" t="s">
        <v>1735</v>
      </c>
      <c r="F860" s="114">
        <v>100</v>
      </c>
      <c r="G860" s="114">
        <v>103.5414</v>
      </c>
      <c r="H860" s="114">
        <v>6.08</v>
      </c>
      <c r="I860" s="111">
        <v>2641</v>
      </c>
      <c r="J860" s="113" t="s">
        <v>277</v>
      </c>
    </row>
    <row r="861" spans="1:10" x14ac:dyDescent="0.25">
      <c r="A861" s="111">
        <v>858</v>
      </c>
      <c r="B861" s="112" t="s">
        <v>434</v>
      </c>
      <c r="C861" s="113" t="s">
        <v>435</v>
      </c>
      <c r="D861" s="113" t="s">
        <v>467</v>
      </c>
      <c r="E861" s="113" t="s">
        <v>441</v>
      </c>
      <c r="F861" s="114">
        <v>90.036277144785515</v>
      </c>
      <c r="G861" s="114">
        <v>95.140477144785521</v>
      </c>
      <c r="H861" s="114">
        <v>16.510000000000002</v>
      </c>
      <c r="I861" s="111">
        <v>725</v>
      </c>
      <c r="J861" s="113" t="s">
        <v>277</v>
      </c>
    </row>
    <row r="862" spans="1:10" x14ac:dyDescent="0.25">
      <c r="A862" s="111">
        <v>859</v>
      </c>
      <c r="B862" s="112" t="s">
        <v>436</v>
      </c>
      <c r="C862" s="113" t="s">
        <v>437</v>
      </c>
      <c r="D862" s="113" t="s">
        <v>467</v>
      </c>
      <c r="E862" s="113" t="s">
        <v>441</v>
      </c>
      <c r="F862" s="114">
        <v>96.16</v>
      </c>
      <c r="G862" s="114">
        <v>96.66</v>
      </c>
      <c r="H862" s="114">
        <v>5.21</v>
      </c>
      <c r="I862" s="111">
        <v>450</v>
      </c>
      <c r="J862" s="113" t="s">
        <v>277</v>
      </c>
    </row>
    <row r="863" spans="1:10" x14ac:dyDescent="0.25">
      <c r="A863" s="111">
        <v>860</v>
      </c>
      <c r="B863" s="112" t="s">
        <v>1754</v>
      </c>
      <c r="C863" s="113" t="s">
        <v>1755</v>
      </c>
      <c r="D863" s="113" t="s">
        <v>457</v>
      </c>
      <c r="E863" s="113" t="s">
        <v>1756</v>
      </c>
      <c r="F863" s="114">
        <v>0.01</v>
      </c>
      <c r="G863" s="114">
        <v>0.01</v>
      </c>
      <c r="H863" s="114">
        <v>0</v>
      </c>
      <c r="I863" s="111">
        <v>0</v>
      </c>
      <c r="J863" s="113" t="s">
        <v>246</v>
      </c>
    </row>
    <row r="864" spans="1:10" x14ac:dyDescent="0.25">
      <c r="A864" s="111">
        <v>861</v>
      </c>
      <c r="B864" s="112" t="s">
        <v>1757</v>
      </c>
      <c r="C864" s="113" t="s">
        <v>1758</v>
      </c>
      <c r="D864" s="113" t="s">
        <v>467</v>
      </c>
      <c r="E864" s="113" t="s">
        <v>1759</v>
      </c>
      <c r="F864" s="114">
        <v>98.407716595900254</v>
      </c>
      <c r="G864" s="114">
        <v>100.21211659590026</v>
      </c>
      <c r="H864" s="114">
        <v>16.07</v>
      </c>
      <c r="I864" s="111">
        <v>122</v>
      </c>
      <c r="J864" s="113" t="s">
        <v>277</v>
      </c>
    </row>
    <row r="865" spans="1:10" x14ac:dyDescent="0.25">
      <c r="A865" s="111">
        <v>862</v>
      </c>
      <c r="B865" s="112" t="s">
        <v>1760</v>
      </c>
      <c r="C865" s="113" t="s">
        <v>1761</v>
      </c>
      <c r="D865" s="113" t="s">
        <v>467</v>
      </c>
      <c r="E865" s="113" t="s">
        <v>1762</v>
      </c>
      <c r="F865" s="114">
        <v>95.701884023237426</v>
      </c>
      <c r="G865" s="114">
        <v>101.08518402323743</v>
      </c>
      <c r="H865" s="114">
        <v>29.87</v>
      </c>
      <c r="I865" s="111">
        <v>3262</v>
      </c>
      <c r="J865" s="113" t="s">
        <v>277</v>
      </c>
    </row>
    <row r="866" spans="1:10" x14ac:dyDescent="0.25">
      <c r="A866" s="111">
        <v>863</v>
      </c>
      <c r="B866" s="112" t="s">
        <v>2126</v>
      </c>
      <c r="C866" s="113" t="s">
        <v>1907</v>
      </c>
      <c r="D866" s="113" t="s">
        <v>769</v>
      </c>
      <c r="E866" s="113" t="s">
        <v>1908</v>
      </c>
      <c r="F866" s="114">
        <v>346711.53320000001</v>
      </c>
      <c r="G866" s="114">
        <v>346711.53320000001</v>
      </c>
      <c r="H866" s="114">
        <v>0</v>
      </c>
      <c r="I866" s="111">
        <v>0</v>
      </c>
      <c r="J866" s="113" t="s">
        <v>246</v>
      </c>
    </row>
    <row r="867" spans="1:10" x14ac:dyDescent="0.25">
      <c r="A867" s="111">
        <v>864</v>
      </c>
      <c r="B867" s="112" t="s">
        <v>1763</v>
      </c>
      <c r="C867" s="113" t="s">
        <v>1764</v>
      </c>
      <c r="D867" s="113" t="s">
        <v>457</v>
      </c>
      <c r="E867" s="113" t="s">
        <v>1765</v>
      </c>
      <c r="F867" s="114">
        <v>0.01</v>
      </c>
      <c r="G867" s="114">
        <v>0.01</v>
      </c>
      <c r="H867" s="114">
        <v>0</v>
      </c>
      <c r="I867" s="111">
        <v>0</v>
      </c>
      <c r="J867" s="113" t="s">
        <v>246</v>
      </c>
    </row>
    <row r="868" spans="1:10" x14ac:dyDescent="0.25">
      <c r="A868" s="111">
        <v>865</v>
      </c>
      <c r="B868" s="112" t="s">
        <v>2252</v>
      </c>
      <c r="C868" s="113" t="s">
        <v>2253</v>
      </c>
      <c r="D868" s="113" t="s">
        <v>467</v>
      </c>
      <c r="E868" s="113" t="s">
        <v>2254</v>
      </c>
      <c r="F868" s="114">
        <v>102.0986</v>
      </c>
      <c r="G868" s="114">
        <v>105.5986</v>
      </c>
      <c r="H868" s="114">
        <v>20</v>
      </c>
      <c r="I868" s="111">
        <v>1020</v>
      </c>
      <c r="J868" s="113" t="s">
        <v>277</v>
      </c>
    </row>
    <row r="869" spans="1:10" x14ac:dyDescent="0.25">
      <c r="A869" s="111">
        <v>866</v>
      </c>
      <c r="B869" s="112" t="s">
        <v>1769</v>
      </c>
      <c r="C869" s="113" t="s">
        <v>1770</v>
      </c>
      <c r="D869" s="113" t="s">
        <v>467</v>
      </c>
      <c r="E869" s="113" t="s">
        <v>438</v>
      </c>
      <c r="F869" s="114">
        <v>100</v>
      </c>
      <c r="G869" s="114">
        <v>100.575</v>
      </c>
      <c r="H869" s="114">
        <v>11.5</v>
      </c>
      <c r="I869" s="111">
        <v>2322</v>
      </c>
      <c r="J869" s="113" t="s">
        <v>277</v>
      </c>
    </row>
    <row r="870" spans="1:10" x14ac:dyDescent="0.25">
      <c r="A870" s="111">
        <v>867</v>
      </c>
      <c r="B870" s="112" t="s">
        <v>439</v>
      </c>
      <c r="C870" s="113" t="s">
        <v>440</v>
      </c>
      <c r="D870" s="113" t="s">
        <v>467</v>
      </c>
      <c r="E870" s="113" t="s">
        <v>438</v>
      </c>
      <c r="F870" s="114">
        <v>100</v>
      </c>
      <c r="G870" s="114">
        <v>102.49169999999999</v>
      </c>
      <c r="H870" s="114">
        <v>12.98</v>
      </c>
      <c r="I870" s="111">
        <v>1191</v>
      </c>
      <c r="J870" s="113" t="s">
        <v>277</v>
      </c>
    </row>
    <row r="871" spans="1:10" x14ac:dyDescent="0.25">
      <c r="A871" s="111">
        <v>868</v>
      </c>
      <c r="B871" s="112" t="s">
        <v>1771</v>
      </c>
      <c r="C871" s="113" t="s">
        <v>1772</v>
      </c>
      <c r="D871" s="113" t="s">
        <v>467</v>
      </c>
      <c r="E871" s="113" t="s">
        <v>645</v>
      </c>
      <c r="F871" s="114">
        <v>100</v>
      </c>
      <c r="G871" s="114">
        <v>101.3111</v>
      </c>
      <c r="H871" s="114">
        <v>12.32</v>
      </c>
      <c r="I871" s="111">
        <v>481</v>
      </c>
      <c r="J871" s="113" t="s">
        <v>277</v>
      </c>
    </row>
    <row r="872" spans="1:10" x14ac:dyDescent="0.25">
      <c r="A872" s="111">
        <v>869</v>
      </c>
      <c r="B872" s="112" t="s">
        <v>1773</v>
      </c>
      <c r="C872" s="113" t="s">
        <v>1774</v>
      </c>
      <c r="D872" s="113" t="s">
        <v>467</v>
      </c>
      <c r="E872" s="113" t="s">
        <v>645</v>
      </c>
      <c r="F872" s="114">
        <v>100</v>
      </c>
      <c r="G872" s="114">
        <v>101.3111</v>
      </c>
      <c r="H872" s="114">
        <v>9.68</v>
      </c>
      <c r="I872" s="111">
        <v>2281</v>
      </c>
      <c r="J872" s="113" t="s">
        <v>277</v>
      </c>
    </row>
    <row r="873" spans="1:10" x14ac:dyDescent="0.25">
      <c r="A873" s="111">
        <v>870</v>
      </c>
      <c r="B873" s="112" t="s">
        <v>1775</v>
      </c>
      <c r="C873" s="113" t="s">
        <v>1776</v>
      </c>
      <c r="D873" s="113" t="s">
        <v>467</v>
      </c>
      <c r="E873" s="113" t="s">
        <v>645</v>
      </c>
      <c r="F873" s="114">
        <v>100</v>
      </c>
      <c r="G873" s="114">
        <v>102.3111</v>
      </c>
      <c r="H873" s="114">
        <v>15.32</v>
      </c>
      <c r="I873" s="111">
        <v>256</v>
      </c>
      <c r="J873" s="113" t="s">
        <v>277</v>
      </c>
    </row>
    <row r="874" spans="1:10" x14ac:dyDescent="0.25">
      <c r="A874" s="111">
        <v>871</v>
      </c>
      <c r="B874" s="112" t="s">
        <v>1777</v>
      </c>
      <c r="C874" s="113" t="s">
        <v>1778</v>
      </c>
      <c r="D874" s="113" t="s">
        <v>467</v>
      </c>
      <c r="E874" s="113" t="s">
        <v>645</v>
      </c>
      <c r="F874" s="114">
        <v>100</v>
      </c>
      <c r="G874" s="114">
        <v>102.3111</v>
      </c>
      <c r="H874" s="114">
        <v>15.32</v>
      </c>
      <c r="I874" s="111">
        <v>256</v>
      </c>
      <c r="J874" s="113" t="s">
        <v>277</v>
      </c>
    </row>
    <row r="875" spans="1:10" x14ac:dyDescent="0.25">
      <c r="A875" s="111">
        <v>872</v>
      </c>
      <c r="B875" s="112" t="s">
        <v>1779</v>
      </c>
      <c r="C875" s="113" t="s">
        <v>1780</v>
      </c>
      <c r="D875" s="113" t="s">
        <v>467</v>
      </c>
      <c r="E875" s="113" t="s">
        <v>645</v>
      </c>
      <c r="F875" s="114">
        <v>100</v>
      </c>
      <c r="G875" s="114">
        <v>102.3111</v>
      </c>
      <c r="H875" s="114">
        <v>11.59</v>
      </c>
      <c r="I875" s="111">
        <v>616</v>
      </c>
      <c r="J875" s="113" t="s">
        <v>277</v>
      </c>
    </row>
    <row r="876" spans="1:10" x14ac:dyDescent="0.25">
      <c r="A876" s="111">
        <v>873</v>
      </c>
      <c r="B876" s="112" t="s">
        <v>1781</v>
      </c>
      <c r="C876" s="113" t="s">
        <v>1782</v>
      </c>
      <c r="D876" s="113" t="s">
        <v>467</v>
      </c>
      <c r="E876" s="113" t="s">
        <v>645</v>
      </c>
      <c r="F876" s="114">
        <v>100</v>
      </c>
      <c r="G876" s="114">
        <v>102.3111</v>
      </c>
      <c r="H876" s="114">
        <v>11.59</v>
      </c>
      <c r="I876" s="111">
        <v>616</v>
      </c>
      <c r="J876" s="113" t="s">
        <v>277</v>
      </c>
    </row>
    <row r="877" spans="1:10" x14ac:dyDescent="0.25">
      <c r="A877" s="111">
        <v>874</v>
      </c>
      <c r="B877" s="112" t="s">
        <v>1783</v>
      </c>
      <c r="C877" s="113" t="s">
        <v>1784</v>
      </c>
      <c r="D877" s="113" t="s">
        <v>467</v>
      </c>
      <c r="E877" s="113" t="s">
        <v>1785</v>
      </c>
      <c r="F877" s="114">
        <v>90.759150953626488</v>
      </c>
      <c r="G877" s="114">
        <v>99.482050953626498</v>
      </c>
      <c r="H877" s="114">
        <v>23.37</v>
      </c>
      <c r="I877" s="111">
        <v>1461</v>
      </c>
      <c r="J877" s="113" t="s">
        <v>277</v>
      </c>
    </row>
    <row r="878" spans="1:10" x14ac:dyDescent="0.25">
      <c r="A878" s="111">
        <v>875</v>
      </c>
      <c r="B878" s="112" t="s">
        <v>1786</v>
      </c>
      <c r="C878" s="113" t="s">
        <v>1787</v>
      </c>
      <c r="D878" s="113" t="s">
        <v>467</v>
      </c>
      <c r="E878" s="113" t="s">
        <v>1788</v>
      </c>
      <c r="F878" s="114">
        <v>100</v>
      </c>
      <c r="G878" s="114">
        <v>102.0778</v>
      </c>
      <c r="H878" s="114">
        <v>4.24</v>
      </c>
      <c r="I878" s="111">
        <v>304</v>
      </c>
      <c r="J878" s="113" t="s">
        <v>277</v>
      </c>
    </row>
    <row r="879" spans="1:10" x14ac:dyDescent="0.25">
      <c r="A879" s="111">
        <v>876</v>
      </c>
      <c r="B879" s="112" t="s">
        <v>1789</v>
      </c>
      <c r="C879" s="113" t="s">
        <v>1790</v>
      </c>
      <c r="D879" s="113" t="s">
        <v>467</v>
      </c>
      <c r="E879" s="113" t="s">
        <v>1788</v>
      </c>
      <c r="F879" s="114">
        <v>100</v>
      </c>
      <c r="G879" s="114">
        <v>100.0642</v>
      </c>
      <c r="H879" s="114">
        <v>0.35</v>
      </c>
      <c r="I879" s="111">
        <v>114</v>
      </c>
      <c r="J879" s="113" t="s">
        <v>277</v>
      </c>
    </row>
    <row r="880" spans="1:10" x14ac:dyDescent="0.25">
      <c r="A880" s="111">
        <v>877</v>
      </c>
      <c r="B880" s="112" t="s">
        <v>1791</v>
      </c>
      <c r="C880" s="113" t="s">
        <v>1792</v>
      </c>
      <c r="D880" s="113" t="s">
        <v>467</v>
      </c>
      <c r="E880" s="113" t="s">
        <v>1788</v>
      </c>
      <c r="F880" s="114">
        <v>100</v>
      </c>
      <c r="G880" s="114">
        <v>100.0496</v>
      </c>
      <c r="H880" s="114">
        <v>0.35</v>
      </c>
      <c r="I880" s="111">
        <v>309</v>
      </c>
      <c r="J880" s="113" t="s">
        <v>277</v>
      </c>
    </row>
    <row r="881" spans="1:10" x14ac:dyDescent="0.25">
      <c r="A881" s="111">
        <v>878</v>
      </c>
      <c r="B881" s="112" t="s">
        <v>2210</v>
      </c>
      <c r="C881" s="113" t="s">
        <v>2211</v>
      </c>
      <c r="D881" s="113" t="s">
        <v>467</v>
      </c>
      <c r="E881" s="113" t="s">
        <v>1788</v>
      </c>
      <c r="F881" s="114">
        <v>100</v>
      </c>
      <c r="G881" s="114">
        <v>100.0719</v>
      </c>
      <c r="H881" s="114">
        <v>0.35</v>
      </c>
      <c r="I881" s="111">
        <v>646</v>
      </c>
      <c r="J881" s="113" t="s">
        <v>277</v>
      </c>
    </row>
    <row r="882" spans="1:10" x14ac:dyDescent="0.25">
      <c r="A882" s="111">
        <v>879</v>
      </c>
      <c r="B882" s="112" t="s">
        <v>2020</v>
      </c>
      <c r="C882" s="113" t="s">
        <v>2021</v>
      </c>
      <c r="D882" s="113" t="s">
        <v>467</v>
      </c>
      <c r="E882" s="113" t="s">
        <v>1788</v>
      </c>
      <c r="F882" s="114">
        <v>100</v>
      </c>
      <c r="G882" s="114">
        <v>100.0123</v>
      </c>
      <c r="H882" s="114">
        <v>0.02</v>
      </c>
      <c r="I882" s="111">
        <v>3122</v>
      </c>
      <c r="J882" s="113" t="s">
        <v>277</v>
      </c>
    </row>
    <row r="883" spans="1:10" x14ac:dyDescent="0.25">
      <c r="A883" s="111">
        <v>880</v>
      </c>
      <c r="B883" s="112" t="s">
        <v>1793</v>
      </c>
      <c r="C883" s="113" t="s">
        <v>1794</v>
      </c>
      <c r="D883" s="113" t="s">
        <v>467</v>
      </c>
      <c r="E883" s="113" t="s">
        <v>1788</v>
      </c>
      <c r="F883" s="114">
        <v>100</v>
      </c>
      <c r="G883" s="114">
        <v>104.2206</v>
      </c>
      <c r="H883" s="114">
        <v>7.05</v>
      </c>
      <c r="I883" s="111">
        <v>2219</v>
      </c>
      <c r="J883" s="113" t="s">
        <v>277</v>
      </c>
    </row>
    <row r="884" spans="1:10" x14ac:dyDescent="0.25">
      <c r="A884" s="111">
        <v>881</v>
      </c>
      <c r="B884" s="112" t="s">
        <v>1795</v>
      </c>
      <c r="C884" s="113" t="s">
        <v>1796</v>
      </c>
      <c r="D884" s="113" t="s">
        <v>467</v>
      </c>
      <c r="E884" s="113" t="s">
        <v>1788</v>
      </c>
      <c r="F884" s="114">
        <v>100</v>
      </c>
      <c r="G884" s="114">
        <v>100.0022</v>
      </c>
      <c r="H884" s="114">
        <v>0.02</v>
      </c>
      <c r="I884" s="111">
        <v>3122</v>
      </c>
      <c r="J884" s="113" t="s">
        <v>277</v>
      </c>
    </row>
    <row r="885" spans="1:10" x14ac:dyDescent="0.25">
      <c r="A885" s="111">
        <v>882</v>
      </c>
      <c r="B885" s="112" t="s">
        <v>1797</v>
      </c>
      <c r="C885" s="113" t="s">
        <v>1798</v>
      </c>
      <c r="D885" s="113" t="s">
        <v>467</v>
      </c>
      <c r="E885" s="113" t="s">
        <v>1788</v>
      </c>
      <c r="F885" s="114">
        <v>100</v>
      </c>
      <c r="G885" s="114">
        <v>100.0027</v>
      </c>
      <c r="H885" s="114">
        <v>0.02</v>
      </c>
      <c r="I885" s="111">
        <v>3122</v>
      </c>
      <c r="J885" s="113" t="s">
        <v>277</v>
      </c>
    </row>
    <row r="886" spans="1:10" x14ac:dyDescent="0.25">
      <c r="A886" s="111">
        <v>883</v>
      </c>
      <c r="B886" s="112" t="s">
        <v>1799</v>
      </c>
      <c r="C886" s="113" t="s">
        <v>1800</v>
      </c>
      <c r="D886" s="113" t="s">
        <v>467</v>
      </c>
      <c r="E886" s="113" t="s">
        <v>1788</v>
      </c>
      <c r="F886" s="114">
        <v>100</v>
      </c>
      <c r="G886" s="114">
        <v>100.5592</v>
      </c>
      <c r="H886" s="114">
        <v>6.09</v>
      </c>
      <c r="I886" s="111">
        <v>1737</v>
      </c>
      <c r="J886" s="113" t="s">
        <v>277</v>
      </c>
    </row>
    <row r="887" spans="1:10" x14ac:dyDescent="0.25">
      <c r="A887" s="111">
        <v>884</v>
      </c>
      <c r="B887" s="112" t="s">
        <v>1801</v>
      </c>
      <c r="C887" s="113" t="s">
        <v>1802</v>
      </c>
      <c r="D887" s="113" t="s">
        <v>467</v>
      </c>
      <c r="E887" s="113" t="s">
        <v>1788</v>
      </c>
      <c r="F887" s="114">
        <v>100</v>
      </c>
      <c r="G887" s="114">
        <v>105.8289</v>
      </c>
      <c r="H887" s="114">
        <v>6.09</v>
      </c>
      <c r="I887" s="111">
        <v>2146</v>
      </c>
      <c r="J887" s="113" t="s">
        <v>277</v>
      </c>
    </row>
    <row r="888" spans="1:10" x14ac:dyDescent="0.25">
      <c r="A888" s="111">
        <v>885</v>
      </c>
      <c r="B888" s="112" t="s">
        <v>1803</v>
      </c>
      <c r="C888" s="113" t="s">
        <v>1804</v>
      </c>
      <c r="D888" s="113" t="s">
        <v>467</v>
      </c>
      <c r="E888" s="113" t="s">
        <v>1788</v>
      </c>
      <c r="F888" s="114">
        <v>100</v>
      </c>
      <c r="G888" s="114">
        <v>102.4739</v>
      </c>
      <c r="H888" s="114">
        <v>6.06</v>
      </c>
      <c r="I888" s="111">
        <v>2644</v>
      </c>
      <c r="J888" s="113" t="s">
        <v>277</v>
      </c>
    </row>
    <row r="889" spans="1:10" x14ac:dyDescent="0.25">
      <c r="A889" s="111">
        <v>886</v>
      </c>
      <c r="B889" s="112" t="s">
        <v>1805</v>
      </c>
      <c r="C889" s="113" t="s">
        <v>1806</v>
      </c>
      <c r="D889" s="113" t="s">
        <v>467</v>
      </c>
      <c r="E889" s="113" t="s">
        <v>1788</v>
      </c>
      <c r="F889" s="114">
        <v>100</v>
      </c>
      <c r="G889" s="114">
        <v>104.6767</v>
      </c>
      <c r="H889" s="114">
        <v>6.08</v>
      </c>
      <c r="I889" s="111">
        <v>2574</v>
      </c>
      <c r="J889" s="113" t="s">
        <v>277</v>
      </c>
    </row>
    <row r="890" spans="1:10" x14ac:dyDescent="0.25">
      <c r="A890" s="111">
        <v>887</v>
      </c>
      <c r="B890" s="112" t="s">
        <v>1807</v>
      </c>
      <c r="C890" s="113" t="s">
        <v>1808</v>
      </c>
      <c r="D890" s="113" t="s">
        <v>467</v>
      </c>
      <c r="E890" s="113" t="s">
        <v>1788</v>
      </c>
      <c r="F890" s="114">
        <v>100</v>
      </c>
      <c r="G890" s="114">
        <v>104.6767</v>
      </c>
      <c r="H890" s="114">
        <v>6.08</v>
      </c>
      <c r="I890" s="111">
        <v>2574</v>
      </c>
      <c r="J890" s="113" t="s">
        <v>277</v>
      </c>
    </row>
    <row r="891" spans="1:10" x14ac:dyDescent="0.25">
      <c r="A891" s="111">
        <v>888</v>
      </c>
      <c r="B891" s="112" t="s">
        <v>1809</v>
      </c>
      <c r="C891" s="113" t="s">
        <v>1810</v>
      </c>
      <c r="D891" s="113" t="s">
        <v>467</v>
      </c>
      <c r="E891" s="113" t="s">
        <v>1788</v>
      </c>
      <c r="F891" s="114">
        <v>100</v>
      </c>
      <c r="G891" s="114">
        <v>103.5414</v>
      </c>
      <c r="H891" s="114">
        <v>6.08</v>
      </c>
      <c r="I891" s="111">
        <v>2641</v>
      </c>
      <c r="J891" s="113" t="s">
        <v>277</v>
      </c>
    </row>
    <row r="892" spans="1:10" x14ac:dyDescent="0.25">
      <c r="A892" s="111">
        <v>889</v>
      </c>
      <c r="B892" s="112" t="s">
        <v>1811</v>
      </c>
      <c r="C892" s="113" t="s">
        <v>1812</v>
      </c>
      <c r="D892" s="113" t="s">
        <v>769</v>
      </c>
      <c r="E892" s="113" t="s">
        <v>1099</v>
      </c>
      <c r="F892" s="114">
        <v>46811.622000000003</v>
      </c>
      <c r="G892" s="114">
        <v>46811.622000000003</v>
      </c>
      <c r="H892" s="114">
        <v>0</v>
      </c>
      <c r="I892" s="111">
        <v>0</v>
      </c>
      <c r="J892" s="113" t="s">
        <v>246</v>
      </c>
    </row>
    <row r="893" spans="1:10" x14ac:dyDescent="0.25">
      <c r="A893" s="111">
        <v>890</v>
      </c>
      <c r="B893" s="112" t="s">
        <v>1813</v>
      </c>
      <c r="C893" s="113" t="s">
        <v>1814</v>
      </c>
      <c r="D893" s="113" t="s">
        <v>467</v>
      </c>
      <c r="E893" s="113" t="s">
        <v>2155</v>
      </c>
      <c r="F893" s="114">
        <v>94.088075558614804</v>
      </c>
      <c r="G893" s="114">
        <v>97.038275558614814</v>
      </c>
      <c r="H893" s="114">
        <v>20.48</v>
      </c>
      <c r="I893" s="111">
        <v>267</v>
      </c>
      <c r="J893" s="113" t="s">
        <v>277</v>
      </c>
    </row>
    <row r="894" spans="1:10" x14ac:dyDescent="0.25">
      <c r="A894" s="111">
        <v>891</v>
      </c>
      <c r="B894" s="112" t="s">
        <v>1815</v>
      </c>
      <c r="C894" s="113" t="s">
        <v>1816</v>
      </c>
      <c r="D894" s="113" t="s">
        <v>467</v>
      </c>
      <c r="E894" s="113" t="s">
        <v>2155</v>
      </c>
      <c r="F894" s="114">
        <v>91.637170729570684</v>
      </c>
      <c r="G894" s="114">
        <v>91.69827072957068</v>
      </c>
      <c r="H894" s="114">
        <v>16.07</v>
      </c>
      <c r="I894" s="111">
        <v>716</v>
      </c>
      <c r="J894" s="113" t="s">
        <v>277</v>
      </c>
    </row>
    <row r="895" spans="1:10" x14ac:dyDescent="0.25">
      <c r="A895" s="111">
        <v>892</v>
      </c>
      <c r="B895" s="112" t="s">
        <v>1817</v>
      </c>
      <c r="C895" s="113" t="s">
        <v>1818</v>
      </c>
      <c r="D895" s="113" t="s">
        <v>467</v>
      </c>
      <c r="E895" s="113" t="s">
        <v>2155</v>
      </c>
      <c r="F895" s="114">
        <v>27.637231303878394</v>
      </c>
      <c r="G895" s="114">
        <v>28.515031303878395</v>
      </c>
      <c r="H895" s="114">
        <v>19.09</v>
      </c>
      <c r="I895" s="111">
        <v>3262</v>
      </c>
      <c r="J895" s="113" t="s">
        <v>277</v>
      </c>
    </row>
    <row r="896" spans="1:10" x14ac:dyDescent="0.25">
      <c r="A896" s="111">
        <v>893</v>
      </c>
      <c r="B896" s="112" t="s">
        <v>1819</v>
      </c>
      <c r="C896" s="113" t="s">
        <v>1820</v>
      </c>
      <c r="D896" s="113" t="s">
        <v>467</v>
      </c>
      <c r="E896" s="113" t="s">
        <v>2155</v>
      </c>
      <c r="F896" s="114">
        <v>67.335670390684641</v>
      </c>
      <c r="G896" s="114">
        <v>71.009270390684634</v>
      </c>
      <c r="H896" s="114">
        <v>19.18</v>
      </c>
      <c r="I896" s="111">
        <v>3305</v>
      </c>
      <c r="J896" s="113" t="s">
        <v>277</v>
      </c>
    </row>
    <row r="897" spans="1:10" x14ac:dyDescent="0.25">
      <c r="A897" s="111">
        <v>894</v>
      </c>
      <c r="B897" s="112" t="s">
        <v>1821</v>
      </c>
      <c r="C897" s="113" t="s">
        <v>1822</v>
      </c>
      <c r="D897" s="113" t="s">
        <v>467</v>
      </c>
      <c r="E897" s="113" t="s">
        <v>2155</v>
      </c>
      <c r="F897" s="114">
        <v>67.422632365993437</v>
      </c>
      <c r="G897" s="114">
        <v>71.767032365993444</v>
      </c>
      <c r="H897" s="114">
        <v>19.190000000000001</v>
      </c>
      <c r="I897" s="111">
        <v>3284</v>
      </c>
      <c r="J897" s="113" t="s">
        <v>277</v>
      </c>
    </row>
    <row r="898" spans="1:10" x14ac:dyDescent="0.25">
      <c r="A898" s="111">
        <v>895</v>
      </c>
      <c r="B898" s="112" t="s">
        <v>1823</v>
      </c>
      <c r="C898" s="113" t="s">
        <v>1824</v>
      </c>
      <c r="D898" s="113" t="s">
        <v>457</v>
      </c>
      <c r="E898" s="113" t="s">
        <v>1825</v>
      </c>
      <c r="F898" s="114">
        <v>0.01</v>
      </c>
      <c r="G898" s="114">
        <v>0.01</v>
      </c>
      <c r="H898" s="114">
        <v>0</v>
      </c>
      <c r="I898" s="111">
        <v>0</v>
      </c>
      <c r="J898" s="113" t="s">
        <v>246</v>
      </c>
    </row>
    <row r="899" spans="1:10" x14ac:dyDescent="0.25">
      <c r="A899" s="111">
        <v>896</v>
      </c>
      <c r="B899" s="112" t="s">
        <v>1826</v>
      </c>
      <c r="C899" s="113" t="s">
        <v>1827</v>
      </c>
      <c r="D899" s="113" t="s">
        <v>457</v>
      </c>
      <c r="E899" s="113" t="s">
        <v>1828</v>
      </c>
      <c r="F899" s="114">
        <v>2740</v>
      </c>
      <c r="G899" s="114">
        <v>2740</v>
      </c>
      <c r="H899" s="114">
        <v>0</v>
      </c>
      <c r="I899" s="111">
        <v>0</v>
      </c>
      <c r="J899" s="113" t="s">
        <v>246</v>
      </c>
    </row>
    <row r="900" spans="1:10" x14ac:dyDescent="0.25">
      <c r="A900" s="111">
        <v>897</v>
      </c>
      <c r="B900" s="112" t="s">
        <v>1829</v>
      </c>
      <c r="C900" s="113" t="s">
        <v>1830</v>
      </c>
      <c r="D900" s="113" t="s">
        <v>467</v>
      </c>
      <c r="E900" s="113" t="s">
        <v>1831</v>
      </c>
      <c r="F900" s="114">
        <v>104.67</v>
      </c>
      <c r="G900" s="114">
        <v>106.6186</v>
      </c>
      <c r="H900" s="114">
        <v>6.2</v>
      </c>
      <c r="I900" s="111">
        <v>1348</v>
      </c>
      <c r="J900" s="113" t="s">
        <v>277</v>
      </c>
    </row>
    <row r="901" spans="1:10" x14ac:dyDescent="0.25">
      <c r="A901" s="111">
        <v>898</v>
      </c>
      <c r="B901" s="112" t="s">
        <v>1832</v>
      </c>
      <c r="C901" s="113" t="s">
        <v>1833</v>
      </c>
      <c r="D901" s="113" t="s">
        <v>457</v>
      </c>
      <c r="E901" s="113" t="s">
        <v>2301</v>
      </c>
      <c r="F901" s="114">
        <v>0.01</v>
      </c>
      <c r="G901" s="114">
        <v>0.01</v>
      </c>
      <c r="H901" s="114">
        <v>0</v>
      </c>
      <c r="I901" s="111">
        <v>0</v>
      </c>
      <c r="J901" s="113" t="s">
        <v>246</v>
      </c>
    </row>
    <row r="902" spans="1:10" x14ac:dyDescent="0.25">
      <c r="A902" s="111">
        <v>899</v>
      </c>
      <c r="B902" s="112" t="s">
        <v>1834</v>
      </c>
      <c r="C902" s="113" t="s">
        <v>1835</v>
      </c>
      <c r="D902" s="113" t="s">
        <v>467</v>
      </c>
      <c r="E902" s="113" t="s">
        <v>2301</v>
      </c>
      <c r="F902" s="114">
        <v>83.052494549236471</v>
      </c>
      <c r="G902" s="114">
        <v>84.402494549236465</v>
      </c>
      <c r="H902" s="114">
        <v>16.7</v>
      </c>
      <c r="I902" s="111">
        <v>1026</v>
      </c>
      <c r="J902" s="113" t="s">
        <v>277</v>
      </c>
    </row>
    <row r="903" spans="1:10" x14ac:dyDescent="0.25">
      <c r="A903" s="111">
        <v>900</v>
      </c>
      <c r="B903" s="112" t="s">
        <v>1836</v>
      </c>
      <c r="C903" s="113" t="s">
        <v>1837</v>
      </c>
      <c r="D903" s="113" t="s">
        <v>467</v>
      </c>
      <c r="E903" s="113" t="s">
        <v>2301</v>
      </c>
      <c r="F903" s="114">
        <v>10.270200924318187</v>
      </c>
      <c r="G903" s="114">
        <v>10.304100924318188</v>
      </c>
      <c r="H903" s="114">
        <v>16</v>
      </c>
      <c r="I903" s="111">
        <v>5493</v>
      </c>
      <c r="J903" s="113" t="s">
        <v>277</v>
      </c>
    </row>
    <row r="904" spans="1:10" x14ac:dyDescent="0.25">
      <c r="A904" s="111">
        <v>901</v>
      </c>
      <c r="B904" s="112" t="s">
        <v>1838</v>
      </c>
      <c r="C904" s="113" t="s">
        <v>1839</v>
      </c>
      <c r="D904" s="113" t="s">
        <v>467</v>
      </c>
      <c r="E904" s="113" t="s">
        <v>2301</v>
      </c>
      <c r="F904" s="114">
        <v>27.291117968384494</v>
      </c>
      <c r="G904" s="114">
        <v>27.341117968384495</v>
      </c>
      <c r="H904" s="114">
        <v>16.73</v>
      </c>
      <c r="I904" s="111">
        <v>3060</v>
      </c>
      <c r="J904" s="113" t="s">
        <v>277</v>
      </c>
    </row>
    <row r="905" spans="1:10" x14ac:dyDescent="0.25">
      <c r="A905" s="111">
        <v>902</v>
      </c>
      <c r="B905" s="112" t="s">
        <v>1840</v>
      </c>
      <c r="C905" s="113" t="s">
        <v>1841</v>
      </c>
      <c r="D905" s="113" t="s">
        <v>467</v>
      </c>
      <c r="E905" s="113" t="s">
        <v>2301</v>
      </c>
      <c r="F905" s="114">
        <v>27.291117968384494</v>
      </c>
      <c r="G905" s="114">
        <v>27.341117968384495</v>
      </c>
      <c r="H905" s="114">
        <v>16.73</v>
      </c>
      <c r="I905" s="111">
        <v>3060</v>
      </c>
      <c r="J905" s="113" t="s">
        <v>277</v>
      </c>
    </row>
    <row r="906" spans="1:10" x14ac:dyDescent="0.25">
      <c r="A906" s="111">
        <v>903</v>
      </c>
      <c r="B906" s="112" t="s">
        <v>1842</v>
      </c>
      <c r="C906" s="113" t="s">
        <v>1843</v>
      </c>
      <c r="D906" s="113" t="s">
        <v>467</v>
      </c>
      <c r="E906" s="113" t="s">
        <v>2301</v>
      </c>
      <c r="F906" s="114">
        <v>5.1624268584466435</v>
      </c>
      <c r="G906" s="114">
        <v>5.2105268584466433</v>
      </c>
      <c r="H906" s="114">
        <v>16.12</v>
      </c>
      <c r="I906" s="111">
        <v>7293</v>
      </c>
      <c r="J906" s="113" t="s">
        <v>277</v>
      </c>
    </row>
    <row r="907" spans="1:10" x14ac:dyDescent="0.25">
      <c r="A907" s="111">
        <v>904</v>
      </c>
      <c r="B907" s="112" t="s">
        <v>1844</v>
      </c>
      <c r="C907" s="113" t="s">
        <v>1845</v>
      </c>
      <c r="D907" s="113" t="s">
        <v>467</v>
      </c>
      <c r="E907" s="113" t="s">
        <v>2301</v>
      </c>
      <c r="F907" s="114">
        <v>10.270070895974364</v>
      </c>
      <c r="G907" s="114">
        <v>10.345870895974363</v>
      </c>
      <c r="H907" s="114">
        <v>15.31</v>
      </c>
      <c r="I907" s="111">
        <v>5493</v>
      </c>
      <c r="J907" s="113" t="s">
        <v>277</v>
      </c>
    </row>
    <row r="908" spans="1:10" x14ac:dyDescent="0.25">
      <c r="A908" s="111">
        <v>905</v>
      </c>
      <c r="B908" s="112" t="s">
        <v>237</v>
      </c>
      <c r="C908" s="113" t="s">
        <v>238</v>
      </c>
      <c r="D908" s="113" t="s">
        <v>467</v>
      </c>
      <c r="E908" s="113" t="s">
        <v>2301</v>
      </c>
      <c r="F908" s="114">
        <v>27.435284521492115</v>
      </c>
      <c r="G908" s="114">
        <v>27.513884521492116</v>
      </c>
      <c r="H908" s="114">
        <v>15.78</v>
      </c>
      <c r="I908" s="111">
        <v>3047</v>
      </c>
      <c r="J908" s="113" t="s">
        <v>277</v>
      </c>
    </row>
    <row r="909" spans="1:10" x14ac:dyDescent="0.25">
      <c r="A909" s="111">
        <v>906</v>
      </c>
      <c r="B909" s="112" t="s">
        <v>1846</v>
      </c>
      <c r="C909" s="113" t="s">
        <v>1847</v>
      </c>
      <c r="D909" s="113" t="s">
        <v>467</v>
      </c>
      <c r="E909" s="113" t="s">
        <v>2301</v>
      </c>
      <c r="F909" s="114">
        <v>27.357051418823396</v>
      </c>
      <c r="G909" s="114">
        <v>27.408751418823396</v>
      </c>
      <c r="H909" s="114">
        <v>16.73</v>
      </c>
      <c r="I909" s="111">
        <v>3054</v>
      </c>
      <c r="J909" s="113" t="s">
        <v>277</v>
      </c>
    </row>
    <row r="910" spans="1:10" x14ac:dyDescent="0.25">
      <c r="A910" s="111">
        <v>907</v>
      </c>
      <c r="B910" s="112" t="s">
        <v>1848</v>
      </c>
      <c r="C910" s="113" t="s">
        <v>1849</v>
      </c>
      <c r="D910" s="113" t="s">
        <v>467</v>
      </c>
      <c r="E910" s="113" t="s">
        <v>2301</v>
      </c>
      <c r="F910" s="114">
        <v>27.291117968384494</v>
      </c>
      <c r="G910" s="114">
        <v>27.341117968384495</v>
      </c>
      <c r="H910" s="114">
        <v>16.73</v>
      </c>
      <c r="I910" s="111">
        <v>3060</v>
      </c>
      <c r="J910" s="113" t="s">
        <v>277</v>
      </c>
    </row>
    <row r="911" spans="1:10" x14ac:dyDescent="0.25">
      <c r="A911" s="111">
        <v>908</v>
      </c>
      <c r="B911" s="112" t="s">
        <v>239</v>
      </c>
      <c r="C911" s="113" t="s">
        <v>240</v>
      </c>
      <c r="D911" s="113" t="s">
        <v>467</v>
      </c>
      <c r="E911" s="113" t="s">
        <v>2301</v>
      </c>
      <c r="F911" s="114">
        <v>27.357051418823396</v>
      </c>
      <c r="G911" s="114">
        <v>27.408751418823396</v>
      </c>
      <c r="H911" s="114">
        <v>16.73</v>
      </c>
      <c r="I911" s="111">
        <v>3054</v>
      </c>
      <c r="J911" s="113" t="s">
        <v>277</v>
      </c>
    </row>
    <row r="912" spans="1:10" x14ac:dyDescent="0.25">
      <c r="A912" s="111">
        <v>909</v>
      </c>
      <c r="B912" s="112" t="s">
        <v>1850</v>
      </c>
      <c r="C912" s="113" t="s">
        <v>1851</v>
      </c>
      <c r="D912" s="113" t="s">
        <v>467</v>
      </c>
      <c r="E912" s="113" t="s">
        <v>2301</v>
      </c>
      <c r="F912" s="114">
        <v>96.903602697579615</v>
      </c>
      <c r="G912" s="114">
        <v>102.25360269757961</v>
      </c>
      <c r="H912" s="114">
        <v>17.059999999999999</v>
      </c>
      <c r="I912" s="111">
        <v>146</v>
      </c>
      <c r="J912" s="113" t="s">
        <v>277</v>
      </c>
    </row>
    <row r="913" spans="1:10" x14ac:dyDescent="0.25">
      <c r="A913" s="111">
        <v>910</v>
      </c>
      <c r="B913" s="112" t="s">
        <v>1852</v>
      </c>
      <c r="C913" s="113" t="s">
        <v>1853</v>
      </c>
      <c r="D913" s="113" t="s">
        <v>467</v>
      </c>
      <c r="E913" s="113" t="s">
        <v>2301</v>
      </c>
      <c r="F913" s="114">
        <v>85.06779354428555</v>
      </c>
      <c r="G913" s="114">
        <v>85.421993544285556</v>
      </c>
      <c r="H913" s="114">
        <v>16.77</v>
      </c>
      <c r="I913" s="111">
        <v>703</v>
      </c>
      <c r="J913" s="113" t="s">
        <v>277</v>
      </c>
    </row>
    <row r="914" spans="1:10" x14ac:dyDescent="0.25">
      <c r="A914" s="111">
        <v>911</v>
      </c>
      <c r="B914" s="112" t="s">
        <v>1854</v>
      </c>
      <c r="C914" s="113" t="s">
        <v>1855</v>
      </c>
      <c r="D914" s="113" t="s">
        <v>457</v>
      </c>
      <c r="E914" s="113" t="s">
        <v>2301</v>
      </c>
      <c r="F914" s="114">
        <v>590</v>
      </c>
      <c r="G914" s="114">
        <v>590</v>
      </c>
      <c r="H914" s="114">
        <v>0</v>
      </c>
      <c r="I914" s="111">
        <v>0</v>
      </c>
      <c r="J914" s="113" t="s">
        <v>246</v>
      </c>
    </row>
    <row r="915" spans="1:10" x14ac:dyDescent="0.25">
      <c r="A915" s="111">
        <v>912</v>
      </c>
      <c r="B915" s="112" t="s">
        <v>1856</v>
      </c>
      <c r="C915" s="113" t="s">
        <v>1857</v>
      </c>
      <c r="D915" s="113" t="s">
        <v>457</v>
      </c>
      <c r="E915" s="113" t="s">
        <v>2152</v>
      </c>
      <c r="F915" s="114">
        <v>171189.77429999999</v>
      </c>
      <c r="G915" s="114">
        <v>171189.77429999999</v>
      </c>
      <c r="H915" s="114">
        <v>0</v>
      </c>
      <c r="I915" s="111">
        <v>0</v>
      </c>
      <c r="J915" s="113" t="s">
        <v>246</v>
      </c>
    </row>
    <row r="916" spans="1:10" x14ac:dyDescent="0.25">
      <c r="A916" s="111">
        <v>913</v>
      </c>
      <c r="B916" s="112" t="s">
        <v>2354</v>
      </c>
      <c r="C916" s="113" t="s">
        <v>2355</v>
      </c>
      <c r="D916" s="113" t="s">
        <v>467</v>
      </c>
      <c r="E916" s="113" t="s">
        <v>1860</v>
      </c>
      <c r="F916" s="114">
        <v>91.450599999999994</v>
      </c>
      <c r="G916" s="114">
        <v>92.3506</v>
      </c>
      <c r="H916" s="114">
        <v>22.01</v>
      </c>
      <c r="I916" s="111">
        <v>1062</v>
      </c>
      <c r="J916" s="113" t="s">
        <v>277</v>
      </c>
    </row>
    <row r="917" spans="1:10" x14ac:dyDescent="0.25">
      <c r="A917" s="111">
        <v>914</v>
      </c>
      <c r="B917" s="112" t="s">
        <v>1858</v>
      </c>
      <c r="C917" s="113" t="s">
        <v>1859</v>
      </c>
      <c r="D917" s="113" t="s">
        <v>467</v>
      </c>
      <c r="E917" s="113" t="s">
        <v>1860</v>
      </c>
      <c r="F917" s="114">
        <v>99.597605242982624</v>
      </c>
      <c r="G917" s="114">
        <v>102.98650524298263</v>
      </c>
      <c r="H917" s="114">
        <v>21.2</v>
      </c>
      <c r="I917" s="111">
        <v>119</v>
      </c>
      <c r="J917" s="113" t="s">
        <v>277</v>
      </c>
    </row>
    <row r="918" spans="1:10" x14ac:dyDescent="0.25">
      <c r="A918" s="111">
        <v>915</v>
      </c>
      <c r="B918" s="112" t="s">
        <v>1861</v>
      </c>
      <c r="C918" s="113" t="s">
        <v>1862</v>
      </c>
      <c r="D918" s="113" t="s">
        <v>467</v>
      </c>
      <c r="E918" s="113" t="s">
        <v>1860</v>
      </c>
      <c r="F918" s="114">
        <v>99.612732310139378</v>
      </c>
      <c r="G918" s="114">
        <v>103.27943231013937</v>
      </c>
      <c r="H918" s="114">
        <v>21.21</v>
      </c>
      <c r="I918" s="111">
        <v>114</v>
      </c>
      <c r="J918" s="113" t="s">
        <v>277</v>
      </c>
    </row>
    <row r="919" spans="1:10" x14ac:dyDescent="0.25">
      <c r="A919" s="111">
        <v>916</v>
      </c>
      <c r="B919" s="112" t="s">
        <v>1863</v>
      </c>
      <c r="C919" s="113" t="s">
        <v>1864</v>
      </c>
      <c r="D919" s="113" t="s">
        <v>457</v>
      </c>
      <c r="E919" s="113" t="s">
        <v>1865</v>
      </c>
      <c r="F919" s="114">
        <v>100238.52275</v>
      </c>
      <c r="G919" s="114">
        <v>100238.52275</v>
      </c>
      <c r="H919" s="114">
        <v>0</v>
      </c>
      <c r="I919" s="111">
        <v>0</v>
      </c>
      <c r="J919" s="113" t="s">
        <v>246</v>
      </c>
    </row>
    <row r="920" spans="1:10" x14ac:dyDescent="0.25">
      <c r="A920" s="111">
        <v>917</v>
      </c>
      <c r="B920" s="112" t="s">
        <v>1766</v>
      </c>
      <c r="C920" s="113" t="s">
        <v>1767</v>
      </c>
      <c r="D920" s="113" t="s">
        <v>457</v>
      </c>
      <c r="E920" s="113" t="s">
        <v>1768</v>
      </c>
      <c r="F920" s="114">
        <v>15421.101350000001</v>
      </c>
      <c r="G920" s="114">
        <v>15421.101350000001</v>
      </c>
      <c r="H920" s="114">
        <v>0</v>
      </c>
      <c r="I920" s="111">
        <v>0</v>
      </c>
      <c r="J920" s="113" t="s">
        <v>246</v>
      </c>
    </row>
    <row r="921" spans="1:10" x14ac:dyDescent="0.25">
      <c r="A921" s="111">
        <v>918</v>
      </c>
      <c r="B921" s="112" t="s">
        <v>1866</v>
      </c>
      <c r="C921" s="113" t="s">
        <v>1867</v>
      </c>
      <c r="D921" s="113" t="s">
        <v>457</v>
      </c>
      <c r="E921" s="113" t="s">
        <v>1868</v>
      </c>
      <c r="F921" s="114">
        <v>49277.688800000004</v>
      </c>
      <c r="G921" s="114">
        <v>49277.688800000004</v>
      </c>
      <c r="H921" s="114">
        <v>0</v>
      </c>
      <c r="I921" s="111">
        <v>0</v>
      </c>
      <c r="J921" s="113" t="s">
        <v>246</v>
      </c>
    </row>
    <row r="922" spans="1:10" x14ac:dyDescent="0.25">
      <c r="A922" s="111">
        <v>919</v>
      </c>
      <c r="B922" s="112" t="s">
        <v>1869</v>
      </c>
      <c r="C922" s="113" t="s">
        <v>1870</v>
      </c>
      <c r="D922" s="113" t="s">
        <v>457</v>
      </c>
      <c r="E922" s="113" t="s">
        <v>1871</v>
      </c>
      <c r="F922" s="114">
        <v>230803</v>
      </c>
      <c r="G922" s="114">
        <v>230803</v>
      </c>
      <c r="H922" s="114">
        <v>0</v>
      </c>
      <c r="I922" s="111">
        <v>0</v>
      </c>
      <c r="J922" s="113" t="s">
        <v>246</v>
      </c>
    </row>
    <row r="923" spans="1:10" x14ac:dyDescent="0.25">
      <c r="A923" s="111">
        <v>920</v>
      </c>
      <c r="B923" s="112" t="s">
        <v>1872</v>
      </c>
      <c r="C923" s="113" t="s">
        <v>1873</v>
      </c>
      <c r="D923" s="113" t="s">
        <v>769</v>
      </c>
      <c r="E923" s="113" t="s">
        <v>776</v>
      </c>
      <c r="F923" s="114">
        <v>22541.05085</v>
      </c>
      <c r="G923" s="114">
        <v>22541.05085</v>
      </c>
      <c r="H923" s="114">
        <v>0</v>
      </c>
      <c r="I923" s="111">
        <v>0</v>
      </c>
      <c r="J923" s="113" t="s">
        <v>246</v>
      </c>
    </row>
    <row r="924" spans="1:10" x14ac:dyDescent="0.25">
      <c r="A924" s="111">
        <v>921</v>
      </c>
      <c r="B924" s="112" t="s">
        <v>1909</v>
      </c>
      <c r="C924" s="113" t="s">
        <v>1910</v>
      </c>
      <c r="D924" s="113" t="s">
        <v>467</v>
      </c>
      <c r="E924" s="113" t="s">
        <v>1876</v>
      </c>
      <c r="F924" s="114">
        <v>95.34375</v>
      </c>
      <c r="G924" s="114">
        <v>96.906750000000002</v>
      </c>
      <c r="H924" s="114">
        <v>4.2300000000000004</v>
      </c>
      <c r="I924" s="111">
        <v>2759</v>
      </c>
      <c r="J924" s="113" t="s">
        <v>277</v>
      </c>
    </row>
    <row r="925" spans="1:10" x14ac:dyDescent="0.25">
      <c r="A925" s="111">
        <v>922</v>
      </c>
      <c r="B925" s="112" t="s">
        <v>1911</v>
      </c>
      <c r="C925" s="113" t="s">
        <v>1912</v>
      </c>
      <c r="D925" s="113" t="s">
        <v>467</v>
      </c>
      <c r="E925" s="113" t="s">
        <v>1876</v>
      </c>
      <c r="F925" s="114">
        <v>97.328125</v>
      </c>
      <c r="G925" s="114">
        <v>99.058625000000006</v>
      </c>
      <c r="H925" s="114">
        <v>4.2699999999999996</v>
      </c>
      <c r="I925" s="111">
        <v>2940</v>
      </c>
      <c r="J925" s="113" t="s">
        <v>277</v>
      </c>
    </row>
    <row r="926" spans="1:10" x14ac:dyDescent="0.25">
      <c r="A926" s="111">
        <v>923</v>
      </c>
      <c r="B926" s="112" t="s">
        <v>1913</v>
      </c>
      <c r="C926" s="113" t="s">
        <v>1914</v>
      </c>
      <c r="D926" s="113" t="s">
        <v>467</v>
      </c>
      <c r="E926" s="113" t="s">
        <v>1876</v>
      </c>
      <c r="F926" s="114">
        <v>106.8125</v>
      </c>
      <c r="G926" s="114">
        <v>109.2128</v>
      </c>
      <c r="H926" s="114">
        <v>3.99</v>
      </c>
      <c r="I926" s="111">
        <v>2028</v>
      </c>
      <c r="J926" s="113" t="s">
        <v>277</v>
      </c>
    </row>
    <row r="927" spans="1:10" x14ac:dyDescent="0.25">
      <c r="A927" s="111">
        <v>924</v>
      </c>
      <c r="B927" s="112" t="s">
        <v>1915</v>
      </c>
      <c r="C927" s="113" t="s">
        <v>1916</v>
      </c>
      <c r="D927" s="113" t="s">
        <v>467</v>
      </c>
      <c r="E927" s="113" t="s">
        <v>1876</v>
      </c>
      <c r="F927" s="114">
        <v>96.91796875</v>
      </c>
      <c r="G927" s="114">
        <v>97.052168750000007</v>
      </c>
      <c r="H927" s="114">
        <v>3.99</v>
      </c>
      <c r="I927" s="111">
        <v>521</v>
      </c>
      <c r="J927" s="113" t="s">
        <v>277</v>
      </c>
    </row>
    <row r="928" spans="1:10" x14ac:dyDescent="0.25">
      <c r="A928" s="111">
        <v>925</v>
      </c>
      <c r="B928" s="112" t="s">
        <v>1917</v>
      </c>
      <c r="C928" s="113" t="s">
        <v>1918</v>
      </c>
      <c r="D928" s="113" t="s">
        <v>467</v>
      </c>
      <c r="E928" s="113" t="s">
        <v>1876</v>
      </c>
      <c r="F928" s="114">
        <v>92.0390625</v>
      </c>
      <c r="G928" s="114">
        <v>92.144562500000006</v>
      </c>
      <c r="H928" s="114">
        <v>3.88</v>
      </c>
      <c r="I928" s="111">
        <v>1252</v>
      </c>
      <c r="J928" s="113" t="s">
        <v>277</v>
      </c>
    </row>
    <row r="929" spans="1:10" x14ac:dyDescent="0.25">
      <c r="A929" s="111">
        <v>926</v>
      </c>
      <c r="B929" s="112" t="s">
        <v>1919</v>
      </c>
      <c r="C929" s="113" t="s">
        <v>1920</v>
      </c>
      <c r="D929" s="113" t="s">
        <v>467</v>
      </c>
      <c r="E929" s="113" t="s">
        <v>1876</v>
      </c>
      <c r="F929" s="114">
        <v>85.85530869953152</v>
      </c>
      <c r="G929" s="114">
        <v>86.357708699531514</v>
      </c>
      <c r="H929" s="114">
        <v>3.99</v>
      </c>
      <c r="I929" s="111">
        <v>2028</v>
      </c>
      <c r="J929" s="113" t="s">
        <v>277</v>
      </c>
    </row>
    <row r="930" spans="1:10" x14ac:dyDescent="0.25">
      <c r="A930" s="111">
        <v>927</v>
      </c>
      <c r="B930" s="112" t="s">
        <v>1921</v>
      </c>
      <c r="C930" s="113" t="s">
        <v>1922</v>
      </c>
      <c r="D930" s="113" t="s">
        <v>467</v>
      </c>
      <c r="E930" s="113" t="s">
        <v>1876</v>
      </c>
      <c r="F930" s="114">
        <v>98.765625</v>
      </c>
      <c r="G930" s="114">
        <v>98.779025000000004</v>
      </c>
      <c r="H930" s="114">
        <v>1.23</v>
      </c>
      <c r="I930" s="111">
        <v>536</v>
      </c>
      <c r="J930" s="113" t="s">
        <v>277</v>
      </c>
    </row>
    <row r="931" spans="1:10" x14ac:dyDescent="0.25">
      <c r="A931" s="111">
        <v>928</v>
      </c>
      <c r="B931" s="112" t="s">
        <v>1923</v>
      </c>
      <c r="C931" s="113" t="s">
        <v>1924</v>
      </c>
      <c r="D931" s="113" t="s">
        <v>467</v>
      </c>
      <c r="E931" s="113" t="s">
        <v>1876</v>
      </c>
      <c r="F931" s="114">
        <v>100.05246879133071</v>
      </c>
      <c r="G931" s="114">
        <v>102.10726879133071</v>
      </c>
      <c r="H931" s="114">
        <v>4.38</v>
      </c>
      <c r="I931" s="111">
        <v>34</v>
      </c>
      <c r="J931" s="113" t="s">
        <v>277</v>
      </c>
    </row>
    <row r="932" spans="1:10" x14ac:dyDescent="0.25">
      <c r="A932" s="111">
        <v>929</v>
      </c>
      <c r="B932" s="112" t="s">
        <v>1925</v>
      </c>
      <c r="C932" s="113" t="s">
        <v>1926</v>
      </c>
      <c r="D932" s="113" t="s">
        <v>467</v>
      </c>
      <c r="E932" s="113" t="s">
        <v>1876</v>
      </c>
      <c r="F932" s="114">
        <v>100.10505739531695</v>
      </c>
      <c r="G932" s="114">
        <v>101.73515739531695</v>
      </c>
      <c r="H932" s="114">
        <v>4.3600000000000003</v>
      </c>
      <c r="I932" s="111">
        <v>64</v>
      </c>
      <c r="J932" s="113" t="s">
        <v>277</v>
      </c>
    </row>
    <row r="933" spans="1:10" x14ac:dyDescent="0.25">
      <c r="A933" s="111">
        <v>930</v>
      </c>
      <c r="B933" s="112" t="s">
        <v>1927</v>
      </c>
      <c r="C933" s="113" t="s">
        <v>1928</v>
      </c>
      <c r="D933" s="113" t="s">
        <v>467</v>
      </c>
      <c r="E933" s="113" t="s">
        <v>1876</v>
      </c>
      <c r="F933" s="114">
        <v>100.19326674704612</v>
      </c>
      <c r="G933" s="114">
        <v>100.96796674704612</v>
      </c>
      <c r="H933" s="114">
        <v>4.28</v>
      </c>
      <c r="I933" s="111">
        <v>125</v>
      </c>
      <c r="J933" s="113" t="s">
        <v>277</v>
      </c>
    </row>
    <row r="934" spans="1:10" x14ac:dyDescent="0.25">
      <c r="A934" s="111">
        <v>931</v>
      </c>
      <c r="B934" s="112" t="s">
        <v>2022</v>
      </c>
      <c r="C934" s="113" t="s">
        <v>2023</v>
      </c>
      <c r="D934" s="113" t="s">
        <v>467</v>
      </c>
      <c r="E934" s="113" t="s">
        <v>1876</v>
      </c>
      <c r="F934" s="114">
        <v>100.734375</v>
      </c>
      <c r="G934" s="114">
        <v>101.67207500000001</v>
      </c>
      <c r="H934" s="114">
        <v>4.04</v>
      </c>
      <c r="I934" s="111">
        <v>475</v>
      </c>
      <c r="J934" s="113" t="s">
        <v>277</v>
      </c>
    </row>
    <row r="935" spans="1:10" x14ac:dyDescent="0.25">
      <c r="A935" s="111">
        <v>932</v>
      </c>
      <c r="B935" s="112" t="s">
        <v>1929</v>
      </c>
      <c r="C935" s="113" t="s">
        <v>1930</v>
      </c>
      <c r="D935" s="113" t="s">
        <v>467</v>
      </c>
      <c r="E935" s="113" t="s">
        <v>1876</v>
      </c>
      <c r="F935" s="114">
        <v>102.875</v>
      </c>
      <c r="G935" s="114">
        <v>103.6099</v>
      </c>
      <c r="H935" s="114">
        <v>4.07</v>
      </c>
      <c r="I935" s="111">
        <v>2133</v>
      </c>
      <c r="J935" s="113" t="s">
        <v>277</v>
      </c>
    </row>
    <row r="936" spans="1:10" x14ac:dyDescent="0.25">
      <c r="A936" s="111">
        <v>933</v>
      </c>
      <c r="B936" s="112" t="s">
        <v>1931</v>
      </c>
      <c r="C936" s="113" t="s">
        <v>1932</v>
      </c>
      <c r="D936" s="113" t="s">
        <v>467</v>
      </c>
      <c r="E936" s="113" t="s">
        <v>1876</v>
      </c>
      <c r="F936" s="114">
        <v>100.296875</v>
      </c>
      <c r="G936" s="114">
        <v>101.183875</v>
      </c>
      <c r="H936" s="114">
        <v>4.33</v>
      </c>
      <c r="I936" s="111">
        <v>3213</v>
      </c>
      <c r="J936" s="113" t="s">
        <v>277</v>
      </c>
    </row>
    <row r="937" spans="1:10" x14ac:dyDescent="0.25">
      <c r="A937" s="111">
        <v>934</v>
      </c>
      <c r="B937" s="112" t="s">
        <v>2054</v>
      </c>
      <c r="C937" s="113" t="s">
        <v>2055</v>
      </c>
      <c r="D937" s="113" t="s">
        <v>467</v>
      </c>
      <c r="E937" s="113" t="s">
        <v>1876</v>
      </c>
      <c r="F937" s="114">
        <v>99.84739296723501</v>
      </c>
      <c r="G937" s="114">
        <v>99.84739296723501</v>
      </c>
      <c r="H937" s="114">
        <v>5.5</v>
      </c>
      <c r="I937" s="111">
        <v>9</v>
      </c>
      <c r="J937" s="113" t="s">
        <v>277</v>
      </c>
    </row>
    <row r="938" spans="1:10" x14ac:dyDescent="0.25">
      <c r="A938" s="111">
        <v>935</v>
      </c>
      <c r="B938" s="112" t="s">
        <v>2056</v>
      </c>
      <c r="C938" s="113" t="s">
        <v>2057</v>
      </c>
      <c r="D938" s="113" t="s">
        <v>467</v>
      </c>
      <c r="E938" s="113" t="s">
        <v>1876</v>
      </c>
      <c r="F938" s="114">
        <v>99.517175835239357</v>
      </c>
      <c r="G938" s="114">
        <v>99.517175835239357</v>
      </c>
      <c r="H938" s="114">
        <v>4.5999999999999996</v>
      </c>
      <c r="I938" s="111">
        <v>36</v>
      </c>
      <c r="J938" s="113" t="s">
        <v>277</v>
      </c>
    </row>
    <row r="939" spans="1:10" x14ac:dyDescent="0.25">
      <c r="A939" s="111">
        <v>936</v>
      </c>
      <c r="B939" s="112" t="s">
        <v>2050</v>
      </c>
      <c r="C939" s="113" t="s">
        <v>2051</v>
      </c>
      <c r="D939" s="113" t="s">
        <v>467</v>
      </c>
      <c r="E939" s="113" t="s">
        <v>1876</v>
      </c>
      <c r="F939" s="114">
        <v>99.193884366382534</v>
      </c>
      <c r="G939" s="114">
        <v>99.193884366382534</v>
      </c>
      <c r="H939" s="114">
        <v>4.43</v>
      </c>
      <c r="I939" s="111">
        <v>64</v>
      </c>
      <c r="J939" s="113" t="s">
        <v>277</v>
      </c>
    </row>
    <row r="940" spans="1:10" x14ac:dyDescent="0.25">
      <c r="A940" s="111">
        <v>937</v>
      </c>
      <c r="B940" s="112" t="s">
        <v>2024</v>
      </c>
      <c r="C940" s="113" t="s">
        <v>2025</v>
      </c>
      <c r="D940" s="113" t="s">
        <v>467</v>
      </c>
      <c r="E940" s="113" t="s">
        <v>1876</v>
      </c>
      <c r="F940" s="114">
        <v>100.2421875</v>
      </c>
      <c r="G940" s="114">
        <v>102.1428875</v>
      </c>
      <c r="H940" s="114">
        <v>4.2</v>
      </c>
      <c r="I940" s="111">
        <v>215</v>
      </c>
      <c r="J940" s="113" t="s">
        <v>277</v>
      </c>
    </row>
    <row r="941" spans="1:10" x14ac:dyDescent="0.25">
      <c r="A941" s="111">
        <v>938</v>
      </c>
      <c r="B941" s="112" t="s">
        <v>2026</v>
      </c>
      <c r="C941" s="113" t="s">
        <v>2027</v>
      </c>
      <c r="D941" s="113" t="s">
        <v>467</v>
      </c>
      <c r="E941" s="113" t="s">
        <v>1876</v>
      </c>
      <c r="F941" s="114">
        <v>99.98828125</v>
      </c>
      <c r="G941" s="114">
        <v>102.06088124999999</v>
      </c>
      <c r="H941" s="114">
        <v>4.2699999999999996</v>
      </c>
      <c r="I941" s="111">
        <v>187</v>
      </c>
      <c r="J941" s="113" t="s">
        <v>277</v>
      </c>
    </row>
    <row r="942" spans="1:10" x14ac:dyDescent="0.25">
      <c r="A942" s="111">
        <v>939</v>
      </c>
      <c r="B942" s="112" t="s">
        <v>2044</v>
      </c>
      <c r="C942" s="113" t="s">
        <v>2045</v>
      </c>
      <c r="D942" s="113" t="s">
        <v>467</v>
      </c>
      <c r="E942" s="113" t="s">
        <v>1876</v>
      </c>
      <c r="F942" s="114">
        <v>97.05859375</v>
      </c>
      <c r="G942" s="114">
        <v>97.454793749999993</v>
      </c>
      <c r="H942" s="114">
        <v>4.04</v>
      </c>
      <c r="I942" s="111">
        <v>460</v>
      </c>
      <c r="J942" s="113" t="s">
        <v>277</v>
      </c>
    </row>
    <row r="943" spans="1:10" x14ac:dyDescent="0.25">
      <c r="A943" s="111">
        <v>940</v>
      </c>
      <c r="B943" s="112" t="s">
        <v>2046</v>
      </c>
      <c r="C943" s="113" t="s">
        <v>2047</v>
      </c>
      <c r="D943" s="113" t="s">
        <v>467</v>
      </c>
      <c r="E943" s="113" t="s">
        <v>1876</v>
      </c>
      <c r="F943" s="114">
        <v>98.015625</v>
      </c>
      <c r="G943" s="114">
        <v>98.978624999999994</v>
      </c>
      <c r="H943" s="114">
        <v>4.92</v>
      </c>
      <c r="I943" s="111">
        <v>6684</v>
      </c>
      <c r="J943" s="113" t="s">
        <v>277</v>
      </c>
    </row>
    <row r="944" spans="1:10" x14ac:dyDescent="0.25">
      <c r="A944" s="111">
        <v>941</v>
      </c>
      <c r="B944" s="112" t="s">
        <v>2225</v>
      </c>
      <c r="C944" s="113" t="s">
        <v>2226</v>
      </c>
      <c r="D944" s="113" t="s">
        <v>467</v>
      </c>
      <c r="E944" s="113" t="s">
        <v>1876</v>
      </c>
      <c r="F944" s="114">
        <v>98.867167634843995</v>
      </c>
      <c r="G944" s="114">
        <v>98.867167634843995</v>
      </c>
      <c r="H944" s="114">
        <v>4.3899999999999997</v>
      </c>
      <c r="I944" s="111">
        <v>92</v>
      </c>
      <c r="J944" s="113" t="s">
        <v>277</v>
      </c>
    </row>
    <row r="945" spans="1:10" x14ac:dyDescent="0.25">
      <c r="A945" s="111">
        <v>942</v>
      </c>
      <c r="B945" s="112" t="s">
        <v>2227</v>
      </c>
      <c r="C945" s="113" t="s">
        <v>2228</v>
      </c>
      <c r="D945" s="113" t="s">
        <v>467</v>
      </c>
      <c r="E945" s="113" t="s">
        <v>1876</v>
      </c>
      <c r="F945" s="114">
        <v>98.548746521537211</v>
      </c>
      <c r="G945" s="114">
        <v>98.548746521537211</v>
      </c>
      <c r="H945" s="114">
        <v>4.3099999999999996</v>
      </c>
      <c r="I945" s="111">
        <v>120</v>
      </c>
      <c r="J945" s="113" t="s">
        <v>277</v>
      </c>
    </row>
    <row r="946" spans="1:10" x14ac:dyDescent="0.25">
      <c r="A946" s="111">
        <v>943</v>
      </c>
      <c r="B946" s="112" t="s">
        <v>2229</v>
      </c>
      <c r="C946" s="113" t="s">
        <v>2230</v>
      </c>
      <c r="D946" s="113" t="s">
        <v>467</v>
      </c>
      <c r="E946" s="113" t="s">
        <v>1876</v>
      </c>
      <c r="F946" s="114">
        <v>98.251558924734937</v>
      </c>
      <c r="G946" s="114">
        <v>98.251558924734937</v>
      </c>
      <c r="H946" s="114">
        <v>4.24</v>
      </c>
      <c r="I946" s="111">
        <v>148</v>
      </c>
      <c r="J946" s="113" t="s">
        <v>277</v>
      </c>
    </row>
    <row r="947" spans="1:10" x14ac:dyDescent="0.25">
      <c r="A947" s="111">
        <v>944</v>
      </c>
      <c r="B947" s="112" t="s">
        <v>2231</v>
      </c>
      <c r="C947" s="113" t="s">
        <v>2232</v>
      </c>
      <c r="D947" s="113" t="s">
        <v>467</v>
      </c>
      <c r="E947" s="113" t="s">
        <v>1876</v>
      </c>
      <c r="F947" s="114">
        <v>97.96456172798058</v>
      </c>
      <c r="G947" s="114">
        <v>97.96456172798058</v>
      </c>
      <c r="H947" s="114">
        <v>4.2</v>
      </c>
      <c r="I947" s="111">
        <v>174</v>
      </c>
      <c r="J947" s="113" t="s">
        <v>277</v>
      </c>
    </row>
    <row r="948" spans="1:10" x14ac:dyDescent="0.25">
      <c r="A948" s="111">
        <v>945</v>
      </c>
      <c r="B948" s="112" t="s">
        <v>2236</v>
      </c>
      <c r="C948" s="113" t="s">
        <v>2237</v>
      </c>
      <c r="D948" s="113" t="s">
        <v>467</v>
      </c>
      <c r="E948" s="113" t="s">
        <v>1876</v>
      </c>
      <c r="F948" s="114">
        <v>97.704149257743623</v>
      </c>
      <c r="G948" s="114">
        <v>97.704149257743623</v>
      </c>
      <c r="H948" s="114">
        <v>4.1100000000000003</v>
      </c>
      <c r="I948" s="111">
        <v>201</v>
      </c>
      <c r="J948" s="113" t="s">
        <v>277</v>
      </c>
    </row>
    <row r="949" spans="1:10" x14ac:dyDescent="0.25">
      <c r="A949" s="111">
        <v>946</v>
      </c>
      <c r="B949" s="112" t="s">
        <v>2238</v>
      </c>
      <c r="C949" s="113" t="s">
        <v>2239</v>
      </c>
      <c r="D949" s="113" t="s">
        <v>467</v>
      </c>
      <c r="E949" s="113" t="s">
        <v>1876</v>
      </c>
      <c r="F949" s="114">
        <v>97.417047861604473</v>
      </c>
      <c r="G949" s="114">
        <v>97.417047861604473</v>
      </c>
      <c r="H949" s="114">
        <v>4.08</v>
      </c>
      <c r="I949" s="111">
        <v>231</v>
      </c>
      <c r="J949" s="113" t="s">
        <v>277</v>
      </c>
    </row>
    <row r="950" spans="1:10" x14ac:dyDescent="0.25">
      <c r="A950" s="111">
        <v>947</v>
      </c>
      <c r="B950" s="112" t="s">
        <v>2240</v>
      </c>
      <c r="C950" s="113" t="s">
        <v>2241</v>
      </c>
      <c r="D950" s="113" t="s">
        <v>467</v>
      </c>
      <c r="E950" s="113" t="s">
        <v>1876</v>
      </c>
      <c r="F950" s="114">
        <v>99.930007357346796</v>
      </c>
      <c r="G950" s="114">
        <v>99.930007357346796</v>
      </c>
      <c r="H950" s="114">
        <v>8.4</v>
      </c>
      <c r="I950" s="111">
        <v>2</v>
      </c>
      <c r="J950" s="113" t="s">
        <v>277</v>
      </c>
    </row>
    <row r="951" spans="1:10" x14ac:dyDescent="0.25">
      <c r="A951" s="111">
        <v>948</v>
      </c>
      <c r="B951" s="112" t="s">
        <v>2299</v>
      </c>
      <c r="C951" s="113" t="s">
        <v>2300</v>
      </c>
      <c r="D951" s="113" t="s">
        <v>467</v>
      </c>
      <c r="E951" s="113" t="s">
        <v>1876</v>
      </c>
      <c r="F951" s="114">
        <v>99.70693776798403</v>
      </c>
      <c r="G951" s="114">
        <v>99.70693776798403</v>
      </c>
      <c r="H951" s="114">
        <v>4.8099999999999996</v>
      </c>
      <c r="I951" s="111">
        <v>21</v>
      </c>
      <c r="J951" s="113" t="s">
        <v>277</v>
      </c>
    </row>
    <row r="952" spans="1:10" x14ac:dyDescent="0.25">
      <c r="A952" s="111">
        <v>949</v>
      </c>
      <c r="B952" s="112" t="s">
        <v>2336</v>
      </c>
      <c r="C952" s="113" t="s">
        <v>2337</v>
      </c>
      <c r="D952" s="113" t="s">
        <v>467</v>
      </c>
      <c r="E952" s="113" t="s">
        <v>1876</v>
      </c>
      <c r="F952" s="114">
        <v>100.1875</v>
      </c>
      <c r="G952" s="114">
        <v>102.1991</v>
      </c>
      <c r="H952" s="114">
        <v>4</v>
      </c>
      <c r="I952" s="111">
        <v>552</v>
      </c>
      <c r="J952" s="113" t="s">
        <v>277</v>
      </c>
    </row>
    <row r="953" spans="1:10" x14ac:dyDescent="0.25">
      <c r="A953" s="111">
        <v>950</v>
      </c>
      <c r="B953" s="112" t="s">
        <v>2338</v>
      </c>
      <c r="C953" s="113" t="s">
        <v>2339</v>
      </c>
      <c r="D953" s="113" t="s">
        <v>467</v>
      </c>
      <c r="E953" s="113" t="s">
        <v>1876</v>
      </c>
      <c r="F953" s="114">
        <v>97.14671988148099</v>
      </c>
      <c r="G953" s="114">
        <v>97.14671988148099</v>
      </c>
      <c r="H953" s="114">
        <v>4.04</v>
      </c>
      <c r="I953" s="111">
        <v>258</v>
      </c>
      <c r="J953" s="113" t="s">
        <v>277</v>
      </c>
    </row>
    <row r="954" spans="1:10" x14ac:dyDescent="0.25">
      <c r="A954" s="111">
        <v>951</v>
      </c>
      <c r="B954" s="112" t="s">
        <v>2340</v>
      </c>
      <c r="C954" s="113" t="s">
        <v>2341</v>
      </c>
      <c r="D954" s="113" t="s">
        <v>467</v>
      </c>
      <c r="E954" s="113" t="s">
        <v>1876</v>
      </c>
      <c r="F954" s="114">
        <v>96.852814862279658</v>
      </c>
      <c r="G954" s="114">
        <v>96.852814862279658</v>
      </c>
      <c r="H954" s="114">
        <v>4.03</v>
      </c>
      <c r="I954" s="111">
        <v>286</v>
      </c>
      <c r="J954" s="113" t="s">
        <v>277</v>
      </c>
    </row>
    <row r="955" spans="1:10" x14ac:dyDescent="0.25">
      <c r="A955" s="111">
        <v>952</v>
      </c>
      <c r="B955" s="112" t="s">
        <v>2342</v>
      </c>
      <c r="C955" s="113" t="s">
        <v>2343</v>
      </c>
      <c r="D955" s="113" t="s">
        <v>467</v>
      </c>
      <c r="E955" s="113" t="s">
        <v>1876</v>
      </c>
      <c r="F955" s="114">
        <v>99.295005461225301</v>
      </c>
      <c r="G955" s="114">
        <v>99.295005461225301</v>
      </c>
      <c r="H955" s="114">
        <v>4.4800000000000004</v>
      </c>
      <c r="I955" s="111">
        <v>55</v>
      </c>
      <c r="J955" s="113" t="s">
        <v>277</v>
      </c>
    </row>
    <row r="956" spans="1:10" x14ac:dyDescent="0.25">
      <c r="A956" s="111">
        <v>953</v>
      </c>
      <c r="B956" s="112" t="s">
        <v>1874</v>
      </c>
      <c r="C956" s="113" t="s">
        <v>1875</v>
      </c>
      <c r="D956" s="113" t="s">
        <v>467</v>
      </c>
      <c r="E956" s="113" t="s">
        <v>1876</v>
      </c>
      <c r="F956" s="114">
        <v>108.3515625</v>
      </c>
      <c r="G956" s="114">
        <v>111.0868625</v>
      </c>
      <c r="H956" s="114">
        <v>3.88</v>
      </c>
      <c r="I956" s="111">
        <v>1479</v>
      </c>
      <c r="J956" s="113" t="s">
        <v>277</v>
      </c>
    </row>
    <row r="957" spans="1:10" x14ac:dyDescent="0.25">
      <c r="A957" s="111">
        <v>954</v>
      </c>
      <c r="B957" s="112" t="s">
        <v>1877</v>
      </c>
      <c r="C957" s="113" t="s">
        <v>1878</v>
      </c>
      <c r="D957" s="113" t="s">
        <v>467</v>
      </c>
      <c r="E957" s="113" t="s">
        <v>1876</v>
      </c>
      <c r="F957" s="114">
        <v>85.2109375</v>
      </c>
      <c r="G957" s="114">
        <v>85.388337500000006</v>
      </c>
      <c r="H957" s="114">
        <v>4</v>
      </c>
      <c r="I957" s="111">
        <v>1936</v>
      </c>
      <c r="J957" s="113" t="s">
        <v>277</v>
      </c>
    </row>
    <row r="958" spans="1:10" x14ac:dyDescent="0.25">
      <c r="A958" s="111">
        <v>955</v>
      </c>
      <c r="B958" s="112" t="s">
        <v>1879</v>
      </c>
      <c r="C958" s="113" t="s">
        <v>1880</v>
      </c>
      <c r="D958" s="113" t="s">
        <v>467</v>
      </c>
      <c r="E958" s="113" t="s">
        <v>1876</v>
      </c>
      <c r="F958" s="114">
        <v>75.515625</v>
      </c>
      <c r="G958" s="114">
        <v>76.123824999999997</v>
      </c>
      <c r="H958" s="114">
        <v>4.99</v>
      </c>
      <c r="I958" s="111">
        <v>7050</v>
      </c>
      <c r="J958" s="113" t="s">
        <v>277</v>
      </c>
    </row>
    <row r="959" spans="1:10" x14ac:dyDescent="0.25">
      <c r="A959" s="111">
        <v>956</v>
      </c>
      <c r="B959" s="112" t="s">
        <v>1881</v>
      </c>
      <c r="C959" s="113" t="s">
        <v>1882</v>
      </c>
      <c r="D959" s="113" t="s">
        <v>467</v>
      </c>
      <c r="E959" s="113" t="s">
        <v>1876</v>
      </c>
      <c r="F959" s="114">
        <v>71.4375</v>
      </c>
      <c r="G959" s="114">
        <v>71.893699999999995</v>
      </c>
      <c r="H959" s="114">
        <v>4.8600000000000003</v>
      </c>
      <c r="I959" s="111">
        <v>5770</v>
      </c>
      <c r="J959" s="113" t="s">
        <v>277</v>
      </c>
    </row>
    <row r="960" spans="1:10" x14ac:dyDescent="0.25">
      <c r="A960" s="111">
        <v>957</v>
      </c>
      <c r="B960" s="112" t="s">
        <v>1883</v>
      </c>
      <c r="C960" s="113" t="s">
        <v>1884</v>
      </c>
      <c r="D960" s="113" t="s">
        <v>467</v>
      </c>
      <c r="E960" s="113" t="s">
        <v>1876</v>
      </c>
      <c r="F960" s="114">
        <v>98.040237169800392</v>
      </c>
      <c r="G960" s="114">
        <v>98.223137169800395</v>
      </c>
      <c r="H960" s="114">
        <v>4.28</v>
      </c>
      <c r="I960" s="111">
        <v>187</v>
      </c>
      <c r="J960" s="113" t="s">
        <v>277</v>
      </c>
    </row>
    <row r="961" spans="1:10" x14ac:dyDescent="0.25">
      <c r="A961" s="111">
        <v>958</v>
      </c>
      <c r="B961" s="112" t="s">
        <v>1885</v>
      </c>
      <c r="C961" s="113" t="s">
        <v>1886</v>
      </c>
      <c r="D961" s="113" t="s">
        <v>467</v>
      </c>
      <c r="E961" s="113" t="s">
        <v>1876</v>
      </c>
      <c r="F961" s="114">
        <v>99.642260822614986</v>
      </c>
      <c r="G961" s="114">
        <v>100.37376082261498</v>
      </c>
      <c r="H961" s="114">
        <v>4.38</v>
      </c>
      <c r="I961" s="111">
        <v>95</v>
      </c>
      <c r="J961" s="113" t="s">
        <v>277</v>
      </c>
    </row>
    <row r="962" spans="1:10" x14ac:dyDescent="0.25">
      <c r="A962" s="111">
        <v>959</v>
      </c>
      <c r="B962" s="112" t="s">
        <v>1887</v>
      </c>
      <c r="C962" s="113" t="s">
        <v>1888</v>
      </c>
      <c r="D962" s="113" t="s">
        <v>467</v>
      </c>
      <c r="E962" s="113" t="s">
        <v>1876</v>
      </c>
      <c r="F962" s="114">
        <v>85.265625</v>
      </c>
      <c r="G962" s="114">
        <v>86.076625000000007</v>
      </c>
      <c r="H962" s="114">
        <v>4.99</v>
      </c>
      <c r="I962" s="111">
        <v>9972</v>
      </c>
      <c r="J962" s="113" t="s">
        <v>277</v>
      </c>
    </row>
    <row r="963" spans="1:10" x14ac:dyDescent="0.25">
      <c r="A963" s="111">
        <v>960</v>
      </c>
      <c r="B963" s="112" t="s">
        <v>1889</v>
      </c>
      <c r="C963" s="113" t="s">
        <v>1890</v>
      </c>
      <c r="D963" s="113" t="s">
        <v>467</v>
      </c>
      <c r="E963" s="113" t="s">
        <v>1876</v>
      </c>
      <c r="F963" s="114">
        <v>97.731188138387964</v>
      </c>
      <c r="G963" s="114">
        <v>97.975688138387966</v>
      </c>
      <c r="H963" s="114">
        <v>4.2</v>
      </c>
      <c r="I963" s="111">
        <v>246</v>
      </c>
      <c r="J963" s="113" t="s">
        <v>277</v>
      </c>
    </row>
    <row r="964" spans="1:10" x14ac:dyDescent="0.25">
      <c r="A964" s="111">
        <v>961</v>
      </c>
      <c r="B964" s="112" t="s">
        <v>1891</v>
      </c>
      <c r="C964" s="113" t="s">
        <v>1892</v>
      </c>
      <c r="D964" s="113" t="s">
        <v>467</v>
      </c>
      <c r="E964" s="113" t="s">
        <v>1876</v>
      </c>
      <c r="F964" s="114">
        <v>97.0546875</v>
      </c>
      <c r="G964" s="114">
        <v>97.121787499999996</v>
      </c>
      <c r="H964" s="114">
        <v>4.16</v>
      </c>
      <c r="I964" s="111">
        <v>337</v>
      </c>
      <c r="J964" s="113" t="s">
        <v>277</v>
      </c>
    </row>
    <row r="965" spans="1:10" x14ac:dyDescent="0.25">
      <c r="A965" s="111">
        <v>962</v>
      </c>
      <c r="B965" s="112" t="s">
        <v>1893</v>
      </c>
      <c r="C965" s="113" t="s">
        <v>1894</v>
      </c>
      <c r="D965" s="113" t="s">
        <v>467</v>
      </c>
      <c r="E965" s="113" t="s">
        <v>1876</v>
      </c>
      <c r="F965" s="114">
        <v>99.9296875</v>
      </c>
      <c r="G965" s="114">
        <v>100.4008875</v>
      </c>
      <c r="H965" s="114">
        <v>4.18</v>
      </c>
      <c r="I965" s="111">
        <v>140</v>
      </c>
      <c r="J965" s="113" t="s">
        <v>277</v>
      </c>
    </row>
    <row r="966" spans="1:10" x14ac:dyDescent="0.25">
      <c r="A966" s="111">
        <v>963</v>
      </c>
      <c r="B966" s="112" t="s">
        <v>1895</v>
      </c>
      <c r="C966" s="113" t="s">
        <v>1896</v>
      </c>
      <c r="D966" s="113" t="s">
        <v>467</v>
      </c>
      <c r="E966" s="113" t="s">
        <v>1876</v>
      </c>
      <c r="F966" s="114">
        <v>99.7578125</v>
      </c>
      <c r="G966" s="114">
        <v>100.7359125</v>
      </c>
      <c r="H966" s="114">
        <v>4.38</v>
      </c>
      <c r="I966" s="111">
        <v>64</v>
      </c>
      <c r="J966" s="113" t="s">
        <v>277</v>
      </c>
    </row>
    <row r="967" spans="1:10" x14ac:dyDescent="0.25">
      <c r="A967" s="111">
        <v>964</v>
      </c>
      <c r="B967" s="112" t="s">
        <v>1897</v>
      </c>
      <c r="C967" s="113" t="s">
        <v>1898</v>
      </c>
      <c r="D967" s="113" t="s">
        <v>467</v>
      </c>
      <c r="E967" s="113" t="s">
        <v>1876</v>
      </c>
      <c r="F967" s="114">
        <v>99.82945952582287</v>
      </c>
      <c r="G967" s="114">
        <v>100.95955952582287</v>
      </c>
      <c r="H967" s="114">
        <v>4.58</v>
      </c>
      <c r="I967" s="111">
        <v>34</v>
      </c>
      <c r="J967" s="113" t="s">
        <v>277</v>
      </c>
    </row>
    <row r="968" spans="1:10" x14ac:dyDescent="0.25">
      <c r="A968" s="111">
        <v>965</v>
      </c>
      <c r="B968" s="112" t="s">
        <v>1899</v>
      </c>
      <c r="C968" s="113" t="s">
        <v>1900</v>
      </c>
      <c r="D968" s="113" t="s">
        <v>467</v>
      </c>
      <c r="E968" s="113" t="s">
        <v>1876</v>
      </c>
      <c r="F968" s="114">
        <v>92.390625</v>
      </c>
      <c r="G968" s="114">
        <v>92.973524999999995</v>
      </c>
      <c r="H968" s="114">
        <v>4.17</v>
      </c>
      <c r="I968" s="111">
        <v>2483</v>
      </c>
      <c r="J968" s="113" t="s">
        <v>277</v>
      </c>
    </row>
    <row r="969" spans="1:10" x14ac:dyDescent="0.25">
      <c r="A969" s="111">
        <v>966</v>
      </c>
      <c r="B969" s="112" t="s">
        <v>1933</v>
      </c>
      <c r="C969" s="113" t="s">
        <v>1934</v>
      </c>
      <c r="D969" s="113" t="s">
        <v>467</v>
      </c>
      <c r="E969" s="113" t="s">
        <v>2156</v>
      </c>
      <c r="F969" s="114">
        <v>100</v>
      </c>
      <c r="G969" s="114">
        <v>100.1264</v>
      </c>
      <c r="H969" s="114">
        <v>0.35</v>
      </c>
      <c r="I969" s="111">
        <v>350</v>
      </c>
      <c r="J969" s="113" t="s">
        <v>277</v>
      </c>
    </row>
    <row r="970" spans="1:10" x14ac:dyDescent="0.25">
      <c r="A970" s="111">
        <v>967</v>
      </c>
      <c r="B970" s="112" t="s">
        <v>1935</v>
      </c>
      <c r="C970" s="113" t="s">
        <v>1936</v>
      </c>
      <c r="D970" s="113" t="s">
        <v>467</v>
      </c>
      <c r="E970" s="113" t="s">
        <v>2156</v>
      </c>
      <c r="F970" s="114">
        <v>100</v>
      </c>
      <c r="G970" s="114">
        <v>100.0924</v>
      </c>
      <c r="H970" s="114">
        <v>0.35</v>
      </c>
      <c r="I970" s="111">
        <v>85</v>
      </c>
      <c r="J970" s="113" t="s">
        <v>277</v>
      </c>
    </row>
    <row r="971" spans="1:10" x14ac:dyDescent="0.25">
      <c r="A971" s="111">
        <v>968</v>
      </c>
      <c r="B971" s="112" t="s">
        <v>2361</v>
      </c>
      <c r="C971" s="113" t="s">
        <v>2362</v>
      </c>
      <c r="D971" s="113" t="s">
        <v>467</v>
      </c>
      <c r="E971" s="113" t="s">
        <v>2156</v>
      </c>
      <c r="F971" s="114">
        <v>100</v>
      </c>
      <c r="G971" s="114">
        <v>100.0117</v>
      </c>
      <c r="H971" s="114">
        <v>0.35</v>
      </c>
      <c r="I971" s="111">
        <v>708</v>
      </c>
      <c r="J971" s="113" t="s">
        <v>277</v>
      </c>
    </row>
    <row r="972" spans="1:10" x14ac:dyDescent="0.25">
      <c r="A972" s="111">
        <v>969</v>
      </c>
      <c r="B972" s="112" t="s">
        <v>1937</v>
      </c>
      <c r="C972" s="113" t="s">
        <v>1938</v>
      </c>
      <c r="D972" s="113" t="s">
        <v>467</v>
      </c>
      <c r="E972" s="113" t="s">
        <v>2156</v>
      </c>
      <c r="F972" s="114">
        <v>100</v>
      </c>
      <c r="G972" s="114">
        <v>100.00069999999999</v>
      </c>
      <c r="H972" s="114">
        <v>0.02</v>
      </c>
      <c r="I972" s="111">
        <v>3122</v>
      </c>
      <c r="J972" s="113" t="s">
        <v>277</v>
      </c>
    </row>
    <row r="973" spans="1:10" x14ac:dyDescent="0.25">
      <c r="A973" s="111">
        <v>970</v>
      </c>
      <c r="B973" s="112" t="s">
        <v>1939</v>
      </c>
      <c r="C973" s="113" t="s">
        <v>1940</v>
      </c>
      <c r="D973" s="113" t="s">
        <v>457</v>
      </c>
      <c r="E973" s="113" t="s">
        <v>1941</v>
      </c>
      <c r="F973" s="114">
        <v>0.01</v>
      </c>
      <c r="G973" s="114">
        <v>0.01</v>
      </c>
      <c r="H973" s="114">
        <v>0</v>
      </c>
      <c r="I973" s="111">
        <v>0</v>
      </c>
      <c r="J973" s="113" t="s">
        <v>246</v>
      </c>
    </row>
    <row r="974" spans="1:10" x14ac:dyDescent="0.25">
      <c r="A974" s="111">
        <v>971</v>
      </c>
      <c r="B974" s="112" t="s">
        <v>1942</v>
      </c>
      <c r="C974" s="113" t="s">
        <v>1943</v>
      </c>
      <c r="D974" s="113" t="s">
        <v>457</v>
      </c>
      <c r="E974" s="113" t="s">
        <v>1941</v>
      </c>
      <c r="F974" s="114">
        <v>28000</v>
      </c>
      <c r="G974" s="114">
        <v>28000</v>
      </c>
      <c r="H974" s="114">
        <v>0</v>
      </c>
      <c r="I974" s="111">
        <v>0</v>
      </c>
      <c r="J974" s="113" t="s">
        <v>246</v>
      </c>
    </row>
    <row r="975" spans="1:10" x14ac:dyDescent="0.25">
      <c r="A975" s="111">
        <v>972</v>
      </c>
      <c r="B975" s="112" t="s">
        <v>2268</v>
      </c>
      <c r="C975" s="113" t="s">
        <v>2269</v>
      </c>
      <c r="D975" s="113" t="s">
        <v>467</v>
      </c>
      <c r="E975" s="113" t="s">
        <v>2270</v>
      </c>
      <c r="F975" s="114">
        <v>99.752389624870602</v>
      </c>
      <c r="G975" s="114">
        <v>102.78988962487061</v>
      </c>
      <c r="H975" s="114">
        <v>20.350000000000001</v>
      </c>
      <c r="I975" s="111">
        <v>1026</v>
      </c>
      <c r="J975" s="113" t="s">
        <v>277</v>
      </c>
    </row>
    <row r="976" spans="1:10" x14ac:dyDescent="0.25">
      <c r="A976" s="111">
        <v>973</v>
      </c>
      <c r="B976" s="112" t="s">
        <v>2255</v>
      </c>
      <c r="C976" s="113" t="s">
        <v>2256</v>
      </c>
      <c r="D976" s="113" t="s">
        <v>467</v>
      </c>
      <c r="E976" s="113" t="s">
        <v>1944</v>
      </c>
      <c r="F976" s="114">
        <v>100</v>
      </c>
      <c r="G976" s="114">
        <v>100.05929999999999</v>
      </c>
      <c r="H976" s="114">
        <v>0.35</v>
      </c>
      <c r="I976" s="111">
        <v>659</v>
      </c>
      <c r="J976" s="113" t="s">
        <v>277</v>
      </c>
    </row>
    <row r="977" spans="1:10" x14ac:dyDescent="0.25">
      <c r="A977" s="111">
        <v>974</v>
      </c>
      <c r="B977" s="112" t="s">
        <v>1945</v>
      </c>
      <c r="C977" s="113" t="s">
        <v>1946</v>
      </c>
      <c r="D977" s="113" t="s">
        <v>467</v>
      </c>
      <c r="E977" s="113" t="s">
        <v>1944</v>
      </c>
      <c r="F977" s="114">
        <v>100</v>
      </c>
      <c r="G977" s="114">
        <v>100.0022</v>
      </c>
      <c r="H977" s="114">
        <v>0.02</v>
      </c>
      <c r="I977" s="111">
        <v>3122</v>
      </c>
      <c r="J977" s="113" t="s">
        <v>277</v>
      </c>
    </row>
    <row r="978" spans="1:10" x14ac:dyDescent="0.25">
      <c r="A978" s="111">
        <v>975</v>
      </c>
      <c r="B978" s="112" t="s">
        <v>1947</v>
      </c>
      <c r="C978" s="113" t="s">
        <v>1948</v>
      </c>
      <c r="D978" s="113" t="s">
        <v>467</v>
      </c>
      <c r="E978" s="113" t="s">
        <v>1944</v>
      </c>
      <c r="F978" s="114">
        <v>100</v>
      </c>
      <c r="G978" s="114">
        <v>100.0026</v>
      </c>
      <c r="H978" s="114">
        <v>0.02</v>
      </c>
      <c r="I978" s="111">
        <v>3122</v>
      </c>
      <c r="J978" s="113" t="s">
        <v>277</v>
      </c>
    </row>
    <row r="979" spans="1:10" x14ac:dyDescent="0.25">
      <c r="A979" s="111">
        <v>976</v>
      </c>
      <c r="B979" s="112" t="s">
        <v>1949</v>
      </c>
      <c r="C979" s="113" t="s">
        <v>1950</v>
      </c>
      <c r="D979" s="113" t="s">
        <v>467</v>
      </c>
      <c r="E979" s="113" t="s">
        <v>1944</v>
      </c>
      <c r="F979" s="114">
        <v>100</v>
      </c>
      <c r="G979" s="114">
        <v>100.5592</v>
      </c>
      <c r="H979" s="114">
        <v>6.09</v>
      </c>
      <c r="I979" s="111">
        <v>1737</v>
      </c>
      <c r="J979" s="113" t="s">
        <v>277</v>
      </c>
    </row>
    <row r="980" spans="1:10" x14ac:dyDescent="0.25">
      <c r="A980" s="111">
        <v>977</v>
      </c>
      <c r="B980" s="112" t="s">
        <v>1951</v>
      </c>
      <c r="C980" s="113" t="s">
        <v>1952</v>
      </c>
      <c r="D980" s="113" t="s">
        <v>467</v>
      </c>
      <c r="E980" s="113" t="s">
        <v>1944</v>
      </c>
      <c r="F980" s="114">
        <v>100</v>
      </c>
      <c r="G980" s="114">
        <v>105.3447</v>
      </c>
      <c r="H980" s="114">
        <v>7.08</v>
      </c>
      <c r="I980" s="111">
        <v>2219</v>
      </c>
      <c r="J980" s="113" t="s">
        <v>277</v>
      </c>
    </row>
    <row r="981" spans="1:10" x14ac:dyDescent="0.25">
      <c r="A981" s="111">
        <v>978</v>
      </c>
      <c r="B981" s="112" t="s">
        <v>2376</v>
      </c>
      <c r="C981" s="113" t="s">
        <v>2377</v>
      </c>
      <c r="D981" s="113" t="s">
        <v>467</v>
      </c>
      <c r="E981" s="113" t="s">
        <v>1944</v>
      </c>
      <c r="F981" s="114">
        <v>90.213418465044015</v>
      </c>
      <c r="G981" s="114">
        <v>90.719018465044016</v>
      </c>
      <c r="H981" s="114">
        <v>20.57</v>
      </c>
      <c r="I981" s="111">
        <v>3590</v>
      </c>
      <c r="J981" s="113" t="s">
        <v>277</v>
      </c>
    </row>
    <row r="982" spans="1:10" x14ac:dyDescent="0.25">
      <c r="A982" s="111">
        <v>979</v>
      </c>
      <c r="B982" s="112" t="s">
        <v>1953</v>
      </c>
      <c r="C982" s="113" t="s">
        <v>1954</v>
      </c>
      <c r="D982" s="113" t="s">
        <v>467</v>
      </c>
      <c r="E982" s="113" t="s">
        <v>1944</v>
      </c>
      <c r="F982" s="114">
        <v>100</v>
      </c>
      <c r="G982" s="114">
        <v>105.8289</v>
      </c>
      <c r="H982" s="114">
        <v>6.09</v>
      </c>
      <c r="I982" s="111">
        <v>2146</v>
      </c>
      <c r="J982" s="113" t="s">
        <v>277</v>
      </c>
    </row>
    <row r="983" spans="1:10" x14ac:dyDescent="0.25">
      <c r="A983" s="111">
        <v>980</v>
      </c>
      <c r="B983" s="112" t="s">
        <v>1955</v>
      </c>
      <c r="C983" s="113" t="s">
        <v>1956</v>
      </c>
      <c r="D983" s="113" t="s">
        <v>467</v>
      </c>
      <c r="E983" s="113" t="s">
        <v>1944</v>
      </c>
      <c r="F983" s="114">
        <v>100</v>
      </c>
      <c r="G983" s="114">
        <v>104.6767</v>
      </c>
      <c r="H983" s="114">
        <v>6.08</v>
      </c>
      <c r="I983" s="111">
        <v>2574</v>
      </c>
      <c r="J983" s="113" t="s">
        <v>277</v>
      </c>
    </row>
    <row r="984" spans="1:10" x14ac:dyDescent="0.25">
      <c r="A984" s="111">
        <v>981</v>
      </c>
      <c r="B984" s="112" t="s">
        <v>1957</v>
      </c>
      <c r="C984" s="113" t="s">
        <v>1958</v>
      </c>
      <c r="D984" s="113" t="s">
        <v>467</v>
      </c>
      <c r="E984" s="113" t="s">
        <v>1944</v>
      </c>
      <c r="F984" s="114">
        <v>100</v>
      </c>
      <c r="G984" s="114">
        <v>104.6767</v>
      </c>
      <c r="H984" s="114">
        <v>6.08</v>
      </c>
      <c r="I984" s="111">
        <v>2574</v>
      </c>
      <c r="J984" s="113" t="s">
        <v>277</v>
      </c>
    </row>
    <row r="985" spans="1:10" x14ac:dyDescent="0.25">
      <c r="A985" s="111">
        <v>982</v>
      </c>
      <c r="B985" s="112" t="s">
        <v>1959</v>
      </c>
      <c r="C985" s="113" t="s">
        <v>1960</v>
      </c>
      <c r="D985" s="113" t="s">
        <v>467</v>
      </c>
      <c r="E985" s="113" t="s">
        <v>1944</v>
      </c>
      <c r="F985" s="114">
        <v>100</v>
      </c>
      <c r="G985" s="114">
        <v>103.5414</v>
      </c>
      <c r="H985" s="114">
        <v>6.08</v>
      </c>
      <c r="I985" s="111">
        <v>2641</v>
      </c>
      <c r="J985" s="113" t="s">
        <v>277</v>
      </c>
    </row>
    <row r="986" spans="1:10" x14ac:dyDescent="0.25">
      <c r="A986" s="111">
        <v>983</v>
      </c>
      <c r="B986" s="112" t="s">
        <v>1961</v>
      </c>
      <c r="C986" s="113" t="s">
        <v>1962</v>
      </c>
      <c r="D986" s="113" t="s">
        <v>457</v>
      </c>
      <c r="E986" s="113" t="s">
        <v>1963</v>
      </c>
      <c r="F986" s="114">
        <v>23413.994849999999</v>
      </c>
      <c r="G986" s="114">
        <v>23413.994849999999</v>
      </c>
      <c r="H986" s="114">
        <v>0</v>
      </c>
      <c r="I986" s="111">
        <v>0</v>
      </c>
      <c r="J986" s="113" t="s">
        <v>246</v>
      </c>
    </row>
    <row r="987" spans="1:10" x14ac:dyDescent="0.25">
      <c r="A987" s="111">
        <v>984</v>
      </c>
      <c r="B987" s="112" t="s">
        <v>1964</v>
      </c>
      <c r="C987" s="113" t="s">
        <v>1965</v>
      </c>
      <c r="D987" s="113" t="s">
        <v>769</v>
      </c>
      <c r="E987" s="113" t="s">
        <v>1966</v>
      </c>
      <c r="F987" s="114">
        <v>44233.70925</v>
      </c>
      <c r="G987" s="114">
        <v>44233.70925</v>
      </c>
      <c r="H987" s="114">
        <v>0</v>
      </c>
      <c r="I987" s="111">
        <v>0</v>
      </c>
      <c r="J987" s="113" t="s">
        <v>246</v>
      </c>
    </row>
    <row r="988" spans="1:10" x14ac:dyDescent="0.25">
      <c r="A988" s="111">
        <v>985</v>
      </c>
      <c r="B988" s="112" t="s">
        <v>1967</v>
      </c>
      <c r="C988" s="113" t="s">
        <v>1968</v>
      </c>
      <c r="D988" s="113" t="s">
        <v>769</v>
      </c>
      <c r="E988" s="113" t="s">
        <v>1966</v>
      </c>
      <c r="F988" s="114">
        <v>45946.861850000001</v>
      </c>
      <c r="G988" s="114">
        <v>45946.861850000001</v>
      </c>
      <c r="H988" s="114">
        <v>0</v>
      </c>
      <c r="I988" s="111">
        <v>0</v>
      </c>
      <c r="J988" s="113" t="s">
        <v>246</v>
      </c>
    </row>
    <row r="989" spans="1:10" x14ac:dyDescent="0.25">
      <c r="A989" s="111">
        <v>986</v>
      </c>
      <c r="B989" s="112" t="s">
        <v>1969</v>
      </c>
      <c r="C989" s="113" t="s">
        <v>1970</v>
      </c>
      <c r="D989" s="113" t="s">
        <v>457</v>
      </c>
      <c r="E989" s="113" t="s">
        <v>1971</v>
      </c>
      <c r="F989" s="114">
        <v>59941.245349999997</v>
      </c>
      <c r="G989" s="114">
        <v>59941.245349999997</v>
      </c>
      <c r="H989" s="114">
        <v>0</v>
      </c>
      <c r="I989" s="111">
        <v>0</v>
      </c>
      <c r="J989" s="113" t="s">
        <v>246</v>
      </c>
    </row>
    <row r="990" spans="1:10" x14ac:dyDescent="0.25">
      <c r="A990" s="111">
        <v>987</v>
      </c>
      <c r="B990" s="112" t="s">
        <v>1972</v>
      </c>
      <c r="C990" s="113" t="s">
        <v>1973</v>
      </c>
      <c r="D990" s="113" t="s">
        <v>457</v>
      </c>
      <c r="E990" s="113" t="s">
        <v>1974</v>
      </c>
      <c r="F990" s="114">
        <v>1000</v>
      </c>
      <c r="G990" s="114">
        <v>1000</v>
      </c>
      <c r="H990" s="114">
        <v>0</v>
      </c>
      <c r="I990" s="111">
        <v>0</v>
      </c>
      <c r="J990" s="113" t="s">
        <v>246</v>
      </c>
    </row>
    <row r="991" spans="1:10" x14ac:dyDescent="0.25">
      <c r="A991" s="111">
        <v>988</v>
      </c>
      <c r="B991" s="112" t="s">
        <v>1975</v>
      </c>
      <c r="C991" s="113" t="s">
        <v>1976</v>
      </c>
      <c r="D991" s="113" t="s">
        <v>457</v>
      </c>
      <c r="E991" s="113" t="s">
        <v>1977</v>
      </c>
      <c r="F991" s="114">
        <v>0.01</v>
      </c>
      <c r="G991" s="114">
        <v>0.01</v>
      </c>
      <c r="H991" s="114">
        <v>0</v>
      </c>
      <c r="I991" s="111">
        <v>2847</v>
      </c>
      <c r="J991" s="113" t="s">
        <v>246</v>
      </c>
    </row>
    <row r="992" spans="1:10" x14ac:dyDescent="0.25">
      <c r="A992" s="111">
        <v>989</v>
      </c>
      <c r="B992" s="112" t="s">
        <v>1978</v>
      </c>
      <c r="C992" s="113" t="s">
        <v>1979</v>
      </c>
      <c r="D992" s="113" t="s">
        <v>457</v>
      </c>
      <c r="E992" s="113" t="s">
        <v>1977</v>
      </c>
      <c r="F992" s="114">
        <v>0.01</v>
      </c>
      <c r="G992" s="114">
        <v>0.01</v>
      </c>
      <c r="H992" s="114">
        <v>0</v>
      </c>
      <c r="I992" s="111">
        <v>2686</v>
      </c>
      <c r="J992" s="113" t="s">
        <v>246</v>
      </c>
    </row>
    <row r="993" spans="1:10" x14ac:dyDescent="0.25">
      <c r="A993" s="111">
        <v>990</v>
      </c>
      <c r="B993" s="112" t="s">
        <v>1980</v>
      </c>
      <c r="C993" s="113" t="s">
        <v>1981</v>
      </c>
      <c r="D993" s="113" t="s">
        <v>467</v>
      </c>
      <c r="E993" s="113" t="s">
        <v>1982</v>
      </c>
      <c r="F993" s="114">
        <v>100</v>
      </c>
      <c r="G993" s="114">
        <v>100.1063</v>
      </c>
      <c r="H993" s="114">
        <v>4.24</v>
      </c>
      <c r="I993" s="111">
        <v>291</v>
      </c>
      <c r="J993" s="113" t="s">
        <v>277</v>
      </c>
    </row>
    <row r="994" spans="1:10" x14ac:dyDescent="0.25">
      <c r="A994" s="111">
        <v>991</v>
      </c>
      <c r="B994" s="112" t="s">
        <v>1983</v>
      </c>
      <c r="C994" s="113" t="s">
        <v>1984</v>
      </c>
      <c r="D994" s="113" t="s">
        <v>467</v>
      </c>
      <c r="E994" s="113" t="s">
        <v>1982</v>
      </c>
      <c r="F994" s="114">
        <v>100</v>
      </c>
      <c r="G994" s="114">
        <v>100.0574</v>
      </c>
      <c r="H994" s="114">
        <v>0.35</v>
      </c>
      <c r="I994" s="111">
        <v>121</v>
      </c>
      <c r="J994" s="113" t="s">
        <v>277</v>
      </c>
    </row>
    <row r="995" spans="1:10" x14ac:dyDescent="0.25">
      <c r="A995" s="111">
        <v>992</v>
      </c>
      <c r="B995" s="112" t="s">
        <v>1985</v>
      </c>
      <c r="C995" s="113" t="s">
        <v>1986</v>
      </c>
      <c r="D995" s="113" t="s">
        <v>467</v>
      </c>
      <c r="E995" s="113" t="s">
        <v>1982</v>
      </c>
      <c r="F995" s="114">
        <v>100</v>
      </c>
      <c r="G995" s="114">
        <v>100.069</v>
      </c>
      <c r="H995" s="114">
        <v>0.35</v>
      </c>
      <c r="I995" s="111">
        <v>289</v>
      </c>
      <c r="J995" s="113" t="s">
        <v>277</v>
      </c>
    </row>
    <row r="996" spans="1:10" x14ac:dyDescent="0.25">
      <c r="A996" s="111">
        <v>993</v>
      </c>
      <c r="B996" s="112" t="s">
        <v>2176</v>
      </c>
      <c r="C996" s="113" t="s">
        <v>2177</v>
      </c>
      <c r="D996" s="113" t="s">
        <v>467</v>
      </c>
      <c r="E996" s="113" t="s">
        <v>1982</v>
      </c>
      <c r="F996" s="114">
        <v>100</v>
      </c>
      <c r="G996" s="114">
        <v>100.0972</v>
      </c>
      <c r="H996" s="114">
        <v>0.35</v>
      </c>
      <c r="I996" s="111">
        <v>620</v>
      </c>
      <c r="J996" s="113" t="s">
        <v>277</v>
      </c>
    </row>
    <row r="997" spans="1:10" x14ac:dyDescent="0.25">
      <c r="A997" s="111">
        <v>994</v>
      </c>
      <c r="B997" s="112" t="s">
        <v>2363</v>
      </c>
      <c r="C997" s="113" t="s">
        <v>2364</v>
      </c>
      <c r="D997" s="113" t="s">
        <v>467</v>
      </c>
      <c r="E997" s="113" t="s">
        <v>1982</v>
      </c>
      <c r="F997" s="114">
        <v>100</v>
      </c>
      <c r="G997" s="114">
        <v>100.0117</v>
      </c>
      <c r="H997" s="114">
        <v>0.35</v>
      </c>
      <c r="I997" s="111">
        <v>708</v>
      </c>
      <c r="J997" s="113" t="s">
        <v>277</v>
      </c>
    </row>
    <row r="998" spans="1:10" x14ac:dyDescent="0.25">
      <c r="A998" s="111">
        <v>995</v>
      </c>
      <c r="B998" s="112" t="s">
        <v>1987</v>
      </c>
      <c r="C998" s="113" t="s">
        <v>1988</v>
      </c>
      <c r="D998" s="113" t="s">
        <v>467</v>
      </c>
      <c r="E998" s="113" t="s">
        <v>1982</v>
      </c>
      <c r="F998" s="114">
        <v>100</v>
      </c>
      <c r="G998" s="114">
        <v>100.0022</v>
      </c>
      <c r="H998" s="114">
        <v>0.02</v>
      </c>
      <c r="I998" s="111">
        <v>3122</v>
      </c>
      <c r="J998" s="113" t="s">
        <v>277</v>
      </c>
    </row>
    <row r="999" spans="1:10" x14ac:dyDescent="0.25">
      <c r="A999" s="111">
        <v>996</v>
      </c>
      <c r="B999" s="112" t="s">
        <v>1989</v>
      </c>
      <c r="C999" s="113" t="s">
        <v>1990</v>
      </c>
      <c r="D999" s="113" t="s">
        <v>467</v>
      </c>
      <c r="E999" s="113" t="s">
        <v>1982</v>
      </c>
      <c r="F999" s="114">
        <v>100</v>
      </c>
      <c r="G999" s="114">
        <v>100.5592</v>
      </c>
      <c r="H999" s="114">
        <v>6.09</v>
      </c>
      <c r="I999" s="111">
        <v>1737</v>
      </c>
      <c r="J999" s="113" t="s">
        <v>277</v>
      </c>
    </row>
    <row r="1000" spans="1:10" x14ac:dyDescent="0.25">
      <c r="A1000" s="111">
        <v>997</v>
      </c>
      <c r="B1000" s="112" t="s">
        <v>1991</v>
      </c>
      <c r="C1000" s="113" t="s">
        <v>1992</v>
      </c>
      <c r="D1000" s="113" t="s">
        <v>467</v>
      </c>
      <c r="E1000" s="113" t="s">
        <v>1982</v>
      </c>
      <c r="F1000" s="114">
        <v>100</v>
      </c>
      <c r="G1000" s="114">
        <v>105.3447</v>
      </c>
      <c r="H1000" s="114">
        <v>7.08</v>
      </c>
      <c r="I1000" s="111">
        <v>2219</v>
      </c>
      <c r="J1000" s="113" t="s">
        <v>277</v>
      </c>
    </row>
    <row r="1001" spans="1:10" x14ac:dyDescent="0.25">
      <c r="A1001" s="111">
        <v>998</v>
      </c>
      <c r="B1001" s="112" t="s">
        <v>2378</v>
      </c>
      <c r="C1001" s="113" t="s">
        <v>2379</v>
      </c>
      <c r="D1001" s="113" t="s">
        <v>467</v>
      </c>
      <c r="E1001" s="113" t="s">
        <v>1982</v>
      </c>
      <c r="F1001" s="114">
        <v>90.213418465044015</v>
      </c>
      <c r="G1001" s="114">
        <v>90.719018465044016</v>
      </c>
      <c r="H1001" s="114">
        <v>20.57</v>
      </c>
      <c r="I1001" s="111">
        <v>3590</v>
      </c>
      <c r="J1001" s="113" t="s">
        <v>277</v>
      </c>
    </row>
    <row r="1002" spans="1:10" x14ac:dyDescent="0.25">
      <c r="A1002" s="111">
        <v>999</v>
      </c>
      <c r="B1002" s="112" t="s">
        <v>1993</v>
      </c>
      <c r="C1002" s="113" t="s">
        <v>1994</v>
      </c>
      <c r="D1002" s="113" t="s">
        <v>467</v>
      </c>
      <c r="E1002" s="113" t="s">
        <v>1982</v>
      </c>
      <c r="F1002" s="114">
        <v>100</v>
      </c>
      <c r="G1002" s="114">
        <v>105.8289</v>
      </c>
      <c r="H1002" s="114">
        <v>6.09</v>
      </c>
      <c r="I1002" s="111">
        <v>2146</v>
      </c>
      <c r="J1002" s="113" t="s">
        <v>277</v>
      </c>
    </row>
    <row r="1003" spans="1:10" x14ac:dyDescent="0.25">
      <c r="A1003" s="111">
        <v>1000</v>
      </c>
      <c r="B1003" s="112" t="s">
        <v>1995</v>
      </c>
      <c r="C1003" s="113" t="s">
        <v>1996</v>
      </c>
      <c r="D1003" s="113" t="s">
        <v>467</v>
      </c>
      <c r="E1003" s="113" t="s">
        <v>1982</v>
      </c>
      <c r="F1003" s="114">
        <v>100</v>
      </c>
      <c r="G1003" s="114">
        <v>104.6767</v>
      </c>
      <c r="H1003" s="114">
        <v>6.08</v>
      </c>
      <c r="I1003" s="111">
        <v>2574</v>
      </c>
      <c r="J1003" s="113" t="s">
        <v>277</v>
      </c>
    </row>
    <row r="1004" spans="1:10" x14ac:dyDescent="0.25">
      <c r="A1004" s="111">
        <v>1001</v>
      </c>
      <c r="B1004" s="112" t="s">
        <v>1997</v>
      </c>
      <c r="C1004" s="113" t="s">
        <v>1998</v>
      </c>
      <c r="D1004" s="113" t="s">
        <v>467</v>
      </c>
      <c r="E1004" s="113" t="s">
        <v>1982</v>
      </c>
      <c r="F1004" s="114">
        <v>100</v>
      </c>
      <c r="G1004" s="114">
        <v>104.6767</v>
      </c>
      <c r="H1004" s="114">
        <v>6.08</v>
      </c>
      <c r="I1004" s="111">
        <v>2574</v>
      </c>
      <c r="J1004" s="113" t="s">
        <v>277</v>
      </c>
    </row>
  </sheetData>
  <conditionalFormatting sqref="A4:A1004">
    <cfRule type="expression" dxfId="5" priority="9" stopIfTrue="1">
      <formula>A4&lt;&gt;""</formula>
    </cfRule>
  </conditionalFormatting>
  <conditionalFormatting sqref="A5:A1004">
    <cfRule type="expression" dxfId="4" priority="10" stopIfTrue="1">
      <formula>С4&lt;&gt;""</formula>
    </cfRule>
  </conditionalFormatting>
  <conditionalFormatting sqref="F4:I1004">
    <cfRule type="expression" dxfId="3" priority="1" stopIfTrue="1">
      <formula>F4&lt;&gt;""</formula>
    </cfRule>
  </conditionalFormatting>
  <conditionalFormatting sqref="G4:G1004">
    <cfRule type="expression" dxfId="2" priority="4" stopIfTrue="1">
      <formula>G&lt;&gt;""</formula>
    </cfRule>
  </conditionalFormatting>
  <conditionalFormatting sqref="H4:H1004">
    <cfRule type="expression" dxfId="1" priority="6" stopIfTrue="1">
      <formula>H&lt;&gt;""</formula>
    </cfRule>
  </conditionalFormatting>
  <conditionalFormatting sqref="I4:I1004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28.07.25</vt:lpstr>
      <vt:lpstr>Риск цены за 28.07.25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2025-07-29T07:38:40Z</dcterms:modified>
</cp:coreProperties>
</file>