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0.2025\"/>
    </mc:Choice>
  </mc:AlternateContent>
  <xr:revisionPtr revIDLastSave="0" documentId="13_ncr:1_{6A4684B1-153F-4FB1-A1DD-A1EB29A6C0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0.10.25" sheetId="2" r:id="rId2"/>
    <sheet name="Риск цены за 20.10.25" sheetId="4" r:id="rId3"/>
  </sheets>
  <definedNames>
    <definedName name="_xlnm._FilterDatabase" localSheetId="1" hidden="1">'KASE за 20.10.25'!#REF!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7" i="1" l="1"/>
  <c r="I85" i="1"/>
  <c r="O79" i="1"/>
  <c r="O62" i="1"/>
  <c r="D65" i="1"/>
  <c r="M70" i="1"/>
  <c r="M71" i="1"/>
  <c r="L70" i="1"/>
  <c r="L71" i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B96" i="1"/>
  <c r="B98" i="1"/>
  <c r="B97" i="1"/>
  <c r="B94" i="1"/>
  <c r="C79" i="1"/>
  <c r="J79" i="1"/>
  <c r="I79" i="1"/>
  <c r="G85" i="1"/>
  <c r="L69" i="1"/>
  <c r="M69" i="1" s="1"/>
  <c r="L79" i="1" l="1"/>
  <c r="M79" i="1"/>
  <c r="J37" i="1"/>
  <c r="I37" i="1"/>
  <c r="J36" i="1"/>
  <c r="I36" i="1"/>
  <c r="J25" i="1"/>
  <c r="J26" i="1"/>
  <c r="J27" i="1"/>
  <c r="J28" i="1"/>
  <c r="I25" i="1"/>
  <c r="I26" i="1"/>
  <c r="I27" i="1"/>
  <c r="I28" i="1"/>
  <c r="J24" i="1"/>
  <c r="I24" i="1"/>
  <c r="J15" i="1"/>
  <c r="J16" i="1"/>
  <c r="J17" i="1"/>
  <c r="J18" i="1"/>
  <c r="J19" i="1"/>
  <c r="J20" i="1"/>
  <c r="I15" i="1"/>
  <c r="I16" i="1"/>
  <c r="I17" i="1"/>
  <c r="I18" i="1"/>
  <c r="I19" i="1"/>
  <c r="I20" i="1"/>
  <c r="J14" i="1"/>
  <c r="I14" i="1"/>
  <c r="J41" i="1"/>
  <c r="I41" i="1"/>
  <c r="J45" i="1"/>
  <c r="I45" i="1"/>
  <c r="J52" i="1"/>
  <c r="I52" i="1"/>
  <c r="J60" i="1"/>
  <c r="I60" i="1"/>
  <c r="K62" i="1"/>
  <c r="B92" i="1"/>
  <c r="B102" i="1" l="1"/>
  <c r="I61" i="1"/>
  <c r="J61" i="1"/>
  <c r="D61" i="1" l="1"/>
  <c r="N61" i="1" s="1"/>
  <c r="O61" i="1" s="1"/>
  <c r="C24" i="1"/>
  <c r="D60" i="1"/>
  <c r="N60" i="1" s="1"/>
  <c r="J23" i="1"/>
  <c r="I23" i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D62" i="1" l="1"/>
  <c r="C62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2" i="1" l="1"/>
  <c r="L62" i="1"/>
  <c r="B87" i="1" s="1"/>
  <c r="M15" i="1" l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2" i="1" l="1"/>
</calcChain>
</file>

<file path=xl/sharedStrings.xml><?xml version="1.0" encoding="utf-8"?>
<sst xmlns="http://schemas.openxmlformats.org/spreadsheetml/2006/main" count="6798" uniqueCount="2972">
  <si>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</si>
  <si>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</si>
  <si>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</si>
  <si>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</si>
  <si>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</si>
  <si>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</si>
  <si>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</si>
  <si>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</si>
  <si>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</si>
  <si>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</si>
  <si>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</si>
  <si>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</si>
  <si>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</si>
  <si>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</si>
  <si>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</si>
  <si>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</si>
  <si>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</si>
  <si>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</si>
  <si>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</si>
  <si>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</si>
  <si>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</si>
  <si>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</si>
  <si>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</si>
  <si>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</si>
  <si>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</si>
  <si>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</si>
  <si>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</si>
  <si>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</si>
  <si>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</si>
  <si>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</si>
  <si>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</si>
  <si>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</si>
  <si>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</si>
  <si>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</si>
  <si>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</si>
  <si>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</si>
  <si>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</si>
  <si>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</si>
  <si>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</si>
  <si>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</si>
  <si>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</si>
  <si>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</si>
  <si>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</si>
  <si>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</si>
  <si>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</si>
  <si>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</si>
  <si>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</si>
  <si>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</si>
  <si>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</si>
  <si>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</si>
  <si>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</si>
  <si>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</si>
  <si>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</si>
  <si>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</si>
  <si>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</si>
  <si>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</si>
  <si>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</si>
  <si>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</si>
  <si>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</si>
  <si>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</si>
  <si>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</si>
  <si>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</si>
  <si>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</si>
  <si>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</si>
  <si>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</si>
  <si>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</si>
  <si>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</si>
  <si>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</si>
  <si>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</si>
  <si>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</si>
  <si>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</si>
  <si>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</si>
  <si>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</si>
  <si>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</si>
  <si>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</si>
  <si>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</si>
  <si>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</si>
  <si>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</si>
  <si>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</si>
  <si>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</si>
  <si>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</si>
  <si>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</si>
  <si>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</si>
  <si>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</si>
  <si>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</si>
  <si>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</si>
  <si>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</si>
  <si>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</si>
  <si>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</si>
  <si>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</si>
  <si>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</si>
  <si>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</si>
  <si>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</si>
  <si>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</si>
  <si>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</si>
  <si>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</si>
  <si>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</si>
  <si>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</si>
  <si>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</si>
  <si>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</si>
  <si>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</si>
  <si>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</si>
  <si>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</si>
  <si>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</si>
  <si>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</si>
  <si>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</si>
  <si>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</si>
  <si>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</si>
  <si>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</si>
  <si>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</si>
  <si>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</si>
  <si>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</si>
  <si>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</si>
  <si>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</si>
  <si>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</si>
  <si>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</si>
  <si>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</si>
  <si>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</si>
  <si>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</si>
  <si>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</si>
  <si>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</si>
  <si>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</si>
  <si>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</si>
  <si>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</si>
  <si>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</si>
  <si>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</si>
  <si>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</si>
  <si>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</si>
  <si>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</si>
  <si>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</si>
  <si>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</si>
  <si>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</si>
  <si>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</si>
  <si>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</si>
  <si>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</si>
  <si>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</si>
  <si>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</si>
  <si>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</si>
  <si>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</si>
  <si>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</si>
  <si>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</si>
  <si>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</si>
  <si>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</si>
  <si>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</si>
  <si>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</si>
  <si>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</si>
  <si>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</si>
  <si>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</si>
  <si>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</si>
  <si>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</si>
  <si>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</si>
  <si>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</si>
  <si>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</si>
  <si>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</si>
  <si>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</si>
  <si>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</si>
  <si>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</si>
  <si>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</si>
  <si>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</si>
  <si>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</si>
  <si>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</si>
  <si>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</si>
  <si>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</si>
  <si>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</si>
  <si>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</si>
  <si>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</si>
  <si>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</si>
  <si>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</si>
  <si>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</si>
  <si>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</si>
  <si>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</si>
  <si>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</si>
  <si>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</si>
  <si>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</si>
  <si>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</si>
  <si>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</si>
  <si>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</si>
  <si>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</si>
  <si>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</si>
  <si>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</si>
  <si>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</si>
  <si>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</si>
  <si>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</si>
  <si>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</si>
  <si>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</si>
  <si>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</si>
  <si>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</si>
  <si>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</si>
  <si>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</si>
  <si>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</si>
  <si>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</si>
  <si>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</si>
  <si>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</si>
  <si>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</si>
  <si>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</si>
  <si>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</si>
  <si>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</si>
  <si>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</si>
  <si>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</si>
  <si>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</si>
  <si>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</si>
  <si>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</si>
  <si>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</si>
  <si>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</si>
  <si>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</si>
  <si>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</si>
  <si>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</si>
  <si>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</si>
  <si>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</si>
  <si>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</si>
  <si>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</si>
  <si>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</si>
  <si>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</si>
  <si>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</si>
  <si>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</si>
  <si>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</si>
  <si>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</si>
  <si>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</si>
  <si>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</si>
  <si>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</si>
  <si>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</si>
  <si>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</si>
  <si>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</si>
  <si>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</si>
  <si>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</si>
  <si>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</si>
  <si>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</si>
  <si>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</si>
  <si>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</si>
  <si>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</si>
  <si>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</si>
  <si>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</si>
  <si>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</si>
  <si>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</si>
  <si>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</si>
  <si>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</si>
  <si>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</si>
  <si>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</si>
  <si>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</si>
  <si>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</si>
  <si>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</si>
  <si>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</si>
  <si>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</si>
  <si>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</si>
  <si>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</si>
  <si>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</si>
  <si>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</si>
  <si>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</si>
  <si>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</si>
  <si>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</si>
  <si>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</si>
  <si>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</si>
  <si>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</si>
  <si>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</si>
  <si>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</si>
  <si>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</si>
  <si>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</si>
  <si>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</si>
  <si>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</si>
  <si>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</si>
  <si>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</si>
  <si>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</si>
  <si>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</si>
  <si>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</si>
  <si>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</si>
  <si>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</si>
  <si>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</si>
  <si>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</si>
  <si>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</si>
  <si>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</si>
  <si>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</si>
  <si>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</si>
  <si>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</si>
  <si>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</si>
  <si>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</si>
  <si>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</si>
  <si>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</si>
  <si>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</si>
  <si>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</si>
  <si>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</si>
  <si>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</si>
  <si>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</si>
  <si>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</si>
  <si>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</si>
  <si>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</si>
  <si>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</si>
  <si>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</si>
  <si>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</si>
  <si>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</si>
  <si>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</si>
  <si>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</si>
  <si>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</si>
  <si>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</si>
  <si>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</si>
  <si>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</si>
  <si>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</si>
  <si>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</si>
  <si>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</si>
  <si>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</si>
  <si>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</si>
  <si>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</si>
  <si>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</si>
  <si>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</si>
  <si>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</si>
  <si>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</si>
  <si>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</si>
  <si>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</si>
  <si>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</si>
  <si>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</si>
  <si>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</si>
  <si>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</si>
  <si>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</si>
  <si>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</si>
  <si>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</si>
  <si>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</si>
  <si>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</si>
  <si>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</si>
  <si>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</si>
  <si>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</si>
  <si>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</si>
  <si>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</si>
  <si>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</si>
  <si>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</si>
  <si>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</si>
  <si>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</si>
  <si>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</si>
  <si>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</si>
  <si>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</si>
  <si>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</si>
  <si>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</si>
  <si>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</si>
  <si>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</si>
  <si>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</si>
  <si>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</si>
  <si>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</si>
  <si>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</si>
  <si>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</si>
  <si>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</si>
  <si>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</si>
  <si>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</si>
  <si>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</si>
  <si>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</si>
  <si>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</si>
  <si>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</si>
  <si>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</si>
  <si>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</si>
  <si>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</si>
  <si>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</si>
  <si>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</si>
  <si>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</si>
  <si>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</si>
  <si>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</si>
  <si>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</si>
  <si>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</si>
  <si>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</si>
  <si>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</si>
  <si>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</si>
  <si>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</si>
  <si>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</si>
  <si>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</si>
  <si>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</si>
  <si>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</si>
  <si>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</si>
  <si>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</si>
  <si>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</si>
  <si>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</si>
  <si>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</si>
  <si>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</si>
  <si>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</si>
  <si>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</si>
  <si>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</si>
  <si>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</si>
  <si>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</si>
  <si>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</si>
  <si>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</si>
  <si>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</si>
  <si>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</si>
  <si>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</si>
  <si>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</si>
  <si>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</si>
  <si>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</si>
  <si>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</si>
  <si>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</si>
  <si>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</si>
  <si>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</si>
  <si>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</si>
  <si>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</si>
  <si>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</si>
  <si>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</si>
  <si>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</si>
  <si>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</si>
  <si>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</si>
  <si>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</si>
  <si>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</si>
  <si>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</si>
  <si>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</si>
  <si>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</si>
  <si>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</si>
  <si>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</si>
  <si>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</si>
  <si>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</si>
  <si>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</si>
  <si>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</si>
  <si>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</si>
  <si>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</si>
  <si>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</si>
  <si>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</si>
  <si>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</si>
  <si>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</si>
  <si>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</si>
  <si>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</si>
  <si>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</si>
  <si>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</si>
  <si>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</si>
  <si>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</si>
  <si>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</si>
  <si>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</si>
  <si>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</si>
  <si>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</si>
  <si>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</si>
  <si>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</si>
  <si>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</si>
  <si>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</si>
  <si>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</si>
  <si>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</si>
  <si>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</si>
  <si>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</si>
  <si>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</si>
  <si>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</si>
  <si>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</si>
  <si>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</si>
  <si>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</si>
  <si>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</si>
  <si>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</si>
  <si>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</si>
  <si>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</si>
  <si>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</si>
  <si>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</si>
  <si>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</si>
  <si>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</si>
  <si>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</si>
  <si>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</si>
  <si>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</si>
  <si>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</si>
  <si>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</si>
  <si>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</si>
  <si>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</si>
  <si>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</si>
  <si>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</si>
  <si>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</si>
  <si>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</si>
  <si>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</si>
  <si>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</si>
  <si>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</si>
  <si>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</si>
  <si>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</si>
  <si>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</si>
  <si>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</si>
  <si>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</si>
  <si>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</si>
  <si>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</si>
  <si>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</si>
  <si>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</si>
  <si>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</si>
  <si>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</si>
  <si>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</si>
  <si>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</si>
  <si>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</si>
  <si>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</si>
  <si>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</si>
  <si>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</si>
  <si>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</si>
  <si>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</si>
  <si>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</si>
  <si>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</si>
  <si>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</si>
  <si>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</si>
  <si>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</si>
  <si>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</si>
  <si>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</si>
  <si>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</si>
  <si>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</si>
  <si>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</si>
  <si>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</si>
  <si>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</si>
  <si>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</si>
  <si>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</si>
  <si>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</si>
  <si>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</si>
  <si>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</si>
  <si>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</si>
  <si>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</si>
  <si>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</si>
  <si>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</si>
  <si>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</si>
  <si>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</si>
  <si>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</si>
  <si>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</si>
  <si>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</si>
  <si>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</si>
  <si>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</si>
  <si>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</si>
  <si>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</si>
  <si>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</si>
  <si>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</si>
  <si>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</si>
  <si>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</si>
  <si>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</si>
  <si>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</si>
  <si>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</si>
  <si>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</si>
  <si>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</si>
  <si>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</si>
  <si>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</si>
  <si>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</si>
  <si>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</si>
  <si>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</si>
  <si>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</si>
  <si>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</si>
  <si>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</si>
  <si>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</si>
  <si>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</si>
  <si>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</si>
  <si>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</si>
  <si>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</si>
  <si>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</si>
  <si>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</si>
  <si>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</si>
  <si>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</si>
  <si>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</si>
  <si>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</si>
  <si>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</si>
  <si>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</si>
  <si>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</si>
  <si>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</si>
  <si>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</si>
  <si>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</si>
  <si>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</si>
  <si>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</si>
  <si>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</si>
  <si>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</si>
  <si>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</si>
  <si>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</si>
  <si>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</si>
  <si>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</si>
  <si>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</si>
  <si>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</si>
  <si>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</si>
  <si>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</si>
  <si>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</si>
  <si>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</si>
  <si>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</si>
  <si>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</si>
  <si>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</si>
  <si>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</si>
  <si>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</si>
  <si>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</si>
  <si>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</si>
  <si>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</si>
  <si>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</si>
  <si>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</si>
  <si>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</si>
  <si>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</si>
  <si>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</si>
  <si>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</si>
  <si>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</si>
  <si>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</si>
  <si>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</si>
  <si>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</si>
  <si>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</si>
  <si>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</si>
  <si>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</si>
  <si>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</si>
  <si>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</si>
  <si>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</si>
  <si>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</si>
  <si>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</si>
  <si>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</si>
  <si>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</si>
  <si>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</si>
  <si>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</si>
  <si>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</si>
  <si>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</si>
  <si>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</si>
  <si>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</si>
  <si>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</si>
  <si>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</si>
  <si>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</si>
  <si>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</si>
  <si>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</si>
  <si>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</si>
  <si>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</si>
  <si>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</si>
  <si>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</si>
  <si>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</si>
  <si>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</si>
  <si>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</si>
  <si>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</si>
  <si>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</si>
  <si>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</si>
  <si>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</si>
  <si>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</si>
  <si>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</si>
  <si>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</si>
  <si>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</si>
  <si>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</si>
  <si>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</si>
  <si>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</si>
  <si>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</si>
  <si>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</si>
  <si>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</si>
  <si>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</si>
  <si>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</si>
  <si>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</si>
  <si>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</si>
  <si>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</si>
  <si>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</si>
  <si>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</si>
  <si>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</si>
  <si>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</si>
  <si>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</si>
  <si>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</si>
  <si>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</si>
  <si>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</si>
  <si>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</si>
  <si>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</si>
  <si>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</si>
  <si>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</si>
  <si>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</si>
  <si>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</si>
  <si>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</si>
  <si>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</si>
  <si>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</si>
  <si>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</si>
  <si>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</si>
  <si>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</si>
  <si>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</si>
  <si>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</si>
  <si>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</si>
  <si>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</si>
  <si>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</si>
  <si>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</si>
  <si>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</si>
  <si>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</si>
  <si>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</si>
  <si>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</si>
  <si>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</si>
  <si>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</si>
  <si>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</si>
  <si>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</si>
  <si>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</si>
  <si>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</si>
  <si>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</si>
  <si>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</si>
  <si>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</si>
  <si>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</si>
  <si>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</si>
  <si>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</si>
  <si>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</si>
  <si>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</si>
  <si>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</si>
  <si>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</si>
  <si>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</si>
  <si>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</si>
  <si>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</si>
  <si>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</si>
  <si>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</si>
  <si>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</si>
  <si>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</si>
  <si>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</si>
  <si>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</si>
  <si>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</si>
  <si>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</si>
  <si>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</si>
  <si>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</si>
  <si>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</si>
  <si>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</si>
  <si>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</si>
  <si>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</si>
  <si>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</si>
  <si>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</si>
  <si>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</si>
  <si>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</si>
  <si>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</si>
  <si>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</si>
  <si>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</si>
  <si>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</si>
  <si>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</si>
  <si>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</si>
  <si>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</si>
  <si>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</si>
  <si>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</si>
  <si>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</si>
  <si>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</si>
  <si>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</si>
  <si>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</si>
  <si>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</si>
  <si>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</si>
  <si>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</si>
  <si>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</si>
  <si>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</si>
  <si>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</si>
  <si>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</si>
  <si>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</si>
  <si>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</si>
  <si>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</si>
  <si>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</si>
  <si>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</si>
  <si>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</si>
  <si>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</si>
  <si>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</si>
  <si>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</si>
  <si>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</si>
  <si>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</si>
  <si>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</si>
  <si>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</si>
  <si>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</si>
  <si>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</si>
  <si>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</si>
  <si>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</si>
  <si>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</si>
  <si>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</si>
  <si>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</si>
  <si>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</si>
  <si>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</si>
  <si>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</si>
  <si>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</si>
  <si>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</si>
  <si>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</si>
  <si>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</si>
  <si>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</si>
  <si>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</si>
  <si>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</si>
  <si>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</si>
  <si>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</si>
  <si>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</si>
  <si>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</si>
  <si>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</si>
  <si>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</si>
  <si>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</si>
  <si>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</si>
  <si>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</si>
  <si>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</si>
  <si>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</si>
  <si>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</si>
  <si>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</si>
  <si>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</si>
  <si>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</si>
  <si>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</si>
  <si>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</si>
  <si>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</si>
  <si>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</si>
  <si>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</si>
  <si>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</si>
  <si>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</si>
  <si>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</si>
  <si>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</si>
  <si>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</si>
  <si>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</si>
  <si>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</si>
  <si>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</si>
  <si>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</si>
  <si>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</si>
  <si>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</si>
  <si>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</si>
  <si>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</si>
  <si>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</si>
  <si>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</si>
  <si>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</si>
  <si>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</si>
  <si>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</si>
  <si>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</si>
  <si>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</si>
  <si>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</si>
  <si>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</si>
  <si>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</si>
  <si>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</si>
  <si>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</si>
  <si>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</si>
  <si>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</si>
  <si>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</si>
  <si>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</si>
  <si>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</si>
  <si>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</si>
  <si>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</si>
  <si>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</si>
  <si>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</si>
  <si>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</si>
  <si>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</si>
  <si>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</si>
  <si>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</si>
  <si>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</si>
  <si>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</si>
  <si>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</si>
  <si>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</si>
  <si>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</si>
  <si>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</si>
  <si>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</si>
  <si>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</si>
  <si>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</si>
  <si>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</si>
  <si>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</si>
  <si>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</si>
  <si>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</si>
  <si>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</si>
  <si>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</si>
  <si>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</si>
  <si>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</si>
  <si>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</si>
  <si>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</si>
  <si>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</si>
  <si>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</si>
  <si>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</si>
  <si>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</si>
  <si>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</si>
  <si>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</si>
  <si>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</si>
  <si>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</si>
  <si>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</si>
  <si>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</si>
  <si>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</si>
  <si>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</si>
  <si>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</si>
  <si>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</si>
  <si>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</si>
  <si>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</si>
  <si>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</si>
  <si>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</si>
  <si>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</si>
  <si>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</si>
  <si>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</si>
  <si>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</si>
  <si>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</si>
  <si>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</si>
  <si>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</si>
  <si>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</si>
  <si>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</si>
  <si>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</si>
  <si>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</si>
  <si>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</si>
  <si>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</si>
  <si>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</si>
  <si>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</si>
  <si>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</si>
  <si>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</si>
  <si>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</si>
  <si>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</si>
  <si>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</si>
  <si>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</si>
  <si>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</si>
  <si>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</si>
  <si>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</si>
  <si>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</si>
  <si>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</si>
  <si>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</si>
  <si>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</si>
  <si>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</si>
  <si>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</si>
  <si>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</si>
  <si>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</si>
  <si>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</si>
  <si>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</si>
  <si>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</si>
  <si>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</si>
  <si>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</si>
  <si>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</si>
  <si>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</si>
  <si>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</si>
  <si>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</si>
  <si>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</si>
  <si>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</si>
  <si>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</si>
  <si>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</si>
  <si>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</si>
  <si>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</si>
  <si>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</si>
  <si>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</si>
  <si>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</si>
  <si>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</si>
  <si>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</si>
  <si>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</si>
  <si>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</si>
  <si>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</si>
  <si>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</si>
  <si>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</si>
  <si>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</si>
  <si>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</si>
  <si>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</si>
  <si>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</si>
  <si>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</si>
  <si>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</si>
  <si>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</si>
  <si>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</si>
  <si>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</si>
  <si>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</si>
  <si>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</si>
  <si>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</si>
  <si>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</si>
  <si>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</si>
  <si>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</si>
  <si>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</si>
  <si>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</si>
  <si>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</si>
  <si>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</si>
  <si>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</si>
  <si>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</si>
  <si>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</si>
  <si>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</si>
  <si>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</si>
  <si>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</si>
  <si>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</si>
  <si>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</si>
  <si>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</si>
  <si>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</si>
  <si>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</si>
  <si>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</si>
  <si>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</si>
  <si>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</si>
  <si>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</si>
  <si>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</si>
  <si>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</si>
  <si>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</si>
  <si>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</si>
  <si>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</si>
  <si>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</si>
  <si>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</si>
  <si>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</si>
  <si>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</si>
  <si>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</si>
  <si>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</si>
  <si>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</si>
  <si>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</si>
  <si>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</si>
  <si>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</si>
  <si>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</si>
  <si>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</si>
  <si>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</si>
  <si>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</si>
  <si>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</si>
  <si>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</si>
  <si>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</si>
  <si>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</si>
  <si>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</si>
  <si>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</si>
  <si>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</si>
  <si>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</si>
  <si>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</si>
  <si>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</si>
  <si>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</si>
  <si>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</si>
  <si>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</si>
  <si>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</si>
  <si>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</si>
  <si>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</si>
  <si>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</si>
  <si>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</si>
  <si>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</si>
  <si>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</si>
  <si>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</si>
  <si>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</si>
  <si>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</si>
  <si>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</si>
  <si>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</si>
  <si>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</si>
  <si>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</si>
  <si>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</si>
  <si>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</si>
  <si>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</si>
  <si>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</si>
  <si>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</si>
  <si>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</si>
  <si>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</si>
  <si>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</si>
  <si>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</si>
  <si>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</si>
  <si>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</si>
  <si>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</si>
  <si>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</si>
  <si>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</si>
  <si>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</si>
  <si>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</si>
  <si>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</si>
  <si>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</si>
  <si>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</si>
  <si>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</si>
  <si>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</si>
  <si>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</si>
  <si>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</si>
  <si>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</si>
  <si>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</si>
  <si>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</si>
  <si>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</si>
  <si>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</si>
  <si>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</si>
  <si>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</si>
  <si>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</si>
  <si>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</si>
  <si>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</si>
  <si>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</si>
  <si>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</si>
  <si>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</si>
  <si>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</si>
  <si>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</si>
  <si>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</si>
  <si>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</si>
  <si>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</si>
  <si>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</si>
  <si>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</si>
  <si>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</si>
  <si>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</si>
  <si>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</si>
  <si>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</si>
  <si>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</si>
  <si>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</si>
  <si>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</si>
  <si>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</si>
  <si>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</si>
  <si>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</si>
  <si>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</si>
  <si>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</si>
  <si>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</si>
  <si>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</si>
  <si>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</si>
  <si>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</si>
  <si>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</si>
  <si>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</si>
  <si>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</si>
  <si>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</si>
  <si>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</si>
  <si>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</si>
  <si>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</si>
  <si>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</si>
  <si>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</si>
  <si>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</si>
  <si>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</si>
  <si>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</si>
  <si>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</si>
  <si>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</si>
  <si>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</si>
  <si>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</si>
  <si>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</si>
  <si>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</si>
  <si>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</si>
  <si>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</si>
  <si>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</si>
  <si>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</si>
  <si>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</si>
  <si>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</si>
  <si>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</si>
  <si>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</si>
  <si>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</si>
  <si>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</si>
  <si>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</si>
  <si>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</si>
  <si>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</si>
  <si>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</si>
  <si>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</si>
  <si>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</si>
  <si>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</si>
  <si>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</si>
  <si>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</si>
  <si>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</si>
  <si>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</si>
  <si>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</si>
  <si>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</si>
  <si>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</si>
  <si>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</si>
  <si>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</si>
  <si>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</si>
  <si>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</si>
  <si>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</si>
  <si>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</si>
  <si>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</si>
  <si>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</si>
  <si>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</si>
  <si>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</si>
  <si>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</si>
  <si>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</si>
  <si>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</si>
  <si>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</si>
  <si>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</si>
  <si>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</si>
  <si>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</si>
  <si>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</si>
  <si>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</si>
  <si>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</si>
  <si>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</si>
  <si>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</si>
  <si>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</si>
  <si>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</si>
  <si>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</si>
  <si>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</si>
  <si>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</si>
  <si>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</si>
  <si>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</si>
  <si>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</si>
  <si>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</si>
  <si>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</si>
  <si>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</si>
  <si>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</si>
  <si>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</si>
  <si>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</si>
  <si>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</si>
  <si>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</si>
  <si>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</si>
  <si>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</si>
  <si>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</si>
  <si>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</si>
  <si>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</si>
  <si>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</si>
  <si>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</si>
  <si>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</si>
  <si>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</si>
  <si>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</si>
  <si>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</si>
  <si>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</si>
  <si>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</si>
  <si>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</si>
  <si>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</si>
  <si>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</si>
  <si>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</si>
  <si>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</si>
  <si>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</si>
  <si>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</si>
  <si>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</si>
  <si>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</si>
  <si>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</si>
  <si>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</si>
  <si>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</si>
  <si>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</si>
  <si>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</si>
  <si>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</si>
  <si>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</si>
  <si>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</si>
  <si>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</si>
  <si>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</si>
  <si>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</si>
  <si>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</si>
  <si>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</si>
  <si>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</si>
  <si>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</si>
  <si>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</si>
  <si>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</si>
  <si>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</si>
  <si>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</si>
  <si>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</si>
  <si>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</si>
  <si>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</si>
  <si>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</si>
  <si>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</si>
  <si>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</si>
  <si>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</si>
  <si>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</si>
  <si>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</si>
  <si>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</si>
  <si>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</si>
  <si>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</si>
  <si>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</si>
  <si>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</si>
  <si>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</si>
  <si>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</si>
  <si>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</si>
  <si>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</si>
  <si>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</si>
  <si>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</si>
  <si>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</si>
  <si>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</si>
  <si>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</si>
  <si>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</si>
  <si>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</si>
  <si>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</si>
  <si>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</si>
  <si>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</si>
  <si>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</si>
  <si>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</si>
  <si>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</si>
  <si>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</si>
  <si>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</si>
  <si>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</si>
  <si>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</si>
  <si>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</si>
  <si>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</si>
  <si>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</si>
  <si>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</si>
  <si>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</si>
  <si>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</si>
  <si>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</si>
  <si>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</si>
  <si>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</si>
  <si>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</si>
  <si>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</si>
  <si>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</si>
  <si>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</si>
  <si>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</si>
  <si>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</si>
  <si>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</si>
  <si>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</si>
  <si>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</si>
  <si>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</si>
  <si>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</si>
  <si>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</si>
  <si>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</si>
  <si>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</si>
  <si>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</si>
  <si>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</si>
  <si>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</si>
  <si>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</si>
  <si>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</si>
  <si>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</si>
  <si>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</si>
  <si>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</si>
  <si>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</si>
  <si>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</si>
  <si>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</si>
  <si>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</si>
  <si>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</si>
  <si>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</si>
  <si>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</si>
  <si>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</si>
  <si>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</si>
  <si>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</si>
  <si>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</si>
  <si>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</si>
  <si>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</si>
  <si>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</si>
  <si>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</si>
  <si>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</si>
  <si>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</si>
  <si>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</si>
  <si>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</si>
  <si>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</si>
  <si>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</si>
  <si>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</si>
  <si>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</si>
  <si>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</si>
  <si>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</si>
  <si>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</si>
  <si>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</si>
  <si>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</si>
  <si>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</si>
  <si>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</si>
  <si>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</si>
  <si>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</si>
  <si>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</si>
  <si>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</si>
  <si>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</si>
  <si>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</si>
  <si>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</si>
  <si>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</si>
  <si>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</si>
  <si>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</si>
  <si>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</si>
  <si>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</si>
  <si>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</si>
  <si>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</si>
  <si>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</si>
  <si>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</si>
  <si>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</si>
  <si>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</si>
  <si>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</si>
  <si>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</si>
  <si>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</si>
  <si>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</si>
  <si>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</si>
  <si>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</si>
  <si>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</si>
  <si>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</si>
  <si>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</si>
  <si>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</si>
  <si>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</si>
  <si>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</si>
  <si>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</si>
  <si>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</si>
  <si>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</si>
  <si>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</si>
  <si>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</si>
  <si>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</si>
  <si>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</si>
  <si>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</si>
  <si>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</si>
  <si>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</si>
  <si>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</si>
  <si>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</si>
  <si>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</si>
  <si>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</si>
  <si>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</si>
  <si>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</si>
  <si>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</si>
  <si>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</si>
  <si>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</si>
  <si>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</si>
  <si>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</si>
  <si>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</si>
  <si>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</si>
  <si>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</si>
  <si>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</si>
  <si>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</si>
  <si>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</si>
  <si>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</si>
  <si>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</si>
  <si>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</si>
  <si>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</si>
  <si>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</si>
  <si>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</si>
  <si>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</si>
  <si>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</si>
  <si>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</si>
  <si>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</si>
  <si>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</si>
  <si>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</si>
  <si>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</si>
  <si>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</si>
  <si>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</si>
  <si>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</si>
  <si>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</si>
  <si>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</si>
  <si>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</si>
  <si>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</si>
  <si>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</si>
  <si>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</si>
  <si>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</si>
  <si>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</si>
  <si>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</si>
  <si>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</si>
  <si>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</si>
  <si>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</si>
  <si>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</si>
  <si>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</si>
  <si>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</si>
  <si>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</si>
  <si>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</si>
  <si>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</si>
  <si>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</si>
  <si>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</si>
  <si>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</si>
  <si>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</si>
  <si>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</si>
  <si>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</si>
  <si>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</si>
  <si>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</si>
  <si>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</si>
  <si>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</si>
  <si>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</si>
  <si>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</si>
  <si>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</si>
  <si>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</si>
  <si>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</si>
  <si>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</si>
  <si>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</si>
  <si>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</si>
  <si>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</si>
  <si>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</si>
  <si>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</si>
  <si>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</si>
  <si>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</si>
  <si>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</si>
  <si>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</si>
  <si>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</si>
  <si>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</si>
  <si>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</si>
  <si>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</si>
  <si>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</si>
  <si>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</si>
  <si>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</si>
  <si>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</si>
  <si>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</si>
  <si>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</si>
  <si>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</si>
  <si>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</si>
  <si>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</si>
  <si>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</si>
  <si>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</si>
  <si>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</si>
  <si>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</si>
  <si>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</si>
  <si>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</si>
  <si>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</si>
  <si>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</si>
  <si>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</si>
  <si>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</si>
  <si>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</si>
  <si>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</si>
  <si>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</si>
  <si>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</si>
  <si>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</si>
  <si>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</si>
  <si>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</si>
  <si>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</si>
  <si>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</si>
  <si>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</si>
  <si>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</si>
  <si>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</si>
  <si>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</si>
  <si>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</si>
  <si>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</si>
  <si>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</si>
  <si>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</si>
  <si>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</si>
  <si>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</si>
  <si>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</si>
  <si>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</si>
  <si>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</si>
  <si>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</si>
  <si>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</si>
  <si>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</si>
  <si>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</si>
  <si>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</si>
  <si>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</si>
  <si>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</si>
  <si>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</si>
  <si>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</si>
  <si>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</si>
  <si>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</si>
  <si>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</si>
  <si>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</si>
  <si>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</si>
  <si>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</si>
  <si>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</si>
  <si>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</si>
  <si>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</si>
  <si>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</si>
  <si>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</si>
  <si>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</si>
  <si>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</si>
  <si>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</si>
  <si>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</si>
  <si>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</si>
  <si>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</si>
  <si>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</si>
  <si>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</si>
  <si>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</si>
  <si>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</si>
  <si>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</si>
  <si>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</si>
  <si>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</si>
  <si>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</si>
  <si>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</si>
  <si>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</si>
  <si>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</si>
  <si>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</si>
  <si>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</si>
  <si>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</si>
  <si>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</si>
  <si>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</si>
  <si>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</si>
  <si>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</si>
  <si>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</si>
  <si>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</si>
  <si>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</si>
  <si>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</si>
  <si>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</si>
  <si>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</si>
  <si>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</si>
  <si>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</si>
  <si>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</si>
  <si>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</si>
  <si>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</si>
  <si>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</si>
  <si>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</si>
  <si>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</si>
  <si>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</si>
  <si>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</si>
  <si>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</si>
  <si>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</si>
  <si>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</si>
  <si>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</si>
  <si>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</si>
  <si>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</si>
  <si>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</si>
  <si>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</si>
  <si>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</si>
  <si>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</si>
  <si>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</si>
  <si>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</si>
  <si>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</si>
  <si>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</si>
  <si>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</si>
  <si>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</si>
  <si>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</si>
  <si>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</si>
  <si>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</si>
  <si>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</si>
  <si>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</si>
  <si>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</si>
  <si>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</si>
  <si>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</si>
  <si>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</si>
  <si>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</si>
  <si>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</si>
  <si>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</si>
  <si>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</si>
  <si>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</si>
  <si>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</si>
  <si>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</si>
  <si>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</si>
  <si>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</si>
  <si>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</si>
  <si>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</si>
  <si>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</si>
  <si>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</si>
  <si>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</si>
  <si>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</si>
  <si>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</si>
  <si>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</si>
  <si>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</si>
  <si>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</si>
  <si>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</si>
  <si>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</si>
  <si>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</si>
  <si>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</si>
  <si>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</si>
  <si>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</si>
  <si>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</si>
  <si>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</si>
  <si>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</si>
  <si>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</si>
  <si>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</si>
  <si>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</si>
  <si>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</si>
  <si>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</si>
  <si>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</si>
  <si>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</si>
  <si>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</si>
  <si>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</si>
  <si>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</si>
  <si>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</si>
  <si>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</si>
  <si>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</si>
  <si>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</si>
  <si>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</si>
  <si>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</si>
  <si>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</si>
  <si>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</si>
  <si>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</si>
  <si>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</si>
  <si>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</si>
  <si>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</si>
  <si>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</si>
  <si>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</si>
  <si>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</si>
  <si>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</si>
  <si>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</si>
  <si>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</si>
  <si>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</si>
  <si>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</si>
  <si>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</si>
  <si>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</si>
  <si>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</si>
  <si>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</si>
  <si>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</si>
  <si>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</si>
  <si>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</si>
  <si>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</si>
  <si>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</si>
  <si>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</si>
  <si>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</si>
  <si>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</si>
  <si>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</si>
  <si>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</si>
  <si>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</si>
  <si>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</si>
  <si>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</si>
  <si>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</si>
  <si>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</si>
  <si>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</si>
  <si>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</si>
  <si>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</si>
  <si>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</si>
  <si>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</si>
  <si>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</si>
  <si>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</si>
  <si>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</si>
  <si>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</si>
  <si>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</si>
  <si>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</si>
  <si>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</si>
  <si>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</si>
  <si>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</si>
  <si>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</si>
  <si>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</si>
  <si>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</si>
  <si>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</si>
  <si>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</si>
  <si>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</si>
  <si>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</si>
  <si>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</si>
  <si>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</si>
  <si>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</si>
  <si>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</si>
  <si>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</si>
  <si>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</si>
  <si>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</si>
  <si>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</si>
  <si>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</si>
  <si>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</si>
  <si>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</si>
  <si>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</si>
  <si>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</si>
  <si>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</si>
  <si>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</si>
  <si>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</si>
  <si>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</si>
  <si>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</si>
  <si>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</si>
  <si>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</si>
  <si>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</si>
  <si>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</si>
  <si>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</si>
  <si>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</si>
  <si>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</si>
  <si>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</si>
  <si>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</si>
  <si>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</si>
  <si>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</si>
  <si>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</si>
  <si>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</si>
  <si>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</si>
  <si>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</si>
  <si>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</si>
  <si>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</si>
  <si>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</si>
  <si>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</si>
  <si>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</si>
  <si>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</si>
  <si>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</si>
  <si>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</si>
  <si>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</si>
  <si>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</si>
  <si>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</si>
  <si>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</si>
  <si>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</si>
  <si>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</si>
  <si>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</si>
  <si>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</si>
  <si>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</si>
  <si>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</si>
  <si>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</si>
  <si>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</si>
  <si>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</si>
  <si>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</si>
  <si>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</si>
  <si>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</si>
  <si>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</si>
  <si>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</si>
  <si>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</si>
  <si>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</si>
  <si>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</si>
  <si>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</si>
  <si>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</si>
  <si>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</si>
  <si>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</si>
  <si>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</si>
  <si>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</si>
  <si>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</si>
  <si>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</si>
  <si>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</si>
  <si>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</si>
  <si>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</si>
  <si>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</si>
  <si>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</si>
  <si>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</si>
  <si>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</si>
  <si>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</si>
  <si>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</si>
  <si>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</si>
  <si>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</si>
  <si>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</si>
  <si>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</si>
  <si>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</si>
  <si>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</si>
  <si>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</si>
  <si>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</si>
  <si>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</si>
  <si>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</si>
  <si>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</si>
  <si>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</si>
  <si>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</si>
  <si>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</si>
  <si>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</si>
  <si>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</si>
  <si>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</si>
  <si>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</si>
  <si>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</si>
  <si>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</si>
  <si>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</si>
  <si>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</si>
  <si>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</si>
  <si>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</si>
  <si>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</si>
  <si>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</si>
  <si>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</si>
  <si>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</si>
  <si>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</si>
  <si>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</si>
  <si>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</si>
  <si>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</si>
  <si>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</si>
  <si>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</si>
  <si>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</si>
  <si>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</si>
  <si>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</si>
  <si>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</si>
  <si>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</si>
  <si>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</si>
  <si>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</si>
  <si>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</si>
  <si>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</si>
  <si>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</si>
  <si>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</si>
  <si>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</si>
  <si>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</si>
  <si>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</si>
  <si>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</si>
  <si>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</si>
  <si>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</si>
  <si>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</si>
  <si>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</si>
  <si>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</si>
  <si>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</si>
  <si>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</si>
  <si>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</si>
  <si>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</si>
  <si>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</si>
  <si>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</si>
  <si>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</si>
  <si>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</si>
  <si>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</si>
  <si>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</si>
  <si>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</si>
  <si>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</si>
  <si>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</si>
  <si>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</si>
  <si>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</si>
  <si>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</si>
  <si>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</si>
  <si>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</si>
  <si>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</si>
  <si>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</si>
  <si>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</si>
  <si>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</si>
  <si>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</si>
  <si>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</si>
  <si>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</si>
  <si>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</si>
  <si>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</si>
  <si>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</si>
  <si>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</si>
  <si>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</si>
  <si>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</si>
  <si>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</si>
  <si>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</si>
  <si>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</si>
  <si>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</si>
  <si>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</si>
  <si>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</si>
  <si>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</si>
  <si>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</si>
  <si>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</si>
  <si>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</si>
  <si>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</si>
  <si>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</si>
  <si>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</si>
  <si>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</si>
  <si>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</si>
  <si>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</si>
  <si>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</si>
  <si>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</si>
  <si>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</si>
  <si>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</si>
  <si>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</si>
  <si>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</si>
  <si>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</si>
  <si>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</si>
  <si>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</si>
  <si>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</si>
  <si>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</si>
  <si>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</si>
  <si>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</si>
  <si>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</si>
  <si>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</si>
  <si>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</si>
  <si>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</si>
  <si>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</si>
  <si>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</si>
  <si>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</si>
  <si>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</si>
  <si>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</si>
  <si>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</si>
  <si>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</si>
  <si>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</si>
  <si>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</si>
  <si>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</si>
  <si>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</si>
  <si>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</si>
  <si>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</si>
  <si>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</si>
  <si>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</si>
  <si>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</si>
  <si>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</si>
  <si>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</si>
  <si>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</si>
  <si>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</si>
  <si>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</si>
  <si>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</si>
  <si>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</si>
  <si>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</si>
  <si>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</si>
  <si>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</si>
  <si>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</si>
  <si>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</si>
  <si>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</si>
  <si>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</si>
  <si>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</si>
  <si>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</si>
  <si>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</si>
  <si>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</si>
  <si>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</si>
  <si>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</si>
  <si>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</si>
  <si>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</si>
  <si>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</si>
  <si>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</si>
  <si>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</si>
  <si>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</si>
  <si>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</si>
  <si>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</si>
  <si>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</si>
  <si>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</si>
  <si>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</si>
  <si>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</si>
  <si>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</si>
  <si>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</si>
  <si>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</si>
  <si>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</si>
  <si>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</si>
  <si>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</si>
  <si>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</si>
  <si>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</si>
  <si>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</si>
  <si>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</si>
  <si>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</si>
  <si>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</si>
  <si>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</si>
  <si>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</si>
  <si>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</si>
  <si>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</si>
  <si>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</si>
  <si>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</si>
  <si>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</si>
  <si>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</si>
  <si>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</si>
  <si>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</si>
  <si>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</si>
  <si>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</si>
  <si>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</si>
  <si>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</si>
  <si>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</si>
  <si>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</si>
  <si>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</si>
  <si>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</si>
  <si>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</si>
  <si>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</si>
  <si>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</si>
  <si>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</si>
  <si>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</si>
  <si>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</si>
  <si>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</si>
  <si>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</si>
  <si>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</si>
  <si>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</si>
  <si>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</si>
  <si>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</si>
  <si>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</si>
  <si>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</si>
  <si>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</si>
  <si>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</si>
  <si>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</si>
  <si>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</si>
  <si>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</si>
  <si>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</si>
  <si>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</si>
  <si>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</si>
  <si>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</si>
  <si>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</si>
  <si>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</si>
  <si>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</si>
  <si>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</si>
  <si>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</si>
  <si>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</si>
  <si>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</si>
  <si>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</si>
  <si>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</si>
  <si>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</si>
  <si>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</si>
  <si>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</si>
  <si>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</si>
  <si>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</si>
  <si>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</si>
  <si>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</si>
  <si>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</si>
  <si>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</si>
  <si>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</si>
  <si>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</si>
  <si>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</si>
  <si>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</si>
  <si>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</si>
  <si>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</si>
  <si>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</si>
  <si>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</si>
  <si>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</si>
  <si>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</si>
  <si>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</si>
  <si>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</si>
  <si>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</si>
  <si>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</si>
  <si>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</si>
  <si>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</si>
  <si>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</si>
  <si>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</si>
  <si>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</si>
  <si>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</si>
  <si>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</si>
  <si>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</si>
  <si>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</si>
  <si>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</si>
  <si>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</si>
  <si>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</si>
  <si>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</si>
  <si>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</si>
  <si>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</si>
  <si>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</si>
  <si>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</si>
  <si>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</si>
  <si>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</si>
  <si>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</si>
  <si>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</si>
  <si>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</si>
  <si>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</si>
  <si>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</si>
  <si>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</si>
  <si>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</si>
  <si>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</si>
  <si>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</si>
  <si>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</si>
  <si>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</si>
  <si>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</si>
  <si>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</si>
  <si>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</si>
  <si>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</si>
  <si>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</si>
  <si>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</si>
  <si>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</si>
  <si>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</si>
  <si>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</si>
  <si>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</si>
  <si>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</si>
  <si>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</si>
  <si>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</si>
  <si>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</si>
  <si>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</si>
  <si>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</si>
  <si>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</si>
  <si>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</si>
  <si>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</si>
  <si>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</si>
  <si>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</si>
  <si>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</si>
  <si>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</si>
  <si>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</si>
  <si>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</si>
  <si>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</si>
  <si>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</si>
  <si>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</si>
  <si>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</si>
  <si>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</si>
  <si>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</si>
  <si>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</si>
  <si>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</si>
  <si>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</si>
  <si>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</si>
  <si>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</si>
  <si>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</si>
  <si>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</si>
  <si>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</si>
  <si>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</si>
  <si>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</si>
  <si>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</si>
  <si>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</si>
  <si>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</si>
  <si>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</si>
  <si>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</si>
  <si>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</si>
  <si>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</si>
  <si>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</si>
  <si>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</si>
  <si>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</si>
  <si>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</si>
  <si>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</si>
  <si>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</si>
  <si>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</si>
  <si>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</si>
  <si>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</si>
  <si>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</si>
  <si>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</si>
  <si>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</si>
  <si>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</si>
  <si>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</si>
  <si>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</si>
  <si>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</si>
  <si>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</si>
  <si>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</si>
  <si>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</si>
  <si>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</si>
  <si>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</si>
  <si>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</si>
  <si>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</si>
  <si>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</si>
  <si>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</si>
  <si>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</si>
  <si>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</si>
  <si>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</si>
  <si>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</si>
  <si>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</si>
  <si>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</si>
  <si>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</si>
  <si>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</si>
  <si>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</si>
  <si>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</si>
  <si>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</si>
  <si>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</si>
  <si>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</si>
  <si>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</si>
  <si>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</si>
  <si>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</si>
  <si>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</si>
  <si>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</si>
  <si>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</si>
  <si>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</si>
  <si>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</si>
  <si>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</si>
  <si>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</si>
  <si>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</si>
  <si>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</si>
  <si>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</si>
  <si>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</si>
  <si>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</si>
  <si>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</si>
  <si>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</si>
  <si>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</si>
  <si>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</si>
  <si>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</si>
  <si>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</si>
  <si>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</si>
  <si>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</si>
  <si>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</si>
  <si>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</si>
  <si>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</si>
  <si>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</si>
  <si>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</si>
  <si>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</si>
  <si>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</si>
  <si>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</si>
  <si>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</si>
  <si>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</si>
  <si>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</si>
  <si>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</si>
  <si>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</si>
  <si>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</si>
  <si>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</si>
  <si>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</si>
  <si>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</si>
  <si>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</si>
  <si>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</si>
  <si>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</si>
  <si>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</si>
  <si>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</si>
  <si>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</si>
  <si>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</si>
  <si>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</si>
  <si>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</si>
  <si>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</si>
  <si>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</si>
  <si>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</si>
  <si>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</si>
  <si>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</si>
  <si>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</si>
  <si>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</si>
  <si>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</si>
  <si>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</si>
  <si>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</si>
  <si>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</si>
  <si>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</si>
  <si>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</si>
  <si>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</si>
  <si>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</si>
  <si>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</si>
  <si>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</si>
  <si>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</si>
  <si>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</si>
  <si>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</si>
  <si>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</si>
  <si>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</si>
  <si>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</si>
  <si>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</si>
  <si>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</si>
  <si>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</si>
  <si>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</si>
  <si>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</si>
  <si>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</si>
  <si>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</si>
  <si>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</si>
  <si>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</si>
  <si>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</si>
  <si>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</si>
  <si>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</si>
  <si>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</si>
  <si>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</si>
  <si>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</si>
  <si>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</si>
  <si>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</si>
  <si>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</si>
  <si>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</si>
  <si>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</si>
  <si>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</si>
  <si>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</si>
  <si>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</si>
  <si>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</si>
  <si>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</si>
  <si>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</si>
  <si>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</si>
  <si>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</si>
  <si>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</si>
  <si>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</si>
  <si>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</si>
  <si>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</si>
  <si>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</si>
  <si>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</si>
  <si>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</si>
  <si>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</si>
  <si>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</si>
  <si>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</si>
  <si>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</si>
  <si>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</si>
  <si>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</si>
  <si>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</si>
  <si>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</si>
  <si>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</si>
  <si>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</si>
  <si>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</si>
  <si>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</si>
  <si>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</si>
  <si>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</si>
  <si>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</si>
  <si>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</si>
  <si>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</si>
  <si>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</si>
  <si>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</si>
  <si>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</si>
  <si>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</si>
  <si>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</si>
  <si>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</si>
  <si>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</si>
  <si>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</si>
  <si>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</si>
  <si>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</si>
  <si>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</si>
  <si>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</si>
  <si>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</si>
  <si>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</si>
  <si>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</si>
  <si>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</si>
  <si>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</si>
  <si>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</si>
  <si>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</si>
  <si>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</si>
  <si>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</si>
  <si>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</si>
  <si>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</si>
  <si>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</si>
  <si>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</si>
  <si>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</si>
  <si>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</si>
  <si>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</si>
  <si>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</si>
  <si>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</si>
  <si>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</si>
  <si>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</si>
  <si>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</si>
  <si>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</si>
  <si>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</si>
  <si>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</si>
  <si>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</si>
  <si>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</si>
  <si>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</si>
  <si>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</si>
  <si>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</si>
  <si>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</si>
  <si>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</si>
  <si>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</si>
  <si>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</si>
  <si>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</si>
  <si>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</si>
  <si>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</si>
  <si>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</si>
  <si>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</si>
  <si>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</si>
  <si>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</si>
  <si>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</si>
  <si>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</si>
  <si>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</si>
  <si>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</si>
  <si>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</si>
  <si>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</si>
  <si>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</si>
  <si>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</si>
  <si>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</si>
  <si>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</si>
  <si>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</si>
  <si>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</si>
  <si>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</si>
  <si>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</si>
  <si>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</si>
  <si>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</si>
  <si>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</si>
  <si>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</si>
  <si>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</si>
  <si>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</si>
  <si>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</si>
  <si>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</si>
  <si>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</si>
  <si>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</si>
  <si>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</si>
  <si>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</si>
  <si>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</si>
  <si>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</si>
  <si>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</si>
  <si>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</si>
  <si>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</si>
  <si>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</si>
  <si>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</si>
  <si>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</si>
  <si>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</si>
  <si>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</si>
  <si>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</si>
  <si>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</si>
  <si>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</si>
  <si>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</si>
  <si>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</si>
  <si>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</si>
  <si>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</si>
  <si>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</si>
  <si>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</si>
  <si>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</si>
  <si>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</si>
  <si>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</si>
  <si>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</si>
  <si>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</si>
  <si>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</si>
  <si>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</si>
  <si>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</si>
  <si>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</si>
  <si>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</si>
  <si>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</si>
  <si>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</si>
  <si>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</si>
  <si>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</si>
  <si>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</si>
  <si>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</si>
  <si>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</si>
  <si>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</si>
  <si>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</si>
  <si>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</si>
  <si>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</si>
  <si>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</si>
  <si>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</si>
  <si>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</si>
  <si>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</si>
  <si>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</si>
  <si>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</si>
  <si>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</si>
  <si>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</si>
  <si>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</si>
  <si>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</si>
  <si>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</si>
  <si>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</si>
  <si>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</si>
  <si>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</si>
  <si>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</si>
  <si>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</si>
  <si>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</si>
  <si>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</si>
  <si>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</si>
  <si>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</si>
  <si>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</si>
  <si>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</si>
  <si>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</si>
  <si>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</si>
  <si>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</si>
  <si>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</si>
  <si>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</si>
  <si>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</si>
  <si>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</si>
  <si>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</si>
  <si>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</si>
  <si>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</si>
  <si>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</si>
  <si>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</si>
  <si>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</si>
  <si>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</si>
  <si>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</si>
  <si>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</si>
  <si>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</si>
  <si>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</si>
  <si>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</si>
  <si>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</si>
  <si>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</si>
  <si>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</si>
  <si>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</si>
  <si>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</si>
  <si>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</si>
  <si>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</si>
  <si>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</si>
  <si>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</si>
  <si>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</si>
  <si>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</si>
  <si>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</si>
  <si>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</si>
  <si>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</si>
  <si>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</si>
  <si>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</si>
  <si>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</si>
  <si>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</si>
  <si>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</si>
  <si>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</si>
  <si>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</si>
  <si>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</si>
  <si>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</si>
  <si>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</si>
  <si>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</si>
  <si>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</si>
  <si>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</si>
  <si>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</si>
  <si>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</si>
  <si>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</si>
  <si>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</si>
  <si>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</si>
  <si>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</si>
  <si>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</si>
  <si>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</si>
  <si>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</si>
  <si>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</si>
  <si>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</si>
  <si>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</si>
  <si>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</si>
  <si>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</si>
  <si>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</si>
  <si>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</si>
  <si>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</si>
  <si>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</si>
  <si>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</si>
  <si>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</si>
  <si>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</si>
  <si>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</si>
  <si>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</si>
  <si>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</si>
  <si>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</si>
  <si>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</si>
  <si>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</si>
  <si>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</si>
  <si>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</si>
  <si>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</si>
  <si>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</si>
  <si>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</si>
  <si>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</si>
  <si>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</si>
  <si>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</si>
  <si>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</si>
  <si>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</si>
  <si>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</si>
  <si>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</si>
  <si>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</si>
  <si>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</si>
  <si>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</si>
  <si>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</si>
  <si>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</si>
  <si>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</si>
  <si>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</si>
  <si>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</si>
  <si>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</si>
  <si>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</si>
  <si>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</si>
  <si>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</si>
  <si>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</si>
  <si>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</si>
  <si>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</si>
  <si>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</si>
  <si>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</si>
  <si>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</si>
  <si>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</si>
  <si>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</si>
  <si>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</si>
  <si>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</si>
  <si>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</si>
  <si>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</si>
  <si>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</si>
  <si>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</si>
  <si>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</si>
  <si>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</si>
  <si>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</si>
  <si>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</si>
  <si>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</si>
  <si>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</si>
  <si>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</si>
  <si>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</si>
  <si>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</si>
  <si>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</si>
  <si>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</si>
  <si>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</si>
  <si>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</si>
  <si>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</si>
  <si>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</si>
  <si>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</si>
  <si>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</si>
  <si>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</si>
  <si>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</si>
  <si>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</si>
  <si>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</si>
  <si>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</si>
  <si>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</si>
  <si>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</si>
  <si>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</si>
  <si>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</si>
  <si>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</si>
  <si>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</si>
  <si>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</si>
  <si>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</si>
  <si>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</si>
  <si>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</si>
  <si>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</si>
  <si>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</si>
  <si>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</si>
  <si>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</si>
  <si>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</si>
  <si>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</si>
  <si>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</si>
  <si>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</si>
  <si>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</si>
  <si>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</si>
  <si>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</si>
  <si>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</si>
  <si>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</si>
  <si>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</si>
  <si>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</si>
  <si>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</si>
  <si>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</si>
  <si>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</si>
  <si>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</si>
  <si>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</si>
  <si>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</si>
  <si>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</si>
  <si>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</si>
  <si>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</si>
  <si>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</si>
  <si>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</si>
  <si>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</si>
  <si>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</si>
  <si>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</si>
  <si>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</si>
  <si>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</si>
  <si>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</si>
  <si>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</si>
  <si>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</si>
  <si>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</si>
  <si>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</si>
  <si>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</si>
  <si>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</si>
  <si>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</si>
  <si>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</si>
  <si>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</si>
  <si>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</si>
  <si>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</si>
  <si>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</si>
  <si>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</si>
  <si>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</si>
  <si>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</si>
  <si>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</si>
  <si>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</si>
  <si>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</si>
  <si>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</si>
  <si>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</si>
  <si>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</si>
  <si>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</si>
  <si>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</si>
  <si>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</si>
  <si>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</si>
  <si>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</si>
  <si>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</si>
  <si>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</si>
  <si>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</si>
  <si>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</si>
  <si>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</si>
  <si>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</si>
  <si>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</si>
  <si>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</si>
  <si>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МФО "ФинТехЛаб"</t>
  </si>
  <si>
    <t>Национальный управляющий холдинг "Байтерек"</t>
  </si>
  <si>
    <t>2AKZM</t>
  </si>
  <si>
    <t>3ALMSb1</t>
  </si>
  <si>
    <t>4BCCI_cc</t>
  </si>
  <si>
    <t>5BCCIbe</t>
  </si>
  <si>
    <t>6BCCIrb</t>
  </si>
  <si>
    <t>7BCCIwah</t>
  </si>
  <si>
    <t>Доходность до погашения, % годовых</t>
  </si>
  <si>
    <t>7,99</t>
  </si>
  <si>
    <t>20,23</t>
  </si>
  <si>
    <t>5,20</t>
  </si>
  <si>
    <t>16,22</t>
  </si>
  <si>
    <t>17,48</t>
  </si>
  <si>
    <t>18,25</t>
  </si>
  <si>
    <t>18,47</t>
  </si>
  <si>
    <t>4,90</t>
  </si>
  <si>
    <t>МФО "Деньги говорят"</t>
  </si>
  <si>
    <t>11,00</t>
  </si>
  <si>
    <t>17,06</t>
  </si>
  <si>
    <t>12,99</t>
  </si>
  <si>
    <t>12,91</t>
  </si>
  <si>
    <t>13,07</t>
  </si>
  <si>
    <t>13,06</t>
  </si>
  <si>
    <t>12,88</t>
  </si>
  <si>
    <t>12,95</t>
  </si>
  <si>
    <t>12,97</t>
  </si>
  <si>
    <t>12,98</t>
  </si>
  <si>
    <t>12,93</t>
  </si>
  <si>
    <t>17,03</t>
  </si>
  <si>
    <t>17,07</t>
  </si>
  <si>
    <t>17,09</t>
  </si>
  <si>
    <t>17,02</t>
  </si>
  <si>
    <t>17,04</t>
  </si>
  <si>
    <t>17,05</t>
  </si>
  <si>
    <t>17,08</t>
  </si>
  <si>
    <t>15,44</t>
  </si>
  <si>
    <t>KZW100014346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</si>
  <si>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</si>
  <si>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</si>
  <si>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</si>
  <si>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</si>
  <si>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</si>
  <si>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</si>
  <si>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</si>
  <si>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</si>
  <si>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</si>
  <si>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</si>
  <si>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</si>
  <si>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NTK028_2868</t>
  </si>
  <si>
    <t>SFKFb1</t>
  </si>
  <si>
    <t>KZ2P00014632</t>
  </si>
  <si>
    <t>ТОО "СФК "СМК ФФ-1"</t>
  </si>
  <si>
    <t>Tesla, Inc.</t>
  </si>
  <si>
    <t>5,72</t>
  </si>
  <si>
    <t>3,08</t>
  </si>
  <si>
    <t>12,00</t>
  </si>
  <si>
    <t>16,90</t>
  </si>
  <si>
    <t>12,56</t>
  </si>
  <si>
    <t>16,94</t>
  </si>
  <si>
    <t>16,97</t>
  </si>
  <si>
    <t>17,00</t>
  </si>
  <si>
    <t>16,99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</si>
  <si>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</si>
  <si>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</si>
  <si>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</si>
  <si>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</si>
  <si>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</si>
  <si>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</si>
  <si>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</si>
  <si>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</si>
  <si>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</si>
  <si>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</si>
  <si>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</si>
  <si>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</si>
  <si>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</si>
  <si>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8BIGDb1</t>
  </si>
  <si>
    <t>9BIGDb2</t>
  </si>
  <si>
    <t>10BIGDb5</t>
  </si>
  <si>
    <t>11BIGDb6</t>
  </si>
  <si>
    <t>4,68</t>
  </si>
  <si>
    <t>1 050 (3)</t>
  </si>
  <si>
    <t>892 (2)</t>
  </si>
  <si>
    <t>27HCBNb13</t>
  </si>
  <si>
    <t>28HFINhl</t>
  </si>
  <si>
    <t>29HFINhp</t>
  </si>
  <si>
    <t>30HFINhs</t>
  </si>
  <si>
    <t>31HFINhv</t>
  </si>
  <si>
    <t>32HSBK</t>
  </si>
  <si>
    <t>33HSBKb22</t>
  </si>
  <si>
    <t>34HSBKd</t>
  </si>
  <si>
    <t>35IFDR</t>
  </si>
  <si>
    <t>6,27</t>
  </si>
  <si>
    <t>609 (2)</t>
  </si>
  <si>
    <t>18,98</t>
  </si>
  <si>
    <t>569 (2)</t>
  </si>
  <si>
    <t>22,40</t>
  </si>
  <si>
    <t>22,00</t>
  </si>
  <si>
    <t>59MFOKb16</t>
  </si>
  <si>
    <t>60MFOKb18</t>
  </si>
  <si>
    <t>61MFOKb20</t>
  </si>
  <si>
    <t>22,63</t>
  </si>
  <si>
    <t>62MFOKb21</t>
  </si>
  <si>
    <t>63MFOKb22</t>
  </si>
  <si>
    <t>64MFOKb24</t>
  </si>
  <si>
    <t>65MFOKb25</t>
  </si>
  <si>
    <t>66MFOKb26</t>
  </si>
  <si>
    <t>67MFRFb11</t>
  </si>
  <si>
    <t>109 (0)</t>
  </si>
  <si>
    <t>881 (2)</t>
  </si>
  <si>
    <t>16,30</t>
  </si>
  <si>
    <t>612 (2)</t>
  </si>
  <si>
    <t>13,01</t>
  </si>
  <si>
    <t>37 (0)</t>
  </si>
  <si>
    <t>16,93</t>
  </si>
  <si>
    <t>16,98</t>
  </si>
  <si>
    <t>1 133 (3)</t>
  </si>
  <si>
    <t>26 (0)</t>
  </si>
  <si>
    <t>371 (1)</t>
  </si>
  <si>
    <t>Tengri Partners Investment Banking (Kazakhstan)</t>
  </si>
  <si>
    <t>Расчетная цена на 20.10.25</t>
  </si>
  <si>
    <t>Расчетная грязная цена 20.10.25</t>
  </si>
  <si>
    <t>786 (2)</t>
  </si>
  <si>
    <t>19,01</t>
  </si>
  <si>
    <t>5,48</t>
  </si>
  <si>
    <t>18,99</t>
  </si>
  <si>
    <t>579 (2)</t>
  </si>
  <si>
    <t>688 (2)</t>
  </si>
  <si>
    <t>12BRKZe12</t>
  </si>
  <si>
    <t>1 996 (6)</t>
  </si>
  <si>
    <t>13BRKZe16</t>
  </si>
  <si>
    <t>1 443 (4)</t>
  </si>
  <si>
    <t>14BRKZe18</t>
  </si>
  <si>
    <t>1 607 (4)</t>
  </si>
  <si>
    <t>15BRKZe21</t>
  </si>
  <si>
    <t>1 047 (3)</t>
  </si>
  <si>
    <t>16BTRKe1</t>
  </si>
  <si>
    <t>4,78</t>
  </si>
  <si>
    <t>918 (3)</t>
  </si>
  <si>
    <t>17CCBN</t>
  </si>
  <si>
    <t>18CCBNp</t>
  </si>
  <si>
    <t>19CSECfe</t>
  </si>
  <si>
    <t>20CSECtf</t>
  </si>
  <si>
    <t>21EABRb40</t>
  </si>
  <si>
    <t>5,84</t>
  </si>
  <si>
    <t>150 (0)</t>
  </si>
  <si>
    <t>22EABRb42</t>
  </si>
  <si>
    <t>858 (2)</t>
  </si>
  <si>
    <t>23EABRb53</t>
  </si>
  <si>
    <t>889 (2)</t>
  </si>
  <si>
    <t>24FFIN_or</t>
  </si>
  <si>
    <t>25FFINgw</t>
  </si>
  <si>
    <t>26FPSTb5</t>
  </si>
  <si>
    <t>BASS Gold</t>
  </si>
  <si>
    <t>10,74</t>
  </si>
  <si>
    <t>314 (1)</t>
  </si>
  <si>
    <t>847 (2)</t>
  </si>
  <si>
    <t>18,09</t>
  </si>
  <si>
    <t>774 (2)</t>
  </si>
  <si>
    <t>36KAFIb16</t>
  </si>
  <si>
    <t>КазАгроФинанс</t>
  </si>
  <si>
    <t>1 787 (5)</t>
  </si>
  <si>
    <t>37KAFIb17</t>
  </si>
  <si>
    <t>38KASAb1</t>
  </si>
  <si>
    <t>6,04</t>
  </si>
  <si>
    <t>940 (3)</t>
  </si>
  <si>
    <t>39KCEL</t>
  </si>
  <si>
    <t>40KEGC</t>
  </si>
  <si>
    <t>41KMGZ</t>
  </si>
  <si>
    <t>42KMGZe12</t>
  </si>
  <si>
    <t>7 739 (21)</t>
  </si>
  <si>
    <t>43KMGZe15</t>
  </si>
  <si>
    <t>6,47</t>
  </si>
  <si>
    <t>8 284 (23)</t>
  </si>
  <si>
    <t>44KMGZe16</t>
  </si>
  <si>
    <t>4,92</t>
  </si>
  <si>
    <t>2 694 (7)</t>
  </si>
  <si>
    <t>45KSPId</t>
  </si>
  <si>
    <t>46KZAP</t>
  </si>
  <si>
    <t>47KZTCb3</t>
  </si>
  <si>
    <t>867 (2)</t>
  </si>
  <si>
    <t>48KZTK</t>
  </si>
  <si>
    <t>49KZTKp</t>
  </si>
  <si>
    <t>50KZTO</t>
  </si>
  <si>
    <t>51KZ_23_3504</t>
  </si>
  <si>
    <t>3 409 (9)</t>
  </si>
  <si>
    <t>52MFDFb1</t>
  </si>
  <si>
    <t>21,54</t>
  </si>
  <si>
    <t>93 (0)</t>
  </si>
  <si>
    <t>53MFDGb1</t>
  </si>
  <si>
    <t>23,01</t>
  </si>
  <si>
    <t>389 (1)</t>
  </si>
  <si>
    <t>54MFMCb2</t>
  </si>
  <si>
    <t>19,04</t>
  </si>
  <si>
    <t>384 (1)</t>
  </si>
  <si>
    <t>55MFMOb23</t>
  </si>
  <si>
    <t>42,84</t>
  </si>
  <si>
    <t>566 (2)</t>
  </si>
  <si>
    <t>56MFMOb24</t>
  </si>
  <si>
    <t>57MFMOb27</t>
  </si>
  <si>
    <t>613 (2)</t>
  </si>
  <si>
    <t>58MFMOb29</t>
  </si>
  <si>
    <t>706 (2)</t>
  </si>
  <si>
    <t>23,61</t>
  </si>
  <si>
    <t>24 (0)</t>
  </si>
  <si>
    <t>22,62</t>
  </si>
  <si>
    <t>186 (1)</t>
  </si>
  <si>
    <t>655 (2)</t>
  </si>
  <si>
    <t>21,17</t>
  </si>
  <si>
    <t>818 (2)</t>
  </si>
  <si>
    <t>22,76</t>
  </si>
  <si>
    <t>361 (1)</t>
  </si>
  <si>
    <t>21,53</t>
  </si>
  <si>
    <t>862 (2)</t>
  </si>
  <si>
    <t>22,07</t>
  </si>
  <si>
    <t>33,11</t>
  </si>
  <si>
    <t>960 (3)</t>
  </si>
  <si>
    <t>119,75</t>
  </si>
  <si>
    <t>106 (0)</t>
  </si>
  <si>
    <t>68MFRFb14</t>
  </si>
  <si>
    <t>24,04</t>
  </si>
  <si>
    <t>370 (1)</t>
  </si>
  <si>
    <t>69MFRFb16</t>
  </si>
  <si>
    <t>23,16</t>
  </si>
  <si>
    <t>878 (2)</t>
  </si>
  <si>
    <t>70MFRFb19</t>
  </si>
  <si>
    <t>24,70</t>
  </si>
  <si>
    <t>966 (3)</t>
  </si>
  <si>
    <t>71MFRFb9</t>
  </si>
  <si>
    <t>44,36</t>
  </si>
  <si>
    <t>414 (1)</t>
  </si>
  <si>
    <t>72MFTSb1</t>
  </si>
  <si>
    <t>21,44</t>
  </si>
  <si>
    <t>54 (0)</t>
  </si>
  <si>
    <t>73MFTSb2</t>
  </si>
  <si>
    <t>21,77</t>
  </si>
  <si>
    <t>269 (1)</t>
  </si>
  <si>
    <t>74MFTSb3</t>
  </si>
  <si>
    <t>21,62</t>
  </si>
  <si>
    <t>625 (2)</t>
  </si>
  <si>
    <t>75MKM012_0159</t>
  </si>
  <si>
    <t>15,72</t>
  </si>
  <si>
    <t>4 (0)</t>
  </si>
  <si>
    <t>76MKM012_0160</t>
  </si>
  <si>
    <t>15,99</t>
  </si>
  <si>
    <t>77MKM012_0161</t>
  </si>
  <si>
    <t>16,28</t>
  </si>
  <si>
    <t>207 (1)</t>
  </si>
  <si>
    <t>78MOM048_0052</t>
  </si>
  <si>
    <t>16,39</t>
  </si>
  <si>
    <t>91 (0)</t>
  </si>
  <si>
    <t>79MOM048_0053</t>
  </si>
  <si>
    <t>16,15</t>
  </si>
  <si>
    <t>244 (1)</t>
  </si>
  <si>
    <t>80MOM048_0054</t>
  </si>
  <si>
    <t>16,18</t>
  </si>
  <si>
    <t>326 (1)</t>
  </si>
  <si>
    <t>81MOM048_0056</t>
  </si>
  <si>
    <t>16,26</t>
  </si>
  <si>
    <t>1 367 (4)</t>
  </si>
  <si>
    <t>82MOM060_0052</t>
  </si>
  <si>
    <t>16,17</t>
  </si>
  <si>
    <t>284 (1)</t>
  </si>
  <si>
    <t>83MOM060_0054</t>
  </si>
  <si>
    <t>748 (2)</t>
  </si>
  <si>
    <t>84MOM060_0055</t>
  </si>
  <si>
    <t>1 789 (5)</t>
  </si>
  <si>
    <t>85MTC048_0001</t>
  </si>
  <si>
    <t>1 379 (4)</t>
  </si>
  <si>
    <t>86MTM048_0001</t>
  </si>
  <si>
    <t>17,10</t>
  </si>
  <si>
    <t>319 (1)</t>
  </si>
  <si>
    <t>87MTM060_0001</t>
  </si>
  <si>
    <t>17,32</t>
  </si>
  <si>
    <t>714 (2)</t>
  </si>
  <si>
    <t>88MTM072_0001</t>
  </si>
  <si>
    <t>17,50</t>
  </si>
  <si>
    <t>1 108 (3)</t>
  </si>
  <si>
    <t>89MTM084_0001</t>
  </si>
  <si>
    <t>17,60</t>
  </si>
  <si>
    <t>1 573 (4)</t>
  </si>
  <si>
    <t>90MTM096_0001</t>
  </si>
  <si>
    <t>17,70</t>
  </si>
  <si>
    <t>1 883 (5)</t>
  </si>
  <si>
    <t>91MUJ144_0005</t>
  </si>
  <si>
    <t>12,29</t>
  </si>
  <si>
    <t>92MUJ156_0004</t>
  </si>
  <si>
    <t>340 (1)</t>
  </si>
  <si>
    <t>93MUJ168_0004</t>
  </si>
  <si>
    <t>159 (0)</t>
  </si>
  <si>
    <t>94MUJ168_0005</t>
  </si>
  <si>
    <t>12,90</t>
  </si>
  <si>
    <t>308 (1)</t>
  </si>
  <si>
    <t>95MUJ180_0007</t>
  </si>
  <si>
    <t>12,23</t>
  </si>
  <si>
    <t>8 (0)</t>
  </si>
  <si>
    <t>96MUJ180_0008</t>
  </si>
  <si>
    <t>97MUJ192_0002</t>
  </si>
  <si>
    <t>9 (0)</t>
  </si>
  <si>
    <t>98MUJ192_0003</t>
  </si>
  <si>
    <t>12,69</t>
  </si>
  <si>
    <t>218 (1)</t>
  </si>
  <si>
    <t>99MUJ192_0004</t>
  </si>
  <si>
    <t>1 564 (4)</t>
  </si>
  <si>
    <t>100MUJ204_0001</t>
  </si>
  <si>
    <t>101MUJ204_0002</t>
  </si>
  <si>
    <t>12,83</t>
  </si>
  <si>
    <t>280 (1)</t>
  </si>
  <si>
    <t>102MUJ204_0003</t>
  </si>
  <si>
    <t>549 (2)</t>
  </si>
  <si>
    <t>103MUJ204_0004</t>
  </si>
  <si>
    <t>639 (2)</t>
  </si>
  <si>
    <t>104MUJ204_0005</t>
  </si>
  <si>
    <t>1 208 (3)</t>
  </si>
  <si>
    <t>105MUJ204_0006</t>
  </si>
  <si>
    <t>1 328 (4)</t>
  </si>
  <si>
    <t>106MUJ216_0001</t>
  </si>
  <si>
    <t>107MUJ216_0002</t>
  </si>
  <si>
    <t>756 (2)</t>
  </si>
  <si>
    <t>108MUJ216_0003</t>
  </si>
  <si>
    <t>845 (2)</t>
  </si>
  <si>
    <t>109MUJ216_0004</t>
  </si>
  <si>
    <t>1 387 (4)</t>
  </si>
  <si>
    <t>110MUJ216_0005</t>
  </si>
  <si>
    <t>1 660 (5)</t>
  </si>
  <si>
    <t>111MUJ228_0001</t>
  </si>
  <si>
    <t>1 027 (3)</t>
  </si>
  <si>
    <t>112MUJ228_0002</t>
  </si>
  <si>
    <t>1 150 (3)</t>
  </si>
  <si>
    <t>113MUJ228_0003</t>
  </si>
  <si>
    <t>1 329 (4)</t>
  </si>
  <si>
    <t>114MUJ228_0004</t>
  </si>
  <si>
    <t>1 538 (4)</t>
  </si>
  <si>
    <t>115MUJ228_0005</t>
  </si>
  <si>
    <t>1 779 (5)</t>
  </si>
  <si>
    <t>116MUJ228_0006</t>
  </si>
  <si>
    <t>2 137 (6)</t>
  </si>
  <si>
    <t>117MUJ240_0001</t>
  </si>
  <si>
    <t>2 229 (6)</t>
  </si>
  <si>
    <t>118MUM072_0013</t>
  </si>
  <si>
    <t>16,77</t>
  </si>
  <si>
    <t>119MUM072_0014</t>
  </si>
  <si>
    <t>16,88</t>
  </si>
  <si>
    <t>1 213 (3)</t>
  </si>
  <si>
    <t>120MUM072_0015</t>
  </si>
  <si>
    <t>1 577 (4)</t>
  </si>
  <si>
    <t>121MUM084_0018</t>
  </si>
  <si>
    <t>16,85</t>
  </si>
  <si>
    <t>122MUM084_0019</t>
  </si>
  <si>
    <t>1 922 (5)</t>
  </si>
  <si>
    <t>123MUM084_0020</t>
  </si>
  <si>
    <t>2 296 (6)</t>
  </si>
  <si>
    <t>124MUM096_0011</t>
  </si>
  <si>
    <t>1 087 (3)</t>
  </si>
  <si>
    <t>125MUM096_0012</t>
  </si>
  <si>
    <t>16,91</t>
  </si>
  <si>
    <t>1 358 (4)</t>
  </si>
  <si>
    <t>126MUM096_0013</t>
  </si>
  <si>
    <t>1 544 (4)</t>
  </si>
  <si>
    <t>127MUM096_0014</t>
  </si>
  <si>
    <t>2 002 (6)</t>
  </si>
  <si>
    <t>128MUM096_0015</t>
  </si>
  <si>
    <t>2 745 (8)</t>
  </si>
  <si>
    <t>129MUM108_0012</t>
  </si>
  <si>
    <t>16,79</t>
  </si>
  <si>
    <t>253 (1)</t>
  </si>
  <si>
    <t>130MUM108_0013</t>
  </si>
  <si>
    <t>1 241 (3)</t>
  </si>
  <si>
    <t>131MUM108_0014</t>
  </si>
  <si>
    <t>2 369 (7)</t>
  </si>
  <si>
    <t>132MUM108_0015</t>
  </si>
  <si>
    <t>3 016 (8)</t>
  </si>
  <si>
    <t>133MUM120_0017</t>
  </si>
  <si>
    <t>16,76</t>
  </si>
  <si>
    <t>496 (1)</t>
  </si>
  <si>
    <t>134MUM120_0018</t>
  </si>
  <si>
    <t>135MUM120_0019</t>
  </si>
  <si>
    <t>1 947 (5)</t>
  </si>
  <si>
    <t>136MUM120_0020</t>
  </si>
  <si>
    <t>3 353 (9)</t>
  </si>
  <si>
    <t>137MUM132_0007</t>
  </si>
  <si>
    <t>2 436 (7)</t>
  </si>
  <si>
    <t>138MUM144_0009</t>
  </si>
  <si>
    <t>2 823 (8)</t>
  </si>
  <si>
    <t>139MUM156_0005</t>
  </si>
  <si>
    <t>600 (2)</t>
  </si>
  <si>
    <t>140MUM156_0006</t>
  </si>
  <si>
    <t>2 000 (6)</t>
  </si>
  <si>
    <t>141MUM156_0007</t>
  </si>
  <si>
    <t>2 997 (8)</t>
  </si>
  <si>
    <t>142MUM156_0008</t>
  </si>
  <si>
    <t>4 532 (13)</t>
  </si>
  <si>
    <t>143MUM168_0002</t>
  </si>
  <si>
    <t>17,42</t>
  </si>
  <si>
    <t>144MUM168_0003</t>
  </si>
  <si>
    <t>2 336 (6)</t>
  </si>
  <si>
    <t>145MUM168_0005</t>
  </si>
  <si>
    <t>3 380 (9)</t>
  </si>
  <si>
    <t>146MUM180_0003</t>
  </si>
  <si>
    <t>17,25</t>
  </si>
  <si>
    <t>34 (0)</t>
  </si>
  <si>
    <t>147MUM180_0004</t>
  </si>
  <si>
    <t>16,81</t>
  </si>
  <si>
    <t>298 (1)</t>
  </si>
  <si>
    <t>148MUM180_0005</t>
  </si>
  <si>
    <t>16,83</t>
  </si>
  <si>
    <t>393 (1)</t>
  </si>
  <si>
    <t>149MUM180_0006</t>
  </si>
  <si>
    <t>16,75</t>
  </si>
  <si>
    <t>517 (1)</t>
  </si>
  <si>
    <t>150MUM180_0007</t>
  </si>
  <si>
    <t>16,82</t>
  </si>
  <si>
    <t>151MUM180_0008</t>
  </si>
  <si>
    <t>724 (2)</t>
  </si>
  <si>
    <t>152MUM180_0009</t>
  </si>
  <si>
    <t>1 130 (3)</t>
  </si>
  <si>
    <t>153MUM180_0011</t>
  </si>
  <si>
    <t>1 373 (4)</t>
  </si>
  <si>
    <t>154MUM180_0012</t>
  </si>
  <si>
    <t>155MUM180_0013</t>
  </si>
  <si>
    <t>2 684 (7)</t>
  </si>
  <si>
    <t>156MUM180_0014</t>
  </si>
  <si>
    <t>2 703 (8)</t>
  </si>
  <si>
    <t>157MUM180_0015</t>
  </si>
  <si>
    <t>3 905 (11)</t>
  </si>
  <si>
    <t>158MUM180_0016</t>
  </si>
  <si>
    <t>4 058 (11)</t>
  </si>
  <si>
    <t>159MUM192_0001</t>
  </si>
  <si>
    <t>719 (2)</t>
  </si>
  <si>
    <t>160MUM192_0002</t>
  </si>
  <si>
    <t>898 (2)</t>
  </si>
  <si>
    <t>161MUM192_0003</t>
  </si>
  <si>
    <t>16,89</t>
  </si>
  <si>
    <t>162MUM216_0001</t>
  </si>
  <si>
    <t>3 880 (11)</t>
  </si>
  <si>
    <t>163MUM216_0002</t>
  </si>
  <si>
    <t>4 071 (11)</t>
  </si>
  <si>
    <t>164MUM240_0001</t>
  </si>
  <si>
    <t>2 344 (7)</t>
  </si>
  <si>
    <t>165MUM240_0002</t>
  </si>
  <si>
    <t>3 082 (9)</t>
  </si>
  <si>
    <t>166MUM240_0004</t>
  </si>
  <si>
    <t>3 339 (9)</t>
  </si>
  <si>
    <t>167MUM300_0001</t>
  </si>
  <si>
    <t>4 740 (13)</t>
  </si>
  <si>
    <t>168MUM300_0002</t>
  </si>
  <si>
    <t>4 955 (14)</t>
  </si>
  <si>
    <t>169MUM300_0003</t>
  </si>
  <si>
    <t>17,11</t>
  </si>
  <si>
    <t>5 166 (14)</t>
  </si>
  <si>
    <t>170MUM360_0001</t>
  </si>
  <si>
    <t>6 816 (19)</t>
  </si>
  <si>
    <t>171MUX072_0003</t>
  </si>
  <si>
    <t>1 961 (5)</t>
  </si>
  <si>
    <t>172NCOMb7</t>
  </si>
  <si>
    <t>173NTK028_2868</t>
  </si>
  <si>
    <t>15,76</t>
  </si>
  <si>
    <t>23 (0)</t>
  </si>
  <si>
    <t>174PRKRe1</t>
  </si>
  <si>
    <t>157 (0)</t>
  </si>
  <si>
    <t>175SKKZe1</t>
  </si>
  <si>
    <t>5,01</t>
  </si>
  <si>
    <t>368 (1)</t>
  </si>
  <si>
    <t>176TPIB</t>
  </si>
  <si>
    <t>KFUSb105</t>
  </si>
  <si>
    <t>KZ2C00015105</t>
  </si>
  <si>
    <t>Евразийский Банк Развития</t>
  </si>
  <si>
    <t>]\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</si>
</sst>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0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14" fontId="32" fillId="0" borderId="0" xfId="0" applyNumberFormat="1" applyFont="1"/>
    <xf numFmtId="176" fontId="10" fillId="0" borderId="4" xfId="129" applyNumberFormat="1" applyFont="1" applyFill="1" applyBorder="1" applyAlignment="1"/>
    <xf numFmtId="0" fontId="10" fillId="0" borderId="12" xfId="129" applyNumberFormat="1" applyFont="1" applyFill="1" applyBorder="1" applyAlignment="1"/>
    <xf numFmtId="0" fontId="10" fillId="0" borderId="4" xfId="129" applyNumberFormat="1" applyFont="1" applyFill="1" applyBorder="1" applyAlignment="1"/>
    <xf numFmtId="177" fontId="10" fillId="0" borderId="4" xfId="129" applyNumberFormat="1" applyFont="1" applyFill="1" applyBorder="1" applyAlignment="1"/>
    <xf numFmtId="176" fontId="10" fillId="0" borderId="0" xfId="129" applyNumberFormat="1" applyFont="1" applyFill="1" applyBorder="1" applyAlignment="1"/>
    <xf numFmtId="4" fontId="10" fillId="0" borderId="0" xfId="129" applyNumberFormat="1" applyFont="1" applyFill="1" applyBorder="1" applyAlignment="1"/>
    <xf numFmtId="169" fontId="10" fillId="0" borderId="0" xfId="129" applyNumberFormat="1" applyFont="1" applyFill="1" applyBorder="1" applyAlignment="1"/>
    <xf numFmtId="178" fontId="10" fillId="0" borderId="0" xfId="129" applyNumberFormat="1" applyFont="1" applyFill="1" applyBorder="1" applyAlignment="1"/>
    <xf numFmtId="3" fontId="10" fillId="0" borderId="0" xfId="129" applyNumberFormat="1" applyFont="1" applyFill="1" applyBorder="1" applyAlignment="1"/>
    <xf numFmtId="4" fontId="11" fillId="0" borderId="5" xfId="0" applyNumberFormat="1" applyFont="1" applyBorder="1" applyAlignment="1">
      <alignment horizontal="right" vertical="center" indent="1"/>
    </xf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0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2" TargetMode="External"/><Relationship Id="rId299" Type="http://schemas.openxmlformats.org/officeDocument/2006/relationships/hyperlink" Target="https://kase.kz/ru/investors/gsecs/MUM180_0014" TargetMode="External"/><Relationship Id="rId21" Type="http://schemas.openxmlformats.org/officeDocument/2006/relationships/hyperlink" Target="https://kase.kz/ru/investors/shares/CCBN" TargetMode="External"/><Relationship Id="rId63" Type="http://schemas.openxmlformats.org/officeDocument/2006/relationships/hyperlink" Target="https://kase.kz/ru/investors/bonds/KMGZe15" TargetMode="External"/><Relationship Id="rId159" Type="http://schemas.openxmlformats.org/officeDocument/2006/relationships/hyperlink" Target="https://kase.kz/ru/investors/gsecs/MTM060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ZTK" TargetMode="External"/><Relationship Id="rId128" Type="http://schemas.openxmlformats.org/officeDocument/2006/relationships/hyperlink" Target="https://kase.kz/ru/listing/issuers/MFRF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92_0003" TargetMode="External"/><Relationship Id="rId237" Type="http://schemas.openxmlformats.org/officeDocument/2006/relationships/hyperlink" Target="https://kase.kz/ru/investors/gsecs/MUM096_0013" TargetMode="External"/><Relationship Id="rId279" Type="http://schemas.openxmlformats.org/officeDocument/2006/relationships/hyperlink" Target="https://kase.kz/ru/investors/gsecs/MUM180_0003" TargetMode="External"/><Relationship Id="rId43" Type="http://schemas.openxmlformats.org/officeDocument/2006/relationships/hyperlink" Target="https://kase.kz/ru/investors/mifs/HFINhs" TargetMode="External"/><Relationship Id="rId139" Type="http://schemas.openxmlformats.org/officeDocument/2006/relationships/hyperlink" Target="https://kase.kz/ru/investors/gsecs/MKM012_016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MFLGb14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TCIB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TM072_0001" TargetMode="External"/><Relationship Id="rId217" Type="http://schemas.openxmlformats.org/officeDocument/2006/relationships/hyperlink" Target="https://kase.kz/ru/investors/gsecs/MUJ228_0006" TargetMode="External"/><Relationship Id="rId259" Type="http://schemas.openxmlformats.org/officeDocument/2006/relationships/hyperlink" Target="https://kase.kz/ru/investors/gsecs/MUM132_0007" TargetMode="External"/><Relationship Id="rId23" Type="http://schemas.openxmlformats.org/officeDocument/2006/relationships/hyperlink" Target="https://kase.kz/ru/investors/shares/CCBNp" TargetMode="External"/><Relationship Id="rId119" Type="http://schemas.openxmlformats.org/officeDocument/2006/relationships/hyperlink" Target="https://kase.kz/ru/investors/bonds/MFRFb13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SPI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4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ZTK" TargetMode="External"/><Relationship Id="rId141" Type="http://schemas.openxmlformats.org/officeDocument/2006/relationships/hyperlink" Target="https://kase.kz/ru/investors/gsecs/MKM012_0161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92_0004" TargetMode="External"/><Relationship Id="rId239" Type="http://schemas.openxmlformats.org/officeDocument/2006/relationships/hyperlink" Target="https://kase.kz/ru/investors/gsecs/MUM096_001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CBN" TargetMode="External"/><Relationship Id="rId45" Type="http://schemas.openxmlformats.org/officeDocument/2006/relationships/hyperlink" Target="https://kase.kz/ru/investors/mifs/HFINhv" TargetMode="External"/><Relationship Id="rId66" Type="http://schemas.openxmlformats.org/officeDocument/2006/relationships/hyperlink" Target="https://kase.kz/ru/listing/issuers/KSPI" TargetMode="External"/><Relationship Id="rId87" Type="http://schemas.openxmlformats.org/officeDocument/2006/relationships/hyperlink" Target="https://kase.kz/ru/investors/bonds/MFMOb10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bonds/MFTSb1" TargetMode="External"/><Relationship Id="rId327" Type="http://schemas.openxmlformats.org/officeDocument/2006/relationships/hyperlink" Target="https://kase.kz/ru/investors/gsecs/MUM360_0001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68_0005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84_0019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9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mifs/FFIN_or" TargetMode="External"/><Relationship Id="rId56" Type="http://schemas.openxmlformats.org/officeDocument/2006/relationships/hyperlink" Target="https://kase.kz/ru/listing/issuers/KCEL" TargetMode="External"/><Relationship Id="rId77" Type="http://schemas.openxmlformats.org/officeDocument/2006/relationships/hyperlink" Target="https://kase.kz/ru/investors/shares/KZTO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2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RFb14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84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40_0001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7" TargetMode="External"/><Relationship Id="rId25" Type="http://schemas.openxmlformats.org/officeDocument/2006/relationships/hyperlink" Target="https://kase.kz/ru/investors/mifs/CSECfe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depts/KSPId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11" TargetMode="External"/><Relationship Id="rId307" Type="http://schemas.openxmlformats.org/officeDocument/2006/relationships/hyperlink" Target="https://kase.kz/ru/investors/gsecs/MUM192_0002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MFMO" TargetMode="External"/><Relationship Id="rId111" Type="http://schemas.openxmlformats.org/officeDocument/2006/relationships/hyperlink" Target="https://kase.kz/ru/investors/bonds/MFOKb24" TargetMode="External"/><Relationship Id="rId132" Type="http://schemas.openxmlformats.org/officeDocument/2006/relationships/hyperlink" Target="https://kase.kz/ru/listing/issuers/MFTS" TargetMode="External"/><Relationship Id="rId153" Type="http://schemas.openxmlformats.org/officeDocument/2006/relationships/hyperlink" Target="https://kase.kz/ru/investors/gsecs/MOM060_0054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6" TargetMode="External"/><Relationship Id="rId209" Type="http://schemas.openxmlformats.org/officeDocument/2006/relationships/hyperlink" Target="https://kase.kz/ru/investors/gsecs/MUJ228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96_0015" TargetMode="External"/><Relationship Id="rId15" Type="http://schemas.openxmlformats.org/officeDocument/2006/relationships/hyperlink" Target="https://kase.kz/ru/investors/bonds/BIGDb5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EGC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5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ZTO" TargetMode="External"/><Relationship Id="rId99" Type="http://schemas.openxmlformats.org/officeDocument/2006/relationships/hyperlink" Target="https://kase.kz/ru/investors/bonds/MFOKb16" TargetMode="External"/><Relationship Id="rId101" Type="http://schemas.openxmlformats.org/officeDocument/2006/relationships/hyperlink" Target="https://kase.kz/ru/investors/bonds/MFOKb18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2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1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84_0020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X072_0003" TargetMode="External"/><Relationship Id="rId47" Type="http://schemas.openxmlformats.org/officeDocument/2006/relationships/hyperlink" Target="https://kase.kz/ru/investors/shares/HSBK" TargetMode="External"/><Relationship Id="rId68" Type="http://schemas.openxmlformats.org/officeDocument/2006/relationships/hyperlink" Target="https://kase.kz/ru/listing/issuers/KSPI" TargetMode="External"/><Relationship Id="rId89" Type="http://schemas.openxmlformats.org/officeDocument/2006/relationships/hyperlink" Target="https://kase.kz/ru/investors/bonds/MFMOb17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TSb2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80_0007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IGD" TargetMode="External"/><Relationship Id="rId221" Type="http://schemas.openxmlformats.org/officeDocument/2006/relationships/hyperlink" Target="https://kase.kz/ru/investors/gsecs/MUM072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56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4" TargetMode="External"/><Relationship Id="rId37" Type="http://schemas.openxmlformats.org/officeDocument/2006/relationships/hyperlink" Target="https://kase.kz/ru/investors/mifs/FFINgw" TargetMode="External"/><Relationship Id="rId58" Type="http://schemas.openxmlformats.org/officeDocument/2006/relationships/hyperlink" Target="https://kase.kz/ru/listing/issuers/KEGC" TargetMode="External"/><Relationship Id="rId79" Type="http://schemas.openxmlformats.org/officeDocument/2006/relationships/hyperlink" Target="https://kase.kz/ru/investors/gsecs/KZ_23_3504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bonds/MFRFb16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TM096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8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2" TargetMode="External"/><Relationship Id="rId309" Type="http://schemas.openxmlformats.org/officeDocument/2006/relationships/hyperlink" Target="https://kase.kz/ru/investors/gsecs/MUM192_0003" TargetMode="External"/><Relationship Id="rId27" Type="http://schemas.openxmlformats.org/officeDocument/2006/relationships/hyperlink" Target="https://kase.kz/ru/investors/mifs/CSECtf" TargetMode="External"/><Relationship Id="rId48" Type="http://schemas.openxmlformats.org/officeDocument/2006/relationships/hyperlink" Target="https://kase.kz/ru/listing/issuers/HSBK" TargetMode="External"/><Relationship Id="rId69" Type="http://schemas.openxmlformats.org/officeDocument/2006/relationships/hyperlink" Target="https://kase.kz/ru/investors/shares/KZAP" TargetMode="External"/><Relationship Id="rId113" Type="http://schemas.openxmlformats.org/officeDocument/2006/relationships/hyperlink" Target="https://kase.kz/ru/investors/bonds/MFOKb25" TargetMode="External"/><Relationship Id="rId134" Type="http://schemas.openxmlformats.org/officeDocument/2006/relationships/hyperlink" Target="https://kase.kz/ru/listing/issuers/MFTS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MFRK" TargetMode="External"/><Relationship Id="rId155" Type="http://schemas.openxmlformats.org/officeDocument/2006/relationships/hyperlink" Target="https://kase.kz/ru/investors/gsecs/MTC048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1" TargetMode="External"/><Relationship Id="rId201" Type="http://schemas.openxmlformats.org/officeDocument/2006/relationships/hyperlink" Target="https://kase.kz/ru/investors/gsecs/MUJ216_0003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6" TargetMode="External"/><Relationship Id="rId17" Type="http://schemas.openxmlformats.org/officeDocument/2006/relationships/hyperlink" Target="https://kase.kz/ru/investors/bonds/BRKZe4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shares/KMGZ" TargetMode="External"/><Relationship Id="rId103" Type="http://schemas.openxmlformats.org/officeDocument/2006/relationships/hyperlink" Target="https://kase.kz/ru/investors/bonds/MFOKb19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ZAP" TargetMode="External"/><Relationship Id="rId91" Type="http://schemas.openxmlformats.org/officeDocument/2006/relationships/hyperlink" Target="https://kase.kz/ru/investors/bonds/MFMOb25" TargetMode="External"/><Relationship Id="rId145" Type="http://schemas.openxmlformats.org/officeDocument/2006/relationships/hyperlink" Target="https://kase.kz/ru/investors/gsecs/MOM048_0053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2" TargetMode="External"/><Relationship Id="rId331" Type="http://schemas.openxmlformats.org/officeDocument/2006/relationships/hyperlink" Target="https://kase.kz/ru/investors/bonds/NCOMb6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bonds/HSBKb22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MGZ" TargetMode="External"/><Relationship Id="rId81" Type="http://schemas.openxmlformats.org/officeDocument/2006/relationships/hyperlink" Target="https://kase.kz/ru/investors/bonds/MFDFb1" TargetMode="External"/><Relationship Id="rId135" Type="http://schemas.openxmlformats.org/officeDocument/2006/relationships/hyperlink" Target="https://kase.kz/ru/investors/bonds/MFTSb3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80_0008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HFINhl" TargetMode="External"/><Relationship Id="rId265" Type="http://schemas.openxmlformats.org/officeDocument/2006/relationships/hyperlink" Target="https://kase.kz/ru/investors/gsecs/MUM156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SBK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18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44_0005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216_0001" TargetMode="External"/><Relationship Id="rId332" Type="http://schemas.openxmlformats.org/officeDocument/2006/relationships/hyperlink" Target="https://kase.kz/ru/listing/issuers/NCOM" TargetMode="External"/><Relationship Id="rId71" Type="http://schemas.openxmlformats.org/officeDocument/2006/relationships/hyperlink" Target="https://kase.kz/ru/investors/bonds/KZTCb3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J228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0" TargetMode="External"/><Relationship Id="rId255" Type="http://schemas.openxmlformats.org/officeDocument/2006/relationships/hyperlink" Target="https://kase.kz/ru/investors/gsecs/MUM120_0019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3" TargetMode="External"/><Relationship Id="rId40" Type="http://schemas.openxmlformats.org/officeDocument/2006/relationships/hyperlink" Target="https://kase.kz/ru/listing/issuers/HFIN" TargetMode="External"/><Relationship Id="rId115" Type="http://schemas.openxmlformats.org/officeDocument/2006/relationships/hyperlink" Target="https://kase.kz/ru/investors/bonds/MFOKb26" TargetMode="External"/><Relationship Id="rId136" Type="http://schemas.openxmlformats.org/officeDocument/2006/relationships/hyperlink" Target="https://kase.kz/ru/listing/issuers/MFTS" TargetMode="External"/><Relationship Id="rId157" Type="http://schemas.openxmlformats.org/officeDocument/2006/relationships/hyperlink" Target="https://kase.kz/ru/investors/gsecs/MTM048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5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KMGZe12" TargetMode="External"/><Relationship Id="rId82" Type="http://schemas.openxmlformats.org/officeDocument/2006/relationships/hyperlink" Target="https://kase.kz/ru/listing/issuers/MFDF" TargetMode="External"/><Relationship Id="rId199" Type="http://schemas.openxmlformats.org/officeDocument/2006/relationships/hyperlink" Target="https://kase.kz/ru/investors/gsecs/MUJ216_0002" TargetMode="External"/><Relationship Id="rId203" Type="http://schemas.openxmlformats.org/officeDocument/2006/relationships/hyperlink" Target="https://kase.kz/ru/investors/gsecs/MUJ216_0004" TargetMode="External"/><Relationship Id="rId19" Type="http://schemas.openxmlformats.org/officeDocument/2006/relationships/hyperlink" Target="https://kase.kz/ru/investors/bonds/BTRKe1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7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20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48_005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NTK028_2867" TargetMode="External"/><Relationship Id="rId51" Type="http://schemas.openxmlformats.org/officeDocument/2006/relationships/hyperlink" Target="https://kase.kz/ru/investors/depts/HSBKd" TargetMode="External"/><Relationship Id="rId72" Type="http://schemas.openxmlformats.org/officeDocument/2006/relationships/hyperlink" Target="https://kase.kz/ru/listing/issuers/KZTC" TargetMode="External"/><Relationship Id="rId93" Type="http://schemas.openxmlformats.org/officeDocument/2006/relationships/hyperlink" Target="https://kase.kz/ru/investors/bonds/MFMOb26" TargetMode="External"/><Relationship Id="rId189" Type="http://schemas.openxmlformats.org/officeDocument/2006/relationships/hyperlink" Target="https://kase.kz/ru/investors/gsecs/MUJ204_0003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5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59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2" TargetMode="External"/><Relationship Id="rId20" Type="http://schemas.openxmlformats.org/officeDocument/2006/relationships/hyperlink" Target="https://kase.kz/ru/listing/issuers/BTRK" TargetMode="External"/><Relationship Id="rId41" Type="http://schemas.openxmlformats.org/officeDocument/2006/relationships/hyperlink" Target="https://kase.kz/ru/investors/mifs/HFINhp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bonds/MFDFb3" TargetMode="External"/><Relationship Id="rId179" Type="http://schemas.openxmlformats.org/officeDocument/2006/relationships/hyperlink" Target="https://kase.kz/ru/investors/gsecs/MUJ192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7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9" TargetMode="External"/><Relationship Id="rId313" Type="http://schemas.openxmlformats.org/officeDocument/2006/relationships/hyperlink" Target="https://kase.kz/ru/investors/gsecs/MUM216_0002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2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shares/KZTK" TargetMode="External"/><Relationship Id="rId94" Type="http://schemas.openxmlformats.org/officeDocument/2006/relationships/hyperlink" Target="https://kase.kz/ru/listing/issuers/MFMO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56_0004" TargetMode="External"/><Relationship Id="rId334" Type="http://schemas.openxmlformats.org/officeDocument/2006/relationships/hyperlink" Target="https://kase.kz/ru/listing/issuers/NBRK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20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6" TargetMode="External"/><Relationship Id="rId42" Type="http://schemas.openxmlformats.org/officeDocument/2006/relationships/hyperlink" Target="https://kase.kz/ru/listing/issuers/HFIN" TargetMode="External"/><Relationship Id="rId84" Type="http://schemas.openxmlformats.org/officeDocument/2006/relationships/hyperlink" Target="https://kase.kz/ru/listing/issuers/MFDF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4" TargetMode="External"/><Relationship Id="rId205" Type="http://schemas.openxmlformats.org/officeDocument/2006/relationships/hyperlink" Target="https://kase.kz/ru/investors/gsecs/MUJ216_0005" TargetMode="External"/><Relationship Id="rId247" Type="http://schemas.openxmlformats.org/officeDocument/2006/relationships/hyperlink" Target="https://kase.kz/ru/investors/gsecs/MUM108_0014" TargetMode="External"/><Relationship Id="rId107" Type="http://schemas.openxmlformats.org/officeDocument/2006/relationships/hyperlink" Target="https://kase.kz/ru/investors/bonds/MFOKb21" TargetMode="External"/><Relationship Id="rId289" Type="http://schemas.openxmlformats.org/officeDocument/2006/relationships/hyperlink" Target="https://kase.kz/ru/investors/gsecs/MUM180_0008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shares/IFDR" TargetMode="External"/><Relationship Id="rId149" Type="http://schemas.openxmlformats.org/officeDocument/2006/relationships/hyperlink" Target="https://kase.kz/ru/investors/gsecs/MOM048_0056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27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RF" TargetMode="External"/><Relationship Id="rId325" Type="http://schemas.openxmlformats.org/officeDocument/2006/relationships/hyperlink" Target="https://kase.kz/ru/investors/gsecs/MUM300_0003" TargetMode="External"/><Relationship Id="rId171" Type="http://schemas.openxmlformats.org/officeDocument/2006/relationships/hyperlink" Target="https://kase.kz/ru/investors/gsecs/MUJ168_0004" TargetMode="External"/><Relationship Id="rId227" Type="http://schemas.openxmlformats.org/officeDocument/2006/relationships/hyperlink" Target="https://kase.kz/ru/investors/gsecs/MUM084_0018" TargetMode="External"/><Relationship Id="rId269" Type="http://schemas.openxmlformats.org/officeDocument/2006/relationships/hyperlink" Target="https://kase.kz/ru/investors/gsecs/MUM156_0008" TargetMode="External"/><Relationship Id="rId33" Type="http://schemas.openxmlformats.org/officeDocument/2006/relationships/hyperlink" Target="https://kase.kz/ru/investors/bonds/EABRb53" TargetMode="External"/><Relationship Id="rId129" Type="http://schemas.openxmlformats.org/officeDocument/2006/relationships/hyperlink" Target="https://kase.kz/ru/investors/bonds/MFRFb21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shares/KZTKp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9" TargetMode="External"/><Relationship Id="rId305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MFLG" TargetMode="External"/><Relationship Id="rId151" Type="http://schemas.openxmlformats.org/officeDocument/2006/relationships/hyperlink" Target="https://kase.kz/ru/investors/gsecs/MOM060_0052" TargetMode="External"/><Relationship Id="rId193" Type="http://schemas.openxmlformats.org/officeDocument/2006/relationships/hyperlink" Target="https://kase.kz/ru/investors/gsecs/MUJ204_0005" TargetMode="External"/><Relationship Id="rId207" Type="http://schemas.openxmlformats.org/officeDocument/2006/relationships/hyperlink" Target="https://kase.kz/ru/investors/gsecs/MUJ228_0001" TargetMode="External"/><Relationship Id="rId249" Type="http://schemas.openxmlformats.org/officeDocument/2006/relationships/hyperlink" Target="https://kase.kz/ru/investors/gsecs/MUM108_0015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MFOKb22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shares/KCEL" TargetMode="External"/><Relationship Id="rId97" Type="http://schemas.openxmlformats.org/officeDocument/2006/relationships/hyperlink" Target="https://kase.kz/ru/investors/bonds/MFMOb32" TargetMode="External"/><Relationship Id="rId120" Type="http://schemas.openxmlformats.org/officeDocument/2006/relationships/hyperlink" Target="https://kase.kz/ru/listing/issuers/MFRF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68_000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3"/>
  <sheetViews>
    <sheetView tabSelected="1" zoomScale="90" zoomScaleNormal="90" workbookViewId="0">
      <pane ySplit="5" topLeftCell="A62" activePane="bottomLeft" state="frozen"/>
      <selection pane="bottomLeft" activeCell="D88" sqref="D88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235</v>
      </c>
      <c r="B1" s="14">
        <v>45950</v>
      </c>
    </row>
    <row r="2" spans="1:23" x14ac:dyDescent="0.25">
      <c r="A2" s="6" t="s">
        <v>236</v>
      </c>
    </row>
    <row r="3" spans="1:23" x14ac:dyDescent="0.25">
      <c r="H3" s="8"/>
      <c r="K3" s="8"/>
    </row>
    <row r="4" spans="1:23" ht="15.75" thickBot="1" x14ac:dyDescent="0.3">
      <c r="A4" s="5" t="s">
        <v>237</v>
      </c>
      <c r="H4" s="8"/>
      <c r="L4" s="8"/>
      <c r="M4" s="8"/>
    </row>
    <row r="5" spans="1:23" ht="34.5" thickBot="1" x14ac:dyDescent="0.3">
      <c r="A5" s="1" t="s">
        <v>240</v>
      </c>
      <c r="B5" s="1" t="s">
        <v>0</v>
      </c>
      <c r="C5" s="1" t="s">
        <v>266</v>
      </c>
      <c r="D5" s="2" t="s">
        <v>341</v>
      </c>
      <c r="E5" s="2" t="s">
        <v>234</v>
      </c>
      <c r="F5" s="2" t="s">
        <v>233</v>
      </c>
      <c r="G5" s="2" t="s">
        <v>1</v>
      </c>
      <c r="H5" s="2" t="s">
        <v>364</v>
      </c>
      <c r="I5" s="2" t="s">
        <v>2624</v>
      </c>
      <c r="J5" s="2" t="s">
        <v>2625</v>
      </c>
      <c r="K5" s="2" t="s">
        <v>2</v>
      </c>
      <c r="L5" s="2" t="s">
        <v>374</v>
      </c>
      <c r="M5" s="2" t="s">
        <v>3</v>
      </c>
      <c r="N5" s="8"/>
    </row>
    <row r="6" spans="1:23" x14ac:dyDescent="0.25">
      <c r="A6" s="27" t="s">
        <v>263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354</v>
      </c>
      <c r="H6" s="29">
        <f>2755458875/3250000000*D6</f>
        <v>1483708625</v>
      </c>
      <c r="I6" s="32">
        <f>VLOOKUP(B6,'KASE за 20.10.25'!$C$5:$F$162,4,0)</f>
        <v>86.486599999999996</v>
      </c>
      <c r="J6" s="32">
        <f>VLOOKUP(B6,'KASE за 20.10.25'!$C$5:$G$162,5,0)</f>
        <v>89.582400000000007</v>
      </c>
      <c r="K6" s="63">
        <v>54175625</v>
      </c>
      <c r="L6" s="29">
        <f>D6*I6/100+K6</f>
        <v>1567691125</v>
      </c>
      <c r="M6" s="33">
        <f t="shared" ref="M6:M49" si="0">L6/$L$62</f>
        <v>5.891990576163636E-2</v>
      </c>
      <c r="N6" s="13">
        <f>D6*E6%/360</f>
        <v>266875.00000000006</v>
      </c>
      <c r="O6" s="12">
        <f>K6+N6</f>
        <v>54442500</v>
      </c>
      <c r="Q6" s="8"/>
      <c r="R6" s="8"/>
      <c r="S6" s="8"/>
      <c r="T6" s="8"/>
    </row>
    <row r="7" spans="1:23" x14ac:dyDescent="0.25">
      <c r="A7" s="27" t="s">
        <v>263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355</v>
      </c>
      <c r="H7" s="29">
        <v>1838876000</v>
      </c>
      <c r="I7" s="32">
        <f>VLOOKUP(B7,'KASE за 20.10.25'!$C$5:$F$162,4,0)</f>
        <v>87.546700000000001</v>
      </c>
      <c r="J7" s="32">
        <f>VLOOKUP(B7,'KASE за 20.10.25'!$C$5:$G$162,5,0)</f>
        <v>92.977800000000002</v>
      </c>
      <c r="K7" s="63">
        <v>105906666.66666645</v>
      </c>
      <c r="L7" s="29">
        <f>D7*I7/100+K7</f>
        <v>1813067316.6666665</v>
      </c>
      <c r="M7" s="33">
        <f t="shared" si="0"/>
        <v>6.8142093639461609E-2</v>
      </c>
      <c r="N7" s="13">
        <f t="shared" ref="N7:N15" si="1">D7*E7%/360</f>
        <v>563333.33333333337</v>
      </c>
      <c r="O7" s="12">
        <f t="shared" ref="O7:O41" si="2">K7+N7</f>
        <v>106469999.99999978</v>
      </c>
      <c r="Q7" s="8"/>
      <c r="R7" s="8"/>
    </row>
    <row r="8" spans="1:23" x14ac:dyDescent="0.25">
      <c r="A8" s="27" t="s">
        <v>264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356</v>
      </c>
      <c r="H8" s="29">
        <f>1855844250/1950000000*D8</f>
        <v>1311796370.25</v>
      </c>
      <c r="I8" s="32">
        <f>VLOOKUP(B8,'KASE за 20.10.25'!$C$5:$F$162,4,0)</f>
        <v>85.257800000000003</v>
      </c>
      <c r="J8" s="32">
        <f>VLOOKUP(B8,'KASE за 20.10.25'!$C$5:$G$162,5,0)</f>
        <v>91.368899999999996</v>
      </c>
      <c r="K8" s="63">
        <v>84232500</v>
      </c>
      <c r="L8" s="29">
        <f>D8*I8/100+K8</f>
        <v>1259383386.3</v>
      </c>
      <c r="M8" s="33">
        <f t="shared" si="0"/>
        <v>4.733250654752956E-2</v>
      </c>
      <c r="N8" s="13">
        <f>D8*E8%/360</f>
        <v>421162.5</v>
      </c>
      <c r="O8" s="12">
        <f t="shared" si="2"/>
        <v>84653662.5</v>
      </c>
      <c r="Q8" s="8"/>
      <c r="R8" s="8"/>
    </row>
    <row r="9" spans="1:23" x14ac:dyDescent="0.25">
      <c r="A9" s="27" t="s">
        <v>263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346</v>
      </c>
      <c r="H9" s="29">
        <f>1504310166.66923/1500000000*D9</f>
        <v>844419440.22366107</v>
      </c>
      <c r="I9" s="32">
        <f>VLOOKUP(B9,'KASE за 20.10.25'!$C$5:$F$162,4,0)</f>
        <v>83.111000000000004</v>
      </c>
      <c r="J9" s="32">
        <f>VLOOKUP(B9,'KASE за 20.10.25'!$C$5:$G$162,5,0)</f>
        <v>85.514099999999999</v>
      </c>
      <c r="K9" s="63">
        <v>20233727.777777765</v>
      </c>
      <c r="L9" s="29">
        <f>D9*I9/100+K9</f>
        <v>720028347.77777779</v>
      </c>
      <c r="M9" s="33">
        <f t="shared" si="0"/>
        <v>2.7061454721684031E-2</v>
      </c>
      <c r="N9" s="13">
        <f>D9*E9%/360</f>
        <v>246752.77777777781</v>
      </c>
      <c r="O9" s="12">
        <f>K9+N9</f>
        <v>20480480.555555541</v>
      </c>
      <c r="Q9" s="8"/>
      <c r="R9" s="8"/>
    </row>
    <row r="10" spans="1:23" x14ac:dyDescent="0.25">
      <c r="A10" s="27" t="s">
        <v>263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357</v>
      </c>
      <c r="H10" s="29">
        <v>1307498994.4468999</v>
      </c>
      <c r="I10" s="32">
        <f>VLOOKUP(B10,'KASE за 20.10.25'!$C$5:$F$162,4,0)</f>
        <v>77.3249</v>
      </c>
      <c r="J10" s="32">
        <f>VLOOKUP(B10,'KASE за 20.10.25'!$C$5:$G$162,5,0)</f>
        <v>83.4191</v>
      </c>
      <c r="K10" s="63">
        <v>88365416.666666433</v>
      </c>
      <c r="L10" s="29">
        <f t="shared" ref="L10:L15" si="3">D10*I10/100+K10</f>
        <v>1209576466.6666665</v>
      </c>
      <c r="M10" s="33">
        <f t="shared" si="0"/>
        <v>4.5460569554154409E-2</v>
      </c>
      <c r="N10" s="13">
        <f>D10*E10%/360</f>
        <v>414861.11111111112</v>
      </c>
      <c r="O10" s="12">
        <f t="shared" si="2"/>
        <v>88780277.777777538</v>
      </c>
      <c r="Q10" s="8"/>
      <c r="R10" s="8"/>
    </row>
    <row r="11" spans="1:23" x14ac:dyDescent="0.25">
      <c r="A11" s="27" t="s">
        <v>264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358</v>
      </c>
      <c r="H11" s="29">
        <v>1540335116.6700001</v>
      </c>
      <c r="I11" s="32">
        <f>VLOOKUP(B11,'KASE за 20.10.25'!$C$5:$F$162,4,0)</f>
        <v>67.637699999999995</v>
      </c>
      <c r="J11" s="32">
        <f>VLOOKUP(B11,'KASE за 20.10.25'!$C$5:$G$162,5,0)</f>
        <v>71.956599999999995</v>
      </c>
      <c r="K11" s="63">
        <v>84218333.333333284</v>
      </c>
      <c r="L11" s="29">
        <f t="shared" si="3"/>
        <v>1403153483.333333</v>
      </c>
      <c r="M11" s="33">
        <f t="shared" si="0"/>
        <v>5.2735943763865971E-2</v>
      </c>
      <c r="N11" s="13">
        <f t="shared" si="1"/>
        <v>457708.33333333326</v>
      </c>
      <c r="O11" s="12">
        <f t="shared" si="2"/>
        <v>84676041.666666612</v>
      </c>
      <c r="Q11" s="8"/>
      <c r="R11" s="8"/>
    </row>
    <row r="12" spans="1:23" x14ac:dyDescent="0.25">
      <c r="A12" s="27" t="s">
        <v>265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359</v>
      </c>
      <c r="H12" s="29">
        <f>1897171250/1950000000*D12</f>
        <v>955395983.33333337</v>
      </c>
      <c r="I12" s="32">
        <f>VLOOKUP(B12,'KASE за 20.10.25'!$C$5:$F$162,4,0)</f>
        <v>75.357399999999998</v>
      </c>
      <c r="J12" s="32">
        <f>VLOOKUP(B12,'KASE за 20.10.25'!$C$5:$G$162,5,0)</f>
        <v>77.842399999999998</v>
      </c>
      <c r="K12" s="63">
        <v>24402699.999999981</v>
      </c>
      <c r="L12" s="29">
        <f>D12*I12/100+K12</f>
        <v>764412368</v>
      </c>
      <c r="M12" s="33">
        <f t="shared" si="0"/>
        <v>2.8729578146708776E-2</v>
      </c>
      <c r="N12" s="13">
        <f>D12*E12%/360</f>
        <v>290508.33333333331</v>
      </c>
      <c r="O12" s="12">
        <f t="shared" si="2"/>
        <v>24693208.333333313</v>
      </c>
      <c r="Q12" s="8"/>
      <c r="R12" s="8"/>
    </row>
    <row r="13" spans="1:23" x14ac:dyDescent="0.25">
      <c r="A13" s="27" t="s">
        <v>265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359</v>
      </c>
      <c r="H13" s="29">
        <f>227969916.67/250000000*D13</f>
        <v>227969916.66999999</v>
      </c>
      <c r="I13" s="32">
        <f>VLOOKUP(B13,'KASE за 20.10.25'!$C$5:$F$162,4,0)</f>
        <v>75.357399999999998</v>
      </c>
      <c r="J13" s="32">
        <f>VLOOKUP(B13,'KASE за 20.10.25'!$C$5:$G$162,5,0)</f>
        <v>77.842399999999998</v>
      </c>
      <c r="K13" s="63">
        <v>6212499.9999999953</v>
      </c>
      <c r="L13" s="29">
        <f>D13*I13/100+K13</f>
        <v>194606000</v>
      </c>
      <c r="M13" s="33">
        <f t="shared" si="0"/>
        <v>7.3140473896916433E-3</v>
      </c>
      <c r="N13" s="13">
        <f>D13*E13%/360</f>
        <v>73958.333333333328</v>
      </c>
      <c r="O13" s="12">
        <f>K13+N13</f>
        <v>6286458.3333333284</v>
      </c>
      <c r="Q13" s="8"/>
      <c r="R13" s="8"/>
      <c r="S13" s="43"/>
    </row>
    <row r="14" spans="1:23" x14ac:dyDescent="0.25">
      <c r="A14" s="27" t="s">
        <v>263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360</v>
      </c>
      <c r="H14" s="29">
        <v>1425576750</v>
      </c>
      <c r="I14" s="32">
        <f>VLOOKUP(B14,'KASE за 20.10.25'!$C$5:$F$177,4,0)</f>
        <v>60.849699999999999</v>
      </c>
      <c r="J14" s="32">
        <f>VLOOKUP(B14,'KASE за 20.10.25'!$C$5:$G$177,5,0)</f>
        <v>64.391499999999994</v>
      </c>
      <c r="K14" s="63">
        <v>69065750.000000015</v>
      </c>
      <c r="L14" s="29">
        <f t="shared" si="3"/>
        <v>1255634900</v>
      </c>
      <c r="M14" s="33">
        <f t="shared" si="0"/>
        <v>4.7191623910623148E-2</v>
      </c>
      <c r="N14" s="13">
        <f t="shared" si="1"/>
        <v>437125.00000000006</v>
      </c>
      <c r="O14" s="12">
        <f t="shared" si="2"/>
        <v>69502875.000000015</v>
      </c>
      <c r="Q14" s="8"/>
      <c r="R14" s="8"/>
    </row>
    <row r="15" spans="1:23" x14ac:dyDescent="0.25">
      <c r="A15" s="27" t="s">
        <v>263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361</v>
      </c>
      <c r="H15" s="29">
        <v>1449433375</v>
      </c>
      <c r="I15" s="32">
        <f>VLOOKUP(B15,'KASE за 20.10.25'!$C$5:$F$177,4,0)</f>
        <v>59.360199999999999</v>
      </c>
      <c r="J15" s="32">
        <f>VLOOKUP(B15,'KASE за 20.10.25'!$C$5:$G$177,5,0)</f>
        <v>65.210999999999999</v>
      </c>
      <c r="K15" s="63">
        <v>114089625</v>
      </c>
      <c r="L15" s="29">
        <f t="shared" si="3"/>
        <v>1271613525</v>
      </c>
      <c r="M15" s="33">
        <f t="shared" si="0"/>
        <v>4.779216253981295E-2</v>
      </c>
      <c r="N15" s="13">
        <f t="shared" si="1"/>
        <v>437125.00000000006</v>
      </c>
      <c r="O15" s="12">
        <f t="shared" si="2"/>
        <v>114526750</v>
      </c>
      <c r="Q15" s="8"/>
      <c r="R15" s="8"/>
    </row>
    <row r="16" spans="1:23" x14ac:dyDescent="0.25">
      <c r="A16" s="27" t="s">
        <v>268</v>
      </c>
      <c r="B16" s="28" t="s">
        <v>212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20.10.25'!$C$5:$F$177,4,0)</f>
        <v>56.507199999999997</v>
      </c>
      <c r="J16" s="32">
        <f>VLOOKUP(B16,'KASE за 20.10.25'!$C$5:$G$177,5,0)</f>
        <v>59.196100000000001</v>
      </c>
      <c r="K16" s="63">
        <v>8389306.4444444589</v>
      </c>
      <c r="L16" s="29">
        <f t="shared" ref="L16:L30" si="4">D16*I16/100+K16</f>
        <v>184691205.37244445</v>
      </c>
      <c r="M16" s="33">
        <f t="shared" si="0"/>
        <v>6.9414109973656036E-3</v>
      </c>
      <c r="N16" s="13">
        <f>D16*E16%/360</f>
        <v>47666.513888888891</v>
      </c>
      <c r="O16" s="12">
        <f t="shared" si="2"/>
        <v>8436972.958333347</v>
      </c>
      <c r="Q16" s="8"/>
      <c r="R16" s="8"/>
      <c r="S16" s="93"/>
      <c r="T16" s="8"/>
      <c r="W16" s="10"/>
    </row>
    <row r="17" spans="1:23" x14ac:dyDescent="0.25">
      <c r="A17" s="27" t="s">
        <v>268</v>
      </c>
      <c r="B17" s="28" t="s">
        <v>212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20.10.25'!$C$5:$F$177,4,0)</f>
        <v>56.507199999999997</v>
      </c>
      <c r="J17" s="32">
        <f>VLOOKUP(B17,'KASE за 20.10.25'!$C$5:$G$177,5,0)</f>
        <v>59.196100000000001</v>
      </c>
      <c r="K17" s="63">
        <v>13444444.444444399</v>
      </c>
      <c r="L17" s="29">
        <f t="shared" si="4"/>
        <v>295980444.44444442</v>
      </c>
      <c r="M17" s="33">
        <f t="shared" si="0"/>
        <v>1.1124091739661991E-2</v>
      </c>
      <c r="N17" s="13">
        <f t="shared" ref="N17:N27" si="5">D17*E17%/360</f>
        <v>76388.888888888891</v>
      </c>
      <c r="O17" s="12">
        <f t="shared" si="2"/>
        <v>13520833.333333287</v>
      </c>
      <c r="Q17" s="8"/>
      <c r="R17" s="8"/>
      <c r="S17" s="93"/>
      <c r="W17" s="10"/>
    </row>
    <row r="18" spans="1:23" x14ac:dyDescent="0.25">
      <c r="A18" s="27" t="s">
        <v>268</v>
      </c>
      <c r="B18" s="28" t="s">
        <v>212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20.10.25'!$C$5:$F$177,4,0)</f>
        <v>56.507199999999997</v>
      </c>
      <c r="J18" s="32">
        <f>VLOOKUP(B18,'KASE за 20.10.25'!$C$5:$G$177,5,0)</f>
        <v>59.196100000000001</v>
      </c>
      <c r="K18" s="63">
        <v>13444444.444444399</v>
      </c>
      <c r="L18" s="29">
        <f>D18*I18/100+K18</f>
        <v>295980444.44444442</v>
      </c>
      <c r="M18" s="33">
        <f t="shared" si="0"/>
        <v>1.1124091739661991E-2</v>
      </c>
      <c r="N18" s="13">
        <f>D18*E18%/360</f>
        <v>76388.888888888891</v>
      </c>
      <c r="O18" s="12">
        <f t="shared" si="2"/>
        <v>13520833.333333287</v>
      </c>
      <c r="Q18" s="8"/>
      <c r="S18" s="43"/>
      <c r="W18" s="10"/>
    </row>
    <row r="19" spans="1:23" x14ac:dyDescent="0.25">
      <c r="A19" s="27" t="s">
        <v>268</v>
      </c>
      <c r="B19" s="28" t="s">
        <v>212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20.10.25'!$C$5:$F$177,4,0)</f>
        <v>56.507199999999997</v>
      </c>
      <c r="J19" s="32">
        <f>VLOOKUP(B19,'KASE за 20.10.25'!$C$5:$G$177,5,0)</f>
        <v>59.196100000000001</v>
      </c>
      <c r="K19" s="63">
        <v>8066666.6666666465</v>
      </c>
      <c r="L19" s="29">
        <f>D19*I19/100+K19</f>
        <v>177588266.66666666</v>
      </c>
      <c r="M19" s="33">
        <f t="shared" si="0"/>
        <v>6.6744550437971943E-3</v>
      </c>
      <c r="N19" s="13">
        <f>D19*E19%/360</f>
        <v>45833.333333333336</v>
      </c>
      <c r="O19" s="12">
        <f t="shared" si="2"/>
        <v>8112499.9999999795</v>
      </c>
      <c r="Q19" s="8"/>
      <c r="R19" s="8"/>
      <c r="S19" s="41"/>
    </row>
    <row r="20" spans="1:23" x14ac:dyDescent="0.25">
      <c r="A20" s="27" t="s">
        <v>268</v>
      </c>
      <c r="B20" s="28" t="s">
        <v>212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20.10.25'!$C$5:$F$177,4,0)</f>
        <v>56.507199999999997</v>
      </c>
      <c r="J20" s="32">
        <f>VLOOKUP(B20,'KASE за 20.10.25'!$C$5:$G$177,5,0)</f>
        <v>59.196100000000001</v>
      </c>
      <c r="K20" s="63">
        <v>8066666.6666666465</v>
      </c>
      <c r="L20" s="29">
        <f>D20*I20/100+K20</f>
        <v>177588266.66666666</v>
      </c>
      <c r="M20" s="33">
        <f t="shared" si="0"/>
        <v>6.6744550437971943E-3</v>
      </c>
      <c r="N20" s="13">
        <f>D20*E20%/360</f>
        <v>45833.333333333336</v>
      </c>
      <c r="O20" s="12">
        <f t="shared" si="2"/>
        <v>8112499.9999999795</v>
      </c>
      <c r="Q20" s="8"/>
      <c r="R20" s="8"/>
      <c r="S20" s="41"/>
    </row>
    <row r="21" spans="1:23" x14ac:dyDescent="0.25">
      <c r="A21" s="27" t="s">
        <v>263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346</v>
      </c>
      <c r="H21" s="29">
        <v>451940777.77999997</v>
      </c>
      <c r="I21" s="32">
        <f>VLOOKUP(B21,'KASE за 20.10.25'!$C$5:$F$162,4,0)</f>
        <v>83.111000000000004</v>
      </c>
      <c r="J21" s="32">
        <f>VLOOKUP(B21,'KASE за 20.10.25'!$C$5:$G$162,5,0)</f>
        <v>85.514099999999999</v>
      </c>
      <c r="K21" s="63">
        <v>12015277.777777791</v>
      </c>
      <c r="L21" s="29">
        <f t="shared" si="4"/>
        <v>427570277.77777779</v>
      </c>
      <c r="M21" s="33">
        <f t="shared" si="0"/>
        <v>1.6069747459432324E-2</v>
      </c>
      <c r="N21" s="13">
        <f>D21*E21%/360</f>
        <v>146527.77777777781</v>
      </c>
      <c r="O21" s="12">
        <f t="shared" si="2"/>
        <v>12161805.555555569</v>
      </c>
      <c r="Q21" s="8"/>
      <c r="R21" s="8"/>
    </row>
    <row r="22" spans="1:23" x14ac:dyDescent="0.25">
      <c r="A22" s="27" t="s">
        <v>263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346</v>
      </c>
      <c r="H22" s="29">
        <v>499999408.11000001</v>
      </c>
      <c r="I22" s="32">
        <f>VLOOKUP(B22,'KASE за 20.10.25'!$C$5:$F$162,4,0)</f>
        <v>83.111000000000004</v>
      </c>
      <c r="J22" s="32">
        <f>VLOOKUP(B22,'KASE за 20.10.25'!$C$5:$G$162,5,0)</f>
        <v>85.514099999999999</v>
      </c>
      <c r="K22" s="63">
        <v>13299230.361111132</v>
      </c>
      <c r="L22" s="29">
        <f t="shared" si="4"/>
        <v>473260437.66111112</v>
      </c>
      <c r="M22" s="33">
        <f t="shared" si="0"/>
        <v>1.7786960672947261E-2</v>
      </c>
      <c r="N22" s="13">
        <f t="shared" si="5"/>
        <v>162185.73611111112</v>
      </c>
      <c r="O22" s="12">
        <f t="shared" si="2"/>
        <v>13461416.097222244</v>
      </c>
      <c r="Q22" s="8"/>
      <c r="R22" s="8"/>
    </row>
    <row r="23" spans="1:23" x14ac:dyDescent="0.25">
      <c r="A23" s="27" t="s">
        <v>264</v>
      </c>
      <c r="B23" s="28" t="s">
        <v>204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20.10.25'!$C$5:$F$170,4,0)</f>
        <v>77.265900000000002</v>
      </c>
      <c r="J23" s="32">
        <f>VLOOKUP(B23,'KASE за 20.10.25'!$C$5:$G$170,5,0)</f>
        <v>79.793700000000001</v>
      </c>
      <c r="K23" s="63">
        <v>16078056.944444412</v>
      </c>
      <c r="L23" s="29">
        <f t="shared" si="4"/>
        <v>507531677.18944442</v>
      </c>
      <c r="M23" s="33">
        <f t="shared" si="0"/>
        <v>1.9075006622268985E-2</v>
      </c>
      <c r="N23" s="13">
        <f t="shared" si="5"/>
        <v>88340.972222222219</v>
      </c>
      <c r="O23" s="12">
        <f t="shared" si="2"/>
        <v>16166397.916666634</v>
      </c>
      <c r="Q23" s="8"/>
      <c r="R23" s="8"/>
    </row>
    <row r="24" spans="1:23" x14ac:dyDescent="0.25">
      <c r="A24" s="27" t="s">
        <v>263</v>
      </c>
      <c r="B24" s="28" t="s">
        <v>218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20.10.25'!$C$5:$F$177,4,0)</f>
        <v>54.579599999999999</v>
      </c>
      <c r="J24" s="32">
        <f>VLOOKUP(B24,'KASE за 20.10.25'!$C$5:$G$177,5,0)</f>
        <v>56.551099999999998</v>
      </c>
      <c r="K24" s="63">
        <v>13782674.680555571</v>
      </c>
      <c r="L24" s="29">
        <f>D24*I24/100+K24</f>
        <v>395341017.13655555</v>
      </c>
      <c r="M24" s="33">
        <f t="shared" si="0"/>
        <v>1.4858446987377899E-2</v>
      </c>
      <c r="N24" s="13">
        <f t="shared" si="5"/>
        <v>162149.11388888888</v>
      </c>
      <c r="O24" s="12">
        <f t="shared" si="2"/>
        <v>13944823.79444446</v>
      </c>
      <c r="Q24" s="8"/>
      <c r="R24" s="8"/>
    </row>
    <row r="25" spans="1:23" x14ac:dyDescent="0.25">
      <c r="A25" s="27" t="s">
        <v>263</v>
      </c>
      <c r="B25" s="28" t="s">
        <v>218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20.10.25'!$C$5:$F$177,4,0)</f>
        <v>54.579599999999999</v>
      </c>
      <c r="J25" s="32">
        <f>VLOOKUP(B25,'KASE за 20.10.25'!$C$5:$G$177,5,0)</f>
        <v>56.551099999999998</v>
      </c>
      <c r="K25" s="63">
        <v>5600578.1041666716</v>
      </c>
      <c r="L25" s="29">
        <f>D25*I25/100+K25</f>
        <v>160646485.21216667</v>
      </c>
      <c r="M25" s="33">
        <f t="shared" si="0"/>
        <v>6.0377172637492409E-3</v>
      </c>
      <c r="N25" s="13">
        <f>D25*E25%/360</f>
        <v>65889.15416666666</v>
      </c>
      <c r="O25" s="12">
        <f t="shared" si="2"/>
        <v>5666467.2583333384</v>
      </c>
      <c r="Q25" s="8"/>
      <c r="R25" s="8"/>
      <c r="S25" s="38"/>
    </row>
    <row r="26" spans="1:23" x14ac:dyDescent="0.25">
      <c r="A26" s="27" t="s">
        <v>264</v>
      </c>
      <c r="B26" s="28" t="s">
        <v>192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20.10.25'!$C$5:$F$177,4,0)</f>
        <v>73.075299999999999</v>
      </c>
      <c r="J26" s="32">
        <f>VLOOKUP(B26,'KASE за 20.10.25'!$C$5:$G$177,5,0)</f>
        <v>78.536600000000007</v>
      </c>
      <c r="K26" s="63">
        <v>27306666.666666374</v>
      </c>
      <c r="L26" s="29">
        <f t="shared" si="4"/>
        <v>392683166.66666639</v>
      </c>
      <c r="M26" s="33">
        <f t="shared" si="0"/>
        <v>1.4758554670124147E-2</v>
      </c>
      <c r="N26" s="13">
        <f t="shared" si="5"/>
        <v>106666.66666666667</v>
      </c>
      <c r="O26" s="12">
        <f t="shared" si="2"/>
        <v>27413333.333333042</v>
      </c>
      <c r="Q26" s="8"/>
      <c r="R26" s="8"/>
    </row>
    <row r="27" spans="1:23" x14ac:dyDescent="0.25">
      <c r="A27" s="27" t="s">
        <v>264</v>
      </c>
      <c r="B27" s="28" t="s">
        <v>192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20.10.25'!$C$5:$F$177,4,0)</f>
        <v>73.075299999999999</v>
      </c>
      <c r="J27" s="32">
        <f>VLOOKUP(B27,'KASE за 20.10.25'!$C$5:$G$177,5,0)</f>
        <v>78.536600000000007</v>
      </c>
      <c r="K27" s="63">
        <v>27306666.666666374</v>
      </c>
      <c r="L27" s="29">
        <f t="shared" si="4"/>
        <v>392683166.66666639</v>
      </c>
      <c r="M27" s="33">
        <f t="shared" si="0"/>
        <v>1.4758554670124147E-2</v>
      </c>
      <c r="N27" s="13">
        <f t="shared" si="5"/>
        <v>106666.66666666667</v>
      </c>
      <c r="O27" s="12">
        <f t="shared" si="2"/>
        <v>27413333.333333042</v>
      </c>
      <c r="Q27" s="8"/>
      <c r="R27" s="8"/>
    </row>
    <row r="28" spans="1:23" x14ac:dyDescent="0.25">
      <c r="A28" s="27" t="s">
        <v>264</v>
      </c>
      <c r="B28" s="28" t="s">
        <v>192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20.10.25'!$C$5:$F$177,4,0)</f>
        <v>73.075299999999999</v>
      </c>
      <c r="J28" s="32">
        <f>VLOOKUP(B28,'KASE за 20.10.25'!$C$5:$G$177,5,0)</f>
        <v>78.536600000000007</v>
      </c>
      <c r="K28" s="63">
        <v>27306666.666666374</v>
      </c>
      <c r="L28" s="29">
        <f>D28*I28/100+K28</f>
        <v>392683166.66666639</v>
      </c>
      <c r="M28" s="33">
        <f t="shared" si="0"/>
        <v>1.4758554670124147E-2</v>
      </c>
      <c r="N28" s="13">
        <f>D28*E28%/360</f>
        <v>106666.66666666667</v>
      </c>
      <c r="O28" s="12">
        <f t="shared" si="2"/>
        <v>27413333.333333042</v>
      </c>
      <c r="Q28" s="8"/>
      <c r="R28" s="8"/>
    </row>
    <row r="29" spans="1:23" x14ac:dyDescent="0.25">
      <c r="A29" s="27" t="s">
        <v>42</v>
      </c>
      <c r="B29" s="28" t="s">
        <v>362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20.10.25'!$C$4:$G$963,4,0)</f>
        <v>95.038429031394529</v>
      </c>
      <c r="J29" s="32">
        <f>VLOOKUP(B29,'Риск цены за 20.10.25'!$C$4:$G$963,5,0)</f>
        <v>96.90532903139453</v>
      </c>
      <c r="K29" s="63">
        <v>31738055.555555522</v>
      </c>
      <c r="L29" s="29">
        <f>D29*I29/100+K29</f>
        <v>1647391349.0892625</v>
      </c>
      <c r="M29" s="33">
        <f t="shared" si="0"/>
        <v>6.1915348944055759E-2</v>
      </c>
      <c r="N29" s="13">
        <f t="shared" ref="N29:N35" si="7">D29*E29%/360</f>
        <v>675277.77777777787</v>
      </c>
      <c r="O29" s="12">
        <f t="shared" si="2"/>
        <v>32413333.333333299</v>
      </c>
      <c r="Q29" s="8"/>
      <c r="R29" s="8"/>
    </row>
    <row r="30" spans="1:23" x14ac:dyDescent="0.25">
      <c r="A30" s="27" t="s">
        <v>264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20.10.25'!$C$5:$F$162,4,0)</f>
        <v>83.0989</v>
      </c>
      <c r="J30" s="32">
        <f>VLOOKUP(B30,'KASE за 20.10.25'!$C$5:$G$162,5,0)</f>
        <v>91.032200000000003</v>
      </c>
      <c r="K30" s="63">
        <v>39666666.666666359</v>
      </c>
      <c r="L30" s="29">
        <f t="shared" si="4"/>
        <v>455161166.66666639</v>
      </c>
      <c r="M30" s="33">
        <f t="shared" si="0"/>
        <v>1.7106719951837736E-2</v>
      </c>
      <c r="N30" s="13">
        <f t="shared" si="7"/>
        <v>166666.66666666666</v>
      </c>
      <c r="O30" s="12">
        <f t="shared" si="2"/>
        <v>39833333.333333023</v>
      </c>
      <c r="Q30" s="8"/>
      <c r="R30" s="8"/>
    </row>
    <row r="31" spans="1:23" x14ac:dyDescent="0.25">
      <c r="A31" s="27" t="s">
        <v>264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20.10.25'!$C$5:$F$162,4,0)</f>
        <v>85.3215</v>
      </c>
      <c r="J31" s="32">
        <f>VLOOKUP(B31,'KASE за 20.10.25'!$C$5:$G$162,5,0)</f>
        <v>92.754800000000003</v>
      </c>
      <c r="K31" s="63">
        <v>22300000</v>
      </c>
      <c r="L31" s="29">
        <f t="shared" ref="L31:L46" si="9">D31*I31/100+K31</f>
        <v>278264500</v>
      </c>
      <c r="M31" s="33">
        <f t="shared" si="0"/>
        <v>1.0458257915320445E-2</v>
      </c>
      <c r="N31" s="13">
        <f t="shared" si="7"/>
        <v>100000</v>
      </c>
      <c r="O31" s="12">
        <f t="shared" si="2"/>
        <v>22400000</v>
      </c>
      <c r="Q31" s="8"/>
      <c r="R31" s="8"/>
    </row>
    <row r="32" spans="1:23" x14ac:dyDescent="0.25">
      <c r="A32" s="27" t="s">
        <v>264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20.10.25'!$C$5:$F$162,4,0)</f>
        <v>85.3215</v>
      </c>
      <c r="J32" s="32">
        <f>VLOOKUP(B32,'KASE за 20.10.25'!$C$5:$G$162,5,0)</f>
        <v>92.754800000000003</v>
      </c>
      <c r="K32" s="63">
        <v>21451039</v>
      </c>
      <c r="L32" s="29">
        <f t="shared" si="9"/>
        <v>267670970.48500001</v>
      </c>
      <c r="M32" s="33">
        <f t="shared" si="0"/>
        <v>1.0060112036484195E-2</v>
      </c>
      <c r="N32" s="13">
        <f t="shared" si="7"/>
        <v>96193</v>
      </c>
      <c r="O32" s="12">
        <f t="shared" si="2"/>
        <v>21547232</v>
      </c>
      <c r="Q32" s="8"/>
      <c r="R32" s="8"/>
    </row>
    <row r="33" spans="1:19" x14ac:dyDescent="0.25">
      <c r="A33" s="27" t="s">
        <v>385</v>
      </c>
      <c r="B33" s="28" t="s">
        <v>400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20.10.25'!$C$4:$G$963,4,0)</f>
        <v>98.515840081678121</v>
      </c>
      <c r="J33" s="32">
        <f>VLOOKUP(B33,'Риск цены за 20.10.25'!$C$4:$G$963,5,0)</f>
        <v>103.99464008167813</v>
      </c>
      <c r="K33" s="63">
        <v>16436500</v>
      </c>
      <c r="L33" s="29">
        <f t="shared" si="9"/>
        <v>311984020.2450344</v>
      </c>
      <c r="M33" s="33">
        <f t="shared" si="0"/>
        <v>1.1725568116598145E-2</v>
      </c>
      <c r="N33" s="13">
        <f t="shared" si="7"/>
        <v>115750</v>
      </c>
      <c r="O33" s="12">
        <f t="shared" si="2"/>
        <v>16552250</v>
      </c>
      <c r="Q33" s="8"/>
      <c r="R33" s="8"/>
    </row>
    <row r="34" spans="1:19" x14ac:dyDescent="0.25">
      <c r="A34" s="27" t="s">
        <v>264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20.10.25'!$C$5:$F$162,4,0)</f>
        <v>70.569999999999993</v>
      </c>
      <c r="J34" s="32">
        <f>VLOOKUP(B34,'KASE за 20.10.25'!$C$5:$G$162,5,0)</f>
        <v>74.321100000000001</v>
      </c>
      <c r="K34" s="63">
        <v>262577.77777777868</v>
      </c>
      <c r="L34" s="29">
        <f t="shared" si="9"/>
        <v>5202477.777777778</v>
      </c>
      <c r="M34" s="33">
        <f t="shared" si="0"/>
        <v>1.9552926944947402E-4</v>
      </c>
      <c r="N34" s="13">
        <f t="shared" si="7"/>
        <v>1641.1111111111109</v>
      </c>
      <c r="O34" s="12">
        <f t="shared" si="2"/>
        <v>264218.88888888981</v>
      </c>
      <c r="Q34" s="8"/>
      <c r="R34" s="8"/>
      <c r="S34" s="39"/>
    </row>
    <row r="35" spans="1:19" x14ac:dyDescent="0.25">
      <c r="A35" s="27" t="s">
        <v>264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20.10.25'!$C$5:$F$162,4,0)</f>
        <v>88.350999999999999</v>
      </c>
      <c r="J35" s="32">
        <f>VLOOKUP(B35,'KASE за 20.10.25'!$C$5:$G$162,5,0)</f>
        <v>94.223200000000006</v>
      </c>
      <c r="K35" s="63">
        <v>587222.22222222073</v>
      </c>
      <c r="L35" s="29">
        <f t="shared" si="9"/>
        <v>9422322.2222222202</v>
      </c>
      <c r="M35" s="33">
        <f t="shared" si="0"/>
        <v>3.5412737148021126E-4</v>
      </c>
      <c r="N35" s="13">
        <f t="shared" si="7"/>
        <v>3888.8888888888896</v>
      </c>
      <c r="O35" s="12">
        <f t="shared" si="2"/>
        <v>591111.11111110961</v>
      </c>
      <c r="Q35" s="8"/>
      <c r="R35" s="8"/>
      <c r="S35" s="39"/>
    </row>
    <row r="36" spans="1:19" x14ac:dyDescent="0.25">
      <c r="A36" s="27" t="s">
        <v>264</v>
      </c>
      <c r="B36" s="28" t="s">
        <v>210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20.10.25'!$C$5:$F$177,4,0)</f>
        <v>58.986499999999999</v>
      </c>
      <c r="J36" s="32">
        <f>VLOOKUP(B36,'KASE за 20.10.25'!$C$5:$G$177,5,0)</f>
        <v>65.004000000000005</v>
      </c>
      <c r="K36" s="63">
        <v>18052500</v>
      </c>
      <c r="L36" s="29">
        <f t="shared" si="9"/>
        <v>195012000</v>
      </c>
      <c r="M36" s="33">
        <f t="shared" si="0"/>
        <v>7.3293064425482609E-3</v>
      </c>
      <c r="N36" s="13">
        <f t="shared" ref="N36:N60" si="10">D36*E36%/360</f>
        <v>72500</v>
      </c>
      <c r="O36" s="12">
        <f t="shared" si="2"/>
        <v>18125000</v>
      </c>
      <c r="Q36" s="8"/>
      <c r="R36" s="8"/>
      <c r="S36" s="39"/>
    </row>
    <row r="37" spans="1:19" x14ac:dyDescent="0.25">
      <c r="A37" s="27" t="s">
        <v>264</v>
      </c>
      <c r="B37" s="28" t="s">
        <v>210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20.10.25'!$C$5:$F$177,4,0)</f>
        <v>58.986499999999999</v>
      </c>
      <c r="J37" s="32">
        <f>VLOOKUP(B37,'KASE за 20.10.25'!$C$5:$G$177,5,0)</f>
        <v>65.004000000000005</v>
      </c>
      <c r="K37" s="63">
        <v>12034999.999999678</v>
      </c>
      <c r="L37" s="29">
        <f t="shared" si="9"/>
        <v>130007999.99999967</v>
      </c>
      <c r="M37" s="33">
        <f t="shared" si="0"/>
        <v>4.8862042950321618E-3</v>
      </c>
      <c r="N37" s="13">
        <f t="shared" si="10"/>
        <v>48333.333333333336</v>
      </c>
      <c r="O37" s="12">
        <f t="shared" si="2"/>
        <v>12083333.333333012</v>
      </c>
      <c r="Q37" s="8"/>
      <c r="R37" s="8"/>
      <c r="S37" s="39"/>
    </row>
    <row r="38" spans="1:19" x14ac:dyDescent="0.25">
      <c r="A38" s="27" t="s">
        <v>264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20.10.25'!$C$5:$F$162,4,0)</f>
        <v>82.604799999999997</v>
      </c>
      <c r="J38" s="32">
        <f>VLOOKUP(B38,'KASE за 20.10.25'!$C$5:$G$162,5,0)</f>
        <v>90.427000000000007</v>
      </c>
      <c r="K38" s="63">
        <v>20572444.444444686</v>
      </c>
      <c r="L38" s="29">
        <f t="shared" si="9"/>
        <v>237823068.44444469</v>
      </c>
      <c r="M38" s="33">
        <f t="shared" si="0"/>
        <v>8.9383122461000573E-3</v>
      </c>
      <c r="N38" s="13">
        <f t="shared" si="10"/>
        <v>80361.111111111109</v>
      </c>
      <c r="O38" s="12">
        <f t="shared" si="2"/>
        <v>20652805.555555798</v>
      </c>
      <c r="Q38" s="8"/>
      <c r="R38" s="8"/>
      <c r="S38" s="39"/>
    </row>
    <row r="39" spans="1:19" x14ac:dyDescent="0.25">
      <c r="A39" s="27" t="s">
        <v>264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20.10.25'!$C$5:$F$162,4,0)</f>
        <v>95.883899999999997</v>
      </c>
      <c r="J39" s="32">
        <f>VLOOKUP(B39,'KASE за 20.10.25'!$C$5:$G$162,5,0)</f>
        <v>105.5314</v>
      </c>
      <c r="K39" s="63">
        <v>32897975</v>
      </c>
      <c r="L39" s="29">
        <f t="shared" si="9"/>
        <v>359862074</v>
      </c>
      <c r="M39" s="33">
        <f t="shared" si="0"/>
        <v>1.3525010857777875E-2</v>
      </c>
      <c r="N39" s="13">
        <f t="shared" si="10"/>
        <v>144925</v>
      </c>
      <c r="O39" s="12">
        <f t="shared" si="2"/>
        <v>33042900</v>
      </c>
      <c r="Q39" s="8"/>
      <c r="R39" s="8"/>
      <c r="S39" s="39"/>
    </row>
    <row r="40" spans="1:19" x14ac:dyDescent="0.25">
      <c r="A40" s="27" t="s">
        <v>264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20.10.25'!$C$5:$F$162,4,0)</f>
        <v>85.716800000000006</v>
      </c>
      <c r="J40" s="32">
        <f>VLOOKUP(B40,'KASE за 20.10.25'!$C$5:$G$162,5,0)</f>
        <v>95.983199999999997</v>
      </c>
      <c r="K40" s="63">
        <v>8493098.5158333797</v>
      </c>
      <c r="L40" s="29">
        <f t="shared" si="9"/>
        <v>79404035.651833385</v>
      </c>
      <c r="M40" s="33">
        <f t="shared" si="0"/>
        <v>2.9843112734976012E-3</v>
      </c>
      <c r="N40" s="13">
        <f t="shared" si="10"/>
        <v>24059.769166666669</v>
      </c>
      <c r="O40" s="12">
        <f t="shared" si="2"/>
        <v>8517158.2850000467</v>
      </c>
      <c r="Q40" s="8"/>
      <c r="R40" s="8"/>
      <c r="S40" s="43"/>
    </row>
    <row r="41" spans="1:19" x14ac:dyDescent="0.25">
      <c r="A41" s="27" t="s">
        <v>264</v>
      </c>
      <c r="B41" s="28" t="s">
        <v>190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20.10.25'!$C$5:$F$177,4,0)</f>
        <v>75.371099999999998</v>
      </c>
      <c r="J41" s="32">
        <f>VLOOKUP(B41,'KASE за 20.10.25'!$C$5:$G$177,5,0)</f>
        <v>76.800399999999996</v>
      </c>
      <c r="K41" s="105">
        <v>3251733.3333333358</v>
      </c>
      <c r="L41" s="29">
        <f t="shared" si="9"/>
        <v>174720985.83333334</v>
      </c>
      <c r="M41" s="33">
        <f t="shared" si="0"/>
        <v>6.5666915221454757E-3</v>
      </c>
      <c r="N41" s="13">
        <f t="shared" si="10"/>
        <v>48533.333333333336</v>
      </c>
      <c r="O41" s="12">
        <f t="shared" si="2"/>
        <v>3300266.6666666693</v>
      </c>
      <c r="Q41" s="8"/>
      <c r="R41" s="8"/>
      <c r="S41" s="43"/>
    </row>
    <row r="42" spans="1:19" x14ac:dyDescent="0.25">
      <c r="A42" s="27" t="s">
        <v>394</v>
      </c>
      <c r="B42" s="28" t="s">
        <v>188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20.10.25'!$C$5:$F$162,4,0)</f>
        <v>77.740799999999993</v>
      </c>
      <c r="J42" s="32">
        <f>VLOOKUP(B42,'KASE за 20.10.25'!$C$5:$G$162,5,0)</f>
        <v>83.957999999999998</v>
      </c>
      <c r="K42" s="63">
        <v>31086111.11109978</v>
      </c>
      <c r="L42" s="29">
        <f t="shared" si="9"/>
        <v>419790111.11109978</v>
      </c>
      <c r="M42" s="33">
        <f t="shared" si="0"/>
        <v>1.5777338655491118E-2</v>
      </c>
      <c r="N42" s="13">
        <f t="shared" si="10"/>
        <v>100277.77777777778</v>
      </c>
      <c r="O42" s="12">
        <f t="shared" ref="O42:O60" si="11">K42+N42</f>
        <v>31186388.888877556</v>
      </c>
      <c r="Q42" s="8"/>
      <c r="R42" s="12"/>
    </row>
    <row r="43" spans="1:19" x14ac:dyDescent="0.25">
      <c r="A43" s="27" t="s">
        <v>394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20.10.25'!$C$5:$F$162,4,0)</f>
        <v>95.883899999999997</v>
      </c>
      <c r="J43" s="32">
        <f>VLOOKUP(B43,'KASE за 20.10.25'!$C$5:$G$162,5,0)</f>
        <v>105.5314</v>
      </c>
      <c r="K43" s="63">
        <v>24987025</v>
      </c>
      <c r="L43" s="29">
        <f t="shared" si="9"/>
        <v>273326326</v>
      </c>
      <c r="M43" s="33">
        <f t="shared" si="0"/>
        <v>1.0272662205760908E-2</v>
      </c>
      <c r="N43" s="13">
        <f t="shared" si="10"/>
        <v>110075</v>
      </c>
      <c r="O43" s="12">
        <f t="shared" si="11"/>
        <v>25097100</v>
      </c>
      <c r="Q43" s="8"/>
      <c r="R43" s="12"/>
    </row>
    <row r="44" spans="1:19" x14ac:dyDescent="0.25">
      <c r="A44" s="27" t="s">
        <v>385</v>
      </c>
      <c r="B44" s="28" t="s">
        <v>2072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20.10.25'!$C$4:$G$963,4,0)</f>
        <v>99.594384124241387</v>
      </c>
      <c r="J44" s="32">
        <f>VLOOKUP(B44,'Риск цены за 20.10.25'!$C$4:$G$963,5,0)</f>
        <v>100.0582841242414</v>
      </c>
      <c r="K44" s="63">
        <v>927777.77777777764</v>
      </c>
      <c r="L44" s="29">
        <f t="shared" si="9"/>
        <v>200116546.02626058</v>
      </c>
      <c r="M44" s="33">
        <f t="shared" si="0"/>
        <v>7.5211550573850696E-3</v>
      </c>
      <c r="N44" s="13">
        <f t="shared" si="10"/>
        <v>92777.777777777766</v>
      </c>
      <c r="O44" s="12">
        <f t="shared" si="11"/>
        <v>1020555.5555555554</v>
      </c>
      <c r="Q44" s="8"/>
      <c r="R44" s="12"/>
    </row>
    <row r="45" spans="1:19" x14ac:dyDescent="0.25">
      <c r="A45" s="75" t="s">
        <v>394</v>
      </c>
      <c r="B45" s="74" t="s">
        <v>202</v>
      </c>
      <c r="C45" s="73">
        <v>500000</v>
      </c>
      <c r="D45" s="29">
        <f t="shared" si="8"/>
        <v>500000000</v>
      </c>
      <c r="E45" s="72">
        <v>5.3</v>
      </c>
      <c r="F45" s="71">
        <v>45764</v>
      </c>
      <c r="G45" s="71">
        <v>46679</v>
      </c>
      <c r="H45" s="73">
        <v>412076777.77999997</v>
      </c>
      <c r="I45" s="83">
        <f>VLOOKUP(B45,'KASE за 20.10.25'!$C$5:$F$177,4,0)</f>
        <v>81.726799999999997</v>
      </c>
      <c r="J45" s="83">
        <f>VLOOKUP(B45,'KASE за 20.10.25'!$C$5:$G$177,5,0)</f>
        <v>81.741500000000002</v>
      </c>
      <c r="K45" s="125">
        <v>73611.111111111109</v>
      </c>
      <c r="L45" s="29">
        <f t="shared" si="9"/>
        <v>408707611.1111111</v>
      </c>
      <c r="M45" s="84">
        <f t="shared" si="0"/>
        <v>1.5360815371542139E-2</v>
      </c>
      <c r="N45" s="13">
        <f t="shared" si="10"/>
        <v>73611.111111111109</v>
      </c>
      <c r="O45" s="12">
        <f t="shared" si="11"/>
        <v>147222.22222222222</v>
      </c>
      <c r="Q45" s="8"/>
      <c r="R45" s="12"/>
    </row>
    <row r="46" spans="1:19" x14ac:dyDescent="0.25">
      <c r="A46" s="82" t="s">
        <v>394</v>
      </c>
      <c r="B46" s="81" t="s">
        <v>149</v>
      </c>
      <c r="C46" s="85">
        <v>737000</v>
      </c>
      <c r="D46" s="29">
        <f t="shared" si="8"/>
        <v>737000000</v>
      </c>
      <c r="E46" s="72">
        <v>11</v>
      </c>
      <c r="F46" s="86">
        <v>45771</v>
      </c>
      <c r="G46" s="86">
        <v>47518</v>
      </c>
      <c r="H46" s="73">
        <v>649670986.55999994</v>
      </c>
      <c r="I46" s="83">
        <f>VLOOKUP(B46,'KASE за 20.10.25'!$C$5:$F$162,4,0)</f>
        <v>82.604799999999997</v>
      </c>
      <c r="J46" s="83">
        <f>VLOOKUP(B46,'KASE за 20.10.25'!$C$5:$G$162,5,0)</f>
        <v>90.427000000000007</v>
      </c>
      <c r="K46" s="101">
        <v>57649777.777778104</v>
      </c>
      <c r="L46" s="73">
        <f t="shared" si="9"/>
        <v>666447153.77777815</v>
      </c>
      <c r="M46" s="84">
        <f t="shared" si="0"/>
        <v>2.5047665875953379E-2</v>
      </c>
      <c r="N46" s="13">
        <f t="shared" si="10"/>
        <v>225194.44444444444</v>
      </c>
      <c r="O46" s="12">
        <f t="shared" si="11"/>
        <v>57874972.222222552</v>
      </c>
      <c r="Q46" s="8"/>
      <c r="R46" s="12"/>
    </row>
    <row r="47" spans="1:19" x14ac:dyDescent="0.25">
      <c r="A47" s="55" t="s">
        <v>394</v>
      </c>
      <c r="B47" s="56" t="s">
        <v>9</v>
      </c>
      <c r="C47" s="88">
        <v>6000</v>
      </c>
      <c r="D47" s="29">
        <f t="shared" si="8"/>
        <v>6000000</v>
      </c>
      <c r="E47" s="72">
        <v>10.3</v>
      </c>
      <c r="F47" s="87">
        <v>45775</v>
      </c>
      <c r="G47" s="87">
        <v>47924</v>
      </c>
      <c r="H47" s="29">
        <v>4822485.33</v>
      </c>
      <c r="I47" s="83">
        <f>VLOOKUP(B47,'KASE за 20.10.25'!$C$5:$F$162,4,0)</f>
        <v>77.3249</v>
      </c>
      <c r="J47" s="83">
        <f>VLOOKUP(B47,'KASE за 20.10.25'!$C$5:$G$162,5,0)</f>
        <v>83.4191</v>
      </c>
      <c r="K47" s="63">
        <v>365650.00000000064</v>
      </c>
      <c r="L47" s="73">
        <f t="shared" ref="L47:L60" si="12">D47*I47/100+K47</f>
        <v>5005144.0000000009</v>
      </c>
      <c r="M47" s="84">
        <f t="shared" si="0"/>
        <v>1.8811270160339763E-4</v>
      </c>
      <c r="N47" s="13">
        <f t="shared" si="10"/>
        <v>1716.6666666666667</v>
      </c>
      <c r="O47" s="12">
        <f t="shared" si="11"/>
        <v>367366.66666666733</v>
      </c>
      <c r="Q47" s="8"/>
      <c r="R47" s="12"/>
    </row>
    <row r="48" spans="1:19" x14ac:dyDescent="0.25">
      <c r="A48" s="82" t="s">
        <v>394</v>
      </c>
      <c r="B48" s="81" t="s">
        <v>9</v>
      </c>
      <c r="C48" s="85">
        <v>6000</v>
      </c>
      <c r="D48" s="73">
        <f t="shared" si="8"/>
        <v>6000000</v>
      </c>
      <c r="E48" s="72">
        <v>10.3</v>
      </c>
      <c r="F48" s="86">
        <v>45775</v>
      </c>
      <c r="G48" s="86">
        <v>47924</v>
      </c>
      <c r="H48" s="73">
        <v>4841157.33</v>
      </c>
      <c r="I48" s="83">
        <f>VLOOKUP(B48,'KASE за 20.10.25'!$C$5:$F$162,4,0)</f>
        <v>77.3249</v>
      </c>
      <c r="J48" s="83">
        <f>VLOOKUP(B48,'KASE за 20.10.25'!$C$5:$G$162,5,0)</f>
        <v>83.4191</v>
      </c>
      <c r="K48" s="101">
        <v>365650.00000000064</v>
      </c>
      <c r="L48" s="73">
        <f t="shared" si="12"/>
        <v>5005144.0000000009</v>
      </c>
      <c r="M48" s="84">
        <f t="shared" si="0"/>
        <v>1.8811270160339763E-4</v>
      </c>
      <c r="N48" s="13">
        <f t="shared" si="10"/>
        <v>1716.6666666666667</v>
      </c>
      <c r="O48" s="12">
        <f t="shared" si="11"/>
        <v>367366.66666666733</v>
      </c>
      <c r="Q48" s="8"/>
      <c r="R48" s="12"/>
    </row>
    <row r="49" spans="1:18" x14ac:dyDescent="0.25">
      <c r="A49" s="55" t="s">
        <v>29</v>
      </c>
      <c r="B49" s="56" t="s">
        <v>2095</v>
      </c>
      <c r="C49" s="88">
        <v>500000</v>
      </c>
      <c r="D49" s="29">
        <f t="shared" si="8"/>
        <v>500000000</v>
      </c>
      <c r="E49" s="30">
        <v>17</v>
      </c>
      <c r="F49" s="87">
        <v>45782</v>
      </c>
      <c r="G49" s="87">
        <v>46147</v>
      </c>
      <c r="H49" s="88">
        <v>500000000</v>
      </c>
      <c r="I49" s="91">
        <v>100</v>
      </c>
      <c r="J49" s="91">
        <v>100</v>
      </c>
      <c r="K49" s="102">
        <v>38958333.333333433</v>
      </c>
      <c r="L49" s="73">
        <f t="shared" si="12"/>
        <v>538958333.33333349</v>
      </c>
      <c r="M49" s="84">
        <f t="shared" si="0"/>
        <v>2.0256142107998861E-2</v>
      </c>
      <c r="N49" s="13">
        <f t="shared" si="10"/>
        <v>236111.11111111112</v>
      </c>
      <c r="O49" s="12">
        <f t="shared" si="11"/>
        <v>39194444.444444545</v>
      </c>
      <c r="Q49" s="8"/>
      <c r="R49" s="12"/>
    </row>
    <row r="50" spans="1:18" x14ac:dyDescent="0.25">
      <c r="A50" s="82" t="s">
        <v>394</v>
      </c>
      <c r="B50" s="81" t="s">
        <v>168</v>
      </c>
      <c r="C50" s="85">
        <v>500000</v>
      </c>
      <c r="D50" s="29">
        <f t="shared" si="8"/>
        <v>500000000</v>
      </c>
      <c r="E50" s="72">
        <v>8.44</v>
      </c>
      <c r="F50" s="86">
        <v>45799</v>
      </c>
      <c r="G50" s="86">
        <v>47978</v>
      </c>
      <c r="H50" s="85">
        <v>372237166.67000002</v>
      </c>
      <c r="I50" s="83">
        <f>VLOOKUP(B50,'KASE за 20.10.25'!$C$5:$F$165,4,0)</f>
        <v>70.569999999999993</v>
      </c>
      <c r="J50" s="83">
        <f>VLOOKUP(B50,'KASE за 20.10.25'!$C$5:$G$165,5,0)</f>
        <v>74.321100000000001</v>
      </c>
      <c r="K50" s="103">
        <v>18755555.55555556</v>
      </c>
      <c r="L50" s="73">
        <f t="shared" si="12"/>
        <v>371605555.55555558</v>
      </c>
      <c r="M50" s="84">
        <f t="shared" ref="M50:M61" si="13">L50/$L$62</f>
        <v>1.3966376389248145E-2</v>
      </c>
      <c r="N50" s="13">
        <f>D50*E50%/360</f>
        <v>117222.2222222222</v>
      </c>
      <c r="O50" s="12">
        <f>K50+N50</f>
        <v>18872777.777777784</v>
      </c>
      <c r="Q50" s="8"/>
      <c r="R50" s="12"/>
    </row>
    <row r="51" spans="1:18" x14ac:dyDescent="0.25">
      <c r="A51" s="55" t="s">
        <v>394</v>
      </c>
      <c r="B51" s="56" t="s">
        <v>190</v>
      </c>
      <c r="C51" s="88">
        <v>500000</v>
      </c>
      <c r="D51" s="29">
        <f t="shared" si="8"/>
        <v>500000000</v>
      </c>
      <c r="E51" s="30">
        <v>7.68</v>
      </c>
      <c r="F51" s="87">
        <v>45813</v>
      </c>
      <c r="G51" s="87">
        <v>47343</v>
      </c>
      <c r="H51" s="88">
        <v>403604166.67000002</v>
      </c>
      <c r="I51" s="83">
        <f>VLOOKUP(B51,'KASE за 20.10.25'!$C$5:$F$165,4,0)</f>
        <v>75.371099999999998</v>
      </c>
      <c r="J51" s="83">
        <f>VLOOKUP(B51,'KASE за 20.10.25'!$C$5:$G$165,5,0)</f>
        <v>76.800399999999996</v>
      </c>
      <c r="K51" s="106">
        <v>7146666.6666666726</v>
      </c>
      <c r="L51" s="73">
        <f t="shared" si="12"/>
        <v>384002166.66666669</v>
      </c>
      <c r="M51" s="84">
        <f t="shared" si="13"/>
        <v>1.4432289059660385E-2</v>
      </c>
      <c r="N51" s="13">
        <f t="shared" si="10"/>
        <v>106666.66666666667</v>
      </c>
      <c r="O51" s="12">
        <f t="shared" si="11"/>
        <v>7253333.3333333395</v>
      </c>
      <c r="Q51" s="8"/>
      <c r="R51" s="12"/>
    </row>
    <row r="52" spans="1:18" x14ac:dyDescent="0.25">
      <c r="A52" s="82" t="s">
        <v>394</v>
      </c>
      <c r="B52" s="81" t="s">
        <v>204</v>
      </c>
      <c r="C52" s="85">
        <v>500000</v>
      </c>
      <c r="D52" s="73">
        <f t="shared" si="8"/>
        <v>500000000</v>
      </c>
      <c r="E52" s="72">
        <v>5</v>
      </c>
      <c r="F52" s="86">
        <v>45813</v>
      </c>
      <c r="G52" s="86">
        <v>46861</v>
      </c>
      <c r="H52" s="85">
        <v>379402388.88999999</v>
      </c>
      <c r="I52" s="83">
        <f>VLOOKUP(B52,'KASE за 20.10.25'!$C$5:$F$177,4,0)</f>
        <v>77.265900000000002</v>
      </c>
      <c r="J52" s="83">
        <f>VLOOKUP(B52,'KASE за 20.10.25'!$C$5:$G$177,5,0)</f>
        <v>79.793700000000001</v>
      </c>
      <c r="K52" s="103">
        <v>12638888.88888884</v>
      </c>
      <c r="L52" s="73">
        <f t="shared" si="12"/>
        <v>398968388.88888884</v>
      </c>
      <c r="M52" s="84">
        <f t="shared" si="13"/>
        <v>1.4994777670381479E-2</v>
      </c>
      <c r="N52" s="13">
        <f t="shared" si="10"/>
        <v>69444.444444444438</v>
      </c>
      <c r="O52" s="12">
        <f t="shared" si="11"/>
        <v>12708333.333333284</v>
      </c>
      <c r="Q52" s="8"/>
      <c r="R52" s="12"/>
    </row>
    <row r="53" spans="1:18" x14ac:dyDescent="0.25">
      <c r="A53" s="82" t="s">
        <v>394</v>
      </c>
      <c r="B53" s="81" t="s">
        <v>8</v>
      </c>
      <c r="C53" s="85">
        <v>200000</v>
      </c>
      <c r="D53" s="73">
        <f t="shared" ref="D53:D61" si="14">C53*1000</f>
        <v>200000000</v>
      </c>
      <c r="E53" s="72">
        <v>10.55</v>
      </c>
      <c r="F53" s="86">
        <v>45820</v>
      </c>
      <c r="G53" s="86">
        <v>47327</v>
      </c>
      <c r="H53" s="85">
        <v>182665288.88999999</v>
      </c>
      <c r="I53" s="83">
        <f>VLOOKUP(B53,'KASE за 20.10.25'!$C$5:$F$165,4,0)</f>
        <v>83.111000000000004</v>
      </c>
      <c r="J53" s="83">
        <f>VLOOKUP(B53,'KASE за 20.10.25'!$C$5:$G$165,5,0)</f>
        <v>85.514099999999999</v>
      </c>
      <c r="K53" s="103">
        <v>4806111.1111111054</v>
      </c>
      <c r="L53" s="73">
        <f t="shared" si="12"/>
        <v>171028111.1111111</v>
      </c>
      <c r="M53" s="84">
        <f t="shared" si="13"/>
        <v>6.427898983772929E-3</v>
      </c>
      <c r="N53" s="13">
        <f t="shared" si="10"/>
        <v>58611.111111111124</v>
      </c>
      <c r="O53" s="12">
        <f t="shared" si="11"/>
        <v>4864722.2222222164</v>
      </c>
      <c r="Q53" s="8"/>
      <c r="R53" s="12"/>
    </row>
    <row r="54" spans="1:18" x14ac:dyDescent="0.25">
      <c r="A54" s="82" t="s">
        <v>394</v>
      </c>
      <c r="B54" s="81" t="s">
        <v>141</v>
      </c>
      <c r="C54" s="85">
        <v>500000</v>
      </c>
      <c r="D54" s="73">
        <f t="shared" si="14"/>
        <v>500000000</v>
      </c>
      <c r="E54" s="72">
        <v>12</v>
      </c>
      <c r="F54" s="86">
        <v>45832</v>
      </c>
      <c r="G54" s="86">
        <v>47549</v>
      </c>
      <c r="H54" s="85">
        <v>447016833.32999998</v>
      </c>
      <c r="I54" s="83">
        <f>VLOOKUP(B54,'KASE за 20.10.25'!$C$5:$F$165,4,0)</f>
        <v>85.3215</v>
      </c>
      <c r="J54" s="83">
        <f>VLOOKUP(B54,'KASE за 20.10.25'!$C$5:$G$165,5,0)</f>
        <v>92.754800000000003</v>
      </c>
      <c r="K54" s="103">
        <v>37166666.666666731</v>
      </c>
      <c r="L54" s="73">
        <f>D54*I54/100+K54</f>
        <v>463774166.66666675</v>
      </c>
      <c r="M54" s="84">
        <f t="shared" si="13"/>
        <v>1.7430429858867409E-2</v>
      </c>
      <c r="N54" s="13">
        <f t="shared" si="10"/>
        <v>166666.66666666666</v>
      </c>
      <c r="O54" s="12">
        <f t="shared" si="11"/>
        <v>37333333.333333395</v>
      </c>
      <c r="Q54" s="3"/>
      <c r="R54" s="12"/>
    </row>
    <row r="55" spans="1:18" x14ac:dyDescent="0.25">
      <c r="A55" s="82" t="s">
        <v>394</v>
      </c>
      <c r="B55" s="81" t="s">
        <v>141</v>
      </c>
      <c r="C55" s="85">
        <v>500000</v>
      </c>
      <c r="D55" s="73">
        <f t="shared" si="14"/>
        <v>500000000</v>
      </c>
      <c r="E55" s="72">
        <v>12</v>
      </c>
      <c r="F55" s="86">
        <v>45832</v>
      </c>
      <c r="G55" s="86">
        <v>47549</v>
      </c>
      <c r="H55" s="85">
        <v>445617333.32999998</v>
      </c>
      <c r="I55" s="83">
        <f>VLOOKUP(B55,'KASE за 20.10.25'!$C$5:$F$165,4,0)</f>
        <v>85.3215</v>
      </c>
      <c r="J55" s="83">
        <f>VLOOKUP(B55,'KASE за 20.10.25'!$C$5:$G$165,5,0)</f>
        <v>92.754800000000003</v>
      </c>
      <c r="K55" s="103">
        <v>37166666.666666731</v>
      </c>
      <c r="L55" s="73">
        <f t="shared" si="12"/>
        <v>463774166.66666675</v>
      </c>
      <c r="M55" s="84">
        <f t="shared" si="13"/>
        <v>1.7430429858867409E-2</v>
      </c>
      <c r="N55" s="13">
        <f t="shared" si="10"/>
        <v>166666.66666666666</v>
      </c>
      <c r="O55" s="12">
        <f t="shared" si="11"/>
        <v>37333333.333333395</v>
      </c>
      <c r="Q55" s="3"/>
      <c r="R55" s="12"/>
    </row>
    <row r="56" spans="1:18" x14ac:dyDescent="0.25">
      <c r="A56" s="55" t="s">
        <v>394</v>
      </c>
      <c r="B56" s="56" t="s">
        <v>141</v>
      </c>
      <c r="C56" s="88">
        <v>411421</v>
      </c>
      <c r="D56" s="29">
        <f t="shared" si="14"/>
        <v>411421000</v>
      </c>
      <c r="E56" s="30">
        <v>12</v>
      </c>
      <c r="F56" s="87">
        <v>45832</v>
      </c>
      <c r="G56" s="87">
        <v>47549</v>
      </c>
      <c r="H56" s="88">
        <v>363768436.95999998</v>
      </c>
      <c r="I56" s="32">
        <f>VLOOKUP(B56,'KASE за 20.10.25'!$C$5:$F$165,4,0)</f>
        <v>85.3215</v>
      </c>
      <c r="J56" s="32">
        <f>VLOOKUP(B56,'KASE за 20.10.25'!$C$5:$G$165,5,0)</f>
        <v>92.754800000000003</v>
      </c>
      <c r="K56" s="102">
        <v>30582294.33333322</v>
      </c>
      <c r="L56" s="73">
        <f t="shared" si="12"/>
        <v>381612862.84833318</v>
      </c>
      <c r="M56" s="84">
        <f t="shared" si="13"/>
        <v>1.4342489765930168E-2</v>
      </c>
      <c r="N56" s="13">
        <f t="shared" si="10"/>
        <v>137140.33333333334</v>
      </c>
      <c r="O56" s="12">
        <f t="shared" si="11"/>
        <v>30719434.666666552</v>
      </c>
      <c r="Q56" s="3"/>
      <c r="R56" s="12"/>
    </row>
    <row r="57" spans="1:18" x14ac:dyDescent="0.25">
      <c r="A57" s="55" t="s">
        <v>394</v>
      </c>
      <c r="B57" s="56" t="s">
        <v>2176</v>
      </c>
      <c r="C57" s="88">
        <f>500000-271261</f>
        <v>228739</v>
      </c>
      <c r="D57" s="29">
        <f t="shared" si="14"/>
        <v>228739000</v>
      </c>
      <c r="E57" s="30">
        <v>14.45</v>
      </c>
      <c r="F57" s="87">
        <v>45848</v>
      </c>
      <c r="G57" s="87">
        <v>48735</v>
      </c>
      <c r="H57" s="88">
        <v>207428213.37400001</v>
      </c>
      <c r="I57" s="32">
        <f>VLOOKUP(B57,'KASE за 20.10.25'!$C$5:$F$170,4,0)</f>
        <v>89.149699999999996</v>
      </c>
      <c r="J57" s="32">
        <f>VLOOKUP(B57,'KASE за 20.10.25'!$C$5:$G$170,5,0)</f>
        <v>94.5685</v>
      </c>
      <c r="K57" s="102">
        <v>12394794.562499974</v>
      </c>
      <c r="L57" s="73">
        <f>D57*I57/100+K57</f>
        <v>216314926.84549996</v>
      </c>
      <c r="M57" s="84">
        <f t="shared" si="13"/>
        <v>8.1299529616027655E-3</v>
      </c>
      <c r="N57" s="13">
        <f t="shared" si="10"/>
        <v>91813.29305555555</v>
      </c>
      <c r="O57" s="12">
        <f t="shared" si="11"/>
        <v>12486607.855555529</v>
      </c>
      <c r="Q57" s="3"/>
      <c r="R57" s="12"/>
    </row>
    <row r="58" spans="1:18" x14ac:dyDescent="0.25">
      <c r="A58" s="82" t="s">
        <v>394</v>
      </c>
      <c r="B58" s="81" t="s">
        <v>168</v>
      </c>
      <c r="C58" s="85">
        <v>500000</v>
      </c>
      <c r="D58" s="73">
        <f t="shared" si="14"/>
        <v>500000000</v>
      </c>
      <c r="E58" s="72">
        <v>8.44</v>
      </c>
      <c r="F58" s="86">
        <v>45862</v>
      </c>
      <c r="G58" s="86">
        <v>47978</v>
      </c>
      <c r="H58" s="85">
        <v>357881944.44</v>
      </c>
      <c r="I58" s="83">
        <f>VLOOKUP(B58,'KASE за 20.10.25'!$C$5:$F$170,4,0)</f>
        <v>70.569999999999993</v>
      </c>
      <c r="J58" s="83">
        <f>VLOOKUP(B58,'KASE за 20.10.25'!$C$5:$G$170,5,0)</f>
        <v>74.321100000000001</v>
      </c>
      <c r="K58" s="103">
        <v>18755555.555555567</v>
      </c>
      <c r="L58" s="73">
        <f t="shared" si="12"/>
        <v>371605555.55555558</v>
      </c>
      <c r="M58" s="84">
        <f t="shared" si="13"/>
        <v>1.3966376389248145E-2</v>
      </c>
      <c r="N58" s="13">
        <f t="shared" si="10"/>
        <v>117222.2222222222</v>
      </c>
      <c r="O58" s="12">
        <f t="shared" si="11"/>
        <v>18872777.777777791</v>
      </c>
      <c r="Q58" s="3"/>
      <c r="R58" s="12"/>
    </row>
    <row r="59" spans="1:18" x14ac:dyDescent="0.25">
      <c r="A59" s="82" t="s">
        <v>394</v>
      </c>
      <c r="B59" s="81" t="s">
        <v>2176</v>
      </c>
      <c r="C59" s="85">
        <v>500000</v>
      </c>
      <c r="D59" s="73">
        <f t="shared" si="14"/>
        <v>500000000</v>
      </c>
      <c r="E59" s="72">
        <v>14.45</v>
      </c>
      <c r="F59" s="86">
        <v>45883</v>
      </c>
      <c r="G59" s="86">
        <v>48735</v>
      </c>
      <c r="H59" s="85">
        <v>460186416.67000002</v>
      </c>
      <c r="I59" s="83">
        <f>VLOOKUP(B59,'KASE за 20.10.25'!$C$5:$F$170,4,0)</f>
        <v>89.149699999999996</v>
      </c>
      <c r="J59" s="83">
        <f>VLOOKUP(B59,'KASE за 20.10.25'!$C$5:$G$170,5,0)</f>
        <v>94.5685</v>
      </c>
      <c r="K59" s="103">
        <v>27093749.999999974</v>
      </c>
      <c r="L59" s="73">
        <f t="shared" si="12"/>
        <v>472842250</v>
      </c>
      <c r="M59" s="84">
        <f t="shared" si="13"/>
        <v>1.777124356057071E-2</v>
      </c>
      <c r="N59" s="13">
        <f t="shared" si="10"/>
        <v>200694.44444444444</v>
      </c>
      <c r="O59" s="12">
        <f t="shared" si="11"/>
        <v>27294444.444444418</v>
      </c>
      <c r="Q59" s="3"/>
      <c r="R59" s="12"/>
    </row>
    <row r="60" spans="1:18" x14ac:dyDescent="0.25">
      <c r="A60" s="82" t="s">
        <v>394</v>
      </c>
      <c r="B60" s="81" t="s">
        <v>218</v>
      </c>
      <c r="C60" s="85">
        <v>16841</v>
      </c>
      <c r="D60" s="73">
        <f t="shared" si="14"/>
        <v>16841000</v>
      </c>
      <c r="E60" s="72">
        <v>8.35</v>
      </c>
      <c r="F60" s="86">
        <v>45890</v>
      </c>
      <c r="G60" s="86">
        <v>50976</v>
      </c>
      <c r="H60" s="85">
        <v>9465392.3599999994</v>
      </c>
      <c r="I60" s="83">
        <f>VLOOKUP(B60,'KASE за 20.10.25'!$C$5:$F$177,4,0)</f>
        <v>54.579599999999999</v>
      </c>
      <c r="J60" s="83">
        <f>VLOOKUP(B60,'KASE за 20.10.25'!$C$5:$G$177,5,0)</f>
        <v>56.551099999999998</v>
      </c>
      <c r="K60" s="103">
        <v>332024.99305555562</v>
      </c>
      <c r="L60" s="73">
        <f t="shared" si="12"/>
        <v>9523775.4290555567</v>
      </c>
      <c r="M60" s="84">
        <f t="shared" si="13"/>
        <v>3.5794037602588415E-4</v>
      </c>
      <c r="N60" s="13">
        <f t="shared" si="10"/>
        <v>3906.1763888888881</v>
      </c>
      <c r="O60" s="12">
        <f t="shared" si="11"/>
        <v>335931.16944444453</v>
      </c>
      <c r="Q60" s="3"/>
      <c r="R60" s="12"/>
    </row>
    <row r="61" spans="1:18" ht="15.75" thickBot="1" x14ac:dyDescent="0.3">
      <c r="A61" s="82" t="s">
        <v>816</v>
      </c>
      <c r="B61" s="81" t="s">
        <v>2350</v>
      </c>
      <c r="C61" s="85">
        <v>500000</v>
      </c>
      <c r="D61" s="73">
        <f t="shared" si="14"/>
        <v>500000000</v>
      </c>
      <c r="E61" s="72">
        <v>18.7</v>
      </c>
      <c r="F61" s="86">
        <v>45896</v>
      </c>
      <c r="G61" s="86">
        <v>46992</v>
      </c>
      <c r="H61" s="85">
        <v>500000000</v>
      </c>
      <c r="I61" s="32">
        <f>VLOOKUP(B61,'Риск цены за 20.10.25'!$C$4:$G$963,4,0)</f>
        <v>97.132106016867695</v>
      </c>
      <c r="J61" s="32">
        <f>VLOOKUP(B61,'Риск цены за 20.10.25'!$C$4:$G$963,5,0)</f>
        <v>99.885206016867699</v>
      </c>
      <c r="K61" s="103">
        <v>13765277.777777769</v>
      </c>
      <c r="L61" s="73">
        <f>D61*I61/100+K61</f>
        <v>499425807.86211622</v>
      </c>
      <c r="M61" s="84">
        <f t="shared" si="13"/>
        <v>1.8770356650558314E-2</v>
      </c>
      <c r="N61" s="13">
        <f t="shared" ref="N61" si="15">D61*E61%/360</f>
        <v>259722.22222222222</v>
      </c>
      <c r="O61" s="12">
        <f t="shared" ref="O61" si="16">K61+N61</f>
        <v>14024999.999999991</v>
      </c>
      <c r="Q61" s="3"/>
      <c r="R61" s="12"/>
    </row>
    <row r="62" spans="1:18" ht="15.75" thickBot="1" x14ac:dyDescent="0.3">
      <c r="A62" s="70" t="s">
        <v>14</v>
      </c>
      <c r="B62" s="69"/>
      <c r="C62" s="68">
        <f>SUM(C6:C61)</f>
        <v>32621800</v>
      </c>
      <c r="D62" s="68">
        <f>SUM(D6:D61)</f>
        <v>32621800000</v>
      </c>
      <c r="E62" s="66"/>
      <c r="F62" s="65"/>
      <c r="G62" s="65"/>
      <c r="H62" s="68">
        <f>SUM(H6:H61)</f>
        <v>28060502168.966198</v>
      </c>
      <c r="I62" s="64"/>
      <c r="J62" s="67"/>
      <c r="K62" s="107">
        <f>SUM(K6:K61)</f>
        <v>1447773192.3838763</v>
      </c>
      <c r="L62" s="107">
        <f>SUM(L6:L61)</f>
        <v>26607156015.187439</v>
      </c>
      <c r="M62" s="104">
        <f>SUM(M6:M61)</f>
        <v>1.0000000000000002</v>
      </c>
      <c r="N62" s="13">
        <v>26607156015.187458</v>
      </c>
      <c r="O62" s="41">
        <f>L62-N62</f>
        <v>0</v>
      </c>
    </row>
    <row r="63" spans="1:18" x14ac:dyDescent="0.25">
      <c r="J63" s="4"/>
      <c r="K63" s="96"/>
      <c r="L63" s="42"/>
      <c r="M63" s="8"/>
      <c r="N63" s="39"/>
      <c r="O63" s="8"/>
    </row>
    <row r="64" spans="1:18" ht="15.75" thickBot="1" x14ac:dyDescent="0.3">
      <c r="A64" s="5" t="s">
        <v>379</v>
      </c>
      <c r="H64" s="95"/>
      <c r="K64" s="38"/>
      <c r="L64" s="44"/>
      <c r="M64" s="8"/>
      <c r="N64" s="108"/>
      <c r="O64" s="8"/>
    </row>
    <row r="65" spans="1:17" ht="15.75" thickBot="1" x14ac:dyDescent="0.3">
      <c r="A65" s="36" t="s">
        <v>238</v>
      </c>
      <c r="B65" s="37">
        <v>172364.56</v>
      </c>
      <c r="C65" s="8">
        <v>172364.56</v>
      </c>
      <c r="D65" s="8">
        <f>B65-C65</f>
        <v>0</v>
      </c>
      <c r="K65" s="38"/>
      <c r="L65" s="44"/>
      <c r="M65" s="92"/>
      <c r="N65" s="109"/>
      <c r="O65" s="8"/>
    </row>
    <row r="66" spans="1:17" x14ac:dyDescent="0.25">
      <c r="N66" s="89"/>
      <c r="O66" s="8"/>
      <c r="Q66" s="8"/>
    </row>
    <row r="67" spans="1:17" ht="15.75" thickBot="1" x14ac:dyDescent="0.3">
      <c r="A67" s="5" t="s">
        <v>239</v>
      </c>
      <c r="N67" s="90"/>
      <c r="O67" s="92"/>
    </row>
    <row r="68" spans="1:17" ht="34.5" customHeight="1" thickBot="1" x14ac:dyDescent="0.3">
      <c r="A68" s="1" t="s">
        <v>240</v>
      </c>
      <c r="B68" s="1" t="s">
        <v>241</v>
      </c>
      <c r="C68" s="1" t="s">
        <v>242</v>
      </c>
      <c r="D68" s="1" t="s">
        <v>243</v>
      </c>
      <c r="E68" s="1" t="s">
        <v>244</v>
      </c>
      <c r="F68" s="1" t="s">
        <v>245</v>
      </c>
      <c r="G68" s="1" t="s">
        <v>246</v>
      </c>
      <c r="H68" s="1" t="s">
        <v>247</v>
      </c>
      <c r="I68" s="1" t="s">
        <v>342</v>
      </c>
      <c r="J68" s="1" t="s">
        <v>343</v>
      </c>
      <c r="K68" s="1" t="s">
        <v>344</v>
      </c>
      <c r="L68" s="1" t="s">
        <v>248</v>
      </c>
      <c r="M68" s="1" t="s">
        <v>345</v>
      </c>
    </row>
    <row r="69" spans="1:17" s="17" customFormat="1" ht="15" customHeight="1" x14ac:dyDescent="0.25">
      <c r="A69" s="55" t="s">
        <v>25</v>
      </c>
      <c r="B69" s="56" t="s">
        <v>1135</v>
      </c>
      <c r="C69" s="57">
        <v>38080</v>
      </c>
      <c r="D69" s="58" t="s">
        <v>238</v>
      </c>
      <c r="E69" s="46">
        <v>45943</v>
      </c>
      <c r="F69" s="46">
        <v>45950</v>
      </c>
      <c r="G69" s="59">
        <v>919.15</v>
      </c>
      <c r="H69" s="59">
        <v>922.14668093487398</v>
      </c>
      <c r="I69" s="57">
        <v>35001232</v>
      </c>
      <c r="J69" s="57">
        <v>35115345.609999999</v>
      </c>
      <c r="K69" s="60">
        <v>17.0000006407938</v>
      </c>
      <c r="L69" s="18">
        <f t="shared" ref="L69:L77" si="17">IF(($B$1-E69)=0,0,(J69-I69)/(F69-E69)*($B$1-E69))</f>
        <v>114113.6099999994</v>
      </c>
      <c r="M69" s="18">
        <f t="shared" ref="M69:M77" si="18">IF((F69=$B$1),0,(I69+L69))</f>
        <v>0</v>
      </c>
      <c r="N69" s="16"/>
    </row>
    <row r="70" spans="1:17" s="17" customFormat="1" ht="15" customHeight="1" x14ac:dyDescent="0.25">
      <c r="A70" s="55" t="s">
        <v>25</v>
      </c>
      <c r="B70" s="56" t="s">
        <v>1135</v>
      </c>
      <c r="C70" s="57">
        <v>1586970</v>
      </c>
      <c r="D70" s="58" t="s">
        <v>238</v>
      </c>
      <c r="E70" s="46">
        <v>45947</v>
      </c>
      <c r="F70" s="46">
        <v>45950</v>
      </c>
      <c r="G70" s="59">
        <v>873.39200000000005</v>
      </c>
      <c r="H70" s="59">
        <v>874.61594522895803</v>
      </c>
      <c r="I70" s="57">
        <v>1386046902.24</v>
      </c>
      <c r="J70" s="57">
        <v>1387989266.5999999</v>
      </c>
      <c r="K70" s="60">
        <v>17.0500000217463</v>
      </c>
      <c r="L70" s="18">
        <f t="shared" si="17"/>
        <v>1942364.3599998951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394</v>
      </c>
      <c r="B71" s="56" t="s">
        <v>1980</v>
      </c>
      <c r="C71" s="57">
        <v>94455</v>
      </c>
      <c r="D71" s="58" t="s">
        <v>238</v>
      </c>
      <c r="E71" s="46">
        <v>45947</v>
      </c>
      <c r="F71" s="46">
        <v>45950</v>
      </c>
      <c r="G71" s="59">
        <v>95.290399978825903</v>
      </c>
      <c r="H71" s="59">
        <v>95.423937112910906</v>
      </c>
      <c r="I71" s="57">
        <v>9000654.7300000004</v>
      </c>
      <c r="J71" s="57">
        <v>9013267.9800000004</v>
      </c>
      <c r="K71" s="60">
        <v>17.050005020394</v>
      </c>
      <c r="L71" s="18">
        <f t="shared" si="17"/>
        <v>12613.25</v>
      </c>
      <c r="M71" s="18">
        <f t="shared" si="18"/>
        <v>0</v>
      </c>
      <c r="N71" s="16"/>
    </row>
    <row r="72" spans="1:17" s="17" customFormat="1" ht="15" customHeight="1" x14ac:dyDescent="0.25">
      <c r="A72" s="55" t="s">
        <v>2970</v>
      </c>
      <c r="B72" s="56" t="s">
        <v>44</v>
      </c>
      <c r="C72" s="57">
        <v>14800</v>
      </c>
      <c r="D72" s="58" t="s">
        <v>238</v>
      </c>
      <c r="E72" s="46">
        <v>45950</v>
      </c>
      <c r="F72" s="46">
        <v>45951</v>
      </c>
      <c r="G72" s="59">
        <v>540.58330000000001</v>
      </c>
      <c r="H72" s="59">
        <v>540.83507972972996</v>
      </c>
      <c r="I72" s="57">
        <v>8000632.8399999999</v>
      </c>
      <c r="J72" s="57">
        <v>8004359.1799999997</v>
      </c>
      <c r="K72" s="60">
        <v>17.000081458556199</v>
      </c>
      <c r="L72" s="18">
        <f t="shared" si="17"/>
        <v>0</v>
      </c>
      <c r="M72" s="18">
        <f t="shared" si="18"/>
        <v>8000632.8399999999</v>
      </c>
      <c r="N72" s="16"/>
    </row>
    <row r="73" spans="1:17" s="17" customFormat="1" ht="15" customHeight="1" x14ac:dyDescent="0.25">
      <c r="A73" s="55" t="s">
        <v>394</v>
      </c>
      <c r="B73" s="56" t="s">
        <v>135</v>
      </c>
      <c r="C73" s="57">
        <v>497555</v>
      </c>
      <c r="D73" s="58" t="s">
        <v>238</v>
      </c>
      <c r="E73" s="46">
        <v>45950</v>
      </c>
      <c r="F73" s="46">
        <v>45951</v>
      </c>
      <c r="G73" s="59">
        <v>1047.68900001005</v>
      </c>
      <c r="H73" s="59">
        <v>1048.1769676116201</v>
      </c>
      <c r="I73" s="57">
        <v>521282900.39999998</v>
      </c>
      <c r="J73" s="57">
        <v>521525691.12</v>
      </c>
      <c r="K73" s="60">
        <v>17.000099702483901</v>
      </c>
      <c r="L73" s="18">
        <f t="shared" si="17"/>
        <v>0</v>
      </c>
      <c r="M73" s="18">
        <f t="shared" si="18"/>
        <v>521282900.39999998</v>
      </c>
      <c r="N73" s="16"/>
    </row>
    <row r="74" spans="1:17" s="17" customFormat="1" ht="15" customHeight="1" x14ac:dyDescent="0.25">
      <c r="A74" s="55" t="s">
        <v>394</v>
      </c>
      <c r="B74" s="56" t="s">
        <v>151</v>
      </c>
      <c r="C74" s="57">
        <v>551242</v>
      </c>
      <c r="D74" s="58" t="s">
        <v>238</v>
      </c>
      <c r="E74" s="46">
        <v>45950</v>
      </c>
      <c r="F74" s="46">
        <v>45951</v>
      </c>
      <c r="G74" s="59">
        <v>956.77599999637198</v>
      </c>
      <c r="H74" s="59">
        <v>957.22162431382196</v>
      </c>
      <c r="I74" s="57">
        <v>527415115.79000002</v>
      </c>
      <c r="J74" s="57">
        <v>527660762.63</v>
      </c>
      <c r="K74" s="60">
        <v>17.000099905308801</v>
      </c>
      <c r="L74" s="18">
        <f t="shared" si="17"/>
        <v>0</v>
      </c>
      <c r="M74" s="18">
        <f t="shared" si="18"/>
        <v>527415115.79000002</v>
      </c>
      <c r="N74" s="16"/>
    </row>
    <row r="75" spans="1:17" s="17" customFormat="1" ht="15" customHeight="1" x14ac:dyDescent="0.25">
      <c r="A75" s="55" t="s">
        <v>394</v>
      </c>
      <c r="B75" s="56" t="s">
        <v>146</v>
      </c>
      <c r="C75" s="57">
        <v>382414</v>
      </c>
      <c r="D75" s="58" t="s">
        <v>238</v>
      </c>
      <c r="E75" s="46">
        <v>45950</v>
      </c>
      <c r="F75" s="46">
        <v>45951</v>
      </c>
      <c r="G75" s="59">
        <v>959.83200000523004</v>
      </c>
      <c r="H75" s="59">
        <v>960.27904768130895</v>
      </c>
      <c r="I75" s="57">
        <v>367053194.44999999</v>
      </c>
      <c r="J75" s="57">
        <v>367224151.74000001</v>
      </c>
      <c r="K75" s="60">
        <v>17.000100201688898</v>
      </c>
      <c r="L75" s="18">
        <f t="shared" si="17"/>
        <v>0</v>
      </c>
      <c r="M75" s="18">
        <f t="shared" si="18"/>
        <v>367053194.44999999</v>
      </c>
      <c r="N75" s="16"/>
    </row>
    <row r="76" spans="1:17" s="17" customFormat="1" ht="15" customHeight="1" x14ac:dyDescent="0.25">
      <c r="A76" s="55" t="s">
        <v>394</v>
      </c>
      <c r="B76" s="56" t="s">
        <v>146</v>
      </c>
      <c r="C76" s="57">
        <v>8336</v>
      </c>
      <c r="D76" s="58" t="s">
        <v>238</v>
      </c>
      <c r="E76" s="46">
        <v>45950</v>
      </c>
      <c r="F76" s="46">
        <v>45951</v>
      </c>
      <c r="G76" s="59">
        <v>959.831999760077</v>
      </c>
      <c r="H76" s="59">
        <v>960.279047504799</v>
      </c>
      <c r="I76" s="57">
        <v>8001159.5499999998</v>
      </c>
      <c r="J76" s="57">
        <v>8004886.1399999997</v>
      </c>
      <c r="K76" s="60">
        <v>17.0001028163474</v>
      </c>
      <c r="L76" s="18">
        <f t="shared" si="17"/>
        <v>0</v>
      </c>
      <c r="M76" s="18">
        <f t="shared" si="18"/>
        <v>8001159.5499999998</v>
      </c>
      <c r="N76" s="16"/>
    </row>
    <row r="77" spans="1:17" s="17" customFormat="1" ht="15" customHeight="1" x14ac:dyDescent="0.25">
      <c r="A77" s="55" t="s">
        <v>394</v>
      </c>
      <c r="B77" s="56" t="s">
        <v>198</v>
      </c>
      <c r="C77" s="57">
        <v>37854</v>
      </c>
      <c r="D77" s="58" t="s">
        <v>238</v>
      </c>
      <c r="E77" s="46">
        <v>45950</v>
      </c>
      <c r="F77" s="46">
        <v>45951</v>
      </c>
      <c r="G77" s="59">
        <v>713.49700005283501</v>
      </c>
      <c r="H77" s="59">
        <v>713.82931579225499</v>
      </c>
      <c r="I77" s="57">
        <v>27008715.440000001</v>
      </c>
      <c r="J77" s="57">
        <v>27021294.920000002</v>
      </c>
      <c r="K77" s="60">
        <v>17.000105799922501</v>
      </c>
      <c r="L77" s="18">
        <f t="shared" si="17"/>
        <v>0</v>
      </c>
      <c r="M77" s="18">
        <f t="shared" si="18"/>
        <v>27008715.440000001</v>
      </c>
      <c r="N77" s="16"/>
    </row>
    <row r="78" spans="1:17" s="17" customFormat="1" ht="12" customHeight="1" thickBot="1" x14ac:dyDescent="0.3">
      <c r="A78" s="55"/>
      <c r="B78" s="56"/>
      <c r="C78" s="57"/>
      <c r="D78" s="58"/>
      <c r="E78" s="46"/>
      <c r="F78" s="46"/>
      <c r="G78" s="59"/>
      <c r="H78" s="59"/>
      <c r="I78" s="57"/>
      <c r="J78" s="57"/>
      <c r="K78" s="60"/>
      <c r="L78" s="18"/>
      <c r="M78" s="18"/>
      <c r="N78" s="16"/>
    </row>
    <row r="79" spans="1:17" ht="15.75" thickBot="1" x14ac:dyDescent="0.3">
      <c r="A79" s="80" t="s">
        <v>14</v>
      </c>
      <c r="B79" s="69"/>
      <c r="C79" s="68">
        <f>SUM(C69:C77)</f>
        <v>3211706</v>
      </c>
      <c r="D79" s="79"/>
      <c r="E79" s="78"/>
      <c r="F79" s="79"/>
      <c r="G79" s="77"/>
      <c r="H79" s="79"/>
      <c r="I79" s="68">
        <f>SUM(I69:I77)</f>
        <v>2888810507.4400001</v>
      </c>
      <c r="J79" s="68">
        <f>SUM(J69:J77)</f>
        <v>2891559025.9199996</v>
      </c>
      <c r="K79" s="76"/>
      <c r="L79" s="68">
        <f>SUM(L69:L77)</f>
        <v>2069091.2199998945</v>
      </c>
      <c r="M79" s="68">
        <f>SUM(M69:M77)</f>
        <v>1458761718.47</v>
      </c>
      <c r="N79" s="128">
        <v>1458761718.47</v>
      </c>
      <c r="O79" s="8">
        <f>M79-N79</f>
        <v>0</v>
      </c>
    </row>
    <row r="80" spans="1:17" x14ac:dyDescent="0.25">
      <c r="A80" s="7"/>
      <c r="B80" s="47"/>
      <c r="C80" s="48"/>
      <c r="D80" s="49"/>
      <c r="E80" s="50"/>
      <c r="F80" s="51"/>
      <c r="G80" s="51"/>
      <c r="H80" s="52"/>
      <c r="I80" s="52"/>
      <c r="J80" s="49"/>
      <c r="K80" s="49"/>
      <c r="L80" s="53"/>
      <c r="M80" s="54"/>
      <c r="N80" s="54"/>
    </row>
    <row r="82" spans="1:14" ht="15.75" thickBot="1" x14ac:dyDescent="0.3">
      <c r="A82" s="5" t="s">
        <v>377</v>
      </c>
      <c r="L82" s="10"/>
      <c r="M82" s="11"/>
    </row>
    <row r="83" spans="1:14" ht="22.5" x14ac:dyDescent="0.25">
      <c r="A83" s="98" t="s">
        <v>16</v>
      </c>
      <c r="B83" s="98" t="s">
        <v>249</v>
      </c>
      <c r="C83" s="98" t="s">
        <v>243</v>
      </c>
      <c r="D83" s="98" t="s">
        <v>250</v>
      </c>
      <c r="E83" s="98" t="s">
        <v>242</v>
      </c>
      <c r="F83" s="98" t="s">
        <v>251</v>
      </c>
      <c r="G83" s="98" t="s">
        <v>252</v>
      </c>
      <c r="L83" s="10"/>
      <c r="M83" s="11"/>
    </row>
    <row r="84" spans="1:14" x14ac:dyDescent="0.25">
      <c r="A84" s="28">
        <v>1</v>
      </c>
      <c r="B84" s="28" t="s">
        <v>2072</v>
      </c>
      <c r="C84" s="97" t="s">
        <v>238</v>
      </c>
      <c r="D84" s="31">
        <v>45757</v>
      </c>
      <c r="E84" s="29">
        <v>200000</v>
      </c>
      <c r="F84" s="29">
        <v>16700000</v>
      </c>
      <c r="G84" s="29">
        <v>16700000</v>
      </c>
      <c r="L84" s="10"/>
      <c r="M84" s="11"/>
    </row>
    <row r="85" spans="1:14" ht="15.75" x14ac:dyDescent="0.25">
      <c r="A85" s="9" t="s">
        <v>14</v>
      </c>
      <c r="B85" s="99"/>
      <c r="C85" s="99"/>
      <c r="D85" s="99"/>
      <c r="E85" s="99"/>
      <c r="F85" s="99"/>
      <c r="G85" s="100">
        <f>SUM(G84:G84)</f>
        <v>16700000</v>
      </c>
      <c r="H85" s="128">
        <v>16700000</v>
      </c>
      <c r="I85" s="8">
        <f>G85-H85</f>
        <v>0</v>
      </c>
      <c r="L85" s="10"/>
      <c r="M85" s="11"/>
    </row>
    <row r="86" spans="1:14" ht="15.75" thickBot="1" x14ac:dyDescent="0.3">
      <c r="L86" s="10"/>
      <c r="M86" s="11"/>
    </row>
    <row r="87" spans="1:14" ht="15.75" thickBot="1" x14ac:dyDescent="0.3">
      <c r="A87" s="34" t="s">
        <v>253</v>
      </c>
      <c r="B87" s="35">
        <f>L62+B65+M79+G85</f>
        <v>28082790098.217442</v>
      </c>
      <c r="C87" s="128">
        <v>28082790098.217461</v>
      </c>
      <c r="D87" s="3">
        <f>B87-C87</f>
        <v>0</v>
      </c>
      <c r="L87" s="10"/>
      <c r="M87" s="10"/>
    </row>
    <row r="88" spans="1:14" x14ac:dyDescent="0.25">
      <c r="B88" s="38"/>
      <c r="C88" s="110"/>
      <c r="D88" t="s">
        <v>2971</v>
      </c>
      <c r="L88" s="10"/>
    </row>
    <row r="89" spans="1:14" x14ac:dyDescent="0.25">
      <c r="B89" s="38"/>
      <c r="G89" s="8"/>
    </row>
    <row r="90" spans="1:14" ht="15.75" x14ac:dyDescent="0.25">
      <c r="A90" s="19"/>
      <c r="B90" s="94"/>
    </row>
    <row r="91" spans="1:14" x14ac:dyDescent="0.25">
      <c r="A91" s="6" t="s">
        <v>375</v>
      </c>
      <c r="L91" s="13"/>
      <c r="N91"/>
    </row>
    <row r="92" spans="1:14" ht="15.75" x14ac:dyDescent="0.25">
      <c r="A92" s="20" t="s">
        <v>254</v>
      </c>
      <c r="B92" s="21">
        <f>4006269.97-4006269.97</f>
        <v>0</v>
      </c>
      <c r="K92" s="13"/>
      <c r="N92"/>
    </row>
    <row r="93" spans="1:14" ht="15.75" x14ac:dyDescent="0.25">
      <c r="A93" s="20" t="s">
        <v>255</v>
      </c>
      <c r="B93" s="22"/>
      <c r="K93" s="13"/>
      <c r="N93"/>
    </row>
    <row r="94" spans="1:14" ht="15.75" x14ac:dyDescent="0.25">
      <c r="A94" s="20" t="s">
        <v>256</v>
      </c>
      <c r="B94" s="23">
        <f>2000+2000+2000+2000+2000+2000+4000+3000+8000+2000+2000+2000+2000+2000+17000+2000+2000+14000+7000+2000+3000+348823.86+2000+2000+3000+4000+4000+2000+2000+6000+2000+2000+2000+3000-432823.86+2000+6000</f>
        <v>42000</v>
      </c>
      <c r="C94" s="8"/>
      <c r="F94" s="8"/>
      <c r="K94" s="13"/>
      <c r="N94"/>
    </row>
    <row r="95" spans="1:14" ht="15.75" x14ac:dyDescent="0.25">
      <c r="A95" s="20" t="s">
        <v>257</v>
      </c>
      <c r="B95" s="22"/>
      <c r="K95" s="13"/>
      <c r="N95"/>
    </row>
    <row r="96" spans="1:14" ht="15.75" x14ac:dyDescent="0.25">
      <c r="A96" s="24" t="s">
        <v>378</v>
      </c>
      <c r="B96" s="21">
        <f>366267.13+29499.81</f>
        <v>395766.94</v>
      </c>
      <c r="C96" s="8"/>
      <c r="D96" s="8"/>
      <c r="K96" s="13"/>
      <c r="N96"/>
    </row>
    <row r="97" spans="1:14" ht="15.75" x14ac:dyDescent="0.25">
      <c r="A97" s="20" t="s">
        <v>258</v>
      </c>
      <c r="B97" s="23">
        <f>1768.92+1769.54+1770.81+5232.79+1773.41+1773.37+1775.6+2138.39+6381.64+2141.98+2143.21+2142.8+2144.88+6362.15+2171.93+2150.01+2150.85+2166.16+6573.12+2154.53+2155.1+2155.97+2155.82+6398.74+2160.71+2167.14+2162.69+2163.62+6411.25+2456.13+2116.43+2115.95+2116.85+6277.71+2242.77</f>
        <v>101942.97000000002</v>
      </c>
      <c r="K97" s="13"/>
      <c r="N97"/>
    </row>
    <row r="98" spans="1:14" ht="15.75" x14ac:dyDescent="0.25">
      <c r="A98" s="20" t="s">
        <v>259</v>
      </c>
      <c r="B98" s="23">
        <f>870.05+870.36+871+2612.49+872.3+872.27+872.63+1055.53+3169.53+1057.33+1057.95+1058.49+1058.78+3177.16+1060.9+1061.35+1061.76+1061.76+3186.6+1063.61+1064.65+1065.07+1065+3197.71+1067.45+1067.66+1068.44+1068.91-29036.5+3205.63+1228.07+1044.55+1045.07+1045.51+3138.86+1094.07</f>
        <v>21402.000000000004</v>
      </c>
      <c r="K98" s="13"/>
      <c r="N98"/>
    </row>
    <row r="99" spans="1:14" ht="15.75" x14ac:dyDescent="0.25">
      <c r="A99" s="20" t="s">
        <v>260</v>
      </c>
      <c r="B99" s="22"/>
      <c r="K99" s="13"/>
      <c r="N99"/>
    </row>
    <row r="100" spans="1:14" ht="17.25" customHeight="1" x14ac:dyDescent="0.25">
      <c r="A100" s="24" t="s">
        <v>261</v>
      </c>
      <c r="B100" s="22"/>
      <c r="K100" s="13"/>
      <c r="N100"/>
    </row>
    <row r="101" spans="1:14" ht="15.75" x14ac:dyDescent="0.25">
      <c r="A101" s="24" t="s">
        <v>262</v>
      </c>
      <c r="B101" s="22"/>
      <c r="K101" s="13"/>
      <c r="N101"/>
    </row>
    <row r="102" spans="1:14" ht="15.75" x14ac:dyDescent="0.25">
      <c r="A102" s="26" t="s">
        <v>376</v>
      </c>
      <c r="B102" s="25">
        <f>SUM(B92:B101)</f>
        <v>561111.91</v>
      </c>
      <c r="L102" s="13"/>
      <c r="N102"/>
    </row>
    <row r="103" spans="1:14" x14ac:dyDescent="0.25">
      <c r="L103" s="13"/>
      <c r="N103"/>
    </row>
  </sheetData>
  <autoFilter ref="A68:T68" xr:uid="{00000000-0009-0000-0000-000000000000}"/>
  <conditionalFormatting sqref="F69:F78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48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45950</v>
      </c>
    </row>
    <row r="2" spans="1:10" ht="15" customHeight="1" x14ac:dyDescent="0.25"/>
    <row r="3" spans="1:10" ht="17.25" customHeight="1" x14ac:dyDescent="0.25">
      <c r="A3" s="126" t="s">
        <v>16</v>
      </c>
      <c r="B3" s="126" t="s">
        <v>340</v>
      </c>
      <c r="C3" s="126" t="s">
        <v>0</v>
      </c>
      <c r="D3" s="126" t="s">
        <v>17</v>
      </c>
      <c r="E3" s="126" t="s">
        <v>335</v>
      </c>
      <c r="F3" s="126" t="s">
        <v>336</v>
      </c>
      <c r="G3" s="126" t="s">
        <v>337</v>
      </c>
      <c r="H3" s="126" t="s">
        <v>2512</v>
      </c>
      <c r="I3" s="126" t="s">
        <v>338</v>
      </c>
      <c r="J3" s="126" t="s">
        <v>18</v>
      </c>
    </row>
    <row r="4" spans="1:10" ht="21" customHeight="1" x14ac:dyDescent="0.25">
      <c r="A4" s="127"/>
      <c r="B4" s="126"/>
      <c r="C4" s="126"/>
      <c r="D4" s="126"/>
      <c r="E4" s="126"/>
      <c r="F4" s="126"/>
      <c r="G4" s="126"/>
      <c r="H4" s="126"/>
      <c r="I4" s="126"/>
      <c r="J4" s="126"/>
    </row>
    <row r="5" spans="1:10" ht="15" x14ac:dyDescent="0.25">
      <c r="A5" s="15">
        <v>1</v>
      </c>
      <c r="B5" s="62" t="s">
        <v>2203</v>
      </c>
      <c r="C5" s="62" t="s">
        <v>21</v>
      </c>
      <c r="D5" s="62" t="s">
        <v>19</v>
      </c>
      <c r="E5" s="62" t="s">
        <v>2268</v>
      </c>
      <c r="F5" s="62">
        <v>814.74</v>
      </c>
      <c r="G5" s="62" t="s">
        <v>339</v>
      </c>
      <c r="H5" s="62" t="s">
        <v>339</v>
      </c>
      <c r="I5" s="62" t="s">
        <v>339</v>
      </c>
      <c r="J5" s="62" t="s">
        <v>238</v>
      </c>
    </row>
    <row r="6" spans="1:10" ht="15" x14ac:dyDescent="0.25">
      <c r="A6" s="40">
        <v>2</v>
      </c>
      <c r="B6" s="62" t="s">
        <v>2506</v>
      </c>
      <c r="C6" s="62" t="s">
        <v>24</v>
      </c>
      <c r="D6" s="62" t="s">
        <v>19</v>
      </c>
      <c r="E6" s="62" t="s">
        <v>2270</v>
      </c>
      <c r="F6" s="114">
        <v>6301.35</v>
      </c>
      <c r="G6" s="62" t="s">
        <v>339</v>
      </c>
      <c r="H6" s="62" t="s">
        <v>339</v>
      </c>
      <c r="I6" s="62" t="s">
        <v>339</v>
      </c>
      <c r="J6" s="62" t="s">
        <v>238</v>
      </c>
    </row>
    <row r="7" spans="1:10" ht="15" x14ac:dyDescent="0.25">
      <c r="A7" s="40">
        <v>3</v>
      </c>
      <c r="B7" s="62" t="s">
        <v>2507</v>
      </c>
      <c r="C7" s="62" t="s">
        <v>429</v>
      </c>
      <c r="D7" s="62" t="s">
        <v>2271</v>
      </c>
      <c r="E7" s="62" t="s">
        <v>2432</v>
      </c>
      <c r="F7" s="62">
        <v>100.0196</v>
      </c>
      <c r="G7" s="62">
        <v>100.55289999999999</v>
      </c>
      <c r="H7" s="62" t="s">
        <v>2513</v>
      </c>
      <c r="I7" s="62" t="s">
        <v>2626</v>
      </c>
      <c r="J7" s="62" t="s">
        <v>269</v>
      </c>
    </row>
    <row r="8" spans="1:10" ht="15" x14ac:dyDescent="0.25">
      <c r="A8" s="40">
        <v>4</v>
      </c>
      <c r="B8" s="62" t="s">
        <v>2508</v>
      </c>
      <c r="C8" s="62" t="s">
        <v>732</v>
      </c>
      <c r="D8" s="62" t="s">
        <v>2272</v>
      </c>
      <c r="E8" s="62" t="s">
        <v>2273</v>
      </c>
      <c r="F8" s="62">
        <v>129.94999999999999</v>
      </c>
      <c r="G8" s="62" t="s">
        <v>339</v>
      </c>
      <c r="H8" s="62" t="s">
        <v>339</v>
      </c>
      <c r="I8" s="62" t="s">
        <v>339</v>
      </c>
      <c r="J8" s="62" t="s">
        <v>1959</v>
      </c>
    </row>
    <row r="9" spans="1:10" ht="15" x14ac:dyDescent="0.25">
      <c r="A9" s="40">
        <v>5</v>
      </c>
      <c r="B9" s="62" t="s">
        <v>2509</v>
      </c>
      <c r="C9" s="62" t="s">
        <v>27</v>
      </c>
      <c r="D9" s="62" t="s">
        <v>2272</v>
      </c>
      <c r="E9" s="62" t="s">
        <v>2273</v>
      </c>
      <c r="F9" s="114">
        <v>1498.51</v>
      </c>
      <c r="G9" s="62" t="s">
        <v>339</v>
      </c>
      <c r="H9" s="62" t="s">
        <v>339</v>
      </c>
      <c r="I9" s="62" t="s">
        <v>339</v>
      </c>
      <c r="J9" s="62" t="s">
        <v>238</v>
      </c>
    </row>
    <row r="10" spans="1:10" ht="15" x14ac:dyDescent="0.25">
      <c r="A10" s="40">
        <v>6</v>
      </c>
      <c r="B10" s="62" t="s">
        <v>2510</v>
      </c>
      <c r="C10" s="62" t="s">
        <v>735</v>
      </c>
      <c r="D10" s="62" t="s">
        <v>2272</v>
      </c>
      <c r="E10" s="62" t="s">
        <v>2273</v>
      </c>
      <c r="F10" s="62">
        <v>7.18</v>
      </c>
      <c r="G10" s="62" t="s">
        <v>339</v>
      </c>
      <c r="H10" s="62" t="s">
        <v>339</v>
      </c>
      <c r="I10" s="62" t="s">
        <v>339</v>
      </c>
      <c r="J10" s="62" t="s">
        <v>238</v>
      </c>
    </row>
    <row r="11" spans="1:10" ht="15" x14ac:dyDescent="0.25">
      <c r="A11" s="40">
        <v>7</v>
      </c>
      <c r="B11" s="62" t="s">
        <v>2511</v>
      </c>
      <c r="C11" s="62" t="s">
        <v>2044</v>
      </c>
      <c r="D11" s="62" t="s">
        <v>2272</v>
      </c>
      <c r="E11" s="62" t="s">
        <v>2273</v>
      </c>
      <c r="F11" s="62">
        <v>100.98</v>
      </c>
      <c r="G11" s="62" t="s">
        <v>339</v>
      </c>
      <c r="H11" s="62" t="s">
        <v>339</v>
      </c>
      <c r="I11" s="62" t="s">
        <v>339</v>
      </c>
      <c r="J11" s="62" t="s">
        <v>1959</v>
      </c>
    </row>
    <row r="12" spans="1:10" ht="15" x14ac:dyDescent="0.25">
      <c r="A12" s="40">
        <v>8</v>
      </c>
      <c r="B12" s="62" t="s">
        <v>2580</v>
      </c>
      <c r="C12" s="62" t="s">
        <v>432</v>
      </c>
      <c r="D12" s="62" t="s">
        <v>2271</v>
      </c>
      <c r="E12" s="62" t="s">
        <v>2174</v>
      </c>
      <c r="F12" s="62">
        <v>98.405199999999994</v>
      </c>
      <c r="G12" s="62">
        <v>106.551</v>
      </c>
      <c r="H12" s="62" t="s">
        <v>2627</v>
      </c>
      <c r="I12" s="62" t="s">
        <v>2622</v>
      </c>
      <c r="J12" s="62" t="s">
        <v>269</v>
      </c>
    </row>
    <row r="13" spans="1:10" ht="15.75" customHeight="1" x14ac:dyDescent="0.25">
      <c r="A13" s="40">
        <v>9</v>
      </c>
      <c r="B13" s="62" t="s">
        <v>2581</v>
      </c>
      <c r="C13" s="62" t="s">
        <v>747</v>
      </c>
      <c r="D13" s="62" t="s">
        <v>2271</v>
      </c>
      <c r="E13" s="62" t="s">
        <v>2174</v>
      </c>
      <c r="F13" s="62">
        <v>101.9879</v>
      </c>
      <c r="G13" s="62">
        <v>105.5296</v>
      </c>
      <c r="H13" s="62" t="s">
        <v>2628</v>
      </c>
      <c r="I13" s="62" t="s">
        <v>2622</v>
      </c>
      <c r="J13" s="62" t="s">
        <v>269</v>
      </c>
    </row>
    <row r="14" spans="1:10" ht="15.75" customHeight="1" x14ac:dyDescent="0.25">
      <c r="A14" s="40">
        <v>10</v>
      </c>
      <c r="B14" s="62" t="s">
        <v>2582</v>
      </c>
      <c r="C14" s="62" t="s">
        <v>2161</v>
      </c>
      <c r="D14" s="62" t="s">
        <v>2271</v>
      </c>
      <c r="E14" s="62" t="s">
        <v>2174</v>
      </c>
      <c r="F14" s="62">
        <v>100.6023</v>
      </c>
      <c r="G14" s="62">
        <v>108.2398</v>
      </c>
      <c r="H14" s="62" t="s">
        <v>2629</v>
      </c>
      <c r="I14" s="62" t="s">
        <v>2630</v>
      </c>
      <c r="J14" s="62" t="s">
        <v>269</v>
      </c>
    </row>
    <row r="15" spans="1:10" ht="15.75" customHeight="1" x14ac:dyDescent="0.25">
      <c r="A15" s="40">
        <v>11</v>
      </c>
      <c r="B15" s="62" t="s">
        <v>2583</v>
      </c>
      <c r="C15" s="62" t="s">
        <v>2471</v>
      </c>
      <c r="D15" s="62" t="s">
        <v>2271</v>
      </c>
      <c r="E15" s="62" t="s">
        <v>2174</v>
      </c>
      <c r="F15" s="62">
        <v>100.3368</v>
      </c>
      <c r="G15" s="62">
        <v>102.15900000000001</v>
      </c>
      <c r="H15" s="62" t="s">
        <v>2514</v>
      </c>
      <c r="I15" s="62" t="s">
        <v>2631</v>
      </c>
      <c r="J15" s="62" t="s">
        <v>269</v>
      </c>
    </row>
    <row r="16" spans="1:10" ht="15" x14ac:dyDescent="0.25">
      <c r="A16" s="40">
        <v>12</v>
      </c>
      <c r="B16" s="62" t="s">
        <v>2632</v>
      </c>
      <c r="C16" s="62" t="s">
        <v>799</v>
      </c>
      <c r="D16" s="62" t="s">
        <v>2271</v>
      </c>
      <c r="E16" s="62" t="s">
        <v>2492</v>
      </c>
      <c r="F16" s="62">
        <v>86.976200000000006</v>
      </c>
      <c r="G16" s="62">
        <v>88.320099999999996</v>
      </c>
      <c r="H16" s="62" t="s">
        <v>2558</v>
      </c>
      <c r="I16" s="62" t="s">
        <v>2633</v>
      </c>
      <c r="J16" s="62" t="s">
        <v>269</v>
      </c>
    </row>
    <row r="17" spans="1:10" ht="15" x14ac:dyDescent="0.25">
      <c r="A17" s="40">
        <v>13</v>
      </c>
      <c r="B17" s="62" t="s">
        <v>2634</v>
      </c>
      <c r="C17" s="62" t="s">
        <v>805</v>
      </c>
      <c r="D17" s="62" t="s">
        <v>2271</v>
      </c>
      <c r="E17" s="62" t="s">
        <v>2492</v>
      </c>
      <c r="F17" s="62">
        <v>100.185</v>
      </c>
      <c r="G17" s="62">
        <v>102.7662</v>
      </c>
      <c r="H17" s="62" t="s">
        <v>2515</v>
      </c>
      <c r="I17" s="62" t="s">
        <v>2635</v>
      </c>
      <c r="J17" s="62" t="s">
        <v>269</v>
      </c>
    </row>
    <row r="18" spans="1:10" ht="15" x14ac:dyDescent="0.25">
      <c r="A18" s="40">
        <v>14</v>
      </c>
      <c r="B18" s="62" t="s">
        <v>2636</v>
      </c>
      <c r="C18" s="62" t="s">
        <v>2074</v>
      </c>
      <c r="D18" s="62" t="s">
        <v>2271</v>
      </c>
      <c r="E18" s="62" t="s">
        <v>2492</v>
      </c>
      <c r="F18" s="62">
        <v>103.7841</v>
      </c>
      <c r="G18" s="62">
        <v>103.9872</v>
      </c>
      <c r="H18" s="62" t="s">
        <v>2584</v>
      </c>
      <c r="I18" s="62" t="s">
        <v>2637</v>
      </c>
      <c r="J18" s="62" t="s">
        <v>269</v>
      </c>
    </row>
    <row r="19" spans="1:10" ht="15" x14ac:dyDescent="0.25">
      <c r="A19" s="40">
        <v>15</v>
      </c>
      <c r="B19" s="62" t="s">
        <v>2638</v>
      </c>
      <c r="C19" s="62" t="s">
        <v>2434</v>
      </c>
      <c r="D19" s="62" t="s">
        <v>2271</v>
      </c>
      <c r="E19" s="62" t="s">
        <v>2492</v>
      </c>
      <c r="F19" s="62">
        <v>100.72499999999999</v>
      </c>
      <c r="G19" s="62">
        <v>101.1747</v>
      </c>
      <c r="H19" s="62" t="s">
        <v>2559</v>
      </c>
      <c r="I19" s="62" t="s">
        <v>2639</v>
      </c>
      <c r="J19" s="62" t="s">
        <v>269</v>
      </c>
    </row>
    <row r="20" spans="1:10" ht="15" x14ac:dyDescent="0.25">
      <c r="A20" s="40">
        <v>16</v>
      </c>
      <c r="B20" s="62" t="s">
        <v>2640</v>
      </c>
      <c r="C20" s="62" t="s">
        <v>2142</v>
      </c>
      <c r="D20" s="62" t="s">
        <v>2271</v>
      </c>
      <c r="E20" s="62" t="s">
        <v>2505</v>
      </c>
      <c r="F20" s="62">
        <v>101.598</v>
      </c>
      <c r="G20" s="62">
        <v>104.0505</v>
      </c>
      <c r="H20" s="62" t="s">
        <v>2641</v>
      </c>
      <c r="I20" s="62" t="s">
        <v>2642</v>
      </c>
      <c r="J20" s="62" t="s">
        <v>269</v>
      </c>
    </row>
    <row r="21" spans="1:10" ht="15" x14ac:dyDescent="0.25">
      <c r="A21" s="40">
        <v>17</v>
      </c>
      <c r="B21" s="62" t="s">
        <v>2643</v>
      </c>
      <c r="C21" s="62" t="s">
        <v>33</v>
      </c>
      <c r="D21" s="62" t="s">
        <v>19</v>
      </c>
      <c r="E21" s="62" t="s">
        <v>2274</v>
      </c>
      <c r="F21" s="114">
        <v>4682.82</v>
      </c>
      <c r="G21" s="62" t="s">
        <v>339</v>
      </c>
      <c r="H21" s="62" t="s">
        <v>339</v>
      </c>
      <c r="I21" s="62" t="s">
        <v>339</v>
      </c>
      <c r="J21" s="62" t="s">
        <v>238</v>
      </c>
    </row>
    <row r="22" spans="1:10" ht="15" x14ac:dyDescent="0.25">
      <c r="A22" s="40">
        <v>18</v>
      </c>
      <c r="B22" s="62" t="s">
        <v>2644</v>
      </c>
      <c r="C22" s="62" t="s">
        <v>36</v>
      </c>
      <c r="D22" s="62" t="s">
        <v>19</v>
      </c>
      <c r="E22" s="62" t="s">
        <v>2274</v>
      </c>
      <c r="F22" s="114">
        <v>7338.3</v>
      </c>
      <c r="G22" s="62" t="s">
        <v>339</v>
      </c>
      <c r="H22" s="62" t="s">
        <v>339</v>
      </c>
      <c r="I22" s="62" t="s">
        <v>339</v>
      </c>
      <c r="J22" s="62" t="s">
        <v>238</v>
      </c>
    </row>
    <row r="23" spans="1:10" ht="15" x14ac:dyDescent="0.25">
      <c r="A23" s="40">
        <v>19</v>
      </c>
      <c r="B23" s="62" t="s">
        <v>2645</v>
      </c>
      <c r="C23" s="62" t="s">
        <v>38</v>
      </c>
      <c r="D23" s="62" t="s">
        <v>2272</v>
      </c>
      <c r="E23" s="62" t="s">
        <v>235</v>
      </c>
      <c r="F23" s="114">
        <v>6064840.0199999996</v>
      </c>
      <c r="G23" s="62" t="s">
        <v>339</v>
      </c>
      <c r="H23" s="62" t="s">
        <v>339</v>
      </c>
      <c r="I23" s="62" t="s">
        <v>339</v>
      </c>
      <c r="J23" s="62" t="s">
        <v>238</v>
      </c>
    </row>
    <row r="24" spans="1:10" ht="15" x14ac:dyDescent="0.25">
      <c r="A24" s="40">
        <v>20</v>
      </c>
      <c r="B24" s="62" t="s">
        <v>2646</v>
      </c>
      <c r="C24" s="62" t="s">
        <v>41</v>
      </c>
      <c r="D24" s="62" t="s">
        <v>2272</v>
      </c>
      <c r="E24" s="62" t="s">
        <v>235</v>
      </c>
      <c r="F24" s="114">
        <v>1790903.94</v>
      </c>
      <c r="G24" s="62" t="s">
        <v>339</v>
      </c>
      <c r="H24" s="62" t="s">
        <v>339</v>
      </c>
      <c r="I24" s="62" t="s">
        <v>339</v>
      </c>
      <c r="J24" s="62" t="s">
        <v>238</v>
      </c>
    </row>
    <row r="25" spans="1:10" ht="15" x14ac:dyDescent="0.25">
      <c r="A25" s="40">
        <v>21</v>
      </c>
      <c r="B25" s="62" t="s">
        <v>2647</v>
      </c>
      <c r="C25" s="62" t="s">
        <v>44</v>
      </c>
      <c r="D25" s="62" t="s">
        <v>2275</v>
      </c>
      <c r="E25" s="62" t="s">
        <v>42</v>
      </c>
      <c r="F25" s="62">
        <v>99.944000000000003</v>
      </c>
      <c r="G25" s="62">
        <v>100.4207</v>
      </c>
      <c r="H25" s="62" t="s">
        <v>2648</v>
      </c>
      <c r="I25" s="62" t="s">
        <v>2649</v>
      </c>
      <c r="J25" s="62" t="s">
        <v>269</v>
      </c>
    </row>
    <row r="26" spans="1:10" ht="15" x14ac:dyDescent="0.25">
      <c r="A26" s="40">
        <v>22</v>
      </c>
      <c r="B26" s="62" t="s">
        <v>2650</v>
      </c>
      <c r="C26" s="62" t="s">
        <v>2000</v>
      </c>
      <c r="D26" s="62" t="s">
        <v>2275</v>
      </c>
      <c r="E26" s="62" t="s">
        <v>42</v>
      </c>
      <c r="F26" s="62">
        <v>100</v>
      </c>
      <c r="G26" s="62">
        <v>102.4932</v>
      </c>
      <c r="H26" s="62" t="s">
        <v>2516</v>
      </c>
      <c r="I26" s="62" t="s">
        <v>2651</v>
      </c>
      <c r="J26" s="62" t="s">
        <v>269</v>
      </c>
    </row>
    <row r="27" spans="1:10" ht="15" x14ac:dyDescent="0.25">
      <c r="A27" s="40">
        <v>23</v>
      </c>
      <c r="B27" s="62" t="s">
        <v>2652</v>
      </c>
      <c r="C27" s="62" t="s">
        <v>2051</v>
      </c>
      <c r="D27" s="62" t="s">
        <v>2275</v>
      </c>
      <c r="E27" s="62" t="s">
        <v>42</v>
      </c>
      <c r="F27" s="62">
        <v>100</v>
      </c>
      <c r="G27" s="62">
        <v>101.1027</v>
      </c>
      <c r="H27" s="62" t="s">
        <v>2517</v>
      </c>
      <c r="I27" s="62" t="s">
        <v>2653</v>
      </c>
      <c r="J27" s="62" t="s">
        <v>269</v>
      </c>
    </row>
    <row r="28" spans="1:10" ht="15" x14ac:dyDescent="0.25">
      <c r="A28" s="40">
        <v>24</v>
      </c>
      <c r="B28" s="62" t="s">
        <v>2654</v>
      </c>
      <c r="C28" s="62" t="s">
        <v>49</v>
      </c>
      <c r="D28" s="62" t="s">
        <v>2272</v>
      </c>
      <c r="E28" s="62" t="s">
        <v>2276</v>
      </c>
      <c r="F28" s="62">
        <v>168.53</v>
      </c>
      <c r="G28" s="62" t="s">
        <v>339</v>
      </c>
      <c r="H28" s="62" t="s">
        <v>339</v>
      </c>
      <c r="I28" s="62" t="s">
        <v>339</v>
      </c>
      <c r="J28" s="62" t="s">
        <v>1959</v>
      </c>
    </row>
    <row r="29" spans="1:10" ht="15" x14ac:dyDescent="0.25">
      <c r="A29" s="40">
        <v>25</v>
      </c>
      <c r="B29" s="62" t="s">
        <v>2655</v>
      </c>
      <c r="C29" s="62" t="s">
        <v>46</v>
      </c>
      <c r="D29" s="62" t="s">
        <v>2272</v>
      </c>
      <c r="E29" s="62" t="s">
        <v>2276</v>
      </c>
      <c r="F29" s="114">
        <v>5523.73</v>
      </c>
      <c r="G29" s="62" t="s">
        <v>339</v>
      </c>
      <c r="H29" s="62" t="s">
        <v>339</v>
      </c>
      <c r="I29" s="62" t="s">
        <v>339</v>
      </c>
      <c r="J29" s="62" t="s">
        <v>238</v>
      </c>
    </row>
    <row r="30" spans="1:10" ht="15" x14ac:dyDescent="0.25">
      <c r="A30" s="40">
        <v>26</v>
      </c>
      <c r="B30" s="62" t="s">
        <v>2656</v>
      </c>
      <c r="C30" s="62" t="s">
        <v>1004</v>
      </c>
      <c r="D30" s="62" t="s">
        <v>2271</v>
      </c>
      <c r="E30" s="62" t="s">
        <v>2657</v>
      </c>
      <c r="F30" s="62">
        <v>100.1871</v>
      </c>
      <c r="G30" s="62">
        <v>101.59269999999999</v>
      </c>
      <c r="H30" s="62" t="s">
        <v>2658</v>
      </c>
      <c r="I30" s="62" t="s">
        <v>2659</v>
      </c>
      <c r="J30" s="62" t="s">
        <v>269</v>
      </c>
    </row>
    <row r="31" spans="1:10" ht="15" x14ac:dyDescent="0.25">
      <c r="A31" s="40">
        <v>27</v>
      </c>
      <c r="B31" s="62" t="s">
        <v>2587</v>
      </c>
      <c r="C31" s="62" t="s">
        <v>2008</v>
      </c>
      <c r="D31" s="62" t="s">
        <v>2271</v>
      </c>
      <c r="E31" s="62" t="s">
        <v>2488</v>
      </c>
      <c r="F31" s="62">
        <v>99.742000000000004</v>
      </c>
      <c r="G31" s="62">
        <v>102.4141</v>
      </c>
      <c r="H31" s="62" t="s">
        <v>2518</v>
      </c>
      <c r="I31" s="62" t="s">
        <v>2660</v>
      </c>
      <c r="J31" s="62" t="s">
        <v>269</v>
      </c>
    </row>
    <row r="32" spans="1:10" ht="15" x14ac:dyDescent="0.25">
      <c r="A32" s="40">
        <v>28</v>
      </c>
      <c r="B32" s="62" t="s">
        <v>2588</v>
      </c>
      <c r="C32" s="62" t="s">
        <v>56</v>
      </c>
      <c r="D32" s="62" t="s">
        <v>2272</v>
      </c>
      <c r="E32" s="62" t="s">
        <v>2277</v>
      </c>
      <c r="F32" s="114">
        <v>53502.61</v>
      </c>
      <c r="G32" s="62" t="s">
        <v>339</v>
      </c>
      <c r="H32" s="62" t="s">
        <v>339</v>
      </c>
      <c r="I32" s="62" t="s">
        <v>339</v>
      </c>
      <c r="J32" s="62" t="s">
        <v>238</v>
      </c>
    </row>
    <row r="33" spans="1:10" ht="15" x14ac:dyDescent="0.25">
      <c r="A33" s="40">
        <v>29</v>
      </c>
      <c r="B33" s="62" t="s">
        <v>2589</v>
      </c>
      <c r="C33" s="62" t="s">
        <v>58</v>
      </c>
      <c r="D33" s="62" t="s">
        <v>2272</v>
      </c>
      <c r="E33" s="62" t="s">
        <v>2277</v>
      </c>
      <c r="F33" s="114">
        <v>74940.820000000007</v>
      </c>
      <c r="G33" s="62" t="s">
        <v>339</v>
      </c>
      <c r="H33" s="62" t="s">
        <v>339</v>
      </c>
      <c r="I33" s="62" t="s">
        <v>339</v>
      </c>
      <c r="J33" s="62" t="s">
        <v>238</v>
      </c>
    </row>
    <row r="34" spans="1:10" ht="15" x14ac:dyDescent="0.25">
      <c r="A34" s="40">
        <v>30</v>
      </c>
      <c r="B34" s="62" t="s">
        <v>2590</v>
      </c>
      <c r="C34" s="62" t="s">
        <v>60</v>
      </c>
      <c r="D34" s="62" t="s">
        <v>2272</v>
      </c>
      <c r="E34" s="62" t="s">
        <v>2277</v>
      </c>
      <c r="F34" s="114">
        <v>74075.509999999995</v>
      </c>
      <c r="G34" s="62" t="s">
        <v>339</v>
      </c>
      <c r="H34" s="62" t="s">
        <v>339</v>
      </c>
      <c r="I34" s="62" t="s">
        <v>339</v>
      </c>
      <c r="J34" s="62" t="s">
        <v>238</v>
      </c>
    </row>
    <row r="35" spans="1:10" ht="15" x14ac:dyDescent="0.25">
      <c r="A35" s="40">
        <v>31</v>
      </c>
      <c r="B35" s="62" t="s">
        <v>2591</v>
      </c>
      <c r="C35" s="62" t="s">
        <v>62</v>
      </c>
      <c r="D35" s="62" t="s">
        <v>2272</v>
      </c>
      <c r="E35" s="62" t="s">
        <v>2277</v>
      </c>
      <c r="F35" s="114">
        <v>590328.62</v>
      </c>
      <c r="G35" s="62" t="s">
        <v>339</v>
      </c>
      <c r="H35" s="62" t="s">
        <v>339</v>
      </c>
      <c r="I35" s="62" t="s">
        <v>339</v>
      </c>
      <c r="J35" s="62" t="s">
        <v>238</v>
      </c>
    </row>
    <row r="36" spans="1:10" ht="15" x14ac:dyDescent="0.25">
      <c r="A36" s="40">
        <v>32</v>
      </c>
      <c r="B36" s="62" t="s">
        <v>2592</v>
      </c>
      <c r="C36" s="62" t="s">
        <v>64</v>
      </c>
      <c r="D36" s="62" t="s">
        <v>19</v>
      </c>
      <c r="E36" s="62" t="s">
        <v>2278</v>
      </c>
      <c r="F36" s="62">
        <v>355.23</v>
      </c>
      <c r="G36" s="62" t="s">
        <v>339</v>
      </c>
      <c r="H36" s="62" t="s">
        <v>339</v>
      </c>
      <c r="I36" s="62" t="s">
        <v>339</v>
      </c>
      <c r="J36" s="62" t="s">
        <v>238</v>
      </c>
    </row>
    <row r="37" spans="1:10" ht="15" x14ac:dyDescent="0.25">
      <c r="A37" s="40">
        <v>33</v>
      </c>
      <c r="B37" s="62" t="s">
        <v>2593</v>
      </c>
      <c r="C37" s="62" t="s">
        <v>434</v>
      </c>
      <c r="D37" s="62" t="s">
        <v>2271</v>
      </c>
      <c r="E37" s="62" t="s">
        <v>2278</v>
      </c>
      <c r="F37" s="62">
        <v>98.649600000000007</v>
      </c>
      <c r="G37" s="62">
        <v>105.2492</v>
      </c>
      <c r="H37" s="62" t="s">
        <v>2661</v>
      </c>
      <c r="I37" s="62" t="s">
        <v>2662</v>
      </c>
      <c r="J37" s="62" t="s">
        <v>269</v>
      </c>
    </row>
    <row r="38" spans="1:10" ht="15" x14ac:dyDescent="0.25">
      <c r="A38" s="40">
        <v>34</v>
      </c>
      <c r="B38" s="62" t="s">
        <v>2594</v>
      </c>
      <c r="C38" s="62" t="s">
        <v>366</v>
      </c>
      <c r="D38" s="62" t="s">
        <v>2269</v>
      </c>
      <c r="E38" s="62" t="s">
        <v>2278</v>
      </c>
      <c r="F38" s="62">
        <v>26.88</v>
      </c>
      <c r="G38" s="62" t="s">
        <v>339</v>
      </c>
      <c r="H38" s="62" t="s">
        <v>339</v>
      </c>
      <c r="I38" s="62" t="s">
        <v>339</v>
      </c>
      <c r="J38" s="62" t="s">
        <v>1959</v>
      </c>
    </row>
    <row r="39" spans="1:10" ht="15" x14ac:dyDescent="0.25">
      <c r="A39" s="40">
        <v>35</v>
      </c>
      <c r="B39" s="62" t="s">
        <v>2595</v>
      </c>
      <c r="C39" s="62" t="s">
        <v>67</v>
      </c>
      <c r="D39" s="62" t="s">
        <v>19</v>
      </c>
      <c r="E39" s="62" t="s">
        <v>2279</v>
      </c>
      <c r="F39" s="114">
        <v>9490.25</v>
      </c>
      <c r="G39" s="62" t="s">
        <v>339</v>
      </c>
      <c r="H39" s="62" t="s">
        <v>339</v>
      </c>
      <c r="I39" s="62" t="s">
        <v>339</v>
      </c>
      <c r="J39" s="62" t="s">
        <v>238</v>
      </c>
    </row>
    <row r="40" spans="1:10" ht="15" x14ac:dyDescent="0.25">
      <c r="A40" s="40">
        <v>36</v>
      </c>
      <c r="B40" s="62" t="s">
        <v>2663</v>
      </c>
      <c r="C40" s="62" t="s">
        <v>2498</v>
      </c>
      <c r="D40" s="62" t="s">
        <v>2271</v>
      </c>
      <c r="E40" s="62" t="s">
        <v>2664</v>
      </c>
      <c r="F40" s="62">
        <v>100.04819999999999</v>
      </c>
      <c r="G40" s="62">
        <v>100.7343</v>
      </c>
      <c r="H40" s="62" t="s">
        <v>2598</v>
      </c>
      <c r="I40" s="62" t="s">
        <v>2665</v>
      </c>
      <c r="J40" s="62" t="s">
        <v>269</v>
      </c>
    </row>
    <row r="41" spans="1:10" ht="15" x14ac:dyDescent="0.25">
      <c r="A41" s="40">
        <v>37</v>
      </c>
      <c r="B41" s="62" t="s">
        <v>2666</v>
      </c>
      <c r="C41" s="62" t="s">
        <v>2500</v>
      </c>
      <c r="D41" s="62" t="s">
        <v>2271</v>
      </c>
      <c r="E41" s="62" t="s">
        <v>2664</v>
      </c>
      <c r="F41" s="62">
        <v>100.04819999999999</v>
      </c>
      <c r="G41" s="62">
        <v>100.7343</v>
      </c>
      <c r="H41" s="62" t="s">
        <v>2598</v>
      </c>
      <c r="I41" s="62" t="s">
        <v>2665</v>
      </c>
      <c r="J41" s="62" t="s">
        <v>269</v>
      </c>
    </row>
    <row r="42" spans="1:10" ht="15" x14ac:dyDescent="0.25">
      <c r="A42" s="40">
        <v>38</v>
      </c>
      <c r="B42" s="62" t="s">
        <v>2667</v>
      </c>
      <c r="C42" s="62" t="s">
        <v>2169</v>
      </c>
      <c r="D42" s="62" t="s">
        <v>2271</v>
      </c>
      <c r="E42" s="62" t="s">
        <v>2503</v>
      </c>
      <c r="F42" s="62">
        <v>101.0925</v>
      </c>
      <c r="G42" s="62">
        <v>103.6203</v>
      </c>
      <c r="H42" s="62" t="s">
        <v>2668</v>
      </c>
      <c r="I42" s="62" t="s">
        <v>2669</v>
      </c>
      <c r="J42" s="62" t="s">
        <v>269</v>
      </c>
    </row>
    <row r="43" spans="1:10" ht="15" x14ac:dyDescent="0.25">
      <c r="A43" s="40">
        <v>39</v>
      </c>
      <c r="B43" s="62" t="s">
        <v>2670</v>
      </c>
      <c r="C43" s="62" t="s">
        <v>80</v>
      </c>
      <c r="D43" s="62" t="s">
        <v>19</v>
      </c>
      <c r="E43" s="62" t="s">
        <v>2280</v>
      </c>
      <c r="F43" s="114">
        <v>3357</v>
      </c>
      <c r="G43" s="62" t="s">
        <v>339</v>
      </c>
      <c r="H43" s="62" t="s">
        <v>339</v>
      </c>
      <c r="I43" s="62" t="s">
        <v>339</v>
      </c>
      <c r="J43" s="62" t="s">
        <v>238</v>
      </c>
    </row>
    <row r="44" spans="1:10" ht="15" x14ac:dyDescent="0.25">
      <c r="A44" s="40">
        <v>40</v>
      </c>
      <c r="B44" s="62" t="s">
        <v>2671</v>
      </c>
      <c r="C44" s="62" t="s">
        <v>83</v>
      </c>
      <c r="D44" s="62" t="s">
        <v>19</v>
      </c>
      <c r="E44" s="62" t="s">
        <v>2281</v>
      </c>
      <c r="F44" s="114">
        <v>1480.69</v>
      </c>
      <c r="G44" s="62" t="s">
        <v>339</v>
      </c>
      <c r="H44" s="62" t="s">
        <v>339</v>
      </c>
      <c r="I44" s="62" t="s">
        <v>339</v>
      </c>
      <c r="J44" s="62" t="s">
        <v>238</v>
      </c>
    </row>
    <row r="45" spans="1:10" ht="15" x14ac:dyDescent="0.25">
      <c r="A45" s="40">
        <v>41</v>
      </c>
      <c r="B45" s="62" t="s">
        <v>2672</v>
      </c>
      <c r="C45" s="62" t="s">
        <v>86</v>
      </c>
      <c r="D45" s="62" t="s">
        <v>19</v>
      </c>
      <c r="E45" s="62" t="s">
        <v>2282</v>
      </c>
      <c r="F45" s="114">
        <v>21989.759999999998</v>
      </c>
      <c r="G45" s="62" t="s">
        <v>339</v>
      </c>
      <c r="H45" s="62" t="s">
        <v>339</v>
      </c>
      <c r="I45" s="62" t="s">
        <v>339</v>
      </c>
      <c r="J45" s="62" t="s">
        <v>238</v>
      </c>
    </row>
    <row r="46" spans="1:10" ht="15" x14ac:dyDescent="0.25">
      <c r="A46" s="40">
        <v>42</v>
      </c>
      <c r="B46" s="62" t="s">
        <v>2673</v>
      </c>
      <c r="C46" s="62" t="s">
        <v>89</v>
      </c>
      <c r="D46" s="62" t="s">
        <v>2271</v>
      </c>
      <c r="E46" s="62" t="s">
        <v>2282</v>
      </c>
      <c r="F46" s="62">
        <v>93.883899999999997</v>
      </c>
      <c r="G46" s="62">
        <v>93.899900000000002</v>
      </c>
      <c r="H46" s="62" t="s">
        <v>2596</v>
      </c>
      <c r="I46" s="62" t="s">
        <v>2674</v>
      </c>
      <c r="J46" s="62" t="s">
        <v>269</v>
      </c>
    </row>
    <row r="47" spans="1:10" ht="15" x14ac:dyDescent="0.25">
      <c r="A47" s="40">
        <v>43</v>
      </c>
      <c r="B47" s="62" t="s">
        <v>2675</v>
      </c>
      <c r="C47" s="62" t="s">
        <v>93</v>
      </c>
      <c r="D47" s="62" t="s">
        <v>2271</v>
      </c>
      <c r="E47" s="62" t="s">
        <v>2282</v>
      </c>
      <c r="F47" s="62">
        <v>98.909899999999993</v>
      </c>
      <c r="G47" s="62">
        <v>102.0266</v>
      </c>
      <c r="H47" s="62" t="s">
        <v>2676</v>
      </c>
      <c r="I47" s="62" t="s">
        <v>2677</v>
      </c>
      <c r="J47" s="62" t="s">
        <v>269</v>
      </c>
    </row>
    <row r="48" spans="1:10" ht="15" x14ac:dyDescent="0.25">
      <c r="A48" s="40">
        <v>44</v>
      </c>
      <c r="B48" s="62" t="s">
        <v>2678</v>
      </c>
      <c r="C48" s="62" t="s">
        <v>95</v>
      </c>
      <c r="D48" s="62" t="s">
        <v>2271</v>
      </c>
      <c r="E48" s="62" t="s">
        <v>2282</v>
      </c>
      <c r="F48" s="62">
        <v>91.207700000000003</v>
      </c>
      <c r="G48" s="62">
        <v>91.266000000000005</v>
      </c>
      <c r="H48" s="62" t="s">
        <v>2679</v>
      </c>
      <c r="I48" s="62" t="s">
        <v>2680</v>
      </c>
      <c r="J48" s="62" t="s">
        <v>269</v>
      </c>
    </row>
    <row r="49" spans="1:10" ht="15" x14ac:dyDescent="0.25">
      <c r="A49" s="40">
        <v>45</v>
      </c>
      <c r="B49" s="62" t="s">
        <v>2681</v>
      </c>
      <c r="C49" s="62" t="s">
        <v>100</v>
      </c>
      <c r="D49" s="62" t="s">
        <v>2269</v>
      </c>
      <c r="E49" s="62" t="s">
        <v>2283</v>
      </c>
      <c r="F49" s="62">
        <v>76.5</v>
      </c>
      <c r="G49" s="62" t="s">
        <v>339</v>
      </c>
      <c r="H49" s="62" t="s">
        <v>339</v>
      </c>
      <c r="I49" s="62" t="s">
        <v>339</v>
      </c>
      <c r="J49" s="62" t="s">
        <v>1959</v>
      </c>
    </row>
    <row r="50" spans="1:10" ht="15" x14ac:dyDescent="0.25">
      <c r="A50" s="40">
        <v>46</v>
      </c>
      <c r="B50" s="62" t="s">
        <v>2682</v>
      </c>
      <c r="C50" s="62" t="s">
        <v>102</v>
      </c>
      <c r="D50" s="62" t="s">
        <v>19</v>
      </c>
      <c r="E50" s="62" t="s">
        <v>2284</v>
      </c>
      <c r="F50" s="114">
        <v>30225.77</v>
      </c>
      <c r="G50" s="62" t="s">
        <v>339</v>
      </c>
      <c r="H50" s="62" t="s">
        <v>339</v>
      </c>
      <c r="I50" s="62" t="s">
        <v>339</v>
      </c>
      <c r="J50" s="62" t="s">
        <v>238</v>
      </c>
    </row>
    <row r="51" spans="1:10" ht="15" x14ac:dyDescent="0.25">
      <c r="A51" s="40">
        <v>47</v>
      </c>
      <c r="B51" s="62" t="s">
        <v>2683</v>
      </c>
      <c r="C51" s="62" t="s">
        <v>2034</v>
      </c>
      <c r="D51" s="62" t="s">
        <v>2271</v>
      </c>
      <c r="E51" s="62" t="s">
        <v>2285</v>
      </c>
      <c r="F51" s="62">
        <v>106.55589999999999</v>
      </c>
      <c r="G51" s="62">
        <v>108.57259999999999</v>
      </c>
      <c r="H51" s="62" t="s">
        <v>2519</v>
      </c>
      <c r="I51" s="62" t="s">
        <v>2684</v>
      </c>
      <c r="J51" s="62" t="s">
        <v>269</v>
      </c>
    </row>
    <row r="52" spans="1:10" ht="15" x14ac:dyDescent="0.25">
      <c r="A52" s="40">
        <v>48</v>
      </c>
      <c r="B52" s="62" t="s">
        <v>2685</v>
      </c>
      <c r="C52" s="62" t="s">
        <v>104</v>
      </c>
      <c r="D52" s="62" t="s">
        <v>19</v>
      </c>
      <c r="E52" s="62" t="s">
        <v>2286</v>
      </c>
      <c r="F52" s="114">
        <v>39499.18</v>
      </c>
      <c r="G52" s="62" t="s">
        <v>339</v>
      </c>
      <c r="H52" s="62" t="s">
        <v>339</v>
      </c>
      <c r="I52" s="62" t="s">
        <v>339</v>
      </c>
      <c r="J52" s="62" t="s">
        <v>238</v>
      </c>
    </row>
    <row r="53" spans="1:10" ht="15" x14ac:dyDescent="0.25">
      <c r="A53" s="40">
        <v>49</v>
      </c>
      <c r="B53" s="62" t="s">
        <v>2686</v>
      </c>
      <c r="C53" s="62" t="s">
        <v>107</v>
      </c>
      <c r="D53" s="62" t="s">
        <v>19</v>
      </c>
      <c r="E53" s="62" t="s">
        <v>2286</v>
      </c>
      <c r="F53" s="114">
        <v>30544.21</v>
      </c>
      <c r="G53" s="62" t="s">
        <v>339</v>
      </c>
      <c r="H53" s="62" t="s">
        <v>339</v>
      </c>
      <c r="I53" s="62" t="s">
        <v>339</v>
      </c>
      <c r="J53" s="62" t="s">
        <v>238</v>
      </c>
    </row>
    <row r="54" spans="1:10" ht="15" x14ac:dyDescent="0.25">
      <c r="A54" s="40">
        <v>50</v>
      </c>
      <c r="B54" s="62" t="s">
        <v>2687</v>
      </c>
      <c r="C54" s="62" t="s">
        <v>109</v>
      </c>
      <c r="D54" s="62" t="s">
        <v>19</v>
      </c>
      <c r="E54" s="62" t="s">
        <v>2287</v>
      </c>
      <c r="F54" s="62">
        <v>866.67</v>
      </c>
      <c r="G54" s="62" t="s">
        <v>339</v>
      </c>
      <c r="H54" s="62" t="s">
        <v>339</v>
      </c>
      <c r="I54" s="62" t="s">
        <v>339</v>
      </c>
      <c r="J54" s="62" t="s">
        <v>238</v>
      </c>
    </row>
    <row r="55" spans="1:10" ht="15" x14ac:dyDescent="0.25">
      <c r="A55" s="40">
        <v>51</v>
      </c>
      <c r="B55" s="62" t="s">
        <v>2688</v>
      </c>
      <c r="C55" s="62" t="s">
        <v>1249</v>
      </c>
      <c r="D55" s="62" t="s">
        <v>2288</v>
      </c>
      <c r="E55" s="62" t="s">
        <v>2289</v>
      </c>
      <c r="F55" s="62">
        <v>98.625</v>
      </c>
      <c r="G55" s="62">
        <v>98.769000000000005</v>
      </c>
      <c r="H55" s="62" t="s">
        <v>2520</v>
      </c>
      <c r="I55" s="62" t="s">
        <v>2689</v>
      </c>
      <c r="J55" s="62" t="s">
        <v>269</v>
      </c>
    </row>
    <row r="56" spans="1:10" ht="15" x14ac:dyDescent="0.25">
      <c r="A56" s="40">
        <v>52</v>
      </c>
      <c r="B56" s="62" t="s">
        <v>2690</v>
      </c>
      <c r="C56" s="62" t="s">
        <v>1339</v>
      </c>
      <c r="D56" s="62" t="s">
        <v>2271</v>
      </c>
      <c r="E56" s="62" t="s">
        <v>2504</v>
      </c>
      <c r="F56" s="62">
        <v>99.9863</v>
      </c>
      <c r="G56" s="62">
        <v>105.18210000000001</v>
      </c>
      <c r="H56" s="62" t="s">
        <v>2691</v>
      </c>
      <c r="I56" s="62" t="s">
        <v>2692</v>
      </c>
      <c r="J56" s="62" t="s">
        <v>269</v>
      </c>
    </row>
    <row r="57" spans="1:10" ht="15" x14ac:dyDescent="0.25">
      <c r="A57" s="40">
        <v>53</v>
      </c>
      <c r="B57" s="62" t="s">
        <v>2693</v>
      </c>
      <c r="C57" s="62" t="s">
        <v>1344</v>
      </c>
      <c r="D57" s="62" t="s">
        <v>2271</v>
      </c>
      <c r="E57" s="62" t="s">
        <v>2521</v>
      </c>
      <c r="F57" s="62">
        <v>99.023099999999999</v>
      </c>
      <c r="G57" s="62">
        <v>102.7509</v>
      </c>
      <c r="H57" s="62" t="s">
        <v>2694</v>
      </c>
      <c r="I57" s="62" t="s">
        <v>2695</v>
      </c>
      <c r="J57" s="62" t="s">
        <v>269</v>
      </c>
    </row>
    <row r="58" spans="1:10" ht="15" x14ac:dyDescent="0.25">
      <c r="A58" s="40">
        <v>54</v>
      </c>
      <c r="B58" s="62" t="s">
        <v>2696</v>
      </c>
      <c r="C58" s="62" t="s">
        <v>1370</v>
      </c>
      <c r="D58" s="62" t="s">
        <v>2271</v>
      </c>
      <c r="E58" s="62" t="s">
        <v>2489</v>
      </c>
      <c r="F58" s="62">
        <v>98.527500000000003</v>
      </c>
      <c r="G58" s="62">
        <v>106.1108</v>
      </c>
      <c r="H58" s="62" t="s">
        <v>2697</v>
      </c>
      <c r="I58" s="62" t="s">
        <v>2698</v>
      </c>
      <c r="J58" s="62" t="s">
        <v>269</v>
      </c>
    </row>
    <row r="59" spans="1:10" ht="15" x14ac:dyDescent="0.25">
      <c r="A59" s="40">
        <v>55</v>
      </c>
      <c r="B59" s="62" t="s">
        <v>2699</v>
      </c>
      <c r="C59" s="62" t="s">
        <v>2122</v>
      </c>
      <c r="D59" s="62" t="s">
        <v>2271</v>
      </c>
      <c r="E59" s="62" t="s">
        <v>2290</v>
      </c>
      <c r="F59" s="62">
        <v>76.452799999999996</v>
      </c>
      <c r="G59" s="62">
        <v>76.697199999999995</v>
      </c>
      <c r="H59" s="62" t="s">
        <v>2700</v>
      </c>
      <c r="I59" s="62" t="s">
        <v>2701</v>
      </c>
      <c r="J59" s="62" t="s">
        <v>269</v>
      </c>
    </row>
    <row r="60" spans="1:10" ht="15" x14ac:dyDescent="0.25">
      <c r="A60" s="40">
        <v>56</v>
      </c>
      <c r="B60" s="62" t="s">
        <v>2702</v>
      </c>
      <c r="C60" s="62" t="s">
        <v>2181</v>
      </c>
      <c r="D60" s="62" t="s">
        <v>2271</v>
      </c>
      <c r="E60" s="62" t="s">
        <v>2290</v>
      </c>
      <c r="F60" s="62">
        <v>99.436099999999996</v>
      </c>
      <c r="G60" s="62">
        <v>100.5361</v>
      </c>
      <c r="H60" s="62" t="s">
        <v>2600</v>
      </c>
      <c r="I60" s="62" t="s">
        <v>2615</v>
      </c>
      <c r="J60" s="62" t="s">
        <v>269</v>
      </c>
    </row>
    <row r="61" spans="1:10" ht="15" x14ac:dyDescent="0.25">
      <c r="A61" s="40">
        <v>57</v>
      </c>
      <c r="B61" s="62" t="s">
        <v>2703</v>
      </c>
      <c r="C61" s="62" t="s">
        <v>2185</v>
      </c>
      <c r="D61" s="62" t="s">
        <v>2271</v>
      </c>
      <c r="E61" s="62" t="s">
        <v>2290</v>
      </c>
      <c r="F61" s="62">
        <v>99.998800000000003</v>
      </c>
      <c r="G61" s="62">
        <v>100.5655</v>
      </c>
      <c r="H61" s="62" t="s">
        <v>2560</v>
      </c>
      <c r="I61" s="62" t="s">
        <v>2704</v>
      </c>
      <c r="J61" s="62" t="s">
        <v>269</v>
      </c>
    </row>
    <row r="62" spans="1:10" ht="15" x14ac:dyDescent="0.25">
      <c r="A62" s="40">
        <v>58</v>
      </c>
      <c r="B62" s="62" t="s">
        <v>2705</v>
      </c>
      <c r="C62" s="62" t="s">
        <v>2483</v>
      </c>
      <c r="D62" s="62" t="s">
        <v>2271</v>
      </c>
      <c r="E62" s="62" t="s">
        <v>2290</v>
      </c>
      <c r="F62" s="62">
        <v>99.998999999999995</v>
      </c>
      <c r="G62" s="62">
        <v>100.8546</v>
      </c>
      <c r="H62" s="62" t="s">
        <v>2601</v>
      </c>
      <c r="I62" s="62" t="s">
        <v>2706</v>
      </c>
      <c r="J62" s="62" t="s">
        <v>269</v>
      </c>
    </row>
    <row r="63" spans="1:10" ht="15" x14ac:dyDescent="0.25">
      <c r="A63" s="40">
        <v>59</v>
      </c>
      <c r="B63" s="62" t="s">
        <v>2602</v>
      </c>
      <c r="C63" s="62" t="s">
        <v>114</v>
      </c>
      <c r="D63" s="62" t="s">
        <v>2271</v>
      </c>
      <c r="E63" s="62" t="s">
        <v>2291</v>
      </c>
      <c r="F63" s="62">
        <v>99.976699999999994</v>
      </c>
      <c r="G63" s="62">
        <v>100.36499999999999</v>
      </c>
      <c r="H63" s="62" t="s">
        <v>2707</v>
      </c>
      <c r="I63" s="62" t="s">
        <v>2708</v>
      </c>
      <c r="J63" s="62" t="s">
        <v>269</v>
      </c>
    </row>
    <row r="64" spans="1:10" ht="15" x14ac:dyDescent="0.25">
      <c r="A64" s="40">
        <v>60</v>
      </c>
      <c r="B64" s="62" t="s">
        <v>2603</v>
      </c>
      <c r="C64" s="62" t="s">
        <v>116</v>
      </c>
      <c r="D64" s="62" t="s">
        <v>2271</v>
      </c>
      <c r="E64" s="62" t="s">
        <v>2291</v>
      </c>
      <c r="F64" s="62">
        <v>98.729500000000002</v>
      </c>
      <c r="G64" s="62">
        <v>100.0628</v>
      </c>
      <c r="H64" s="62" t="s">
        <v>2709</v>
      </c>
      <c r="I64" s="62" t="s">
        <v>2710</v>
      </c>
      <c r="J64" s="62" t="s">
        <v>269</v>
      </c>
    </row>
    <row r="65" spans="1:10" ht="15" x14ac:dyDescent="0.25">
      <c r="A65" s="40">
        <v>61</v>
      </c>
      <c r="B65" s="62" t="s">
        <v>2604</v>
      </c>
      <c r="C65" s="62" t="s">
        <v>353</v>
      </c>
      <c r="D65" s="62" t="s">
        <v>2271</v>
      </c>
      <c r="E65" s="62" t="s">
        <v>2291</v>
      </c>
      <c r="F65" s="62">
        <v>100</v>
      </c>
      <c r="G65" s="62">
        <v>100.3143</v>
      </c>
      <c r="H65" s="62" t="s">
        <v>2605</v>
      </c>
      <c r="I65" s="62" t="s">
        <v>2711</v>
      </c>
      <c r="J65" s="62" t="s">
        <v>269</v>
      </c>
    </row>
    <row r="66" spans="1:10" ht="15" x14ac:dyDescent="0.25">
      <c r="A66" s="40">
        <v>62</v>
      </c>
      <c r="B66" s="62" t="s">
        <v>2606</v>
      </c>
      <c r="C66" s="62" t="s">
        <v>1383</v>
      </c>
      <c r="D66" s="62" t="s">
        <v>2271</v>
      </c>
      <c r="E66" s="62" t="s">
        <v>2291</v>
      </c>
      <c r="F66" s="62">
        <v>96.119100000000003</v>
      </c>
      <c r="G66" s="62">
        <v>97.280199999999994</v>
      </c>
      <c r="H66" s="62" t="s">
        <v>2712</v>
      </c>
      <c r="I66" s="62" t="s">
        <v>2713</v>
      </c>
      <c r="J66" s="62" t="s">
        <v>269</v>
      </c>
    </row>
    <row r="67" spans="1:10" ht="15" x14ac:dyDescent="0.25">
      <c r="A67" s="40">
        <v>63</v>
      </c>
      <c r="B67" s="62" t="s">
        <v>2607</v>
      </c>
      <c r="C67" s="62" t="s">
        <v>384</v>
      </c>
      <c r="D67" s="62" t="s">
        <v>2271</v>
      </c>
      <c r="E67" s="62" t="s">
        <v>2291</v>
      </c>
      <c r="F67" s="62">
        <v>96.656300000000002</v>
      </c>
      <c r="G67" s="62">
        <v>98.186899999999994</v>
      </c>
      <c r="H67" s="62" t="s">
        <v>2714</v>
      </c>
      <c r="I67" s="62" t="s">
        <v>2715</v>
      </c>
      <c r="J67" s="62" t="s">
        <v>269</v>
      </c>
    </row>
    <row r="68" spans="1:10" ht="15" x14ac:dyDescent="0.25">
      <c r="A68" s="40">
        <v>64</v>
      </c>
      <c r="B68" s="62" t="s">
        <v>2608</v>
      </c>
      <c r="C68" s="62" t="s">
        <v>2022</v>
      </c>
      <c r="D68" s="62" t="s">
        <v>2271</v>
      </c>
      <c r="E68" s="62" t="s">
        <v>2291</v>
      </c>
      <c r="F68" s="62">
        <v>99.005300000000005</v>
      </c>
      <c r="G68" s="62">
        <v>99.471999999999994</v>
      </c>
      <c r="H68" s="62" t="s">
        <v>2716</v>
      </c>
      <c r="I68" s="62" t="s">
        <v>2717</v>
      </c>
      <c r="J68" s="62" t="s">
        <v>269</v>
      </c>
    </row>
    <row r="69" spans="1:10" ht="15" x14ac:dyDescent="0.25">
      <c r="A69" s="40">
        <v>65</v>
      </c>
      <c r="B69" s="62" t="s">
        <v>2609</v>
      </c>
      <c r="C69" s="62" t="s">
        <v>2058</v>
      </c>
      <c r="D69" s="62" t="s">
        <v>2271</v>
      </c>
      <c r="E69" s="62" t="s">
        <v>2291</v>
      </c>
      <c r="F69" s="62">
        <v>100.8137</v>
      </c>
      <c r="G69" s="62">
        <v>102.0637</v>
      </c>
      <c r="H69" s="62" t="s">
        <v>2718</v>
      </c>
      <c r="I69" s="62" t="s">
        <v>2613</v>
      </c>
      <c r="J69" s="62" t="s">
        <v>269</v>
      </c>
    </row>
    <row r="70" spans="1:10" ht="15" x14ac:dyDescent="0.25">
      <c r="A70" s="40">
        <v>66</v>
      </c>
      <c r="B70" s="62" t="s">
        <v>2610</v>
      </c>
      <c r="C70" s="62" t="s">
        <v>2060</v>
      </c>
      <c r="D70" s="62" t="s">
        <v>2271</v>
      </c>
      <c r="E70" s="62" t="s">
        <v>2291</v>
      </c>
      <c r="F70" s="62">
        <v>79.926000000000002</v>
      </c>
      <c r="G70" s="62">
        <v>79.926000000000002</v>
      </c>
      <c r="H70" s="62" t="s">
        <v>2719</v>
      </c>
      <c r="I70" s="62" t="s">
        <v>2720</v>
      </c>
      <c r="J70" s="62" t="s">
        <v>269</v>
      </c>
    </row>
    <row r="71" spans="1:10" ht="15" x14ac:dyDescent="0.25">
      <c r="A71" s="40">
        <v>67</v>
      </c>
      <c r="B71" s="62" t="s">
        <v>2611</v>
      </c>
      <c r="C71" s="62" t="s">
        <v>1385</v>
      </c>
      <c r="D71" s="62" t="s">
        <v>2271</v>
      </c>
      <c r="E71" s="62" t="s">
        <v>2292</v>
      </c>
      <c r="F71" s="62">
        <v>76.915000000000006</v>
      </c>
      <c r="G71" s="62">
        <v>77.809399999999997</v>
      </c>
      <c r="H71" s="62" t="s">
        <v>2721</v>
      </c>
      <c r="I71" s="62" t="s">
        <v>2722</v>
      </c>
      <c r="J71" s="62" t="s">
        <v>269</v>
      </c>
    </row>
    <row r="72" spans="1:10" ht="15" x14ac:dyDescent="0.25">
      <c r="A72" s="40">
        <v>68</v>
      </c>
      <c r="B72" s="62" t="s">
        <v>2723</v>
      </c>
      <c r="C72" s="62" t="s">
        <v>388</v>
      </c>
      <c r="D72" s="62" t="s">
        <v>2271</v>
      </c>
      <c r="E72" s="62" t="s">
        <v>2292</v>
      </c>
      <c r="F72" s="62">
        <v>97.253600000000006</v>
      </c>
      <c r="G72" s="62">
        <v>98.420299999999997</v>
      </c>
      <c r="H72" s="62" t="s">
        <v>2724</v>
      </c>
      <c r="I72" s="62" t="s">
        <v>2725</v>
      </c>
      <c r="J72" s="62" t="s">
        <v>269</v>
      </c>
    </row>
    <row r="73" spans="1:10" ht="15" x14ac:dyDescent="0.25">
      <c r="A73" s="40">
        <v>69</v>
      </c>
      <c r="B73" s="62" t="s">
        <v>2726</v>
      </c>
      <c r="C73" s="62" t="s">
        <v>2053</v>
      </c>
      <c r="D73" s="62" t="s">
        <v>2271</v>
      </c>
      <c r="E73" s="62" t="s">
        <v>2292</v>
      </c>
      <c r="F73" s="62">
        <v>95.995400000000004</v>
      </c>
      <c r="G73" s="62">
        <v>97.278700000000001</v>
      </c>
      <c r="H73" s="62" t="s">
        <v>2727</v>
      </c>
      <c r="I73" s="62" t="s">
        <v>2728</v>
      </c>
      <c r="J73" s="62" t="s">
        <v>269</v>
      </c>
    </row>
    <row r="74" spans="1:10" ht="15" x14ac:dyDescent="0.25">
      <c r="A74" s="40">
        <v>70</v>
      </c>
      <c r="B74" s="62" t="s">
        <v>2729</v>
      </c>
      <c r="C74" s="62" t="s">
        <v>2210</v>
      </c>
      <c r="D74" s="62" t="s">
        <v>2271</v>
      </c>
      <c r="E74" s="62" t="s">
        <v>2292</v>
      </c>
      <c r="F74" s="62">
        <v>92.787899999999993</v>
      </c>
      <c r="G74" s="62">
        <v>94.187899999999999</v>
      </c>
      <c r="H74" s="62" t="s">
        <v>2730</v>
      </c>
      <c r="I74" s="62" t="s">
        <v>2731</v>
      </c>
      <c r="J74" s="62" t="s">
        <v>269</v>
      </c>
    </row>
    <row r="75" spans="1:10" ht="15" x14ac:dyDescent="0.25">
      <c r="A75" s="40">
        <v>71</v>
      </c>
      <c r="B75" s="62" t="s">
        <v>2732</v>
      </c>
      <c r="C75" s="62" t="s">
        <v>1389</v>
      </c>
      <c r="D75" s="62" t="s">
        <v>2271</v>
      </c>
      <c r="E75" s="62" t="s">
        <v>2292</v>
      </c>
      <c r="F75" s="62">
        <v>82.8</v>
      </c>
      <c r="G75" s="62">
        <v>83.216700000000003</v>
      </c>
      <c r="H75" s="62" t="s">
        <v>2733</v>
      </c>
      <c r="I75" s="62" t="s">
        <v>2734</v>
      </c>
      <c r="J75" s="62" t="s">
        <v>269</v>
      </c>
    </row>
    <row r="76" spans="1:10" ht="15" x14ac:dyDescent="0.25">
      <c r="A76" s="40">
        <v>72</v>
      </c>
      <c r="B76" s="62" t="s">
        <v>2735</v>
      </c>
      <c r="C76" s="62" t="s">
        <v>1413</v>
      </c>
      <c r="D76" s="62" t="s">
        <v>2271</v>
      </c>
      <c r="E76" s="62" t="s">
        <v>2343</v>
      </c>
      <c r="F76" s="62">
        <v>100.04649999999999</v>
      </c>
      <c r="G76" s="62">
        <v>102.2465</v>
      </c>
      <c r="H76" s="62" t="s">
        <v>2736</v>
      </c>
      <c r="I76" s="62" t="s">
        <v>2737</v>
      </c>
      <c r="J76" s="62" t="s">
        <v>269</v>
      </c>
    </row>
    <row r="77" spans="1:10" ht="15" x14ac:dyDescent="0.25">
      <c r="A77" s="40">
        <v>73</v>
      </c>
      <c r="B77" s="62" t="s">
        <v>2738</v>
      </c>
      <c r="C77" s="62" t="s">
        <v>1416</v>
      </c>
      <c r="D77" s="62" t="s">
        <v>2271</v>
      </c>
      <c r="E77" s="62" t="s">
        <v>2343</v>
      </c>
      <c r="F77" s="62">
        <v>99.142499999999998</v>
      </c>
      <c r="G77" s="62">
        <v>99.199399999999997</v>
      </c>
      <c r="H77" s="62" t="s">
        <v>2739</v>
      </c>
      <c r="I77" s="62" t="s">
        <v>2740</v>
      </c>
      <c r="J77" s="62" t="s">
        <v>269</v>
      </c>
    </row>
    <row r="78" spans="1:10" ht="15" x14ac:dyDescent="0.25">
      <c r="A78" s="40">
        <v>74</v>
      </c>
      <c r="B78" s="62" t="s">
        <v>2741</v>
      </c>
      <c r="C78" s="62" t="s">
        <v>2243</v>
      </c>
      <c r="D78" s="62" t="s">
        <v>2271</v>
      </c>
      <c r="E78" s="62" t="s">
        <v>2343</v>
      </c>
      <c r="F78" s="62">
        <v>99.117099999999994</v>
      </c>
      <c r="G78" s="62">
        <v>99.408799999999999</v>
      </c>
      <c r="H78" s="62" t="s">
        <v>2742</v>
      </c>
      <c r="I78" s="62" t="s">
        <v>2743</v>
      </c>
      <c r="J78" s="62" t="s">
        <v>269</v>
      </c>
    </row>
    <row r="79" spans="1:10" ht="15" x14ac:dyDescent="0.25">
      <c r="A79" s="40">
        <v>75</v>
      </c>
      <c r="B79" s="62" t="s">
        <v>2744</v>
      </c>
      <c r="C79" s="62" t="s">
        <v>382</v>
      </c>
      <c r="D79" s="62" t="s">
        <v>2288</v>
      </c>
      <c r="E79" s="62" t="s">
        <v>2289</v>
      </c>
      <c r="F79" s="62">
        <v>99.828000000000003</v>
      </c>
      <c r="G79" s="62">
        <v>99.828000000000003</v>
      </c>
      <c r="H79" s="62" t="s">
        <v>2745</v>
      </c>
      <c r="I79" s="62" t="s">
        <v>2746</v>
      </c>
      <c r="J79" s="62" t="s">
        <v>269</v>
      </c>
    </row>
    <row r="80" spans="1:10" ht="15" x14ac:dyDescent="0.25">
      <c r="A80" s="40">
        <v>76</v>
      </c>
      <c r="B80" s="62" t="s">
        <v>2747</v>
      </c>
      <c r="C80" s="62" t="s">
        <v>1980</v>
      </c>
      <c r="D80" s="62" t="s">
        <v>2288</v>
      </c>
      <c r="E80" s="62" t="s">
        <v>2289</v>
      </c>
      <c r="F80" s="62">
        <v>95.442800000000005</v>
      </c>
      <c r="G80" s="62">
        <v>95.442800000000005</v>
      </c>
      <c r="H80" s="62" t="s">
        <v>2748</v>
      </c>
      <c r="I80" s="62" t="s">
        <v>2612</v>
      </c>
      <c r="J80" s="62" t="s">
        <v>269</v>
      </c>
    </row>
    <row r="81" spans="1:10" ht="15" x14ac:dyDescent="0.25">
      <c r="A81" s="40">
        <v>77</v>
      </c>
      <c r="B81" s="62" t="s">
        <v>2749</v>
      </c>
      <c r="C81" s="62" t="s">
        <v>2120</v>
      </c>
      <c r="D81" s="62" t="s">
        <v>2288</v>
      </c>
      <c r="E81" s="62" t="s">
        <v>2289</v>
      </c>
      <c r="F81" s="62">
        <v>91.548699999999997</v>
      </c>
      <c r="G81" s="62">
        <v>91.548699999999997</v>
      </c>
      <c r="H81" s="62" t="s">
        <v>2750</v>
      </c>
      <c r="I81" s="62" t="s">
        <v>2751</v>
      </c>
      <c r="J81" s="62" t="s">
        <v>269</v>
      </c>
    </row>
    <row r="82" spans="1:10" ht="15" x14ac:dyDescent="0.25">
      <c r="A82" s="40">
        <v>78</v>
      </c>
      <c r="B82" s="62" t="s">
        <v>2752</v>
      </c>
      <c r="C82" s="62" t="s">
        <v>4</v>
      </c>
      <c r="D82" s="62" t="s">
        <v>2288</v>
      </c>
      <c r="E82" s="62" t="s">
        <v>2289</v>
      </c>
      <c r="F82" s="62">
        <v>98.584699999999998</v>
      </c>
      <c r="G82" s="62">
        <v>101.2226</v>
      </c>
      <c r="H82" s="62" t="s">
        <v>2753</v>
      </c>
      <c r="I82" s="62" t="s">
        <v>2754</v>
      </c>
      <c r="J82" s="62" t="s">
        <v>269</v>
      </c>
    </row>
    <row r="83" spans="1:10" ht="15" x14ac:dyDescent="0.25">
      <c r="A83" s="40">
        <v>79</v>
      </c>
      <c r="B83" s="62" t="s">
        <v>2755</v>
      </c>
      <c r="C83" s="62" t="s">
        <v>119</v>
      </c>
      <c r="D83" s="62" t="s">
        <v>2288</v>
      </c>
      <c r="E83" s="62" t="s">
        <v>2289</v>
      </c>
      <c r="F83" s="62">
        <v>98.451800000000006</v>
      </c>
      <c r="G83" s="62">
        <v>102.8824</v>
      </c>
      <c r="H83" s="62" t="s">
        <v>2756</v>
      </c>
      <c r="I83" s="62" t="s">
        <v>2757</v>
      </c>
      <c r="J83" s="62" t="s">
        <v>269</v>
      </c>
    </row>
    <row r="84" spans="1:10" ht="15" x14ac:dyDescent="0.25">
      <c r="A84" s="40">
        <v>80</v>
      </c>
      <c r="B84" s="62" t="s">
        <v>2758</v>
      </c>
      <c r="C84" s="62" t="s">
        <v>121</v>
      </c>
      <c r="D84" s="62" t="s">
        <v>2288</v>
      </c>
      <c r="E84" s="62" t="s">
        <v>2289</v>
      </c>
      <c r="F84" s="62">
        <v>98.109300000000005</v>
      </c>
      <c r="G84" s="62">
        <v>99.4221</v>
      </c>
      <c r="H84" s="62" t="s">
        <v>2759</v>
      </c>
      <c r="I84" s="62" t="s">
        <v>2760</v>
      </c>
      <c r="J84" s="62" t="s">
        <v>269</v>
      </c>
    </row>
    <row r="85" spans="1:10" ht="15" x14ac:dyDescent="0.25">
      <c r="A85" s="40">
        <v>81</v>
      </c>
      <c r="B85" s="62" t="s">
        <v>2761</v>
      </c>
      <c r="C85" s="62" t="s">
        <v>2325</v>
      </c>
      <c r="D85" s="62" t="s">
        <v>2288</v>
      </c>
      <c r="E85" s="62" t="s">
        <v>2289</v>
      </c>
      <c r="F85" s="62">
        <v>101.9787</v>
      </c>
      <c r="G85" s="62">
        <v>105.428</v>
      </c>
      <c r="H85" s="62" t="s">
        <v>2762</v>
      </c>
      <c r="I85" s="62" t="s">
        <v>2763</v>
      </c>
      <c r="J85" s="62" t="s">
        <v>269</v>
      </c>
    </row>
    <row r="86" spans="1:10" ht="15" x14ac:dyDescent="0.25">
      <c r="A86" s="40">
        <v>82</v>
      </c>
      <c r="B86" s="62" t="s">
        <v>2764</v>
      </c>
      <c r="C86" s="62" t="s">
        <v>123</v>
      </c>
      <c r="D86" s="62" t="s">
        <v>2288</v>
      </c>
      <c r="E86" s="62" t="s">
        <v>2289</v>
      </c>
      <c r="F86" s="62">
        <v>95.899199999999993</v>
      </c>
      <c r="G86" s="62">
        <v>98.115899999999996</v>
      </c>
      <c r="H86" s="62" t="s">
        <v>2765</v>
      </c>
      <c r="I86" s="62" t="s">
        <v>2766</v>
      </c>
      <c r="J86" s="62" t="s">
        <v>269</v>
      </c>
    </row>
    <row r="87" spans="1:10" ht="15" x14ac:dyDescent="0.25">
      <c r="A87" s="40">
        <v>83</v>
      </c>
      <c r="B87" s="62" t="s">
        <v>2767</v>
      </c>
      <c r="C87" s="62" t="s">
        <v>125</v>
      </c>
      <c r="D87" s="62" t="s">
        <v>2288</v>
      </c>
      <c r="E87" s="62" t="s">
        <v>2289</v>
      </c>
      <c r="F87" s="62">
        <v>98.551900000000003</v>
      </c>
      <c r="G87" s="62">
        <v>105.033</v>
      </c>
      <c r="H87" s="62" t="s">
        <v>2759</v>
      </c>
      <c r="I87" s="62" t="s">
        <v>2768</v>
      </c>
      <c r="J87" s="62" t="s">
        <v>269</v>
      </c>
    </row>
    <row r="88" spans="1:10" ht="15" x14ac:dyDescent="0.25">
      <c r="A88" s="40">
        <v>84</v>
      </c>
      <c r="B88" s="62" t="s">
        <v>2769</v>
      </c>
      <c r="C88" s="62" t="s">
        <v>2502</v>
      </c>
      <c r="D88" s="62" t="s">
        <v>2288</v>
      </c>
      <c r="E88" s="62" t="s">
        <v>2289</v>
      </c>
      <c r="F88" s="62">
        <v>102.14409999999999</v>
      </c>
      <c r="G88" s="62">
        <v>102.66200000000001</v>
      </c>
      <c r="H88" s="62" t="s">
        <v>2614</v>
      </c>
      <c r="I88" s="62" t="s">
        <v>2770</v>
      </c>
      <c r="J88" s="62" t="s">
        <v>269</v>
      </c>
    </row>
    <row r="89" spans="1:10" ht="15" x14ac:dyDescent="0.25">
      <c r="A89" s="40">
        <v>85</v>
      </c>
      <c r="B89" s="62" t="s">
        <v>2771</v>
      </c>
      <c r="C89" s="62" t="s">
        <v>2298</v>
      </c>
      <c r="D89" s="62" t="s">
        <v>2288</v>
      </c>
      <c r="E89" s="62" t="s">
        <v>2289</v>
      </c>
      <c r="F89" s="62">
        <v>100</v>
      </c>
      <c r="G89" s="62">
        <v>103.80500000000001</v>
      </c>
      <c r="H89" s="62" t="s">
        <v>2561</v>
      </c>
      <c r="I89" s="62" t="s">
        <v>2772</v>
      </c>
      <c r="J89" s="62" t="s">
        <v>269</v>
      </c>
    </row>
    <row r="90" spans="1:10" ht="15" x14ac:dyDescent="0.25">
      <c r="A90" s="40">
        <v>86</v>
      </c>
      <c r="B90" s="62" t="s">
        <v>2773</v>
      </c>
      <c r="C90" s="62" t="s">
        <v>127</v>
      </c>
      <c r="D90" s="62" t="s">
        <v>2288</v>
      </c>
      <c r="E90" s="62" t="s">
        <v>2289</v>
      </c>
      <c r="F90" s="62">
        <v>100</v>
      </c>
      <c r="G90" s="62">
        <v>101.956</v>
      </c>
      <c r="H90" s="62" t="s">
        <v>2774</v>
      </c>
      <c r="I90" s="62" t="s">
        <v>2775</v>
      </c>
      <c r="J90" s="62" t="s">
        <v>269</v>
      </c>
    </row>
    <row r="91" spans="1:10" ht="15" x14ac:dyDescent="0.25">
      <c r="A91" s="40">
        <v>87</v>
      </c>
      <c r="B91" s="62" t="s">
        <v>2776</v>
      </c>
      <c r="C91" s="62" t="s">
        <v>129</v>
      </c>
      <c r="D91" s="62" t="s">
        <v>2288</v>
      </c>
      <c r="E91" s="62" t="s">
        <v>2289</v>
      </c>
      <c r="F91" s="62">
        <v>100</v>
      </c>
      <c r="G91" s="62">
        <v>100.28879999999999</v>
      </c>
      <c r="H91" s="62" t="s">
        <v>2777</v>
      </c>
      <c r="I91" s="62" t="s">
        <v>2778</v>
      </c>
      <c r="J91" s="62" t="s">
        <v>269</v>
      </c>
    </row>
    <row r="92" spans="1:10" ht="15" x14ac:dyDescent="0.25">
      <c r="A92" s="40">
        <v>88</v>
      </c>
      <c r="B92" s="62" t="s">
        <v>2779</v>
      </c>
      <c r="C92" s="62" t="s">
        <v>131</v>
      </c>
      <c r="D92" s="62" t="s">
        <v>2288</v>
      </c>
      <c r="E92" s="62" t="s">
        <v>2289</v>
      </c>
      <c r="F92" s="62">
        <v>100</v>
      </c>
      <c r="G92" s="62">
        <v>107.3994</v>
      </c>
      <c r="H92" s="62" t="s">
        <v>2780</v>
      </c>
      <c r="I92" s="62" t="s">
        <v>2781</v>
      </c>
      <c r="J92" s="62" t="s">
        <v>269</v>
      </c>
    </row>
    <row r="93" spans="1:10" ht="15" x14ac:dyDescent="0.25">
      <c r="A93" s="40">
        <v>89</v>
      </c>
      <c r="B93" s="62" t="s">
        <v>2782</v>
      </c>
      <c r="C93" s="62" t="s">
        <v>133</v>
      </c>
      <c r="D93" s="62" t="s">
        <v>2288</v>
      </c>
      <c r="E93" s="62" t="s">
        <v>2289</v>
      </c>
      <c r="F93" s="62">
        <v>100</v>
      </c>
      <c r="G93" s="62">
        <v>102.301</v>
      </c>
      <c r="H93" s="62" t="s">
        <v>2783</v>
      </c>
      <c r="I93" s="62" t="s">
        <v>2784</v>
      </c>
      <c r="J93" s="62" t="s">
        <v>269</v>
      </c>
    </row>
    <row r="94" spans="1:10" ht="15" x14ac:dyDescent="0.25">
      <c r="A94" s="40">
        <v>90</v>
      </c>
      <c r="B94" s="62" t="s">
        <v>2785</v>
      </c>
      <c r="C94" s="62" t="s">
        <v>135</v>
      </c>
      <c r="D94" s="62" t="s">
        <v>2288</v>
      </c>
      <c r="E94" s="62" t="s">
        <v>2289</v>
      </c>
      <c r="F94" s="62">
        <v>100</v>
      </c>
      <c r="G94" s="62">
        <v>104.77589999999999</v>
      </c>
      <c r="H94" s="62" t="s">
        <v>2786</v>
      </c>
      <c r="I94" s="62" t="s">
        <v>2787</v>
      </c>
      <c r="J94" s="62" t="s">
        <v>269</v>
      </c>
    </row>
    <row r="95" spans="1:10" ht="15" x14ac:dyDescent="0.25">
      <c r="A95" s="40">
        <v>91</v>
      </c>
      <c r="B95" s="62" t="s">
        <v>2788</v>
      </c>
      <c r="C95" s="62" t="s">
        <v>282</v>
      </c>
      <c r="D95" s="62" t="s">
        <v>2288</v>
      </c>
      <c r="E95" s="62" t="s">
        <v>2289</v>
      </c>
      <c r="F95" s="62">
        <v>100</v>
      </c>
      <c r="G95" s="62">
        <v>111.6863</v>
      </c>
      <c r="H95" s="62" t="s">
        <v>2789</v>
      </c>
      <c r="I95" s="62" t="s">
        <v>2617</v>
      </c>
      <c r="J95" s="62" t="s">
        <v>269</v>
      </c>
    </row>
    <row r="96" spans="1:10" ht="15" x14ac:dyDescent="0.25">
      <c r="A96" s="40">
        <v>92</v>
      </c>
      <c r="B96" s="62" t="s">
        <v>2790</v>
      </c>
      <c r="C96" s="62" t="s">
        <v>284</v>
      </c>
      <c r="D96" s="62" t="s">
        <v>2288</v>
      </c>
      <c r="E96" s="62" t="s">
        <v>2289</v>
      </c>
      <c r="F96" s="62">
        <v>100</v>
      </c>
      <c r="G96" s="62">
        <v>100.7236</v>
      </c>
      <c r="H96" s="62" t="s">
        <v>2531</v>
      </c>
      <c r="I96" s="62" t="s">
        <v>2791</v>
      </c>
      <c r="J96" s="62" t="s">
        <v>269</v>
      </c>
    </row>
    <row r="97" spans="1:10" ht="15" x14ac:dyDescent="0.25">
      <c r="A97" s="40">
        <v>93</v>
      </c>
      <c r="B97" s="62" t="s">
        <v>2792</v>
      </c>
      <c r="C97" s="62" t="s">
        <v>286</v>
      </c>
      <c r="D97" s="62" t="s">
        <v>2288</v>
      </c>
      <c r="E97" s="62" t="s">
        <v>2289</v>
      </c>
      <c r="F97" s="62">
        <v>100</v>
      </c>
      <c r="G97" s="62">
        <v>107.2723</v>
      </c>
      <c r="H97" s="62" t="s">
        <v>2562</v>
      </c>
      <c r="I97" s="62" t="s">
        <v>2793</v>
      </c>
      <c r="J97" s="62" t="s">
        <v>269</v>
      </c>
    </row>
    <row r="98" spans="1:10" ht="15" x14ac:dyDescent="0.25">
      <c r="A98" s="40">
        <v>94</v>
      </c>
      <c r="B98" s="62" t="s">
        <v>2794</v>
      </c>
      <c r="C98" s="62" t="s">
        <v>288</v>
      </c>
      <c r="D98" s="62" t="s">
        <v>2288</v>
      </c>
      <c r="E98" s="62" t="s">
        <v>2289</v>
      </c>
      <c r="F98" s="62">
        <v>100</v>
      </c>
      <c r="G98" s="62">
        <v>101.8814</v>
      </c>
      <c r="H98" s="62" t="s">
        <v>2795</v>
      </c>
      <c r="I98" s="62" t="s">
        <v>2796</v>
      </c>
      <c r="J98" s="62" t="s">
        <v>269</v>
      </c>
    </row>
    <row r="99" spans="1:10" ht="15" x14ac:dyDescent="0.25">
      <c r="A99" s="40">
        <v>95</v>
      </c>
      <c r="B99" s="62" t="s">
        <v>2797</v>
      </c>
      <c r="C99" s="62" t="s">
        <v>290</v>
      </c>
      <c r="D99" s="62" t="s">
        <v>2288</v>
      </c>
      <c r="E99" s="62" t="s">
        <v>2289</v>
      </c>
      <c r="F99" s="62">
        <v>100</v>
      </c>
      <c r="G99" s="62">
        <v>112.73560000000001</v>
      </c>
      <c r="H99" s="62" t="s">
        <v>2798</v>
      </c>
      <c r="I99" s="62" t="s">
        <v>2799</v>
      </c>
      <c r="J99" s="62" t="s">
        <v>269</v>
      </c>
    </row>
    <row r="100" spans="1:10" ht="15" x14ac:dyDescent="0.25">
      <c r="A100" s="40">
        <v>96</v>
      </c>
      <c r="B100" s="62" t="s">
        <v>2800</v>
      </c>
      <c r="C100" s="62" t="s">
        <v>292</v>
      </c>
      <c r="D100" s="62" t="s">
        <v>2288</v>
      </c>
      <c r="E100" s="62" t="s">
        <v>2289</v>
      </c>
      <c r="F100" s="62">
        <v>100</v>
      </c>
      <c r="G100" s="62">
        <v>111.1842</v>
      </c>
      <c r="H100" s="62" t="s">
        <v>2526</v>
      </c>
      <c r="I100" s="62" t="s">
        <v>2620</v>
      </c>
      <c r="J100" s="62" t="s">
        <v>269</v>
      </c>
    </row>
    <row r="101" spans="1:10" ht="15" x14ac:dyDescent="0.25">
      <c r="A101" s="40">
        <v>97</v>
      </c>
      <c r="B101" s="62" t="s">
        <v>2801</v>
      </c>
      <c r="C101" s="62" t="s">
        <v>294</v>
      </c>
      <c r="D101" s="62" t="s">
        <v>2288</v>
      </c>
      <c r="E101" s="62" t="s">
        <v>2289</v>
      </c>
      <c r="F101" s="62">
        <v>100</v>
      </c>
      <c r="G101" s="62">
        <v>112.6994</v>
      </c>
      <c r="H101" s="62" t="s">
        <v>2798</v>
      </c>
      <c r="I101" s="62" t="s">
        <v>2802</v>
      </c>
      <c r="J101" s="62" t="s">
        <v>269</v>
      </c>
    </row>
    <row r="102" spans="1:10" ht="15" x14ac:dyDescent="0.25">
      <c r="A102" s="40">
        <v>98</v>
      </c>
      <c r="B102" s="62" t="s">
        <v>2803</v>
      </c>
      <c r="C102" s="62" t="s">
        <v>296</v>
      </c>
      <c r="D102" s="62" t="s">
        <v>2288</v>
      </c>
      <c r="E102" s="62" t="s">
        <v>2289</v>
      </c>
      <c r="F102" s="62">
        <v>100</v>
      </c>
      <c r="G102" s="62">
        <v>105.13760000000001</v>
      </c>
      <c r="H102" s="62" t="s">
        <v>2804</v>
      </c>
      <c r="I102" s="62" t="s">
        <v>2805</v>
      </c>
      <c r="J102" s="62" t="s">
        <v>269</v>
      </c>
    </row>
    <row r="103" spans="1:10" ht="15" x14ac:dyDescent="0.25">
      <c r="A103" s="40">
        <v>99</v>
      </c>
      <c r="B103" s="62" t="s">
        <v>2806</v>
      </c>
      <c r="C103" s="62" t="s">
        <v>298</v>
      </c>
      <c r="D103" s="62" t="s">
        <v>2288</v>
      </c>
      <c r="E103" s="62" t="s">
        <v>2289</v>
      </c>
      <c r="F103" s="62">
        <v>100</v>
      </c>
      <c r="G103" s="62">
        <v>108.5976</v>
      </c>
      <c r="H103" s="62" t="s">
        <v>2527</v>
      </c>
      <c r="I103" s="62" t="s">
        <v>2807</v>
      </c>
      <c r="J103" s="62" t="s">
        <v>269</v>
      </c>
    </row>
    <row r="104" spans="1:10" ht="15" x14ac:dyDescent="0.25">
      <c r="A104" s="40">
        <v>100</v>
      </c>
      <c r="B104" s="62" t="s">
        <v>2808</v>
      </c>
      <c r="C104" s="62" t="s">
        <v>300</v>
      </c>
      <c r="D104" s="62" t="s">
        <v>2288</v>
      </c>
      <c r="E104" s="62" t="s">
        <v>2289</v>
      </c>
      <c r="F104" s="62">
        <v>100</v>
      </c>
      <c r="G104" s="62">
        <v>105.13760000000001</v>
      </c>
      <c r="H104" s="62" t="s">
        <v>2804</v>
      </c>
      <c r="I104" s="62" t="s">
        <v>2805</v>
      </c>
      <c r="J104" s="62" t="s">
        <v>269</v>
      </c>
    </row>
    <row r="105" spans="1:10" ht="15" x14ac:dyDescent="0.25">
      <c r="A105" s="40">
        <v>101</v>
      </c>
      <c r="B105" s="62" t="s">
        <v>2809</v>
      </c>
      <c r="C105" s="62" t="s">
        <v>302</v>
      </c>
      <c r="D105" s="62" t="s">
        <v>2288</v>
      </c>
      <c r="E105" s="62" t="s">
        <v>2289</v>
      </c>
      <c r="F105" s="62">
        <v>100</v>
      </c>
      <c r="G105" s="62">
        <v>102.8944</v>
      </c>
      <c r="H105" s="62" t="s">
        <v>2810</v>
      </c>
      <c r="I105" s="62" t="s">
        <v>2811</v>
      </c>
      <c r="J105" s="62" t="s">
        <v>269</v>
      </c>
    </row>
    <row r="106" spans="1:10" ht="15" x14ac:dyDescent="0.25">
      <c r="A106" s="40">
        <v>102</v>
      </c>
      <c r="B106" s="62" t="s">
        <v>2812</v>
      </c>
      <c r="C106" s="62" t="s">
        <v>304</v>
      </c>
      <c r="D106" s="62" t="s">
        <v>2288</v>
      </c>
      <c r="E106" s="62" t="s">
        <v>2289</v>
      </c>
      <c r="F106" s="62">
        <v>100</v>
      </c>
      <c r="G106" s="62">
        <v>106.18689999999999</v>
      </c>
      <c r="H106" s="62" t="s">
        <v>2528</v>
      </c>
      <c r="I106" s="62" t="s">
        <v>2813</v>
      </c>
      <c r="J106" s="62" t="s">
        <v>269</v>
      </c>
    </row>
    <row r="107" spans="1:10" ht="15" x14ac:dyDescent="0.25">
      <c r="A107" s="40">
        <v>103</v>
      </c>
      <c r="B107" s="62" t="s">
        <v>2814</v>
      </c>
      <c r="C107" s="62" t="s">
        <v>306</v>
      </c>
      <c r="D107" s="62" t="s">
        <v>2288</v>
      </c>
      <c r="E107" s="62" t="s">
        <v>2289</v>
      </c>
      <c r="F107" s="62">
        <v>100</v>
      </c>
      <c r="G107" s="62">
        <v>102.9306</v>
      </c>
      <c r="H107" s="62" t="s">
        <v>2532</v>
      </c>
      <c r="I107" s="62" t="s">
        <v>2815</v>
      </c>
      <c r="J107" s="62" t="s">
        <v>269</v>
      </c>
    </row>
    <row r="108" spans="1:10" ht="15" x14ac:dyDescent="0.25">
      <c r="A108" s="40">
        <v>104</v>
      </c>
      <c r="B108" s="62" t="s">
        <v>2816</v>
      </c>
      <c r="C108" s="62" t="s">
        <v>308</v>
      </c>
      <c r="D108" s="62" t="s">
        <v>2288</v>
      </c>
      <c r="E108" s="62" t="s">
        <v>2289</v>
      </c>
      <c r="F108" s="62">
        <v>100</v>
      </c>
      <c r="G108" s="62">
        <v>108.3939</v>
      </c>
      <c r="H108" s="62" t="s">
        <v>2529</v>
      </c>
      <c r="I108" s="62" t="s">
        <v>2817</v>
      </c>
      <c r="J108" s="62" t="s">
        <v>269</v>
      </c>
    </row>
    <row r="109" spans="1:10" ht="15" x14ac:dyDescent="0.25">
      <c r="A109" s="40">
        <v>105</v>
      </c>
      <c r="B109" s="62" t="s">
        <v>2818</v>
      </c>
      <c r="C109" s="62" t="s">
        <v>310</v>
      </c>
      <c r="D109" s="62" t="s">
        <v>2288</v>
      </c>
      <c r="E109" s="62" t="s">
        <v>2289</v>
      </c>
      <c r="F109" s="62">
        <v>100</v>
      </c>
      <c r="G109" s="62">
        <v>104.0522</v>
      </c>
      <c r="H109" s="62" t="s">
        <v>2530</v>
      </c>
      <c r="I109" s="62" t="s">
        <v>2819</v>
      </c>
      <c r="J109" s="62" t="s">
        <v>269</v>
      </c>
    </row>
    <row r="110" spans="1:10" ht="15" x14ac:dyDescent="0.25">
      <c r="A110" s="40">
        <v>106</v>
      </c>
      <c r="B110" s="62" t="s">
        <v>2820</v>
      </c>
      <c r="C110" s="62" t="s">
        <v>312</v>
      </c>
      <c r="D110" s="62" t="s">
        <v>2288</v>
      </c>
      <c r="E110" s="62" t="s">
        <v>2289</v>
      </c>
      <c r="F110" s="62">
        <v>100</v>
      </c>
      <c r="G110" s="62">
        <v>104.01600000000001</v>
      </c>
      <c r="H110" s="62" t="s">
        <v>2525</v>
      </c>
      <c r="I110" s="62" t="s">
        <v>2597</v>
      </c>
      <c r="J110" s="62" t="s">
        <v>269</v>
      </c>
    </row>
    <row r="111" spans="1:10" ht="15" x14ac:dyDescent="0.25">
      <c r="A111" s="40">
        <v>107</v>
      </c>
      <c r="B111" s="62" t="s">
        <v>2821</v>
      </c>
      <c r="C111" s="62" t="s">
        <v>314</v>
      </c>
      <c r="D111" s="62" t="s">
        <v>2288</v>
      </c>
      <c r="E111" s="62" t="s">
        <v>2289</v>
      </c>
      <c r="F111" s="62">
        <v>100</v>
      </c>
      <c r="G111" s="62">
        <v>111.7225</v>
      </c>
      <c r="H111" s="62" t="s">
        <v>2531</v>
      </c>
      <c r="I111" s="62" t="s">
        <v>2822</v>
      </c>
      <c r="J111" s="62" t="s">
        <v>269</v>
      </c>
    </row>
    <row r="112" spans="1:10" ht="15" x14ac:dyDescent="0.25">
      <c r="A112" s="40">
        <v>108</v>
      </c>
      <c r="B112" s="62" t="s">
        <v>2823</v>
      </c>
      <c r="C112" s="62" t="s">
        <v>316</v>
      </c>
      <c r="D112" s="62" t="s">
        <v>2288</v>
      </c>
      <c r="E112" s="62" t="s">
        <v>2289</v>
      </c>
      <c r="F112" s="62">
        <v>100</v>
      </c>
      <c r="G112" s="62">
        <v>108.50239999999999</v>
      </c>
      <c r="H112" s="62" t="s">
        <v>2532</v>
      </c>
      <c r="I112" s="62" t="s">
        <v>2824</v>
      </c>
      <c r="J112" s="62" t="s">
        <v>269</v>
      </c>
    </row>
    <row r="113" spans="1:10" ht="15" x14ac:dyDescent="0.25">
      <c r="A113" s="40">
        <v>109</v>
      </c>
      <c r="B113" s="62" t="s">
        <v>2825</v>
      </c>
      <c r="C113" s="62" t="s">
        <v>318</v>
      </c>
      <c r="D113" s="62" t="s">
        <v>2288</v>
      </c>
      <c r="E113" s="62" t="s">
        <v>2289</v>
      </c>
      <c r="F113" s="62">
        <v>100</v>
      </c>
      <c r="G113" s="62">
        <v>101.91759999999999</v>
      </c>
      <c r="H113" s="62" t="s">
        <v>2524</v>
      </c>
      <c r="I113" s="62" t="s">
        <v>2826</v>
      </c>
      <c r="J113" s="62" t="s">
        <v>269</v>
      </c>
    </row>
    <row r="114" spans="1:10" ht="15" x14ac:dyDescent="0.25">
      <c r="A114" s="40">
        <v>110</v>
      </c>
      <c r="B114" s="62" t="s">
        <v>2827</v>
      </c>
      <c r="C114" s="62" t="s">
        <v>320</v>
      </c>
      <c r="D114" s="62" t="s">
        <v>2288</v>
      </c>
      <c r="E114" s="62" t="s">
        <v>2289</v>
      </c>
      <c r="F114" s="62">
        <v>100</v>
      </c>
      <c r="G114" s="62">
        <v>105.06529999999999</v>
      </c>
      <c r="H114" s="62" t="s">
        <v>2530</v>
      </c>
      <c r="I114" s="62" t="s">
        <v>2828</v>
      </c>
      <c r="J114" s="62" t="s">
        <v>269</v>
      </c>
    </row>
    <row r="115" spans="1:10" ht="15" x14ac:dyDescent="0.25">
      <c r="A115" s="40">
        <v>111</v>
      </c>
      <c r="B115" s="62" t="s">
        <v>2829</v>
      </c>
      <c r="C115" s="62" t="s">
        <v>322</v>
      </c>
      <c r="D115" s="62" t="s">
        <v>2288</v>
      </c>
      <c r="E115" s="62" t="s">
        <v>2289</v>
      </c>
      <c r="F115" s="62">
        <v>100</v>
      </c>
      <c r="G115" s="62">
        <v>101.91759999999999</v>
      </c>
      <c r="H115" s="62" t="s">
        <v>2531</v>
      </c>
      <c r="I115" s="62" t="s">
        <v>2830</v>
      </c>
      <c r="J115" s="62" t="s">
        <v>269</v>
      </c>
    </row>
    <row r="116" spans="1:10" ht="15" x14ac:dyDescent="0.25">
      <c r="A116" s="40">
        <v>112</v>
      </c>
      <c r="B116" s="62" t="s">
        <v>2831</v>
      </c>
      <c r="C116" s="62" t="s">
        <v>324</v>
      </c>
      <c r="D116" s="62" t="s">
        <v>2288</v>
      </c>
      <c r="E116" s="62" t="s">
        <v>2289</v>
      </c>
      <c r="F116" s="62">
        <v>100</v>
      </c>
      <c r="G116" s="62">
        <v>110.4924</v>
      </c>
      <c r="H116" s="62" t="s">
        <v>2531</v>
      </c>
      <c r="I116" s="62" t="s">
        <v>2832</v>
      </c>
      <c r="J116" s="62" t="s">
        <v>269</v>
      </c>
    </row>
    <row r="117" spans="1:10" ht="15" x14ac:dyDescent="0.25">
      <c r="A117" s="40">
        <v>113</v>
      </c>
      <c r="B117" s="62" t="s">
        <v>2833</v>
      </c>
      <c r="C117" s="62" t="s">
        <v>326</v>
      </c>
      <c r="D117" s="62" t="s">
        <v>2288</v>
      </c>
      <c r="E117" s="62" t="s">
        <v>2289</v>
      </c>
      <c r="F117" s="62">
        <v>100</v>
      </c>
      <c r="G117" s="62">
        <v>104.01600000000001</v>
      </c>
      <c r="H117" s="62" t="s">
        <v>2530</v>
      </c>
      <c r="I117" s="62" t="s">
        <v>2834</v>
      </c>
      <c r="J117" s="62" t="s">
        <v>269</v>
      </c>
    </row>
    <row r="118" spans="1:10" ht="15" x14ac:dyDescent="0.25">
      <c r="A118" s="40">
        <v>114</v>
      </c>
      <c r="B118" s="62" t="s">
        <v>2835</v>
      </c>
      <c r="C118" s="62" t="s">
        <v>328</v>
      </c>
      <c r="D118" s="62" t="s">
        <v>2288</v>
      </c>
      <c r="E118" s="62" t="s">
        <v>2289</v>
      </c>
      <c r="F118" s="62">
        <v>100</v>
      </c>
      <c r="G118" s="62">
        <v>109.47929999999999</v>
      </c>
      <c r="H118" s="62" t="s">
        <v>2531</v>
      </c>
      <c r="I118" s="62" t="s">
        <v>2836</v>
      </c>
      <c r="J118" s="62" t="s">
        <v>269</v>
      </c>
    </row>
    <row r="119" spans="1:10" ht="15" x14ac:dyDescent="0.25">
      <c r="A119" s="40">
        <v>115</v>
      </c>
      <c r="B119" s="62" t="s">
        <v>2837</v>
      </c>
      <c r="C119" s="62" t="s">
        <v>330</v>
      </c>
      <c r="D119" s="62" t="s">
        <v>2288</v>
      </c>
      <c r="E119" s="62" t="s">
        <v>2289</v>
      </c>
      <c r="F119" s="62">
        <v>100</v>
      </c>
      <c r="G119" s="62">
        <v>100.7598</v>
      </c>
      <c r="H119" s="62" t="s">
        <v>2616</v>
      </c>
      <c r="I119" s="62" t="s">
        <v>2838</v>
      </c>
      <c r="J119" s="62" t="s">
        <v>269</v>
      </c>
    </row>
    <row r="120" spans="1:10" ht="15" x14ac:dyDescent="0.25">
      <c r="A120" s="40">
        <v>116</v>
      </c>
      <c r="B120" s="62" t="s">
        <v>2839</v>
      </c>
      <c r="C120" s="62" t="s">
        <v>332</v>
      </c>
      <c r="D120" s="62" t="s">
        <v>2288</v>
      </c>
      <c r="E120" s="62" t="s">
        <v>2289</v>
      </c>
      <c r="F120" s="62">
        <v>100</v>
      </c>
      <c r="G120" s="62">
        <v>100.8322</v>
      </c>
      <c r="H120" s="62" t="s">
        <v>2616</v>
      </c>
      <c r="I120" s="62" t="s">
        <v>2840</v>
      </c>
      <c r="J120" s="62" t="s">
        <v>269</v>
      </c>
    </row>
    <row r="121" spans="1:10" ht="15" x14ac:dyDescent="0.25">
      <c r="A121" s="40">
        <v>117</v>
      </c>
      <c r="B121" s="62" t="s">
        <v>2841</v>
      </c>
      <c r="C121" s="62" t="s">
        <v>334</v>
      </c>
      <c r="D121" s="62" t="s">
        <v>2288</v>
      </c>
      <c r="E121" s="62" t="s">
        <v>2289</v>
      </c>
      <c r="F121" s="62">
        <v>100</v>
      </c>
      <c r="G121" s="62">
        <v>110.52849999999999</v>
      </c>
      <c r="H121" s="62" t="s">
        <v>2524</v>
      </c>
      <c r="I121" s="62" t="s">
        <v>2842</v>
      </c>
      <c r="J121" s="62" t="s">
        <v>269</v>
      </c>
    </row>
    <row r="122" spans="1:10" ht="15" x14ac:dyDescent="0.25">
      <c r="A122" s="40">
        <v>118</v>
      </c>
      <c r="B122" s="62" t="s">
        <v>2843</v>
      </c>
      <c r="C122" s="62" t="s">
        <v>137</v>
      </c>
      <c r="D122" s="62" t="s">
        <v>2288</v>
      </c>
      <c r="E122" s="62" t="s">
        <v>2289</v>
      </c>
      <c r="F122" s="62">
        <v>91.551100000000005</v>
      </c>
      <c r="G122" s="62">
        <v>95.913300000000007</v>
      </c>
      <c r="H122" s="62" t="s">
        <v>2844</v>
      </c>
      <c r="I122" s="62" t="s">
        <v>2599</v>
      </c>
      <c r="J122" s="62" t="s">
        <v>269</v>
      </c>
    </row>
    <row r="123" spans="1:10" ht="15" x14ac:dyDescent="0.25">
      <c r="A123" s="40">
        <v>119</v>
      </c>
      <c r="B123" s="62" t="s">
        <v>2845</v>
      </c>
      <c r="C123" s="62" t="s">
        <v>139</v>
      </c>
      <c r="D123" s="62" t="s">
        <v>2288</v>
      </c>
      <c r="E123" s="62" t="s">
        <v>2289</v>
      </c>
      <c r="F123" s="62">
        <v>95.883899999999997</v>
      </c>
      <c r="G123" s="62">
        <v>105.5314</v>
      </c>
      <c r="H123" s="62" t="s">
        <v>2846</v>
      </c>
      <c r="I123" s="62" t="s">
        <v>2847</v>
      </c>
      <c r="J123" s="62" t="s">
        <v>269</v>
      </c>
    </row>
    <row r="124" spans="1:10" ht="15" x14ac:dyDescent="0.25">
      <c r="A124" s="40">
        <v>120</v>
      </c>
      <c r="B124" s="62" t="s">
        <v>2848</v>
      </c>
      <c r="C124" s="62" t="s">
        <v>141</v>
      </c>
      <c r="D124" s="62" t="s">
        <v>2288</v>
      </c>
      <c r="E124" s="62" t="s">
        <v>2289</v>
      </c>
      <c r="F124" s="62">
        <v>85.3215</v>
      </c>
      <c r="G124" s="62">
        <v>92.754800000000003</v>
      </c>
      <c r="H124" s="62" t="s">
        <v>2563</v>
      </c>
      <c r="I124" s="62" t="s">
        <v>2849</v>
      </c>
      <c r="J124" s="62" t="s">
        <v>269</v>
      </c>
    </row>
    <row r="125" spans="1:10" ht="15" x14ac:dyDescent="0.25">
      <c r="A125" s="40">
        <v>121</v>
      </c>
      <c r="B125" s="62" t="s">
        <v>2850</v>
      </c>
      <c r="C125" s="62" t="s">
        <v>6</v>
      </c>
      <c r="D125" s="62" t="s">
        <v>2288</v>
      </c>
      <c r="E125" s="62" t="s">
        <v>2289</v>
      </c>
      <c r="F125" s="62">
        <v>87.546700000000001</v>
      </c>
      <c r="G125" s="62">
        <v>92.977800000000002</v>
      </c>
      <c r="H125" s="62" t="s">
        <v>2851</v>
      </c>
      <c r="I125" s="62" t="s">
        <v>2586</v>
      </c>
      <c r="J125" s="62" t="s">
        <v>269</v>
      </c>
    </row>
    <row r="126" spans="1:10" ht="15" x14ac:dyDescent="0.25">
      <c r="A126" s="40">
        <v>122</v>
      </c>
      <c r="B126" s="62" t="s">
        <v>2852</v>
      </c>
      <c r="C126" s="62" t="s">
        <v>144</v>
      </c>
      <c r="D126" s="62" t="s">
        <v>2288</v>
      </c>
      <c r="E126" s="62" t="s">
        <v>2289</v>
      </c>
      <c r="F126" s="62">
        <v>83.0989</v>
      </c>
      <c r="G126" s="62">
        <v>91.032200000000003</v>
      </c>
      <c r="H126" s="62" t="s">
        <v>2565</v>
      </c>
      <c r="I126" s="62" t="s">
        <v>2853</v>
      </c>
      <c r="J126" s="62" t="s">
        <v>269</v>
      </c>
    </row>
    <row r="127" spans="1:10" ht="15" x14ac:dyDescent="0.25">
      <c r="A127" s="40">
        <v>123</v>
      </c>
      <c r="B127" s="62" t="s">
        <v>2854</v>
      </c>
      <c r="C127" s="62" t="s">
        <v>2014</v>
      </c>
      <c r="D127" s="62" t="s">
        <v>2288</v>
      </c>
      <c r="E127" s="62" t="s">
        <v>2289</v>
      </c>
      <c r="F127" s="62">
        <v>90.8</v>
      </c>
      <c r="G127" s="62">
        <v>99.884399999999999</v>
      </c>
      <c r="H127" s="62" t="s">
        <v>2565</v>
      </c>
      <c r="I127" s="62" t="s">
        <v>2855</v>
      </c>
      <c r="J127" s="62" t="s">
        <v>269</v>
      </c>
    </row>
    <row r="128" spans="1:10" ht="15" x14ac:dyDescent="0.25">
      <c r="A128" s="40">
        <v>124</v>
      </c>
      <c r="B128" s="62" t="s">
        <v>2856</v>
      </c>
      <c r="C128" s="62" t="s">
        <v>146</v>
      </c>
      <c r="D128" s="62" t="s">
        <v>2288</v>
      </c>
      <c r="E128" s="62" t="s">
        <v>2289</v>
      </c>
      <c r="F128" s="62">
        <v>85.716800000000006</v>
      </c>
      <c r="G128" s="62">
        <v>95.983199999999997</v>
      </c>
      <c r="H128" s="62" t="s">
        <v>2846</v>
      </c>
      <c r="I128" s="62" t="s">
        <v>2857</v>
      </c>
      <c r="J128" s="62" t="s">
        <v>269</v>
      </c>
    </row>
    <row r="129" spans="1:10" ht="15" x14ac:dyDescent="0.25">
      <c r="A129" s="40">
        <v>125</v>
      </c>
      <c r="B129" s="62" t="s">
        <v>2858</v>
      </c>
      <c r="C129" s="62" t="s">
        <v>8</v>
      </c>
      <c r="D129" s="62" t="s">
        <v>2288</v>
      </c>
      <c r="E129" s="62" t="s">
        <v>2289</v>
      </c>
      <c r="F129" s="62">
        <v>83.111000000000004</v>
      </c>
      <c r="G129" s="62">
        <v>85.514099999999999</v>
      </c>
      <c r="H129" s="62" t="s">
        <v>2859</v>
      </c>
      <c r="I129" s="62" t="s">
        <v>2860</v>
      </c>
      <c r="J129" s="62" t="s">
        <v>269</v>
      </c>
    </row>
    <row r="130" spans="1:10" ht="15" x14ac:dyDescent="0.25">
      <c r="A130" s="40">
        <v>126</v>
      </c>
      <c r="B130" s="62" t="s">
        <v>2861</v>
      </c>
      <c r="C130" s="62" t="s">
        <v>149</v>
      </c>
      <c r="D130" s="62" t="s">
        <v>2288</v>
      </c>
      <c r="E130" s="62" t="s">
        <v>2289</v>
      </c>
      <c r="F130" s="62">
        <v>82.604799999999997</v>
      </c>
      <c r="G130" s="62">
        <v>90.427000000000007</v>
      </c>
      <c r="H130" s="62" t="s">
        <v>2564</v>
      </c>
      <c r="I130" s="62" t="s">
        <v>2862</v>
      </c>
      <c r="J130" s="62" t="s">
        <v>269</v>
      </c>
    </row>
    <row r="131" spans="1:10" ht="15" x14ac:dyDescent="0.25">
      <c r="A131" s="40">
        <v>127</v>
      </c>
      <c r="B131" s="62" t="s">
        <v>2863</v>
      </c>
      <c r="C131" s="62" t="s">
        <v>151</v>
      </c>
      <c r="D131" s="62" t="s">
        <v>2288</v>
      </c>
      <c r="E131" s="62" t="s">
        <v>2289</v>
      </c>
      <c r="F131" s="62">
        <v>89.533199999999994</v>
      </c>
      <c r="G131" s="62">
        <v>95.677599999999998</v>
      </c>
      <c r="H131" s="62" t="s">
        <v>2619</v>
      </c>
      <c r="I131" s="62" t="s">
        <v>2864</v>
      </c>
      <c r="J131" s="62" t="s">
        <v>269</v>
      </c>
    </row>
    <row r="132" spans="1:10" ht="15" x14ac:dyDescent="0.25">
      <c r="A132" s="40">
        <v>128</v>
      </c>
      <c r="B132" s="62" t="s">
        <v>2865</v>
      </c>
      <c r="C132" s="62" t="s">
        <v>2176</v>
      </c>
      <c r="D132" s="62" t="s">
        <v>2288</v>
      </c>
      <c r="E132" s="62" t="s">
        <v>2289</v>
      </c>
      <c r="F132" s="62">
        <v>89.149699999999996</v>
      </c>
      <c r="G132" s="62">
        <v>94.5685</v>
      </c>
      <c r="H132" s="62" t="s">
        <v>2533</v>
      </c>
      <c r="I132" s="62" t="s">
        <v>2866</v>
      </c>
      <c r="J132" s="62" t="s">
        <v>269</v>
      </c>
    </row>
    <row r="133" spans="1:10" ht="15" x14ac:dyDescent="0.25">
      <c r="A133" s="40">
        <v>129</v>
      </c>
      <c r="B133" s="62" t="s">
        <v>2867</v>
      </c>
      <c r="C133" s="62" t="s">
        <v>153</v>
      </c>
      <c r="D133" s="62" t="s">
        <v>2288</v>
      </c>
      <c r="E133" s="62" t="s">
        <v>2289</v>
      </c>
      <c r="F133" s="62">
        <v>95.1203</v>
      </c>
      <c r="G133" s="62">
        <v>97.825000000000003</v>
      </c>
      <c r="H133" s="62" t="s">
        <v>2868</v>
      </c>
      <c r="I133" s="62" t="s">
        <v>2869</v>
      </c>
      <c r="J133" s="62" t="s">
        <v>269</v>
      </c>
    </row>
    <row r="134" spans="1:10" ht="15" x14ac:dyDescent="0.25">
      <c r="A134" s="40">
        <v>130</v>
      </c>
      <c r="B134" s="62" t="s">
        <v>2870</v>
      </c>
      <c r="C134" s="62" t="s">
        <v>7</v>
      </c>
      <c r="D134" s="62" t="s">
        <v>2288</v>
      </c>
      <c r="E134" s="62" t="s">
        <v>2289</v>
      </c>
      <c r="F134" s="62">
        <v>85.257800000000003</v>
      </c>
      <c r="G134" s="62">
        <v>91.368899999999996</v>
      </c>
      <c r="H134" s="62" t="s">
        <v>2561</v>
      </c>
      <c r="I134" s="62" t="s">
        <v>2871</v>
      </c>
      <c r="J134" s="62" t="s">
        <v>269</v>
      </c>
    </row>
    <row r="135" spans="1:10" ht="15" x14ac:dyDescent="0.25">
      <c r="A135" s="40">
        <v>131</v>
      </c>
      <c r="B135" s="62" t="s">
        <v>2872</v>
      </c>
      <c r="C135" s="62" t="s">
        <v>156</v>
      </c>
      <c r="D135" s="62" t="s">
        <v>2288</v>
      </c>
      <c r="E135" s="62" t="s">
        <v>2289</v>
      </c>
      <c r="F135" s="62">
        <v>88.350999999999999</v>
      </c>
      <c r="G135" s="62">
        <v>94.223200000000006</v>
      </c>
      <c r="H135" s="62" t="s">
        <v>2565</v>
      </c>
      <c r="I135" s="62" t="s">
        <v>2873</v>
      </c>
      <c r="J135" s="62" t="s">
        <v>269</v>
      </c>
    </row>
    <row r="136" spans="1:10" ht="15" x14ac:dyDescent="0.25">
      <c r="A136" s="40">
        <v>132</v>
      </c>
      <c r="B136" s="62" t="s">
        <v>2874</v>
      </c>
      <c r="C136" s="62" t="s">
        <v>2016</v>
      </c>
      <c r="D136" s="62" t="s">
        <v>2288</v>
      </c>
      <c r="E136" s="62" t="s">
        <v>2289</v>
      </c>
      <c r="F136" s="62">
        <v>88.839799999999997</v>
      </c>
      <c r="G136" s="62">
        <v>97.861999999999995</v>
      </c>
      <c r="H136" s="62" t="s">
        <v>2533</v>
      </c>
      <c r="I136" s="62" t="s">
        <v>2875</v>
      </c>
      <c r="J136" s="62" t="s">
        <v>269</v>
      </c>
    </row>
    <row r="137" spans="1:10" ht="15" x14ac:dyDescent="0.25">
      <c r="A137" s="40">
        <v>133</v>
      </c>
      <c r="B137" s="62" t="s">
        <v>2876</v>
      </c>
      <c r="C137" s="62" t="s">
        <v>158</v>
      </c>
      <c r="D137" s="62" t="s">
        <v>2288</v>
      </c>
      <c r="E137" s="62" t="s">
        <v>2289</v>
      </c>
      <c r="F137" s="62">
        <v>90.932100000000005</v>
      </c>
      <c r="G137" s="62">
        <v>96.5321</v>
      </c>
      <c r="H137" s="62" t="s">
        <v>2877</v>
      </c>
      <c r="I137" s="62" t="s">
        <v>2878</v>
      </c>
      <c r="J137" s="62" t="s">
        <v>269</v>
      </c>
    </row>
    <row r="138" spans="1:10" ht="15" x14ac:dyDescent="0.25">
      <c r="A138" s="40">
        <v>134</v>
      </c>
      <c r="B138" s="62" t="s">
        <v>2879</v>
      </c>
      <c r="C138" s="62" t="s">
        <v>160</v>
      </c>
      <c r="D138" s="62" t="s">
        <v>2288</v>
      </c>
      <c r="E138" s="62" t="s">
        <v>2289</v>
      </c>
      <c r="F138" s="62">
        <v>89.085599999999999</v>
      </c>
      <c r="G138" s="62">
        <v>91.760599999999997</v>
      </c>
      <c r="H138" s="62" t="s">
        <v>2868</v>
      </c>
      <c r="I138" s="62" t="s">
        <v>2704</v>
      </c>
      <c r="J138" s="62" t="s">
        <v>269</v>
      </c>
    </row>
    <row r="139" spans="1:10" ht="15" x14ac:dyDescent="0.25">
      <c r="A139" s="40">
        <v>135</v>
      </c>
      <c r="B139" s="62" t="s">
        <v>2880</v>
      </c>
      <c r="C139" s="62" t="s">
        <v>9</v>
      </c>
      <c r="D139" s="62" t="s">
        <v>2288</v>
      </c>
      <c r="E139" s="62" t="s">
        <v>2289</v>
      </c>
      <c r="F139" s="62">
        <v>77.3249</v>
      </c>
      <c r="G139" s="62">
        <v>83.4191</v>
      </c>
      <c r="H139" s="62" t="s">
        <v>2564</v>
      </c>
      <c r="I139" s="62" t="s">
        <v>2881</v>
      </c>
      <c r="J139" s="62" t="s">
        <v>269</v>
      </c>
    </row>
    <row r="140" spans="1:10" ht="15" x14ac:dyDescent="0.25">
      <c r="A140" s="40">
        <v>136</v>
      </c>
      <c r="B140" s="62" t="s">
        <v>2882</v>
      </c>
      <c r="C140" s="62" t="s">
        <v>1989</v>
      </c>
      <c r="D140" s="62" t="s">
        <v>2288</v>
      </c>
      <c r="E140" s="62" t="s">
        <v>2289</v>
      </c>
      <c r="F140" s="62">
        <v>85.931899999999999</v>
      </c>
      <c r="G140" s="62">
        <v>95.537499999999994</v>
      </c>
      <c r="H140" s="62" t="s">
        <v>2534</v>
      </c>
      <c r="I140" s="62" t="s">
        <v>2883</v>
      </c>
      <c r="J140" s="62" t="s">
        <v>269</v>
      </c>
    </row>
    <row r="141" spans="1:10" ht="15" x14ac:dyDescent="0.25">
      <c r="A141" s="40">
        <v>137</v>
      </c>
      <c r="B141" s="62" t="s">
        <v>2884</v>
      </c>
      <c r="C141" s="62" t="s">
        <v>11</v>
      </c>
      <c r="D141" s="62" t="s">
        <v>2288</v>
      </c>
      <c r="E141" s="62" t="s">
        <v>2289</v>
      </c>
      <c r="F141" s="62">
        <v>75.357399999999998</v>
      </c>
      <c r="G141" s="62">
        <v>77.842399999999998</v>
      </c>
      <c r="H141" s="62" t="s">
        <v>2536</v>
      </c>
      <c r="I141" s="62" t="s">
        <v>2885</v>
      </c>
      <c r="J141" s="62" t="s">
        <v>269</v>
      </c>
    </row>
    <row r="142" spans="1:10" ht="15" x14ac:dyDescent="0.25">
      <c r="A142" s="40">
        <v>138</v>
      </c>
      <c r="B142" s="62" t="s">
        <v>2886</v>
      </c>
      <c r="C142" s="62" t="s">
        <v>164</v>
      </c>
      <c r="D142" s="62" t="s">
        <v>2288</v>
      </c>
      <c r="E142" s="62" t="s">
        <v>2289</v>
      </c>
      <c r="F142" s="62">
        <v>73.470799999999997</v>
      </c>
      <c r="G142" s="62">
        <v>75.163399999999996</v>
      </c>
      <c r="H142" s="62" t="s">
        <v>2537</v>
      </c>
      <c r="I142" s="62" t="s">
        <v>2887</v>
      </c>
      <c r="J142" s="62" t="s">
        <v>269</v>
      </c>
    </row>
    <row r="143" spans="1:10" ht="15" x14ac:dyDescent="0.25">
      <c r="A143" s="40">
        <v>139</v>
      </c>
      <c r="B143" s="62" t="s">
        <v>2888</v>
      </c>
      <c r="C143" s="62" t="s">
        <v>166</v>
      </c>
      <c r="D143" s="62" t="s">
        <v>2288</v>
      </c>
      <c r="E143" s="62" t="s">
        <v>2289</v>
      </c>
      <c r="F143" s="62">
        <v>87.22</v>
      </c>
      <c r="G143" s="62">
        <v>89.71</v>
      </c>
      <c r="H143" s="62" t="s">
        <v>2868</v>
      </c>
      <c r="I143" s="62" t="s">
        <v>2889</v>
      </c>
      <c r="J143" s="62" t="s">
        <v>269</v>
      </c>
    </row>
    <row r="144" spans="1:10" ht="15" x14ac:dyDescent="0.25">
      <c r="A144" s="40">
        <v>140</v>
      </c>
      <c r="B144" s="62" t="s">
        <v>2890</v>
      </c>
      <c r="C144" s="62" t="s">
        <v>168</v>
      </c>
      <c r="D144" s="62" t="s">
        <v>2288</v>
      </c>
      <c r="E144" s="62" t="s">
        <v>2289</v>
      </c>
      <c r="F144" s="62">
        <v>70.569999999999993</v>
      </c>
      <c r="G144" s="62">
        <v>74.321100000000001</v>
      </c>
      <c r="H144" s="62" t="s">
        <v>2566</v>
      </c>
      <c r="I144" s="62" t="s">
        <v>2891</v>
      </c>
      <c r="J144" s="62" t="s">
        <v>269</v>
      </c>
    </row>
    <row r="145" spans="1:10" ht="15" x14ac:dyDescent="0.25">
      <c r="A145" s="40">
        <v>141</v>
      </c>
      <c r="B145" s="62" t="s">
        <v>2892</v>
      </c>
      <c r="C145" s="62" t="s">
        <v>170</v>
      </c>
      <c r="D145" s="62" t="s">
        <v>2288</v>
      </c>
      <c r="E145" s="62" t="s">
        <v>2289</v>
      </c>
      <c r="F145" s="62">
        <v>70.090299999999999</v>
      </c>
      <c r="G145" s="62">
        <v>76.921300000000002</v>
      </c>
      <c r="H145" s="62" t="s">
        <v>2523</v>
      </c>
      <c r="I145" s="62" t="s">
        <v>2893</v>
      </c>
      <c r="J145" s="62" t="s">
        <v>269</v>
      </c>
    </row>
    <row r="146" spans="1:10" ht="15" x14ac:dyDescent="0.25">
      <c r="A146" s="40">
        <v>142</v>
      </c>
      <c r="B146" s="62" t="s">
        <v>2894</v>
      </c>
      <c r="C146" s="62" t="s">
        <v>2150</v>
      </c>
      <c r="D146" s="62" t="s">
        <v>2288</v>
      </c>
      <c r="E146" s="62" t="s">
        <v>2289</v>
      </c>
      <c r="F146" s="62">
        <v>84.734899999999996</v>
      </c>
      <c r="G146" s="62">
        <v>90.531599999999997</v>
      </c>
      <c r="H146" s="62" t="s">
        <v>2534</v>
      </c>
      <c r="I146" s="62" t="s">
        <v>2895</v>
      </c>
      <c r="J146" s="62" t="s">
        <v>269</v>
      </c>
    </row>
    <row r="147" spans="1:10" ht="15" x14ac:dyDescent="0.25">
      <c r="A147" s="40">
        <v>143</v>
      </c>
      <c r="B147" s="62" t="s">
        <v>2896</v>
      </c>
      <c r="C147" s="62" t="s">
        <v>172</v>
      </c>
      <c r="D147" s="62" t="s">
        <v>2288</v>
      </c>
      <c r="E147" s="62" t="s">
        <v>2289</v>
      </c>
      <c r="F147" s="62">
        <v>99.150099999999995</v>
      </c>
      <c r="G147" s="62">
        <v>103.789</v>
      </c>
      <c r="H147" s="62" t="s">
        <v>2897</v>
      </c>
      <c r="I147" s="62" t="s">
        <v>2621</v>
      </c>
      <c r="J147" s="62" t="s">
        <v>269</v>
      </c>
    </row>
    <row r="148" spans="1:10" ht="15" x14ac:dyDescent="0.25">
      <c r="A148" s="40">
        <v>144</v>
      </c>
      <c r="B148" s="62" t="s">
        <v>2898</v>
      </c>
      <c r="C148" s="62" t="s">
        <v>10</v>
      </c>
      <c r="D148" s="62" t="s">
        <v>2288</v>
      </c>
      <c r="E148" s="62" t="s">
        <v>2289</v>
      </c>
      <c r="F148" s="62">
        <v>67.637699999999995</v>
      </c>
      <c r="G148" s="62">
        <v>71.956599999999995</v>
      </c>
      <c r="H148" s="62" t="s">
        <v>2536</v>
      </c>
      <c r="I148" s="62" t="s">
        <v>2899</v>
      </c>
      <c r="J148" s="62" t="s">
        <v>269</v>
      </c>
    </row>
    <row r="149" spans="1:10" ht="15" x14ac:dyDescent="0.25">
      <c r="A149" s="40">
        <v>145</v>
      </c>
      <c r="B149" s="62" t="s">
        <v>2900</v>
      </c>
      <c r="C149" s="62" t="s">
        <v>175</v>
      </c>
      <c r="D149" s="62" t="s">
        <v>2288</v>
      </c>
      <c r="E149" s="62" t="s">
        <v>2289</v>
      </c>
      <c r="F149" s="62">
        <v>69.006100000000004</v>
      </c>
      <c r="G149" s="62">
        <v>75.27</v>
      </c>
      <c r="H149" s="62" t="s">
        <v>2523</v>
      </c>
      <c r="I149" s="62" t="s">
        <v>2901</v>
      </c>
      <c r="J149" s="62" t="s">
        <v>269</v>
      </c>
    </row>
    <row r="150" spans="1:10" ht="15" x14ac:dyDescent="0.25">
      <c r="A150" s="40">
        <v>146</v>
      </c>
      <c r="B150" s="62" t="s">
        <v>2902</v>
      </c>
      <c r="C150" s="62" t="s">
        <v>177</v>
      </c>
      <c r="D150" s="62" t="s">
        <v>2288</v>
      </c>
      <c r="E150" s="62" t="s">
        <v>2289</v>
      </c>
      <c r="F150" s="62">
        <v>98.953500000000005</v>
      </c>
      <c r="G150" s="62">
        <v>104.02460000000001</v>
      </c>
      <c r="H150" s="62" t="s">
        <v>2903</v>
      </c>
      <c r="I150" s="62" t="s">
        <v>2904</v>
      </c>
      <c r="J150" s="62" t="s">
        <v>269</v>
      </c>
    </row>
    <row r="151" spans="1:10" ht="15" x14ac:dyDescent="0.25">
      <c r="A151" s="40">
        <v>147</v>
      </c>
      <c r="B151" s="62" t="s">
        <v>2905</v>
      </c>
      <c r="C151" s="62" t="s">
        <v>179</v>
      </c>
      <c r="D151" s="62" t="s">
        <v>2288</v>
      </c>
      <c r="E151" s="62" t="s">
        <v>2289</v>
      </c>
      <c r="F151" s="62">
        <v>91.822500000000005</v>
      </c>
      <c r="G151" s="62">
        <v>92.7697</v>
      </c>
      <c r="H151" s="62" t="s">
        <v>2906</v>
      </c>
      <c r="I151" s="62" t="s">
        <v>2907</v>
      </c>
      <c r="J151" s="62" t="s">
        <v>269</v>
      </c>
    </row>
    <row r="152" spans="1:10" ht="15" x14ac:dyDescent="0.25">
      <c r="A152" s="40">
        <v>148</v>
      </c>
      <c r="B152" s="62" t="s">
        <v>2908</v>
      </c>
      <c r="C152" s="62" t="s">
        <v>181</v>
      </c>
      <c r="D152" s="62" t="s">
        <v>2288</v>
      </c>
      <c r="E152" s="62" t="s">
        <v>2289</v>
      </c>
      <c r="F152" s="62">
        <v>88.993600000000001</v>
      </c>
      <c r="G152" s="62">
        <v>93.535300000000007</v>
      </c>
      <c r="H152" s="62" t="s">
        <v>2909</v>
      </c>
      <c r="I152" s="62" t="s">
        <v>2910</v>
      </c>
      <c r="J152" s="62" t="s">
        <v>269</v>
      </c>
    </row>
    <row r="153" spans="1:10" ht="15" x14ac:dyDescent="0.25">
      <c r="A153" s="40">
        <v>149</v>
      </c>
      <c r="B153" s="62" t="s">
        <v>2911</v>
      </c>
      <c r="C153" s="62" t="s">
        <v>5</v>
      </c>
      <c r="D153" s="62" t="s">
        <v>2288</v>
      </c>
      <c r="E153" s="62" t="s">
        <v>2289</v>
      </c>
      <c r="F153" s="62">
        <v>86.486599999999996</v>
      </c>
      <c r="G153" s="62">
        <v>89.582400000000007</v>
      </c>
      <c r="H153" s="62" t="s">
        <v>2912</v>
      </c>
      <c r="I153" s="62" t="s">
        <v>2913</v>
      </c>
      <c r="J153" s="62" t="s">
        <v>269</v>
      </c>
    </row>
    <row r="154" spans="1:10" ht="15" x14ac:dyDescent="0.25">
      <c r="A154" s="40">
        <v>150</v>
      </c>
      <c r="B154" s="62" t="s">
        <v>2914</v>
      </c>
      <c r="C154" s="62" t="s">
        <v>184</v>
      </c>
      <c r="D154" s="62" t="s">
        <v>2288</v>
      </c>
      <c r="E154" s="62" t="s">
        <v>2289</v>
      </c>
      <c r="F154" s="62">
        <v>82.650599999999997</v>
      </c>
      <c r="G154" s="62">
        <v>83.138599999999997</v>
      </c>
      <c r="H154" s="62" t="s">
        <v>2915</v>
      </c>
      <c r="I154" s="62" t="s">
        <v>2631</v>
      </c>
      <c r="J154" s="62" t="s">
        <v>269</v>
      </c>
    </row>
    <row r="155" spans="1:10" ht="15" x14ac:dyDescent="0.25">
      <c r="A155" s="40">
        <v>151</v>
      </c>
      <c r="B155" s="62" t="s">
        <v>2916</v>
      </c>
      <c r="C155" s="62" t="s">
        <v>186</v>
      </c>
      <c r="D155" s="62" t="s">
        <v>2288</v>
      </c>
      <c r="E155" s="62" t="s">
        <v>2289</v>
      </c>
      <c r="F155" s="62">
        <v>83.531400000000005</v>
      </c>
      <c r="G155" s="62">
        <v>89.959199999999996</v>
      </c>
      <c r="H155" s="62" t="s">
        <v>2906</v>
      </c>
      <c r="I155" s="62" t="s">
        <v>2917</v>
      </c>
      <c r="J155" s="62" t="s">
        <v>269</v>
      </c>
    </row>
    <row r="156" spans="1:10" ht="15" x14ac:dyDescent="0.25">
      <c r="A156" s="40">
        <v>152</v>
      </c>
      <c r="B156" s="62" t="s">
        <v>2918</v>
      </c>
      <c r="C156" s="62" t="s">
        <v>188</v>
      </c>
      <c r="D156" s="62" t="s">
        <v>2288</v>
      </c>
      <c r="E156" s="62" t="s">
        <v>2289</v>
      </c>
      <c r="F156" s="62">
        <v>77.740799999999993</v>
      </c>
      <c r="G156" s="62">
        <v>83.957999999999998</v>
      </c>
      <c r="H156" s="62" t="s">
        <v>2561</v>
      </c>
      <c r="I156" s="62" t="s">
        <v>2919</v>
      </c>
      <c r="J156" s="62" t="s">
        <v>269</v>
      </c>
    </row>
    <row r="157" spans="1:10" ht="15" x14ac:dyDescent="0.25">
      <c r="A157" s="40">
        <v>153</v>
      </c>
      <c r="B157" s="62" t="s">
        <v>2920</v>
      </c>
      <c r="C157" s="62" t="s">
        <v>190</v>
      </c>
      <c r="D157" s="62" t="s">
        <v>2288</v>
      </c>
      <c r="E157" s="62" t="s">
        <v>2289</v>
      </c>
      <c r="F157" s="62">
        <v>75.371099999999998</v>
      </c>
      <c r="G157" s="62">
        <v>76.800399999999996</v>
      </c>
      <c r="H157" s="62" t="s">
        <v>2618</v>
      </c>
      <c r="I157" s="62" t="s">
        <v>2921</v>
      </c>
      <c r="J157" s="62" t="s">
        <v>269</v>
      </c>
    </row>
    <row r="158" spans="1:10" ht="15" x14ac:dyDescent="0.25">
      <c r="A158" s="40">
        <v>154</v>
      </c>
      <c r="B158" s="62" t="s">
        <v>2922</v>
      </c>
      <c r="C158" s="62" t="s">
        <v>192</v>
      </c>
      <c r="D158" s="62" t="s">
        <v>2288</v>
      </c>
      <c r="E158" s="62" t="s">
        <v>2289</v>
      </c>
      <c r="F158" s="62">
        <v>73.075299999999999</v>
      </c>
      <c r="G158" s="62">
        <v>78.536600000000007</v>
      </c>
      <c r="H158" s="62" t="s">
        <v>2564</v>
      </c>
      <c r="I158" s="62" t="s">
        <v>2862</v>
      </c>
      <c r="J158" s="62" t="s">
        <v>269</v>
      </c>
    </row>
    <row r="159" spans="1:10" ht="15" x14ac:dyDescent="0.25">
      <c r="A159" s="40">
        <v>155</v>
      </c>
      <c r="B159" s="62" t="s">
        <v>2923</v>
      </c>
      <c r="C159" s="62" t="s">
        <v>194</v>
      </c>
      <c r="D159" s="62" t="s">
        <v>2288</v>
      </c>
      <c r="E159" s="62" t="s">
        <v>2289</v>
      </c>
      <c r="F159" s="62">
        <v>65.866100000000003</v>
      </c>
      <c r="G159" s="62">
        <v>70.581000000000003</v>
      </c>
      <c r="H159" s="62" t="s">
        <v>2537</v>
      </c>
      <c r="I159" s="62" t="s">
        <v>2924</v>
      </c>
      <c r="J159" s="62" t="s">
        <v>269</v>
      </c>
    </row>
    <row r="160" spans="1:10" ht="15" x14ac:dyDescent="0.25">
      <c r="A160" s="40">
        <v>156</v>
      </c>
      <c r="B160" s="62" t="s">
        <v>2925</v>
      </c>
      <c r="C160" s="62" t="s">
        <v>196</v>
      </c>
      <c r="D160" s="62" t="s">
        <v>2288</v>
      </c>
      <c r="E160" s="62" t="s">
        <v>2289</v>
      </c>
      <c r="F160" s="62">
        <v>64.933599999999998</v>
      </c>
      <c r="G160" s="62">
        <v>69.093100000000007</v>
      </c>
      <c r="H160" s="62" t="s">
        <v>2537</v>
      </c>
      <c r="I160" s="62" t="s">
        <v>2926</v>
      </c>
      <c r="J160" s="62" t="s">
        <v>269</v>
      </c>
    </row>
    <row r="161" spans="1:10" ht="15" x14ac:dyDescent="0.25">
      <c r="A161" s="40">
        <v>157</v>
      </c>
      <c r="B161" s="62" t="s">
        <v>2927</v>
      </c>
      <c r="C161" s="62" t="s">
        <v>198</v>
      </c>
      <c r="D161" s="62" t="s">
        <v>2288</v>
      </c>
      <c r="E161" s="62" t="s">
        <v>2289</v>
      </c>
      <c r="F161" s="62">
        <v>69.702799999999996</v>
      </c>
      <c r="G161" s="62">
        <v>71.349699999999999</v>
      </c>
      <c r="H161" s="62" t="s">
        <v>2534</v>
      </c>
      <c r="I161" s="62" t="s">
        <v>2928</v>
      </c>
      <c r="J161" s="62" t="s">
        <v>269</v>
      </c>
    </row>
    <row r="162" spans="1:10" ht="15" x14ac:dyDescent="0.25">
      <c r="A162" s="40">
        <v>158</v>
      </c>
      <c r="B162" s="62" t="s">
        <v>2929</v>
      </c>
      <c r="C162" s="62" t="s">
        <v>200</v>
      </c>
      <c r="D162" s="62" t="s">
        <v>2288</v>
      </c>
      <c r="E162" s="62" t="s">
        <v>2289</v>
      </c>
      <c r="F162" s="62">
        <v>70.484300000000005</v>
      </c>
      <c r="G162" s="62">
        <v>78.526200000000003</v>
      </c>
      <c r="H162" s="62" t="s">
        <v>2539</v>
      </c>
      <c r="I162" s="62" t="s">
        <v>2930</v>
      </c>
      <c r="J162" s="62" t="s">
        <v>269</v>
      </c>
    </row>
    <row r="163" spans="1:10" ht="17.25" customHeight="1" x14ac:dyDescent="0.25">
      <c r="A163" s="40">
        <v>159</v>
      </c>
      <c r="B163" s="62" t="s">
        <v>2931</v>
      </c>
      <c r="C163" s="62" t="s">
        <v>202</v>
      </c>
      <c r="D163" s="62" t="s">
        <v>2288</v>
      </c>
      <c r="E163" s="62" t="s">
        <v>2289</v>
      </c>
      <c r="F163" s="62">
        <v>81.726799999999997</v>
      </c>
      <c r="G163" s="62">
        <v>81.741500000000002</v>
      </c>
      <c r="H163" s="62" t="s">
        <v>2906</v>
      </c>
      <c r="I163" s="62" t="s">
        <v>2932</v>
      </c>
      <c r="J163" s="62" t="s">
        <v>269</v>
      </c>
    </row>
    <row r="164" spans="1:10" ht="17.25" customHeight="1" x14ac:dyDescent="0.25">
      <c r="A164" s="40">
        <v>160</v>
      </c>
      <c r="B164" s="62" t="s">
        <v>2933</v>
      </c>
      <c r="C164" s="62" t="s">
        <v>204</v>
      </c>
      <c r="D164" s="62" t="s">
        <v>2288</v>
      </c>
      <c r="E164" s="62" t="s">
        <v>2289</v>
      </c>
      <c r="F164" s="62">
        <v>77.265900000000002</v>
      </c>
      <c r="G164" s="62">
        <v>79.793700000000001</v>
      </c>
      <c r="H164" s="62" t="s">
        <v>2851</v>
      </c>
      <c r="I164" s="62" t="s">
        <v>2934</v>
      </c>
      <c r="J164" s="62" t="s">
        <v>269</v>
      </c>
    </row>
    <row r="165" spans="1:10" ht="17.25" customHeight="1" x14ac:dyDescent="0.25">
      <c r="A165" s="15">
        <v>161</v>
      </c>
      <c r="B165" s="62" t="s">
        <v>2935</v>
      </c>
      <c r="C165" s="62" t="s">
        <v>206</v>
      </c>
      <c r="D165" s="62" t="s">
        <v>2288</v>
      </c>
      <c r="E165" s="62" t="s">
        <v>2289</v>
      </c>
      <c r="F165" s="62">
        <v>75.308999999999997</v>
      </c>
      <c r="G165" s="62">
        <v>75.767300000000006</v>
      </c>
      <c r="H165" s="62" t="s">
        <v>2936</v>
      </c>
      <c r="I165" s="62" t="s">
        <v>2585</v>
      </c>
      <c r="J165" s="62" t="s">
        <v>269</v>
      </c>
    </row>
    <row r="166" spans="1:10" ht="17.25" customHeight="1" x14ac:dyDescent="0.25">
      <c r="A166" s="15">
        <v>162</v>
      </c>
      <c r="B166" s="62" t="s">
        <v>2937</v>
      </c>
      <c r="C166" s="62" t="s">
        <v>208</v>
      </c>
      <c r="D166" s="62" t="s">
        <v>2288</v>
      </c>
      <c r="E166" s="62" t="s">
        <v>2289</v>
      </c>
      <c r="F166" s="62">
        <v>58.757399999999997</v>
      </c>
      <c r="G166" s="62">
        <v>60.641800000000003</v>
      </c>
      <c r="H166" s="62" t="s">
        <v>2534</v>
      </c>
      <c r="I166" s="62" t="s">
        <v>2938</v>
      </c>
      <c r="J166" s="62" t="s">
        <v>269</v>
      </c>
    </row>
    <row r="167" spans="1:10" ht="17.25" customHeight="1" x14ac:dyDescent="0.25">
      <c r="A167" s="15">
        <v>163</v>
      </c>
      <c r="B167" s="62" t="s">
        <v>2939</v>
      </c>
      <c r="C167" s="62" t="s">
        <v>210</v>
      </c>
      <c r="D167" s="62" t="s">
        <v>2288</v>
      </c>
      <c r="E167" s="62" t="s">
        <v>2289</v>
      </c>
      <c r="F167" s="62">
        <v>58.986499999999999</v>
      </c>
      <c r="G167" s="62">
        <v>65.004000000000005</v>
      </c>
      <c r="H167" s="62" t="s">
        <v>2774</v>
      </c>
      <c r="I167" s="62" t="s">
        <v>2940</v>
      </c>
      <c r="J167" s="62" t="s">
        <v>269</v>
      </c>
    </row>
    <row r="168" spans="1:10" ht="17.25" customHeight="1" x14ac:dyDescent="0.25">
      <c r="A168" s="15">
        <v>164</v>
      </c>
      <c r="B168" s="62" t="s">
        <v>2941</v>
      </c>
      <c r="C168" s="62" t="s">
        <v>212</v>
      </c>
      <c r="D168" s="62" t="s">
        <v>2288</v>
      </c>
      <c r="E168" s="62" t="s">
        <v>2289</v>
      </c>
      <c r="F168" s="62">
        <v>56.507199999999997</v>
      </c>
      <c r="G168" s="62">
        <v>59.196100000000001</v>
      </c>
      <c r="H168" s="62" t="s">
        <v>2533</v>
      </c>
      <c r="I168" s="62" t="s">
        <v>2942</v>
      </c>
      <c r="J168" s="62" t="s">
        <v>269</v>
      </c>
    </row>
    <row r="169" spans="1:10" ht="17.25" customHeight="1" x14ac:dyDescent="0.25">
      <c r="A169" s="15">
        <v>165</v>
      </c>
      <c r="B169" s="62" t="s">
        <v>2943</v>
      </c>
      <c r="C169" s="62" t="s">
        <v>12</v>
      </c>
      <c r="D169" s="62" t="s">
        <v>2288</v>
      </c>
      <c r="E169" s="62" t="s">
        <v>2289</v>
      </c>
      <c r="F169" s="62">
        <v>60.849699999999999</v>
      </c>
      <c r="G169" s="62">
        <v>64.391499999999994</v>
      </c>
      <c r="H169" s="62" t="s">
        <v>2538</v>
      </c>
      <c r="I169" s="62" t="s">
        <v>2944</v>
      </c>
      <c r="J169" s="62" t="s">
        <v>269</v>
      </c>
    </row>
    <row r="170" spans="1:10" ht="17.25" customHeight="1" x14ac:dyDescent="0.25">
      <c r="A170" s="15">
        <v>166</v>
      </c>
      <c r="B170" s="62" t="s">
        <v>2945</v>
      </c>
      <c r="C170" s="62" t="s">
        <v>13</v>
      </c>
      <c r="D170" s="62" t="s">
        <v>2288</v>
      </c>
      <c r="E170" s="62" t="s">
        <v>2289</v>
      </c>
      <c r="F170" s="62">
        <v>59.360199999999999</v>
      </c>
      <c r="G170" s="62">
        <v>65.210999999999999</v>
      </c>
      <c r="H170" s="62" t="s">
        <v>2534</v>
      </c>
      <c r="I170" s="62" t="s">
        <v>2946</v>
      </c>
      <c r="J170" s="62" t="s">
        <v>269</v>
      </c>
    </row>
    <row r="171" spans="1:10" ht="17.25" customHeight="1" x14ac:dyDescent="0.25">
      <c r="A171" s="15">
        <v>167</v>
      </c>
      <c r="B171" s="62" t="s">
        <v>2947</v>
      </c>
      <c r="C171" s="62" t="s">
        <v>216</v>
      </c>
      <c r="D171" s="62" t="s">
        <v>2288</v>
      </c>
      <c r="E171" s="62" t="s">
        <v>2289</v>
      </c>
      <c r="F171" s="62">
        <v>52.858400000000003</v>
      </c>
      <c r="G171" s="62">
        <v>59.441699999999997</v>
      </c>
      <c r="H171" s="62" t="s">
        <v>2774</v>
      </c>
      <c r="I171" s="62" t="s">
        <v>2948</v>
      </c>
      <c r="J171" s="62" t="s">
        <v>269</v>
      </c>
    </row>
    <row r="172" spans="1:10" ht="17.25" customHeight="1" x14ac:dyDescent="0.25">
      <c r="A172" s="15">
        <v>168</v>
      </c>
      <c r="B172" s="62" t="s">
        <v>2949</v>
      </c>
      <c r="C172" s="62" t="s">
        <v>218</v>
      </c>
      <c r="D172" s="62" t="s">
        <v>2288</v>
      </c>
      <c r="E172" s="62" t="s">
        <v>2289</v>
      </c>
      <c r="F172" s="62">
        <v>54.579599999999999</v>
      </c>
      <c r="G172" s="62">
        <v>56.551099999999998</v>
      </c>
      <c r="H172" s="62" t="s">
        <v>2535</v>
      </c>
      <c r="I172" s="62" t="s">
        <v>2950</v>
      </c>
      <c r="J172" s="62" t="s">
        <v>269</v>
      </c>
    </row>
    <row r="173" spans="1:10" ht="17.25" customHeight="1" x14ac:dyDescent="0.25">
      <c r="A173" s="15">
        <v>169</v>
      </c>
      <c r="B173" s="62" t="s">
        <v>2951</v>
      </c>
      <c r="C173" s="62" t="s">
        <v>220</v>
      </c>
      <c r="D173" s="62" t="s">
        <v>2288</v>
      </c>
      <c r="E173" s="62" t="s">
        <v>2289</v>
      </c>
      <c r="F173" s="62">
        <v>54.0809</v>
      </c>
      <c r="G173" s="62">
        <v>59.5214</v>
      </c>
      <c r="H173" s="62" t="s">
        <v>2952</v>
      </c>
      <c r="I173" s="62" t="s">
        <v>2953</v>
      </c>
      <c r="J173" s="62" t="s">
        <v>269</v>
      </c>
    </row>
    <row r="174" spans="1:10" ht="17.25" customHeight="1" x14ac:dyDescent="0.25">
      <c r="A174" s="15">
        <v>170</v>
      </c>
      <c r="B174" s="62" t="s">
        <v>2954</v>
      </c>
      <c r="C174" s="62" t="s">
        <v>222</v>
      </c>
      <c r="D174" s="62" t="s">
        <v>2288</v>
      </c>
      <c r="E174" s="62" t="s">
        <v>2289</v>
      </c>
      <c r="F174" s="62">
        <v>53.0199</v>
      </c>
      <c r="G174" s="62">
        <v>53.596600000000002</v>
      </c>
      <c r="H174" s="62" t="s">
        <v>2774</v>
      </c>
      <c r="I174" s="62" t="s">
        <v>2955</v>
      </c>
      <c r="J174" s="62" t="s">
        <v>269</v>
      </c>
    </row>
    <row r="175" spans="1:10" ht="17.25" customHeight="1" x14ac:dyDescent="0.25">
      <c r="A175" s="15">
        <v>171</v>
      </c>
      <c r="B175" s="62" t="s">
        <v>2956</v>
      </c>
      <c r="C175" s="62" t="s">
        <v>2049</v>
      </c>
      <c r="D175" s="62" t="s">
        <v>2288</v>
      </c>
      <c r="E175" s="62" t="s">
        <v>2289</v>
      </c>
      <c r="F175" s="62">
        <v>100</v>
      </c>
      <c r="G175" s="62">
        <v>108.6194</v>
      </c>
      <c r="H175" s="62" t="s">
        <v>2540</v>
      </c>
      <c r="I175" s="62" t="s">
        <v>2957</v>
      </c>
      <c r="J175" s="62" t="s">
        <v>269</v>
      </c>
    </row>
    <row r="176" spans="1:10" ht="17.25" customHeight="1" x14ac:dyDescent="0.25">
      <c r="A176" s="15">
        <v>172</v>
      </c>
      <c r="B176" s="62" t="s">
        <v>2958</v>
      </c>
      <c r="C176" s="62" t="s">
        <v>2423</v>
      </c>
      <c r="D176" s="62" t="s">
        <v>2271</v>
      </c>
      <c r="E176" s="62" t="s">
        <v>2469</v>
      </c>
      <c r="F176" s="62">
        <v>99.979699999999994</v>
      </c>
      <c r="G176" s="62">
        <v>101.01860000000001</v>
      </c>
      <c r="H176" s="62" t="s">
        <v>2522</v>
      </c>
      <c r="I176" s="62" t="s">
        <v>2760</v>
      </c>
      <c r="J176" s="62" t="s">
        <v>269</v>
      </c>
    </row>
    <row r="177" spans="1:10" ht="17.25" customHeight="1" x14ac:dyDescent="0.25">
      <c r="A177" s="15">
        <v>173</v>
      </c>
      <c r="B177" s="62" t="s">
        <v>2959</v>
      </c>
      <c r="C177" s="62" t="s">
        <v>2541</v>
      </c>
      <c r="D177" s="62" t="s">
        <v>2288</v>
      </c>
      <c r="E177" s="62" t="s">
        <v>2293</v>
      </c>
      <c r="F177" s="62">
        <v>99.016400000000004</v>
      </c>
      <c r="G177" s="62">
        <v>99.016400000000004</v>
      </c>
      <c r="H177" s="62" t="s">
        <v>2960</v>
      </c>
      <c r="I177" s="62" t="s">
        <v>2961</v>
      </c>
      <c r="J177" s="62" t="s">
        <v>269</v>
      </c>
    </row>
    <row r="178" spans="1:10" ht="17.25" customHeight="1" x14ac:dyDescent="0.25">
      <c r="A178" s="15">
        <v>174</v>
      </c>
      <c r="B178" s="62" t="s">
        <v>2962</v>
      </c>
      <c r="C178" s="62" t="s">
        <v>1551</v>
      </c>
      <c r="D178" s="62" t="s">
        <v>2271</v>
      </c>
      <c r="E178" s="62" t="s">
        <v>2294</v>
      </c>
      <c r="F178" s="114">
        <v>1670.5029999999999</v>
      </c>
      <c r="G178" s="114">
        <v>1670.5029999999999</v>
      </c>
      <c r="H178" s="62" t="s">
        <v>339</v>
      </c>
      <c r="I178" s="62" t="s">
        <v>2963</v>
      </c>
      <c r="J178" s="62" t="s">
        <v>2305</v>
      </c>
    </row>
    <row r="179" spans="1:10" ht="17.25" customHeight="1" x14ac:dyDescent="0.25">
      <c r="A179" s="15">
        <v>175</v>
      </c>
      <c r="B179" s="62" t="s">
        <v>2964</v>
      </c>
      <c r="C179" s="62" t="s">
        <v>423</v>
      </c>
      <c r="D179" s="62" t="s">
        <v>2271</v>
      </c>
      <c r="E179" s="62" t="s">
        <v>2295</v>
      </c>
      <c r="F179" s="62">
        <v>97.035600000000002</v>
      </c>
      <c r="G179" s="62">
        <v>97.991200000000006</v>
      </c>
      <c r="H179" s="62" t="s">
        <v>2965</v>
      </c>
      <c r="I179" s="62" t="s">
        <v>2966</v>
      </c>
      <c r="J179" s="62" t="s">
        <v>269</v>
      </c>
    </row>
    <row r="180" spans="1:10" ht="17.25" customHeight="1" x14ac:dyDescent="0.25">
      <c r="A180" s="15">
        <v>176</v>
      </c>
      <c r="B180" s="62" t="s">
        <v>2967</v>
      </c>
      <c r="C180" s="62" t="s">
        <v>1762</v>
      </c>
      <c r="D180" s="62" t="s">
        <v>19</v>
      </c>
      <c r="E180" s="62" t="s">
        <v>2623</v>
      </c>
      <c r="F180" s="114">
        <v>2740</v>
      </c>
      <c r="G180" s="62" t="s">
        <v>339</v>
      </c>
      <c r="H180" s="62" t="s">
        <v>339</v>
      </c>
      <c r="I180" s="62" t="s">
        <v>339</v>
      </c>
      <c r="J180" s="62" t="s">
        <v>238</v>
      </c>
    </row>
    <row r="1048548" spans="6:6" ht="17.25" customHeight="1" x14ac:dyDescent="0.25">
      <c r="F1048548" t="s">
        <v>2416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FF78F018-36B5-4DCE-B576-53532B9C83B7}"/>
    <hyperlink ref="E5" r:id="rId2" display="https://kase.kz/ru/listing/issuers/AIRA" xr:uid="{C549BB3D-72F7-4FD5-81B8-4D28790CF1B0}"/>
    <hyperlink ref="B6" r:id="rId3" display="https://kase.kz/ru/investors/depts/AIRAd" xr:uid="{4480DC51-FDEA-4059-BEB5-817100B1728C}"/>
    <hyperlink ref="E6" r:id="rId4" display="https://kase.kz/ru/listing/issuers/AIRA" xr:uid="{17F50C2D-74B5-4AA0-902B-5976E61EED38}"/>
    <hyperlink ref="B7" r:id="rId5" display="https://kase.kz/ru/investors/shares/AKZM" xr:uid="{3B1722DD-68A7-4C75-AD93-7179A1F27674}"/>
    <hyperlink ref="E7" r:id="rId6" display="https://kase.kz/ru/listing/issuers/AKZM" xr:uid="{1E81A3FD-FBB5-428F-8831-3DBFE3E16344}"/>
    <hyperlink ref="B8" r:id="rId7" display="https://kase.kz/ru/investors/bonds/ALMSb1" xr:uid="{D5AB2023-36EC-4673-96E6-57176F1F78A0}"/>
    <hyperlink ref="E8" r:id="rId8" display="https://kase.kz/ru/listing/issuers/ALMS" xr:uid="{D320C47D-E5B1-4DBC-B401-DF4E0C9D620E}"/>
    <hyperlink ref="B9" r:id="rId9" display="https://kase.kz/ru/investors/mifs/BCCI_cc" xr:uid="{0910C561-BF83-4D0B-8F5C-5B580CBE3941}"/>
    <hyperlink ref="E9" r:id="rId10" display="https://kase.kz/ru/listing/issuers/BCCI" xr:uid="{CCE315B7-88F8-490C-88CB-05A9B8E425B5}"/>
    <hyperlink ref="B10" r:id="rId11" display="https://kase.kz/ru/investors/mifs/BCCIbe" xr:uid="{CCEF8390-2608-4FC3-8B48-EE7F49D9A1B6}"/>
    <hyperlink ref="E10" r:id="rId12" display="https://kase.kz/ru/listing/issuers/BCCI" xr:uid="{CF6D6E2C-2E8A-4B1E-8DD6-4CC97FC168CA}"/>
    <hyperlink ref="B11" r:id="rId13" display="https://kase.kz/ru/investors/mifs/BCCIrb" xr:uid="{30639C85-DEAB-4FD6-ABAF-ED6589DD469D}"/>
    <hyperlink ref="E11" r:id="rId14" display="https://kase.kz/ru/listing/issuers/BCCI" xr:uid="{5DCD6BDD-C874-47E5-8F0B-6B2A654D9DF7}"/>
    <hyperlink ref="B12" r:id="rId15" display="https://kase.kz/ru/investors/bonds/BIGDb5" xr:uid="{884454CF-E8AE-4739-B387-F8D742450F10}"/>
    <hyperlink ref="E12" r:id="rId16" display="https://kase.kz/ru/listing/issuers/BIGD" xr:uid="{2B5EBD79-29E0-459B-9EF7-6C85096AF1BA}"/>
    <hyperlink ref="B13" r:id="rId17" display="https://kase.kz/ru/investors/bonds/BRKZe4" xr:uid="{5D03C2A2-CF7D-40F2-8A92-A6AA189947AD}"/>
    <hyperlink ref="E13" r:id="rId18" display="https://kase.kz/ru/listing/issuers/BRKZ" xr:uid="{BCCB0514-DEF7-4420-86DF-00E24727E6F5}"/>
    <hyperlink ref="B14" r:id="rId19" display="https://kase.kz/ru/investors/bonds/BTRKe1" xr:uid="{EA448746-EAFC-41D0-9097-0B926C61A03B}"/>
    <hyperlink ref="E14" r:id="rId20" display="https://kase.kz/ru/listing/issuers/BTRK" xr:uid="{CDD8A09C-B84B-4C63-A855-545AC3DE3C66}"/>
    <hyperlink ref="B15" r:id="rId21" display="https://kase.kz/ru/investors/shares/CCBN" xr:uid="{EF957F7E-3F86-4978-A6F9-074E1C90A242}"/>
    <hyperlink ref="E15" r:id="rId22" display="https://kase.kz/ru/listing/issuers/CCBN" xr:uid="{4F11ED93-7FA8-43BF-B554-9C15141D6EBB}"/>
    <hyperlink ref="B16" r:id="rId23" display="https://kase.kz/ru/investors/shares/CCBNp" xr:uid="{8AD00BC3-4751-421C-8072-E7B758A756B6}"/>
    <hyperlink ref="E16" r:id="rId24" display="https://kase.kz/ru/listing/issuers/CCBN" xr:uid="{A63219E9-66BD-4246-A3C3-FDF6BC4A67E3}"/>
    <hyperlink ref="B17" r:id="rId25" display="https://kase.kz/ru/investors/mifs/CSECfe" xr:uid="{C6A16545-C797-4399-83FF-80140693C50B}"/>
    <hyperlink ref="E17" r:id="rId26" display="https://kase.kz/ru/listing/issuers/CSEC" xr:uid="{97CCE591-D754-4576-86AE-5FB8F299B36A}"/>
    <hyperlink ref="B18" r:id="rId27" display="https://kase.kz/ru/investors/mifs/CSECtf" xr:uid="{7570E47D-7CBE-447F-A1C1-DB25C411C956}"/>
    <hyperlink ref="E18" r:id="rId28" display="https://kase.kz/ru/listing/issuers/CSEC" xr:uid="{9208D783-4160-4616-828B-B6B533B3E734}"/>
    <hyperlink ref="B19" r:id="rId29" display="https://kase.kz/ru/investors/bonds/EABRb40" xr:uid="{48424626-DF78-4717-9086-9E28AE9716F2}"/>
    <hyperlink ref="E19" r:id="rId30" display="https://kase.kz/ru/listing/issuers/EABR" xr:uid="{19CEBD9A-9A01-41CF-9778-1B86B73D515F}"/>
    <hyperlink ref="B20" r:id="rId31" display="https://kase.kz/ru/investors/bonds/EABRb42" xr:uid="{3B8F53A4-1F9C-4AC1-A2C8-85AF0727B16C}"/>
    <hyperlink ref="E20" r:id="rId32" display="https://kase.kz/ru/listing/issuers/EABR" xr:uid="{1CF653BD-CE43-454F-BD21-9A0CF33C9AEB}"/>
    <hyperlink ref="B21" r:id="rId33" display="https://kase.kz/ru/investors/bonds/EABRb53" xr:uid="{00A0A0F8-68D4-4C4E-AE06-4144F9FA84CF}"/>
    <hyperlink ref="E21" r:id="rId34" display="https://kase.kz/ru/listing/issuers/EABR" xr:uid="{870C3831-C7DF-45EC-AADE-B2FBF278D719}"/>
    <hyperlink ref="B22" r:id="rId35" display="https://kase.kz/ru/investors/mifs/FFIN_or" xr:uid="{B6AB2461-FC1B-4AFC-BFA9-4E1656449E2F}"/>
    <hyperlink ref="E22" r:id="rId36" display="https://kase.kz/ru/listing/issuers/FFIN" xr:uid="{EB2F3B51-761D-4CB5-8A23-E20DE03926E4}"/>
    <hyperlink ref="B23" r:id="rId37" display="https://kase.kz/ru/investors/mifs/FFINgw" xr:uid="{6888AF05-8B5E-468A-97D9-56A7555D6902}"/>
    <hyperlink ref="E23" r:id="rId38" display="https://kase.kz/ru/listing/issuers/FFIN" xr:uid="{ADA0B211-DF11-46D2-9267-E5B7080B70A2}"/>
    <hyperlink ref="B24" r:id="rId39" display="https://kase.kz/ru/investors/mifs/HFINhl" xr:uid="{6EEDBFB8-F046-4B6E-9240-FAED4BE314D6}"/>
    <hyperlink ref="E24" r:id="rId40" display="https://kase.kz/ru/listing/issuers/HFIN" xr:uid="{621048F3-E21F-4561-8201-DC6251B9F7BA}"/>
    <hyperlink ref="B25" r:id="rId41" display="https://kase.kz/ru/investors/mifs/HFINhp" xr:uid="{5924FAF2-D508-4C00-9BA8-C9FCCD4E984B}"/>
    <hyperlink ref="E25" r:id="rId42" display="https://kase.kz/ru/listing/issuers/HFIN" xr:uid="{7919C987-1C21-4E19-A7E3-0D9B845328C9}"/>
    <hyperlink ref="B26" r:id="rId43" display="https://kase.kz/ru/investors/mifs/HFINhs" xr:uid="{74A15173-32A2-4320-965C-20E7AD32EEC1}"/>
    <hyperlink ref="E26" r:id="rId44" display="https://kase.kz/ru/listing/issuers/HFIN" xr:uid="{73A8CD09-1D79-4A3C-BE8B-20AE655B785B}"/>
    <hyperlink ref="B27" r:id="rId45" display="https://kase.kz/ru/investors/mifs/HFINhv" xr:uid="{774901A0-3527-40D2-9C8D-4D794682B142}"/>
    <hyperlink ref="E27" r:id="rId46" display="https://kase.kz/ru/listing/issuers/HFIN" xr:uid="{D847922E-462D-4689-8B05-2BFA5EB8D7A1}"/>
    <hyperlink ref="B28" r:id="rId47" display="https://kase.kz/ru/investors/shares/HSBK" xr:uid="{6BB9ECF3-9A7A-4750-B5BE-245B158132FB}"/>
    <hyperlink ref="E28" r:id="rId48" display="https://kase.kz/ru/listing/issuers/HSBK" xr:uid="{A050CFFC-ACC1-47CD-B68A-6B5DC73F3ED7}"/>
    <hyperlink ref="B29" r:id="rId49" display="https://kase.kz/ru/investors/bonds/HSBKb22" xr:uid="{03A57213-376D-4AC3-83F8-D8FD0324D5BB}"/>
    <hyperlink ref="E29" r:id="rId50" display="https://kase.kz/ru/listing/issuers/HSBK" xr:uid="{51826E84-4DD2-45EB-908A-C1C301D4EE28}"/>
    <hyperlink ref="B30" r:id="rId51" display="https://kase.kz/ru/investors/depts/HSBKd" xr:uid="{6DC3E5D5-5AD7-40F3-918B-DE61F5EDF6B8}"/>
    <hyperlink ref="E30" r:id="rId52" display="https://kase.kz/ru/listing/issuers/HSBK" xr:uid="{C3E0EF41-144C-424A-A894-EFAD41046123}"/>
    <hyperlink ref="B31" r:id="rId53" display="https://kase.kz/ru/investors/shares/IFDR" xr:uid="{B93994EC-E3DC-414B-A9E6-B8FAD5326B5E}"/>
    <hyperlink ref="E31" r:id="rId54" display="https://kase.kz/ru/listing/issuers/TCIB" xr:uid="{90F9628F-7042-4B72-87AD-CA895FE1D0B0}"/>
    <hyperlink ref="B32" r:id="rId55" display="https://kase.kz/ru/investors/shares/KCEL" xr:uid="{C35312B8-DE22-4A84-8DC1-CD1993F220CC}"/>
    <hyperlink ref="E32" r:id="rId56" display="https://kase.kz/ru/listing/issuers/KCEL" xr:uid="{57871F27-A39A-45D3-A814-A55FCCA7B785}"/>
    <hyperlink ref="B33" r:id="rId57" display="https://kase.kz/ru/investors/shares/KEGC" xr:uid="{277BADDD-4B2E-4CF3-9B14-FC5EC020788B}"/>
    <hyperlink ref="E33" r:id="rId58" display="https://kase.kz/ru/listing/issuers/KEGC" xr:uid="{8DCEA44B-25C2-4C34-B819-96DE533E0659}"/>
    <hyperlink ref="B34" r:id="rId59" display="https://kase.kz/ru/investors/shares/KMGZ" xr:uid="{D747A58A-D223-4BB2-83F5-F5BCE0F6C186}"/>
    <hyperlink ref="E34" r:id="rId60" display="https://kase.kz/ru/listing/issuers/KMGZ" xr:uid="{B1788A68-E8D0-4E5B-95CE-EE2AB9278D32}"/>
    <hyperlink ref="B35" r:id="rId61" display="https://kase.kz/ru/investors/bonds/KMGZe12" xr:uid="{65A9AD58-67D4-4A5D-8653-15193577C3F1}"/>
    <hyperlink ref="E35" r:id="rId62" display="https://kase.kz/ru/listing/issuers/KMGZ" xr:uid="{97286CDC-C99A-402F-865B-4EA83B900503}"/>
    <hyperlink ref="B36" r:id="rId63" display="https://kase.kz/ru/investors/bonds/KMGZe15" xr:uid="{C6AFBD31-F95B-4A31-9183-B9791C88EB75}"/>
    <hyperlink ref="E36" r:id="rId64" display="https://kase.kz/ru/listing/issuers/KMGZ" xr:uid="{7020FB05-3020-4D88-9EC7-71102D169C0F}"/>
    <hyperlink ref="B37" r:id="rId65" display="https://kase.kz/ru/investors/shares/KSPI" xr:uid="{3E3B88A3-0016-45C2-A27D-E7154B7A06E6}"/>
    <hyperlink ref="E37" r:id="rId66" display="https://kase.kz/ru/listing/issuers/KSPI" xr:uid="{9F702F3F-5EE1-466D-B3D6-EA7CF37C8D08}"/>
    <hyperlink ref="B38" r:id="rId67" display="https://kase.kz/ru/investors/depts/KSPId" xr:uid="{ACCE67F4-BE21-498F-9C86-87C3C395BE36}"/>
    <hyperlink ref="E38" r:id="rId68" display="https://kase.kz/ru/listing/issuers/KSPI" xr:uid="{CB3E8DF9-C1A3-4492-8E79-5207EEA07870}"/>
    <hyperlink ref="B39" r:id="rId69" display="https://kase.kz/ru/investors/shares/KZAP" xr:uid="{2E260EF1-C978-4BFE-BA0B-B3D98D2E8CFE}"/>
    <hyperlink ref="E39" r:id="rId70" display="https://kase.kz/ru/listing/issuers/KZAP" xr:uid="{67D9C0CB-E271-43A2-8091-03B9A00AE432}"/>
    <hyperlink ref="B40" r:id="rId71" display="https://kase.kz/ru/investors/bonds/KZTCb3" xr:uid="{91297CEF-2F31-464C-AD48-A17B6E090B3B}"/>
    <hyperlink ref="E40" r:id="rId72" display="https://kase.kz/ru/listing/issuers/KZTC" xr:uid="{7D38199E-2A5D-4716-82B6-2594DBCDDD73}"/>
    <hyperlink ref="B41" r:id="rId73" display="https://kase.kz/ru/investors/shares/KZTK" xr:uid="{6F7FAA34-1143-46D1-8EA4-4BEE725498FE}"/>
    <hyperlink ref="E41" r:id="rId74" display="https://kase.kz/ru/listing/issuers/KZTK" xr:uid="{05BC6D0B-D81F-4690-8354-194768C4C5EA}"/>
    <hyperlink ref="B42" r:id="rId75" display="https://kase.kz/ru/investors/shares/KZTKp" xr:uid="{B8478E2D-EDF8-4C5F-8270-A45D2BCB0B5C}"/>
    <hyperlink ref="E42" r:id="rId76" display="https://kase.kz/ru/listing/issuers/KZTK" xr:uid="{9ABD43E1-BA2B-4E44-8AF8-6B4C0B420C55}"/>
    <hyperlink ref="B43" r:id="rId77" display="https://kase.kz/ru/investors/shares/KZTO" xr:uid="{DB242C0E-1D8C-4055-8157-D256D388382D}"/>
    <hyperlink ref="E43" r:id="rId78" display="https://kase.kz/ru/listing/issuers/KZTO" xr:uid="{8276AD87-84DD-455E-8BE5-670285502866}"/>
    <hyperlink ref="B44" r:id="rId79" display="https://kase.kz/ru/investors/gsecs/KZ_23_3504" xr:uid="{9B92A8C8-9165-4D4C-BFF1-D198717B7900}"/>
    <hyperlink ref="E44" r:id="rId80" display="https://kase.kz/ru/listing/issuers/MFRK" xr:uid="{2F0E3528-75EB-404C-89FA-804E15FE68E1}"/>
    <hyperlink ref="B45" r:id="rId81" display="https://kase.kz/ru/investors/bonds/MFDFb1" xr:uid="{6201FA8B-EA81-4004-80E5-B55E578A965F}"/>
    <hyperlink ref="E45" r:id="rId82" display="https://kase.kz/ru/listing/issuers/MFDF" xr:uid="{F63F5643-7FB8-4C70-8B39-DD4DE97594BD}"/>
    <hyperlink ref="B46" r:id="rId83" display="https://kase.kz/ru/investors/bonds/MFDFb3" xr:uid="{51A704BF-1389-463B-8E67-D0833B2CA275}"/>
    <hyperlink ref="E46" r:id="rId84" display="https://kase.kz/ru/listing/issuers/MFDF" xr:uid="{5BA02D05-18A8-48F9-B0E4-DCA978AE13FB}"/>
    <hyperlink ref="B47" r:id="rId85" display="https://kase.kz/ru/investors/bonds/MFLGb14" xr:uid="{768AFA23-C853-43B2-942B-AC46F8CFF0FE}"/>
    <hyperlink ref="E47" r:id="rId86" display="https://kase.kz/ru/listing/issuers/MFLG" xr:uid="{125F2773-E844-41A6-9269-5936DA35F9ED}"/>
    <hyperlink ref="B48" r:id="rId87" display="https://kase.kz/ru/investors/bonds/MFMOb10" xr:uid="{D05E16A8-1B53-4FB7-ADC5-A938299A4513}"/>
    <hyperlink ref="E48" r:id="rId88" display="https://kase.kz/ru/listing/issuers/MFMO" xr:uid="{47470AAA-02DA-4F41-8D1D-847BA97FE18A}"/>
    <hyperlink ref="B49" r:id="rId89" display="https://kase.kz/ru/investors/bonds/MFMOb17" xr:uid="{8BAF330D-5836-4D3A-94FD-FE7D43BEC83E}"/>
    <hyperlink ref="E49" r:id="rId90" display="https://kase.kz/ru/listing/issuers/MFMO" xr:uid="{FACA5DFB-5875-484D-8E3C-562BA543CCB3}"/>
    <hyperlink ref="B50" r:id="rId91" display="https://kase.kz/ru/investors/bonds/MFMOb25" xr:uid="{2604DC1B-9AB5-40AC-BA59-454401A43B64}"/>
    <hyperlink ref="E50" r:id="rId92" display="https://kase.kz/ru/listing/issuers/MFMO" xr:uid="{F5593FF2-8FAD-4FF5-B365-EB2DD8C90E40}"/>
    <hyperlink ref="B51" r:id="rId93" display="https://kase.kz/ru/investors/bonds/MFMOb26" xr:uid="{4AA71DDA-475A-4252-984C-14FBDBE8DEC5}"/>
    <hyperlink ref="E51" r:id="rId94" display="https://kase.kz/ru/listing/issuers/MFMO" xr:uid="{21CBDD20-D9E7-4F68-8A66-785458BA9FEE}"/>
    <hyperlink ref="B52" r:id="rId95" display="https://kase.kz/ru/investors/bonds/MFMOb27" xr:uid="{8455B98E-EE03-4B00-A05B-3C578E5D42EF}"/>
    <hyperlink ref="E52" r:id="rId96" display="https://kase.kz/ru/listing/issuers/MFMO" xr:uid="{7FD4CE12-57FD-48CF-BF74-374951F4F9F6}"/>
    <hyperlink ref="B53" r:id="rId97" display="https://kase.kz/ru/investors/bonds/MFMOb32" xr:uid="{22216869-FB32-431E-AFA2-5D638533E228}"/>
    <hyperlink ref="E53" r:id="rId98" display="https://kase.kz/ru/listing/issuers/MFMO" xr:uid="{483B642A-8021-496A-80D8-BA480CD0DA34}"/>
    <hyperlink ref="B54" r:id="rId99" display="https://kase.kz/ru/investors/bonds/MFOKb16" xr:uid="{CFFB5A34-E1E1-40BE-B212-E2DCF9943F23}"/>
    <hyperlink ref="E54" r:id="rId100" display="https://kase.kz/ru/listing/issuers/MFOK" xr:uid="{BC5F3EAE-9616-46A5-836F-5BB43CFFECD3}"/>
    <hyperlink ref="B55" r:id="rId101" display="https://kase.kz/ru/investors/bonds/MFOKb18" xr:uid="{B2351B76-F368-47A9-84E7-E84F5203F070}"/>
    <hyperlink ref="E55" r:id="rId102" display="https://kase.kz/ru/listing/issuers/MFOK" xr:uid="{C832DBA6-FECC-48D0-AA56-F4C05DF4FBA4}"/>
    <hyperlink ref="B56" r:id="rId103" display="https://kase.kz/ru/investors/bonds/MFOKb19" xr:uid="{8D15074E-563E-4175-BDF0-0430C6D6F0ED}"/>
    <hyperlink ref="E56" r:id="rId104" display="https://kase.kz/ru/listing/issuers/MFOK" xr:uid="{FB3D7463-0EAF-4699-BEA2-A1F92025E5B7}"/>
    <hyperlink ref="B57" r:id="rId105" display="https://kase.kz/ru/investors/bonds/MFOKb20" xr:uid="{0DA579D9-E476-48C3-BF70-2DD8B9DE94F5}"/>
    <hyperlink ref="E57" r:id="rId106" display="https://kase.kz/ru/listing/issuers/MFOK" xr:uid="{033FD5E1-6084-464A-87D6-ED5187A13657}"/>
    <hyperlink ref="B58" r:id="rId107" display="https://kase.kz/ru/investors/bonds/MFOKb21" xr:uid="{0FB02B37-4970-42E4-B962-F44777E3B92C}"/>
    <hyperlink ref="E58" r:id="rId108" display="https://kase.kz/ru/listing/issuers/MFOK" xr:uid="{855537E4-1882-42BF-8F0D-75897018679C}"/>
    <hyperlink ref="B59" r:id="rId109" display="https://kase.kz/ru/investors/bonds/MFOKb22" xr:uid="{EA864EC2-8734-4EE4-B276-A3A377EF1596}"/>
    <hyperlink ref="E59" r:id="rId110" display="https://kase.kz/ru/listing/issuers/MFOK" xr:uid="{9A782BDF-2D86-404B-82C5-FAD3D7345DE9}"/>
    <hyperlink ref="B60" r:id="rId111" display="https://kase.kz/ru/investors/bonds/MFOKb24" xr:uid="{A25D3EDD-F407-408A-96DC-BDD3301CA48F}"/>
    <hyperlink ref="E60" r:id="rId112" display="https://kase.kz/ru/listing/issuers/MFOK" xr:uid="{14BB0B15-22B6-4D63-AA7E-BFDB4CAEF417}"/>
    <hyperlink ref="B61" r:id="rId113" display="https://kase.kz/ru/investors/bonds/MFOKb25" xr:uid="{F2284076-9B58-4FC0-8BFF-FDD2A7E4F5C2}"/>
    <hyperlink ref="E61" r:id="rId114" display="https://kase.kz/ru/listing/issuers/MFOK" xr:uid="{EFF3962E-D5A4-4AE2-B71D-B2271D8AE9C2}"/>
    <hyperlink ref="B62" r:id="rId115" display="https://kase.kz/ru/investors/bonds/MFOKb26" xr:uid="{398C68EE-4FCA-4104-9949-F1A167D71E8F}"/>
    <hyperlink ref="E62" r:id="rId116" display="https://kase.kz/ru/listing/issuers/MFOK" xr:uid="{41FF28FA-E633-4BC7-9B96-9683A4869A30}"/>
    <hyperlink ref="B63" r:id="rId117" display="https://kase.kz/ru/investors/bonds/MFRFb12" xr:uid="{AD608927-046D-4ADD-93C6-8D0115A39844}"/>
    <hyperlink ref="E63" r:id="rId118" display="https://kase.kz/ru/listing/issuers/MFRF" xr:uid="{1D6531BB-AD6D-4B09-A347-CBEA2C6FC1FD}"/>
    <hyperlink ref="B64" r:id="rId119" display="https://kase.kz/ru/investors/bonds/MFRFb13" xr:uid="{8E139D87-16AF-49EA-BEDE-D8C153BF6C67}"/>
    <hyperlink ref="E64" r:id="rId120" display="https://kase.kz/ru/listing/issuers/MFRF" xr:uid="{3710C6C2-F7E0-42FA-8C05-531DA182DDC5}"/>
    <hyperlink ref="B65" r:id="rId121" display="https://kase.kz/ru/investors/bonds/MFRFb14" xr:uid="{53C32331-5127-42C2-B1B2-8A749ED4ADF1}"/>
    <hyperlink ref="E65" r:id="rId122" display="https://kase.kz/ru/listing/issuers/MFRF" xr:uid="{B0FAF8A6-B571-45D0-9197-3297EA681923}"/>
    <hyperlink ref="B66" r:id="rId123" display="https://kase.kz/ru/investors/bonds/MFRFb16" xr:uid="{D80849A6-32C4-4062-8889-EBE72B09C95F}"/>
    <hyperlink ref="E66" r:id="rId124" display="https://kase.kz/ru/listing/issuers/MFRF" xr:uid="{0AF9E4AD-1446-429A-BCDE-61D71E7812A8}"/>
    <hyperlink ref="B67" r:id="rId125" display="https://kase.kz/ru/investors/bonds/MFRFb18" xr:uid="{22E1ECDA-E32A-451A-8E13-DC33F871237C}"/>
    <hyperlink ref="E67" r:id="rId126" display="https://kase.kz/ru/listing/issuers/MFRF" xr:uid="{3B3A38DE-3628-4379-B6CB-28221AD74D78}"/>
    <hyperlink ref="B68" r:id="rId127" display="https://kase.kz/ru/investors/bonds/MFRFb19" xr:uid="{6667726F-914C-4DD0-8136-6092380766D8}"/>
    <hyperlink ref="E68" r:id="rId128" display="https://kase.kz/ru/listing/issuers/MFRF" xr:uid="{FD78B676-F10C-4307-BE27-903A8C622D37}"/>
    <hyperlink ref="B69" r:id="rId129" display="https://kase.kz/ru/investors/bonds/MFRFb21" xr:uid="{0039AD5C-90C3-455E-809C-801E79AB86C8}"/>
    <hyperlink ref="E69" r:id="rId130" display="https://kase.kz/ru/listing/issuers/MFRF" xr:uid="{2BBBB80A-BF0F-44B8-8337-24C402809E3D}"/>
    <hyperlink ref="B70" r:id="rId131" display="https://kase.kz/ru/investors/bonds/MFTSb1" xr:uid="{FA3925CA-37F7-4014-AFFF-7A462B8163B7}"/>
    <hyperlink ref="E70" r:id="rId132" display="https://kase.kz/ru/listing/issuers/MFTS" xr:uid="{525372C7-2245-4D7F-9327-ACC3890F2A09}"/>
    <hyperlink ref="B71" r:id="rId133" display="https://kase.kz/ru/investors/bonds/MFTSb2" xr:uid="{DD2D0DB5-0DE1-42A3-9450-D7D7D2E1F16C}"/>
    <hyperlink ref="E71" r:id="rId134" display="https://kase.kz/ru/listing/issuers/MFTS" xr:uid="{E6F8A177-AB8A-489B-88FC-A6ACED088648}"/>
    <hyperlink ref="B72" r:id="rId135" display="https://kase.kz/ru/investors/bonds/MFTSb3" xr:uid="{1752AE94-BCE7-4A87-AE51-816F43582B76}"/>
    <hyperlink ref="E72" r:id="rId136" display="https://kase.kz/ru/listing/issuers/MFTS" xr:uid="{476AEE8F-A8BF-46DD-99D8-EA461BF4BFAF}"/>
    <hyperlink ref="B73" r:id="rId137" display="https://kase.kz/ru/investors/gsecs/MKM012_0159" xr:uid="{F3DA6DCE-BCC3-4622-B253-DF70BD926BB1}"/>
    <hyperlink ref="E73" r:id="rId138" display="https://kase.kz/ru/listing/issuers/MFRK" xr:uid="{AA67E54F-E064-4F08-B42F-D1776FEF31F6}"/>
    <hyperlink ref="B74" r:id="rId139" display="https://kase.kz/ru/investors/gsecs/MKM012_0160" xr:uid="{D0E3D5A1-43BE-47A0-9616-42487F9BDD3E}"/>
    <hyperlink ref="E74" r:id="rId140" display="https://kase.kz/ru/listing/issuers/MFRK" xr:uid="{79672F26-97D7-4B8C-822B-163D2B08380D}"/>
    <hyperlink ref="B75" r:id="rId141" display="https://kase.kz/ru/investors/gsecs/MKM012_0161" xr:uid="{DB823D6C-C4AC-4679-974E-67B3201CF570}"/>
    <hyperlink ref="E75" r:id="rId142" display="https://kase.kz/ru/listing/issuers/MFRK" xr:uid="{292C8986-5581-48B0-98DD-A281C9FDF635}"/>
    <hyperlink ref="B76" r:id="rId143" display="https://kase.kz/ru/investors/gsecs/MOM048_0052" xr:uid="{D814F041-8D64-4F0D-8B83-6FFC22A60D38}"/>
    <hyperlink ref="E76" r:id="rId144" display="https://kase.kz/ru/listing/issuers/MFRK" xr:uid="{68D8D319-018C-438F-BA67-1DBDA34F117E}"/>
    <hyperlink ref="B77" r:id="rId145" display="https://kase.kz/ru/investors/gsecs/MOM048_0053" xr:uid="{7C422A96-50B8-4A21-AEA4-29CA31EC141A}"/>
    <hyperlink ref="E77" r:id="rId146" display="https://kase.kz/ru/listing/issuers/MFRK" xr:uid="{678E148F-DAC9-4AA6-9228-1739F57B554C}"/>
    <hyperlink ref="B78" r:id="rId147" display="https://kase.kz/ru/investors/gsecs/MOM048_0054" xr:uid="{3E5E9743-725B-402C-99A0-4BE7553D59F6}"/>
    <hyperlink ref="E78" r:id="rId148" display="https://kase.kz/ru/listing/issuers/MFRK" xr:uid="{AA26D7E7-FD2C-469A-AC96-BC12CB47CBA3}"/>
    <hyperlink ref="B79" r:id="rId149" display="https://kase.kz/ru/investors/gsecs/MOM048_0056" xr:uid="{5EB2512C-BCD6-4C24-850B-9921A818CF53}"/>
    <hyperlink ref="E79" r:id="rId150" display="https://kase.kz/ru/listing/issuers/MFRK" xr:uid="{80997C29-60C5-493A-BF5D-60DB6F724FF7}"/>
    <hyperlink ref="B80" r:id="rId151" display="https://kase.kz/ru/investors/gsecs/MOM060_0052" xr:uid="{D2ABAF15-D117-44DC-B537-0E05C0CADE3B}"/>
    <hyperlink ref="E80" r:id="rId152" display="https://kase.kz/ru/listing/issuers/MFRK" xr:uid="{3D151915-A3CE-4002-BBF7-B50A95A24116}"/>
    <hyperlink ref="B81" r:id="rId153" display="https://kase.kz/ru/investors/gsecs/MOM060_0054" xr:uid="{6875AC88-B2ED-4064-8B40-DDBAE0545B12}"/>
    <hyperlink ref="E81" r:id="rId154" display="https://kase.kz/ru/listing/issuers/MFRK" xr:uid="{F249391C-7C71-4EF4-AF6D-03BFDA02971F}"/>
    <hyperlink ref="B82" r:id="rId155" display="https://kase.kz/ru/investors/gsecs/MTC048_0001" xr:uid="{51759002-ED6A-420C-B8FE-9D9E5E36D4E3}"/>
    <hyperlink ref="E82" r:id="rId156" display="https://kase.kz/ru/listing/issuers/MFRK" xr:uid="{A98C0949-4B2C-4483-95FB-B4C6520F4092}"/>
    <hyperlink ref="B83" r:id="rId157" display="https://kase.kz/ru/investors/gsecs/MTM048_0001" xr:uid="{48DC84C5-120E-4C3F-BCF0-966EC0803B91}"/>
    <hyperlink ref="E83" r:id="rId158" display="https://kase.kz/ru/listing/issuers/MFRK" xr:uid="{3E0DB397-37D6-4C25-8970-397D29B6652A}"/>
    <hyperlink ref="B84" r:id="rId159" display="https://kase.kz/ru/investors/gsecs/MTM060_0001" xr:uid="{75BC54DA-67B0-422B-A244-B1999C153ED1}"/>
    <hyperlink ref="E84" r:id="rId160" display="https://kase.kz/ru/listing/issuers/MFRK" xr:uid="{996A84B7-504B-43D7-94CA-F690C1C04766}"/>
    <hyperlink ref="B85" r:id="rId161" display="https://kase.kz/ru/investors/gsecs/MTM072_0001" xr:uid="{1629A37B-20B6-4CC2-A1E8-B3A6D9EA6247}"/>
    <hyperlink ref="E85" r:id="rId162" display="https://kase.kz/ru/listing/issuers/MFRK" xr:uid="{D03403F6-E94D-4A28-8FBE-40D393CE96B2}"/>
    <hyperlink ref="B86" r:id="rId163" display="https://kase.kz/ru/investors/gsecs/MTM084_0001" xr:uid="{D8843C54-DE7E-4918-A150-F3547BAD110F}"/>
    <hyperlink ref="E86" r:id="rId164" display="https://kase.kz/ru/listing/issuers/MFRK" xr:uid="{0A79F84C-EE8E-4676-882C-B054D4424E11}"/>
    <hyperlink ref="B87" r:id="rId165" display="https://kase.kz/ru/investors/gsecs/MTM096_0001" xr:uid="{AB370FEB-601A-44DD-A390-4CA0107F4D39}"/>
    <hyperlink ref="E87" r:id="rId166" display="https://kase.kz/ru/listing/issuers/MFRK" xr:uid="{91C3F461-49EC-408C-88E4-A501CB98A5F1}"/>
    <hyperlink ref="B88" r:id="rId167" display="https://kase.kz/ru/investors/gsecs/MUJ144_0005" xr:uid="{AE1883F0-1ADC-4900-A24A-22257D266898}"/>
    <hyperlink ref="E88" r:id="rId168" display="https://kase.kz/ru/listing/issuers/MFRK" xr:uid="{1F78D374-3EC8-4C35-8ABC-6FCE6607409D}"/>
    <hyperlink ref="B89" r:id="rId169" display="https://kase.kz/ru/investors/gsecs/MUJ156_0004" xr:uid="{5FB542A2-EC13-4EB4-AD0D-F7E88DBCA63F}"/>
    <hyperlink ref="E89" r:id="rId170" display="https://kase.kz/ru/listing/issuers/MFRK" xr:uid="{309252DC-A684-4856-AB9A-5B3070B5720D}"/>
    <hyperlink ref="B90" r:id="rId171" display="https://kase.kz/ru/investors/gsecs/MUJ168_0004" xr:uid="{76186C1C-88FA-4172-998E-6BA75B16BDDE}"/>
    <hyperlink ref="E90" r:id="rId172" display="https://kase.kz/ru/listing/issuers/MFRK" xr:uid="{4BBF7043-803C-42A9-AD6E-1E0ACBEF1E2B}"/>
    <hyperlink ref="B91" r:id="rId173" display="https://kase.kz/ru/investors/gsecs/MUJ168_0005" xr:uid="{DB3BA57D-7FAF-4EF6-8B63-8B6D732132CF}"/>
    <hyperlink ref="E91" r:id="rId174" display="https://kase.kz/ru/listing/issuers/MFRK" xr:uid="{28D8B41B-C146-4DF2-937F-0420ED6CBCD3}"/>
    <hyperlink ref="B92" r:id="rId175" display="https://kase.kz/ru/investors/gsecs/MUJ180_0007" xr:uid="{E2A639F2-4BC7-48AF-AF3F-FA644C8A8BC3}"/>
    <hyperlink ref="E92" r:id="rId176" display="https://kase.kz/ru/listing/issuers/MFRK" xr:uid="{40FAAEFB-405C-45EC-B309-792A499B4D04}"/>
    <hyperlink ref="B93" r:id="rId177" display="https://kase.kz/ru/investors/gsecs/MUJ180_0008" xr:uid="{FCE8C3BD-3C96-4423-B54B-C3902A82149B}"/>
    <hyperlink ref="E93" r:id="rId178" display="https://kase.kz/ru/listing/issuers/MFRK" xr:uid="{25DBFE4E-7A9B-4DCA-9927-CD4582FB3556}"/>
    <hyperlink ref="B94" r:id="rId179" display="https://kase.kz/ru/investors/gsecs/MUJ192_0002" xr:uid="{7A97736A-D9CF-443B-93F5-8AB8F12F62E9}"/>
    <hyperlink ref="E94" r:id="rId180" display="https://kase.kz/ru/listing/issuers/MFRK" xr:uid="{A76E27E7-EF03-40DA-BDB3-F4B13BAC6F95}"/>
    <hyperlink ref="B95" r:id="rId181" display="https://kase.kz/ru/investors/gsecs/MUJ192_0003" xr:uid="{AD6D3E5F-F24E-475C-AC91-9AFBE2B5B0C6}"/>
    <hyperlink ref="E95" r:id="rId182" display="https://kase.kz/ru/listing/issuers/MFRK" xr:uid="{924E5B5A-CAB4-4771-9E7B-E891A4846ABC}"/>
    <hyperlink ref="B96" r:id="rId183" display="https://kase.kz/ru/investors/gsecs/MUJ192_0004" xr:uid="{030B6F98-DC2B-4006-9452-A12100322D96}"/>
    <hyperlink ref="E96" r:id="rId184" display="https://kase.kz/ru/listing/issuers/MFRK" xr:uid="{FD54FF5A-60B2-404C-8C5F-68E0B73CFF1A}"/>
    <hyperlink ref="B97" r:id="rId185" display="https://kase.kz/ru/investors/gsecs/MUJ204_0001" xr:uid="{F2C500DF-2F1A-4469-813C-7F769E072002}"/>
    <hyperlink ref="E97" r:id="rId186" display="https://kase.kz/ru/listing/issuers/MFRK" xr:uid="{A8B66977-CD1B-4248-8D6D-8413EDAE1789}"/>
    <hyperlink ref="B98" r:id="rId187" display="https://kase.kz/ru/investors/gsecs/MUJ204_0002" xr:uid="{3CBEC01B-C114-4FE4-9B79-BFF71EF22173}"/>
    <hyperlink ref="E98" r:id="rId188" display="https://kase.kz/ru/listing/issuers/MFRK" xr:uid="{02DFDA49-2CEF-49F5-A1F5-1EED1CF92D31}"/>
    <hyperlink ref="B99" r:id="rId189" display="https://kase.kz/ru/investors/gsecs/MUJ204_0003" xr:uid="{5D9B6A46-F7BD-45E9-877B-77BA78A22037}"/>
    <hyperlink ref="E99" r:id="rId190" display="https://kase.kz/ru/listing/issuers/MFRK" xr:uid="{5169D8BA-E565-4BAD-9AB2-C18AEB2DD15F}"/>
    <hyperlink ref="B100" r:id="rId191" display="https://kase.kz/ru/investors/gsecs/MUJ204_0004" xr:uid="{FF356194-6E91-4AB8-99E5-6CD2C7C45F02}"/>
    <hyperlink ref="E100" r:id="rId192" display="https://kase.kz/ru/listing/issuers/MFRK" xr:uid="{14CD186E-AC42-4C5E-980D-FF4ACBC97DD6}"/>
    <hyperlink ref="B101" r:id="rId193" display="https://kase.kz/ru/investors/gsecs/MUJ204_0005" xr:uid="{5683F781-3077-4342-88BA-65F3A0C6AA1A}"/>
    <hyperlink ref="E101" r:id="rId194" display="https://kase.kz/ru/listing/issuers/MFRK" xr:uid="{B43A7703-8094-4589-ACA0-0E48A0A5E01B}"/>
    <hyperlink ref="B102" r:id="rId195" display="https://kase.kz/ru/investors/gsecs/MUJ204_0006" xr:uid="{C0A69A54-7AFC-41E9-877C-5E82B35B10DF}"/>
    <hyperlink ref="E102" r:id="rId196" display="https://kase.kz/ru/listing/issuers/MFRK" xr:uid="{AABDBE7F-E35E-47F6-B6F0-F46AF85D85E6}"/>
    <hyperlink ref="B103" r:id="rId197" display="https://kase.kz/ru/investors/gsecs/MUJ216_0001" xr:uid="{52A235F7-3EC0-49AF-A4AD-9213B95CF5A7}"/>
    <hyperlink ref="E103" r:id="rId198" display="https://kase.kz/ru/listing/issuers/MFRK" xr:uid="{A02E44B9-5E47-4BDB-9094-1E2EB493B520}"/>
    <hyperlink ref="B104" r:id="rId199" display="https://kase.kz/ru/investors/gsecs/MUJ216_0002" xr:uid="{722BD3B1-2128-4D02-874B-61A3E7F3D664}"/>
    <hyperlink ref="E104" r:id="rId200" display="https://kase.kz/ru/listing/issuers/MFRK" xr:uid="{D2E46142-C7F7-4539-AE84-39C3CC1EFC15}"/>
    <hyperlink ref="B105" r:id="rId201" display="https://kase.kz/ru/investors/gsecs/MUJ216_0003" xr:uid="{DA71B008-3D18-4B3C-A1E2-58F085A882AF}"/>
    <hyperlink ref="E105" r:id="rId202" display="https://kase.kz/ru/listing/issuers/MFRK" xr:uid="{377D6AFC-E32E-437E-856F-19EDA68A9B54}"/>
    <hyperlink ref="B106" r:id="rId203" display="https://kase.kz/ru/investors/gsecs/MUJ216_0004" xr:uid="{A8A1B33B-49CA-494A-897B-45EA611ED401}"/>
    <hyperlink ref="E106" r:id="rId204" display="https://kase.kz/ru/listing/issuers/MFRK" xr:uid="{F87CF055-D4FB-4EFB-BEF9-111210EFBC51}"/>
    <hyperlink ref="B107" r:id="rId205" display="https://kase.kz/ru/investors/gsecs/MUJ216_0005" xr:uid="{E2A49461-B7B5-4729-A9E2-704F3FD4EDE2}"/>
    <hyperlink ref="E107" r:id="rId206" display="https://kase.kz/ru/listing/issuers/MFRK" xr:uid="{6BA607C6-0925-49DB-9ABA-355E46345172}"/>
    <hyperlink ref="B108" r:id="rId207" display="https://kase.kz/ru/investors/gsecs/MUJ228_0001" xr:uid="{B7F9238C-46D1-49E5-A59B-4EEFB1B241E6}"/>
    <hyperlink ref="E108" r:id="rId208" display="https://kase.kz/ru/listing/issuers/MFRK" xr:uid="{B8FCC441-E9EF-477C-8770-D12B04F867C4}"/>
    <hyperlink ref="B109" r:id="rId209" display="https://kase.kz/ru/investors/gsecs/MUJ228_0002" xr:uid="{DDC8F55F-9D2F-4204-A10D-D45C0F0E0729}"/>
    <hyperlink ref="E109" r:id="rId210" display="https://kase.kz/ru/listing/issuers/MFRK" xr:uid="{93D7491E-E8A4-4C6E-99C6-7AFAB95ED201}"/>
    <hyperlink ref="B110" r:id="rId211" display="https://kase.kz/ru/investors/gsecs/MUJ228_0003" xr:uid="{7B74E7CC-8EC8-460E-A44B-366A7D336CD6}"/>
    <hyperlink ref="E110" r:id="rId212" display="https://kase.kz/ru/listing/issuers/MFRK" xr:uid="{FACC2202-9410-4379-95CC-8B81B785F2FF}"/>
    <hyperlink ref="B111" r:id="rId213" display="https://kase.kz/ru/investors/gsecs/MUJ228_0004" xr:uid="{46ACE502-1946-4389-8798-2A4BA57E8048}"/>
    <hyperlink ref="E111" r:id="rId214" display="https://kase.kz/ru/listing/issuers/MFRK" xr:uid="{CABDF261-04D8-4FC6-BE2C-9579CD64A296}"/>
    <hyperlink ref="B112" r:id="rId215" display="https://kase.kz/ru/investors/gsecs/MUJ228_0005" xr:uid="{16B3CEB4-4793-4105-95CE-796B715ACBAB}"/>
    <hyperlink ref="E112" r:id="rId216" display="https://kase.kz/ru/listing/issuers/MFRK" xr:uid="{5CA25A97-9272-4557-9780-E346EB807872}"/>
    <hyperlink ref="B113" r:id="rId217" display="https://kase.kz/ru/investors/gsecs/MUJ228_0006" xr:uid="{CD959711-089F-438A-80C5-D7AC406AE997}"/>
    <hyperlink ref="E113" r:id="rId218" display="https://kase.kz/ru/listing/issuers/MFRK" xr:uid="{F9FF8F78-1BB8-4F69-8461-16A203C1CD97}"/>
    <hyperlink ref="B114" r:id="rId219" display="https://kase.kz/ru/investors/gsecs/MUJ240_0001" xr:uid="{FDFEC929-922A-4D38-B9BB-62DFB990BE30}"/>
    <hyperlink ref="E114" r:id="rId220" display="https://kase.kz/ru/listing/issuers/MFRK" xr:uid="{AC914C4D-2F71-47FF-A6AB-1DC6EF1B583E}"/>
    <hyperlink ref="B115" r:id="rId221" display="https://kase.kz/ru/investors/gsecs/MUM072_0013" xr:uid="{C7FA8CCD-8A53-4C28-83D2-FEA64B8527FE}"/>
    <hyperlink ref="E115" r:id="rId222" display="https://kase.kz/ru/listing/issuers/MFRK" xr:uid="{0A828A4E-CF86-4637-B043-1EC3D5943CCF}"/>
    <hyperlink ref="B116" r:id="rId223" display="https://kase.kz/ru/investors/gsecs/MUM072_0014" xr:uid="{AA96BEBC-18DE-422A-A65F-56B4432F949F}"/>
    <hyperlink ref="E116" r:id="rId224" display="https://kase.kz/ru/listing/issuers/MFRK" xr:uid="{CE486327-3CD7-41FA-8A9A-0D88EFEB4A44}"/>
    <hyperlink ref="B117" r:id="rId225" display="https://kase.kz/ru/investors/gsecs/MUM072_0015" xr:uid="{7F40848E-655A-4CC8-9D0F-DEA6305FA522}"/>
    <hyperlink ref="E117" r:id="rId226" display="https://kase.kz/ru/listing/issuers/MFRK" xr:uid="{F9B8BFB6-0298-4730-BFEC-314F74499480}"/>
    <hyperlink ref="B118" r:id="rId227" display="https://kase.kz/ru/investors/gsecs/MUM084_0018" xr:uid="{CACFCBE9-80E7-4DEC-B49A-8ED05680876E}"/>
    <hyperlink ref="E118" r:id="rId228" display="https://kase.kz/ru/listing/issuers/MFRK" xr:uid="{554D7B29-801B-4AC7-932F-BFBBDE2F24B0}"/>
    <hyperlink ref="B119" r:id="rId229" display="https://kase.kz/ru/investors/gsecs/MUM084_0019" xr:uid="{01BF1143-DCE4-4DC7-98C6-3D2AE583120F}"/>
    <hyperlink ref="E119" r:id="rId230" display="https://kase.kz/ru/listing/issuers/MFRK" xr:uid="{36ACE07A-B368-43F2-8C3E-95875496955A}"/>
    <hyperlink ref="B120" r:id="rId231" display="https://kase.kz/ru/investors/gsecs/MUM084_0020" xr:uid="{753DFCD3-5CDA-442D-96FD-F2596F684015}"/>
    <hyperlink ref="E120" r:id="rId232" display="https://kase.kz/ru/listing/issuers/MFRK" xr:uid="{33B13C8C-C3AD-46B4-AF3F-BF0354337255}"/>
    <hyperlink ref="B121" r:id="rId233" display="https://kase.kz/ru/investors/gsecs/MUM096_0011" xr:uid="{98793841-09C1-4129-B125-FD732B11AAE1}"/>
    <hyperlink ref="E121" r:id="rId234" display="https://kase.kz/ru/listing/issuers/MFRK" xr:uid="{C9940B73-E090-40CF-B0D0-5DDDB95A0B0E}"/>
    <hyperlink ref="B122" r:id="rId235" display="https://kase.kz/ru/investors/gsecs/MUM096_0012" xr:uid="{FF9A2A33-7DCF-4BB5-BEF5-545E0D94A0C6}"/>
    <hyperlink ref="E122" r:id="rId236" display="https://kase.kz/ru/listing/issuers/MFRK" xr:uid="{F20124B0-8EEC-4BCC-BA4F-4CFDD11C03D2}"/>
    <hyperlink ref="B123" r:id="rId237" display="https://kase.kz/ru/investors/gsecs/MUM096_0013" xr:uid="{14B6F3C9-1CB8-4D1A-AFA4-D38AF69B5DC7}"/>
    <hyperlink ref="E123" r:id="rId238" display="https://kase.kz/ru/listing/issuers/MFRK" xr:uid="{CA2B9082-7329-4321-BC18-21FE18B03A5E}"/>
    <hyperlink ref="B124" r:id="rId239" display="https://kase.kz/ru/investors/gsecs/MUM096_0014" xr:uid="{8CE9D60F-69E8-43D7-819B-A13C6AA7C64E}"/>
    <hyperlink ref="E124" r:id="rId240" display="https://kase.kz/ru/listing/issuers/MFRK" xr:uid="{F7FE2222-978A-4C46-B8B0-74DA004B2525}"/>
    <hyperlink ref="B125" r:id="rId241" display="https://kase.kz/ru/investors/gsecs/MUM096_0015" xr:uid="{40DE43E0-B5B5-41EF-933D-8F758055DCC6}"/>
    <hyperlink ref="E125" r:id="rId242" display="https://kase.kz/ru/listing/issuers/MFRK" xr:uid="{DD5BD68C-BA89-4F18-874E-24A999CC21D7}"/>
    <hyperlink ref="B126" r:id="rId243" display="https://kase.kz/ru/investors/gsecs/MUM108_0012" xr:uid="{A8382371-5EE1-4E17-9904-B2D837A3C90A}"/>
    <hyperlink ref="E126" r:id="rId244" display="https://kase.kz/ru/listing/issuers/MFRK" xr:uid="{FD79CC0E-1357-4FB3-993E-79E294CDD69F}"/>
    <hyperlink ref="B127" r:id="rId245" display="https://kase.kz/ru/investors/gsecs/MUM108_0013" xr:uid="{2C8BFC85-B8E5-41B3-99B8-0FC784ECB8B4}"/>
    <hyperlink ref="E127" r:id="rId246" display="https://kase.kz/ru/listing/issuers/MFRK" xr:uid="{DE67F134-35AA-4217-A80D-4A8823C55CC1}"/>
    <hyperlink ref="B128" r:id="rId247" display="https://kase.kz/ru/investors/gsecs/MUM108_0014" xr:uid="{55D1AB07-C84D-4C94-86D2-3F9210E5794B}"/>
    <hyperlink ref="E128" r:id="rId248" display="https://kase.kz/ru/listing/issuers/MFRK" xr:uid="{804BEEF0-00AC-45D9-A7B7-4A4497E0B153}"/>
    <hyperlink ref="B129" r:id="rId249" display="https://kase.kz/ru/investors/gsecs/MUM108_0015" xr:uid="{CD34BB4D-EE5F-4F25-A947-0048EAC45266}"/>
    <hyperlink ref="E129" r:id="rId250" display="https://kase.kz/ru/listing/issuers/MFRK" xr:uid="{9ACE6587-FABB-459C-9CD3-8465DA33F884}"/>
    <hyperlink ref="B130" r:id="rId251" display="https://kase.kz/ru/investors/gsecs/MUM120_0017" xr:uid="{20C87E8C-0EEC-4CE0-B9A2-231FA5E6565A}"/>
    <hyperlink ref="E130" r:id="rId252" display="https://kase.kz/ru/listing/issuers/MFRK" xr:uid="{4976F51D-13E1-4D6D-8039-4D8CBED9B9E5}"/>
    <hyperlink ref="B131" r:id="rId253" display="https://kase.kz/ru/investors/gsecs/MUM120_0018" xr:uid="{872C167F-F658-44A7-9B98-FC1FF2AC0FB1}"/>
    <hyperlink ref="E131" r:id="rId254" display="https://kase.kz/ru/listing/issuers/MFRK" xr:uid="{D95B395A-798A-4C72-810D-574A45108D47}"/>
    <hyperlink ref="B132" r:id="rId255" display="https://kase.kz/ru/investors/gsecs/MUM120_0019" xr:uid="{256BF783-DEBA-435C-95CF-BD4E70D7AE00}"/>
    <hyperlink ref="E132" r:id="rId256" display="https://kase.kz/ru/listing/issuers/MFRK" xr:uid="{C3C240D5-3D12-4F94-9717-4E05104B506D}"/>
    <hyperlink ref="B133" r:id="rId257" display="https://kase.kz/ru/investors/gsecs/MUM120_0020" xr:uid="{B3CF3774-6F20-4B11-ACFD-69178E6294DD}"/>
    <hyperlink ref="E133" r:id="rId258" display="https://kase.kz/ru/listing/issuers/MFRK" xr:uid="{2BE3652F-BA17-4868-9C99-8727066D6024}"/>
    <hyperlink ref="B134" r:id="rId259" display="https://kase.kz/ru/investors/gsecs/MUM132_0007" xr:uid="{EC301F08-F83F-4AA1-AE95-2690FA4F0B57}"/>
    <hyperlink ref="E134" r:id="rId260" display="https://kase.kz/ru/listing/issuers/MFRK" xr:uid="{31641775-B218-4AB4-9638-673A350A4F84}"/>
    <hyperlink ref="B135" r:id="rId261" display="https://kase.kz/ru/investors/gsecs/MUM144_0009" xr:uid="{0FD0D152-1077-4FCC-B6F2-92C334F9B425}"/>
    <hyperlink ref="E135" r:id="rId262" display="https://kase.kz/ru/listing/issuers/MFRK" xr:uid="{DCD653C2-A41A-4E7A-840A-F4DE1DC94F97}"/>
    <hyperlink ref="B136" r:id="rId263" display="https://kase.kz/ru/investors/gsecs/MUM156_0005" xr:uid="{3D0A6B9F-41C1-4A2A-88B5-F7E663EED299}"/>
    <hyperlink ref="E136" r:id="rId264" display="https://kase.kz/ru/listing/issuers/MFRK" xr:uid="{FBC8E7D7-9F66-4D01-993A-D511ABDF9155}"/>
    <hyperlink ref="B137" r:id="rId265" display="https://kase.kz/ru/investors/gsecs/MUM156_0006" xr:uid="{D597B3B9-B049-40AC-B84E-E81198AF6048}"/>
    <hyperlink ref="E137" r:id="rId266" display="https://kase.kz/ru/listing/issuers/MFRK" xr:uid="{71900BD5-842A-474B-8EA8-2379EB07E17C}"/>
    <hyperlink ref="B138" r:id="rId267" display="https://kase.kz/ru/investors/gsecs/MUM156_0007" xr:uid="{4D5F6CB2-BB95-4C01-ABFB-EA0A70590E20}"/>
    <hyperlink ref="E138" r:id="rId268" display="https://kase.kz/ru/listing/issuers/MFRK" xr:uid="{20469ED0-3EFA-4F54-A1DB-0AEB92E548F0}"/>
    <hyperlink ref="B139" r:id="rId269" display="https://kase.kz/ru/investors/gsecs/MUM156_0008" xr:uid="{EA283111-F8BD-4924-A8CE-BA2E31F30430}"/>
    <hyperlink ref="E139" r:id="rId270" display="https://kase.kz/ru/listing/issuers/MFRK" xr:uid="{C0E070B9-EF4D-4307-86B0-B5FCCA565942}"/>
    <hyperlink ref="B140" r:id="rId271" display="https://kase.kz/ru/investors/gsecs/MUM168_0001" xr:uid="{19FA17F0-B81E-46AB-B89E-F9AA92D75CC7}"/>
    <hyperlink ref="E140" r:id="rId272" display="https://kase.kz/ru/listing/issuers/MFRK" xr:uid="{35516756-235E-4208-AE3D-DFB8F816864B}"/>
    <hyperlink ref="B141" r:id="rId273" display="https://kase.kz/ru/investors/gsecs/MUM168_0002" xr:uid="{5E047CB1-CDCD-4114-A101-A3CF27962FE9}"/>
    <hyperlink ref="E141" r:id="rId274" display="https://kase.kz/ru/listing/issuers/MFRK" xr:uid="{065D1345-4352-4547-9B8F-07C274DD1022}"/>
    <hyperlink ref="B142" r:id="rId275" display="https://kase.kz/ru/investors/gsecs/MUM168_0003" xr:uid="{5D8D54D3-3506-416D-866B-B111386006D0}"/>
    <hyperlink ref="E142" r:id="rId276" display="https://kase.kz/ru/listing/issuers/MFRK" xr:uid="{749A80E5-2AEA-4D2E-8953-B38C8FEE13D4}"/>
    <hyperlink ref="B143" r:id="rId277" display="https://kase.kz/ru/investors/gsecs/MUM168_0005" xr:uid="{3CEFC7AE-1859-4D81-A852-A9EF54960C9C}"/>
    <hyperlink ref="E143" r:id="rId278" display="https://kase.kz/ru/listing/issuers/MFRK" xr:uid="{408498AB-E1AF-460D-801A-8A07AEF92AE0}"/>
    <hyperlink ref="B144" r:id="rId279" display="https://kase.kz/ru/investors/gsecs/MUM180_0003" xr:uid="{5166550F-C344-41BA-B0B8-A2E70562C892}"/>
    <hyperlink ref="E144" r:id="rId280" display="https://kase.kz/ru/listing/issuers/MFRK" xr:uid="{30FD4A75-0570-4CDE-B676-968404A08087}"/>
    <hyperlink ref="B145" r:id="rId281" display="https://kase.kz/ru/investors/gsecs/MUM180_0004" xr:uid="{3297AE3C-1D86-4942-9DDE-61C54B3B972D}"/>
    <hyperlink ref="E145" r:id="rId282" display="https://kase.kz/ru/listing/issuers/MFRK" xr:uid="{00316E2A-F828-45FC-8482-660EB698E313}"/>
    <hyperlink ref="B146" r:id="rId283" display="https://kase.kz/ru/investors/gsecs/MUM180_0005" xr:uid="{45777FF5-D699-4264-934B-4FD1C2B6159D}"/>
    <hyperlink ref="E146" r:id="rId284" display="https://kase.kz/ru/listing/issuers/MFRK" xr:uid="{D80D2630-2A1C-4E20-9971-1D00E939335F}"/>
    <hyperlink ref="B147" r:id="rId285" display="https://kase.kz/ru/investors/gsecs/MUM180_0006" xr:uid="{387DE50D-E44B-4E1C-9639-4600AD05DC01}"/>
    <hyperlink ref="E147" r:id="rId286" display="https://kase.kz/ru/listing/issuers/MFRK" xr:uid="{7B12B8FD-40E8-4729-B797-B45FE491D580}"/>
    <hyperlink ref="B148" r:id="rId287" display="https://kase.kz/ru/investors/gsecs/MUM180_0007" xr:uid="{BE52BDA7-5106-4A6F-9934-625E2A6AEEF9}"/>
    <hyperlink ref="E148" r:id="rId288" display="https://kase.kz/ru/listing/issuers/MFRK" xr:uid="{63E420C4-6EC3-4B73-AE65-BFC9ECE39AF9}"/>
    <hyperlink ref="B149" r:id="rId289" display="https://kase.kz/ru/investors/gsecs/MUM180_0008" xr:uid="{14633DE0-6EAB-499E-B7AA-10DD9FAD66B4}"/>
    <hyperlink ref="E149" r:id="rId290" display="https://kase.kz/ru/listing/issuers/MFRK" xr:uid="{B07B926E-E2E1-47C9-8633-FADEE8EAF8D2}"/>
    <hyperlink ref="B150" r:id="rId291" display="https://kase.kz/ru/investors/gsecs/MUM180_0009" xr:uid="{FDA5453E-8AF5-43DE-A2C6-FA372D817785}"/>
    <hyperlink ref="E150" r:id="rId292" display="https://kase.kz/ru/listing/issuers/MFRK" xr:uid="{6E214421-1F6A-4345-BD2A-2311B4B4D2AD}"/>
    <hyperlink ref="B151" r:id="rId293" display="https://kase.kz/ru/investors/gsecs/MUM180_0011" xr:uid="{07B6CBFB-EB88-4572-A869-726FBD93FD72}"/>
    <hyperlink ref="E151" r:id="rId294" display="https://kase.kz/ru/listing/issuers/MFRK" xr:uid="{3B6DED4F-66AE-4DB2-916A-FB628E74730D}"/>
    <hyperlink ref="B152" r:id="rId295" display="https://kase.kz/ru/investors/gsecs/MUM180_0012" xr:uid="{5FE0E18B-E51F-40F1-A0FE-5C7B731C9649}"/>
    <hyperlink ref="E152" r:id="rId296" display="https://kase.kz/ru/listing/issuers/MFRK" xr:uid="{13E3352F-8831-4BCD-8F6B-E69118BCE34C}"/>
    <hyperlink ref="B153" r:id="rId297" display="https://kase.kz/ru/investors/gsecs/MUM180_0013" xr:uid="{5ABA2B45-F1CE-4527-A172-6D20A67C8BFE}"/>
    <hyperlink ref="E153" r:id="rId298" display="https://kase.kz/ru/listing/issuers/MFRK" xr:uid="{2F0ADEEB-67E9-4D38-ACDC-99BF200AC740}"/>
    <hyperlink ref="B154" r:id="rId299" display="https://kase.kz/ru/investors/gsecs/MUM180_0014" xr:uid="{04BE6C4B-1BAF-4EAA-8198-406F4F0B341C}"/>
    <hyperlink ref="E154" r:id="rId300" display="https://kase.kz/ru/listing/issuers/MFRK" xr:uid="{AAC7DFA3-2300-4C55-9B11-379E7E043201}"/>
    <hyperlink ref="B155" r:id="rId301" display="https://kase.kz/ru/investors/gsecs/MUM180_0015" xr:uid="{A0145DD7-E2A2-461D-BA93-BC937BFEAE25}"/>
    <hyperlink ref="E155" r:id="rId302" display="https://kase.kz/ru/listing/issuers/MFRK" xr:uid="{271738A6-8AA4-4888-83B9-2B13E79B19E4}"/>
    <hyperlink ref="B156" r:id="rId303" display="https://kase.kz/ru/investors/gsecs/MUM180_0016" xr:uid="{C14B0738-BEBA-4BBA-9CFB-BE78BA2B176C}"/>
    <hyperlink ref="E156" r:id="rId304" display="https://kase.kz/ru/listing/issuers/MFRK" xr:uid="{041B473A-64C5-4319-B61C-2CD9E60CD1D3}"/>
    <hyperlink ref="B157" r:id="rId305" display="https://kase.kz/ru/investors/gsecs/MUM192_0001" xr:uid="{DBA176B5-4394-41AD-942F-CDF2B5466014}"/>
    <hyperlink ref="E157" r:id="rId306" display="https://kase.kz/ru/listing/issuers/MFRK" xr:uid="{C6C1A920-00F6-4402-918A-28410836CF78}"/>
    <hyperlink ref="B158" r:id="rId307" display="https://kase.kz/ru/investors/gsecs/MUM192_0002" xr:uid="{6F7C4A23-F1F3-460B-979F-EADFDB04CBA4}"/>
    <hyperlink ref="E158" r:id="rId308" display="https://kase.kz/ru/listing/issuers/MFRK" xr:uid="{06519D56-FD3D-4FF4-B2AB-7B3D7CDE790B}"/>
    <hyperlink ref="B159" r:id="rId309" display="https://kase.kz/ru/investors/gsecs/MUM192_0003" xr:uid="{E6FB69E0-CBB6-45A4-A552-1E3F72120535}"/>
    <hyperlink ref="E159" r:id="rId310" display="https://kase.kz/ru/listing/issuers/MFRK" xr:uid="{42448AD8-6365-4CCF-AC96-3FC032E844EA}"/>
    <hyperlink ref="B160" r:id="rId311" display="https://kase.kz/ru/investors/gsecs/MUM216_0001" xr:uid="{DC92C341-672E-437E-91B4-2D9379A3973D}"/>
    <hyperlink ref="E160" r:id="rId312" display="https://kase.kz/ru/listing/issuers/MFRK" xr:uid="{55445D35-0D6B-462E-B9E2-31EDB3B9017B}"/>
    <hyperlink ref="B161" r:id="rId313" display="https://kase.kz/ru/investors/gsecs/MUM216_0002" xr:uid="{3BD440CA-1B4D-4EE9-8A80-C8AD4AD39222}"/>
    <hyperlink ref="E161" r:id="rId314" display="https://kase.kz/ru/listing/issuers/MFRK" xr:uid="{3F693477-2D04-4E53-BFB9-9909CD9AE74F}"/>
    <hyperlink ref="B162" r:id="rId315" display="https://kase.kz/ru/investors/gsecs/MUM240_0001" xr:uid="{93BE5C5E-6908-406D-B3F9-DC1A68078BD1}"/>
    <hyperlink ref="E162" r:id="rId316" display="https://kase.kz/ru/listing/issuers/MFRK" xr:uid="{33126F46-0B64-4664-8116-A1BA044D1864}"/>
    <hyperlink ref="B163" r:id="rId317" display="https://kase.kz/ru/investors/gsecs/MUM240_0002" xr:uid="{C2B7939E-4C63-439B-A9CB-5C9D1DCCD4DC}"/>
    <hyperlink ref="E163" r:id="rId318" display="https://kase.kz/ru/listing/issuers/MFRK" xr:uid="{0526FE6C-B06F-492B-B1EF-1609F2E6B3B5}"/>
    <hyperlink ref="B164" r:id="rId319" display="https://kase.kz/ru/investors/gsecs/MUM240_0004" xr:uid="{F2F27426-1E90-4B46-BC38-A4220C954329}"/>
    <hyperlink ref="E164" r:id="rId320" display="https://kase.kz/ru/listing/issuers/MFRK" xr:uid="{130F4192-A954-4528-A4EB-0F03E45B126D}"/>
    <hyperlink ref="B165" r:id="rId321" display="https://kase.kz/ru/investors/gsecs/MUM300_0001" xr:uid="{53B9BA45-98D1-4394-9E6D-C098192B7124}"/>
    <hyperlink ref="E165" r:id="rId322" display="https://kase.kz/ru/listing/issuers/MFRK" xr:uid="{0949EE45-5F51-48CF-880A-700CD20E7EBC}"/>
    <hyperlink ref="B166" r:id="rId323" display="https://kase.kz/ru/investors/gsecs/MUM300_0002" xr:uid="{A4CB8157-CCCD-48A8-86F8-CD88E0AF9AE4}"/>
    <hyperlink ref="E166" r:id="rId324" display="https://kase.kz/ru/listing/issuers/MFRK" xr:uid="{2B625721-A9ED-4E2A-B46B-0009ACB621E8}"/>
    <hyperlink ref="B167" r:id="rId325" display="https://kase.kz/ru/investors/gsecs/MUM300_0003" xr:uid="{B2BA5E5A-A253-461F-A9F3-5742A2A0A55C}"/>
    <hyperlink ref="E167" r:id="rId326" display="https://kase.kz/ru/listing/issuers/MFRK" xr:uid="{ACAC8183-2F37-4A35-BF77-3BF5DFBB63C8}"/>
    <hyperlink ref="B168" r:id="rId327" display="https://kase.kz/ru/investors/gsecs/MUM360_0001" xr:uid="{79711335-3A35-445F-969A-F2AEA0E46B4B}"/>
    <hyperlink ref="E168" r:id="rId328" display="https://kase.kz/ru/listing/issuers/MFRK" xr:uid="{07ADF405-570F-4799-8B00-36402AEF189B}"/>
    <hyperlink ref="B169" r:id="rId329" display="https://kase.kz/ru/investors/gsecs/MUX072_0003" xr:uid="{DE2065CF-9ADD-4136-ABF1-3F1AD7716FDB}"/>
    <hyperlink ref="E169" r:id="rId330" display="https://kase.kz/ru/listing/issuers/MFRK" xr:uid="{1DCAB620-8C63-48E3-96D8-C38B7A3271AC}"/>
    <hyperlink ref="B170" r:id="rId331" display="https://kase.kz/ru/investors/bonds/NCOMb6" xr:uid="{8EFC1B9F-0132-4C7C-A51A-81FDAA44390A}"/>
    <hyperlink ref="E170" r:id="rId332" display="https://kase.kz/ru/listing/issuers/NCOM" xr:uid="{BEA6E658-698F-4C83-94D6-13A72A0F3C12}"/>
    <hyperlink ref="B171" r:id="rId333" display="https://kase.kz/ru/investors/gsecs/NTK028_2867" xr:uid="{D14C7563-4F2C-4E83-8D8A-8B893F76C783}"/>
    <hyperlink ref="E171" r:id="rId334" display="https://kase.kz/ru/listing/issuers/NBRK" xr:uid="{93CCAC71-F5FD-4767-918D-966DF8B8B6B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64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2" t="s">
        <v>15</v>
      </c>
      <c r="B1" s="115">
        <v>45950</v>
      </c>
      <c r="C1" s="113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11" t="s">
        <v>16</v>
      </c>
      <c r="B3" s="111" t="s">
        <v>436</v>
      </c>
      <c r="C3" s="111" t="s">
        <v>0</v>
      </c>
      <c r="D3" s="111" t="s">
        <v>2140</v>
      </c>
      <c r="E3" s="111" t="s">
        <v>437</v>
      </c>
      <c r="F3" s="111" t="s">
        <v>438</v>
      </c>
      <c r="G3" s="111" t="s">
        <v>439</v>
      </c>
      <c r="H3" s="111" t="s">
        <v>1990</v>
      </c>
      <c r="I3" s="111" t="s">
        <v>440</v>
      </c>
      <c r="J3" s="111" t="s">
        <v>18</v>
      </c>
    </row>
    <row r="4" spans="1:10" x14ac:dyDescent="0.25">
      <c r="A4" s="116">
        <v>1</v>
      </c>
      <c r="B4" s="117" t="s">
        <v>441</v>
      </c>
      <c r="C4" s="118" t="s">
        <v>442</v>
      </c>
      <c r="D4" s="118" t="s">
        <v>443</v>
      </c>
      <c r="E4" s="118" t="s">
        <v>444</v>
      </c>
      <c r="F4" s="119">
        <v>100</v>
      </c>
      <c r="G4" s="118">
        <v>100</v>
      </c>
      <c r="H4" s="118">
        <v>0</v>
      </c>
      <c r="I4" s="118">
        <v>0</v>
      </c>
      <c r="J4" s="118" t="s">
        <v>238</v>
      </c>
    </row>
    <row r="5" spans="1:10" x14ac:dyDescent="0.25">
      <c r="A5" s="120">
        <v>2</v>
      </c>
      <c r="B5" s="117" t="s">
        <v>445</v>
      </c>
      <c r="C5" s="118" t="s">
        <v>446</v>
      </c>
      <c r="D5" s="118" t="s">
        <v>443</v>
      </c>
      <c r="E5" s="118" t="s">
        <v>447</v>
      </c>
      <c r="F5" s="121">
        <v>6423.543200000001</v>
      </c>
      <c r="G5" s="119">
        <v>6423.543200000001</v>
      </c>
      <c r="H5" s="119">
        <v>0</v>
      </c>
      <c r="I5" s="116">
        <v>0</v>
      </c>
      <c r="J5" s="118" t="s">
        <v>238</v>
      </c>
    </row>
    <row r="6" spans="1:10" x14ac:dyDescent="0.25">
      <c r="A6" s="120">
        <v>3</v>
      </c>
      <c r="B6" s="117" t="s">
        <v>448</v>
      </c>
      <c r="C6" s="118" t="s">
        <v>449</v>
      </c>
      <c r="D6" s="118" t="s">
        <v>443</v>
      </c>
      <c r="E6" s="118" t="s">
        <v>450</v>
      </c>
      <c r="F6" s="122">
        <v>134367.40240000002</v>
      </c>
      <c r="G6" s="123">
        <v>134367.40240000002</v>
      </c>
      <c r="H6" s="121">
        <v>0</v>
      </c>
      <c r="I6" s="124">
        <v>0</v>
      </c>
      <c r="J6" s="118" t="s">
        <v>238</v>
      </c>
    </row>
    <row r="7" spans="1:10" x14ac:dyDescent="0.25">
      <c r="A7" s="120">
        <v>4</v>
      </c>
      <c r="B7" s="117" t="s">
        <v>451</v>
      </c>
      <c r="C7" s="118" t="s">
        <v>452</v>
      </c>
      <c r="D7" s="118" t="s">
        <v>453</v>
      </c>
      <c r="E7" s="118" t="s">
        <v>454</v>
      </c>
      <c r="F7" s="121">
        <v>100</v>
      </c>
      <c r="G7" s="119">
        <v>101.8417</v>
      </c>
      <c r="H7" s="119">
        <v>4.24</v>
      </c>
      <c r="I7" s="116">
        <v>324</v>
      </c>
      <c r="J7" s="118" t="s">
        <v>269</v>
      </c>
    </row>
    <row r="8" spans="1:10" x14ac:dyDescent="0.25">
      <c r="A8" s="120">
        <v>5</v>
      </c>
      <c r="B8" s="117" t="s">
        <v>455</v>
      </c>
      <c r="C8" s="118" t="s">
        <v>456</v>
      </c>
      <c r="D8" s="118" t="s">
        <v>453</v>
      </c>
      <c r="E8" s="118" t="s">
        <v>454</v>
      </c>
      <c r="F8" s="121">
        <v>100</v>
      </c>
      <c r="G8" s="119">
        <v>100.13809999999999</v>
      </c>
      <c r="H8" s="119">
        <v>0.35</v>
      </c>
      <c r="I8" s="116">
        <v>218</v>
      </c>
      <c r="J8" s="118" t="s">
        <v>269</v>
      </c>
    </row>
    <row r="9" spans="1:10" x14ac:dyDescent="0.25">
      <c r="A9" s="120">
        <v>6</v>
      </c>
      <c r="B9" s="117" t="s">
        <v>457</v>
      </c>
      <c r="C9" s="118" t="s">
        <v>458</v>
      </c>
      <c r="D9" s="118" t="s">
        <v>453</v>
      </c>
      <c r="E9" s="118" t="s">
        <v>454</v>
      </c>
      <c r="F9" s="122">
        <v>100</v>
      </c>
      <c r="G9" s="123">
        <v>100.0013</v>
      </c>
      <c r="H9" s="121">
        <v>0.02</v>
      </c>
      <c r="I9" s="124">
        <v>3040</v>
      </c>
      <c r="J9" s="118" t="s">
        <v>269</v>
      </c>
    </row>
    <row r="10" spans="1:10" x14ac:dyDescent="0.25">
      <c r="A10" s="120">
        <v>7</v>
      </c>
      <c r="B10" s="117" t="s">
        <v>459</v>
      </c>
      <c r="C10" s="118" t="s">
        <v>460</v>
      </c>
      <c r="D10" s="118" t="s">
        <v>453</v>
      </c>
      <c r="E10" s="118" t="s">
        <v>454</v>
      </c>
      <c r="F10" s="122">
        <v>100</v>
      </c>
      <c r="G10" s="123">
        <v>101.9486</v>
      </c>
      <c r="H10" s="121">
        <v>6.08</v>
      </c>
      <c r="I10" s="124">
        <v>1655</v>
      </c>
      <c r="J10" s="118" t="s">
        <v>269</v>
      </c>
    </row>
    <row r="11" spans="1:10" x14ac:dyDescent="0.25">
      <c r="A11" s="120">
        <v>8</v>
      </c>
      <c r="B11" s="117" t="s">
        <v>461</v>
      </c>
      <c r="C11" s="118" t="s">
        <v>462</v>
      </c>
      <c r="D11" s="118" t="s">
        <v>453</v>
      </c>
      <c r="E11" s="118" t="s">
        <v>454</v>
      </c>
      <c r="F11" s="122">
        <v>100</v>
      </c>
      <c r="G11" s="123">
        <v>106.9619</v>
      </c>
      <c r="H11" s="121">
        <v>7.08</v>
      </c>
      <c r="I11" s="124">
        <v>2137</v>
      </c>
      <c r="J11" s="118" t="s">
        <v>269</v>
      </c>
    </row>
    <row r="12" spans="1:10" x14ac:dyDescent="0.25">
      <c r="A12" s="120">
        <v>9</v>
      </c>
      <c r="B12" s="117" t="s">
        <v>463</v>
      </c>
      <c r="C12" s="118" t="s">
        <v>464</v>
      </c>
      <c r="D12" s="118" t="s">
        <v>453</v>
      </c>
      <c r="E12" s="118" t="s">
        <v>454</v>
      </c>
      <c r="F12" s="122">
        <v>100</v>
      </c>
      <c r="G12" s="123">
        <v>101.1183</v>
      </c>
      <c r="H12" s="121">
        <v>6.08</v>
      </c>
      <c r="I12" s="124">
        <v>2064</v>
      </c>
      <c r="J12" s="118" t="s">
        <v>269</v>
      </c>
    </row>
    <row r="13" spans="1:10" x14ac:dyDescent="0.25">
      <c r="A13" s="120">
        <v>10</v>
      </c>
      <c r="B13" s="117" t="s">
        <v>465</v>
      </c>
      <c r="C13" s="118" t="s">
        <v>466</v>
      </c>
      <c r="D13" s="118" t="s">
        <v>453</v>
      </c>
      <c r="E13" s="118" t="s">
        <v>454</v>
      </c>
      <c r="F13" s="122">
        <v>100</v>
      </c>
      <c r="G13" s="123">
        <v>106.06610000000001</v>
      </c>
      <c r="H13" s="121">
        <v>6.09</v>
      </c>
      <c r="I13" s="124">
        <v>2492</v>
      </c>
      <c r="J13" s="118" t="s">
        <v>269</v>
      </c>
    </row>
    <row r="14" spans="1:10" x14ac:dyDescent="0.25">
      <c r="A14" s="120">
        <v>11</v>
      </c>
      <c r="B14" s="117" t="s">
        <v>467</v>
      </c>
      <c r="C14" s="118" t="s">
        <v>468</v>
      </c>
      <c r="D14" s="118" t="s">
        <v>453</v>
      </c>
      <c r="E14" s="118" t="s">
        <v>454</v>
      </c>
      <c r="F14" s="122">
        <v>100</v>
      </c>
      <c r="G14" s="123">
        <v>106.06610000000001</v>
      </c>
      <c r="H14" s="121">
        <v>6.09</v>
      </c>
      <c r="I14" s="124">
        <v>2492</v>
      </c>
      <c r="J14" s="118" t="s">
        <v>269</v>
      </c>
    </row>
    <row r="15" spans="1:10" x14ac:dyDescent="0.25">
      <c r="A15" s="120">
        <v>12</v>
      </c>
      <c r="B15" s="117" t="s">
        <v>469</v>
      </c>
      <c r="C15" s="118" t="s">
        <v>470</v>
      </c>
      <c r="D15" s="118" t="s">
        <v>443</v>
      </c>
      <c r="E15" s="118" t="s">
        <v>471</v>
      </c>
      <c r="F15" s="121">
        <v>68604.732000000018</v>
      </c>
      <c r="G15" s="119">
        <v>68604.732000000018</v>
      </c>
      <c r="H15" s="119">
        <v>0</v>
      </c>
      <c r="I15" s="116">
        <v>0</v>
      </c>
      <c r="J15" s="118" t="s">
        <v>238</v>
      </c>
    </row>
    <row r="16" spans="1:10" x14ac:dyDescent="0.25">
      <c r="A16" s="120">
        <v>13</v>
      </c>
      <c r="B16" s="117" t="s">
        <v>472</v>
      </c>
      <c r="C16" s="118" t="s">
        <v>473</v>
      </c>
      <c r="D16" s="118" t="s">
        <v>453</v>
      </c>
      <c r="E16" s="118" t="s">
        <v>474</v>
      </c>
      <c r="F16" s="121">
        <v>98.525094684230396</v>
      </c>
      <c r="G16" s="119">
        <v>103.88759468423041</v>
      </c>
      <c r="H16" s="119">
        <v>20.47</v>
      </c>
      <c r="I16" s="116">
        <v>621</v>
      </c>
      <c r="J16" s="118" t="s">
        <v>269</v>
      </c>
    </row>
    <row r="17" spans="1:10" x14ac:dyDescent="0.25">
      <c r="A17" s="120">
        <v>14</v>
      </c>
      <c r="B17" s="117" t="s">
        <v>475</v>
      </c>
      <c r="C17" s="118" t="s">
        <v>476</v>
      </c>
      <c r="D17" s="118" t="s">
        <v>443</v>
      </c>
      <c r="E17" s="118" t="s">
        <v>477</v>
      </c>
      <c r="F17" s="122">
        <v>13124.6</v>
      </c>
      <c r="G17" s="123">
        <v>13124.6</v>
      </c>
      <c r="H17" s="121">
        <v>0</v>
      </c>
      <c r="I17" s="124">
        <v>0</v>
      </c>
      <c r="J17" s="118" t="s">
        <v>238</v>
      </c>
    </row>
    <row r="18" spans="1:10" x14ac:dyDescent="0.25">
      <c r="A18" s="120">
        <v>15</v>
      </c>
      <c r="B18" s="117" t="s">
        <v>478</v>
      </c>
      <c r="C18" s="118" t="s">
        <v>479</v>
      </c>
      <c r="D18" s="118" t="s">
        <v>443</v>
      </c>
      <c r="E18" s="118" t="s">
        <v>480</v>
      </c>
      <c r="F18" s="121">
        <v>0.01</v>
      </c>
      <c r="G18" s="119">
        <v>0.01</v>
      </c>
      <c r="H18" s="119">
        <v>0</v>
      </c>
      <c r="I18" s="116">
        <v>0</v>
      </c>
      <c r="J18" s="118" t="s">
        <v>238</v>
      </c>
    </row>
    <row r="19" spans="1:10" x14ac:dyDescent="0.25">
      <c r="A19" s="120">
        <v>16</v>
      </c>
      <c r="B19" s="117" t="s">
        <v>486</v>
      </c>
      <c r="C19" s="118" t="s">
        <v>487</v>
      </c>
      <c r="D19" s="118" t="s">
        <v>443</v>
      </c>
      <c r="E19" s="118" t="s">
        <v>2542</v>
      </c>
      <c r="F19" s="121">
        <v>63052.360000000015</v>
      </c>
      <c r="G19" s="119">
        <v>63052.360000000015</v>
      </c>
      <c r="H19" s="119">
        <v>0</v>
      </c>
      <c r="I19" s="116">
        <v>0</v>
      </c>
      <c r="J19" s="118" t="s">
        <v>238</v>
      </c>
    </row>
    <row r="20" spans="1:10" x14ac:dyDescent="0.25">
      <c r="A20" s="120">
        <v>17</v>
      </c>
      <c r="B20" s="117" t="s">
        <v>481</v>
      </c>
      <c r="C20" s="118" t="s">
        <v>482</v>
      </c>
      <c r="D20" s="118" t="s">
        <v>453</v>
      </c>
      <c r="E20" s="118" t="s">
        <v>483</v>
      </c>
      <c r="F20" s="122">
        <v>97.290999999999997</v>
      </c>
      <c r="G20" s="123">
        <v>97.325699999999998</v>
      </c>
      <c r="H20" s="121">
        <v>3.79</v>
      </c>
      <c r="I20" s="124">
        <v>1616</v>
      </c>
      <c r="J20" s="118" t="s">
        <v>269</v>
      </c>
    </row>
    <row r="21" spans="1:10" x14ac:dyDescent="0.25">
      <c r="A21" s="120">
        <v>18</v>
      </c>
      <c r="B21" s="117" t="s">
        <v>484</v>
      </c>
      <c r="C21" s="118" t="s">
        <v>485</v>
      </c>
      <c r="D21" s="118" t="s">
        <v>453</v>
      </c>
      <c r="E21" s="118" t="s">
        <v>483</v>
      </c>
      <c r="F21" s="122">
        <v>95.296000000000006</v>
      </c>
      <c r="G21" s="123">
        <v>95.434899999999999</v>
      </c>
      <c r="H21" s="121">
        <v>3.79</v>
      </c>
      <c r="I21" s="124">
        <v>1420</v>
      </c>
      <c r="J21" s="118" t="s">
        <v>269</v>
      </c>
    </row>
    <row r="22" spans="1:10" x14ac:dyDescent="0.25">
      <c r="A22" s="120">
        <v>19</v>
      </c>
      <c r="B22" s="117" t="s">
        <v>488</v>
      </c>
      <c r="C22" s="118" t="s">
        <v>489</v>
      </c>
      <c r="D22" s="118" t="s">
        <v>453</v>
      </c>
      <c r="E22" s="118" t="s">
        <v>490</v>
      </c>
      <c r="F22" s="122">
        <v>96.007119720417506</v>
      </c>
      <c r="G22" s="123">
        <v>100.57521972041751</v>
      </c>
      <c r="H22" s="121">
        <v>18.73</v>
      </c>
      <c r="I22" s="124">
        <v>217</v>
      </c>
      <c r="J22" s="118" t="s">
        <v>269</v>
      </c>
    </row>
    <row r="23" spans="1:10" x14ac:dyDescent="0.25">
      <c r="A23" s="120">
        <v>20</v>
      </c>
      <c r="B23" s="117" t="s">
        <v>491</v>
      </c>
      <c r="C23" s="118" t="s">
        <v>492</v>
      </c>
      <c r="D23" s="118" t="s">
        <v>453</v>
      </c>
      <c r="E23" s="118" t="s">
        <v>490</v>
      </c>
      <c r="F23" s="122">
        <v>93.162768830216109</v>
      </c>
      <c r="G23" s="123">
        <v>93.461368830216117</v>
      </c>
      <c r="H23" s="121">
        <v>18.75</v>
      </c>
      <c r="I23" s="124">
        <v>350</v>
      </c>
      <c r="J23" s="118" t="s">
        <v>269</v>
      </c>
    </row>
    <row r="24" spans="1:10" x14ac:dyDescent="0.25">
      <c r="A24" s="120">
        <v>21</v>
      </c>
      <c r="B24" s="117" t="s">
        <v>493</v>
      </c>
      <c r="C24" s="118" t="s">
        <v>494</v>
      </c>
      <c r="D24" s="118" t="s">
        <v>453</v>
      </c>
      <c r="E24" s="118" t="s">
        <v>490</v>
      </c>
      <c r="F24" s="122">
        <v>74.924384724041346</v>
      </c>
      <c r="G24" s="123">
        <v>76.536884724041343</v>
      </c>
      <c r="H24" s="121">
        <v>18.850000000000001</v>
      </c>
      <c r="I24" s="124">
        <v>1746</v>
      </c>
      <c r="J24" s="118" t="s">
        <v>269</v>
      </c>
    </row>
    <row r="25" spans="1:10" x14ac:dyDescent="0.25">
      <c r="A25" s="120">
        <v>22</v>
      </c>
      <c r="B25" s="117" t="s">
        <v>495</v>
      </c>
      <c r="C25" s="118" t="s">
        <v>496</v>
      </c>
      <c r="D25" s="118" t="s">
        <v>453</v>
      </c>
      <c r="E25" s="118" t="s">
        <v>490</v>
      </c>
      <c r="F25" s="122">
        <v>86.208849910594395</v>
      </c>
      <c r="G25" s="123">
        <v>91.625549910594401</v>
      </c>
      <c r="H25" s="121">
        <v>18.87</v>
      </c>
      <c r="I25" s="124">
        <v>2210</v>
      </c>
      <c r="J25" s="118" t="s">
        <v>269</v>
      </c>
    </row>
    <row r="26" spans="1:10" x14ac:dyDescent="0.25">
      <c r="A26" s="120">
        <v>23</v>
      </c>
      <c r="B26" s="117" t="s">
        <v>497</v>
      </c>
      <c r="C26" s="118" t="s">
        <v>498</v>
      </c>
      <c r="D26" s="118" t="s">
        <v>453</v>
      </c>
      <c r="E26" s="118" t="s">
        <v>490</v>
      </c>
      <c r="F26" s="122">
        <v>57.509679184516401</v>
      </c>
      <c r="G26" s="123">
        <v>64.471579184516401</v>
      </c>
      <c r="H26" s="121">
        <v>19.78</v>
      </c>
      <c r="I26" s="124">
        <v>2167</v>
      </c>
      <c r="J26" s="118" t="s">
        <v>269</v>
      </c>
    </row>
    <row r="27" spans="1:10" x14ac:dyDescent="0.25">
      <c r="A27" s="120">
        <v>24</v>
      </c>
      <c r="B27" s="117" t="s">
        <v>499</v>
      </c>
      <c r="C27" s="118" t="s">
        <v>500</v>
      </c>
      <c r="D27" s="118" t="s">
        <v>453</v>
      </c>
      <c r="E27" s="118" t="s">
        <v>490</v>
      </c>
      <c r="F27" s="122">
        <v>73.707398628339192</v>
      </c>
      <c r="G27" s="123">
        <v>77.508798628339193</v>
      </c>
      <c r="H27" s="121">
        <v>18.88</v>
      </c>
      <c r="I27" s="124">
        <v>2221</v>
      </c>
      <c r="J27" s="118" t="s">
        <v>269</v>
      </c>
    </row>
    <row r="28" spans="1:10" x14ac:dyDescent="0.25">
      <c r="A28" s="120">
        <v>25</v>
      </c>
      <c r="B28" s="117" t="s">
        <v>501</v>
      </c>
      <c r="C28" s="118" t="s">
        <v>502</v>
      </c>
      <c r="D28" s="118" t="s">
        <v>453</v>
      </c>
      <c r="E28" s="118" t="s">
        <v>490</v>
      </c>
      <c r="F28" s="122">
        <v>97.059264690811546</v>
      </c>
      <c r="G28" s="123">
        <v>101.64816469081156</v>
      </c>
      <c r="H28" s="121">
        <v>18.739999999999998</v>
      </c>
      <c r="I28" s="124">
        <v>242</v>
      </c>
      <c r="J28" s="118" t="s">
        <v>269</v>
      </c>
    </row>
    <row r="29" spans="1:10" x14ac:dyDescent="0.25">
      <c r="A29" s="120">
        <v>26</v>
      </c>
      <c r="B29" s="117" t="s">
        <v>503</v>
      </c>
      <c r="C29" s="118" t="s">
        <v>504</v>
      </c>
      <c r="D29" s="118" t="s">
        <v>443</v>
      </c>
      <c r="E29" s="118" t="s">
        <v>505</v>
      </c>
      <c r="F29" s="122">
        <v>0.01</v>
      </c>
      <c r="G29" s="123">
        <v>0.01</v>
      </c>
      <c r="H29" s="121">
        <v>0</v>
      </c>
      <c r="I29" s="124">
        <v>0</v>
      </c>
      <c r="J29" s="118" t="s">
        <v>238</v>
      </c>
    </row>
    <row r="30" spans="1:10" x14ac:dyDescent="0.25">
      <c r="A30" s="120">
        <v>27</v>
      </c>
      <c r="B30" s="117" t="s">
        <v>506</v>
      </c>
      <c r="C30" s="118" t="s">
        <v>507</v>
      </c>
      <c r="D30" s="118" t="s">
        <v>453</v>
      </c>
      <c r="E30" s="118" t="s">
        <v>508</v>
      </c>
      <c r="F30" s="122">
        <v>100</v>
      </c>
      <c r="G30" s="123">
        <v>100.60209999999999</v>
      </c>
      <c r="H30" s="121">
        <v>4.24</v>
      </c>
      <c r="I30" s="124">
        <v>249</v>
      </c>
      <c r="J30" s="118" t="s">
        <v>269</v>
      </c>
    </row>
    <row r="31" spans="1:10" x14ac:dyDescent="0.25">
      <c r="A31" s="120">
        <v>28</v>
      </c>
      <c r="B31" s="117" t="s">
        <v>509</v>
      </c>
      <c r="C31" s="118" t="s">
        <v>510</v>
      </c>
      <c r="D31" s="118" t="s">
        <v>453</v>
      </c>
      <c r="E31" s="118" t="s">
        <v>508</v>
      </c>
      <c r="F31" s="122">
        <v>100</v>
      </c>
      <c r="G31" s="123">
        <v>100.1692</v>
      </c>
      <c r="H31" s="121">
        <v>0.35</v>
      </c>
      <c r="I31" s="124">
        <v>6</v>
      </c>
      <c r="J31" s="118" t="s">
        <v>269</v>
      </c>
    </row>
    <row r="32" spans="1:10" x14ac:dyDescent="0.25">
      <c r="A32" s="120">
        <v>29</v>
      </c>
      <c r="B32" s="117" t="s">
        <v>511</v>
      </c>
      <c r="C32" s="118" t="s">
        <v>512</v>
      </c>
      <c r="D32" s="118" t="s">
        <v>453</v>
      </c>
      <c r="E32" s="118" t="s">
        <v>508</v>
      </c>
      <c r="F32" s="122">
        <v>100</v>
      </c>
      <c r="G32" s="123">
        <v>100.1293</v>
      </c>
      <c r="H32" s="121">
        <v>0.35</v>
      </c>
      <c r="I32" s="124">
        <v>227</v>
      </c>
      <c r="J32" s="118" t="s">
        <v>269</v>
      </c>
    </row>
    <row r="33" spans="1:10" x14ac:dyDescent="0.25">
      <c r="A33" s="120">
        <v>30</v>
      </c>
      <c r="B33" s="117" t="s">
        <v>2151</v>
      </c>
      <c r="C33" s="118" t="s">
        <v>2152</v>
      </c>
      <c r="D33" s="118" t="s">
        <v>453</v>
      </c>
      <c r="E33" s="118" t="s">
        <v>508</v>
      </c>
      <c r="F33" s="122">
        <v>100</v>
      </c>
      <c r="G33" s="123">
        <v>100.139</v>
      </c>
      <c r="H33" s="121">
        <v>0.35</v>
      </c>
      <c r="I33" s="124">
        <v>577</v>
      </c>
      <c r="J33" s="118" t="s">
        <v>269</v>
      </c>
    </row>
    <row r="34" spans="1:10" x14ac:dyDescent="0.25">
      <c r="A34" s="120">
        <v>31</v>
      </c>
      <c r="B34" s="117" t="s">
        <v>1926</v>
      </c>
      <c r="C34" s="118" t="s">
        <v>1927</v>
      </c>
      <c r="D34" s="118" t="s">
        <v>453</v>
      </c>
      <c r="E34" s="118" t="s">
        <v>508</v>
      </c>
      <c r="F34" s="122">
        <v>100</v>
      </c>
      <c r="G34" s="123">
        <v>100.0168</v>
      </c>
      <c r="H34" s="121">
        <v>0.02</v>
      </c>
      <c r="I34" s="124">
        <v>3040</v>
      </c>
      <c r="J34" s="118" t="s">
        <v>269</v>
      </c>
    </row>
    <row r="35" spans="1:10" x14ac:dyDescent="0.25">
      <c r="A35" s="120">
        <v>32</v>
      </c>
      <c r="B35" s="117" t="s">
        <v>513</v>
      </c>
      <c r="C35" s="118" t="s">
        <v>514</v>
      </c>
      <c r="D35" s="118" t="s">
        <v>453</v>
      </c>
      <c r="E35" s="118" t="s">
        <v>508</v>
      </c>
      <c r="F35" s="122">
        <v>100</v>
      </c>
      <c r="G35" s="123">
        <v>100.0067</v>
      </c>
      <c r="H35" s="121">
        <v>0.02</v>
      </c>
      <c r="I35" s="124">
        <v>3040</v>
      </c>
      <c r="J35" s="118" t="s">
        <v>269</v>
      </c>
    </row>
    <row r="36" spans="1:10" x14ac:dyDescent="0.25">
      <c r="A36" s="120">
        <v>33</v>
      </c>
      <c r="B36" s="117" t="s">
        <v>2486</v>
      </c>
      <c r="C36" s="118" t="s">
        <v>2487</v>
      </c>
      <c r="D36" s="118" t="s">
        <v>453</v>
      </c>
      <c r="E36" s="118" t="s">
        <v>508</v>
      </c>
      <c r="F36" s="122">
        <v>90.081836475033526</v>
      </c>
      <c r="G36" s="123">
        <v>94.126236475033522</v>
      </c>
      <c r="H36" s="121">
        <v>20.56</v>
      </c>
      <c r="I36" s="124">
        <v>3520</v>
      </c>
      <c r="J36" s="118" t="s">
        <v>269</v>
      </c>
    </row>
    <row r="37" spans="1:10" x14ac:dyDescent="0.25">
      <c r="A37" s="120">
        <v>34</v>
      </c>
      <c r="B37" s="117" t="s">
        <v>2351</v>
      </c>
      <c r="C37" s="118" t="s">
        <v>2352</v>
      </c>
      <c r="D37" s="118" t="s">
        <v>453</v>
      </c>
      <c r="E37" s="118" t="s">
        <v>508</v>
      </c>
      <c r="F37" s="122">
        <v>93.024053141473829</v>
      </c>
      <c r="G37" s="123">
        <v>95.701553141473823</v>
      </c>
      <c r="H37" s="121">
        <v>20.55</v>
      </c>
      <c r="I37" s="124">
        <v>3549</v>
      </c>
      <c r="J37" s="118" t="s">
        <v>269</v>
      </c>
    </row>
    <row r="38" spans="1:10" x14ac:dyDescent="0.25">
      <c r="A38" s="120">
        <v>35</v>
      </c>
      <c r="B38" s="117" t="s">
        <v>2353</v>
      </c>
      <c r="C38" s="118" t="s">
        <v>2354</v>
      </c>
      <c r="D38" s="118" t="s">
        <v>453</v>
      </c>
      <c r="E38" s="118" t="s">
        <v>508</v>
      </c>
      <c r="F38" s="122">
        <v>93.024053141473829</v>
      </c>
      <c r="G38" s="123">
        <v>95.701553141473823</v>
      </c>
      <c r="H38" s="121">
        <v>20.55</v>
      </c>
      <c r="I38" s="124">
        <v>3549</v>
      </c>
      <c r="J38" s="118" t="s">
        <v>269</v>
      </c>
    </row>
    <row r="39" spans="1:10" x14ac:dyDescent="0.25">
      <c r="A39" s="120">
        <v>36</v>
      </c>
      <c r="B39" s="117" t="s">
        <v>2391</v>
      </c>
      <c r="C39" s="118" t="s">
        <v>2392</v>
      </c>
      <c r="D39" s="118" t="s">
        <v>453</v>
      </c>
      <c r="E39" s="118" t="s">
        <v>508</v>
      </c>
      <c r="F39" s="122">
        <v>92.989296467033995</v>
      </c>
      <c r="G39" s="123">
        <v>95.456796467033996</v>
      </c>
      <c r="H39" s="121">
        <v>20.56</v>
      </c>
      <c r="I39" s="124">
        <v>3553</v>
      </c>
      <c r="J39" s="118" t="s">
        <v>269</v>
      </c>
    </row>
    <row r="40" spans="1:10" x14ac:dyDescent="0.25">
      <c r="A40" s="120">
        <v>37</v>
      </c>
      <c r="B40" s="117" t="s">
        <v>20</v>
      </c>
      <c r="C40" s="118" t="s">
        <v>21</v>
      </c>
      <c r="D40" s="118" t="s">
        <v>443</v>
      </c>
      <c r="E40" s="118" t="s">
        <v>22</v>
      </c>
      <c r="F40" s="121">
        <v>807.47996324342625</v>
      </c>
      <c r="G40" s="119">
        <v>807.47996324342625</v>
      </c>
      <c r="H40" s="119">
        <v>0</v>
      </c>
      <c r="I40" s="116">
        <v>0</v>
      </c>
      <c r="J40" s="118" t="s">
        <v>238</v>
      </c>
    </row>
    <row r="41" spans="1:10" x14ac:dyDescent="0.25">
      <c r="A41" s="120">
        <v>38</v>
      </c>
      <c r="B41" s="117" t="s">
        <v>518</v>
      </c>
      <c r="C41" s="118" t="s">
        <v>519</v>
      </c>
      <c r="D41" s="118" t="s">
        <v>520</v>
      </c>
      <c r="E41" s="118" t="s">
        <v>22</v>
      </c>
      <c r="F41" s="121">
        <v>3387.8880000000008</v>
      </c>
      <c r="G41" s="119">
        <v>3387.8880000000008</v>
      </c>
      <c r="H41" s="119">
        <v>0</v>
      </c>
      <c r="I41" s="116">
        <v>0</v>
      </c>
      <c r="J41" s="118" t="s">
        <v>238</v>
      </c>
    </row>
    <row r="42" spans="1:10" x14ac:dyDescent="0.25">
      <c r="A42" s="120">
        <v>39</v>
      </c>
      <c r="B42" s="117" t="s">
        <v>515</v>
      </c>
      <c r="C42" s="118" t="s">
        <v>516</v>
      </c>
      <c r="D42" s="118" t="s">
        <v>443</v>
      </c>
      <c r="E42" s="118" t="s">
        <v>517</v>
      </c>
      <c r="F42" s="122">
        <v>128289.53775</v>
      </c>
      <c r="G42" s="123">
        <v>128289.53775</v>
      </c>
      <c r="H42" s="121">
        <v>0</v>
      </c>
      <c r="I42" s="124">
        <v>0</v>
      </c>
      <c r="J42" s="118" t="s">
        <v>238</v>
      </c>
    </row>
    <row r="43" spans="1:10" x14ac:dyDescent="0.25">
      <c r="A43" s="120">
        <v>40</v>
      </c>
      <c r="B43" s="117" t="s">
        <v>521</v>
      </c>
      <c r="C43" s="118" t="s">
        <v>522</v>
      </c>
      <c r="D43" s="118" t="s">
        <v>443</v>
      </c>
      <c r="E43" s="118" t="s">
        <v>523</v>
      </c>
      <c r="F43" s="122">
        <v>1000</v>
      </c>
      <c r="G43" s="123">
        <v>1000</v>
      </c>
      <c r="H43" s="121">
        <v>0</v>
      </c>
      <c r="I43" s="124">
        <v>0</v>
      </c>
      <c r="J43" s="118" t="s">
        <v>238</v>
      </c>
    </row>
    <row r="44" spans="1:10" x14ac:dyDescent="0.25">
      <c r="A44" s="120">
        <v>41</v>
      </c>
      <c r="B44" s="117" t="s">
        <v>524</v>
      </c>
      <c r="C44" s="118" t="s">
        <v>525</v>
      </c>
      <c r="D44" s="118" t="s">
        <v>453</v>
      </c>
      <c r="E44" s="118" t="s">
        <v>526</v>
      </c>
      <c r="F44" s="122">
        <v>100</v>
      </c>
      <c r="G44" s="123">
        <v>100.60209999999999</v>
      </c>
      <c r="H44" s="121">
        <v>4.24</v>
      </c>
      <c r="I44" s="124">
        <v>249</v>
      </c>
      <c r="J44" s="118" t="s">
        <v>269</v>
      </c>
    </row>
    <row r="45" spans="1:10" x14ac:dyDescent="0.25">
      <c r="A45" s="120">
        <v>42</v>
      </c>
      <c r="B45" s="117" t="s">
        <v>527</v>
      </c>
      <c r="C45" s="118" t="s">
        <v>528</v>
      </c>
      <c r="D45" s="118" t="s">
        <v>453</v>
      </c>
      <c r="E45" s="118" t="s">
        <v>526</v>
      </c>
      <c r="F45" s="122">
        <v>100</v>
      </c>
      <c r="G45" s="123">
        <v>100.1371</v>
      </c>
      <c r="H45" s="121">
        <v>0.35</v>
      </c>
      <c r="I45" s="124">
        <v>39</v>
      </c>
      <c r="J45" s="118" t="s">
        <v>269</v>
      </c>
    </row>
    <row r="46" spans="1:10" x14ac:dyDescent="0.25">
      <c r="A46" s="120">
        <v>43</v>
      </c>
      <c r="B46" s="117" t="s">
        <v>529</v>
      </c>
      <c r="C46" s="118" t="s">
        <v>530</v>
      </c>
      <c r="D46" s="118" t="s">
        <v>453</v>
      </c>
      <c r="E46" s="118" t="s">
        <v>526</v>
      </c>
      <c r="F46" s="122">
        <v>100</v>
      </c>
      <c r="G46" s="123">
        <v>100.13809999999999</v>
      </c>
      <c r="H46" s="121">
        <v>0.35</v>
      </c>
      <c r="I46" s="124">
        <v>218</v>
      </c>
      <c r="J46" s="118" t="s">
        <v>269</v>
      </c>
    </row>
    <row r="47" spans="1:10" x14ac:dyDescent="0.25">
      <c r="A47" s="120">
        <v>44</v>
      </c>
      <c r="B47" s="117" t="s">
        <v>2211</v>
      </c>
      <c r="C47" s="118" t="s">
        <v>2212</v>
      </c>
      <c r="D47" s="118" t="s">
        <v>453</v>
      </c>
      <c r="E47" s="118" t="s">
        <v>526</v>
      </c>
      <c r="F47" s="121">
        <v>100</v>
      </c>
      <c r="G47" s="119">
        <v>100.1069</v>
      </c>
      <c r="H47" s="119">
        <v>0.35</v>
      </c>
      <c r="I47" s="116">
        <v>610</v>
      </c>
      <c r="J47" s="118" t="s">
        <v>269</v>
      </c>
    </row>
    <row r="48" spans="1:10" x14ac:dyDescent="0.25">
      <c r="A48" s="120">
        <v>45</v>
      </c>
      <c r="B48" s="117" t="s">
        <v>531</v>
      </c>
      <c r="C48" s="118" t="s">
        <v>532</v>
      </c>
      <c r="D48" s="118" t="s">
        <v>453</v>
      </c>
      <c r="E48" s="118" t="s">
        <v>526</v>
      </c>
      <c r="F48" s="121">
        <v>100</v>
      </c>
      <c r="G48" s="119">
        <v>100.0042</v>
      </c>
      <c r="H48" s="119">
        <v>0.02</v>
      </c>
      <c r="I48" s="116">
        <v>3040</v>
      </c>
      <c r="J48" s="118" t="s">
        <v>269</v>
      </c>
    </row>
    <row r="49" spans="1:10" x14ac:dyDescent="0.25">
      <c r="A49" s="120">
        <v>46</v>
      </c>
      <c r="B49" s="117" t="s">
        <v>533</v>
      </c>
      <c r="C49" s="118" t="s">
        <v>534</v>
      </c>
      <c r="D49" s="118" t="s">
        <v>453</v>
      </c>
      <c r="E49" s="118" t="s">
        <v>526</v>
      </c>
      <c r="F49" s="121">
        <v>100</v>
      </c>
      <c r="G49" s="119">
        <v>101.9486</v>
      </c>
      <c r="H49" s="119">
        <v>6.08</v>
      </c>
      <c r="I49" s="116">
        <v>1655</v>
      </c>
      <c r="J49" s="118" t="s">
        <v>269</v>
      </c>
    </row>
    <row r="50" spans="1:10" x14ac:dyDescent="0.25">
      <c r="A50" s="120">
        <v>47</v>
      </c>
      <c r="B50" s="117" t="s">
        <v>535</v>
      </c>
      <c r="C50" s="118" t="s">
        <v>536</v>
      </c>
      <c r="D50" s="118" t="s">
        <v>453</v>
      </c>
      <c r="E50" s="118" t="s">
        <v>526</v>
      </c>
      <c r="F50" s="121">
        <v>100</v>
      </c>
      <c r="G50" s="119">
        <v>106.9619</v>
      </c>
      <c r="H50" s="119">
        <v>7.08</v>
      </c>
      <c r="I50" s="116">
        <v>2137</v>
      </c>
      <c r="J50" s="118" t="s">
        <v>269</v>
      </c>
    </row>
    <row r="51" spans="1:10" x14ac:dyDescent="0.25">
      <c r="A51" s="120">
        <v>48</v>
      </c>
      <c r="B51" s="117" t="s">
        <v>2355</v>
      </c>
      <c r="C51" s="118" t="s">
        <v>2356</v>
      </c>
      <c r="D51" s="118" t="s">
        <v>453</v>
      </c>
      <c r="E51" s="118" t="s">
        <v>526</v>
      </c>
      <c r="F51" s="121">
        <v>93.024053141473829</v>
      </c>
      <c r="G51" s="119">
        <v>95.701553141473823</v>
      </c>
      <c r="H51" s="119">
        <v>20.55</v>
      </c>
      <c r="I51" s="116">
        <v>3549</v>
      </c>
      <c r="J51" s="118" t="s">
        <v>269</v>
      </c>
    </row>
    <row r="52" spans="1:10" x14ac:dyDescent="0.25">
      <c r="A52" s="120">
        <v>49</v>
      </c>
      <c r="B52" s="117" t="s">
        <v>537</v>
      </c>
      <c r="C52" s="118" t="s">
        <v>538</v>
      </c>
      <c r="D52" s="118" t="s">
        <v>453</v>
      </c>
      <c r="E52" s="118" t="s">
        <v>526</v>
      </c>
      <c r="F52" s="122">
        <v>100</v>
      </c>
      <c r="G52" s="123">
        <v>101.1183</v>
      </c>
      <c r="H52" s="121">
        <v>6.08</v>
      </c>
      <c r="I52" s="124">
        <v>2064</v>
      </c>
      <c r="J52" s="118" t="s">
        <v>269</v>
      </c>
    </row>
    <row r="53" spans="1:10" x14ac:dyDescent="0.25">
      <c r="A53" s="120">
        <v>50</v>
      </c>
      <c r="B53" s="117" t="s">
        <v>539</v>
      </c>
      <c r="C53" s="118" t="s">
        <v>540</v>
      </c>
      <c r="D53" s="118" t="s">
        <v>453</v>
      </c>
      <c r="E53" s="118" t="s">
        <v>526</v>
      </c>
      <c r="F53" s="121">
        <v>100</v>
      </c>
      <c r="G53" s="119">
        <v>106.06610000000001</v>
      </c>
      <c r="H53" s="119">
        <v>6.09</v>
      </c>
      <c r="I53" s="116">
        <v>2492</v>
      </c>
      <c r="J53" s="118" t="s">
        <v>269</v>
      </c>
    </row>
    <row r="54" spans="1:10" x14ac:dyDescent="0.25">
      <c r="A54" s="120">
        <v>51</v>
      </c>
      <c r="B54" s="117" t="s">
        <v>541</v>
      </c>
      <c r="C54" s="118" t="s">
        <v>542</v>
      </c>
      <c r="D54" s="118" t="s">
        <v>453</v>
      </c>
      <c r="E54" s="118" t="s">
        <v>526</v>
      </c>
      <c r="F54" s="122">
        <v>100</v>
      </c>
      <c r="G54" s="123">
        <v>106.06610000000001</v>
      </c>
      <c r="H54" s="121">
        <v>6.09</v>
      </c>
      <c r="I54" s="124">
        <v>2492</v>
      </c>
      <c r="J54" s="118" t="s">
        <v>269</v>
      </c>
    </row>
    <row r="55" spans="1:10" x14ac:dyDescent="0.25">
      <c r="A55" s="120">
        <v>52</v>
      </c>
      <c r="B55" s="117" t="s">
        <v>543</v>
      </c>
      <c r="C55" s="118" t="s">
        <v>544</v>
      </c>
      <c r="D55" s="118" t="s">
        <v>453</v>
      </c>
      <c r="E55" s="118" t="s">
        <v>526</v>
      </c>
      <c r="F55" s="122">
        <v>100</v>
      </c>
      <c r="G55" s="123">
        <v>104.9308</v>
      </c>
      <c r="H55" s="121">
        <v>6.08</v>
      </c>
      <c r="I55" s="124">
        <v>2559</v>
      </c>
      <c r="J55" s="118" t="s">
        <v>269</v>
      </c>
    </row>
    <row r="56" spans="1:10" x14ac:dyDescent="0.25">
      <c r="A56" s="120">
        <v>53</v>
      </c>
      <c r="B56" s="117" t="s">
        <v>545</v>
      </c>
      <c r="C56" s="118" t="s">
        <v>546</v>
      </c>
      <c r="D56" s="118" t="s">
        <v>443</v>
      </c>
      <c r="E56" s="118" t="s">
        <v>547</v>
      </c>
      <c r="F56" s="122">
        <v>1129.78</v>
      </c>
      <c r="G56" s="123">
        <v>1129.78</v>
      </c>
      <c r="H56" s="121">
        <v>0</v>
      </c>
      <c r="I56" s="124">
        <v>2933</v>
      </c>
      <c r="J56" s="118" t="s">
        <v>238</v>
      </c>
    </row>
    <row r="57" spans="1:10" x14ac:dyDescent="0.25">
      <c r="A57" s="120">
        <v>54</v>
      </c>
      <c r="B57" s="117" t="s">
        <v>548</v>
      </c>
      <c r="C57" s="118" t="s">
        <v>549</v>
      </c>
      <c r="D57" s="118" t="s">
        <v>443</v>
      </c>
      <c r="E57" s="118" t="s">
        <v>547</v>
      </c>
      <c r="F57" s="122">
        <v>0.01</v>
      </c>
      <c r="G57" s="123">
        <v>0.01</v>
      </c>
      <c r="H57" s="121">
        <v>0</v>
      </c>
      <c r="I57" s="124">
        <v>1334</v>
      </c>
      <c r="J57" s="118" t="s">
        <v>238</v>
      </c>
    </row>
    <row r="58" spans="1:10" x14ac:dyDescent="0.25">
      <c r="A58" s="120">
        <v>55</v>
      </c>
      <c r="B58" s="117" t="s">
        <v>550</v>
      </c>
      <c r="C58" s="118" t="s">
        <v>551</v>
      </c>
      <c r="D58" s="118" t="s">
        <v>443</v>
      </c>
      <c r="E58" s="118" t="s">
        <v>552</v>
      </c>
      <c r="F58" s="122">
        <v>0.01</v>
      </c>
      <c r="G58" s="123">
        <v>0.01</v>
      </c>
      <c r="H58" s="121">
        <v>0</v>
      </c>
      <c r="I58" s="124">
        <v>0</v>
      </c>
      <c r="J58" s="118" t="s">
        <v>238</v>
      </c>
    </row>
    <row r="59" spans="1:10" x14ac:dyDescent="0.25">
      <c r="A59" s="120">
        <v>56</v>
      </c>
      <c r="B59" s="117" t="s">
        <v>2092</v>
      </c>
      <c r="C59" s="118" t="s">
        <v>2093</v>
      </c>
      <c r="D59" s="118" t="s">
        <v>453</v>
      </c>
      <c r="E59" s="118" t="s">
        <v>2094</v>
      </c>
      <c r="F59" s="122">
        <v>99.279522894845712</v>
      </c>
      <c r="G59" s="123">
        <v>105.20172289484572</v>
      </c>
      <c r="H59" s="121">
        <v>26.39</v>
      </c>
      <c r="I59" s="124">
        <v>908</v>
      </c>
      <c r="J59" s="118" t="s">
        <v>269</v>
      </c>
    </row>
    <row r="60" spans="1:10" x14ac:dyDescent="0.25">
      <c r="A60" s="120">
        <v>57</v>
      </c>
      <c r="B60" s="117" t="s">
        <v>23</v>
      </c>
      <c r="C60" s="118" t="s">
        <v>24</v>
      </c>
      <c r="D60" s="118" t="s">
        <v>443</v>
      </c>
      <c r="E60" s="118" t="s">
        <v>553</v>
      </c>
      <c r="F60" s="121">
        <v>6301.35</v>
      </c>
      <c r="G60" s="119">
        <v>6301.35</v>
      </c>
      <c r="H60" s="119">
        <v>0</v>
      </c>
      <c r="I60" s="116">
        <v>0</v>
      </c>
      <c r="J60" s="118" t="s">
        <v>238</v>
      </c>
    </row>
    <row r="61" spans="1:10" x14ac:dyDescent="0.25">
      <c r="A61" s="120">
        <v>58</v>
      </c>
      <c r="B61" s="117" t="s">
        <v>554</v>
      </c>
      <c r="C61" s="118" t="s">
        <v>555</v>
      </c>
      <c r="D61" s="118" t="s">
        <v>453</v>
      </c>
      <c r="E61" s="118" t="s">
        <v>34</v>
      </c>
      <c r="F61" s="121">
        <v>93.745821596919953</v>
      </c>
      <c r="G61" s="119">
        <v>98.971521596919956</v>
      </c>
      <c r="H61" s="119">
        <v>17.75</v>
      </c>
      <c r="I61" s="116">
        <v>365</v>
      </c>
      <c r="J61" s="118" t="s">
        <v>269</v>
      </c>
    </row>
    <row r="62" spans="1:10" x14ac:dyDescent="0.25">
      <c r="A62" s="120">
        <v>59</v>
      </c>
      <c r="B62" s="117" t="s">
        <v>556</v>
      </c>
      <c r="C62" s="118" t="s">
        <v>557</v>
      </c>
      <c r="D62" s="118" t="s">
        <v>453</v>
      </c>
      <c r="E62" s="118" t="s">
        <v>558</v>
      </c>
      <c r="F62" s="122">
        <v>100</v>
      </c>
      <c r="G62" s="123">
        <v>100.2833</v>
      </c>
      <c r="H62" s="121">
        <v>4.24</v>
      </c>
      <c r="I62" s="124">
        <v>276</v>
      </c>
      <c r="J62" s="118" t="s">
        <v>269</v>
      </c>
    </row>
    <row r="63" spans="1:10" x14ac:dyDescent="0.25">
      <c r="A63" s="120">
        <v>60</v>
      </c>
      <c r="B63" s="117" t="s">
        <v>559</v>
      </c>
      <c r="C63" s="118" t="s">
        <v>560</v>
      </c>
      <c r="D63" s="118" t="s">
        <v>453</v>
      </c>
      <c r="E63" s="118" t="s">
        <v>558</v>
      </c>
      <c r="F63" s="122">
        <v>100</v>
      </c>
      <c r="G63" s="123">
        <v>100.0029</v>
      </c>
      <c r="H63" s="121">
        <v>0.02</v>
      </c>
      <c r="I63" s="124">
        <v>3040</v>
      </c>
      <c r="J63" s="118" t="s">
        <v>269</v>
      </c>
    </row>
    <row r="64" spans="1:10" x14ac:dyDescent="0.25">
      <c r="A64" s="120">
        <v>61</v>
      </c>
      <c r="B64" s="117" t="s">
        <v>561</v>
      </c>
      <c r="C64" s="118" t="s">
        <v>562</v>
      </c>
      <c r="D64" s="118" t="s">
        <v>453</v>
      </c>
      <c r="E64" s="118" t="s">
        <v>558</v>
      </c>
      <c r="F64" s="122">
        <v>100</v>
      </c>
      <c r="G64" s="123">
        <v>105.8378</v>
      </c>
      <c r="H64" s="121">
        <v>7.05</v>
      </c>
      <c r="I64" s="124">
        <v>2137</v>
      </c>
      <c r="J64" s="118" t="s">
        <v>269</v>
      </c>
    </row>
    <row r="65" spans="1:10" x14ac:dyDescent="0.25">
      <c r="A65" s="120">
        <v>62</v>
      </c>
      <c r="B65" s="117" t="s">
        <v>563</v>
      </c>
      <c r="C65" s="118" t="s">
        <v>564</v>
      </c>
      <c r="D65" s="118" t="s">
        <v>453</v>
      </c>
      <c r="E65" s="118" t="s">
        <v>558</v>
      </c>
      <c r="F65" s="122">
        <v>100</v>
      </c>
      <c r="G65" s="123">
        <v>101.9486</v>
      </c>
      <c r="H65" s="121">
        <v>6.08</v>
      </c>
      <c r="I65" s="124">
        <v>1655</v>
      </c>
      <c r="J65" s="118" t="s">
        <v>269</v>
      </c>
    </row>
    <row r="66" spans="1:10" x14ac:dyDescent="0.25">
      <c r="A66" s="120">
        <v>63</v>
      </c>
      <c r="B66" s="117" t="s">
        <v>565</v>
      </c>
      <c r="C66" s="118" t="s">
        <v>566</v>
      </c>
      <c r="D66" s="118" t="s">
        <v>453</v>
      </c>
      <c r="E66" s="118" t="s">
        <v>558</v>
      </c>
      <c r="F66" s="122">
        <v>100</v>
      </c>
      <c r="G66" s="123">
        <v>106.9619</v>
      </c>
      <c r="H66" s="121">
        <v>7.08</v>
      </c>
      <c r="I66" s="124">
        <v>2137</v>
      </c>
      <c r="J66" s="118" t="s">
        <v>269</v>
      </c>
    </row>
    <row r="67" spans="1:10" x14ac:dyDescent="0.25">
      <c r="A67" s="120">
        <v>64</v>
      </c>
      <c r="B67" s="117" t="s">
        <v>567</v>
      </c>
      <c r="C67" s="118" t="s">
        <v>568</v>
      </c>
      <c r="D67" s="118" t="s">
        <v>453</v>
      </c>
      <c r="E67" s="118" t="s">
        <v>558</v>
      </c>
      <c r="F67" s="122">
        <v>100</v>
      </c>
      <c r="G67" s="123">
        <v>101.1183</v>
      </c>
      <c r="H67" s="121">
        <v>6.08</v>
      </c>
      <c r="I67" s="124">
        <v>2064</v>
      </c>
      <c r="J67" s="118" t="s">
        <v>269</v>
      </c>
    </row>
    <row r="68" spans="1:10" x14ac:dyDescent="0.25">
      <c r="A68" s="120">
        <v>65</v>
      </c>
      <c r="B68" s="117" t="s">
        <v>569</v>
      </c>
      <c r="C68" s="118" t="s">
        <v>570</v>
      </c>
      <c r="D68" s="118" t="s">
        <v>453</v>
      </c>
      <c r="E68" s="118" t="s">
        <v>558</v>
      </c>
      <c r="F68" s="122">
        <v>100</v>
      </c>
      <c r="G68" s="123">
        <v>106.06610000000001</v>
      </c>
      <c r="H68" s="121">
        <v>6.09</v>
      </c>
      <c r="I68" s="124">
        <v>2492</v>
      </c>
      <c r="J68" s="118" t="s">
        <v>269</v>
      </c>
    </row>
    <row r="69" spans="1:10" x14ac:dyDescent="0.25">
      <c r="A69" s="120">
        <v>66</v>
      </c>
      <c r="B69" s="117" t="s">
        <v>571</v>
      </c>
      <c r="C69" s="118" t="s">
        <v>572</v>
      </c>
      <c r="D69" s="118" t="s">
        <v>453</v>
      </c>
      <c r="E69" s="118" t="s">
        <v>558</v>
      </c>
      <c r="F69" s="122">
        <v>100</v>
      </c>
      <c r="G69" s="123">
        <v>106.06610000000001</v>
      </c>
      <c r="H69" s="121">
        <v>6.09</v>
      </c>
      <c r="I69" s="124">
        <v>2492</v>
      </c>
      <c r="J69" s="118" t="s">
        <v>269</v>
      </c>
    </row>
    <row r="70" spans="1:10" x14ac:dyDescent="0.25">
      <c r="A70" s="120">
        <v>67</v>
      </c>
      <c r="B70" s="117" t="s">
        <v>573</v>
      </c>
      <c r="C70" s="118" t="s">
        <v>574</v>
      </c>
      <c r="D70" s="118" t="s">
        <v>453</v>
      </c>
      <c r="E70" s="118" t="s">
        <v>558</v>
      </c>
      <c r="F70" s="122">
        <v>100</v>
      </c>
      <c r="G70" s="123">
        <v>104.9308</v>
      </c>
      <c r="H70" s="121">
        <v>6.08</v>
      </c>
      <c r="I70" s="124">
        <v>2559</v>
      </c>
      <c r="J70" s="118" t="s">
        <v>269</v>
      </c>
    </row>
    <row r="71" spans="1:10" x14ac:dyDescent="0.25">
      <c r="A71" s="120">
        <v>68</v>
      </c>
      <c r="B71" s="117" t="s">
        <v>575</v>
      </c>
      <c r="C71" s="118" t="s">
        <v>576</v>
      </c>
      <c r="D71" s="118" t="s">
        <v>453</v>
      </c>
      <c r="E71" s="118" t="s">
        <v>1967</v>
      </c>
      <c r="F71" s="122">
        <v>88.661053748056986</v>
      </c>
      <c r="G71" s="123">
        <v>94.044353748056992</v>
      </c>
      <c r="H71" s="121">
        <v>29.39</v>
      </c>
      <c r="I71" s="124">
        <v>2444</v>
      </c>
      <c r="J71" s="118" t="s">
        <v>269</v>
      </c>
    </row>
    <row r="72" spans="1:10" x14ac:dyDescent="0.25">
      <c r="A72" s="120">
        <v>69</v>
      </c>
      <c r="B72" s="117" t="s">
        <v>577</v>
      </c>
      <c r="C72" s="118" t="s">
        <v>578</v>
      </c>
      <c r="D72" s="118" t="s">
        <v>443</v>
      </c>
      <c r="E72" s="118" t="s">
        <v>430</v>
      </c>
      <c r="F72" s="122">
        <v>14000</v>
      </c>
      <c r="G72" s="123">
        <v>14000</v>
      </c>
      <c r="H72" s="121">
        <v>0</v>
      </c>
      <c r="I72" s="124">
        <v>0</v>
      </c>
      <c r="J72" s="118" t="s">
        <v>238</v>
      </c>
    </row>
    <row r="73" spans="1:10" x14ac:dyDescent="0.25">
      <c r="A73" s="120">
        <v>70</v>
      </c>
      <c r="B73" s="117" t="s">
        <v>428</v>
      </c>
      <c r="C73" s="118" t="s">
        <v>429</v>
      </c>
      <c r="D73" s="118" t="s">
        <v>453</v>
      </c>
      <c r="E73" s="118" t="s">
        <v>430</v>
      </c>
      <c r="F73" s="122">
        <v>98.463142418529017</v>
      </c>
      <c r="G73" s="123">
        <v>98.996442418529014</v>
      </c>
      <c r="H73" s="121">
        <v>8.7799999999999994</v>
      </c>
      <c r="I73" s="124">
        <v>786</v>
      </c>
      <c r="J73" s="118" t="s">
        <v>269</v>
      </c>
    </row>
    <row r="74" spans="1:10" x14ac:dyDescent="0.25">
      <c r="A74" s="120">
        <v>71</v>
      </c>
      <c r="B74" s="117" t="s">
        <v>579</v>
      </c>
      <c r="C74" s="118" t="s">
        <v>580</v>
      </c>
      <c r="D74" s="118" t="s">
        <v>443</v>
      </c>
      <c r="E74" s="118" t="s">
        <v>581</v>
      </c>
      <c r="F74" s="122">
        <v>0.01</v>
      </c>
      <c r="G74" s="123">
        <v>0.01</v>
      </c>
      <c r="H74" s="121">
        <v>0</v>
      </c>
      <c r="I74" s="124">
        <v>0</v>
      </c>
      <c r="J74" s="118" t="s">
        <v>238</v>
      </c>
    </row>
    <row r="75" spans="1:10" x14ac:dyDescent="0.25">
      <c r="A75" s="120">
        <v>72</v>
      </c>
      <c r="B75" s="117" t="s">
        <v>582</v>
      </c>
      <c r="C75" s="118" t="s">
        <v>583</v>
      </c>
      <c r="D75" s="118" t="s">
        <v>443</v>
      </c>
      <c r="E75" s="118" t="s">
        <v>584</v>
      </c>
      <c r="F75" s="122">
        <v>15.43</v>
      </c>
      <c r="G75" s="123">
        <v>15.43</v>
      </c>
      <c r="H75" s="121">
        <v>0</v>
      </c>
      <c r="I75" s="124">
        <v>0</v>
      </c>
      <c r="J75" s="118" t="s">
        <v>238</v>
      </c>
    </row>
    <row r="76" spans="1:10" x14ac:dyDescent="0.25">
      <c r="A76" s="120">
        <v>73</v>
      </c>
      <c r="B76" s="117" t="s">
        <v>585</v>
      </c>
      <c r="C76" s="118" t="s">
        <v>586</v>
      </c>
      <c r="D76" s="118" t="s">
        <v>443</v>
      </c>
      <c r="E76" s="118" t="s">
        <v>2543</v>
      </c>
      <c r="F76" s="121">
        <v>126255.29280000002</v>
      </c>
      <c r="G76" s="119">
        <v>126255.29280000002</v>
      </c>
      <c r="H76" s="119">
        <v>0</v>
      </c>
      <c r="I76" s="116">
        <v>0</v>
      </c>
      <c r="J76" s="118" t="s">
        <v>238</v>
      </c>
    </row>
    <row r="77" spans="1:10" x14ac:dyDescent="0.25">
      <c r="A77" s="120">
        <v>74</v>
      </c>
      <c r="B77" s="117" t="s">
        <v>587</v>
      </c>
      <c r="C77" s="118" t="s">
        <v>588</v>
      </c>
      <c r="D77" s="118" t="s">
        <v>443</v>
      </c>
      <c r="E77" s="118" t="s">
        <v>589</v>
      </c>
      <c r="F77" s="122">
        <v>15500.01</v>
      </c>
      <c r="G77" s="123">
        <v>15500.01</v>
      </c>
      <c r="H77" s="121">
        <v>0</v>
      </c>
      <c r="I77" s="124">
        <v>0</v>
      </c>
      <c r="J77" s="118" t="s">
        <v>238</v>
      </c>
    </row>
    <row r="78" spans="1:10" x14ac:dyDescent="0.25">
      <c r="A78" s="120">
        <v>75</v>
      </c>
      <c r="B78" s="117" t="s">
        <v>590</v>
      </c>
      <c r="C78" s="118" t="s">
        <v>591</v>
      </c>
      <c r="D78" s="118" t="s">
        <v>443</v>
      </c>
      <c r="E78" s="118" t="s">
        <v>592</v>
      </c>
      <c r="F78" s="122">
        <v>0.01</v>
      </c>
      <c r="G78" s="123">
        <v>0.01</v>
      </c>
      <c r="H78" s="121">
        <v>0</v>
      </c>
      <c r="I78" s="124">
        <v>0</v>
      </c>
      <c r="J78" s="118" t="s">
        <v>238</v>
      </c>
    </row>
    <row r="79" spans="1:10" x14ac:dyDescent="0.25">
      <c r="A79" s="120">
        <v>76</v>
      </c>
      <c r="B79" s="117" t="s">
        <v>593</v>
      </c>
      <c r="C79" s="118" t="s">
        <v>594</v>
      </c>
      <c r="D79" s="118" t="s">
        <v>443</v>
      </c>
      <c r="E79" s="118" t="s">
        <v>595</v>
      </c>
      <c r="F79" s="122">
        <v>0.01</v>
      </c>
      <c r="G79" s="123">
        <v>0.01</v>
      </c>
      <c r="H79" s="121">
        <v>0</v>
      </c>
      <c r="I79" s="124">
        <v>0</v>
      </c>
      <c r="J79" s="118" t="s">
        <v>238</v>
      </c>
    </row>
    <row r="80" spans="1:10" x14ac:dyDescent="0.25">
      <c r="A80" s="120">
        <v>77</v>
      </c>
      <c r="B80" s="117" t="s">
        <v>596</v>
      </c>
      <c r="C80" s="118" t="s">
        <v>597</v>
      </c>
      <c r="D80" s="118" t="s">
        <v>443</v>
      </c>
      <c r="E80" s="118" t="s">
        <v>2544</v>
      </c>
      <c r="F80" s="122">
        <v>114999.97600000002</v>
      </c>
      <c r="G80" s="123">
        <v>114999.97600000002</v>
      </c>
      <c r="H80" s="121">
        <v>0</v>
      </c>
      <c r="I80" s="124">
        <v>0</v>
      </c>
      <c r="J80" s="118" t="s">
        <v>238</v>
      </c>
    </row>
    <row r="81" spans="1:10" x14ac:dyDescent="0.25">
      <c r="A81" s="120">
        <v>78</v>
      </c>
      <c r="B81" s="117" t="s">
        <v>598</v>
      </c>
      <c r="C81" s="118" t="s">
        <v>599</v>
      </c>
      <c r="D81" s="118" t="s">
        <v>443</v>
      </c>
      <c r="E81" s="118" t="s">
        <v>600</v>
      </c>
      <c r="F81" s="122">
        <v>0.01</v>
      </c>
      <c r="G81" s="123">
        <v>0.01</v>
      </c>
      <c r="H81" s="121">
        <v>0</v>
      </c>
      <c r="I81" s="124">
        <v>0</v>
      </c>
      <c r="J81" s="118" t="s">
        <v>238</v>
      </c>
    </row>
    <row r="82" spans="1:10" x14ac:dyDescent="0.25">
      <c r="A82" s="120">
        <v>79</v>
      </c>
      <c r="B82" s="117" t="s">
        <v>601</v>
      </c>
      <c r="C82" s="118" t="s">
        <v>602</v>
      </c>
      <c r="D82" s="118" t="s">
        <v>453</v>
      </c>
      <c r="E82" s="118" t="s">
        <v>603</v>
      </c>
      <c r="F82" s="121">
        <v>94.164251376872329</v>
      </c>
      <c r="G82" s="119">
        <v>94.589251376872326</v>
      </c>
      <c r="H82" s="119">
        <v>27.47</v>
      </c>
      <c r="I82" s="116">
        <v>2334</v>
      </c>
      <c r="J82" s="118" t="s">
        <v>269</v>
      </c>
    </row>
    <row r="83" spans="1:10" x14ac:dyDescent="0.25">
      <c r="A83" s="120">
        <v>80</v>
      </c>
      <c r="B83" s="117" t="s">
        <v>604</v>
      </c>
      <c r="C83" s="118" t="s">
        <v>605</v>
      </c>
      <c r="D83" s="118" t="s">
        <v>453</v>
      </c>
      <c r="E83" s="118" t="s">
        <v>603</v>
      </c>
      <c r="F83" s="121">
        <v>95.267488890554816</v>
      </c>
      <c r="G83" s="119">
        <v>103.93418889055482</v>
      </c>
      <c r="H83" s="119">
        <v>27.48</v>
      </c>
      <c r="I83" s="116">
        <v>2580</v>
      </c>
      <c r="J83" s="118" t="s">
        <v>269</v>
      </c>
    </row>
    <row r="84" spans="1:10" x14ac:dyDescent="0.25">
      <c r="A84" s="120">
        <v>81</v>
      </c>
      <c r="B84" s="117" t="s">
        <v>606</v>
      </c>
      <c r="C84" s="118" t="s">
        <v>607</v>
      </c>
      <c r="D84" s="118" t="s">
        <v>453</v>
      </c>
      <c r="E84" s="118" t="s">
        <v>603</v>
      </c>
      <c r="F84" s="121">
        <v>95.350373374264933</v>
      </c>
      <c r="G84" s="119">
        <v>107.77257337426494</v>
      </c>
      <c r="H84" s="119">
        <v>27.48</v>
      </c>
      <c r="I84" s="116">
        <v>2708</v>
      </c>
      <c r="J84" s="118" t="s">
        <v>269</v>
      </c>
    </row>
    <row r="85" spans="1:10" x14ac:dyDescent="0.25">
      <c r="A85" s="120">
        <v>82</v>
      </c>
      <c r="B85" s="117" t="s">
        <v>608</v>
      </c>
      <c r="C85" s="118" t="s">
        <v>609</v>
      </c>
      <c r="D85" s="118" t="s">
        <v>453</v>
      </c>
      <c r="E85" s="118" t="s">
        <v>610</v>
      </c>
      <c r="F85" s="122">
        <v>100</v>
      </c>
      <c r="G85" s="123">
        <v>100.00530000000001</v>
      </c>
      <c r="H85" s="121">
        <v>0.02</v>
      </c>
      <c r="I85" s="124">
        <v>3040</v>
      </c>
      <c r="J85" s="118" t="s">
        <v>269</v>
      </c>
    </row>
    <row r="86" spans="1:10" x14ac:dyDescent="0.25">
      <c r="A86" s="120">
        <v>83</v>
      </c>
      <c r="B86" s="117" t="s">
        <v>611</v>
      </c>
      <c r="C86" s="118" t="s">
        <v>612</v>
      </c>
      <c r="D86" s="118" t="s">
        <v>453</v>
      </c>
      <c r="E86" s="118" t="s">
        <v>610</v>
      </c>
      <c r="F86" s="121">
        <v>100</v>
      </c>
      <c r="G86" s="119">
        <v>101.9486</v>
      </c>
      <c r="H86" s="119">
        <v>6.08</v>
      </c>
      <c r="I86" s="116">
        <v>1655</v>
      </c>
      <c r="J86" s="118" t="s">
        <v>269</v>
      </c>
    </row>
    <row r="87" spans="1:10" x14ac:dyDescent="0.25">
      <c r="A87" s="120">
        <v>84</v>
      </c>
      <c r="B87" s="117" t="s">
        <v>613</v>
      </c>
      <c r="C87" s="118" t="s">
        <v>614</v>
      </c>
      <c r="D87" s="118" t="s">
        <v>453</v>
      </c>
      <c r="E87" s="118" t="s">
        <v>610</v>
      </c>
      <c r="F87" s="121">
        <v>100</v>
      </c>
      <c r="G87" s="119">
        <v>106.9619</v>
      </c>
      <c r="H87" s="119">
        <v>7.08</v>
      </c>
      <c r="I87" s="116">
        <v>2137</v>
      </c>
      <c r="J87" s="118" t="s">
        <v>269</v>
      </c>
    </row>
    <row r="88" spans="1:10" x14ac:dyDescent="0.25">
      <c r="A88" s="120">
        <v>85</v>
      </c>
      <c r="B88" s="117" t="s">
        <v>615</v>
      </c>
      <c r="C88" s="118" t="s">
        <v>616</v>
      </c>
      <c r="D88" s="118" t="s">
        <v>453</v>
      </c>
      <c r="E88" s="118" t="s">
        <v>610</v>
      </c>
      <c r="F88" s="121">
        <v>100</v>
      </c>
      <c r="G88" s="119">
        <v>101.1183</v>
      </c>
      <c r="H88" s="119">
        <v>6.08</v>
      </c>
      <c r="I88" s="116">
        <v>2064</v>
      </c>
      <c r="J88" s="118" t="s">
        <v>269</v>
      </c>
    </row>
    <row r="89" spans="1:10" x14ac:dyDescent="0.25">
      <c r="A89" s="120">
        <v>86</v>
      </c>
      <c r="B89" s="117" t="s">
        <v>617</v>
      </c>
      <c r="C89" s="118" t="s">
        <v>618</v>
      </c>
      <c r="D89" s="118" t="s">
        <v>453</v>
      </c>
      <c r="E89" s="118" t="s">
        <v>610</v>
      </c>
      <c r="F89" s="122">
        <v>100</v>
      </c>
      <c r="G89" s="123">
        <v>106.06610000000001</v>
      </c>
      <c r="H89" s="121">
        <v>6.09</v>
      </c>
      <c r="I89" s="124">
        <v>2492</v>
      </c>
      <c r="J89" s="118" t="s">
        <v>269</v>
      </c>
    </row>
    <row r="90" spans="1:10" x14ac:dyDescent="0.25">
      <c r="A90" s="120">
        <v>87</v>
      </c>
      <c r="B90" s="117" t="s">
        <v>619</v>
      </c>
      <c r="C90" s="118" t="s">
        <v>620</v>
      </c>
      <c r="D90" s="118" t="s">
        <v>453</v>
      </c>
      <c r="E90" s="118" t="s">
        <v>610</v>
      </c>
      <c r="F90" s="122">
        <v>100</v>
      </c>
      <c r="G90" s="123">
        <v>106.06610000000001</v>
      </c>
      <c r="H90" s="121">
        <v>6.09</v>
      </c>
      <c r="I90" s="124">
        <v>2492</v>
      </c>
      <c r="J90" s="118" t="s">
        <v>269</v>
      </c>
    </row>
    <row r="91" spans="1:10" x14ac:dyDescent="0.25">
      <c r="A91" s="120">
        <v>88</v>
      </c>
      <c r="B91" s="117" t="s">
        <v>621</v>
      </c>
      <c r="C91" s="118" t="s">
        <v>622</v>
      </c>
      <c r="D91" s="118" t="s">
        <v>453</v>
      </c>
      <c r="E91" s="118" t="s">
        <v>610</v>
      </c>
      <c r="F91" s="122">
        <v>100</v>
      </c>
      <c r="G91" s="123">
        <v>104.9308</v>
      </c>
      <c r="H91" s="121">
        <v>6.08</v>
      </c>
      <c r="I91" s="124">
        <v>2559</v>
      </c>
      <c r="J91" s="118" t="s">
        <v>269</v>
      </c>
    </row>
    <row r="92" spans="1:10" x14ac:dyDescent="0.25">
      <c r="A92" s="120">
        <v>89</v>
      </c>
      <c r="B92" s="117" t="s">
        <v>623</v>
      </c>
      <c r="C92" s="118" t="s">
        <v>624</v>
      </c>
      <c r="D92" s="118" t="s">
        <v>453</v>
      </c>
      <c r="E92" s="118" t="s">
        <v>625</v>
      </c>
      <c r="F92" s="122">
        <v>87.653471059633105</v>
      </c>
      <c r="G92" s="123">
        <v>88.750671059633106</v>
      </c>
      <c r="H92" s="121">
        <v>24.81</v>
      </c>
      <c r="I92" s="124">
        <v>1421</v>
      </c>
      <c r="J92" s="118" t="s">
        <v>269</v>
      </c>
    </row>
    <row r="93" spans="1:10" x14ac:dyDescent="0.25">
      <c r="A93" s="120">
        <v>90</v>
      </c>
      <c r="B93" s="117" t="s">
        <v>626</v>
      </c>
      <c r="C93" s="118" t="s">
        <v>627</v>
      </c>
      <c r="D93" s="118" t="s">
        <v>453</v>
      </c>
      <c r="E93" s="118" t="s">
        <v>628</v>
      </c>
      <c r="F93" s="122">
        <v>102.11581628251287</v>
      </c>
      <c r="G93" s="123">
        <v>102.35251628251287</v>
      </c>
      <c r="H93" s="121">
        <v>0.44</v>
      </c>
      <c r="I93" s="124">
        <v>4898</v>
      </c>
      <c r="J93" s="118" t="s">
        <v>269</v>
      </c>
    </row>
    <row r="94" spans="1:10" x14ac:dyDescent="0.25">
      <c r="A94" s="120">
        <v>91</v>
      </c>
      <c r="B94" s="117" t="s">
        <v>2239</v>
      </c>
      <c r="C94" s="118" t="s">
        <v>2240</v>
      </c>
      <c r="D94" s="118" t="s">
        <v>453</v>
      </c>
      <c r="E94" s="118" t="s">
        <v>2241</v>
      </c>
      <c r="F94" s="122">
        <v>101.23564586558767</v>
      </c>
      <c r="G94" s="123">
        <v>106.24194586558767</v>
      </c>
      <c r="H94" s="121">
        <v>19.66</v>
      </c>
      <c r="I94" s="124">
        <v>991</v>
      </c>
      <c r="J94" s="118" t="s">
        <v>269</v>
      </c>
    </row>
    <row r="95" spans="1:10" x14ac:dyDescent="0.25">
      <c r="A95" s="120">
        <v>92</v>
      </c>
      <c r="B95" s="117" t="s">
        <v>629</v>
      </c>
      <c r="C95" s="118" t="s">
        <v>630</v>
      </c>
      <c r="D95" s="118" t="s">
        <v>443</v>
      </c>
      <c r="E95" s="118" t="s">
        <v>631</v>
      </c>
      <c r="F95" s="122">
        <v>10.59614977060677</v>
      </c>
      <c r="G95" s="123">
        <v>10.59614977060677</v>
      </c>
      <c r="H95" s="121">
        <v>0</v>
      </c>
      <c r="I95" s="124">
        <v>0</v>
      </c>
      <c r="J95" s="118" t="s">
        <v>238</v>
      </c>
    </row>
    <row r="96" spans="1:10" x14ac:dyDescent="0.25">
      <c r="A96" s="120">
        <v>93</v>
      </c>
      <c r="B96" s="117" t="s">
        <v>632</v>
      </c>
      <c r="C96" s="118" t="s">
        <v>633</v>
      </c>
      <c r="D96" s="118" t="s">
        <v>520</v>
      </c>
      <c r="E96" s="118" t="s">
        <v>631</v>
      </c>
      <c r="F96" s="122">
        <v>2737.9090000000001</v>
      </c>
      <c r="G96" s="123">
        <v>2737.9090000000001</v>
      </c>
      <c r="H96" s="121">
        <v>0</v>
      </c>
      <c r="I96" s="124">
        <v>0</v>
      </c>
      <c r="J96" s="118" t="s">
        <v>238</v>
      </c>
    </row>
    <row r="97" spans="1:10" x14ac:dyDescent="0.25">
      <c r="A97" s="120">
        <v>94</v>
      </c>
      <c r="B97" s="117" t="s">
        <v>635</v>
      </c>
      <c r="C97" s="118" t="s">
        <v>636</v>
      </c>
      <c r="D97" s="118" t="s">
        <v>453</v>
      </c>
      <c r="E97" s="118" t="s">
        <v>634</v>
      </c>
      <c r="F97" s="122">
        <v>86.491773368442182</v>
      </c>
      <c r="G97" s="123">
        <v>87.784273368442172</v>
      </c>
      <c r="H97" s="121">
        <v>17.98</v>
      </c>
      <c r="I97" s="124">
        <v>1857</v>
      </c>
      <c r="J97" s="118" t="s">
        <v>269</v>
      </c>
    </row>
    <row r="98" spans="1:10" x14ac:dyDescent="0.25">
      <c r="A98" s="120">
        <v>95</v>
      </c>
      <c r="B98" s="117" t="s">
        <v>637</v>
      </c>
      <c r="C98" s="118" t="s">
        <v>638</v>
      </c>
      <c r="D98" s="118" t="s">
        <v>453</v>
      </c>
      <c r="E98" s="118" t="s">
        <v>634</v>
      </c>
      <c r="F98" s="122">
        <v>100.532</v>
      </c>
      <c r="G98" s="123">
        <v>102.3549</v>
      </c>
      <c r="H98" s="121">
        <v>3.53</v>
      </c>
      <c r="I98" s="124">
        <v>905</v>
      </c>
      <c r="J98" s="118" t="s">
        <v>269</v>
      </c>
    </row>
    <row r="99" spans="1:10" x14ac:dyDescent="0.25">
      <c r="A99" s="120">
        <v>96</v>
      </c>
      <c r="B99" s="117" t="s">
        <v>639</v>
      </c>
      <c r="C99" s="118" t="s">
        <v>640</v>
      </c>
      <c r="D99" s="118" t="s">
        <v>453</v>
      </c>
      <c r="E99" s="118" t="s">
        <v>634</v>
      </c>
      <c r="F99" s="122">
        <v>102.56699999999999</v>
      </c>
      <c r="G99" s="123">
        <v>103.10169999999999</v>
      </c>
      <c r="H99" s="121">
        <v>3.56</v>
      </c>
      <c r="I99" s="124">
        <v>1216</v>
      </c>
      <c r="J99" s="118" t="s">
        <v>269</v>
      </c>
    </row>
    <row r="100" spans="1:10" x14ac:dyDescent="0.25">
      <c r="A100" s="120">
        <v>97</v>
      </c>
      <c r="B100" s="117" t="s">
        <v>1965</v>
      </c>
      <c r="C100" s="118" t="s">
        <v>1966</v>
      </c>
      <c r="D100" s="118" t="s">
        <v>453</v>
      </c>
      <c r="E100" s="118" t="s">
        <v>634</v>
      </c>
      <c r="F100" s="122">
        <v>96.044758663770182</v>
      </c>
      <c r="G100" s="123">
        <v>99.529758663770181</v>
      </c>
      <c r="H100" s="121">
        <v>17.47</v>
      </c>
      <c r="I100" s="124">
        <v>451</v>
      </c>
      <c r="J100" s="118" t="s">
        <v>269</v>
      </c>
    </row>
    <row r="101" spans="1:10" x14ac:dyDescent="0.25">
      <c r="A101" s="120">
        <v>98</v>
      </c>
      <c r="B101" s="117" t="s">
        <v>641</v>
      </c>
      <c r="C101" s="118" t="s">
        <v>642</v>
      </c>
      <c r="D101" s="118" t="s">
        <v>453</v>
      </c>
      <c r="E101" s="118" t="s">
        <v>634</v>
      </c>
      <c r="F101" s="122">
        <v>99.121981705636742</v>
      </c>
      <c r="G101" s="123">
        <v>101.99268170563674</v>
      </c>
      <c r="H101" s="121">
        <v>15.81</v>
      </c>
      <c r="I101" s="124">
        <v>100</v>
      </c>
      <c r="J101" s="118" t="s">
        <v>269</v>
      </c>
    </row>
    <row r="102" spans="1:10" x14ac:dyDescent="0.25">
      <c r="A102" s="120">
        <v>99</v>
      </c>
      <c r="B102" s="117" t="s">
        <v>2031</v>
      </c>
      <c r="C102" s="118" t="s">
        <v>2032</v>
      </c>
      <c r="D102" s="118" t="s">
        <v>453</v>
      </c>
      <c r="E102" s="118" t="s">
        <v>634</v>
      </c>
      <c r="F102" s="122">
        <v>91.525493972805734</v>
      </c>
      <c r="G102" s="123">
        <v>92.889893972805737</v>
      </c>
      <c r="H102" s="121">
        <v>18.21</v>
      </c>
      <c r="I102" s="124">
        <v>1588</v>
      </c>
      <c r="J102" s="118" t="s">
        <v>269</v>
      </c>
    </row>
    <row r="103" spans="1:10" x14ac:dyDescent="0.25">
      <c r="A103" s="120">
        <v>100</v>
      </c>
      <c r="B103" s="117" t="s">
        <v>2480</v>
      </c>
      <c r="C103" s="118" t="s">
        <v>2481</v>
      </c>
      <c r="D103" s="118" t="s">
        <v>453</v>
      </c>
      <c r="E103" s="118" t="s">
        <v>634</v>
      </c>
      <c r="F103" s="122">
        <v>97.303731124074744</v>
      </c>
      <c r="G103" s="123">
        <v>100.37313112407475</v>
      </c>
      <c r="H103" s="121">
        <v>18.16</v>
      </c>
      <c r="I103" s="124">
        <v>1047</v>
      </c>
      <c r="J103" s="118" t="s">
        <v>269</v>
      </c>
    </row>
    <row r="104" spans="1:10" x14ac:dyDescent="0.25">
      <c r="A104" s="120">
        <v>101</v>
      </c>
      <c r="B104" s="117" t="s">
        <v>2417</v>
      </c>
      <c r="C104" s="118" t="s">
        <v>2418</v>
      </c>
      <c r="D104" s="118" t="s">
        <v>453</v>
      </c>
      <c r="E104" s="118" t="s">
        <v>634</v>
      </c>
      <c r="F104" s="122">
        <v>100</v>
      </c>
      <c r="G104" s="123">
        <v>101.9028</v>
      </c>
      <c r="H104" s="121">
        <v>16.940000000000001</v>
      </c>
      <c r="I104" s="124">
        <v>1311</v>
      </c>
      <c r="J104" s="118" t="s">
        <v>269</v>
      </c>
    </row>
    <row r="105" spans="1:10" x14ac:dyDescent="0.25">
      <c r="A105" s="120">
        <v>102</v>
      </c>
      <c r="B105" s="117" t="s">
        <v>643</v>
      </c>
      <c r="C105" s="118" t="s">
        <v>644</v>
      </c>
      <c r="D105" s="118" t="s">
        <v>453</v>
      </c>
      <c r="E105" s="118" t="s">
        <v>634</v>
      </c>
      <c r="F105" s="122">
        <v>75.831000000000003</v>
      </c>
      <c r="G105" s="123">
        <v>76.761399999999995</v>
      </c>
      <c r="H105" s="121">
        <v>17.170000000000002</v>
      </c>
      <c r="I105" s="124">
        <v>1857</v>
      </c>
      <c r="J105" s="118" t="s">
        <v>269</v>
      </c>
    </row>
    <row r="106" spans="1:10" x14ac:dyDescent="0.25">
      <c r="A106" s="120">
        <v>103</v>
      </c>
      <c r="B106" s="117" t="s">
        <v>645</v>
      </c>
      <c r="C106" s="118" t="s">
        <v>646</v>
      </c>
      <c r="D106" s="118" t="s">
        <v>443</v>
      </c>
      <c r="E106" s="118" t="s">
        <v>634</v>
      </c>
      <c r="F106" s="122">
        <v>0.98356083333333333</v>
      </c>
      <c r="G106" s="123">
        <v>0.98356083333333333</v>
      </c>
      <c r="H106" s="121">
        <v>0</v>
      </c>
      <c r="I106" s="124">
        <v>147</v>
      </c>
      <c r="J106" s="118" t="s">
        <v>238</v>
      </c>
    </row>
    <row r="107" spans="1:10" x14ac:dyDescent="0.25">
      <c r="A107" s="120">
        <v>104</v>
      </c>
      <c r="B107" s="117" t="s">
        <v>647</v>
      </c>
      <c r="C107" s="118" t="s">
        <v>648</v>
      </c>
      <c r="D107" s="118" t="s">
        <v>443</v>
      </c>
      <c r="E107" s="118" t="s">
        <v>634</v>
      </c>
      <c r="F107" s="122">
        <v>0.83437916666666667</v>
      </c>
      <c r="G107" s="123">
        <v>0.83437916666666667</v>
      </c>
      <c r="H107" s="121">
        <v>0</v>
      </c>
      <c r="I107" s="124">
        <v>1408</v>
      </c>
      <c r="J107" s="118" t="s">
        <v>238</v>
      </c>
    </row>
    <row r="108" spans="1:10" x14ac:dyDescent="0.25">
      <c r="A108" s="120">
        <v>105</v>
      </c>
      <c r="B108" s="117" t="s">
        <v>649</v>
      </c>
      <c r="C108" s="118" t="s">
        <v>650</v>
      </c>
      <c r="D108" s="118" t="s">
        <v>453</v>
      </c>
      <c r="E108" s="118" t="s">
        <v>634</v>
      </c>
      <c r="F108" s="122">
        <v>78.646000000000001</v>
      </c>
      <c r="G108" s="123">
        <v>79.654300000000006</v>
      </c>
      <c r="H108" s="121">
        <v>17.170000000000002</v>
      </c>
      <c r="I108" s="124">
        <v>1857</v>
      </c>
      <c r="J108" s="118" t="s">
        <v>269</v>
      </c>
    </row>
    <row r="109" spans="1:10" x14ac:dyDescent="0.25">
      <c r="A109" s="120">
        <v>106</v>
      </c>
      <c r="B109" s="117" t="s">
        <v>651</v>
      </c>
      <c r="C109" s="118" t="s">
        <v>652</v>
      </c>
      <c r="D109" s="118" t="s">
        <v>453</v>
      </c>
      <c r="E109" s="118" t="s">
        <v>653</v>
      </c>
      <c r="F109" s="122">
        <v>100</v>
      </c>
      <c r="G109" s="123">
        <v>101.1806</v>
      </c>
      <c r="H109" s="121">
        <v>4.2300000000000004</v>
      </c>
      <c r="I109" s="124">
        <v>200</v>
      </c>
      <c r="J109" s="118" t="s">
        <v>269</v>
      </c>
    </row>
    <row r="110" spans="1:10" x14ac:dyDescent="0.25">
      <c r="A110" s="120">
        <v>107</v>
      </c>
      <c r="B110" s="117" t="s">
        <v>2235</v>
      </c>
      <c r="C110" s="118" t="s">
        <v>2236</v>
      </c>
      <c r="D110" s="118" t="s">
        <v>453</v>
      </c>
      <c r="E110" s="118" t="s">
        <v>653</v>
      </c>
      <c r="F110" s="122">
        <v>100</v>
      </c>
      <c r="G110" s="123">
        <v>101.13330000000001</v>
      </c>
      <c r="H110" s="121">
        <v>4.2300000000000004</v>
      </c>
      <c r="I110" s="124">
        <v>564</v>
      </c>
      <c r="J110" s="118" t="s">
        <v>269</v>
      </c>
    </row>
    <row r="111" spans="1:10" x14ac:dyDescent="0.25">
      <c r="A111" s="120">
        <v>108</v>
      </c>
      <c r="B111" s="117" t="s">
        <v>654</v>
      </c>
      <c r="C111" s="118" t="s">
        <v>655</v>
      </c>
      <c r="D111" s="118" t="s">
        <v>453</v>
      </c>
      <c r="E111" s="118" t="s">
        <v>653</v>
      </c>
      <c r="F111" s="122">
        <v>100</v>
      </c>
      <c r="G111" s="123">
        <v>100.14879999999999</v>
      </c>
      <c r="H111" s="121">
        <v>0.35</v>
      </c>
      <c r="I111" s="124">
        <v>207</v>
      </c>
      <c r="J111" s="118" t="s">
        <v>269</v>
      </c>
    </row>
    <row r="112" spans="1:10" x14ac:dyDescent="0.25">
      <c r="A112" s="120">
        <v>109</v>
      </c>
      <c r="B112" s="117" t="s">
        <v>2302</v>
      </c>
      <c r="C112" s="118" t="s">
        <v>2303</v>
      </c>
      <c r="D112" s="118" t="s">
        <v>453</v>
      </c>
      <c r="E112" s="118" t="s">
        <v>653</v>
      </c>
      <c r="F112" s="122">
        <v>100</v>
      </c>
      <c r="G112" s="123">
        <v>100.0778</v>
      </c>
      <c r="H112" s="121">
        <v>0.35</v>
      </c>
      <c r="I112" s="124">
        <v>640</v>
      </c>
      <c r="J112" s="118" t="s">
        <v>269</v>
      </c>
    </row>
    <row r="113" spans="1:10" x14ac:dyDescent="0.25">
      <c r="A113" s="120">
        <v>110</v>
      </c>
      <c r="B113" s="117" t="s">
        <v>656</v>
      </c>
      <c r="C113" s="118" t="s">
        <v>657</v>
      </c>
      <c r="D113" s="118" t="s">
        <v>453</v>
      </c>
      <c r="E113" s="118" t="s">
        <v>653</v>
      </c>
      <c r="F113" s="122">
        <v>100</v>
      </c>
      <c r="G113" s="123">
        <v>100.0042</v>
      </c>
      <c r="H113" s="121">
        <v>0.02</v>
      </c>
      <c r="I113" s="124">
        <v>3040</v>
      </c>
      <c r="J113" s="118" t="s">
        <v>269</v>
      </c>
    </row>
    <row r="114" spans="1:10" x14ac:dyDescent="0.25">
      <c r="A114" s="120">
        <v>111</v>
      </c>
      <c r="B114" s="117" t="s">
        <v>658</v>
      </c>
      <c r="C114" s="118" t="s">
        <v>659</v>
      </c>
      <c r="D114" s="118" t="s">
        <v>453</v>
      </c>
      <c r="E114" s="118" t="s">
        <v>653</v>
      </c>
      <c r="F114" s="122">
        <v>100</v>
      </c>
      <c r="G114" s="123">
        <v>101.9486</v>
      </c>
      <c r="H114" s="121">
        <v>6.08</v>
      </c>
      <c r="I114" s="124">
        <v>1655</v>
      </c>
      <c r="J114" s="118" t="s">
        <v>269</v>
      </c>
    </row>
    <row r="115" spans="1:10" x14ac:dyDescent="0.25">
      <c r="A115" s="120">
        <v>112</v>
      </c>
      <c r="B115" s="117" t="s">
        <v>660</v>
      </c>
      <c r="C115" s="118" t="s">
        <v>661</v>
      </c>
      <c r="D115" s="118" t="s">
        <v>443</v>
      </c>
      <c r="E115" s="118" t="s">
        <v>662</v>
      </c>
      <c r="F115" s="122">
        <v>0.01</v>
      </c>
      <c r="G115" s="123">
        <v>0.01</v>
      </c>
      <c r="H115" s="121">
        <v>0</v>
      </c>
      <c r="I115" s="124">
        <v>0</v>
      </c>
      <c r="J115" s="118" t="s">
        <v>238</v>
      </c>
    </row>
    <row r="116" spans="1:10" x14ac:dyDescent="0.25">
      <c r="A116" s="120">
        <v>113</v>
      </c>
      <c r="B116" s="117" t="s">
        <v>663</v>
      </c>
      <c r="C116" s="118" t="s">
        <v>664</v>
      </c>
      <c r="D116" s="118" t="s">
        <v>453</v>
      </c>
      <c r="E116" s="118" t="s">
        <v>662</v>
      </c>
      <c r="F116" s="122">
        <v>94.42120268865574</v>
      </c>
      <c r="G116" s="123">
        <v>97.896202688655748</v>
      </c>
      <c r="H116" s="121">
        <v>14.58</v>
      </c>
      <c r="I116" s="124">
        <v>401</v>
      </c>
      <c r="J116" s="118" t="s">
        <v>269</v>
      </c>
    </row>
    <row r="117" spans="1:10" x14ac:dyDescent="0.25">
      <c r="A117" s="120">
        <v>114</v>
      </c>
      <c r="B117" s="117" t="s">
        <v>665</v>
      </c>
      <c r="C117" s="118" t="s">
        <v>666</v>
      </c>
      <c r="D117" s="118" t="s">
        <v>443</v>
      </c>
      <c r="E117" s="118" t="s">
        <v>662</v>
      </c>
      <c r="F117" s="122">
        <v>0.01</v>
      </c>
      <c r="G117" s="123">
        <v>0.01</v>
      </c>
      <c r="H117" s="121">
        <v>0</v>
      </c>
      <c r="I117" s="124">
        <v>0</v>
      </c>
      <c r="J117" s="118" t="s">
        <v>238</v>
      </c>
    </row>
    <row r="118" spans="1:10" x14ac:dyDescent="0.25">
      <c r="A118" s="120">
        <v>115</v>
      </c>
      <c r="B118" s="117" t="s">
        <v>667</v>
      </c>
      <c r="C118" s="118" t="s">
        <v>668</v>
      </c>
      <c r="D118" s="118" t="s">
        <v>443</v>
      </c>
      <c r="E118" s="118" t="s">
        <v>669</v>
      </c>
      <c r="F118" s="122">
        <v>2418.66</v>
      </c>
      <c r="G118" s="123">
        <v>2418.66</v>
      </c>
      <c r="H118" s="121">
        <v>0</v>
      </c>
      <c r="I118" s="124">
        <v>0</v>
      </c>
      <c r="J118" s="118" t="s">
        <v>238</v>
      </c>
    </row>
    <row r="119" spans="1:10" x14ac:dyDescent="0.25">
      <c r="A119" s="120">
        <v>116</v>
      </c>
      <c r="B119" s="117" t="s">
        <v>670</v>
      </c>
      <c r="C119" s="118" t="s">
        <v>671</v>
      </c>
      <c r="D119" s="118" t="s">
        <v>453</v>
      </c>
      <c r="E119" s="118" t="s">
        <v>672</v>
      </c>
      <c r="F119" s="122">
        <v>93.016273212037376</v>
      </c>
      <c r="G119" s="123">
        <v>96.699573212037379</v>
      </c>
      <c r="H119" s="121">
        <v>28.29</v>
      </c>
      <c r="I119" s="124">
        <v>2559</v>
      </c>
      <c r="J119" s="118" t="s">
        <v>269</v>
      </c>
    </row>
    <row r="120" spans="1:10" x14ac:dyDescent="0.25">
      <c r="A120" s="120">
        <v>117</v>
      </c>
      <c r="B120" s="117" t="s">
        <v>673</v>
      </c>
      <c r="C120" s="118" t="s">
        <v>674</v>
      </c>
      <c r="D120" s="118" t="s">
        <v>453</v>
      </c>
      <c r="E120" s="118" t="s">
        <v>672</v>
      </c>
      <c r="F120" s="122">
        <v>89.466173830023948</v>
      </c>
      <c r="G120" s="123">
        <v>95.438373830023934</v>
      </c>
      <c r="H120" s="121">
        <v>28.3</v>
      </c>
      <c r="I120" s="124">
        <v>3064</v>
      </c>
      <c r="J120" s="118" t="s">
        <v>269</v>
      </c>
    </row>
    <row r="121" spans="1:10" x14ac:dyDescent="0.25">
      <c r="A121" s="120">
        <v>118</v>
      </c>
      <c r="B121" s="117" t="s">
        <v>675</v>
      </c>
      <c r="C121" s="118" t="s">
        <v>676</v>
      </c>
      <c r="D121" s="118" t="s">
        <v>443</v>
      </c>
      <c r="E121" s="118" t="s">
        <v>677</v>
      </c>
      <c r="F121" s="122">
        <v>0.01</v>
      </c>
      <c r="G121" s="123">
        <v>0.01</v>
      </c>
      <c r="H121" s="121">
        <v>0</v>
      </c>
      <c r="I121" s="124">
        <v>0</v>
      </c>
      <c r="J121" s="118" t="s">
        <v>238</v>
      </c>
    </row>
    <row r="122" spans="1:10" x14ac:dyDescent="0.25">
      <c r="A122" s="120">
        <v>119</v>
      </c>
      <c r="B122" s="117" t="s">
        <v>681</v>
      </c>
      <c r="C122" s="118" t="s">
        <v>682</v>
      </c>
      <c r="D122" s="118" t="s">
        <v>443</v>
      </c>
      <c r="E122" s="118" t="s">
        <v>683</v>
      </c>
      <c r="F122" s="122">
        <v>0.01</v>
      </c>
      <c r="G122" s="123">
        <v>0.01</v>
      </c>
      <c r="H122" s="121">
        <v>0</v>
      </c>
      <c r="I122" s="124">
        <v>0</v>
      </c>
      <c r="J122" s="118" t="s">
        <v>238</v>
      </c>
    </row>
    <row r="123" spans="1:10" x14ac:dyDescent="0.25">
      <c r="A123" s="120">
        <v>120</v>
      </c>
      <c r="B123" s="117" t="s">
        <v>684</v>
      </c>
      <c r="C123" s="118" t="s">
        <v>685</v>
      </c>
      <c r="D123" s="118" t="s">
        <v>453</v>
      </c>
      <c r="E123" s="118" t="s">
        <v>2202</v>
      </c>
      <c r="F123" s="122">
        <v>97.254605977543207</v>
      </c>
      <c r="G123" s="123">
        <v>98.349605977543206</v>
      </c>
      <c r="H123" s="121">
        <v>18.27</v>
      </c>
      <c r="I123" s="124">
        <v>144</v>
      </c>
      <c r="J123" s="118" t="s">
        <v>269</v>
      </c>
    </row>
    <row r="124" spans="1:10" x14ac:dyDescent="0.25">
      <c r="A124" s="120">
        <v>121</v>
      </c>
      <c r="B124" s="117" t="s">
        <v>686</v>
      </c>
      <c r="C124" s="118" t="s">
        <v>687</v>
      </c>
      <c r="D124" s="118" t="s">
        <v>453</v>
      </c>
      <c r="E124" s="118" t="s">
        <v>2202</v>
      </c>
      <c r="F124" s="122">
        <v>7.5318475715891431</v>
      </c>
      <c r="G124" s="123">
        <v>7.5324475715891426</v>
      </c>
      <c r="H124" s="121">
        <v>17.73</v>
      </c>
      <c r="I124" s="124">
        <v>5411</v>
      </c>
      <c r="J124" s="118" t="s">
        <v>269</v>
      </c>
    </row>
    <row r="125" spans="1:10" x14ac:dyDescent="0.25">
      <c r="A125" s="120">
        <v>122</v>
      </c>
      <c r="B125" s="117" t="s">
        <v>688</v>
      </c>
      <c r="C125" s="118" t="s">
        <v>689</v>
      </c>
      <c r="D125" s="118" t="s">
        <v>453</v>
      </c>
      <c r="E125" s="118" t="s">
        <v>690</v>
      </c>
      <c r="F125" s="122">
        <v>100</v>
      </c>
      <c r="G125" s="123">
        <v>100.6965</v>
      </c>
      <c r="H125" s="121">
        <v>4.24</v>
      </c>
      <c r="I125" s="124">
        <v>241</v>
      </c>
      <c r="J125" s="118" t="s">
        <v>269</v>
      </c>
    </row>
    <row r="126" spans="1:10" x14ac:dyDescent="0.25">
      <c r="A126" s="120">
        <v>123</v>
      </c>
      <c r="B126" s="117" t="s">
        <v>691</v>
      </c>
      <c r="C126" s="118" t="s">
        <v>692</v>
      </c>
      <c r="D126" s="118" t="s">
        <v>453</v>
      </c>
      <c r="E126" s="118" t="s">
        <v>690</v>
      </c>
      <c r="F126" s="122">
        <v>100</v>
      </c>
      <c r="G126" s="123">
        <v>100.1293</v>
      </c>
      <c r="H126" s="121">
        <v>0.35</v>
      </c>
      <c r="I126" s="124">
        <v>227</v>
      </c>
      <c r="J126" s="118" t="s">
        <v>269</v>
      </c>
    </row>
    <row r="127" spans="1:10" x14ac:dyDescent="0.25">
      <c r="A127" s="120">
        <v>124</v>
      </c>
      <c r="B127" s="117" t="s">
        <v>2213</v>
      </c>
      <c r="C127" s="118" t="s">
        <v>2214</v>
      </c>
      <c r="D127" s="118" t="s">
        <v>453</v>
      </c>
      <c r="E127" s="118" t="s">
        <v>690</v>
      </c>
      <c r="F127" s="122">
        <v>100</v>
      </c>
      <c r="G127" s="123">
        <v>100.1069</v>
      </c>
      <c r="H127" s="121">
        <v>0.35</v>
      </c>
      <c r="I127" s="124">
        <v>610</v>
      </c>
      <c r="J127" s="118" t="s">
        <v>269</v>
      </c>
    </row>
    <row r="128" spans="1:10" x14ac:dyDescent="0.25">
      <c r="A128" s="120">
        <v>125</v>
      </c>
      <c r="B128" s="117" t="s">
        <v>693</v>
      </c>
      <c r="C128" s="118" t="s">
        <v>694</v>
      </c>
      <c r="D128" s="118" t="s">
        <v>453</v>
      </c>
      <c r="E128" s="118" t="s">
        <v>690</v>
      </c>
      <c r="F128" s="122">
        <v>100</v>
      </c>
      <c r="G128" s="123">
        <v>100.0013</v>
      </c>
      <c r="H128" s="121">
        <v>0.02</v>
      </c>
      <c r="I128" s="124">
        <v>3040</v>
      </c>
      <c r="J128" s="118" t="s">
        <v>269</v>
      </c>
    </row>
    <row r="129" spans="1:10" x14ac:dyDescent="0.25">
      <c r="A129" s="120">
        <v>126</v>
      </c>
      <c r="B129" s="117" t="s">
        <v>695</v>
      </c>
      <c r="C129" s="118" t="s">
        <v>696</v>
      </c>
      <c r="D129" s="118" t="s">
        <v>453</v>
      </c>
      <c r="E129" s="118" t="s">
        <v>690</v>
      </c>
      <c r="F129" s="122">
        <v>100</v>
      </c>
      <c r="G129" s="123">
        <v>100.0042</v>
      </c>
      <c r="H129" s="121">
        <v>0.02</v>
      </c>
      <c r="I129" s="124">
        <v>3040</v>
      </c>
      <c r="J129" s="118" t="s">
        <v>269</v>
      </c>
    </row>
    <row r="130" spans="1:10" x14ac:dyDescent="0.25">
      <c r="A130" s="120">
        <v>127</v>
      </c>
      <c r="B130" s="117" t="s">
        <v>697</v>
      </c>
      <c r="C130" s="118" t="s">
        <v>698</v>
      </c>
      <c r="D130" s="118" t="s">
        <v>453</v>
      </c>
      <c r="E130" s="118" t="s">
        <v>690</v>
      </c>
      <c r="F130" s="122">
        <v>100</v>
      </c>
      <c r="G130" s="123">
        <v>101.9486</v>
      </c>
      <c r="H130" s="121">
        <v>6.08</v>
      </c>
      <c r="I130" s="124">
        <v>1655</v>
      </c>
      <c r="J130" s="118" t="s">
        <v>269</v>
      </c>
    </row>
    <row r="131" spans="1:10" x14ac:dyDescent="0.25">
      <c r="A131" s="120">
        <v>128</v>
      </c>
      <c r="B131" s="117" t="s">
        <v>699</v>
      </c>
      <c r="C131" s="118" t="s">
        <v>700</v>
      </c>
      <c r="D131" s="118" t="s">
        <v>453</v>
      </c>
      <c r="E131" s="118" t="s">
        <v>690</v>
      </c>
      <c r="F131" s="122">
        <v>100</v>
      </c>
      <c r="G131" s="123">
        <v>106.9619</v>
      </c>
      <c r="H131" s="121">
        <v>7.08</v>
      </c>
      <c r="I131" s="124">
        <v>2137</v>
      </c>
      <c r="J131" s="118" t="s">
        <v>269</v>
      </c>
    </row>
    <row r="132" spans="1:10" x14ac:dyDescent="0.25">
      <c r="A132" s="120">
        <v>129</v>
      </c>
      <c r="B132" s="117" t="s">
        <v>2306</v>
      </c>
      <c r="C132" s="118" t="s">
        <v>2307</v>
      </c>
      <c r="D132" s="118" t="s">
        <v>453</v>
      </c>
      <c r="E132" s="118" t="s">
        <v>690</v>
      </c>
      <c r="F132" s="122">
        <v>90.081836475033526</v>
      </c>
      <c r="G132" s="123">
        <v>94.126236475033522</v>
      </c>
      <c r="H132" s="121">
        <v>20.56</v>
      </c>
      <c r="I132" s="124">
        <v>3520</v>
      </c>
      <c r="J132" s="118" t="s">
        <v>269</v>
      </c>
    </row>
    <row r="133" spans="1:10" x14ac:dyDescent="0.25">
      <c r="A133" s="120">
        <v>130</v>
      </c>
      <c r="B133" s="117" t="s">
        <v>2357</v>
      </c>
      <c r="C133" s="118" t="s">
        <v>2358</v>
      </c>
      <c r="D133" s="118" t="s">
        <v>453</v>
      </c>
      <c r="E133" s="118" t="s">
        <v>690</v>
      </c>
      <c r="F133" s="122">
        <v>93.024053141473829</v>
      </c>
      <c r="G133" s="123">
        <v>95.701553141473823</v>
      </c>
      <c r="H133" s="121">
        <v>20.55</v>
      </c>
      <c r="I133" s="124">
        <v>3549</v>
      </c>
      <c r="J133" s="118" t="s">
        <v>269</v>
      </c>
    </row>
    <row r="134" spans="1:10" x14ac:dyDescent="0.25">
      <c r="A134" s="120">
        <v>131</v>
      </c>
      <c r="B134" s="117" t="s">
        <v>2359</v>
      </c>
      <c r="C134" s="118" t="s">
        <v>2360</v>
      </c>
      <c r="D134" s="118" t="s">
        <v>453</v>
      </c>
      <c r="E134" s="118" t="s">
        <v>690</v>
      </c>
      <c r="F134" s="122">
        <v>93.024053141473829</v>
      </c>
      <c r="G134" s="123">
        <v>95.701553141473823</v>
      </c>
      <c r="H134" s="121">
        <v>20.55</v>
      </c>
      <c r="I134" s="124">
        <v>3549</v>
      </c>
      <c r="J134" s="118" t="s">
        <v>269</v>
      </c>
    </row>
    <row r="135" spans="1:10" x14ac:dyDescent="0.25">
      <c r="A135" s="120">
        <v>132</v>
      </c>
      <c r="B135" s="117" t="s">
        <v>2393</v>
      </c>
      <c r="C135" s="118" t="s">
        <v>2394</v>
      </c>
      <c r="D135" s="118" t="s">
        <v>453</v>
      </c>
      <c r="E135" s="118" t="s">
        <v>690</v>
      </c>
      <c r="F135" s="122">
        <v>92.989296467033995</v>
      </c>
      <c r="G135" s="123">
        <v>95.456796467033996</v>
      </c>
      <c r="H135" s="121">
        <v>20.56</v>
      </c>
      <c r="I135" s="124">
        <v>3553</v>
      </c>
      <c r="J135" s="118" t="s">
        <v>269</v>
      </c>
    </row>
    <row r="136" spans="1:10" x14ac:dyDescent="0.25">
      <c r="A136" s="120">
        <v>133</v>
      </c>
      <c r="B136" s="117" t="s">
        <v>2445</v>
      </c>
      <c r="C136" s="118" t="s">
        <v>2446</v>
      </c>
      <c r="D136" s="118" t="s">
        <v>453</v>
      </c>
      <c r="E136" s="118" t="s">
        <v>690</v>
      </c>
      <c r="F136" s="122">
        <v>93.07888885727705</v>
      </c>
      <c r="G136" s="123">
        <v>94.338888857277055</v>
      </c>
      <c r="H136" s="121">
        <v>20.56</v>
      </c>
      <c r="I136" s="124">
        <v>3576</v>
      </c>
      <c r="J136" s="118" t="s">
        <v>269</v>
      </c>
    </row>
    <row r="137" spans="1:10" x14ac:dyDescent="0.25">
      <c r="A137" s="120">
        <v>134</v>
      </c>
      <c r="B137" s="117" t="s">
        <v>701</v>
      </c>
      <c r="C137" s="118" t="s">
        <v>702</v>
      </c>
      <c r="D137" s="118" t="s">
        <v>453</v>
      </c>
      <c r="E137" s="118" t="s">
        <v>690</v>
      </c>
      <c r="F137" s="122">
        <v>100</v>
      </c>
      <c r="G137" s="123">
        <v>101.1183</v>
      </c>
      <c r="H137" s="121">
        <v>6.08</v>
      </c>
      <c r="I137" s="124">
        <v>2064</v>
      </c>
      <c r="J137" s="118" t="s">
        <v>269</v>
      </c>
    </row>
    <row r="138" spans="1:10" x14ac:dyDescent="0.25">
      <c r="A138" s="120">
        <v>135</v>
      </c>
      <c r="B138" s="117" t="s">
        <v>703</v>
      </c>
      <c r="C138" s="118" t="s">
        <v>704</v>
      </c>
      <c r="D138" s="118" t="s">
        <v>453</v>
      </c>
      <c r="E138" s="118" t="s">
        <v>690</v>
      </c>
      <c r="F138" s="122">
        <v>100</v>
      </c>
      <c r="G138" s="123">
        <v>106.06610000000001</v>
      </c>
      <c r="H138" s="121">
        <v>6.09</v>
      </c>
      <c r="I138" s="124">
        <v>2492</v>
      </c>
      <c r="J138" s="118" t="s">
        <v>269</v>
      </c>
    </row>
    <row r="139" spans="1:10" x14ac:dyDescent="0.25">
      <c r="A139" s="120">
        <v>136</v>
      </c>
      <c r="B139" s="117" t="s">
        <v>705</v>
      </c>
      <c r="C139" s="118" t="s">
        <v>706</v>
      </c>
      <c r="D139" s="118" t="s">
        <v>453</v>
      </c>
      <c r="E139" s="118" t="s">
        <v>690</v>
      </c>
      <c r="F139" s="122">
        <v>100</v>
      </c>
      <c r="G139" s="123">
        <v>106.06610000000001</v>
      </c>
      <c r="H139" s="121">
        <v>6.09</v>
      </c>
      <c r="I139" s="124">
        <v>2492</v>
      </c>
      <c r="J139" s="118" t="s">
        <v>269</v>
      </c>
    </row>
    <row r="140" spans="1:10" x14ac:dyDescent="0.25">
      <c r="A140" s="120">
        <v>137</v>
      </c>
      <c r="B140" s="117" t="s">
        <v>707</v>
      </c>
      <c r="C140" s="118" t="s">
        <v>708</v>
      </c>
      <c r="D140" s="118" t="s">
        <v>453</v>
      </c>
      <c r="E140" s="118" t="s">
        <v>690</v>
      </c>
      <c r="F140" s="122">
        <v>100</v>
      </c>
      <c r="G140" s="123">
        <v>104.9308</v>
      </c>
      <c r="H140" s="121">
        <v>6.08</v>
      </c>
      <c r="I140" s="124">
        <v>2559</v>
      </c>
      <c r="J140" s="118" t="s">
        <v>269</v>
      </c>
    </row>
    <row r="141" spans="1:10" x14ac:dyDescent="0.25">
      <c r="A141" s="120">
        <v>138</v>
      </c>
      <c r="B141" s="117" t="s">
        <v>709</v>
      </c>
      <c r="C141" s="118" t="s">
        <v>710</v>
      </c>
      <c r="D141" s="118" t="s">
        <v>443</v>
      </c>
      <c r="E141" s="118" t="s">
        <v>711</v>
      </c>
      <c r="F141" s="122">
        <v>0.01</v>
      </c>
      <c r="G141" s="123">
        <v>0.01</v>
      </c>
      <c r="H141" s="121">
        <v>0</v>
      </c>
      <c r="I141" s="124">
        <v>0</v>
      </c>
      <c r="J141" s="118" t="s">
        <v>238</v>
      </c>
    </row>
    <row r="142" spans="1:10" x14ac:dyDescent="0.25">
      <c r="A142" s="120">
        <v>139</v>
      </c>
      <c r="B142" s="117" t="s">
        <v>678</v>
      </c>
      <c r="C142" s="118" t="s">
        <v>679</v>
      </c>
      <c r="D142" s="118" t="s">
        <v>453</v>
      </c>
      <c r="E142" s="118" t="s">
        <v>680</v>
      </c>
      <c r="F142" s="122">
        <v>32.139000000000003</v>
      </c>
      <c r="G142" s="123">
        <v>32.399799999999999</v>
      </c>
      <c r="H142" s="121">
        <v>3.04</v>
      </c>
      <c r="I142" s="124">
        <v>34586</v>
      </c>
      <c r="J142" s="118" t="s">
        <v>269</v>
      </c>
    </row>
    <row r="143" spans="1:10" x14ac:dyDescent="0.25">
      <c r="A143" s="120">
        <v>140</v>
      </c>
      <c r="B143" s="117" t="s">
        <v>712</v>
      </c>
      <c r="C143" s="118" t="s">
        <v>713</v>
      </c>
      <c r="D143" s="118" t="s">
        <v>453</v>
      </c>
      <c r="E143" s="118" t="s">
        <v>714</v>
      </c>
      <c r="F143" s="122">
        <v>92.355869902514456</v>
      </c>
      <c r="G143" s="123">
        <v>96.978069902514463</v>
      </c>
      <c r="H143" s="121">
        <v>28.56</v>
      </c>
      <c r="I143" s="124">
        <v>2456</v>
      </c>
      <c r="J143" s="118" t="s">
        <v>269</v>
      </c>
    </row>
    <row r="144" spans="1:10" x14ac:dyDescent="0.25">
      <c r="A144" s="120">
        <v>141</v>
      </c>
      <c r="B144" s="117" t="s">
        <v>715</v>
      </c>
      <c r="C144" s="118" t="s">
        <v>716</v>
      </c>
      <c r="D144" s="118" t="s">
        <v>453</v>
      </c>
      <c r="E144" s="118" t="s">
        <v>714</v>
      </c>
      <c r="F144" s="122">
        <v>88.721248801508949</v>
      </c>
      <c r="G144" s="123">
        <v>88.929548801508957</v>
      </c>
      <c r="H144" s="121">
        <v>28.56</v>
      </c>
      <c r="I144" s="124">
        <v>3057</v>
      </c>
      <c r="J144" s="118" t="s">
        <v>269</v>
      </c>
    </row>
    <row r="145" spans="1:10" x14ac:dyDescent="0.25">
      <c r="A145" s="120">
        <v>142</v>
      </c>
      <c r="B145" s="117" t="s">
        <v>717</v>
      </c>
      <c r="C145" s="118" t="s">
        <v>718</v>
      </c>
      <c r="D145" s="118" t="s">
        <v>443</v>
      </c>
      <c r="E145" s="118" t="s">
        <v>719</v>
      </c>
      <c r="F145" s="122">
        <v>0.01</v>
      </c>
      <c r="G145" s="123">
        <v>0.01</v>
      </c>
      <c r="H145" s="121">
        <v>0</v>
      </c>
      <c r="I145" s="124">
        <v>0</v>
      </c>
      <c r="J145" s="118" t="s">
        <v>238</v>
      </c>
    </row>
    <row r="146" spans="1:10" x14ac:dyDescent="0.25">
      <c r="A146" s="120">
        <v>143</v>
      </c>
      <c r="B146" s="117" t="s">
        <v>720</v>
      </c>
      <c r="C146" s="118" t="s">
        <v>721</v>
      </c>
      <c r="D146" s="118" t="s">
        <v>443</v>
      </c>
      <c r="E146" s="118" t="s">
        <v>719</v>
      </c>
      <c r="F146" s="122">
        <v>0.01</v>
      </c>
      <c r="G146" s="123">
        <v>0.01</v>
      </c>
      <c r="H146" s="121">
        <v>0</v>
      </c>
      <c r="I146" s="124">
        <v>0</v>
      </c>
      <c r="J146" s="118" t="s">
        <v>238</v>
      </c>
    </row>
    <row r="147" spans="1:10" x14ac:dyDescent="0.25">
      <c r="A147" s="120">
        <v>144</v>
      </c>
      <c r="B147" s="117" t="s">
        <v>725</v>
      </c>
      <c r="C147" s="118" t="s">
        <v>726</v>
      </c>
      <c r="D147" s="118" t="s">
        <v>443</v>
      </c>
      <c r="E147" s="118" t="s">
        <v>727</v>
      </c>
      <c r="F147" s="122">
        <v>27471.469600000004</v>
      </c>
      <c r="G147" s="123">
        <v>27471.469600000004</v>
      </c>
      <c r="H147" s="121">
        <v>0</v>
      </c>
      <c r="I147" s="124">
        <v>0</v>
      </c>
      <c r="J147" s="118" t="s">
        <v>238</v>
      </c>
    </row>
    <row r="148" spans="1:10" x14ac:dyDescent="0.25">
      <c r="A148" s="120">
        <v>145</v>
      </c>
      <c r="B148" s="117" t="s">
        <v>728</v>
      </c>
      <c r="C148" s="118" t="s">
        <v>729</v>
      </c>
      <c r="D148" s="118" t="s">
        <v>443</v>
      </c>
      <c r="E148" s="118" t="s">
        <v>730</v>
      </c>
      <c r="F148" s="122">
        <v>6366.8388118414805</v>
      </c>
      <c r="G148" s="123">
        <v>6366.8388118414805</v>
      </c>
      <c r="H148" s="121">
        <v>0</v>
      </c>
      <c r="I148" s="124">
        <v>0</v>
      </c>
      <c r="J148" s="118" t="s">
        <v>238</v>
      </c>
    </row>
    <row r="149" spans="1:10" x14ac:dyDescent="0.25">
      <c r="A149" s="120">
        <v>146</v>
      </c>
      <c r="B149" s="117" t="s">
        <v>722</v>
      </c>
      <c r="C149" s="118" t="s">
        <v>723</v>
      </c>
      <c r="D149" s="118" t="s">
        <v>443</v>
      </c>
      <c r="E149" s="118" t="s">
        <v>724</v>
      </c>
      <c r="F149" s="122">
        <v>114225.60160000002</v>
      </c>
      <c r="G149" s="123">
        <v>114225.60160000002</v>
      </c>
      <c r="H149" s="121">
        <v>0</v>
      </c>
      <c r="I149" s="124">
        <v>0</v>
      </c>
      <c r="J149" s="118" t="s">
        <v>238</v>
      </c>
    </row>
    <row r="150" spans="1:10" x14ac:dyDescent="0.25">
      <c r="A150" s="120">
        <v>147</v>
      </c>
      <c r="B150" s="117" t="s">
        <v>731</v>
      </c>
      <c r="C150" s="118" t="s">
        <v>732</v>
      </c>
      <c r="D150" s="118" t="s">
        <v>733</v>
      </c>
      <c r="E150" s="118" t="s">
        <v>28</v>
      </c>
      <c r="F150" s="122">
        <v>70238.099332822938</v>
      </c>
      <c r="G150" s="123">
        <v>70238.099332822938</v>
      </c>
      <c r="H150" s="121">
        <v>0</v>
      </c>
      <c r="I150" s="124">
        <v>0</v>
      </c>
      <c r="J150" s="118" t="s">
        <v>238</v>
      </c>
    </row>
    <row r="151" spans="1:10" x14ac:dyDescent="0.25">
      <c r="A151" s="120">
        <v>148</v>
      </c>
      <c r="B151" s="117" t="s">
        <v>26</v>
      </c>
      <c r="C151" s="118" t="s">
        <v>27</v>
      </c>
      <c r="D151" s="118" t="s">
        <v>733</v>
      </c>
      <c r="E151" s="118" t="s">
        <v>28</v>
      </c>
      <c r="F151" s="122">
        <v>1499.84</v>
      </c>
      <c r="G151" s="123">
        <v>1499.84</v>
      </c>
      <c r="H151" s="121">
        <v>0</v>
      </c>
      <c r="I151" s="124">
        <v>0</v>
      </c>
      <c r="J151" s="118" t="s">
        <v>238</v>
      </c>
    </row>
    <row r="152" spans="1:10" x14ac:dyDescent="0.25">
      <c r="A152" s="120">
        <v>149</v>
      </c>
      <c r="B152" s="117" t="s">
        <v>734</v>
      </c>
      <c r="C152" s="118" t="s">
        <v>735</v>
      </c>
      <c r="D152" s="118" t="s">
        <v>733</v>
      </c>
      <c r="E152" s="118" t="s">
        <v>28</v>
      </c>
      <c r="F152" s="122">
        <v>7.0860220934047904</v>
      </c>
      <c r="G152" s="123">
        <v>7.0860220934047904</v>
      </c>
      <c r="H152" s="121">
        <v>0</v>
      </c>
      <c r="I152" s="124">
        <v>0</v>
      </c>
      <c r="J152" s="118" t="s">
        <v>238</v>
      </c>
    </row>
    <row r="153" spans="1:10" x14ac:dyDescent="0.25">
      <c r="A153" s="120">
        <v>150</v>
      </c>
      <c r="B153" s="117" t="s">
        <v>2043</v>
      </c>
      <c r="C153" s="118" t="s">
        <v>2044</v>
      </c>
      <c r="D153" s="118" t="s">
        <v>733</v>
      </c>
      <c r="E153" s="118" t="s">
        <v>28</v>
      </c>
      <c r="F153" s="122">
        <v>54244.400546866462</v>
      </c>
      <c r="G153" s="123">
        <v>54244.400546866462</v>
      </c>
      <c r="H153" s="121">
        <v>0</v>
      </c>
      <c r="I153" s="124">
        <v>0</v>
      </c>
      <c r="J153" s="118" t="s">
        <v>238</v>
      </c>
    </row>
    <row r="154" spans="1:10" x14ac:dyDescent="0.25">
      <c r="A154" s="120">
        <v>151</v>
      </c>
      <c r="B154" s="117" t="s">
        <v>736</v>
      </c>
      <c r="C154" s="118" t="s">
        <v>737</v>
      </c>
      <c r="D154" s="118" t="s">
        <v>443</v>
      </c>
      <c r="E154" s="118" t="s">
        <v>738</v>
      </c>
      <c r="F154" s="122">
        <v>0.01</v>
      </c>
      <c r="G154" s="123">
        <v>0.01</v>
      </c>
      <c r="H154" s="121">
        <v>0</v>
      </c>
      <c r="I154" s="124">
        <v>0</v>
      </c>
      <c r="J154" s="118" t="s">
        <v>238</v>
      </c>
    </row>
    <row r="155" spans="1:10" x14ac:dyDescent="0.25">
      <c r="A155" s="120">
        <v>152</v>
      </c>
      <c r="B155" s="117" t="s">
        <v>739</v>
      </c>
      <c r="C155" s="118" t="s">
        <v>740</v>
      </c>
      <c r="D155" s="118" t="s">
        <v>453</v>
      </c>
      <c r="E155" s="118" t="s">
        <v>2037</v>
      </c>
      <c r="F155" s="122">
        <v>28.881875116174648</v>
      </c>
      <c r="G155" s="123">
        <v>28.883475116174647</v>
      </c>
      <c r="H155" s="121">
        <v>17.86</v>
      </c>
      <c r="I155" s="124">
        <v>2613</v>
      </c>
      <c r="J155" s="118" t="s">
        <v>269</v>
      </c>
    </row>
    <row r="156" spans="1:10" x14ac:dyDescent="0.25">
      <c r="A156" s="120">
        <v>153</v>
      </c>
      <c r="B156" s="117" t="s">
        <v>741</v>
      </c>
      <c r="C156" s="118" t="s">
        <v>742</v>
      </c>
      <c r="D156" s="118" t="s">
        <v>453</v>
      </c>
      <c r="E156" s="118" t="s">
        <v>2037</v>
      </c>
      <c r="F156" s="122">
        <v>99.735757118867568</v>
      </c>
      <c r="G156" s="123">
        <v>102.34695711886756</v>
      </c>
      <c r="H156" s="121">
        <v>17.89</v>
      </c>
      <c r="I156" s="124">
        <v>311</v>
      </c>
      <c r="J156" s="118" t="s">
        <v>269</v>
      </c>
    </row>
    <row r="157" spans="1:10" x14ac:dyDescent="0.25">
      <c r="A157" s="120">
        <v>154</v>
      </c>
      <c r="B157" s="117" t="s">
        <v>743</v>
      </c>
      <c r="C157" s="118" t="s">
        <v>744</v>
      </c>
      <c r="D157" s="118" t="s">
        <v>453</v>
      </c>
      <c r="E157" s="118" t="s">
        <v>2037</v>
      </c>
      <c r="F157" s="122">
        <v>99.634108882558237</v>
      </c>
      <c r="G157" s="123">
        <v>102.25270888255824</v>
      </c>
      <c r="H157" s="121">
        <v>17.88</v>
      </c>
      <c r="I157" s="124">
        <v>676</v>
      </c>
      <c r="J157" s="118" t="s">
        <v>269</v>
      </c>
    </row>
    <row r="158" spans="1:10" x14ac:dyDescent="0.25">
      <c r="A158" s="120">
        <v>155</v>
      </c>
      <c r="B158" s="117" t="s">
        <v>431</v>
      </c>
      <c r="C158" s="118" t="s">
        <v>432</v>
      </c>
      <c r="D158" s="118" t="s">
        <v>453</v>
      </c>
      <c r="E158" s="118" t="s">
        <v>745</v>
      </c>
      <c r="F158" s="122">
        <v>97.347771519195007</v>
      </c>
      <c r="G158" s="123">
        <v>105.49357151919502</v>
      </c>
      <c r="H158" s="121">
        <v>20.21</v>
      </c>
      <c r="I158" s="124">
        <v>370</v>
      </c>
      <c r="J158" s="118" t="s">
        <v>269</v>
      </c>
    </row>
    <row r="159" spans="1:10" x14ac:dyDescent="0.25">
      <c r="A159" s="120">
        <v>156</v>
      </c>
      <c r="B159" s="117" t="s">
        <v>746</v>
      </c>
      <c r="C159" s="118" t="s">
        <v>747</v>
      </c>
      <c r="D159" s="118" t="s">
        <v>453</v>
      </c>
      <c r="E159" s="118" t="s">
        <v>745</v>
      </c>
      <c r="F159" s="122">
        <v>101.00265514153384</v>
      </c>
      <c r="G159" s="123">
        <v>104.54435514153384</v>
      </c>
      <c r="H159" s="121">
        <v>6.47</v>
      </c>
      <c r="I159" s="124">
        <v>370</v>
      </c>
      <c r="J159" s="118" t="s">
        <v>269</v>
      </c>
    </row>
    <row r="160" spans="1:10" x14ac:dyDescent="0.25">
      <c r="A160" s="120">
        <v>157</v>
      </c>
      <c r="B160" s="117" t="s">
        <v>2160</v>
      </c>
      <c r="C160" s="118" t="s">
        <v>2161</v>
      </c>
      <c r="D160" s="118" t="s">
        <v>453</v>
      </c>
      <c r="E160" s="118" t="s">
        <v>745</v>
      </c>
      <c r="F160" s="122">
        <v>99.067379415946633</v>
      </c>
      <c r="G160" s="123">
        <v>106.70487941594662</v>
      </c>
      <c r="H160" s="121">
        <v>20.149999999999999</v>
      </c>
      <c r="I160" s="124">
        <v>579</v>
      </c>
      <c r="J160" s="118" t="s">
        <v>269</v>
      </c>
    </row>
    <row r="161" spans="1:10" x14ac:dyDescent="0.25">
      <c r="A161" s="120">
        <v>158</v>
      </c>
      <c r="B161" s="117" t="s">
        <v>2470</v>
      </c>
      <c r="C161" s="118" t="s">
        <v>2471</v>
      </c>
      <c r="D161" s="118" t="s">
        <v>453</v>
      </c>
      <c r="E161" s="118" t="s">
        <v>745</v>
      </c>
      <c r="F161" s="122">
        <v>99.949265366817556</v>
      </c>
      <c r="G161" s="123">
        <v>101.77146536681755</v>
      </c>
      <c r="H161" s="121">
        <v>20.49</v>
      </c>
      <c r="I161" s="124">
        <v>688</v>
      </c>
      <c r="J161" s="118" t="s">
        <v>269</v>
      </c>
    </row>
    <row r="162" spans="1:10" x14ac:dyDescent="0.25">
      <c r="A162" s="120">
        <v>159</v>
      </c>
      <c r="B162" s="117" t="s">
        <v>748</v>
      </c>
      <c r="C162" s="118" t="s">
        <v>749</v>
      </c>
      <c r="D162" s="118" t="s">
        <v>443</v>
      </c>
      <c r="E162" s="118" t="s">
        <v>750</v>
      </c>
      <c r="F162" s="122">
        <v>76474.849600000016</v>
      </c>
      <c r="G162" s="123">
        <v>76474.849600000016</v>
      </c>
      <c r="H162" s="121">
        <v>0</v>
      </c>
      <c r="I162" s="124">
        <v>0</v>
      </c>
      <c r="J162" s="118" t="s">
        <v>238</v>
      </c>
    </row>
    <row r="163" spans="1:10" x14ac:dyDescent="0.25">
      <c r="A163" s="120">
        <v>160</v>
      </c>
      <c r="B163" s="117" t="s">
        <v>2065</v>
      </c>
      <c r="C163" s="118" t="s">
        <v>1832</v>
      </c>
      <c r="D163" s="118" t="s">
        <v>753</v>
      </c>
      <c r="E163" s="118" t="s">
        <v>1833</v>
      </c>
      <c r="F163" s="122">
        <v>49272.260000000009</v>
      </c>
      <c r="G163" s="123">
        <v>49272.260000000009</v>
      </c>
      <c r="H163" s="121">
        <v>0</v>
      </c>
      <c r="I163" s="124">
        <v>0</v>
      </c>
      <c r="J163" s="118" t="s">
        <v>238</v>
      </c>
    </row>
    <row r="164" spans="1:10" x14ac:dyDescent="0.25">
      <c r="A164" s="120">
        <v>161</v>
      </c>
      <c r="B164" s="117" t="s">
        <v>751</v>
      </c>
      <c r="C164" s="118" t="s">
        <v>752</v>
      </c>
      <c r="D164" s="118" t="s">
        <v>753</v>
      </c>
      <c r="E164" s="118" t="s">
        <v>754</v>
      </c>
      <c r="F164" s="122">
        <v>9319.3808000000026</v>
      </c>
      <c r="G164" s="123">
        <v>9319.3808000000026</v>
      </c>
      <c r="H164" s="121">
        <v>0</v>
      </c>
      <c r="I164" s="124">
        <v>0</v>
      </c>
      <c r="J164" s="118" t="s">
        <v>238</v>
      </c>
    </row>
    <row r="165" spans="1:10" x14ac:dyDescent="0.25">
      <c r="A165" s="120">
        <v>162</v>
      </c>
      <c r="B165" s="117" t="s">
        <v>755</v>
      </c>
      <c r="C165" s="118" t="s">
        <v>756</v>
      </c>
      <c r="D165" s="118" t="s">
        <v>453</v>
      </c>
      <c r="E165" s="118" t="s">
        <v>757</v>
      </c>
      <c r="F165" s="122">
        <v>100.1199809439327</v>
      </c>
      <c r="G165" s="123">
        <v>109.25748094393271</v>
      </c>
      <c r="H165" s="121">
        <v>21.29</v>
      </c>
      <c r="I165" s="124">
        <v>387</v>
      </c>
      <c r="J165" s="118" t="s">
        <v>269</v>
      </c>
    </row>
    <row r="166" spans="1:10" x14ac:dyDescent="0.25">
      <c r="A166" s="120">
        <v>163</v>
      </c>
      <c r="B166" s="117" t="s">
        <v>758</v>
      </c>
      <c r="C166" s="118" t="s">
        <v>759</v>
      </c>
      <c r="D166" s="118" t="s">
        <v>753</v>
      </c>
      <c r="E166" s="118" t="s">
        <v>760</v>
      </c>
      <c r="F166" s="122">
        <v>19453.468000000004</v>
      </c>
      <c r="G166" s="123">
        <v>19453.468000000004</v>
      </c>
      <c r="H166" s="121">
        <v>0</v>
      </c>
      <c r="I166" s="124">
        <v>0</v>
      </c>
      <c r="J166" s="118" t="s">
        <v>238</v>
      </c>
    </row>
    <row r="167" spans="1:10" x14ac:dyDescent="0.25">
      <c r="A167" s="120">
        <v>164</v>
      </c>
      <c r="B167" s="117" t="s">
        <v>761</v>
      </c>
      <c r="C167" s="118" t="s">
        <v>762</v>
      </c>
      <c r="D167" s="118" t="s">
        <v>453</v>
      </c>
      <c r="E167" s="118" t="s">
        <v>763</v>
      </c>
      <c r="F167" s="122">
        <v>92.03824577116518</v>
      </c>
      <c r="G167" s="123">
        <v>95.170145771165167</v>
      </c>
      <c r="H167" s="121">
        <v>24.48</v>
      </c>
      <c r="I167" s="124">
        <v>1025</v>
      </c>
      <c r="J167" s="118" t="s">
        <v>269</v>
      </c>
    </row>
    <row r="168" spans="1:10" x14ac:dyDescent="0.25">
      <c r="A168" s="120">
        <v>165</v>
      </c>
      <c r="B168" s="117" t="s">
        <v>764</v>
      </c>
      <c r="C168" s="118" t="s">
        <v>765</v>
      </c>
      <c r="D168" s="118" t="s">
        <v>453</v>
      </c>
      <c r="E168" s="118" t="s">
        <v>29</v>
      </c>
      <c r="F168" s="122">
        <v>68.200680529722362</v>
      </c>
      <c r="G168" s="123">
        <v>70.013180529722362</v>
      </c>
      <c r="H168" s="121">
        <v>19.95</v>
      </c>
      <c r="I168" s="124">
        <v>2462</v>
      </c>
      <c r="J168" s="118" t="s">
        <v>269</v>
      </c>
    </row>
    <row r="169" spans="1:10" x14ac:dyDescent="0.25">
      <c r="A169" s="120">
        <v>166</v>
      </c>
      <c r="B169" s="117" t="s">
        <v>766</v>
      </c>
      <c r="C169" s="118" t="s">
        <v>767</v>
      </c>
      <c r="D169" s="118" t="s">
        <v>453</v>
      </c>
      <c r="E169" s="118" t="s">
        <v>29</v>
      </c>
      <c r="F169" s="122">
        <v>73.810571350699036</v>
      </c>
      <c r="G169" s="123">
        <v>75.591871350699037</v>
      </c>
      <c r="H169" s="121">
        <v>19.91</v>
      </c>
      <c r="I169" s="124">
        <v>1743</v>
      </c>
      <c r="J169" s="118" t="s">
        <v>269</v>
      </c>
    </row>
    <row r="170" spans="1:10" x14ac:dyDescent="0.25">
      <c r="A170" s="120">
        <v>167</v>
      </c>
      <c r="B170" s="117" t="s">
        <v>768</v>
      </c>
      <c r="C170" s="118" t="s">
        <v>769</v>
      </c>
      <c r="D170" s="118" t="s">
        <v>453</v>
      </c>
      <c r="E170" s="118" t="s">
        <v>29</v>
      </c>
      <c r="F170" s="122">
        <v>81.416091880883613</v>
      </c>
      <c r="G170" s="123">
        <v>83.127191880883615</v>
      </c>
      <c r="H170" s="121">
        <v>19.829999999999998</v>
      </c>
      <c r="I170" s="124">
        <v>1024</v>
      </c>
      <c r="J170" s="118" t="s">
        <v>269</v>
      </c>
    </row>
    <row r="171" spans="1:10" x14ac:dyDescent="0.25">
      <c r="A171" s="120">
        <v>168</v>
      </c>
      <c r="B171" s="117" t="s">
        <v>770</v>
      </c>
      <c r="C171" s="118" t="s">
        <v>771</v>
      </c>
      <c r="D171" s="118" t="s">
        <v>453</v>
      </c>
      <c r="E171" s="118" t="s">
        <v>29</v>
      </c>
      <c r="F171" s="122">
        <v>75.725303795172238</v>
      </c>
      <c r="G171" s="123">
        <v>79.911403795172248</v>
      </c>
      <c r="H171" s="121">
        <v>19.89</v>
      </c>
      <c r="I171" s="124">
        <v>1483</v>
      </c>
      <c r="J171" s="118" t="s">
        <v>269</v>
      </c>
    </row>
    <row r="172" spans="1:10" x14ac:dyDescent="0.25">
      <c r="A172" s="120">
        <v>169</v>
      </c>
      <c r="B172" s="117" t="s">
        <v>405</v>
      </c>
      <c r="C172" s="118" t="s">
        <v>406</v>
      </c>
      <c r="D172" s="118" t="s">
        <v>453</v>
      </c>
      <c r="E172" s="118" t="s">
        <v>29</v>
      </c>
      <c r="F172" s="122">
        <v>77.034541452477299</v>
      </c>
      <c r="G172" s="123">
        <v>80.762341452477301</v>
      </c>
      <c r="H172" s="121">
        <v>18.559999999999999</v>
      </c>
      <c r="I172" s="124">
        <v>1678</v>
      </c>
      <c r="J172" s="118" t="s">
        <v>269</v>
      </c>
    </row>
    <row r="173" spans="1:10" x14ac:dyDescent="0.25">
      <c r="A173" s="120">
        <v>170</v>
      </c>
      <c r="B173" s="117" t="s">
        <v>772</v>
      </c>
      <c r="C173" s="118" t="s">
        <v>773</v>
      </c>
      <c r="D173" s="118" t="s">
        <v>453</v>
      </c>
      <c r="E173" s="118" t="s">
        <v>29</v>
      </c>
      <c r="F173" s="122">
        <v>94.102495353899883</v>
      </c>
      <c r="G173" s="123">
        <v>97.49139535389989</v>
      </c>
      <c r="H173" s="121">
        <v>19.87</v>
      </c>
      <c r="I173" s="124">
        <v>238</v>
      </c>
      <c r="J173" s="118" t="s">
        <v>269</v>
      </c>
    </row>
    <row r="174" spans="1:10" x14ac:dyDescent="0.25">
      <c r="A174" s="120">
        <v>171</v>
      </c>
      <c r="B174" s="117" t="s">
        <v>774</v>
      </c>
      <c r="C174" s="118" t="s">
        <v>775</v>
      </c>
      <c r="D174" s="118" t="s">
        <v>453</v>
      </c>
      <c r="E174" s="118" t="s">
        <v>29</v>
      </c>
      <c r="F174" s="122">
        <v>7.6035348603743262</v>
      </c>
      <c r="G174" s="123">
        <v>7.6089348603743261</v>
      </c>
      <c r="H174" s="121">
        <v>20.079999999999998</v>
      </c>
      <c r="I174" s="124">
        <v>5027</v>
      </c>
      <c r="J174" s="118" t="s">
        <v>269</v>
      </c>
    </row>
    <row r="175" spans="1:10" x14ac:dyDescent="0.25">
      <c r="A175" s="120">
        <v>172</v>
      </c>
      <c r="B175" s="117" t="s">
        <v>776</v>
      </c>
      <c r="C175" s="118" t="s">
        <v>777</v>
      </c>
      <c r="D175" s="118" t="s">
        <v>453</v>
      </c>
      <c r="E175" s="118" t="s">
        <v>29</v>
      </c>
      <c r="F175" s="122">
        <v>6.8543443411296687</v>
      </c>
      <c r="G175" s="123">
        <v>6.9193443411296691</v>
      </c>
      <c r="H175" s="121">
        <v>20.09</v>
      </c>
      <c r="I175" s="124">
        <v>5244</v>
      </c>
      <c r="J175" s="118" t="s">
        <v>269</v>
      </c>
    </row>
    <row r="176" spans="1:10" x14ac:dyDescent="0.25">
      <c r="A176" s="120">
        <v>173</v>
      </c>
      <c r="B176" s="117" t="s">
        <v>778</v>
      </c>
      <c r="C176" s="118" t="s">
        <v>779</v>
      </c>
      <c r="D176" s="118" t="s">
        <v>453</v>
      </c>
      <c r="E176" s="118" t="s">
        <v>29</v>
      </c>
      <c r="F176" s="122">
        <v>74.567191401196595</v>
      </c>
      <c r="G176" s="123">
        <v>78.861091401196589</v>
      </c>
      <c r="H176" s="121">
        <v>19.91</v>
      </c>
      <c r="I176" s="124">
        <v>1849</v>
      </c>
      <c r="J176" s="118" t="s">
        <v>269</v>
      </c>
    </row>
    <row r="177" spans="1:10" x14ac:dyDescent="0.25">
      <c r="A177" s="120">
        <v>174</v>
      </c>
      <c r="B177" s="117" t="s">
        <v>780</v>
      </c>
      <c r="C177" s="118" t="s">
        <v>781</v>
      </c>
      <c r="D177" s="118" t="s">
        <v>453</v>
      </c>
      <c r="E177" s="118" t="s">
        <v>29</v>
      </c>
      <c r="F177" s="122">
        <v>86.540958426997392</v>
      </c>
      <c r="G177" s="123">
        <v>90.8348584269974</v>
      </c>
      <c r="H177" s="121">
        <v>19.8</v>
      </c>
      <c r="I177" s="124">
        <v>769</v>
      </c>
      <c r="J177" s="118" t="s">
        <v>269</v>
      </c>
    </row>
    <row r="178" spans="1:10" x14ac:dyDescent="0.25">
      <c r="A178" s="120">
        <v>175</v>
      </c>
      <c r="B178" s="117" t="s">
        <v>782</v>
      </c>
      <c r="C178" s="118" t="s">
        <v>783</v>
      </c>
      <c r="D178" s="118" t="s">
        <v>453</v>
      </c>
      <c r="E178" s="118" t="s">
        <v>29</v>
      </c>
      <c r="F178" s="122">
        <v>54.930653494509151</v>
      </c>
      <c r="G178" s="123">
        <v>61.892553494509151</v>
      </c>
      <c r="H178" s="121">
        <v>20.94</v>
      </c>
      <c r="I178" s="124">
        <v>2167</v>
      </c>
      <c r="J178" s="118" t="s">
        <v>269</v>
      </c>
    </row>
    <row r="179" spans="1:10" x14ac:dyDescent="0.25">
      <c r="A179" s="120">
        <v>176</v>
      </c>
      <c r="B179" s="117" t="s">
        <v>784</v>
      </c>
      <c r="C179" s="118" t="s">
        <v>785</v>
      </c>
      <c r="D179" s="118" t="s">
        <v>453</v>
      </c>
      <c r="E179" s="118" t="s">
        <v>29</v>
      </c>
      <c r="F179" s="122">
        <v>21.081000090239272</v>
      </c>
      <c r="G179" s="123">
        <v>21.483800090239271</v>
      </c>
      <c r="H179" s="121">
        <v>19.989999999999998</v>
      </c>
      <c r="I179" s="124">
        <v>3115</v>
      </c>
      <c r="J179" s="118" t="s">
        <v>269</v>
      </c>
    </row>
    <row r="180" spans="1:10" x14ac:dyDescent="0.25">
      <c r="A180" s="120">
        <v>177</v>
      </c>
      <c r="B180" s="117" t="s">
        <v>786</v>
      </c>
      <c r="C180" s="118" t="s">
        <v>787</v>
      </c>
      <c r="D180" s="118" t="s">
        <v>453</v>
      </c>
      <c r="E180" s="118" t="s">
        <v>29</v>
      </c>
      <c r="F180" s="122">
        <v>18.812539727077333</v>
      </c>
      <c r="G180" s="123">
        <v>19.152839727077332</v>
      </c>
      <c r="H180" s="121">
        <v>21.06</v>
      </c>
      <c r="I180" s="124">
        <v>3355</v>
      </c>
      <c r="J180" s="118" t="s">
        <v>269</v>
      </c>
    </row>
    <row r="181" spans="1:10" x14ac:dyDescent="0.25">
      <c r="A181" s="120">
        <v>178</v>
      </c>
      <c r="B181" s="117" t="s">
        <v>788</v>
      </c>
      <c r="C181" s="118" t="s">
        <v>789</v>
      </c>
      <c r="D181" s="118" t="s">
        <v>453</v>
      </c>
      <c r="E181" s="118" t="s">
        <v>29</v>
      </c>
      <c r="F181" s="122">
        <v>96.839106462320473</v>
      </c>
      <c r="G181" s="123">
        <v>102.47800646232047</v>
      </c>
      <c r="H181" s="121">
        <v>19.77</v>
      </c>
      <c r="I181" s="124">
        <v>215</v>
      </c>
      <c r="J181" s="118" t="s">
        <v>269</v>
      </c>
    </row>
    <row r="182" spans="1:10" x14ac:dyDescent="0.25">
      <c r="A182" s="120">
        <v>179</v>
      </c>
      <c r="B182" s="117" t="s">
        <v>790</v>
      </c>
      <c r="C182" s="118" t="s">
        <v>791</v>
      </c>
      <c r="D182" s="118" t="s">
        <v>453</v>
      </c>
      <c r="E182" s="118" t="s">
        <v>29</v>
      </c>
      <c r="F182" s="122">
        <v>100</v>
      </c>
      <c r="G182" s="123">
        <v>105.9774</v>
      </c>
      <c r="H182" s="121">
        <v>17.690000000000001</v>
      </c>
      <c r="I182" s="124">
        <v>160</v>
      </c>
      <c r="J182" s="118" t="s">
        <v>269</v>
      </c>
    </row>
    <row r="183" spans="1:10" x14ac:dyDescent="0.25">
      <c r="A183" s="120">
        <v>180</v>
      </c>
      <c r="B183" s="117" t="s">
        <v>792</v>
      </c>
      <c r="C183" s="118" t="s">
        <v>793</v>
      </c>
      <c r="D183" s="118" t="s">
        <v>443</v>
      </c>
      <c r="E183" s="118" t="s">
        <v>29</v>
      </c>
      <c r="F183" s="122">
        <v>1015.5</v>
      </c>
      <c r="G183" s="123">
        <v>1015.5</v>
      </c>
      <c r="H183" s="121">
        <v>0</v>
      </c>
      <c r="I183" s="124">
        <v>2920</v>
      </c>
      <c r="J183" s="118" t="s">
        <v>238</v>
      </c>
    </row>
    <row r="184" spans="1:10" x14ac:dyDescent="0.25">
      <c r="A184" s="120">
        <v>181</v>
      </c>
      <c r="B184" s="117" t="s">
        <v>1928</v>
      </c>
      <c r="C184" s="118" t="s">
        <v>1929</v>
      </c>
      <c r="D184" s="118" t="s">
        <v>453</v>
      </c>
      <c r="E184" s="118" t="s">
        <v>29</v>
      </c>
      <c r="F184" s="122">
        <v>44.833952749275376</v>
      </c>
      <c r="G184" s="123">
        <v>49.733952749275375</v>
      </c>
      <c r="H184" s="121">
        <v>19.88</v>
      </c>
      <c r="I184" s="124">
        <v>2916</v>
      </c>
      <c r="J184" s="118" t="s">
        <v>269</v>
      </c>
    </row>
    <row r="185" spans="1:10" x14ac:dyDescent="0.25">
      <c r="A185" s="120">
        <v>182</v>
      </c>
      <c r="B185" s="117" t="s">
        <v>794</v>
      </c>
      <c r="C185" s="118" t="s">
        <v>795</v>
      </c>
      <c r="D185" s="118" t="s">
        <v>453</v>
      </c>
      <c r="E185" s="118" t="s">
        <v>29</v>
      </c>
      <c r="F185" s="122">
        <v>95.885156581583175</v>
      </c>
      <c r="G185" s="123">
        <v>98.95735658158317</v>
      </c>
      <c r="H185" s="121">
        <v>19.829999999999998</v>
      </c>
      <c r="I185" s="124">
        <v>281</v>
      </c>
      <c r="J185" s="118" t="s">
        <v>269</v>
      </c>
    </row>
    <row r="186" spans="1:10" x14ac:dyDescent="0.25">
      <c r="A186" s="120">
        <v>183</v>
      </c>
      <c r="B186" s="117" t="s">
        <v>796</v>
      </c>
      <c r="C186" s="118" t="s">
        <v>797</v>
      </c>
      <c r="D186" s="118" t="s">
        <v>453</v>
      </c>
      <c r="E186" s="118" t="s">
        <v>29</v>
      </c>
      <c r="F186" s="122">
        <v>83.497113021806342</v>
      </c>
      <c r="G186" s="123">
        <v>86.913813021806348</v>
      </c>
      <c r="H186" s="121">
        <v>19.91</v>
      </c>
      <c r="I186" s="124">
        <v>2078</v>
      </c>
      <c r="J186" s="118" t="s">
        <v>269</v>
      </c>
    </row>
    <row r="187" spans="1:10" x14ac:dyDescent="0.25">
      <c r="A187" s="120">
        <v>184</v>
      </c>
      <c r="B187" s="117" t="s">
        <v>392</v>
      </c>
      <c r="C187" s="118" t="s">
        <v>393</v>
      </c>
      <c r="D187" s="118" t="s">
        <v>453</v>
      </c>
      <c r="E187" s="118" t="s">
        <v>29</v>
      </c>
      <c r="F187" s="122">
        <v>96.63687383790878</v>
      </c>
      <c r="G187" s="123">
        <v>101.62517383790879</v>
      </c>
      <c r="H187" s="121">
        <v>17.66</v>
      </c>
      <c r="I187" s="124">
        <v>196</v>
      </c>
      <c r="J187" s="118" t="s">
        <v>269</v>
      </c>
    </row>
    <row r="188" spans="1:10" x14ac:dyDescent="0.25">
      <c r="A188" s="120">
        <v>185</v>
      </c>
      <c r="B188" s="117" t="s">
        <v>798</v>
      </c>
      <c r="C188" s="118" t="s">
        <v>799</v>
      </c>
      <c r="D188" s="118" t="s">
        <v>453</v>
      </c>
      <c r="E188" s="118" t="s">
        <v>29</v>
      </c>
      <c r="F188" s="122">
        <v>89.422457408701462</v>
      </c>
      <c r="G188" s="123">
        <v>90.766357408701467</v>
      </c>
      <c r="H188" s="121">
        <v>5.17</v>
      </c>
      <c r="I188" s="124">
        <v>1996</v>
      </c>
      <c r="J188" s="118" t="s">
        <v>269</v>
      </c>
    </row>
    <row r="189" spans="1:10" x14ac:dyDescent="0.25">
      <c r="A189" s="120">
        <v>186</v>
      </c>
      <c r="B189" s="117" t="s">
        <v>800</v>
      </c>
      <c r="C189" s="118" t="s">
        <v>801</v>
      </c>
      <c r="D189" s="118" t="s">
        <v>453</v>
      </c>
      <c r="E189" s="118" t="s">
        <v>29</v>
      </c>
      <c r="F189" s="122">
        <v>101.407</v>
      </c>
      <c r="G189" s="123">
        <v>101.4834</v>
      </c>
      <c r="H189" s="121">
        <v>4.51</v>
      </c>
      <c r="I189" s="124">
        <v>535</v>
      </c>
      <c r="J189" s="118" t="s">
        <v>269</v>
      </c>
    </row>
    <row r="190" spans="1:10" x14ac:dyDescent="0.25">
      <c r="A190" s="120">
        <v>187</v>
      </c>
      <c r="B190" s="117" t="s">
        <v>802</v>
      </c>
      <c r="C190" s="118" t="s">
        <v>803</v>
      </c>
      <c r="D190" s="118" t="s">
        <v>453</v>
      </c>
      <c r="E190" s="118" t="s">
        <v>29</v>
      </c>
      <c r="F190" s="122">
        <v>92.366397790659519</v>
      </c>
      <c r="G190" s="123">
        <v>92.546997790659518</v>
      </c>
      <c r="H190" s="121">
        <v>19.14</v>
      </c>
      <c r="I190" s="124">
        <v>535</v>
      </c>
      <c r="J190" s="118" t="s">
        <v>269</v>
      </c>
    </row>
    <row r="191" spans="1:10" x14ac:dyDescent="0.25">
      <c r="A191" s="120">
        <v>188</v>
      </c>
      <c r="B191" s="117" t="s">
        <v>804</v>
      </c>
      <c r="C191" s="118" t="s">
        <v>805</v>
      </c>
      <c r="D191" s="118" t="s">
        <v>453</v>
      </c>
      <c r="E191" s="118" t="s">
        <v>29</v>
      </c>
      <c r="F191" s="122">
        <v>101.05935004921798</v>
      </c>
      <c r="G191" s="123">
        <v>103.64065004921798</v>
      </c>
      <c r="H191" s="121">
        <v>4.96</v>
      </c>
      <c r="I191" s="124">
        <v>1443</v>
      </c>
      <c r="J191" s="118" t="s">
        <v>269</v>
      </c>
    </row>
    <row r="192" spans="1:10" x14ac:dyDescent="0.25">
      <c r="A192" s="120">
        <v>189</v>
      </c>
      <c r="B192" s="117" t="s">
        <v>806</v>
      </c>
      <c r="C192" s="118" t="s">
        <v>807</v>
      </c>
      <c r="D192" s="118" t="s">
        <v>453</v>
      </c>
      <c r="E192" s="118" t="s">
        <v>29</v>
      </c>
      <c r="F192" s="122">
        <v>87.837000000000003</v>
      </c>
      <c r="G192" s="123">
        <v>93.345100000000002</v>
      </c>
      <c r="H192" s="121">
        <v>19.68</v>
      </c>
      <c r="I192" s="124">
        <v>933</v>
      </c>
      <c r="J192" s="118" t="s">
        <v>269</v>
      </c>
    </row>
    <row r="193" spans="1:10" x14ac:dyDescent="0.25">
      <c r="A193" s="120">
        <v>190</v>
      </c>
      <c r="B193" s="117" t="s">
        <v>2073</v>
      </c>
      <c r="C193" s="118" t="s">
        <v>2074</v>
      </c>
      <c r="D193" s="118" t="s">
        <v>453</v>
      </c>
      <c r="E193" s="118" t="s">
        <v>29</v>
      </c>
      <c r="F193" s="122">
        <v>103.456</v>
      </c>
      <c r="G193" s="123">
        <v>103.6591</v>
      </c>
      <c r="H193" s="121">
        <v>4.76</v>
      </c>
      <c r="I193" s="124">
        <v>1607</v>
      </c>
      <c r="J193" s="118" t="s">
        <v>269</v>
      </c>
    </row>
    <row r="194" spans="1:10" x14ac:dyDescent="0.25">
      <c r="A194" s="120">
        <v>191</v>
      </c>
      <c r="B194" s="117" t="s">
        <v>2433</v>
      </c>
      <c r="C194" s="118" t="s">
        <v>2434</v>
      </c>
      <c r="D194" s="118" t="s">
        <v>453</v>
      </c>
      <c r="E194" s="118" t="s">
        <v>29</v>
      </c>
      <c r="F194" s="122">
        <v>100.64970215528832</v>
      </c>
      <c r="G194" s="123">
        <v>101.09940215528832</v>
      </c>
      <c r="H194" s="121">
        <v>3.11</v>
      </c>
      <c r="I194" s="124">
        <v>1047</v>
      </c>
      <c r="J194" s="118" t="s">
        <v>269</v>
      </c>
    </row>
    <row r="195" spans="1:10" x14ac:dyDescent="0.25">
      <c r="A195" s="120">
        <v>192</v>
      </c>
      <c r="B195" s="117" t="s">
        <v>30</v>
      </c>
      <c r="C195" s="118" t="s">
        <v>31</v>
      </c>
      <c r="D195" s="118" t="s">
        <v>453</v>
      </c>
      <c r="E195" s="118" t="s">
        <v>29</v>
      </c>
      <c r="F195" s="122">
        <v>100.26984132752054</v>
      </c>
      <c r="G195" s="123">
        <v>100.71984132752054</v>
      </c>
      <c r="H195" s="121">
        <v>5.34</v>
      </c>
      <c r="I195" s="124">
        <v>153</v>
      </c>
      <c r="J195" s="118" t="s">
        <v>269</v>
      </c>
    </row>
    <row r="196" spans="1:10" x14ac:dyDescent="0.25">
      <c r="A196" s="120">
        <v>193</v>
      </c>
      <c r="B196" s="117" t="s">
        <v>808</v>
      </c>
      <c r="C196" s="118" t="s">
        <v>809</v>
      </c>
      <c r="D196" s="118" t="s">
        <v>443</v>
      </c>
      <c r="E196" s="118" t="s">
        <v>810</v>
      </c>
      <c r="F196" s="122">
        <v>0.01</v>
      </c>
      <c r="G196" s="123">
        <v>0.01</v>
      </c>
      <c r="H196" s="121">
        <v>0</v>
      </c>
      <c r="I196" s="124">
        <v>0</v>
      </c>
      <c r="J196" s="118" t="s">
        <v>238</v>
      </c>
    </row>
    <row r="197" spans="1:10" x14ac:dyDescent="0.25">
      <c r="A197" s="120">
        <v>194</v>
      </c>
      <c r="B197" s="117" t="s">
        <v>1930</v>
      </c>
      <c r="C197" s="118" t="s">
        <v>1931</v>
      </c>
      <c r="D197" s="118" t="s">
        <v>453</v>
      </c>
      <c r="E197" s="118" t="s">
        <v>1981</v>
      </c>
      <c r="F197" s="122">
        <v>104.46798001789297</v>
      </c>
      <c r="G197" s="123">
        <v>106.36038001789296</v>
      </c>
      <c r="H197" s="121">
        <v>4.91</v>
      </c>
      <c r="I197" s="124">
        <v>1331</v>
      </c>
      <c r="J197" s="118" t="s">
        <v>269</v>
      </c>
    </row>
    <row r="198" spans="1:10" x14ac:dyDescent="0.25">
      <c r="A198" s="120">
        <v>195</v>
      </c>
      <c r="B198" s="117" t="s">
        <v>811</v>
      </c>
      <c r="C198" s="118" t="s">
        <v>812</v>
      </c>
      <c r="D198" s="118" t="s">
        <v>443</v>
      </c>
      <c r="E198" s="118" t="s">
        <v>813</v>
      </c>
      <c r="F198" s="122">
        <v>294.35000000000002</v>
      </c>
      <c r="G198" s="123">
        <v>294.35000000000002</v>
      </c>
      <c r="H198" s="121">
        <v>0</v>
      </c>
      <c r="I198" s="124">
        <v>0</v>
      </c>
      <c r="J198" s="118" t="s">
        <v>238</v>
      </c>
    </row>
    <row r="199" spans="1:10" x14ac:dyDescent="0.25">
      <c r="A199" s="120">
        <v>196</v>
      </c>
      <c r="B199" s="117" t="s">
        <v>814</v>
      </c>
      <c r="C199" s="118" t="s">
        <v>815</v>
      </c>
      <c r="D199" s="118" t="s">
        <v>453</v>
      </c>
      <c r="E199" s="118" t="s">
        <v>816</v>
      </c>
      <c r="F199" s="122">
        <v>59.490116736113876</v>
      </c>
      <c r="G199" s="123">
        <v>61.413216736113881</v>
      </c>
      <c r="H199" s="121">
        <v>20.13</v>
      </c>
      <c r="I199" s="124">
        <v>1685</v>
      </c>
      <c r="J199" s="118" t="s">
        <v>269</v>
      </c>
    </row>
    <row r="200" spans="1:10" x14ac:dyDescent="0.25">
      <c r="A200" s="120">
        <v>197</v>
      </c>
      <c r="B200" s="117" t="s">
        <v>817</v>
      </c>
      <c r="C200" s="118" t="s">
        <v>818</v>
      </c>
      <c r="D200" s="118" t="s">
        <v>453</v>
      </c>
      <c r="E200" s="118" t="s">
        <v>816</v>
      </c>
      <c r="F200" s="122">
        <v>53.859355798681463</v>
      </c>
      <c r="G200" s="123">
        <v>54.963055798681467</v>
      </c>
      <c r="H200" s="121">
        <v>20.170000000000002</v>
      </c>
      <c r="I200" s="124">
        <v>2094</v>
      </c>
      <c r="J200" s="118" t="s">
        <v>269</v>
      </c>
    </row>
    <row r="201" spans="1:10" x14ac:dyDescent="0.25">
      <c r="A201" s="120">
        <v>198</v>
      </c>
      <c r="B201" s="117" t="s">
        <v>819</v>
      </c>
      <c r="C201" s="118" t="s">
        <v>820</v>
      </c>
      <c r="D201" s="118" t="s">
        <v>453</v>
      </c>
      <c r="E201" s="118" t="s">
        <v>816</v>
      </c>
      <c r="F201" s="122">
        <v>49.132124502649027</v>
      </c>
      <c r="G201" s="123">
        <v>55.11872450264903</v>
      </c>
      <c r="H201" s="121">
        <v>20.2</v>
      </c>
      <c r="I201" s="124">
        <v>2522</v>
      </c>
      <c r="J201" s="118" t="s">
        <v>269</v>
      </c>
    </row>
    <row r="202" spans="1:10" x14ac:dyDescent="0.25">
      <c r="A202" s="120">
        <v>199</v>
      </c>
      <c r="B202" s="117" t="s">
        <v>821</v>
      </c>
      <c r="C202" s="118" t="s">
        <v>822</v>
      </c>
      <c r="D202" s="118" t="s">
        <v>453</v>
      </c>
      <c r="E202" s="118" t="s">
        <v>816</v>
      </c>
      <c r="F202" s="122">
        <v>49.132124502649027</v>
      </c>
      <c r="G202" s="123">
        <v>55.11872450264903</v>
      </c>
      <c r="H202" s="121">
        <v>20.2</v>
      </c>
      <c r="I202" s="124">
        <v>2522</v>
      </c>
      <c r="J202" s="118" t="s">
        <v>269</v>
      </c>
    </row>
    <row r="203" spans="1:10" x14ac:dyDescent="0.25">
      <c r="A203" s="120">
        <v>200</v>
      </c>
      <c r="B203" s="117" t="s">
        <v>823</v>
      </c>
      <c r="C203" s="118" t="s">
        <v>824</v>
      </c>
      <c r="D203" s="118" t="s">
        <v>453</v>
      </c>
      <c r="E203" s="118" t="s">
        <v>385</v>
      </c>
      <c r="F203" s="122">
        <v>64.85255679774906</v>
      </c>
      <c r="G203" s="123">
        <v>67.834456797749056</v>
      </c>
      <c r="H203" s="121">
        <v>17.809999999999999</v>
      </c>
      <c r="I203" s="124">
        <v>2947</v>
      </c>
      <c r="J203" s="118" t="s">
        <v>269</v>
      </c>
    </row>
    <row r="204" spans="1:10" x14ac:dyDescent="0.25">
      <c r="A204" s="120">
        <v>201</v>
      </c>
      <c r="B204" s="117" t="s">
        <v>825</v>
      </c>
      <c r="C204" s="118" t="s">
        <v>826</v>
      </c>
      <c r="D204" s="118" t="s">
        <v>453</v>
      </c>
      <c r="E204" s="118" t="s">
        <v>385</v>
      </c>
      <c r="F204" s="122">
        <v>89.097636492554088</v>
      </c>
      <c r="G204" s="123">
        <v>94.59383649255409</v>
      </c>
      <c r="H204" s="121">
        <v>17.670000000000002</v>
      </c>
      <c r="I204" s="124">
        <v>1293</v>
      </c>
      <c r="J204" s="118" t="s">
        <v>269</v>
      </c>
    </row>
    <row r="205" spans="1:10" x14ac:dyDescent="0.25">
      <c r="A205" s="120">
        <v>202</v>
      </c>
      <c r="B205" s="117" t="s">
        <v>407</v>
      </c>
      <c r="C205" s="118" t="s">
        <v>400</v>
      </c>
      <c r="D205" s="118" t="s">
        <v>453</v>
      </c>
      <c r="E205" s="118" t="s">
        <v>385</v>
      </c>
      <c r="F205" s="122">
        <v>98.515840081678121</v>
      </c>
      <c r="G205" s="123">
        <v>103.99464008167813</v>
      </c>
      <c r="H205" s="121">
        <v>17.329999999999998</v>
      </c>
      <c r="I205" s="124">
        <v>158</v>
      </c>
      <c r="J205" s="118" t="s">
        <v>269</v>
      </c>
    </row>
    <row r="206" spans="1:10" x14ac:dyDescent="0.25">
      <c r="A206" s="120">
        <v>203</v>
      </c>
      <c r="B206" s="117" t="s">
        <v>1932</v>
      </c>
      <c r="C206" s="118" t="s">
        <v>1933</v>
      </c>
      <c r="D206" s="118" t="s">
        <v>453</v>
      </c>
      <c r="E206" s="118" t="s">
        <v>385</v>
      </c>
      <c r="F206" s="122">
        <v>98.975688773389521</v>
      </c>
      <c r="G206" s="123">
        <v>103.72568877338952</v>
      </c>
      <c r="H206" s="121">
        <v>17.2</v>
      </c>
      <c r="I206" s="124">
        <v>156</v>
      </c>
      <c r="J206" s="118" t="s">
        <v>269</v>
      </c>
    </row>
    <row r="207" spans="1:10" x14ac:dyDescent="0.25">
      <c r="A207" s="120">
        <v>204</v>
      </c>
      <c r="B207" s="117" t="s">
        <v>2070</v>
      </c>
      <c r="C207" s="118" t="s">
        <v>2071</v>
      </c>
      <c r="D207" s="118" t="s">
        <v>453</v>
      </c>
      <c r="E207" s="118" t="s">
        <v>385</v>
      </c>
      <c r="F207" s="122">
        <v>99.698930520583545</v>
      </c>
      <c r="G207" s="123">
        <v>100.31283052058355</v>
      </c>
      <c r="H207" s="121">
        <v>17.2</v>
      </c>
      <c r="I207" s="124">
        <v>257</v>
      </c>
      <c r="J207" s="118" t="s">
        <v>269</v>
      </c>
    </row>
    <row r="208" spans="1:10" x14ac:dyDescent="0.25">
      <c r="A208" s="120">
        <v>205</v>
      </c>
      <c r="B208" s="117" t="s">
        <v>2077</v>
      </c>
      <c r="C208" s="118" t="s">
        <v>2072</v>
      </c>
      <c r="D208" s="118" t="s">
        <v>453</v>
      </c>
      <c r="E208" s="118" t="s">
        <v>385</v>
      </c>
      <c r="F208" s="122">
        <v>99.594384124241387</v>
      </c>
      <c r="G208" s="123">
        <v>100.0582841242414</v>
      </c>
      <c r="H208" s="121">
        <v>17.59</v>
      </c>
      <c r="I208" s="124">
        <v>170</v>
      </c>
      <c r="J208" s="118" t="s">
        <v>269</v>
      </c>
    </row>
    <row r="209" spans="1:10" x14ac:dyDescent="0.25">
      <c r="A209" s="120">
        <v>206</v>
      </c>
      <c r="B209" s="117" t="s">
        <v>2107</v>
      </c>
      <c r="C209" s="118" t="s">
        <v>2096</v>
      </c>
      <c r="D209" s="118" t="s">
        <v>453</v>
      </c>
      <c r="E209" s="118" t="s">
        <v>385</v>
      </c>
      <c r="F209" s="122">
        <v>97.6888986109592</v>
      </c>
      <c r="G209" s="123">
        <v>105.2938986109592</v>
      </c>
      <c r="H209" s="121">
        <v>17.57</v>
      </c>
      <c r="I209" s="124">
        <v>1638</v>
      </c>
      <c r="J209" s="118" t="s">
        <v>269</v>
      </c>
    </row>
    <row r="210" spans="1:10" x14ac:dyDescent="0.25">
      <c r="A210" s="120">
        <v>207</v>
      </c>
      <c r="B210" s="117" t="s">
        <v>2192</v>
      </c>
      <c r="C210" s="118" t="s">
        <v>2193</v>
      </c>
      <c r="D210" s="118" t="s">
        <v>453</v>
      </c>
      <c r="E210" s="118" t="s">
        <v>385</v>
      </c>
      <c r="F210" s="122">
        <v>99.481961609974846</v>
      </c>
      <c r="G210" s="123">
        <v>105.70416160997485</v>
      </c>
      <c r="H210" s="121">
        <v>17.57</v>
      </c>
      <c r="I210" s="124">
        <v>1672</v>
      </c>
      <c r="J210" s="118" t="s">
        <v>269</v>
      </c>
    </row>
    <row r="211" spans="1:10" x14ac:dyDescent="0.25">
      <c r="A211" s="116">
        <v>208</v>
      </c>
      <c r="B211" s="117" t="s">
        <v>2194</v>
      </c>
      <c r="C211" s="118" t="s">
        <v>2195</v>
      </c>
      <c r="D211" s="118" t="s">
        <v>453</v>
      </c>
      <c r="E211" s="118" t="s">
        <v>385</v>
      </c>
      <c r="F211" s="119">
        <v>99.481961609974846</v>
      </c>
      <c r="G211" s="119">
        <v>105.70416160997485</v>
      </c>
      <c r="H211" s="119">
        <v>17.57</v>
      </c>
      <c r="I211" s="116">
        <v>1672</v>
      </c>
      <c r="J211" s="118" t="s">
        <v>269</v>
      </c>
    </row>
    <row r="212" spans="1:10" x14ac:dyDescent="0.25">
      <c r="A212" s="116">
        <v>209</v>
      </c>
      <c r="B212" s="117" t="s">
        <v>2424</v>
      </c>
      <c r="C212" s="118" t="s">
        <v>2425</v>
      </c>
      <c r="D212" s="118" t="s">
        <v>453</v>
      </c>
      <c r="E212" s="118" t="s">
        <v>385</v>
      </c>
      <c r="F212" s="119">
        <v>99.651626927704257</v>
      </c>
      <c r="G212" s="119">
        <v>101.68492692770425</v>
      </c>
      <c r="H212" s="119">
        <v>18.37</v>
      </c>
      <c r="I212" s="116">
        <v>1760</v>
      </c>
      <c r="J212" s="118" t="s">
        <v>269</v>
      </c>
    </row>
    <row r="213" spans="1:10" x14ac:dyDescent="0.25">
      <c r="A213" s="116">
        <v>210</v>
      </c>
      <c r="B213" s="117" t="s">
        <v>2128</v>
      </c>
      <c r="C213" s="118" t="s">
        <v>2129</v>
      </c>
      <c r="D213" s="118" t="s">
        <v>453</v>
      </c>
      <c r="E213" s="118" t="s">
        <v>385</v>
      </c>
      <c r="F213" s="119">
        <v>99.461601771847313</v>
      </c>
      <c r="G213" s="119">
        <v>106.79020177184732</v>
      </c>
      <c r="H213" s="119">
        <v>17.32</v>
      </c>
      <c r="I213" s="116">
        <v>212</v>
      </c>
      <c r="J213" s="118" t="s">
        <v>269</v>
      </c>
    </row>
    <row r="214" spans="1:10" x14ac:dyDescent="0.25">
      <c r="A214" s="116">
        <v>211</v>
      </c>
      <c r="B214" s="117" t="s">
        <v>2260</v>
      </c>
      <c r="C214" s="118" t="s">
        <v>2261</v>
      </c>
      <c r="D214" s="118" t="s">
        <v>453</v>
      </c>
      <c r="E214" s="118" t="s">
        <v>385</v>
      </c>
      <c r="F214" s="119">
        <v>99.972001949914684</v>
      </c>
      <c r="G214" s="119">
        <v>104.38490194991469</v>
      </c>
      <c r="H214" s="119">
        <v>17.61</v>
      </c>
      <c r="I214" s="116">
        <v>279</v>
      </c>
      <c r="J214" s="118" t="s">
        <v>269</v>
      </c>
    </row>
    <row r="215" spans="1:10" x14ac:dyDescent="0.25">
      <c r="A215" s="116">
        <v>212</v>
      </c>
      <c r="B215" s="117" t="s">
        <v>827</v>
      </c>
      <c r="C215" s="118" t="s">
        <v>828</v>
      </c>
      <c r="D215" s="118" t="s">
        <v>453</v>
      </c>
      <c r="E215" s="118" t="s">
        <v>385</v>
      </c>
      <c r="F215" s="119">
        <v>79.02406782369799</v>
      </c>
      <c r="G215" s="119">
        <v>84.014867823697983</v>
      </c>
      <c r="H215" s="119">
        <v>17.75</v>
      </c>
      <c r="I215" s="116">
        <v>1821</v>
      </c>
      <c r="J215" s="118" t="s">
        <v>269</v>
      </c>
    </row>
    <row r="216" spans="1:10" x14ac:dyDescent="0.25">
      <c r="A216" s="116">
        <v>213</v>
      </c>
      <c r="B216" s="117" t="s">
        <v>408</v>
      </c>
      <c r="C216" s="118" t="s">
        <v>409</v>
      </c>
      <c r="D216" s="118" t="s">
        <v>453</v>
      </c>
      <c r="E216" s="118" t="s">
        <v>385</v>
      </c>
      <c r="F216" s="119">
        <v>89.118804003062451</v>
      </c>
      <c r="G216" s="119">
        <v>93.230704003062456</v>
      </c>
      <c r="H216" s="119">
        <v>17.600000000000001</v>
      </c>
      <c r="I216" s="116">
        <v>769</v>
      </c>
      <c r="J216" s="118" t="s">
        <v>269</v>
      </c>
    </row>
    <row r="217" spans="1:10" x14ac:dyDescent="0.25">
      <c r="A217" s="116">
        <v>214</v>
      </c>
      <c r="B217" s="117" t="s">
        <v>829</v>
      </c>
      <c r="C217" s="118" t="s">
        <v>830</v>
      </c>
      <c r="D217" s="118" t="s">
        <v>453</v>
      </c>
      <c r="E217" s="118" t="s">
        <v>385</v>
      </c>
      <c r="F217" s="119">
        <v>78.801500065256448</v>
      </c>
      <c r="G217" s="119">
        <v>82.913400065256454</v>
      </c>
      <c r="H217" s="119">
        <v>17.739999999999998</v>
      </c>
      <c r="I217" s="116">
        <v>1849</v>
      </c>
      <c r="J217" s="118" t="s">
        <v>269</v>
      </c>
    </row>
    <row r="218" spans="1:10" x14ac:dyDescent="0.25">
      <c r="A218" s="116">
        <v>215</v>
      </c>
      <c r="B218" s="117" t="s">
        <v>410</v>
      </c>
      <c r="C218" s="118" t="s">
        <v>411</v>
      </c>
      <c r="D218" s="118" t="s">
        <v>453</v>
      </c>
      <c r="E218" s="118" t="s">
        <v>385</v>
      </c>
      <c r="F218" s="119">
        <v>77.654618287214262</v>
      </c>
      <c r="G218" s="119">
        <v>78.601818287214257</v>
      </c>
      <c r="H218" s="119">
        <v>17.55</v>
      </c>
      <c r="I218" s="116">
        <v>1949</v>
      </c>
      <c r="J218" s="118" t="s">
        <v>269</v>
      </c>
    </row>
    <row r="219" spans="1:10" x14ac:dyDescent="0.25">
      <c r="A219" s="116">
        <v>216</v>
      </c>
      <c r="B219" s="117" t="s">
        <v>412</v>
      </c>
      <c r="C219" s="118" t="s">
        <v>413</v>
      </c>
      <c r="D219" s="118" t="s">
        <v>453</v>
      </c>
      <c r="E219" s="118" t="s">
        <v>385</v>
      </c>
      <c r="F219" s="119">
        <v>82.322410587334574</v>
      </c>
      <c r="G219" s="119">
        <v>85.958510587334573</v>
      </c>
      <c r="H219" s="119">
        <v>15.55</v>
      </c>
      <c r="I219" s="116">
        <v>2221</v>
      </c>
      <c r="J219" s="118" t="s">
        <v>269</v>
      </c>
    </row>
    <row r="220" spans="1:10" x14ac:dyDescent="0.25">
      <c r="A220" s="116">
        <v>217</v>
      </c>
      <c r="B220" s="117" t="s">
        <v>372</v>
      </c>
      <c r="C220" s="118" t="s">
        <v>373</v>
      </c>
      <c r="D220" s="118" t="s">
        <v>453</v>
      </c>
      <c r="E220" s="118" t="s">
        <v>385</v>
      </c>
      <c r="F220" s="119">
        <v>76.956096193809472</v>
      </c>
      <c r="G220" s="119">
        <v>86.489396193809469</v>
      </c>
      <c r="H220" s="119">
        <v>17.54</v>
      </c>
      <c r="I220" s="116">
        <v>4776</v>
      </c>
      <c r="J220" s="118" t="s">
        <v>269</v>
      </c>
    </row>
    <row r="221" spans="1:10" x14ac:dyDescent="0.25">
      <c r="A221" s="116">
        <v>218</v>
      </c>
      <c r="B221" s="117" t="s">
        <v>2141</v>
      </c>
      <c r="C221" s="118" t="s">
        <v>2142</v>
      </c>
      <c r="D221" s="118" t="s">
        <v>453</v>
      </c>
      <c r="E221" s="118" t="s">
        <v>385</v>
      </c>
      <c r="F221" s="119">
        <v>101.658</v>
      </c>
      <c r="G221" s="119">
        <v>104.1105</v>
      </c>
      <c r="H221" s="119">
        <v>4.75</v>
      </c>
      <c r="I221" s="116">
        <v>918</v>
      </c>
      <c r="J221" s="118" t="s">
        <v>269</v>
      </c>
    </row>
    <row r="222" spans="1:10" x14ac:dyDescent="0.25">
      <c r="A222" s="116">
        <v>219</v>
      </c>
      <c r="B222" s="117" t="s">
        <v>2490</v>
      </c>
      <c r="C222" s="118" t="s">
        <v>2491</v>
      </c>
      <c r="D222" s="118" t="s">
        <v>453</v>
      </c>
      <c r="E222" s="118" t="s">
        <v>385</v>
      </c>
      <c r="F222" s="119">
        <v>98.731999999999999</v>
      </c>
      <c r="G222" s="119">
        <v>98.977400000000003</v>
      </c>
      <c r="H222" s="119">
        <v>4.9400000000000004</v>
      </c>
      <c r="I222" s="116">
        <v>1781</v>
      </c>
      <c r="J222" s="118" t="s">
        <v>269</v>
      </c>
    </row>
    <row r="223" spans="1:10" x14ac:dyDescent="0.25">
      <c r="A223" s="116">
        <v>220</v>
      </c>
      <c r="B223" s="117" t="s">
        <v>831</v>
      </c>
      <c r="C223" s="118" t="s">
        <v>832</v>
      </c>
      <c r="D223" s="118" t="s">
        <v>453</v>
      </c>
      <c r="E223" s="118" t="s">
        <v>833</v>
      </c>
      <c r="F223" s="119">
        <v>98.646552685759445</v>
      </c>
      <c r="G223" s="119">
        <v>104.47985268575944</v>
      </c>
      <c r="H223" s="119">
        <v>23.06</v>
      </c>
      <c r="I223" s="116">
        <v>40</v>
      </c>
      <c r="J223" s="118" t="s">
        <v>269</v>
      </c>
    </row>
    <row r="224" spans="1:10" x14ac:dyDescent="0.25">
      <c r="A224" s="116">
        <v>221</v>
      </c>
      <c r="B224" s="117" t="s">
        <v>837</v>
      </c>
      <c r="C224" s="118" t="s">
        <v>838</v>
      </c>
      <c r="D224" s="118" t="s">
        <v>443</v>
      </c>
      <c r="E224" s="118" t="s">
        <v>839</v>
      </c>
      <c r="F224" s="119">
        <v>50</v>
      </c>
      <c r="G224" s="119">
        <v>50</v>
      </c>
      <c r="H224" s="119">
        <v>0</v>
      </c>
      <c r="I224" s="116">
        <v>0</v>
      </c>
      <c r="J224" s="118" t="s">
        <v>238</v>
      </c>
    </row>
    <row r="225" spans="1:10" x14ac:dyDescent="0.25">
      <c r="A225" s="116">
        <v>222</v>
      </c>
      <c r="B225" s="117" t="s">
        <v>840</v>
      </c>
      <c r="C225" s="118" t="s">
        <v>841</v>
      </c>
      <c r="D225" s="118" t="s">
        <v>443</v>
      </c>
      <c r="E225" s="118" t="s">
        <v>842</v>
      </c>
      <c r="F225" s="119">
        <v>288212.47200000007</v>
      </c>
      <c r="G225" s="119">
        <v>288212.47200000007</v>
      </c>
      <c r="H225" s="119">
        <v>0</v>
      </c>
      <c r="I225" s="116">
        <v>0</v>
      </c>
      <c r="J225" s="118" t="s">
        <v>238</v>
      </c>
    </row>
    <row r="226" spans="1:10" x14ac:dyDescent="0.25">
      <c r="A226" s="116">
        <v>223</v>
      </c>
      <c r="B226" s="117" t="s">
        <v>32</v>
      </c>
      <c r="C226" s="118" t="s">
        <v>33</v>
      </c>
      <c r="D226" s="118" t="s">
        <v>443</v>
      </c>
      <c r="E226" s="118" t="s">
        <v>34</v>
      </c>
      <c r="F226" s="119">
        <v>4690.6817312492722</v>
      </c>
      <c r="G226" s="119">
        <v>4690.6817312492722</v>
      </c>
      <c r="H226" s="119">
        <v>0</v>
      </c>
      <c r="I226" s="116">
        <v>0</v>
      </c>
      <c r="J226" s="118" t="s">
        <v>238</v>
      </c>
    </row>
    <row r="227" spans="1:10" x14ac:dyDescent="0.25">
      <c r="A227" s="116">
        <v>224</v>
      </c>
      <c r="B227" s="117" t="s">
        <v>843</v>
      </c>
      <c r="C227" s="118" t="s">
        <v>844</v>
      </c>
      <c r="D227" s="118" t="s">
        <v>453</v>
      </c>
      <c r="E227" s="118" t="s">
        <v>34</v>
      </c>
      <c r="F227" s="119">
        <v>85.998081207372095</v>
      </c>
      <c r="G227" s="119">
        <v>88.498081207372095</v>
      </c>
      <c r="H227" s="119">
        <v>19.86</v>
      </c>
      <c r="I227" s="116">
        <v>825</v>
      </c>
      <c r="J227" s="118" t="s">
        <v>269</v>
      </c>
    </row>
    <row r="228" spans="1:10" x14ac:dyDescent="0.25">
      <c r="A228" s="116">
        <v>225</v>
      </c>
      <c r="B228" s="117" t="s">
        <v>845</v>
      </c>
      <c r="C228" s="118" t="s">
        <v>846</v>
      </c>
      <c r="D228" s="118" t="s">
        <v>453</v>
      </c>
      <c r="E228" s="118" t="s">
        <v>34</v>
      </c>
      <c r="F228" s="119">
        <v>98.308543589105241</v>
      </c>
      <c r="G228" s="119">
        <v>101.74564358910524</v>
      </c>
      <c r="H228" s="119">
        <v>20.309999999999999</v>
      </c>
      <c r="I228" s="116">
        <v>67</v>
      </c>
      <c r="J228" s="118" t="s">
        <v>269</v>
      </c>
    </row>
    <row r="229" spans="1:10" x14ac:dyDescent="0.25">
      <c r="A229" s="116">
        <v>226</v>
      </c>
      <c r="B229" s="117" t="s">
        <v>847</v>
      </c>
      <c r="C229" s="118" t="s">
        <v>848</v>
      </c>
      <c r="D229" s="118" t="s">
        <v>453</v>
      </c>
      <c r="E229" s="118" t="s">
        <v>34</v>
      </c>
      <c r="F229" s="119">
        <v>81.445996636452023</v>
      </c>
      <c r="G229" s="119">
        <v>86.589096636452012</v>
      </c>
      <c r="H229" s="119">
        <v>19.89</v>
      </c>
      <c r="I229" s="116">
        <v>1099</v>
      </c>
      <c r="J229" s="118" t="s">
        <v>269</v>
      </c>
    </row>
    <row r="230" spans="1:10" x14ac:dyDescent="0.25">
      <c r="A230" s="116">
        <v>227</v>
      </c>
      <c r="B230" s="117" t="s">
        <v>2025</v>
      </c>
      <c r="C230" s="118" t="s">
        <v>2026</v>
      </c>
      <c r="D230" s="118" t="s">
        <v>453</v>
      </c>
      <c r="E230" s="118" t="s">
        <v>34</v>
      </c>
      <c r="F230" s="119">
        <v>99.528695412262934</v>
      </c>
      <c r="G230" s="119">
        <v>99.528695412262934</v>
      </c>
      <c r="H230" s="119">
        <v>4.87</v>
      </c>
      <c r="I230" s="116">
        <v>35</v>
      </c>
      <c r="J230" s="118" t="s">
        <v>269</v>
      </c>
    </row>
    <row r="231" spans="1:10" x14ac:dyDescent="0.25">
      <c r="A231" s="116">
        <v>228</v>
      </c>
      <c r="B231" s="117" t="s">
        <v>35</v>
      </c>
      <c r="C231" s="118" t="s">
        <v>36</v>
      </c>
      <c r="D231" s="118" t="s">
        <v>443</v>
      </c>
      <c r="E231" s="118" t="s">
        <v>34</v>
      </c>
      <c r="F231" s="119">
        <v>7661.7788790427712</v>
      </c>
      <c r="G231" s="119">
        <v>7661.7788790427712</v>
      </c>
      <c r="H231" s="119">
        <v>0</v>
      </c>
      <c r="I231" s="116">
        <v>0</v>
      </c>
      <c r="J231" s="118" t="s">
        <v>238</v>
      </c>
    </row>
    <row r="232" spans="1:10" x14ac:dyDescent="0.25">
      <c r="A232" s="116">
        <v>229</v>
      </c>
      <c r="B232" s="117" t="s">
        <v>2327</v>
      </c>
      <c r="C232" s="118" t="s">
        <v>2328</v>
      </c>
      <c r="D232" s="118" t="s">
        <v>453</v>
      </c>
      <c r="E232" s="118" t="s">
        <v>2329</v>
      </c>
      <c r="F232" s="119">
        <v>100</v>
      </c>
      <c r="G232" s="119">
        <v>107.44750000000001</v>
      </c>
      <c r="H232" s="119">
        <v>16.36</v>
      </c>
      <c r="I232" s="116">
        <v>608</v>
      </c>
      <c r="J232" s="118" t="s">
        <v>269</v>
      </c>
    </row>
    <row r="233" spans="1:10" x14ac:dyDescent="0.25">
      <c r="A233" s="116">
        <v>230</v>
      </c>
      <c r="B233" s="117" t="s">
        <v>850</v>
      </c>
      <c r="C233" s="118" t="s">
        <v>851</v>
      </c>
      <c r="D233" s="118" t="s">
        <v>453</v>
      </c>
      <c r="E233" s="118" t="s">
        <v>849</v>
      </c>
      <c r="F233" s="119">
        <v>98.374842656136622</v>
      </c>
      <c r="G233" s="119">
        <v>103.15264265613662</v>
      </c>
      <c r="H233" s="119">
        <v>23.31</v>
      </c>
      <c r="I233" s="116">
        <v>370</v>
      </c>
      <c r="J233" s="118" t="s">
        <v>269</v>
      </c>
    </row>
    <row r="234" spans="1:10" x14ac:dyDescent="0.25">
      <c r="A234" s="116">
        <v>231</v>
      </c>
      <c r="B234" s="117" t="s">
        <v>852</v>
      </c>
      <c r="C234" s="118" t="s">
        <v>853</v>
      </c>
      <c r="D234" s="118" t="s">
        <v>453</v>
      </c>
      <c r="E234" s="118" t="s">
        <v>849</v>
      </c>
      <c r="F234" s="119">
        <v>96.209952907716286</v>
      </c>
      <c r="G234" s="119">
        <v>96.779352907716287</v>
      </c>
      <c r="H234" s="119">
        <v>23.22</v>
      </c>
      <c r="I234" s="116">
        <v>620</v>
      </c>
      <c r="J234" s="118" t="s">
        <v>269</v>
      </c>
    </row>
    <row r="235" spans="1:10" x14ac:dyDescent="0.25">
      <c r="A235" s="116">
        <v>232</v>
      </c>
      <c r="B235" s="117" t="s">
        <v>854</v>
      </c>
      <c r="C235" s="118" t="s">
        <v>855</v>
      </c>
      <c r="D235" s="118" t="s">
        <v>453</v>
      </c>
      <c r="E235" s="118" t="s">
        <v>849</v>
      </c>
      <c r="F235" s="119">
        <v>95.506376011411533</v>
      </c>
      <c r="G235" s="119">
        <v>95.950776011411534</v>
      </c>
      <c r="H235" s="119">
        <v>23.22</v>
      </c>
      <c r="I235" s="116">
        <v>622</v>
      </c>
      <c r="J235" s="118" t="s">
        <v>269</v>
      </c>
    </row>
    <row r="236" spans="1:10" x14ac:dyDescent="0.25">
      <c r="A236" s="116">
        <v>233</v>
      </c>
      <c r="B236" s="117" t="s">
        <v>2264</v>
      </c>
      <c r="C236" s="118" t="s">
        <v>2265</v>
      </c>
      <c r="D236" s="118" t="s">
        <v>453</v>
      </c>
      <c r="E236" s="118" t="s">
        <v>849</v>
      </c>
      <c r="F236" s="119">
        <v>99.068039959690282</v>
      </c>
      <c r="G236" s="119">
        <v>104.08473995969028</v>
      </c>
      <c r="H236" s="119">
        <v>24.27</v>
      </c>
      <c r="I236" s="116">
        <v>94</v>
      </c>
      <c r="J236" s="118" t="s">
        <v>269</v>
      </c>
    </row>
    <row r="237" spans="1:10" x14ac:dyDescent="0.25">
      <c r="A237" s="116">
        <v>234</v>
      </c>
      <c r="B237" s="117" t="s">
        <v>2472</v>
      </c>
      <c r="C237" s="118" t="s">
        <v>2473</v>
      </c>
      <c r="D237" s="118" t="s">
        <v>453</v>
      </c>
      <c r="E237" s="118" t="s">
        <v>849</v>
      </c>
      <c r="F237" s="119">
        <v>95.173967801118863</v>
      </c>
      <c r="G237" s="119">
        <v>96.573967801118854</v>
      </c>
      <c r="H237" s="119">
        <v>23.3</v>
      </c>
      <c r="I237" s="116">
        <v>1056</v>
      </c>
      <c r="J237" s="118" t="s">
        <v>269</v>
      </c>
    </row>
    <row r="238" spans="1:10" x14ac:dyDescent="0.25">
      <c r="A238" s="116">
        <v>235</v>
      </c>
      <c r="B238" s="117" t="s">
        <v>856</v>
      </c>
      <c r="C238" s="118" t="s">
        <v>857</v>
      </c>
      <c r="D238" s="118" t="s">
        <v>443</v>
      </c>
      <c r="E238" s="118" t="s">
        <v>858</v>
      </c>
      <c r="F238" s="119">
        <v>46588.837600000006</v>
      </c>
      <c r="G238" s="119">
        <v>46588.837600000006</v>
      </c>
      <c r="H238" s="119">
        <v>0</v>
      </c>
      <c r="I238" s="116">
        <v>0</v>
      </c>
      <c r="J238" s="118" t="s">
        <v>238</v>
      </c>
    </row>
    <row r="239" spans="1:10" x14ac:dyDescent="0.25">
      <c r="A239" s="116">
        <v>236</v>
      </c>
      <c r="B239" s="117" t="s">
        <v>862</v>
      </c>
      <c r="C239" s="118" t="s">
        <v>863</v>
      </c>
      <c r="D239" s="118" t="s">
        <v>443</v>
      </c>
      <c r="E239" s="118" t="s">
        <v>864</v>
      </c>
      <c r="F239" s="119">
        <v>0.01</v>
      </c>
      <c r="G239" s="119">
        <v>0.01</v>
      </c>
      <c r="H239" s="119">
        <v>0</v>
      </c>
      <c r="I239" s="116">
        <v>0</v>
      </c>
      <c r="J239" s="118" t="s">
        <v>238</v>
      </c>
    </row>
    <row r="240" spans="1:10" x14ac:dyDescent="0.25">
      <c r="A240" s="116">
        <v>237</v>
      </c>
      <c r="B240" s="117" t="s">
        <v>859</v>
      </c>
      <c r="C240" s="118" t="s">
        <v>860</v>
      </c>
      <c r="D240" s="118" t="s">
        <v>443</v>
      </c>
      <c r="E240" s="118" t="s">
        <v>861</v>
      </c>
      <c r="F240" s="119">
        <v>132106.12160000001</v>
      </c>
      <c r="G240" s="119">
        <v>132106.12160000001</v>
      </c>
      <c r="H240" s="119">
        <v>0</v>
      </c>
      <c r="I240" s="116">
        <v>0</v>
      </c>
      <c r="J240" s="118" t="s">
        <v>238</v>
      </c>
    </row>
    <row r="241" spans="1:10" x14ac:dyDescent="0.25">
      <c r="A241" s="116">
        <v>238</v>
      </c>
      <c r="B241" s="117" t="s">
        <v>865</v>
      </c>
      <c r="C241" s="118" t="s">
        <v>866</v>
      </c>
      <c r="D241" s="118" t="s">
        <v>443</v>
      </c>
      <c r="E241" s="118" t="s">
        <v>39</v>
      </c>
      <c r="F241" s="119">
        <v>2898</v>
      </c>
      <c r="G241" s="119">
        <v>2898</v>
      </c>
      <c r="H241" s="119">
        <v>0</v>
      </c>
      <c r="I241" s="116">
        <v>0</v>
      </c>
      <c r="J241" s="118" t="s">
        <v>238</v>
      </c>
    </row>
    <row r="242" spans="1:10" x14ac:dyDescent="0.25">
      <c r="A242" s="116">
        <v>239</v>
      </c>
      <c r="B242" s="117" t="s">
        <v>37</v>
      </c>
      <c r="C242" s="118" t="s">
        <v>38</v>
      </c>
      <c r="D242" s="118" t="s">
        <v>733</v>
      </c>
      <c r="E242" s="118" t="s">
        <v>39</v>
      </c>
      <c r="F242" s="119">
        <v>6071292.5049999999</v>
      </c>
      <c r="G242" s="119">
        <v>6071292.5049999999</v>
      </c>
      <c r="H242" s="119">
        <v>0</v>
      </c>
      <c r="I242" s="116">
        <v>0</v>
      </c>
      <c r="J242" s="118" t="s">
        <v>238</v>
      </c>
    </row>
    <row r="243" spans="1:10" x14ac:dyDescent="0.25">
      <c r="A243" s="116">
        <v>240</v>
      </c>
      <c r="B243" s="117" t="s">
        <v>867</v>
      </c>
      <c r="C243" s="118" t="s">
        <v>868</v>
      </c>
      <c r="D243" s="118" t="s">
        <v>733</v>
      </c>
      <c r="E243" s="118" t="s">
        <v>39</v>
      </c>
      <c r="F243" s="119">
        <v>3206890</v>
      </c>
      <c r="G243" s="119">
        <v>3206890</v>
      </c>
      <c r="H243" s="119">
        <v>0</v>
      </c>
      <c r="I243" s="116">
        <v>0</v>
      </c>
      <c r="J243" s="118" t="s">
        <v>238</v>
      </c>
    </row>
    <row r="244" spans="1:10" x14ac:dyDescent="0.25">
      <c r="A244" s="116">
        <v>241</v>
      </c>
      <c r="B244" s="117" t="s">
        <v>40</v>
      </c>
      <c r="C244" s="118" t="s">
        <v>41</v>
      </c>
      <c r="D244" s="118" t="s">
        <v>733</v>
      </c>
      <c r="E244" s="118" t="s">
        <v>39</v>
      </c>
      <c r="F244" s="119">
        <v>1795063.68</v>
      </c>
      <c r="G244" s="119">
        <v>1795063.68</v>
      </c>
      <c r="H244" s="119">
        <v>0</v>
      </c>
      <c r="I244" s="116">
        <v>0</v>
      </c>
      <c r="J244" s="118" t="s">
        <v>238</v>
      </c>
    </row>
    <row r="245" spans="1:10" x14ac:dyDescent="0.25">
      <c r="A245" s="116">
        <v>242</v>
      </c>
      <c r="B245" s="117" t="s">
        <v>834</v>
      </c>
      <c r="C245" s="118" t="s">
        <v>835</v>
      </c>
      <c r="D245" s="118" t="s">
        <v>443</v>
      </c>
      <c r="E245" s="118" t="s">
        <v>836</v>
      </c>
      <c r="F245" s="119">
        <v>52036.346400000009</v>
      </c>
      <c r="G245" s="119">
        <v>52036.346400000009</v>
      </c>
      <c r="H245" s="119">
        <v>0</v>
      </c>
      <c r="I245" s="116">
        <v>0</v>
      </c>
      <c r="J245" s="118" t="s">
        <v>238</v>
      </c>
    </row>
    <row r="246" spans="1:10" x14ac:dyDescent="0.25">
      <c r="A246" s="116">
        <v>243</v>
      </c>
      <c r="B246" s="117" t="s">
        <v>869</v>
      </c>
      <c r="C246" s="118" t="s">
        <v>870</v>
      </c>
      <c r="D246" s="118" t="s">
        <v>443</v>
      </c>
      <c r="E246" s="118" t="s">
        <v>871</v>
      </c>
      <c r="F246" s="119">
        <v>59796.223200000008</v>
      </c>
      <c r="G246" s="119">
        <v>59796.223200000008</v>
      </c>
      <c r="H246" s="119">
        <v>0</v>
      </c>
      <c r="I246" s="116">
        <v>0</v>
      </c>
      <c r="J246" s="118" t="s">
        <v>238</v>
      </c>
    </row>
    <row r="247" spans="1:10" x14ac:dyDescent="0.25">
      <c r="A247" s="116">
        <v>244</v>
      </c>
      <c r="B247" s="117" t="s">
        <v>872</v>
      </c>
      <c r="C247" s="118" t="s">
        <v>873</v>
      </c>
      <c r="D247" s="118" t="s">
        <v>453</v>
      </c>
      <c r="E247" s="118" t="s">
        <v>874</v>
      </c>
      <c r="F247" s="119">
        <v>73.779442315216016</v>
      </c>
      <c r="G247" s="119">
        <v>76.325242315216016</v>
      </c>
      <c r="H247" s="119">
        <v>26</v>
      </c>
      <c r="I247" s="116">
        <v>1002</v>
      </c>
      <c r="J247" s="118" t="s">
        <v>269</v>
      </c>
    </row>
    <row r="248" spans="1:10" x14ac:dyDescent="0.25">
      <c r="A248" s="116">
        <v>245</v>
      </c>
      <c r="B248" s="117" t="s">
        <v>875</v>
      </c>
      <c r="C248" s="118" t="s">
        <v>876</v>
      </c>
      <c r="D248" s="118" t="s">
        <v>453</v>
      </c>
      <c r="E248" s="118" t="s">
        <v>877</v>
      </c>
      <c r="F248" s="119">
        <v>100</v>
      </c>
      <c r="G248" s="119">
        <v>101.0271</v>
      </c>
      <c r="H248" s="119">
        <v>4.2300000000000004</v>
      </c>
      <c r="I248" s="116">
        <v>213</v>
      </c>
      <c r="J248" s="118" t="s">
        <v>269</v>
      </c>
    </row>
    <row r="249" spans="1:10" x14ac:dyDescent="0.25">
      <c r="A249" s="116">
        <v>246</v>
      </c>
      <c r="B249" s="117" t="s">
        <v>878</v>
      </c>
      <c r="C249" s="118" t="s">
        <v>879</v>
      </c>
      <c r="D249" s="118" t="s">
        <v>453</v>
      </c>
      <c r="E249" s="118" t="s">
        <v>877</v>
      </c>
      <c r="F249" s="119">
        <v>100</v>
      </c>
      <c r="G249" s="119">
        <v>100.14490000000001</v>
      </c>
      <c r="H249" s="119">
        <v>0.35</v>
      </c>
      <c r="I249" s="116">
        <v>31</v>
      </c>
      <c r="J249" s="118" t="s">
        <v>269</v>
      </c>
    </row>
    <row r="250" spans="1:10" x14ac:dyDescent="0.25">
      <c r="A250" s="116">
        <v>247</v>
      </c>
      <c r="B250" s="117" t="s">
        <v>880</v>
      </c>
      <c r="C250" s="118" t="s">
        <v>881</v>
      </c>
      <c r="D250" s="118" t="s">
        <v>453</v>
      </c>
      <c r="E250" s="118" t="s">
        <v>877</v>
      </c>
      <c r="F250" s="119">
        <v>100</v>
      </c>
      <c r="G250" s="119">
        <v>100.1371</v>
      </c>
      <c r="H250" s="119">
        <v>0.35</v>
      </c>
      <c r="I250" s="116">
        <v>39</v>
      </c>
      <c r="J250" s="118" t="s">
        <v>269</v>
      </c>
    </row>
    <row r="251" spans="1:10" x14ac:dyDescent="0.25">
      <c r="A251" s="116">
        <v>248</v>
      </c>
      <c r="B251" s="117" t="s">
        <v>882</v>
      </c>
      <c r="C251" s="118" t="s">
        <v>883</v>
      </c>
      <c r="D251" s="118" t="s">
        <v>453</v>
      </c>
      <c r="E251" s="118" t="s">
        <v>877</v>
      </c>
      <c r="F251" s="119">
        <v>100</v>
      </c>
      <c r="G251" s="119">
        <v>100.1497</v>
      </c>
      <c r="H251" s="119">
        <v>0.35</v>
      </c>
      <c r="I251" s="116">
        <v>206</v>
      </c>
      <c r="J251" s="118" t="s">
        <v>269</v>
      </c>
    </row>
    <row r="252" spans="1:10" x14ac:dyDescent="0.25">
      <c r="A252" s="116">
        <v>249</v>
      </c>
      <c r="B252" s="117" t="s">
        <v>2078</v>
      </c>
      <c r="C252" s="118" t="s">
        <v>2079</v>
      </c>
      <c r="D252" s="118" t="s">
        <v>453</v>
      </c>
      <c r="E252" s="118" t="s">
        <v>877</v>
      </c>
      <c r="F252" s="119">
        <v>100</v>
      </c>
      <c r="G252" s="119">
        <v>100.00190000000001</v>
      </c>
      <c r="H252" s="119">
        <v>0.35</v>
      </c>
      <c r="I252" s="116">
        <v>538</v>
      </c>
      <c r="J252" s="118" t="s">
        <v>269</v>
      </c>
    </row>
    <row r="253" spans="1:10" x14ac:dyDescent="0.25">
      <c r="A253" s="116">
        <v>250</v>
      </c>
      <c r="B253" s="117" t="s">
        <v>884</v>
      </c>
      <c r="C253" s="118" t="s">
        <v>885</v>
      </c>
      <c r="D253" s="118" t="s">
        <v>453</v>
      </c>
      <c r="E253" s="118" t="s">
        <v>877</v>
      </c>
      <c r="F253" s="119">
        <v>100</v>
      </c>
      <c r="G253" s="119">
        <v>100.0067</v>
      </c>
      <c r="H253" s="119">
        <v>0.02</v>
      </c>
      <c r="I253" s="116">
        <v>3040</v>
      </c>
      <c r="J253" s="118" t="s">
        <v>269</v>
      </c>
    </row>
    <row r="254" spans="1:10" x14ac:dyDescent="0.25">
      <c r="A254" s="116">
        <v>251</v>
      </c>
      <c r="B254" s="117" t="s">
        <v>886</v>
      </c>
      <c r="C254" s="118" t="s">
        <v>887</v>
      </c>
      <c r="D254" s="118" t="s">
        <v>453</v>
      </c>
      <c r="E254" s="118" t="s">
        <v>877</v>
      </c>
      <c r="F254" s="119">
        <v>100</v>
      </c>
      <c r="G254" s="119">
        <v>101.9486</v>
      </c>
      <c r="H254" s="119">
        <v>6.08</v>
      </c>
      <c r="I254" s="116">
        <v>1655</v>
      </c>
      <c r="J254" s="118" t="s">
        <v>269</v>
      </c>
    </row>
    <row r="255" spans="1:10" x14ac:dyDescent="0.25">
      <c r="A255" s="116">
        <v>252</v>
      </c>
      <c r="B255" s="117" t="s">
        <v>888</v>
      </c>
      <c r="C255" s="118" t="s">
        <v>889</v>
      </c>
      <c r="D255" s="118" t="s">
        <v>453</v>
      </c>
      <c r="E255" s="118" t="s">
        <v>877</v>
      </c>
      <c r="F255" s="119">
        <v>100</v>
      </c>
      <c r="G255" s="119">
        <v>106.9619</v>
      </c>
      <c r="H255" s="119">
        <v>7.08</v>
      </c>
      <c r="I255" s="116">
        <v>2137</v>
      </c>
      <c r="J255" s="118" t="s">
        <v>269</v>
      </c>
    </row>
    <row r="256" spans="1:10" x14ac:dyDescent="0.25">
      <c r="A256" s="116">
        <v>253</v>
      </c>
      <c r="B256" s="117" t="s">
        <v>2361</v>
      </c>
      <c r="C256" s="118" t="s">
        <v>2362</v>
      </c>
      <c r="D256" s="118" t="s">
        <v>453</v>
      </c>
      <c r="E256" s="118" t="s">
        <v>877</v>
      </c>
      <c r="F256" s="119">
        <v>93.024053141473829</v>
      </c>
      <c r="G256" s="119">
        <v>95.701553141473823</v>
      </c>
      <c r="H256" s="119">
        <v>20.55</v>
      </c>
      <c r="I256" s="116">
        <v>3549</v>
      </c>
      <c r="J256" s="118" t="s">
        <v>269</v>
      </c>
    </row>
    <row r="257" spans="1:10" x14ac:dyDescent="0.25">
      <c r="A257" s="116">
        <v>254</v>
      </c>
      <c r="B257" s="117" t="s">
        <v>2447</v>
      </c>
      <c r="C257" s="118" t="s">
        <v>2448</v>
      </c>
      <c r="D257" s="118" t="s">
        <v>453</v>
      </c>
      <c r="E257" s="118" t="s">
        <v>877</v>
      </c>
      <c r="F257" s="119">
        <v>93.07888885727705</v>
      </c>
      <c r="G257" s="119">
        <v>94.338888857277055</v>
      </c>
      <c r="H257" s="119">
        <v>20.56</v>
      </c>
      <c r="I257" s="116">
        <v>3576</v>
      </c>
      <c r="J257" s="118" t="s">
        <v>269</v>
      </c>
    </row>
    <row r="258" spans="1:10" x14ac:dyDescent="0.25">
      <c r="A258" s="116">
        <v>255</v>
      </c>
      <c r="B258" s="117" t="s">
        <v>890</v>
      </c>
      <c r="C258" s="118" t="s">
        <v>891</v>
      </c>
      <c r="D258" s="118" t="s">
        <v>453</v>
      </c>
      <c r="E258" s="118" t="s">
        <v>877</v>
      </c>
      <c r="F258" s="119">
        <v>100</v>
      </c>
      <c r="G258" s="119">
        <v>101.1183</v>
      </c>
      <c r="H258" s="119">
        <v>6.08</v>
      </c>
      <c r="I258" s="116">
        <v>2064</v>
      </c>
      <c r="J258" s="118" t="s">
        <v>269</v>
      </c>
    </row>
    <row r="259" spans="1:10" x14ac:dyDescent="0.25">
      <c r="A259" s="116">
        <v>256</v>
      </c>
      <c r="B259" s="117" t="s">
        <v>892</v>
      </c>
      <c r="C259" s="118" t="s">
        <v>893</v>
      </c>
      <c r="D259" s="118" t="s">
        <v>453</v>
      </c>
      <c r="E259" s="118" t="s">
        <v>877</v>
      </c>
      <c r="F259" s="119">
        <v>100</v>
      </c>
      <c r="G259" s="119">
        <v>106.06610000000001</v>
      </c>
      <c r="H259" s="119">
        <v>6.09</v>
      </c>
      <c r="I259" s="116">
        <v>2492</v>
      </c>
      <c r="J259" s="118" t="s">
        <v>269</v>
      </c>
    </row>
    <row r="260" spans="1:10" x14ac:dyDescent="0.25">
      <c r="A260" s="116">
        <v>257</v>
      </c>
      <c r="B260" s="117" t="s">
        <v>894</v>
      </c>
      <c r="C260" s="118" t="s">
        <v>895</v>
      </c>
      <c r="D260" s="118" t="s">
        <v>453</v>
      </c>
      <c r="E260" s="118" t="s">
        <v>877</v>
      </c>
      <c r="F260" s="119">
        <v>100</v>
      </c>
      <c r="G260" s="119">
        <v>106.06610000000001</v>
      </c>
      <c r="H260" s="119">
        <v>6.09</v>
      </c>
      <c r="I260" s="116">
        <v>2492</v>
      </c>
      <c r="J260" s="118" t="s">
        <v>269</v>
      </c>
    </row>
    <row r="261" spans="1:10" x14ac:dyDescent="0.25">
      <c r="A261" s="116">
        <v>258</v>
      </c>
      <c r="B261" s="117" t="s">
        <v>896</v>
      </c>
      <c r="C261" s="118" t="s">
        <v>897</v>
      </c>
      <c r="D261" s="118" t="s">
        <v>453</v>
      </c>
      <c r="E261" s="118" t="s">
        <v>877</v>
      </c>
      <c r="F261" s="119">
        <v>100</v>
      </c>
      <c r="G261" s="119">
        <v>104.9308</v>
      </c>
      <c r="H261" s="119">
        <v>6.08</v>
      </c>
      <c r="I261" s="116">
        <v>2559</v>
      </c>
      <c r="J261" s="118" t="s">
        <v>269</v>
      </c>
    </row>
    <row r="262" spans="1:10" x14ac:dyDescent="0.25">
      <c r="A262" s="116">
        <v>259</v>
      </c>
      <c r="B262" s="117" t="s">
        <v>43</v>
      </c>
      <c r="C262" s="118" t="s">
        <v>44</v>
      </c>
      <c r="D262" s="118" t="s">
        <v>453</v>
      </c>
      <c r="E262" s="118" t="s">
        <v>42</v>
      </c>
      <c r="F262" s="119">
        <v>100.04834436180684</v>
      </c>
      <c r="G262" s="119">
        <v>100.52504436180685</v>
      </c>
      <c r="H262" s="119">
        <v>5.59</v>
      </c>
      <c r="I262" s="116">
        <v>150</v>
      </c>
      <c r="J262" s="118" t="s">
        <v>269</v>
      </c>
    </row>
    <row r="263" spans="1:10" x14ac:dyDescent="0.25">
      <c r="A263" s="116">
        <v>260</v>
      </c>
      <c r="B263" s="117" t="s">
        <v>1999</v>
      </c>
      <c r="C263" s="118" t="s">
        <v>2000</v>
      </c>
      <c r="D263" s="118" t="s">
        <v>453</v>
      </c>
      <c r="E263" s="118" t="s">
        <v>42</v>
      </c>
      <c r="F263" s="119">
        <v>98.820836239849143</v>
      </c>
      <c r="G263" s="119">
        <v>101.31403623984914</v>
      </c>
      <c r="H263" s="119">
        <v>16.84</v>
      </c>
      <c r="I263" s="116">
        <v>858</v>
      </c>
      <c r="J263" s="118" t="s">
        <v>269</v>
      </c>
    </row>
    <row r="264" spans="1:10" x14ac:dyDescent="0.25">
      <c r="A264" s="116">
        <v>261</v>
      </c>
      <c r="B264" s="117" t="s">
        <v>898</v>
      </c>
      <c r="C264" s="118" t="s">
        <v>899</v>
      </c>
      <c r="D264" s="118" t="s">
        <v>453</v>
      </c>
      <c r="E264" s="118" t="s">
        <v>42</v>
      </c>
      <c r="F264" s="119">
        <v>95.509211352752374</v>
      </c>
      <c r="G264" s="119">
        <v>107.02701135275237</v>
      </c>
      <c r="H264" s="119">
        <v>16.89</v>
      </c>
      <c r="I264" s="116">
        <v>608</v>
      </c>
      <c r="J264" s="118" t="s">
        <v>269</v>
      </c>
    </row>
    <row r="265" spans="1:10" x14ac:dyDescent="0.25">
      <c r="A265" s="116">
        <v>262</v>
      </c>
      <c r="B265" s="117" t="s">
        <v>900</v>
      </c>
      <c r="C265" s="118" t="s">
        <v>901</v>
      </c>
      <c r="D265" s="118" t="s">
        <v>453</v>
      </c>
      <c r="E265" s="118" t="s">
        <v>42</v>
      </c>
      <c r="F265" s="119">
        <v>92.342011220193669</v>
      </c>
      <c r="G265" s="119">
        <v>99.848011220193669</v>
      </c>
      <c r="H265" s="119">
        <v>16.920000000000002</v>
      </c>
      <c r="I265" s="116">
        <v>684</v>
      </c>
      <c r="J265" s="118" t="s">
        <v>269</v>
      </c>
    </row>
    <row r="266" spans="1:10" x14ac:dyDescent="0.25">
      <c r="A266" s="116">
        <v>263</v>
      </c>
      <c r="B266" s="117" t="s">
        <v>363</v>
      </c>
      <c r="C266" s="118" t="s">
        <v>362</v>
      </c>
      <c r="D266" s="118" t="s">
        <v>453</v>
      </c>
      <c r="E266" s="118" t="s">
        <v>42</v>
      </c>
      <c r="F266" s="119">
        <v>95.038429031394529</v>
      </c>
      <c r="G266" s="119">
        <v>96.90532903139453</v>
      </c>
      <c r="H266" s="119">
        <v>17.55</v>
      </c>
      <c r="I266" s="116">
        <v>673</v>
      </c>
      <c r="J266" s="118" t="s">
        <v>269</v>
      </c>
    </row>
    <row r="267" spans="1:10" x14ac:dyDescent="0.25">
      <c r="A267" s="116">
        <v>264</v>
      </c>
      <c r="B267" s="117" t="s">
        <v>2050</v>
      </c>
      <c r="C267" s="118" t="s">
        <v>2051</v>
      </c>
      <c r="D267" s="118" t="s">
        <v>453</v>
      </c>
      <c r="E267" s="118" t="s">
        <v>42</v>
      </c>
      <c r="F267" s="119">
        <v>101.2403467602816</v>
      </c>
      <c r="G267" s="119">
        <v>102.34304676028161</v>
      </c>
      <c r="H267" s="119">
        <v>16.84</v>
      </c>
      <c r="I267" s="116">
        <v>889</v>
      </c>
      <c r="J267" s="118" t="s">
        <v>269</v>
      </c>
    </row>
    <row r="268" spans="1:10" x14ac:dyDescent="0.25">
      <c r="A268" s="116">
        <v>265</v>
      </c>
      <c r="B268" s="117" t="s">
        <v>2435</v>
      </c>
      <c r="C268" s="118" t="s">
        <v>2436</v>
      </c>
      <c r="D268" s="118" t="s">
        <v>453</v>
      </c>
      <c r="E268" s="118" t="s">
        <v>42</v>
      </c>
      <c r="F268" s="119">
        <v>100.47552770761015</v>
      </c>
      <c r="G268" s="119">
        <v>100.57712770761016</v>
      </c>
      <c r="H268" s="119">
        <v>3.26</v>
      </c>
      <c r="I268" s="116">
        <v>1723</v>
      </c>
      <c r="J268" s="118" t="s">
        <v>269</v>
      </c>
    </row>
    <row r="269" spans="1:10" x14ac:dyDescent="0.25">
      <c r="A269" s="116">
        <v>266</v>
      </c>
      <c r="B269" s="117" t="s">
        <v>2484</v>
      </c>
      <c r="C269" s="118" t="s">
        <v>2485</v>
      </c>
      <c r="D269" s="118" t="s">
        <v>453</v>
      </c>
      <c r="E269" s="118" t="s">
        <v>42</v>
      </c>
      <c r="F269" s="119">
        <v>99.42613494115939</v>
      </c>
      <c r="G269" s="119">
        <v>99.42613494115939</v>
      </c>
      <c r="H269" s="119">
        <v>3.05</v>
      </c>
      <c r="I269" s="116">
        <v>69</v>
      </c>
      <c r="J269" s="118" t="s">
        <v>269</v>
      </c>
    </row>
    <row r="270" spans="1:10" x14ac:dyDescent="0.25">
      <c r="A270" s="116">
        <v>267</v>
      </c>
      <c r="B270" s="117" t="s">
        <v>902</v>
      </c>
      <c r="C270" s="118" t="s">
        <v>903</v>
      </c>
      <c r="D270" s="118" t="s">
        <v>453</v>
      </c>
      <c r="E270" s="118" t="s">
        <v>42</v>
      </c>
      <c r="F270" s="119">
        <v>106.39150797166255</v>
      </c>
      <c r="G270" s="119">
        <v>107.87900797166255</v>
      </c>
      <c r="H270" s="119">
        <v>4.78</v>
      </c>
      <c r="I270" s="116">
        <v>1715</v>
      </c>
      <c r="J270" s="118" t="s">
        <v>269</v>
      </c>
    </row>
    <row r="271" spans="1:10" x14ac:dyDescent="0.25">
      <c r="A271" s="116">
        <v>268</v>
      </c>
      <c r="B271" s="117" t="s">
        <v>904</v>
      </c>
      <c r="C271" s="118" t="s">
        <v>905</v>
      </c>
      <c r="D271" s="118" t="s">
        <v>453</v>
      </c>
      <c r="E271" s="118" t="s">
        <v>42</v>
      </c>
      <c r="F271" s="119">
        <v>97.549912061751357</v>
      </c>
      <c r="G271" s="119">
        <v>98.144412061751368</v>
      </c>
      <c r="H271" s="119">
        <v>7.33</v>
      </c>
      <c r="I271" s="116">
        <v>148</v>
      </c>
      <c r="J271" s="118" t="s">
        <v>269</v>
      </c>
    </row>
    <row r="272" spans="1:10" x14ac:dyDescent="0.25">
      <c r="A272" s="116">
        <v>269</v>
      </c>
      <c r="B272" s="117" t="s">
        <v>906</v>
      </c>
      <c r="C272" s="118" t="s">
        <v>907</v>
      </c>
      <c r="D272" s="118" t="s">
        <v>453</v>
      </c>
      <c r="E272" s="118" t="s">
        <v>908</v>
      </c>
      <c r="F272" s="119">
        <v>95.361885014033803</v>
      </c>
      <c r="G272" s="119">
        <v>100.7260850140338</v>
      </c>
      <c r="H272" s="119">
        <v>15.95</v>
      </c>
      <c r="I272" s="116">
        <v>779</v>
      </c>
      <c r="J272" s="118" t="s">
        <v>269</v>
      </c>
    </row>
    <row r="273" spans="1:10" x14ac:dyDescent="0.25">
      <c r="A273" s="116">
        <v>270</v>
      </c>
      <c r="B273" s="117" t="s">
        <v>909</v>
      </c>
      <c r="C273" s="118" t="s">
        <v>910</v>
      </c>
      <c r="D273" s="118" t="s">
        <v>453</v>
      </c>
      <c r="E273" s="118" t="s">
        <v>908</v>
      </c>
      <c r="F273" s="119">
        <v>95.247834163740336</v>
      </c>
      <c r="G273" s="119">
        <v>97.855434163740341</v>
      </c>
      <c r="H273" s="119">
        <v>15.98</v>
      </c>
      <c r="I273" s="116">
        <v>1019</v>
      </c>
      <c r="J273" s="118" t="s">
        <v>269</v>
      </c>
    </row>
    <row r="274" spans="1:10" x14ac:dyDescent="0.25">
      <c r="A274" s="116">
        <v>271</v>
      </c>
      <c r="B274" s="117" t="s">
        <v>911</v>
      </c>
      <c r="C274" s="118" t="s">
        <v>912</v>
      </c>
      <c r="D274" s="118" t="s">
        <v>453</v>
      </c>
      <c r="E274" s="118" t="s">
        <v>908</v>
      </c>
      <c r="F274" s="119">
        <v>93.240429955623938</v>
      </c>
      <c r="G274" s="119">
        <v>99.270429955623939</v>
      </c>
      <c r="H274" s="119">
        <v>16.04</v>
      </c>
      <c r="I274" s="116">
        <v>1488</v>
      </c>
      <c r="J274" s="118" t="s">
        <v>269</v>
      </c>
    </row>
    <row r="275" spans="1:10" x14ac:dyDescent="0.25">
      <c r="A275" s="116">
        <v>272</v>
      </c>
      <c r="B275" s="117" t="s">
        <v>913</v>
      </c>
      <c r="C275" s="118" t="s">
        <v>914</v>
      </c>
      <c r="D275" s="118" t="s">
        <v>443</v>
      </c>
      <c r="E275" s="118" t="s">
        <v>908</v>
      </c>
      <c r="F275" s="119">
        <v>1</v>
      </c>
      <c r="G275" s="119">
        <v>1</v>
      </c>
      <c r="H275" s="119">
        <v>0</v>
      </c>
      <c r="I275" s="116">
        <v>297</v>
      </c>
      <c r="J275" s="118" t="s">
        <v>238</v>
      </c>
    </row>
    <row r="276" spans="1:10" x14ac:dyDescent="0.25">
      <c r="A276" s="116">
        <v>273</v>
      </c>
      <c r="B276" s="117" t="s">
        <v>915</v>
      </c>
      <c r="C276" s="118" t="s">
        <v>916</v>
      </c>
      <c r="D276" s="118" t="s">
        <v>443</v>
      </c>
      <c r="E276" s="118" t="s">
        <v>908</v>
      </c>
      <c r="F276" s="119">
        <v>0.8</v>
      </c>
      <c r="G276" s="119">
        <v>0.8</v>
      </c>
      <c r="H276" s="119">
        <v>0</v>
      </c>
      <c r="I276" s="116">
        <v>364</v>
      </c>
      <c r="J276" s="118" t="s">
        <v>238</v>
      </c>
    </row>
    <row r="277" spans="1:10" x14ac:dyDescent="0.25">
      <c r="A277" s="116">
        <v>274</v>
      </c>
      <c r="B277" s="117" t="s">
        <v>917</v>
      </c>
      <c r="C277" s="118" t="s">
        <v>918</v>
      </c>
      <c r="D277" s="118" t="s">
        <v>453</v>
      </c>
      <c r="E277" s="118" t="s">
        <v>908</v>
      </c>
      <c r="F277" s="119">
        <v>99.216139017517904</v>
      </c>
      <c r="G277" s="119">
        <v>110.50603901751791</v>
      </c>
      <c r="H277" s="119">
        <v>17.649999999999999</v>
      </c>
      <c r="I277" s="116">
        <v>62</v>
      </c>
      <c r="J277" s="118" t="s">
        <v>269</v>
      </c>
    </row>
    <row r="278" spans="1:10" x14ac:dyDescent="0.25">
      <c r="A278" s="116">
        <v>275</v>
      </c>
      <c r="B278" s="117" t="s">
        <v>919</v>
      </c>
      <c r="C278" s="118" t="s">
        <v>920</v>
      </c>
      <c r="D278" s="118" t="s">
        <v>453</v>
      </c>
      <c r="E278" s="118" t="s">
        <v>908</v>
      </c>
      <c r="F278" s="119">
        <v>100</v>
      </c>
      <c r="G278" s="119">
        <v>103.18600000000001</v>
      </c>
      <c r="H278" s="119">
        <v>15.92</v>
      </c>
      <c r="I278" s="116">
        <v>476</v>
      </c>
      <c r="J278" s="118" t="s">
        <v>269</v>
      </c>
    </row>
    <row r="279" spans="1:10" x14ac:dyDescent="0.25">
      <c r="A279" s="116">
        <v>276</v>
      </c>
      <c r="B279" s="117" t="s">
        <v>921</v>
      </c>
      <c r="C279" s="118" t="s">
        <v>922</v>
      </c>
      <c r="D279" s="118" t="s">
        <v>453</v>
      </c>
      <c r="E279" s="118" t="s">
        <v>908</v>
      </c>
      <c r="F279" s="119">
        <v>100</v>
      </c>
      <c r="G279" s="119">
        <v>100.9541</v>
      </c>
      <c r="H279" s="119">
        <v>15.82</v>
      </c>
      <c r="I279" s="116">
        <v>1255</v>
      </c>
      <c r="J279" s="118" t="s">
        <v>269</v>
      </c>
    </row>
    <row r="280" spans="1:10" x14ac:dyDescent="0.25">
      <c r="A280" s="116">
        <v>277</v>
      </c>
      <c r="B280" s="117" t="s">
        <v>923</v>
      </c>
      <c r="C280" s="118" t="s">
        <v>924</v>
      </c>
      <c r="D280" s="118" t="s">
        <v>453</v>
      </c>
      <c r="E280" s="118" t="s">
        <v>908</v>
      </c>
      <c r="F280" s="119">
        <v>101.911</v>
      </c>
      <c r="G280" s="119">
        <v>102.4093</v>
      </c>
      <c r="H280" s="119">
        <v>3.53</v>
      </c>
      <c r="I280" s="116">
        <v>859</v>
      </c>
      <c r="J280" s="118" t="s">
        <v>269</v>
      </c>
    </row>
    <row r="281" spans="1:10" x14ac:dyDescent="0.25">
      <c r="A281" s="116">
        <v>278</v>
      </c>
      <c r="B281" s="117" t="s">
        <v>925</v>
      </c>
      <c r="C281" s="118" t="s">
        <v>926</v>
      </c>
      <c r="D281" s="118" t="s">
        <v>453</v>
      </c>
      <c r="E281" s="118" t="s">
        <v>908</v>
      </c>
      <c r="F281" s="119">
        <v>101.74</v>
      </c>
      <c r="G281" s="119">
        <v>102.714</v>
      </c>
      <c r="H281" s="119">
        <v>3.55</v>
      </c>
      <c r="I281" s="116">
        <v>1175</v>
      </c>
      <c r="J281" s="118" t="s">
        <v>269</v>
      </c>
    </row>
    <row r="282" spans="1:10" x14ac:dyDescent="0.25">
      <c r="A282" s="116">
        <v>279</v>
      </c>
      <c r="B282" s="117" t="s">
        <v>2001</v>
      </c>
      <c r="C282" s="118" t="s">
        <v>2002</v>
      </c>
      <c r="D282" s="118" t="s">
        <v>453</v>
      </c>
      <c r="E282" s="118" t="s">
        <v>908</v>
      </c>
      <c r="F282" s="119">
        <v>100</v>
      </c>
      <c r="G282" s="119">
        <v>102.4846</v>
      </c>
      <c r="H282" s="119">
        <v>15.9</v>
      </c>
      <c r="I282" s="116">
        <v>492</v>
      </c>
      <c r="J282" s="118" t="s">
        <v>269</v>
      </c>
    </row>
    <row r="283" spans="1:10" x14ac:dyDescent="0.25">
      <c r="A283" s="116">
        <v>280</v>
      </c>
      <c r="B283" s="117" t="s">
        <v>2108</v>
      </c>
      <c r="C283" s="118" t="s">
        <v>2109</v>
      </c>
      <c r="D283" s="118" t="s">
        <v>453</v>
      </c>
      <c r="E283" s="118" t="s">
        <v>908</v>
      </c>
      <c r="F283" s="119">
        <v>100</v>
      </c>
      <c r="G283" s="119">
        <v>107.39109999999999</v>
      </c>
      <c r="H283" s="119">
        <v>16.329999999999998</v>
      </c>
      <c r="I283" s="116">
        <v>931</v>
      </c>
      <c r="J283" s="118" t="s">
        <v>269</v>
      </c>
    </row>
    <row r="284" spans="1:10" x14ac:dyDescent="0.25">
      <c r="A284" s="116">
        <v>281</v>
      </c>
      <c r="B284" s="117" t="s">
        <v>927</v>
      </c>
      <c r="C284" s="118" t="s">
        <v>928</v>
      </c>
      <c r="D284" s="118" t="s">
        <v>453</v>
      </c>
      <c r="E284" s="118" t="s">
        <v>908</v>
      </c>
      <c r="F284" s="119">
        <v>99.293608408342777</v>
      </c>
      <c r="G284" s="119">
        <v>101.37550840834278</v>
      </c>
      <c r="H284" s="119">
        <v>16.05</v>
      </c>
      <c r="I284" s="116">
        <v>128</v>
      </c>
      <c r="J284" s="118" t="s">
        <v>269</v>
      </c>
    </row>
    <row r="285" spans="1:10" x14ac:dyDescent="0.25">
      <c r="A285" s="116">
        <v>282</v>
      </c>
      <c r="B285" s="117" t="s">
        <v>929</v>
      </c>
      <c r="C285" s="118" t="s">
        <v>930</v>
      </c>
      <c r="D285" s="118" t="s">
        <v>453</v>
      </c>
      <c r="E285" s="118" t="s">
        <v>908</v>
      </c>
      <c r="F285" s="119">
        <v>98.204768075447205</v>
      </c>
      <c r="G285" s="119">
        <v>103.22916807544721</v>
      </c>
      <c r="H285" s="119">
        <v>16.16</v>
      </c>
      <c r="I285" s="116">
        <v>241</v>
      </c>
      <c r="J285" s="118" t="s">
        <v>269</v>
      </c>
    </row>
    <row r="286" spans="1:10" x14ac:dyDescent="0.25">
      <c r="A286" s="116">
        <v>283</v>
      </c>
      <c r="B286" s="117" t="s">
        <v>931</v>
      </c>
      <c r="C286" s="118" t="s">
        <v>932</v>
      </c>
      <c r="D286" s="118" t="s">
        <v>453</v>
      </c>
      <c r="E286" s="118" t="s">
        <v>908</v>
      </c>
      <c r="F286" s="119">
        <v>95.620001962656488</v>
      </c>
      <c r="G286" s="119">
        <v>99.533501962656487</v>
      </c>
      <c r="H286" s="119">
        <v>15.93</v>
      </c>
      <c r="I286" s="116">
        <v>628</v>
      </c>
      <c r="J286" s="118" t="s">
        <v>269</v>
      </c>
    </row>
    <row r="287" spans="1:10" x14ac:dyDescent="0.25">
      <c r="A287" s="116">
        <v>284</v>
      </c>
      <c r="B287" s="117" t="s">
        <v>933</v>
      </c>
      <c r="C287" s="118" t="s">
        <v>934</v>
      </c>
      <c r="D287" s="118" t="s">
        <v>453</v>
      </c>
      <c r="E287" s="118" t="s">
        <v>908</v>
      </c>
      <c r="F287" s="119">
        <v>97.470886688556476</v>
      </c>
      <c r="G287" s="119">
        <v>102.83508668855647</v>
      </c>
      <c r="H287" s="119">
        <v>15.93</v>
      </c>
      <c r="I287" s="116">
        <v>419</v>
      </c>
      <c r="J287" s="118" t="s">
        <v>269</v>
      </c>
    </row>
    <row r="288" spans="1:10" x14ac:dyDescent="0.25">
      <c r="A288" s="116">
        <v>285</v>
      </c>
      <c r="B288" s="117" t="s">
        <v>935</v>
      </c>
      <c r="C288" s="118" t="s">
        <v>936</v>
      </c>
      <c r="D288" s="118" t="s">
        <v>453</v>
      </c>
      <c r="E288" s="118" t="s">
        <v>937</v>
      </c>
      <c r="F288" s="119">
        <v>99.509</v>
      </c>
      <c r="G288" s="119">
        <v>100.9083</v>
      </c>
      <c r="H288" s="119">
        <v>3.5</v>
      </c>
      <c r="I288" s="116">
        <v>745</v>
      </c>
      <c r="J288" s="118" t="s">
        <v>269</v>
      </c>
    </row>
    <row r="289" spans="1:10" x14ac:dyDescent="0.25">
      <c r="A289" s="116">
        <v>286</v>
      </c>
      <c r="B289" s="117" t="s">
        <v>938</v>
      </c>
      <c r="C289" s="118" t="s">
        <v>939</v>
      </c>
      <c r="D289" s="118" t="s">
        <v>453</v>
      </c>
      <c r="E289" s="118" t="s">
        <v>937</v>
      </c>
      <c r="F289" s="119">
        <v>99.96</v>
      </c>
      <c r="G289" s="119">
        <v>100.9166</v>
      </c>
      <c r="H289" s="119">
        <v>3.63</v>
      </c>
      <c r="I289" s="116">
        <v>1705</v>
      </c>
      <c r="J289" s="118" t="s">
        <v>269</v>
      </c>
    </row>
    <row r="290" spans="1:10" x14ac:dyDescent="0.25">
      <c r="A290" s="116">
        <v>287</v>
      </c>
      <c r="B290" s="117" t="s">
        <v>940</v>
      </c>
      <c r="C290" s="118" t="s">
        <v>941</v>
      </c>
      <c r="D290" s="118" t="s">
        <v>443</v>
      </c>
      <c r="E290" s="118" t="s">
        <v>942</v>
      </c>
      <c r="F290" s="119">
        <v>40000</v>
      </c>
      <c r="G290" s="119">
        <v>40000</v>
      </c>
      <c r="H290" s="119">
        <v>0</v>
      </c>
      <c r="I290" s="116">
        <v>0</v>
      </c>
      <c r="J290" s="118" t="s">
        <v>238</v>
      </c>
    </row>
    <row r="291" spans="1:10" x14ac:dyDescent="0.25">
      <c r="A291" s="116">
        <v>288</v>
      </c>
      <c r="B291" s="117" t="s">
        <v>944</v>
      </c>
      <c r="C291" s="118" t="s">
        <v>945</v>
      </c>
      <c r="D291" s="118" t="s">
        <v>453</v>
      </c>
      <c r="E291" s="118" t="s">
        <v>943</v>
      </c>
      <c r="F291" s="119">
        <v>50.412936675248694</v>
      </c>
      <c r="G291" s="119">
        <v>50.435136675248692</v>
      </c>
      <c r="H291" s="119">
        <v>16.440000000000001</v>
      </c>
      <c r="I291" s="116">
        <v>2518</v>
      </c>
      <c r="J291" s="118" t="s">
        <v>269</v>
      </c>
    </row>
    <row r="292" spans="1:10" x14ac:dyDescent="0.25">
      <c r="A292" s="116">
        <v>289</v>
      </c>
      <c r="B292" s="117" t="s">
        <v>946</v>
      </c>
      <c r="C292" s="118" t="s">
        <v>947</v>
      </c>
      <c r="D292" s="118" t="s">
        <v>453</v>
      </c>
      <c r="E292" s="118" t="s">
        <v>943</v>
      </c>
      <c r="F292" s="119">
        <v>95.369567705290095</v>
      </c>
      <c r="G292" s="119">
        <v>97.346667705290088</v>
      </c>
      <c r="H292" s="119">
        <v>17.18</v>
      </c>
      <c r="I292" s="116">
        <v>295</v>
      </c>
      <c r="J292" s="118" t="s">
        <v>269</v>
      </c>
    </row>
    <row r="293" spans="1:10" x14ac:dyDescent="0.25">
      <c r="A293" s="116">
        <v>290</v>
      </c>
      <c r="B293" s="117" t="s">
        <v>948</v>
      </c>
      <c r="C293" s="118" t="s">
        <v>949</v>
      </c>
      <c r="D293" s="118" t="s">
        <v>453</v>
      </c>
      <c r="E293" s="118" t="s">
        <v>950</v>
      </c>
      <c r="F293" s="119">
        <v>88.253518943011784</v>
      </c>
      <c r="G293" s="119">
        <v>91.753518943011784</v>
      </c>
      <c r="H293" s="119">
        <v>18.55</v>
      </c>
      <c r="I293" s="116">
        <v>594</v>
      </c>
      <c r="J293" s="118" t="s">
        <v>269</v>
      </c>
    </row>
    <row r="294" spans="1:10" x14ac:dyDescent="0.25">
      <c r="A294" s="116">
        <v>291</v>
      </c>
      <c r="B294" s="117" t="s">
        <v>951</v>
      </c>
      <c r="C294" s="118" t="s">
        <v>952</v>
      </c>
      <c r="D294" s="118" t="s">
        <v>753</v>
      </c>
      <c r="E294" s="118" t="s">
        <v>953</v>
      </c>
      <c r="F294" s="119">
        <v>24344.395200000006</v>
      </c>
      <c r="G294" s="119">
        <v>24344.395200000006</v>
      </c>
      <c r="H294" s="119">
        <v>0</v>
      </c>
      <c r="I294" s="116">
        <v>0</v>
      </c>
      <c r="J294" s="118" t="s">
        <v>238</v>
      </c>
    </row>
    <row r="295" spans="1:10" x14ac:dyDescent="0.25">
      <c r="A295" s="116">
        <v>292</v>
      </c>
      <c r="B295" s="117" t="s">
        <v>954</v>
      </c>
      <c r="C295" s="118" t="s">
        <v>955</v>
      </c>
      <c r="D295" s="118" t="s">
        <v>443</v>
      </c>
      <c r="E295" s="118" t="s">
        <v>956</v>
      </c>
      <c r="F295" s="119">
        <v>1000</v>
      </c>
      <c r="G295" s="119">
        <v>1000</v>
      </c>
      <c r="H295" s="119">
        <v>0</v>
      </c>
      <c r="I295" s="116">
        <v>0</v>
      </c>
      <c r="J295" s="118" t="s">
        <v>238</v>
      </c>
    </row>
    <row r="296" spans="1:10" x14ac:dyDescent="0.25">
      <c r="A296" s="116">
        <v>293</v>
      </c>
      <c r="B296" s="117" t="s">
        <v>957</v>
      </c>
      <c r="C296" s="118" t="s">
        <v>958</v>
      </c>
      <c r="D296" s="118" t="s">
        <v>443</v>
      </c>
      <c r="E296" s="118" t="s">
        <v>956</v>
      </c>
      <c r="F296" s="119">
        <v>1000</v>
      </c>
      <c r="G296" s="119">
        <v>1000</v>
      </c>
      <c r="H296" s="119">
        <v>0</v>
      </c>
      <c r="I296" s="116">
        <v>0</v>
      </c>
      <c r="J296" s="118" t="s">
        <v>238</v>
      </c>
    </row>
    <row r="297" spans="1:10" x14ac:dyDescent="0.25">
      <c r="A297" s="116">
        <v>294</v>
      </c>
      <c r="B297" s="117" t="s">
        <v>959</v>
      </c>
      <c r="C297" s="118" t="s">
        <v>960</v>
      </c>
      <c r="D297" s="118" t="s">
        <v>443</v>
      </c>
      <c r="E297" s="118" t="s">
        <v>961</v>
      </c>
      <c r="F297" s="119">
        <v>0.01</v>
      </c>
      <c r="G297" s="119">
        <v>0.01</v>
      </c>
      <c r="H297" s="119">
        <v>0</v>
      </c>
      <c r="I297" s="116">
        <v>0</v>
      </c>
      <c r="J297" s="118" t="s">
        <v>238</v>
      </c>
    </row>
    <row r="298" spans="1:10" x14ac:dyDescent="0.25">
      <c r="A298" s="116">
        <v>295</v>
      </c>
      <c r="B298" s="117" t="s">
        <v>965</v>
      </c>
      <c r="C298" s="118" t="s">
        <v>966</v>
      </c>
      <c r="D298" s="118" t="s">
        <v>453</v>
      </c>
      <c r="E298" s="118" t="s">
        <v>490</v>
      </c>
      <c r="F298" s="119">
        <v>96.700811955748932</v>
      </c>
      <c r="G298" s="119">
        <v>99.777711955748941</v>
      </c>
      <c r="H298" s="119">
        <v>17.739999999999998</v>
      </c>
      <c r="I298" s="116">
        <v>160</v>
      </c>
      <c r="J298" s="118" t="s">
        <v>269</v>
      </c>
    </row>
    <row r="299" spans="1:10" x14ac:dyDescent="0.25">
      <c r="A299" s="116">
        <v>296</v>
      </c>
      <c r="B299" s="117" t="s">
        <v>967</v>
      </c>
      <c r="C299" s="118" t="s">
        <v>968</v>
      </c>
      <c r="D299" s="118" t="s">
        <v>453</v>
      </c>
      <c r="E299" s="118" t="s">
        <v>490</v>
      </c>
      <c r="F299" s="119">
        <v>96.259027138322864</v>
      </c>
      <c r="G299" s="119">
        <v>101.26602713832287</v>
      </c>
      <c r="H299" s="119">
        <v>18.190000000000001</v>
      </c>
      <c r="I299" s="116">
        <v>181</v>
      </c>
      <c r="J299" s="118" t="s">
        <v>269</v>
      </c>
    </row>
    <row r="300" spans="1:10" x14ac:dyDescent="0.25">
      <c r="A300" s="116">
        <v>297</v>
      </c>
      <c r="B300" s="117" t="s">
        <v>969</v>
      </c>
      <c r="C300" s="118" t="s">
        <v>970</v>
      </c>
      <c r="D300" s="118" t="s">
        <v>443</v>
      </c>
      <c r="E300" s="118" t="s">
        <v>971</v>
      </c>
      <c r="F300" s="119">
        <v>1054.2494300000001</v>
      </c>
      <c r="G300" s="119">
        <v>1054.2494300000001</v>
      </c>
      <c r="H300" s="119">
        <v>0</v>
      </c>
      <c r="I300" s="116">
        <v>2014</v>
      </c>
      <c r="J300" s="118" t="s">
        <v>238</v>
      </c>
    </row>
    <row r="301" spans="1:10" x14ac:dyDescent="0.25">
      <c r="A301" s="116">
        <v>298</v>
      </c>
      <c r="B301" s="117" t="s">
        <v>972</v>
      </c>
      <c r="C301" s="118" t="s">
        <v>973</v>
      </c>
      <c r="D301" s="118" t="s">
        <v>453</v>
      </c>
      <c r="E301" s="118" t="s">
        <v>971</v>
      </c>
      <c r="F301" s="119">
        <v>72.332589624298322</v>
      </c>
      <c r="G301" s="119">
        <v>74.96038962429833</v>
      </c>
      <c r="H301" s="119">
        <v>18.28</v>
      </c>
      <c r="I301" s="116">
        <v>2434</v>
      </c>
      <c r="J301" s="118" t="s">
        <v>269</v>
      </c>
    </row>
    <row r="302" spans="1:10" x14ac:dyDescent="0.25">
      <c r="A302" s="116">
        <v>299</v>
      </c>
      <c r="B302" s="117" t="s">
        <v>974</v>
      </c>
      <c r="C302" s="118" t="s">
        <v>975</v>
      </c>
      <c r="D302" s="118" t="s">
        <v>453</v>
      </c>
      <c r="E302" s="118" t="s">
        <v>971</v>
      </c>
      <c r="F302" s="119">
        <v>97.459281527428189</v>
      </c>
      <c r="G302" s="119">
        <v>99.209281527428189</v>
      </c>
      <c r="H302" s="119">
        <v>18.54</v>
      </c>
      <c r="I302" s="116">
        <v>120</v>
      </c>
      <c r="J302" s="118" t="s">
        <v>269</v>
      </c>
    </row>
    <row r="303" spans="1:10" x14ac:dyDescent="0.25">
      <c r="A303" s="116">
        <v>300</v>
      </c>
      <c r="B303" s="117" t="s">
        <v>976</v>
      </c>
      <c r="C303" s="118" t="s">
        <v>977</v>
      </c>
      <c r="D303" s="118" t="s">
        <v>443</v>
      </c>
      <c r="E303" s="118" t="s">
        <v>978</v>
      </c>
      <c r="F303" s="119">
        <v>22198.732800000005</v>
      </c>
      <c r="G303" s="119">
        <v>22198.732800000005</v>
      </c>
      <c r="H303" s="119">
        <v>0</v>
      </c>
      <c r="I303" s="116">
        <v>0</v>
      </c>
      <c r="J303" s="118" t="s">
        <v>238</v>
      </c>
    </row>
    <row r="304" spans="1:10" x14ac:dyDescent="0.25">
      <c r="A304" s="116">
        <v>301</v>
      </c>
      <c r="B304" s="117" t="s">
        <v>979</v>
      </c>
      <c r="C304" s="118" t="s">
        <v>980</v>
      </c>
      <c r="D304" s="118" t="s">
        <v>443</v>
      </c>
      <c r="E304" s="118" t="s">
        <v>47</v>
      </c>
      <c r="F304" s="119">
        <v>5830</v>
      </c>
      <c r="G304" s="119">
        <v>5830</v>
      </c>
      <c r="H304" s="119">
        <v>0</v>
      </c>
      <c r="I304" s="116">
        <v>0</v>
      </c>
      <c r="J304" s="118" t="s">
        <v>238</v>
      </c>
    </row>
    <row r="305" spans="1:10" x14ac:dyDescent="0.25">
      <c r="A305" s="116">
        <v>302</v>
      </c>
      <c r="B305" s="117" t="s">
        <v>48</v>
      </c>
      <c r="C305" s="118" t="s">
        <v>49</v>
      </c>
      <c r="D305" s="118" t="s">
        <v>733</v>
      </c>
      <c r="E305" s="118" t="s">
        <v>47</v>
      </c>
      <c r="F305" s="119">
        <v>84000.506048427837</v>
      </c>
      <c r="G305" s="119">
        <v>84000.506048427837</v>
      </c>
      <c r="H305" s="119">
        <v>0</v>
      </c>
      <c r="I305" s="116">
        <v>0</v>
      </c>
      <c r="J305" s="118" t="s">
        <v>238</v>
      </c>
    </row>
    <row r="306" spans="1:10" x14ac:dyDescent="0.25">
      <c r="A306" s="116">
        <v>303</v>
      </c>
      <c r="B306" s="117" t="s">
        <v>45</v>
      </c>
      <c r="C306" s="118" t="s">
        <v>46</v>
      </c>
      <c r="D306" s="118" t="s">
        <v>733</v>
      </c>
      <c r="E306" s="118" t="s">
        <v>47</v>
      </c>
      <c r="F306" s="119">
        <v>5512.8553264792736</v>
      </c>
      <c r="G306" s="119">
        <v>5512.8553264792736</v>
      </c>
      <c r="H306" s="119">
        <v>0</v>
      </c>
      <c r="I306" s="116">
        <v>0</v>
      </c>
      <c r="J306" s="118" t="s">
        <v>238</v>
      </c>
    </row>
    <row r="307" spans="1:10" x14ac:dyDescent="0.25">
      <c r="A307" s="116">
        <v>304</v>
      </c>
      <c r="B307" s="117" t="s">
        <v>981</v>
      </c>
      <c r="C307" s="118" t="s">
        <v>982</v>
      </c>
      <c r="D307" s="118" t="s">
        <v>733</v>
      </c>
      <c r="E307" s="118" t="s">
        <v>2322</v>
      </c>
      <c r="F307" s="119">
        <v>566842.06080000009</v>
      </c>
      <c r="G307" s="119">
        <v>566842.06080000009</v>
      </c>
      <c r="H307" s="119">
        <v>0</v>
      </c>
      <c r="I307" s="116">
        <v>0</v>
      </c>
      <c r="J307" s="118" t="s">
        <v>238</v>
      </c>
    </row>
    <row r="308" spans="1:10" x14ac:dyDescent="0.25">
      <c r="A308" s="116">
        <v>305</v>
      </c>
      <c r="B308" s="117" t="s">
        <v>983</v>
      </c>
      <c r="C308" s="118" t="s">
        <v>984</v>
      </c>
      <c r="D308" s="118" t="s">
        <v>733</v>
      </c>
      <c r="E308" s="118" t="s">
        <v>2322</v>
      </c>
      <c r="F308" s="119">
        <v>12010.075000000001</v>
      </c>
      <c r="G308" s="119">
        <v>12010.075000000001</v>
      </c>
      <c r="H308" s="119">
        <v>0</v>
      </c>
      <c r="I308" s="116">
        <v>0</v>
      </c>
      <c r="J308" s="118" t="s">
        <v>238</v>
      </c>
    </row>
    <row r="309" spans="1:10" x14ac:dyDescent="0.25">
      <c r="A309" s="116">
        <v>306</v>
      </c>
      <c r="B309" s="117" t="s">
        <v>985</v>
      </c>
      <c r="C309" s="118" t="s">
        <v>986</v>
      </c>
      <c r="D309" s="118" t="s">
        <v>733</v>
      </c>
      <c r="E309" s="118" t="s">
        <v>2322</v>
      </c>
      <c r="F309" s="119">
        <v>15073.115</v>
      </c>
      <c r="G309" s="119">
        <v>15073.115</v>
      </c>
      <c r="H309" s="119">
        <v>0</v>
      </c>
      <c r="I309" s="116">
        <v>0</v>
      </c>
      <c r="J309" s="118" t="s">
        <v>238</v>
      </c>
    </row>
    <row r="310" spans="1:10" x14ac:dyDescent="0.25">
      <c r="A310" s="116">
        <v>307</v>
      </c>
      <c r="B310" s="117" t="s">
        <v>987</v>
      </c>
      <c r="C310" s="118" t="s">
        <v>988</v>
      </c>
      <c r="D310" s="118" t="s">
        <v>733</v>
      </c>
      <c r="E310" s="118" t="s">
        <v>2322</v>
      </c>
      <c r="F310" s="119">
        <v>632553.64400000009</v>
      </c>
      <c r="G310" s="119">
        <v>632553.64400000009</v>
      </c>
      <c r="H310" s="119">
        <v>0</v>
      </c>
      <c r="I310" s="116">
        <v>0</v>
      </c>
      <c r="J310" s="118" t="s">
        <v>238</v>
      </c>
    </row>
    <row r="311" spans="1:10" x14ac:dyDescent="0.25">
      <c r="A311" s="116">
        <v>308</v>
      </c>
      <c r="B311" s="117" t="s">
        <v>989</v>
      </c>
      <c r="C311" s="118" t="s">
        <v>990</v>
      </c>
      <c r="D311" s="118" t="s">
        <v>443</v>
      </c>
      <c r="E311" s="118" t="s">
        <v>991</v>
      </c>
      <c r="F311" s="119">
        <v>10691.67</v>
      </c>
      <c r="G311" s="119">
        <v>10691.67</v>
      </c>
      <c r="H311" s="119">
        <v>0</v>
      </c>
      <c r="I311" s="116">
        <v>0</v>
      </c>
      <c r="J311" s="118" t="s">
        <v>238</v>
      </c>
    </row>
    <row r="312" spans="1:10" x14ac:dyDescent="0.25">
      <c r="A312" s="116">
        <v>309</v>
      </c>
      <c r="B312" s="117" t="s">
        <v>992</v>
      </c>
      <c r="C312" s="118" t="s">
        <v>993</v>
      </c>
      <c r="D312" s="118" t="s">
        <v>453</v>
      </c>
      <c r="E312" s="118" t="s">
        <v>994</v>
      </c>
      <c r="F312" s="119">
        <v>100</v>
      </c>
      <c r="G312" s="119">
        <v>103.5458</v>
      </c>
      <c r="H312" s="119">
        <v>11.44</v>
      </c>
      <c r="I312" s="116">
        <v>969</v>
      </c>
      <c r="J312" s="118" t="s">
        <v>269</v>
      </c>
    </row>
    <row r="313" spans="1:10" x14ac:dyDescent="0.25">
      <c r="A313" s="116">
        <v>310</v>
      </c>
      <c r="B313" s="117" t="s">
        <v>995</v>
      </c>
      <c r="C313" s="118" t="s">
        <v>996</v>
      </c>
      <c r="D313" s="118" t="s">
        <v>453</v>
      </c>
      <c r="E313" s="118" t="s">
        <v>994</v>
      </c>
      <c r="F313" s="119">
        <v>100</v>
      </c>
      <c r="G313" s="119">
        <v>101.2778</v>
      </c>
      <c r="H313" s="119">
        <v>9.99</v>
      </c>
      <c r="I313" s="116">
        <v>3194</v>
      </c>
      <c r="J313" s="118" t="s">
        <v>269</v>
      </c>
    </row>
    <row r="314" spans="1:10" x14ac:dyDescent="0.25">
      <c r="A314" s="116">
        <v>311</v>
      </c>
      <c r="B314" s="117" t="s">
        <v>2011</v>
      </c>
      <c r="C314" s="118" t="s">
        <v>2012</v>
      </c>
      <c r="D314" s="118" t="s">
        <v>453</v>
      </c>
      <c r="E314" s="118" t="s">
        <v>997</v>
      </c>
      <c r="F314" s="119">
        <v>100.55762002154363</v>
      </c>
      <c r="G314" s="119">
        <v>103.12702002154363</v>
      </c>
      <c r="H314" s="119">
        <v>23.37</v>
      </c>
      <c r="I314" s="116">
        <v>143</v>
      </c>
      <c r="J314" s="118" t="s">
        <v>269</v>
      </c>
    </row>
    <row r="315" spans="1:10" x14ac:dyDescent="0.25">
      <c r="A315" s="116">
        <v>312</v>
      </c>
      <c r="B315" s="117" t="s">
        <v>998</v>
      </c>
      <c r="C315" s="118" t="s">
        <v>999</v>
      </c>
      <c r="D315" s="118" t="s">
        <v>753</v>
      </c>
      <c r="E315" s="118" t="s">
        <v>2545</v>
      </c>
      <c r="F315" s="119">
        <v>17305.116800000003</v>
      </c>
      <c r="G315" s="119">
        <v>17305.116800000003</v>
      </c>
      <c r="H315" s="119">
        <v>0</v>
      </c>
      <c r="I315" s="116">
        <v>0</v>
      </c>
      <c r="J315" s="118" t="s">
        <v>238</v>
      </c>
    </row>
    <row r="316" spans="1:10" x14ac:dyDescent="0.25">
      <c r="A316" s="116">
        <v>313</v>
      </c>
      <c r="B316" s="117" t="s">
        <v>1000</v>
      </c>
      <c r="C316" s="118" t="s">
        <v>1001</v>
      </c>
      <c r="D316" s="118" t="s">
        <v>453</v>
      </c>
      <c r="E316" s="118" t="s">
        <v>1002</v>
      </c>
      <c r="F316" s="119">
        <v>100.16840658465591</v>
      </c>
      <c r="G316" s="119">
        <v>106.00170658465591</v>
      </c>
      <c r="H316" s="119">
        <v>11.64</v>
      </c>
      <c r="I316" s="116">
        <v>185</v>
      </c>
      <c r="J316" s="118" t="s">
        <v>269</v>
      </c>
    </row>
    <row r="317" spans="1:10" x14ac:dyDescent="0.25">
      <c r="A317" s="116">
        <v>314</v>
      </c>
      <c r="B317" s="117" t="s">
        <v>1003</v>
      </c>
      <c r="C317" s="118" t="s">
        <v>1004</v>
      </c>
      <c r="D317" s="118" t="s">
        <v>453</v>
      </c>
      <c r="E317" s="118" t="s">
        <v>1002</v>
      </c>
      <c r="F317" s="119">
        <v>100.18136749518855</v>
      </c>
      <c r="G317" s="119">
        <v>101.58696749518855</v>
      </c>
      <c r="H317" s="119">
        <v>10.74</v>
      </c>
      <c r="I317" s="116">
        <v>314</v>
      </c>
      <c r="J317" s="118" t="s">
        <v>269</v>
      </c>
    </row>
    <row r="318" spans="1:10" x14ac:dyDescent="0.25">
      <c r="A318" s="116">
        <v>315</v>
      </c>
      <c r="B318" s="117" t="s">
        <v>2027</v>
      </c>
      <c r="C318" s="118" t="s">
        <v>2028</v>
      </c>
      <c r="D318" s="118" t="s">
        <v>453</v>
      </c>
      <c r="E318" s="118" t="s">
        <v>1002</v>
      </c>
      <c r="F318" s="119">
        <v>99.721424947836809</v>
      </c>
      <c r="G318" s="119">
        <v>100.6381249478368</v>
      </c>
      <c r="H318" s="119">
        <v>11.65</v>
      </c>
      <c r="I318" s="116">
        <v>150</v>
      </c>
      <c r="J318" s="118" t="s">
        <v>269</v>
      </c>
    </row>
    <row r="319" spans="1:10" x14ac:dyDescent="0.25">
      <c r="A319" s="116">
        <v>316</v>
      </c>
      <c r="B319" s="117" t="s">
        <v>1005</v>
      </c>
      <c r="C319" s="118" t="s">
        <v>1006</v>
      </c>
      <c r="D319" s="118" t="s">
        <v>443</v>
      </c>
      <c r="E319" s="118" t="s">
        <v>1007</v>
      </c>
      <c r="F319" s="119">
        <v>89096.07680000001</v>
      </c>
      <c r="G319" s="119">
        <v>89096.07680000001</v>
      </c>
      <c r="H319" s="119">
        <v>0</v>
      </c>
      <c r="I319" s="116">
        <v>0</v>
      </c>
      <c r="J319" s="118" t="s">
        <v>238</v>
      </c>
    </row>
    <row r="320" spans="1:10" x14ac:dyDescent="0.25">
      <c r="A320" s="116">
        <v>317</v>
      </c>
      <c r="B320" s="117" t="s">
        <v>1008</v>
      </c>
      <c r="C320" s="118" t="s">
        <v>1009</v>
      </c>
      <c r="D320" s="118" t="s">
        <v>453</v>
      </c>
      <c r="E320" s="118" t="s">
        <v>1010</v>
      </c>
      <c r="F320" s="119">
        <v>94.808063977840902</v>
      </c>
      <c r="G320" s="119">
        <v>95.96496397784091</v>
      </c>
      <c r="H320" s="119">
        <v>18.350000000000001</v>
      </c>
      <c r="I320" s="116">
        <v>325</v>
      </c>
      <c r="J320" s="118" t="s">
        <v>269</v>
      </c>
    </row>
    <row r="321" spans="1:10" x14ac:dyDescent="0.25">
      <c r="A321" s="116">
        <v>318</v>
      </c>
      <c r="B321" s="117" t="s">
        <v>1011</v>
      </c>
      <c r="C321" s="118" t="s">
        <v>1012</v>
      </c>
      <c r="D321" s="118" t="s">
        <v>443</v>
      </c>
      <c r="E321" s="118" t="s">
        <v>2546</v>
      </c>
      <c r="F321" s="119">
        <v>44585.681600000011</v>
      </c>
      <c r="G321" s="119">
        <v>44585.681600000011</v>
      </c>
      <c r="H321" s="119">
        <v>0</v>
      </c>
      <c r="I321" s="116">
        <v>0</v>
      </c>
      <c r="J321" s="118" t="s">
        <v>238</v>
      </c>
    </row>
    <row r="322" spans="1:10" x14ac:dyDescent="0.25">
      <c r="A322" s="116">
        <v>319</v>
      </c>
      <c r="B322" s="117" t="s">
        <v>2567</v>
      </c>
      <c r="C322" s="118" t="s">
        <v>2568</v>
      </c>
      <c r="D322" s="118" t="s">
        <v>753</v>
      </c>
      <c r="E322" s="118" t="s">
        <v>1072</v>
      </c>
      <c r="F322" s="119">
        <v>21435.113600000004</v>
      </c>
      <c r="G322" s="119">
        <v>21435.113600000004</v>
      </c>
      <c r="H322" s="119">
        <v>0</v>
      </c>
      <c r="I322" s="116">
        <v>0</v>
      </c>
      <c r="J322" s="118" t="s">
        <v>238</v>
      </c>
    </row>
    <row r="323" spans="1:10" x14ac:dyDescent="0.25">
      <c r="A323" s="116">
        <v>320</v>
      </c>
      <c r="B323" s="117" t="s">
        <v>962</v>
      </c>
      <c r="C323" s="118" t="s">
        <v>963</v>
      </c>
      <c r="D323" s="118" t="s">
        <v>443</v>
      </c>
      <c r="E323" s="118" t="s">
        <v>964</v>
      </c>
      <c r="F323" s="119">
        <v>6412.7880000000014</v>
      </c>
      <c r="G323" s="119">
        <v>6412.7880000000014</v>
      </c>
      <c r="H323" s="119">
        <v>0</v>
      </c>
      <c r="I323" s="116">
        <v>0</v>
      </c>
      <c r="J323" s="118" t="s">
        <v>238</v>
      </c>
    </row>
    <row r="324" spans="1:10" x14ac:dyDescent="0.25">
      <c r="A324" s="116">
        <v>321</v>
      </c>
      <c r="B324" s="117" t="s">
        <v>1013</v>
      </c>
      <c r="C324" s="118" t="s">
        <v>1014</v>
      </c>
      <c r="D324" s="118" t="s">
        <v>443</v>
      </c>
      <c r="E324" s="118" t="s">
        <v>1015</v>
      </c>
      <c r="F324" s="119">
        <v>8399.2990000000009</v>
      </c>
      <c r="G324" s="119">
        <v>8399.2990000000009</v>
      </c>
      <c r="H324" s="119">
        <v>0</v>
      </c>
      <c r="I324" s="116">
        <v>0</v>
      </c>
      <c r="J324" s="118" t="s">
        <v>238</v>
      </c>
    </row>
    <row r="325" spans="1:10" x14ac:dyDescent="0.25">
      <c r="A325" s="116">
        <v>322</v>
      </c>
      <c r="B325" s="117" t="s">
        <v>1016</v>
      </c>
      <c r="C325" s="118" t="s">
        <v>1017</v>
      </c>
      <c r="D325" s="118" t="s">
        <v>753</v>
      </c>
      <c r="E325" s="118" t="s">
        <v>1018</v>
      </c>
      <c r="F325" s="119">
        <v>42641.679200000006</v>
      </c>
      <c r="G325" s="119">
        <v>42641.679200000006</v>
      </c>
      <c r="H325" s="119">
        <v>0</v>
      </c>
      <c r="I325" s="116">
        <v>0</v>
      </c>
      <c r="J325" s="118" t="s">
        <v>238</v>
      </c>
    </row>
    <row r="326" spans="1:10" x14ac:dyDescent="0.25">
      <c r="A326" s="116">
        <v>323</v>
      </c>
      <c r="B326" s="117" t="s">
        <v>2038</v>
      </c>
      <c r="C326" s="118" t="s">
        <v>1834</v>
      </c>
      <c r="D326" s="118" t="s">
        <v>753</v>
      </c>
      <c r="E326" s="118" t="s">
        <v>1835</v>
      </c>
      <c r="F326" s="119">
        <v>209680.69040000005</v>
      </c>
      <c r="G326" s="119">
        <v>209680.69040000005</v>
      </c>
      <c r="H326" s="119">
        <v>0</v>
      </c>
      <c r="I326" s="116">
        <v>0</v>
      </c>
      <c r="J326" s="118" t="s">
        <v>238</v>
      </c>
    </row>
    <row r="327" spans="1:10" x14ac:dyDescent="0.25">
      <c r="A327" s="116">
        <v>324</v>
      </c>
      <c r="B327" s="117" t="s">
        <v>1019</v>
      </c>
      <c r="C327" s="118" t="s">
        <v>1020</v>
      </c>
      <c r="D327" s="118" t="s">
        <v>443</v>
      </c>
      <c r="E327" s="118" t="s">
        <v>1021</v>
      </c>
      <c r="F327" s="119">
        <v>135658.02640000003</v>
      </c>
      <c r="G327" s="119">
        <v>135658.02640000003</v>
      </c>
      <c r="H327" s="119">
        <v>0</v>
      </c>
      <c r="I327" s="116">
        <v>0</v>
      </c>
      <c r="J327" s="118" t="s">
        <v>238</v>
      </c>
    </row>
    <row r="328" spans="1:10" x14ac:dyDescent="0.25">
      <c r="A328" s="116">
        <v>325</v>
      </c>
      <c r="B328" s="117" t="s">
        <v>50</v>
      </c>
      <c r="C328" s="118" t="s">
        <v>51</v>
      </c>
      <c r="D328" s="118" t="s">
        <v>453</v>
      </c>
      <c r="E328" s="118" t="s">
        <v>52</v>
      </c>
      <c r="F328" s="119">
        <v>98.158900000000003</v>
      </c>
      <c r="G328" s="119">
        <v>101.82559999999999</v>
      </c>
      <c r="H328" s="119">
        <v>19.02</v>
      </c>
      <c r="I328" s="116">
        <v>280</v>
      </c>
      <c r="J328" s="118" t="s">
        <v>269</v>
      </c>
    </row>
    <row r="329" spans="1:10" x14ac:dyDescent="0.25">
      <c r="A329" s="116">
        <v>326</v>
      </c>
      <c r="B329" s="117" t="s">
        <v>53</v>
      </c>
      <c r="C329" s="118" t="s">
        <v>54</v>
      </c>
      <c r="D329" s="118" t="s">
        <v>453</v>
      </c>
      <c r="E329" s="118" t="s">
        <v>52</v>
      </c>
      <c r="F329" s="119">
        <v>94.657300000000006</v>
      </c>
      <c r="G329" s="119">
        <v>97.957300000000004</v>
      </c>
      <c r="H329" s="119">
        <v>19.010000000000002</v>
      </c>
      <c r="I329" s="116">
        <v>1008</v>
      </c>
      <c r="J329" s="118" t="s">
        <v>269</v>
      </c>
    </row>
    <row r="330" spans="1:10" x14ac:dyDescent="0.25">
      <c r="A330" s="116">
        <v>327</v>
      </c>
      <c r="B330" s="117" t="s">
        <v>2007</v>
      </c>
      <c r="C330" s="118" t="s">
        <v>2008</v>
      </c>
      <c r="D330" s="118" t="s">
        <v>453</v>
      </c>
      <c r="E330" s="118" t="s">
        <v>52</v>
      </c>
      <c r="F330" s="119">
        <v>97.887100000000004</v>
      </c>
      <c r="G330" s="119">
        <v>100.5592</v>
      </c>
      <c r="H330" s="119">
        <v>19.260000000000002</v>
      </c>
      <c r="I330" s="116">
        <v>847</v>
      </c>
      <c r="J330" s="118" t="s">
        <v>269</v>
      </c>
    </row>
    <row r="331" spans="1:10" x14ac:dyDescent="0.25">
      <c r="A331" s="116">
        <v>328</v>
      </c>
      <c r="B331" s="117" t="s">
        <v>370</v>
      </c>
      <c r="C331" s="118" t="s">
        <v>371</v>
      </c>
      <c r="D331" s="118" t="s">
        <v>453</v>
      </c>
      <c r="E331" s="118" t="s">
        <v>52</v>
      </c>
      <c r="F331" s="119">
        <v>97.475899999999996</v>
      </c>
      <c r="G331" s="119">
        <v>102.9863</v>
      </c>
      <c r="H331" s="119">
        <v>19.010000000000002</v>
      </c>
      <c r="I331" s="116">
        <v>605</v>
      </c>
      <c r="J331" s="118" t="s">
        <v>269</v>
      </c>
    </row>
    <row r="332" spans="1:10" x14ac:dyDescent="0.25">
      <c r="A332" s="116">
        <v>329</v>
      </c>
      <c r="B332" s="117" t="s">
        <v>368</v>
      </c>
      <c r="C332" s="118" t="s">
        <v>369</v>
      </c>
      <c r="D332" s="118" t="s">
        <v>453</v>
      </c>
      <c r="E332" s="118" t="s">
        <v>52</v>
      </c>
      <c r="F332" s="119">
        <v>95.384600000000006</v>
      </c>
      <c r="G332" s="119">
        <v>100.41589999999999</v>
      </c>
      <c r="H332" s="119">
        <v>19</v>
      </c>
      <c r="I332" s="116">
        <v>1335</v>
      </c>
      <c r="J332" s="118" t="s">
        <v>269</v>
      </c>
    </row>
    <row r="333" spans="1:10" x14ac:dyDescent="0.25">
      <c r="A333" s="116">
        <v>330</v>
      </c>
      <c r="B333" s="117" t="s">
        <v>2262</v>
      </c>
      <c r="C333" s="118" t="s">
        <v>2263</v>
      </c>
      <c r="D333" s="118" t="s">
        <v>453</v>
      </c>
      <c r="E333" s="118" t="s">
        <v>52</v>
      </c>
      <c r="F333" s="119">
        <v>99.109119349456478</v>
      </c>
      <c r="G333" s="119">
        <v>104.20241934945648</v>
      </c>
      <c r="H333" s="119">
        <v>19.36</v>
      </c>
      <c r="I333" s="116">
        <v>1704</v>
      </c>
      <c r="J333" s="118" t="s">
        <v>269</v>
      </c>
    </row>
    <row r="334" spans="1:10" x14ac:dyDescent="0.25">
      <c r="A334" s="116">
        <v>331</v>
      </c>
      <c r="B334" s="117" t="s">
        <v>2233</v>
      </c>
      <c r="C334" s="118" t="s">
        <v>2234</v>
      </c>
      <c r="D334" s="118" t="s">
        <v>453</v>
      </c>
      <c r="E334" s="118" t="s">
        <v>52</v>
      </c>
      <c r="F334" s="119">
        <v>99.940639374124416</v>
      </c>
      <c r="G334" s="119">
        <v>105.60873937412443</v>
      </c>
      <c r="H334" s="119">
        <v>19.22</v>
      </c>
      <c r="I334" s="116">
        <v>614</v>
      </c>
      <c r="J334" s="118" t="s">
        <v>269</v>
      </c>
    </row>
    <row r="335" spans="1:10" x14ac:dyDescent="0.25">
      <c r="A335" s="116">
        <v>332</v>
      </c>
      <c r="B335" s="117" t="s">
        <v>55</v>
      </c>
      <c r="C335" s="118" t="s">
        <v>56</v>
      </c>
      <c r="D335" s="118" t="s">
        <v>733</v>
      </c>
      <c r="E335" s="118" t="s">
        <v>1022</v>
      </c>
      <c r="F335" s="119">
        <v>53381.123704326827</v>
      </c>
      <c r="G335" s="119">
        <v>53381.123704326827</v>
      </c>
      <c r="H335" s="119">
        <v>0</v>
      </c>
      <c r="I335" s="116">
        <v>0</v>
      </c>
      <c r="J335" s="118" t="s">
        <v>238</v>
      </c>
    </row>
    <row r="336" spans="1:10" x14ac:dyDescent="0.25">
      <c r="A336" s="116">
        <v>333</v>
      </c>
      <c r="B336" s="117" t="s">
        <v>57</v>
      </c>
      <c r="C336" s="118" t="s">
        <v>58</v>
      </c>
      <c r="D336" s="118" t="s">
        <v>733</v>
      </c>
      <c r="E336" s="118" t="s">
        <v>1022</v>
      </c>
      <c r="F336" s="119">
        <v>74603.415392549388</v>
      </c>
      <c r="G336" s="119">
        <v>74603.415392549388</v>
      </c>
      <c r="H336" s="119">
        <v>0</v>
      </c>
      <c r="I336" s="116">
        <v>0</v>
      </c>
      <c r="J336" s="118" t="s">
        <v>238</v>
      </c>
    </row>
    <row r="337" spans="1:10" x14ac:dyDescent="0.25">
      <c r="A337" s="116">
        <v>334</v>
      </c>
      <c r="B337" s="117" t="s">
        <v>59</v>
      </c>
      <c r="C337" s="118" t="s">
        <v>60</v>
      </c>
      <c r="D337" s="118" t="s">
        <v>733</v>
      </c>
      <c r="E337" s="118" t="s">
        <v>1022</v>
      </c>
      <c r="F337" s="119">
        <v>73792.792866167263</v>
      </c>
      <c r="G337" s="119">
        <v>73792.792866167263</v>
      </c>
      <c r="H337" s="119">
        <v>0</v>
      </c>
      <c r="I337" s="116">
        <v>0</v>
      </c>
      <c r="J337" s="118" t="s">
        <v>238</v>
      </c>
    </row>
    <row r="338" spans="1:10" x14ac:dyDescent="0.25">
      <c r="A338" s="116">
        <v>335</v>
      </c>
      <c r="B338" s="117" t="s">
        <v>61</v>
      </c>
      <c r="C338" s="118" t="s">
        <v>62</v>
      </c>
      <c r="D338" s="118" t="s">
        <v>733</v>
      </c>
      <c r="E338" s="118" t="s">
        <v>1022</v>
      </c>
      <c r="F338" s="119">
        <v>588877.15482974309</v>
      </c>
      <c r="G338" s="119">
        <v>588877.15482974309</v>
      </c>
      <c r="H338" s="119">
        <v>0</v>
      </c>
      <c r="I338" s="116">
        <v>0</v>
      </c>
      <c r="J338" s="118" t="s">
        <v>238</v>
      </c>
    </row>
    <row r="339" spans="1:10" x14ac:dyDescent="0.25">
      <c r="A339" s="116">
        <v>336</v>
      </c>
      <c r="B339" s="117" t="s">
        <v>1026</v>
      </c>
      <c r="C339" s="118" t="s">
        <v>1027</v>
      </c>
      <c r="D339" s="118" t="s">
        <v>733</v>
      </c>
      <c r="E339" s="118" t="s">
        <v>1022</v>
      </c>
      <c r="F339" s="119">
        <v>4308.0324000000001</v>
      </c>
      <c r="G339" s="119">
        <v>4308.0324000000001</v>
      </c>
      <c r="H339" s="119">
        <v>0</v>
      </c>
      <c r="I339" s="116">
        <v>0</v>
      </c>
      <c r="J339" s="118" t="s">
        <v>238</v>
      </c>
    </row>
    <row r="340" spans="1:10" x14ac:dyDescent="0.25">
      <c r="A340" s="116">
        <v>337</v>
      </c>
      <c r="B340" s="117" t="s">
        <v>1023</v>
      </c>
      <c r="C340" s="118" t="s">
        <v>1024</v>
      </c>
      <c r="D340" s="118" t="s">
        <v>443</v>
      </c>
      <c r="E340" s="118" t="s">
        <v>1025</v>
      </c>
      <c r="F340" s="119">
        <v>535.35352400000011</v>
      </c>
      <c r="G340" s="119">
        <v>535.35352400000011</v>
      </c>
      <c r="H340" s="119">
        <v>0</v>
      </c>
      <c r="I340" s="116">
        <v>488</v>
      </c>
      <c r="J340" s="118" t="s">
        <v>238</v>
      </c>
    </row>
    <row r="341" spans="1:10" x14ac:dyDescent="0.25">
      <c r="A341" s="116">
        <v>338</v>
      </c>
      <c r="B341" s="117" t="s">
        <v>63</v>
      </c>
      <c r="C341" s="118" t="s">
        <v>64</v>
      </c>
      <c r="D341" s="118" t="s">
        <v>443</v>
      </c>
      <c r="E341" s="118" t="s">
        <v>65</v>
      </c>
      <c r="F341" s="119">
        <v>355.70665514884985</v>
      </c>
      <c r="G341" s="119">
        <v>355.70665514884985</v>
      </c>
      <c r="H341" s="119">
        <v>0</v>
      </c>
      <c r="I341" s="116">
        <v>0</v>
      </c>
      <c r="J341" s="118" t="s">
        <v>238</v>
      </c>
    </row>
    <row r="342" spans="1:10" x14ac:dyDescent="0.25">
      <c r="A342" s="116">
        <v>339</v>
      </c>
      <c r="B342" s="117" t="s">
        <v>1028</v>
      </c>
      <c r="C342" s="118" t="s">
        <v>1029</v>
      </c>
      <c r="D342" s="118" t="s">
        <v>453</v>
      </c>
      <c r="E342" s="118" t="s">
        <v>65</v>
      </c>
      <c r="F342" s="119">
        <v>101.36688547639838</v>
      </c>
      <c r="G342" s="119">
        <v>105.76568547639837</v>
      </c>
      <c r="H342" s="119">
        <v>18.21</v>
      </c>
      <c r="I342" s="116">
        <v>2075</v>
      </c>
      <c r="J342" s="118" t="s">
        <v>269</v>
      </c>
    </row>
    <row r="343" spans="1:10" x14ac:dyDescent="0.25">
      <c r="A343" s="116">
        <v>340</v>
      </c>
      <c r="B343" s="117" t="s">
        <v>433</v>
      </c>
      <c r="C343" s="118" t="s">
        <v>434</v>
      </c>
      <c r="D343" s="118" t="s">
        <v>453</v>
      </c>
      <c r="E343" s="118" t="s">
        <v>65</v>
      </c>
      <c r="F343" s="119">
        <v>100</v>
      </c>
      <c r="G343" s="119">
        <v>106.5996</v>
      </c>
      <c r="H343" s="119">
        <v>17.29</v>
      </c>
      <c r="I343" s="116">
        <v>774</v>
      </c>
      <c r="J343" s="118" t="s">
        <v>269</v>
      </c>
    </row>
    <row r="344" spans="1:10" x14ac:dyDescent="0.25">
      <c r="A344" s="116">
        <v>341</v>
      </c>
      <c r="B344" s="117" t="s">
        <v>365</v>
      </c>
      <c r="C344" s="118" t="s">
        <v>366</v>
      </c>
      <c r="D344" s="118" t="s">
        <v>520</v>
      </c>
      <c r="E344" s="118" t="s">
        <v>65</v>
      </c>
      <c r="F344" s="119">
        <v>14479.188000000002</v>
      </c>
      <c r="G344" s="119">
        <v>14479.188000000002</v>
      </c>
      <c r="H344" s="119">
        <v>0</v>
      </c>
      <c r="I344" s="116">
        <v>0</v>
      </c>
      <c r="J344" s="118" t="s">
        <v>238</v>
      </c>
    </row>
    <row r="345" spans="1:10" x14ac:dyDescent="0.25">
      <c r="A345" s="116">
        <v>342</v>
      </c>
      <c r="B345" s="117" t="s">
        <v>1030</v>
      </c>
      <c r="C345" s="118" t="s">
        <v>1031</v>
      </c>
      <c r="D345" s="118" t="s">
        <v>753</v>
      </c>
      <c r="E345" s="118" t="s">
        <v>2547</v>
      </c>
      <c r="F345" s="119">
        <v>43300.435200000007</v>
      </c>
      <c r="G345" s="119">
        <v>43300.435200000007</v>
      </c>
      <c r="H345" s="119">
        <v>0</v>
      </c>
      <c r="I345" s="116">
        <v>0</v>
      </c>
      <c r="J345" s="118" t="s">
        <v>238</v>
      </c>
    </row>
    <row r="346" spans="1:10" x14ac:dyDescent="0.25">
      <c r="A346" s="116">
        <v>343</v>
      </c>
      <c r="B346" s="117" t="s">
        <v>1032</v>
      </c>
      <c r="C346" s="118" t="s">
        <v>1033</v>
      </c>
      <c r="D346" s="118" t="s">
        <v>443</v>
      </c>
      <c r="E346" s="118" t="s">
        <v>1034</v>
      </c>
      <c r="F346" s="119">
        <v>149110.09280000004</v>
      </c>
      <c r="G346" s="119">
        <v>149110.09280000004</v>
      </c>
      <c r="H346" s="119">
        <v>0</v>
      </c>
      <c r="I346" s="116">
        <v>0</v>
      </c>
      <c r="J346" s="118" t="s">
        <v>238</v>
      </c>
    </row>
    <row r="347" spans="1:10" x14ac:dyDescent="0.25">
      <c r="A347" s="116">
        <v>344</v>
      </c>
      <c r="B347" s="117" t="s">
        <v>1035</v>
      </c>
      <c r="C347" s="118" t="s">
        <v>1036</v>
      </c>
      <c r="D347" s="118" t="s">
        <v>453</v>
      </c>
      <c r="E347" s="118" t="s">
        <v>1037</v>
      </c>
      <c r="F347" s="119">
        <v>102.901</v>
      </c>
      <c r="G347" s="119">
        <v>103.91589999999999</v>
      </c>
      <c r="H347" s="119">
        <v>3.52</v>
      </c>
      <c r="I347" s="116">
        <v>1001</v>
      </c>
      <c r="J347" s="118" t="s">
        <v>269</v>
      </c>
    </row>
    <row r="348" spans="1:10" x14ac:dyDescent="0.25">
      <c r="A348" s="116">
        <v>345</v>
      </c>
      <c r="B348" s="117" t="s">
        <v>1038</v>
      </c>
      <c r="C348" s="118" t="s">
        <v>1039</v>
      </c>
      <c r="D348" s="118" t="s">
        <v>453</v>
      </c>
      <c r="E348" s="118" t="s">
        <v>1037</v>
      </c>
      <c r="F348" s="119">
        <v>100.182</v>
      </c>
      <c r="G348" s="119">
        <v>100.474</v>
      </c>
      <c r="H348" s="119">
        <v>3.57</v>
      </c>
      <c r="I348" s="116">
        <v>1411</v>
      </c>
      <c r="J348" s="118" t="s">
        <v>269</v>
      </c>
    </row>
    <row r="349" spans="1:10" x14ac:dyDescent="0.25">
      <c r="A349" s="116">
        <v>346</v>
      </c>
      <c r="B349" s="117" t="s">
        <v>1040</v>
      </c>
      <c r="C349" s="118" t="s">
        <v>1041</v>
      </c>
      <c r="D349" s="118" t="s">
        <v>453</v>
      </c>
      <c r="E349" s="118" t="s">
        <v>1037</v>
      </c>
      <c r="F349" s="119">
        <v>101.431</v>
      </c>
      <c r="G349" s="119">
        <v>102.5421</v>
      </c>
      <c r="H349" s="119">
        <v>3.7</v>
      </c>
      <c r="I349" s="116">
        <v>1880</v>
      </c>
      <c r="J349" s="118" t="s">
        <v>269</v>
      </c>
    </row>
    <row r="350" spans="1:10" x14ac:dyDescent="0.25">
      <c r="A350" s="116">
        <v>347</v>
      </c>
      <c r="B350" s="117" t="s">
        <v>1042</v>
      </c>
      <c r="C350" s="118" t="s">
        <v>1043</v>
      </c>
      <c r="D350" s="118" t="s">
        <v>453</v>
      </c>
      <c r="E350" s="118" t="s">
        <v>1037</v>
      </c>
      <c r="F350" s="119">
        <v>103.87</v>
      </c>
      <c r="G350" s="119">
        <v>103.995</v>
      </c>
      <c r="H350" s="119">
        <v>3.71</v>
      </c>
      <c r="I350" s="116">
        <v>1970</v>
      </c>
      <c r="J350" s="118" t="s">
        <v>269</v>
      </c>
    </row>
    <row r="351" spans="1:10" x14ac:dyDescent="0.25">
      <c r="A351" s="116">
        <v>348</v>
      </c>
      <c r="B351" s="117" t="s">
        <v>1044</v>
      </c>
      <c r="C351" s="118" t="s">
        <v>1045</v>
      </c>
      <c r="D351" s="118" t="s">
        <v>443</v>
      </c>
      <c r="E351" s="118" t="s">
        <v>1046</v>
      </c>
      <c r="F351" s="119">
        <v>1</v>
      </c>
      <c r="G351" s="119">
        <v>1</v>
      </c>
      <c r="H351" s="119">
        <v>0</v>
      </c>
      <c r="I351" s="116">
        <v>961</v>
      </c>
      <c r="J351" s="118" t="s">
        <v>238</v>
      </c>
    </row>
    <row r="352" spans="1:10" x14ac:dyDescent="0.25">
      <c r="A352" s="116">
        <v>349</v>
      </c>
      <c r="B352" s="117" t="s">
        <v>2039</v>
      </c>
      <c r="C352" s="118" t="s">
        <v>1836</v>
      </c>
      <c r="D352" s="118" t="s">
        <v>753</v>
      </c>
      <c r="E352" s="118" t="s">
        <v>1072</v>
      </c>
      <c r="F352" s="119">
        <v>8924.1272000000008</v>
      </c>
      <c r="G352" s="119">
        <v>8924.1272000000008</v>
      </c>
      <c r="H352" s="119">
        <v>0</v>
      </c>
      <c r="I352" s="116">
        <v>0</v>
      </c>
      <c r="J352" s="118" t="s">
        <v>238</v>
      </c>
    </row>
    <row r="353" spans="1:10" x14ac:dyDescent="0.25">
      <c r="A353" s="116">
        <v>350</v>
      </c>
      <c r="B353" s="117" t="s">
        <v>2177</v>
      </c>
      <c r="C353" s="118" t="s">
        <v>2178</v>
      </c>
      <c r="D353" s="118" t="s">
        <v>453</v>
      </c>
      <c r="E353" s="118" t="s">
        <v>2179</v>
      </c>
      <c r="F353" s="119">
        <v>100.08815047079747</v>
      </c>
      <c r="G353" s="119">
        <v>100.91315047079746</v>
      </c>
      <c r="H353" s="119">
        <v>12.64</v>
      </c>
      <c r="I353" s="116">
        <v>38</v>
      </c>
      <c r="J353" s="118" t="s">
        <v>269</v>
      </c>
    </row>
    <row r="354" spans="1:10" x14ac:dyDescent="0.25">
      <c r="A354" s="116">
        <v>351</v>
      </c>
      <c r="B354" s="117" t="s">
        <v>1047</v>
      </c>
      <c r="C354" s="118" t="s">
        <v>1048</v>
      </c>
      <c r="D354" s="118" t="s">
        <v>453</v>
      </c>
      <c r="E354" s="118" t="s">
        <v>1049</v>
      </c>
      <c r="F354" s="119">
        <v>76.027595057798194</v>
      </c>
      <c r="G354" s="119">
        <v>81.239295057798188</v>
      </c>
      <c r="H354" s="119">
        <v>19.45</v>
      </c>
      <c r="I354" s="116">
        <v>1821</v>
      </c>
      <c r="J354" s="118" t="s">
        <v>269</v>
      </c>
    </row>
    <row r="355" spans="1:10" x14ac:dyDescent="0.25">
      <c r="A355" s="116">
        <v>352</v>
      </c>
      <c r="B355" s="117" t="s">
        <v>1050</v>
      </c>
      <c r="C355" s="118" t="s">
        <v>1051</v>
      </c>
      <c r="D355" s="118" t="s">
        <v>453</v>
      </c>
      <c r="E355" s="118" t="s">
        <v>1049</v>
      </c>
      <c r="F355" s="119">
        <v>74.080958327509748</v>
      </c>
      <c r="G355" s="119">
        <v>75.071258327509753</v>
      </c>
      <c r="H355" s="119">
        <v>19.440000000000001</v>
      </c>
      <c r="I355" s="116">
        <v>1949</v>
      </c>
      <c r="J355" s="118" t="s">
        <v>269</v>
      </c>
    </row>
    <row r="356" spans="1:10" x14ac:dyDescent="0.25">
      <c r="A356" s="116">
        <v>353</v>
      </c>
      <c r="B356" s="117" t="s">
        <v>1052</v>
      </c>
      <c r="C356" s="118" t="s">
        <v>1053</v>
      </c>
      <c r="D356" s="118" t="s">
        <v>453</v>
      </c>
      <c r="E356" s="118" t="s">
        <v>1049</v>
      </c>
      <c r="F356" s="119">
        <v>85.005318276276938</v>
      </c>
      <c r="G356" s="119">
        <v>90.447518276276938</v>
      </c>
      <c r="H356" s="119">
        <v>19.079999999999998</v>
      </c>
      <c r="I356" s="116">
        <v>1102</v>
      </c>
      <c r="J356" s="118" t="s">
        <v>269</v>
      </c>
    </row>
    <row r="357" spans="1:10" x14ac:dyDescent="0.25">
      <c r="A357" s="116">
        <v>354</v>
      </c>
      <c r="B357" s="117" t="s">
        <v>1054</v>
      </c>
      <c r="C357" s="118" t="s">
        <v>1055</v>
      </c>
      <c r="D357" s="118" t="s">
        <v>453</v>
      </c>
      <c r="E357" s="118" t="s">
        <v>1049</v>
      </c>
      <c r="F357" s="119">
        <v>66.977332415857632</v>
      </c>
      <c r="G357" s="119">
        <v>76.620632415857628</v>
      </c>
      <c r="H357" s="119">
        <v>20.48</v>
      </c>
      <c r="I357" s="116">
        <v>4776</v>
      </c>
      <c r="J357" s="118" t="s">
        <v>269</v>
      </c>
    </row>
    <row r="358" spans="1:10" x14ac:dyDescent="0.25">
      <c r="A358" s="116">
        <v>355</v>
      </c>
      <c r="B358" s="117" t="s">
        <v>1056</v>
      </c>
      <c r="C358" s="118" t="s">
        <v>1057</v>
      </c>
      <c r="D358" s="118" t="s">
        <v>443</v>
      </c>
      <c r="E358" s="118" t="s">
        <v>1049</v>
      </c>
      <c r="F358" s="119">
        <v>1037.19</v>
      </c>
      <c r="G358" s="119">
        <v>1037.19</v>
      </c>
      <c r="H358" s="119">
        <v>0</v>
      </c>
      <c r="I358" s="116">
        <v>2920</v>
      </c>
      <c r="J358" s="118" t="s">
        <v>238</v>
      </c>
    </row>
    <row r="359" spans="1:10" x14ac:dyDescent="0.25">
      <c r="A359" s="116">
        <v>356</v>
      </c>
      <c r="B359" s="117" t="s">
        <v>1058</v>
      </c>
      <c r="C359" s="118" t="s">
        <v>1059</v>
      </c>
      <c r="D359" s="118" t="s">
        <v>753</v>
      </c>
      <c r="E359" s="118" t="s">
        <v>1060</v>
      </c>
      <c r="F359" s="119">
        <v>4335.6474898829701</v>
      </c>
      <c r="G359" s="119">
        <v>4335.6474898829701</v>
      </c>
      <c r="H359" s="119">
        <v>0</v>
      </c>
      <c r="I359" s="116">
        <v>0</v>
      </c>
      <c r="J359" s="118" t="s">
        <v>238</v>
      </c>
    </row>
    <row r="360" spans="1:10" x14ac:dyDescent="0.25">
      <c r="A360" s="116">
        <v>357</v>
      </c>
      <c r="B360" s="117" t="s">
        <v>1061</v>
      </c>
      <c r="C360" s="118" t="s">
        <v>1062</v>
      </c>
      <c r="D360" s="118" t="s">
        <v>443</v>
      </c>
      <c r="E360" s="118" t="s">
        <v>1063</v>
      </c>
      <c r="F360" s="119">
        <v>75582.677239111115</v>
      </c>
      <c r="G360" s="119">
        <v>75582.677239111115</v>
      </c>
      <c r="H360" s="119">
        <v>0</v>
      </c>
      <c r="I360" s="116">
        <v>88</v>
      </c>
      <c r="J360" s="118" t="s">
        <v>238</v>
      </c>
    </row>
    <row r="361" spans="1:10" x14ac:dyDescent="0.25">
      <c r="A361" s="116">
        <v>358</v>
      </c>
      <c r="B361" s="117" t="s">
        <v>1064</v>
      </c>
      <c r="C361" s="118" t="s">
        <v>1065</v>
      </c>
      <c r="D361" s="118" t="s">
        <v>443</v>
      </c>
      <c r="E361" s="118" t="s">
        <v>1063</v>
      </c>
      <c r="F361" s="119">
        <v>1</v>
      </c>
      <c r="G361" s="119">
        <v>1</v>
      </c>
      <c r="H361" s="119">
        <v>0</v>
      </c>
      <c r="I361" s="116">
        <v>235</v>
      </c>
      <c r="J361" s="118" t="s">
        <v>238</v>
      </c>
    </row>
    <row r="362" spans="1:10" x14ac:dyDescent="0.25">
      <c r="A362" s="116">
        <v>359</v>
      </c>
      <c r="B362" s="117" t="s">
        <v>1066</v>
      </c>
      <c r="C362" s="118" t="s">
        <v>1067</v>
      </c>
      <c r="D362" s="118" t="s">
        <v>443</v>
      </c>
      <c r="E362" s="118" t="s">
        <v>1063</v>
      </c>
      <c r="F362" s="119">
        <v>1</v>
      </c>
      <c r="G362" s="119">
        <v>1</v>
      </c>
      <c r="H362" s="119">
        <v>0</v>
      </c>
      <c r="I362" s="116">
        <v>1057</v>
      </c>
      <c r="J362" s="118" t="s">
        <v>238</v>
      </c>
    </row>
    <row r="363" spans="1:10" x14ac:dyDescent="0.25">
      <c r="A363" s="116">
        <v>360</v>
      </c>
      <c r="B363" s="117" t="s">
        <v>1068</v>
      </c>
      <c r="C363" s="118" t="s">
        <v>1069</v>
      </c>
      <c r="D363" s="118" t="s">
        <v>453</v>
      </c>
      <c r="E363" s="118" t="s">
        <v>1063</v>
      </c>
      <c r="F363" s="119">
        <v>102.512</v>
      </c>
      <c r="G363" s="119">
        <v>103.72450000000001</v>
      </c>
      <c r="H363" s="119">
        <v>3.53</v>
      </c>
      <c r="I363" s="116">
        <v>983</v>
      </c>
      <c r="J363" s="118" t="s">
        <v>269</v>
      </c>
    </row>
    <row r="364" spans="1:10" x14ac:dyDescent="0.25">
      <c r="A364" s="116">
        <v>361</v>
      </c>
      <c r="B364" s="117" t="s">
        <v>66</v>
      </c>
      <c r="C364" s="118" t="s">
        <v>67</v>
      </c>
      <c r="D364" s="118" t="s">
        <v>443</v>
      </c>
      <c r="E364" s="118" t="s">
        <v>68</v>
      </c>
      <c r="F364" s="119">
        <v>9490.25</v>
      </c>
      <c r="G364" s="119">
        <v>9490.25</v>
      </c>
      <c r="H364" s="119">
        <v>0</v>
      </c>
      <c r="I364" s="116">
        <v>0</v>
      </c>
      <c r="J364" s="118" t="s">
        <v>238</v>
      </c>
    </row>
    <row r="365" spans="1:10" x14ac:dyDescent="0.25">
      <c r="A365" s="116">
        <v>362</v>
      </c>
      <c r="B365" s="117" t="s">
        <v>1070</v>
      </c>
      <c r="C365" s="118" t="s">
        <v>1071</v>
      </c>
      <c r="D365" s="118" t="s">
        <v>753</v>
      </c>
      <c r="E365" s="118" t="s">
        <v>1072</v>
      </c>
      <c r="F365" s="119">
        <v>27960.831200000004</v>
      </c>
      <c r="G365" s="119">
        <v>27960.831200000004</v>
      </c>
      <c r="H365" s="119">
        <v>0</v>
      </c>
      <c r="I365" s="116">
        <v>0</v>
      </c>
      <c r="J365" s="118" t="s">
        <v>238</v>
      </c>
    </row>
    <row r="366" spans="1:10" x14ac:dyDescent="0.25">
      <c r="A366" s="116">
        <v>363</v>
      </c>
      <c r="B366" s="117" t="s">
        <v>1073</v>
      </c>
      <c r="C366" s="118" t="s">
        <v>1074</v>
      </c>
      <c r="D366" s="118" t="s">
        <v>453</v>
      </c>
      <c r="E366" s="118" t="s">
        <v>1075</v>
      </c>
      <c r="F366" s="119">
        <v>92.331698788645937</v>
      </c>
      <c r="G366" s="119">
        <v>92.477498788645931</v>
      </c>
      <c r="H366" s="119">
        <v>19.559999999999999</v>
      </c>
      <c r="I366" s="116">
        <v>2517</v>
      </c>
      <c r="J366" s="118" t="s">
        <v>269</v>
      </c>
    </row>
    <row r="367" spans="1:10" x14ac:dyDescent="0.25">
      <c r="A367" s="116">
        <v>364</v>
      </c>
      <c r="B367" s="117" t="s">
        <v>1076</v>
      </c>
      <c r="C367" s="118" t="s">
        <v>1077</v>
      </c>
      <c r="D367" s="118" t="s">
        <v>453</v>
      </c>
      <c r="E367" s="118" t="s">
        <v>1075</v>
      </c>
      <c r="F367" s="119">
        <v>92.140733343004271</v>
      </c>
      <c r="G367" s="119">
        <v>98.217133343004264</v>
      </c>
      <c r="H367" s="119">
        <v>19.559999999999999</v>
      </c>
      <c r="I367" s="116">
        <v>2575</v>
      </c>
      <c r="J367" s="118" t="s">
        <v>269</v>
      </c>
    </row>
    <row r="368" spans="1:10" x14ac:dyDescent="0.25">
      <c r="A368" s="116">
        <v>365</v>
      </c>
      <c r="B368" s="117" t="s">
        <v>1078</v>
      </c>
      <c r="C368" s="118" t="s">
        <v>1079</v>
      </c>
      <c r="D368" s="118" t="s">
        <v>453</v>
      </c>
      <c r="E368" s="118" t="s">
        <v>1075</v>
      </c>
      <c r="F368" s="119">
        <v>38.464653052424765</v>
      </c>
      <c r="G368" s="119">
        <v>39.697953052424765</v>
      </c>
      <c r="H368" s="119">
        <v>20.58</v>
      </c>
      <c r="I368" s="116">
        <v>2769</v>
      </c>
      <c r="J368" s="118" t="s">
        <v>269</v>
      </c>
    </row>
    <row r="369" spans="1:10" x14ac:dyDescent="0.25">
      <c r="A369" s="116">
        <v>366</v>
      </c>
      <c r="B369" s="117" t="s">
        <v>1080</v>
      </c>
      <c r="C369" s="118" t="s">
        <v>1081</v>
      </c>
      <c r="D369" s="118" t="s">
        <v>453</v>
      </c>
      <c r="E369" s="118" t="s">
        <v>1075</v>
      </c>
      <c r="F369" s="119">
        <v>37.931958615294029</v>
      </c>
      <c r="G369" s="119">
        <v>38.53195861529403</v>
      </c>
      <c r="H369" s="119">
        <v>20.58</v>
      </c>
      <c r="I369" s="116">
        <v>2826</v>
      </c>
      <c r="J369" s="118" t="s">
        <v>269</v>
      </c>
    </row>
    <row r="370" spans="1:10" x14ac:dyDescent="0.25">
      <c r="A370" s="116">
        <v>367</v>
      </c>
      <c r="B370" s="117" t="s">
        <v>1082</v>
      </c>
      <c r="C370" s="118" t="s">
        <v>1083</v>
      </c>
      <c r="D370" s="118" t="s">
        <v>453</v>
      </c>
      <c r="E370" s="118" t="s">
        <v>1075</v>
      </c>
      <c r="F370" s="119">
        <v>94.525221064450122</v>
      </c>
      <c r="G370" s="119">
        <v>96.370121064450117</v>
      </c>
      <c r="H370" s="119">
        <v>19.53</v>
      </c>
      <c r="I370" s="116">
        <v>2123</v>
      </c>
      <c r="J370" s="118" t="s">
        <v>269</v>
      </c>
    </row>
    <row r="371" spans="1:10" x14ac:dyDescent="0.25">
      <c r="A371" s="116">
        <v>368</v>
      </c>
      <c r="B371" s="117" t="s">
        <v>1084</v>
      </c>
      <c r="C371" s="118" t="s">
        <v>1085</v>
      </c>
      <c r="D371" s="118" t="s">
        <v>453</v>
      </c>
      <c r="E371" s="118" t="s">
        <v>1075</v>
      </c>
      <c r="F371" s="119">
        <v>40.784397617436014</v>
      </c>
      <c r="G371" s="119">
        <v>44.428797617436018</v>
      </c>
      <c r="H371" s="119">
        <v>20.58</v>
      </c>
      <c r="I371" s="116">
        <v>2552</v>
      </c>
      <c r="J371" s="118" t="s">
        <v>269</v>
      </c>
    </row>
    <row r="372" spans="1:10" x14ac:dyDescent="0.25">
      <c r="A372" s="116">
        <v>369</v>
      </c>
      <c r="B372" s="117" t="s">
        <v>1086</v>
      </c>
      <c r="C372" s="118" t="s">
        <v>1087</v>
      </c>
      <c r="D372" s="118" t="s">
        <v>453</v>
      </c>
      <c r="E372" s="118" t="s">
        <v>1075</v>
      </c>
      <c r="F372" s="119">
        <v>93.051325408560132</v>
      </c>
      <c r="G372" s="119">
        <v>93.842125408560136</v>
      </c>
      <c r="H372" s="119">
        <v>19.46</v>
      </c>
      <c r="I372" s="116">
        <v>334</v>
      </c>
      <c r="J372" s="118" t="s">
        <v>269</v>
      </c>
    </row>
    <row r="373" spans="1:10" x14ac:dyDescent="0.25">
      <c r="A373" s="116">
        <v>370</v>
      </c>
      <c r="B373" s="117" t="s">
        <v>1088</v>
      </c>
      <c r="C373" s="118" t="s">
        <v>1089</v>
      </c>
      <c r="D373" s="118" t="s">
        <v>453</v>
      </c>
      <c r="E373" s="118" t="s">
        <v>1075</v>
      </c>
      <c r="F373" s="119">
        <v>72.529616121573</v>
      </c>
      <c r="G373" s="119">
        <v>76.417516121572987</v>
      </c>
      <c r="H373" s="119">
        <v>19.54</v>
      </c>
      <c r="I373" s="116">
        <v>1851</v>
      </c>
      <c r="J373" s="118" t="s">
        <v>269</v>
      </c>
    </row>
    <row r="374" spans="1:10" x14ac:dyDescent="0.25">
      <c r="A374" s="116">
        <v>371</v>
      </c>
      <c r="B374" s="117" t="s">
        <v>1090</v>
      </c>
      <c r="C374" s="118" t="s">
        <v>1091</v>
      </c>
      <c r="D374" s="118" t="s">
        <v>443</v>
      </c>
      <c r="E374" s="118" t="s">
        <v>1075</v>
      </c>
      <c r="F374" s="119">
        <v>10000</v>
      </c>
      <c r="G374" s="119">
        <v>10000</v>
      </c>
      <c r="H374" s="119">
        <v>0</v>
      </c>
      <c r="I374" s="116">
        <v>0</v>
      </c>
      <c r="J374" s="118" t="s">
        <v>238</v>
      </c>
    </row>
    <row r="375" spans="1:10" x14ac:dyDescent="0.25">
      <c r="A375" s="116">
        <v>372</v>
      </c>
      <c r="B375" s="117" t="s">
        <v>1092</v>
      </c>
      <c r="C375" s="118" t="s">
        <v>1093</v>
      </c>
      <c r="D375" s="118" t="s">
        <v>443</v>
      </c>
      <c r="E375" s="118" t="s">
        <v>1094</v>
      </c>
      <c r="F375" s="119">
        <v>20528.988000000005</v>
      </c>
      <c r="G375" s="119">
        <v>20528.988000000005</v>
      </c>
      <c r="H375" s="119">
        <v>0</v>
      </c>
      <c r="I375" s="116">
        <v>0</v>
      </c>
      <c r="J375" s="118" t="s">
        <v>238</v>
      </c>
    </row>
    <row r="376" spans="1:10" x14ac:dyDescent="0.25">
      <c r="A376" s="116">
        <v>373</v>
      </c>
      <c r="B376" s="117" t="s">
        <v>69</v>
      </c>
      <c r="C376" s="118" t="s">
        <v>70</v>
      </c>
      <c r="D376" s="118" t="s">
        <v>453</v>
      </c>
      <c r="E376" s="118" t="s">
        <v>71</v>
      </c>
      <c r="F376" s="119">
        <v>95.5</v>
      </c>
      <c r="G376" s="119">
        <v>102.35899999999999</v>
      </c>
      <c r="H376" s="119">
        <v>25.29</v>
      </c>
      <c r="I376" s="116">
        <v>421</v>
      </c>
      <c r="J376" s="118" t="s">
        <v>269</v>
      </c>
    </row>
    <row r="377" spans="1:10" x14ac:dyDescent="0.25">
      <c r="A377" s="116">
        <v>374</v>
      </c>
      <c r="B377" s="117" t="s">
        <v>1095</v>
      </c>
      <c r="C377" s="118" t="s">
        <v>1096</v>
      </c>
      <c r="D377" s="118" t="s">
        <v>443</v>
      </c>
      <c r="E377" s="118" t="s">
        <v>1097</v>
      </c>
      <c r="F377" s="119">
        <v>103360.16080000001</v>
      </c>
      <c r="G377" s="119">
        <v>103360.16080000001</v>
      </c>
      <c r="H377" s="119">
        <v>0</v>
      </c>
      <c r="I377" s="116">
        <v>0</v>
      </c>
      <c r="J377" s="118" t="s">
        <v>238</v>
      </c>
    </row>
    <row r="378" spans="1:10" x14ac:dyDescent="0.25">
      <c r="A378" s="116">
        <v>375</v>
      </c>
      <c r="B378" s="117" t="s">
        <v>1098</v>
      </c>
      <c r="C378" s="118" t="s">
        <v>1099</v>
      </c>
      <c r="D378" s="118" t="s">
        <v>443</v>
      </c>
      <c r="E378" s="118" t="s">
        <v>1100</v>
      </c>
      <c r="F378" s="119">
        <v>160206.77040000004</v>
      </c>
      <c r="G378" s="119">
        <v>160206.77040000004</v>
      </c>
      <c r="H378" s="119">
        <v>0</v>
      </c>
      <c r="I378" s="116">
        <v>0</v>
      </c>
      <c r="J378" s="118" t="s">
        <v>238</v>
      </c>
    </row>
    <row r="379" spans="1:10" x14ac:dyDescent="0.25">
      <c r="A379" s="116">
        <v>376</v>
      </c>
      <c r="B379" s="117" t="s">
        <v>1101</v>
      </c>
      <c r="C379" s="118" t="s">
        <v>1102</v>
      </c>
      <c r="D379" s="118" t="s">
        <v>443</v>
      </c>
      <c r="E379" s="118" t="s">
        <v>1103</v>
      </c>
      <c r="F379" s="119">
        <v>0.01</v>
      </c>
      <c r="G379" s="119">
        <v>0.01</v>
      </c>
      <c r="H379" s="119">
        <v>0</v>
      </c>
      <c r="I379" s="116">
        <v>0</v>
      </c>
      <c r="J379" s="118" t="s">
        <v>238</v>
      </c>
    </row>
    <row r="380" spans="1:10" x14ac:dyDescent="0.25">
      <c r="A380" s="116">
        <v>377</v>
      </c>
      <c r="B380" s="117" t="s">
        <v>1104</v>
      </c>
      <c r="C380" s="118" t="s">
        <v>1105</v>
      </c>
      <c r="D380" s="118" t="s">
        <v>453</v>
      </c>
      <c r="E380" s="118" t="s">
        <v>349</v>
      </c>
      <c r="F380" s="119">
        <v>95.332140467144825</v>
      </c>
      <c r="G380" s="119">
        <v>97.985240467144834</v>
      </c>
      <c r="H380" s="119">
        <v>17.16</v>
      </c>
      <c r="I380" s="116">
        <v>267</v>
      </c>
      <c r="J380" s="118" t="s">
        <v>269</v>
      </c>
    </row>
    <row r="381" spans="1:10" x14ac:dyDescent="0.25">
      <c r="A381" s="116">
        <v>378</v>
      </c>
      <c r="B381" s="117" t="s">
        <v>347</v>
      </c>
      <c r="C381" s="118" t="s">
        <v>348</v>
      </c>
      <c r="D381" s="118" t="s">
        <v>453</v>
      </c>
      <c r="E381" s="118" t="s">
        <v>349</v>
      </c>
      <c r="F381" s="119">
        <v>91.960909199246018</v>
      </c>
      <c r="G381" s="119">
        <v>95.365109199246007</v>
      </c>
      <c r="H381" s="119">
        <v>17.21</v>
      </c>
      <c r="I381" s="116">
        <v>1354</v>
      </c>
      <c r="J381" s="118" t="s">
        <v>269</v>
      </c>
    </row>
    <row r="382" spans="1:10" x14ac:dyDescent="0.25">
      <c r="A382" s="116">
        <v>379</v>
      </c>
      <c r="B382" s="117" t="s">
        <v>350</v>
      </c>
      <c r="C382" s="118" t="s">
        <v>351</v>
      </c>
      <c r="D382" s="118" t="s">
        <v>453</v>
      </c>
      <c r="E382" s="118" t="s">
        <v>349</v>
      </c>
      <c r="F382" s="119">
        <v>91.960909199246018</v>
      </c>
      <c r="G382" s="119">
        <v>95.365109199246007</v>
      </c>
      <c r="H382" s="119">
        <v>17.21</v>
      </c>
      <c r="I382" s="116">
        <v>1354</v>
      </c>
      <c r="J382" s="118" t="s">
        <v>269</v>
      </c>
    </row>
    <row r="383" spans="1:10" x14ac:dyDescent="0.25">
      <c r="A383" s="116">
        <v>380</v>
      </c>
      <c r="B383" s="117" t="s">
        <v>1934</v>
      </c>
      <c r="C383" s="118" t="s">
        <v>1935</v>
      </c>
      <c r="D383" s="118" t="s">
        <v>453</v>
      </c>
      <c r="E383" s="118" t="s">
        <v>349</v>
      </c>
      <c r="F383" s="119">
        <v>94.211039323023741</v>
      </c>
      <c r="G383" s="119">
        <v>99.590939323023747</v>
      </c>
      <c r="H383" s="119">
        <v>17.239999999999998</v>
      </c>
      <c r="I383" s="116">
        <v>1493</v>
      </c>
      <c r="J383" s="118" t="s">
        <v>269</v>
      </c>
    </row>
    <row r="384" spans="1:10" x14ac:dyDescent="0.25">
      <c r="A384" s="116">
        <v>381</v>
      </c>
      <c r="B384" s="117" t="s">
        <v>2130</v>
      </c>
      <c r="C384" s="118" t="s">
        <v>2131</v>
      </c>
      <c r="D384" s="118" t="s">
        <v>453</v>
      </c>
      <c r="E384" s="118" t="s">
        <v>349</v>
      </c>
      <c r="F384" s="119">
        <v>97.736660316682773</v>
      </c>
      <c r="G384" s="119">
        <v>105.80336031668277</v>
      </c>
      <c r="H384" s="119">
        <v>17.239999999999998</v>
      </c>
      <c r="I384" s="116">
        <v>1624</v>
      </c>
      <c r="J384" s="118" t="s">
        <v>269</v>
      </c>
    </row>
    <row r="385" spans="1:10" x14ac:dyDescent="0.25">
      <c r="A385" s="116">
        <v>382</v>
      </c>
      <c r="B385" s="117" t="s">
        <v>2200</v>
      </c>
      <c r="C385" s="118" t="s">
        <v>2201</v>
      </c>
      <c r="D385" s="118" t="s">
        <v>453</v>
      </c>
      <c r="E385" s="118" t="s">
        <v>349</v>
      </c>
      <c r="F385" s="119">
        <v>97.669933789962528</v>
      </c>
      <c r="G385" s="119">
        <v>104.54493378996253</v>
      </c>
      <c r="H385" s="119">
        <v>17.239999999999998</v>
      </c>
      <c r="I385" s="116">
        <v>1650</v>
      </c>
      <c r="J385" s="118" t="s">
        <v>269</v>
      </c>
    </row>
    <row r="386" spans="1:10" x14ac:dyDescent="0.25">
      <c r="A386" s="116">
        <v>383</v>
      </c>
      <c r="B386" s="117" t="s">
        <v>2408</v>
      </c>
      <c r="C386" s="118" t="s">
        <v>2409</v>
      </c>
      <c r="D386" s="118" t="s">
        <v>453</v>
      </c>
      <c r="E386" s="118" t="s">
        <v>349</v>
      </c>
      <c r="F386" s="119">
        <v>102.28288123990383</v>
      </c>
      <c r="G386" s="119">
        <v>105.63288123990384</v>
      </c>
      <c r="H386" s="119">
        <v>17.260000000000002</v>
      </c>
      <c r="I386" s="116">
        <v>1733</v>
      </c>
      <c r="J386" s="118" t="s">
        <v>269</v>
      </c>
    </row>
    <row r="387" spans="1:10" x14ac:dyDescent="0.25">
      <c r="A387" s="116">
        <v>384</v>
      </c>
      <c r="B387" s="117" t="s">
        <v>2410</v>
      </c>
      <c r="C387" s="118" t="s">
        <v>2411</v>
      </c>
      <c r="D387" s="118" t="s">
        <v>453</v>
      </c>
      <c r="E387" s="118" t="s">
        <v>349</v>
      </c>
      <c r="F387" s="119">
        <v>102.28288123990383</v>
      </c>
      <c r="G387" s="119">
        <v>105.63288123990384</v>
      </c>
      <c r="H387" s="119">
        <v>17.260000000000002</v>
      </c>
      <c r="I387" s="116">
        <v>1733</v>
      </c>
      <c r="J387" s="118" t="s">
        <v>269</v>
      </c>
    </row>
    <row r="388" spans="1:10" x14ac:dyDescent="0.25">
      <c r="A388" s="116">
        <v>385</v>
      </c>
      <c r="B388" s="117" t="s">
        <v>1106</v>
      </c>
      <c r="C388" s="118" t="s">
        <v>1107</v>
      </c>
      <c r="D388" s="118" t="s">
        <v>453</v>
      </c>
      <c r="E388" s="118" t="s">
        <v>1108</v>
      </c>
      <c r="F388" s="119">
        <v>100</v>
      </c>
      <c r="G388" s="119">
        <v>100.0117</v>
      </c>
      <c r="H388" s="119">
        <v>0.35</v>
      </c>
      <c r="I388" s="116">
        <v>288</v>
      </c>
      <c r="J388" s="118" t="s">
        <v>269</v>
      </c>
    </row>
    <row r="389" spans="1:10" x14ac:dyDescent="0.25">
      <c r="A389" s="116">
        <v>386</v>
      </c>
      <c r="B389" s="117" t="s">
        <v>1109</v>
      </c>
      <c r="C389" s="118" t="s">
        <v>1110</v>
      </c>
      <c r="D389" s="118" t="s">
        <v>453</v>
      </c>
      <c r="E389" s="118" t="s">
        <v>1108</v>
      </c>
      <c r="F389" s="119">
        <v>100</v>
      </c>
      <c r="G389" s="119">
        <v>100.1181</v>
      </c>
      <c r="H389" s="119">
        <v>4.24</v>
      </c>
      <c r="I389" s="116">
        <v>290</v>
      </c>
      <c r="J389" s="118" t="s">
        <v>269</v>
      </c>
    </row>
    <row r="390" spans="1:10" x14ac:dyDescent="0.25">
      <c r="A390" s="116">
        <v>387</v>
      </c>
      <c r="B390" s="117" t="s">
        <v>1111</v>
      </c>
      <c r="C390" s="118" t="s">
        <v>1112</v>
      </c>
      <c r="D390" s="118" t="s">
        <v>453</v>
      </c>
      <c r="E390" s="118" t="s">
        <v>1108</v>
      </c>
      <c r="F390" s="119">
        <v>100</v>
      </c>
      <c r="G390" s="119">
        <v>100.1682</v>
      </c>
      <c r="H390" s="119">
        <v>0.35</v>
      </c>
      <c r="I390" s="116">
        <v>7</v>
      </c>
      <c r="J390" s="118" t="s">
        <v>269</v>
      </c>
    </row>
    <row r="391" spans="1:10" x14ac:dyDescent="0.25">
      <c r="A391" s="116">
        <v>388</v>
      </c>
      <c r="B391" s="117" t="s">
        <v>2215</v>
      </c>
      <c r="C391" s="118" t="s">
        <v>2216</v>
      </c>
      <c r="D391" s="118" t="s">
        <v>453</v>
      </c>
      <c r="E391" s="118" t="s">
        <v>1108</v>
      </c>
      <c r="F391" s="119">
        <v>100</v>
      </c>
      <c r="G391" s="119">
        <v>100.1069</v>
      </c>
      <c r="H391" s="119">
        <v>0.35</v>
      </c>
      <c r="I391" s="116">
        <v>610</v>
      </c>
      <c r="J391" s="118" t="s">
        <v>269</v>
      </c>
    </row>
    <row r="392" spans="1:10" x14ac:dyDescent="0.25">
      <c r="A392" s="116">
        <v>389</v>
      </c>
      <c r="B392" s="117" t="s">
        <v>1113</v>
      </c>
      <c r="C392" s="118" t="s">
        <v>1114</v>
      </c>
      <c r="D392" s="118" t="s">
        <v>453</v>
      </c>
      <c r="E392" s="118" t="s">
        <v>1108</v>
      </c>
      <c r="F392" s="119">
        <v>100</v>
      </c>
      <c r="G392" s="119">
        <v>100.00530000000001</v>
      </c>
      <c r="H392" s="119">
        <v>0.02</v>
      </c>
      <c r="I392" s="116">
        <v>3040</v>
      </c>
      <c r="J392" s="118" t="s">
        <v>269</v>
      </c>
    </row>
    <row r="393" spans="1:10" x14ac:dyDescent="0.25">
      <c r="A393" s="116">
        <v>390</v>
      </c>
      <c r="B393" s="117" t="s">
        <v>2308</v>
      </c>
      <c r="C393" s="118" t="s">
        <v>2309</v>
      </c>
      <c r="D393" s="118" t="s">
        <v>453</v>
      </c>
      <c r="E393" s="118" t="s">
        <v>1108</v>
      </c>
      <c r="F393" s="119">
        <v>90.081836475033526</v>
      </c>
      <c r="G393" s="119">
        <v>94.126236475033522</v>
      </c>
      <c r="H393" s="119">
        <v>20.56</v>
      </c>
      <c r="I393" s="116">
        <v>3520</v>
      </c>
      <c r="J393" s="118" t="s">
        <v>269</v>
      </c>
    </row>
    <row r="394" spans="1:10" x14ac:dyDescent="0.25">
      <c r="A394" s="116">
        <v>391</v>
      </c>
      <c r="B394" s="117" t="s">
        <v>2248</v>
      </c>
      <c r="C394" s="118" t="s">
        <v>2249</v>
      </c>
      <c r="D394" s="118" t="s">
        <v>453</v>
      </c>
      <c r="E394" s="118" t="s">
        <v>1108</v>
      </c>
      <c r="F394" s="119">
        <v>90.103829909734245</v>
      </c>
      <c r="G394" s="119">
        <v>94.754929909734244</v>
      </c>
      <c r="H394" s="119">
        <v>20.55</v>
      </c>
      <c r="I394" s="116">
        <v>3508</v>
      </c>
      <c r="J394" s="118" t="s">
        <v>269</v>
      </c>
    </row>
    <row r="395" spans="1:10" x14ac:dyDescent="0.25">
      <c r="A395" s="116">
        <v>392</v>
      </c>
      <c r="B395" s="117" t="s">
        <v>2449</v>
      </c>
      <c r="C395" s="118" t="s">
        <v>2450</v>
      </c>
      <c r="D395" s="118" t="s">
        <v>453</v>
      </c>
      <c r="E395" s="118" t="s">
        <v>1108</v>
      </c>
      <c r="F395" s="119">
        <v>93.07888885727705</v>
      </c>
      <c r="G395" s="119">
        <v>94.338888857277055</v>
      </c>
      <c r="H395" s="119">
        <v>20.56</v>
      </c>
      <c r="I395" s="116">
        <v>3576</v>
      </c>
      <c r="J395" s="118" t="s">
        <v>269</v>
      </c>
    </row>
    <row r="396" spans="1:10" x14ac:dyDescent="0.25">
      <c r="A396" s="116">
        <v>393</v>
      </c>
      <c r="B396" s="117" t="s">
        <v>2451</v>
      </c>
      <c r="C396" s="118" t="s">
        <v>2452</v>
      </c>
      <c r="D396" s="118" t="s">
        <v>453</v>
      </c>
      <c r="E396" s="118" t="s">
        <v>1108</v>
      </c>
      <c r="F396" s="119">
        <v>93.07888885727705</v>
      </c>
      <c r="G396" s="119">
        <v>94.338888857277055</v>
      </c>
      <c r="H396" s="119">
        <v>20.56</v>
      </c>
      <c r="I396" s="116">
        <v>3576</v>
      </c>
      <c r="J396" s="118" t="s">
        <v>269</v>
      </c>
    </row>
    <row r="397" spans="1:10" x14ac:dyDescent="0.25">
      <c r="A397" s="116">
        <v>394</v>
      </c>
      <c r="B397" s="117" t="s">
        <v>1115</v>
      </c>
      <c r="C397" s="118" t="s">
        <v>1116</v>
      </c>
      <c r="D397" s="118" t="s">
        <v>453</v>
      </c>
      <c r="E397" s="118" t="s">
        <v>1117</v>
      </c>
      <c r="F397" s="119">
        <v>100</v>
      </c>
      <c r="G397" s="119">
        <v>106.9619</v>
      </c>
      <c r="H397" s="119">
        <v>7.1</v>
      </c>
      <c r="I397" s="116">
        <v>2167</v>
      </c>
      <c r="J397" s="118" t="s">
        <v>269</v>
      </c>
    </row>
    <row r="398" spans="1:10" x14ac:dyDescent="0.25">
      <c r="A398" s="116">
        <v>395</v>
      </c>
      <c r="B398" s="117" t="s">
        <v>73</v>
      </c>
      <c r="C398" s="118" t="s">
        <v>74</v>
      </c>
      <c r="D398" s="118" t="s">
        <v>453</v>
      </c>
      <c r="E398" s="118" t="s">
        <v>72</v>
      </c>
      <c r="F398" s="119">
        <v>87.674453133544787</v>
      </c>
      <c r="G398" s="119">
        <v>89.657753133544787</v>
      </c>
      <c r="H398" s="119">
        <v>17.579999999999998</v>
      </c>
      <c r="I398" s="116">
        <v>1020</v>
      </c>
      <c r="J398" s="118" t="s">
        <v>269</v>
      </c>
    </row>
    <row r="399" spans="1:10" x14ac:dyDescent="0.25">
      <c r="A399" s="116">
        <v>396</v>
      </c>
      <c r="B399" s="117" t="s">
        <v>75</v>
      </c>
      <c r="C399" s="118" t="s">
        <v>76</v>
      </c>
      <c r="D399" s="118" t="s">
        <v>453</v>
      </c>
      <c r="E399" s="118" t="s">
        <v>72</v>
      </c>
      <c r="F399" s="119">
        <v>103.46600267964563</v>
      </c>
      <c r="G399" s="119">
        <v>107.30410267964562</v>
      </c>
      <c r="H399" s="119">
        <v>15.57</v>
      </c>
      <c r="I399" s="116">
        <v>1358</v>
      </c>
      <c r="J399" s="118" t="s">
        <v>269</v>
      </c>
    </row>
    <row r="400" spans="1:10" x14ac:dyDescent="0.25">
      <c r="A400" s="116">
        <v>397</v>
      </c>
      <c r="B400" s="117" t="s">
        <v>77</v>
      </c>
      <c r="C400" s="118" t="s">
        <v>78</v>
      </c>
      <c r="D400" s="118" t="s">
        <v>453</v>
      </c>
      <c r="E400" s="118" t="s">
        <v>72</v>
      </c>
      <c r="F400" s="119">
        <v>111.93399868752051</v>
      </c>
      <c r="G400" s="119">
        <v>117.1742986875205</v>
      </c>
      <c r="H400" s="119">
        <v>15.56</v>
      </c>
      <c r="I400" s="116">
        <v>1702</v>
      </c>
      <c r="J400" s="118" t="s">
        <v>269</v>
      </c>
    </row>
    <row r="401" spans="1:10" x14ac:dyDescent="0.25">
      <c r="A401" s="116">
        <v>398</v>
      </c>
      <c r="B401" s="117" t="s">
        <v>2497</v>
      </c>
      <c r="C401" s="118" t="s">
        <v>2498</v>
      </c>
      <c r="D401" s="118" t="s">
        <v>453</v>
      </c>
      <c r="E401" s="118" t="s">
        <v>72</v>
      </c>
      <c r="F401" s="119">
        <v>98.366659479388048</v>
      </c>
      <c r="G401" s="119">
        <v>99.052759479388044</v>
      </c>
      <c r="H401" s="119">
        <v>19.52</v>
      </c>
      <c r="I401" s="116">
        <v>1787</v>
      </c>
      <c r="J401" s="118" t="s">
        <v>269</v>
      </c>
    </row>
    <row r="402" spans="1:10" x14ac:dyDescent="0.25">
      <c r="A402" s="116">
        <v>399</v>
      </c>
      <c r="B402" s="117" t="s">
        <v>2499</v>
      </c>
      <c r="C402" s="118" t="s">
        <v>2500</v>
      </c>
      <c r="D402" s="118" t="s">
        <v>453</v>
      </c>
      <c r="E402" s="118" t="s">
        <v>72</v>
      </c>
      <c r="F402" s="119">
        <v>98.366659479388048</v>
      </c>
      <c r="G402" s="119">
        <v>99.052759479388044</v>
      </c>
      <c r="H402" s="119">
        <v>19.52</v>
      </c>
      <c r="I402" s="116">
        <v>1787</v>
      </c>
      <c r="J402" s="118" t="s">
        <v>269</v>
      </c>
    </row>
    <row r="403" spans="1:10" x14ac:dyDescent="0.25">
      <c r="A403" s="116">
        <v>400</v>
      </c>
      <c r="B403" s="117" t="s">
        <v>2168</v>
      </c>
      <c r="C403" s="118" t="s">
        <v>2169</v>
      </c>
      <c r="D403" s="118" t="s">
        <v>453</v>
      </c>
      <c r="E403" s="118" t="s">
        <v>2170</v>
      </c>
      <c r="F403" s="119">
        <v>100.84786705671175</v>
      </c>
      <c r="G403" s="119">
        <v>103.37566705671175</v>
      </c>
      <c r="H403" s="119">
        <v>6.14</v>
      </c>
      <c r="I403" s="116">
        <v>940</v>
      </c>
      <c r="J403" s="118" t="s">
        <v>269</v>
      </c>
    </row>
    <row r="404" spans="1:10" x14ac:dyDescent="0.25">
      <c r="A404" s="116">
        <v>401</v>
      </c>
      <c r="B404" s="117" t="s">
        <v>1118</v>
      </c>
      <c r="C404" s="118" t="s">
        <v>1119</v>
      </c>
      <c r="D404" s="118" t="s">
        <v>443</v>
      </c>
      <c r="E404" s="118" t="s">
        <v>1120</v>
      </c>
      <c r="F404" s="119">
        <v>67249.5</v>
      </c>
      <c r="G404" s="119">
        <v>67249.5</v>
      </c>
      <c r="H404" s="119">
        <v>0</v>
      </c>
      <c r="I404" s="116">
        <v>0</v>
      </c>
      <c r="J404" s="118" t="s">
        <v>238</v>
      </c>
    </row>
    <row r="405" spans="1:10" x14ac:dyDescent="0.25">
      <c r="A405" s="116">
        <v>402</v>
      </c>
      <c r="B405" s="117" t="s">
        <v>1121</v>
      </c>
      <c r="C405" s="118" t="s">
        <v>1122</v>
      </c>
      <c r="D405" s="118" t="s">
        <v>443</v>
      </c>
      <c r="E405" s="118" t="s">
        <v>1123</v>
      </c>
      <c r="F405" s="119">
        <v>0.01</v>
      </c>
      <c r="G405" s="119">
        <v>0.01</v>
      </c>
      <c r="H405" s="119">
        <v>0</v>
      </c>
      <c r="I405" s="116">
        <v>0</v>
      </c>
      <c r="J405" s="118" t="s">
        <v>238</v>
      </c>
    </row>
    <row r="406" spans="1:10" x14ac:dyDescent="0.25">
      <c r="A406" s="116">
        <v>403</v>
      </c>
      <c r="B406" s="117" t="s">
        <v>1124</v>
      </c>
      <c r="C406" s="118" t="s">
        <v>1125</v>
      </c>
      <c r="D406" s="118" t="s">
        <v>443</v>
      </c>
      <c r="E406" s="118" t="s">
        <v>1123</v>
      </c>
      <c r="F406" s="119">
        <v>0.01</v>
      </c>
      <c r="G406" s="119">
        <v>0.01</v>
      </c>
      <c r="H406" s="119">
        <v>0</v>
      </c>
      <c r="I406" s="116">
        <v>0</v>
      </c>
      <c r="J406" s="118" t="s">
        <v>238</v>
      </c>
    </row>
    <row r="407" spans="1:10" x14ac:dyDescent="0.25">
      <c r="A407" s="116">
        <v>404</v>
      </c>
      <c r="B407" s="117" t="s">
        <v>79</v>
      </c>
      <c r="C407" s="118" t="s">
        <v>80</v>
      </c>
      <c r="D407" s="118" t="s">
        <v>443</v>
      </c>
      <c r="E407" s="118" t="s">
        <v>81</v>
      </c>
      <c r="F407" s="119">
        <v>3343.9342584897745</v>
      </c>
      <c r="G407" s="119">
        <v>3343.9342584897745</v>
      </c>
      <c r="H407" s="119">
        <v>0</v>
      </c>
      <c r="I407" s="116">
        <v>0</v>
      </c>
      <c r="J407" s="118" t="s">
        <v>238</v>
      </c>
    </row>
    <row r="408" spans="1:10" x14ac:dyDescent="0.25">
      <c r="A408" s="116">
        <v>405</v>
      </c>
      <c r="B408" s="117" t="s">
        <v>82</v>
      </c>
      <c r="C408" s="118" t="s">
        <v>83</v>
      </c>
      <c r="D408" s="118" t="s">
        <v>443</v>
      </c>
      <c r="E408" s="118" t="s">
        <v>84</v>
      </c>
      <c r="F408" s="119">
        <v>1479.6118714828174</v>
      </c>
      <c r="G408" s="119">
        <v>1479.6118714828174</v>
      </c>
      <c r="H408" s="119">
        <v>0</v>
      </c>
      <c r="I408" s="116">
        <v>0</v>
      </c>
      <c r="J408" s="118" t="s">
        <v>238</v>
      </c>
    </row>
    <row r="409" spans="1:10" x14ac:dyDescent="0.25">
      <c r="A409" s="116">
        <v>406</v>
      </c>
      <c r="B409" s="117" t="s">
        <v>1126</v>
      </c>
      <c r="C409" s="118" t="s">
        <v>1127</v>
      </c>
      <c r="D409" s="118" t="s">
        <v>453</v>
      </c>
      <c r="E409" s="118" t="s">
        <v>84</v>
      </c>
      <c r="F409" s="119">
        <v>85.078677863229899</v>
      </c>
      <c r="G409" s="119">
        <v>90.238677863229896</v>
      </c>
      <c r="H409" s="119">
        <v>17.190000000000001</v>
      </c>
      <c r="I409" s="116">
        <v>2016</v>
      </c>
      <c r="J409" s="118" t="s">
        <v>269</v>
      </c>
    </row>
    <row r="410" spans="1:10" x14ac:dyDescent="0.25">
      <c r="A410" s="116">
        <v>407</v>
      </c>
      <c r="B410" s="117" t="s">
        <v>1128</v>
      </c>
      <c r="C410" s="118" t="s">
        <v>1129</v>
      </c>
      <c r="D410" s="118" t="s">
        <v>453</v>
      </c>
      <c r="E410" s="118" t="s">
        <v>84</v>
      </c>
      <c r="F410" s="119">
        <v>77.808883425072068</v>
      </c>
      <c r="G410" s="119">
        <v>79.438083425072065</v>
      </c>
      <c r="H410" s="119">
        <v>17.23</v>
      </c>
      <c r="I410" s="116">
        <v>2469</v>
      </c>
      <c r="J410" s="118" t="s">
        <v>269</v>
      </c>
    </row>
    <row r="411" spans="1:10" x14ac:dyDescent="0.25">
      <c r="A411" s="116">
        <v>408</v>
      </c>
      <c r="B411" s="117" t="s">
        <v>1130</v>
      </c>
      <c r="C411" s="118" t="s">
        <v>1131</v>
      </c>
      <c r="D411" s="118" t="s">
        <v>453</v>
      </c>
      <c r="E411" s="118" t="s">
        <v>84</v>
      </c>
      <c r="F411" s="119">
        <v>73.597981238041086</v>
      </c>
      <c r="G411" s="119">
        <v>77.936881238041082</v>
      </c>
      <c r="H411" s="119">
        <v>16.579999999999998</v>
      </c>
      <c r="I411" s="116">
        <v>3458</v>
      </c>
      <c r="J411" s="118" t="s">
        <v>269</v>
      </c>
    </row>
    <row r="412" spans="1:10" x14ac:dyDescent="0.25">
      <c r="A412" s="116">
        <v>409</v>
      </c>
      <c r="B412" s="117" t="s">
        <v>1132</v>
      </c>
      <c r="C412" s="118" t="s">
        <v>1133</v>
      </c>
      <c r="D412" s="118" t="s">
        <v>453</v>
      </c>
      <c r="E412" s="118" t="s">
        <v>84</v>
      </c>
      <c r="F412" s="119">
        <v>100</v>
      </c>
      <c r="G412" s="119">
        <v>106.3069</v>
      </c>
      <c r="H412" s="119">
        <v>19</v>
      </c>
      <c r="I412" s="116">
        <v>4445</v>
      </c>
      <c r="J412" s="118" t="s">
        <v>269</v>
      </c>
    </row>
    <row r="413" spans="1:10" x14ac:dyDescent="0.25">
      <c r="A413" s="116">
        <v>410</v>
      </c>
      <c r="B413" s="117" t="s">
        <v>1134</v>
      </c>
      <c r="C413" s="118" t="s">
        <v>1135</v>
      </c>
      <c r="D413" s="118" t="s">
        <v>453</v>
      </c>
      <c r="E413" s="118" t="s">
        <v>25</v>
      </c>
      <c r="F413" s="119">
        <v>87.346300448430497</v>
      </c>
      <c r="G413" s="119">
        <v>99.313000448430486</v>
      </c>
      <c r="H413" s="119">
        <v>15.04</v>
      </c>
      <c r="I413" s="116">
        <v>2521</v>
      </c>
      <c r="J413" s="118" t="s">
        <v>269</v>
      </c>
    </row>
    <row r="414" spans="1:10" x14ac:dyDescent="0.25">
      <c r="A414" s="116">
        <v>411</v>
      </c>
      <c r="B414" s="117" t="s">
        <v>403</v>
      </c>
      <c r="C414" s="118" t="s">
        <v>404</v>
      </c>
      <c r="D414" s="118" t="s">
        <v>453</v>
      </c>
      <c r="E414" s="118" t="s">
        <v>25</v>
      </c>
      <c r="F414" s="119">
        <v>89.569614732582309</v>
      </c>
      <c r="G414" s="119">
        <v>96.114014732582305</v>
      </c>
      <c r="H414" s="119">
        <v>15.1</v>
      </c>
      <c r="I414" s="116">
        <v>832</v>
      </c>
      <c r="J414" s="118" t="s">
        <v>269</v>
      </c>
    </row>
    <row r="415" spans="1:10" x14ac:dyDescent="0.25">
      <c r="A415" s="116">
        <v>412</v>
      </c>
      <c r="B415" s="117" t="s">
        <v>2968</v>
      </c>
      <c r="C415" s="118" t="s">
        <v>2969</v>
      </c>
      <c r="D415" s="118" t="s">
        <v>453</v>
      </c>
      <c r="E415" s="118" t="s">
        <v>25</v>
      </c>
      <c r="F415" s="119">
        <v>90.71517909122872</v>
      </c>
      <c r="G415" s="119">
        <v>91.097079091228721</v>
      </c>
      <c r="H415" s="119">
        <v>18.53</v>
      </c>
      <c r="I415" s="116">
        <v>709</v>
      </c>
      <c r="J415" s="118" t="s">
        <v>269</v>
      </c>
    </row>
    <row r="416" spans="1:10" x14ac:dyDescent="0.25">
      <c r="A416" s="116">
        <v>413</v>
      </c>
      <c r="B416" s="117" t="s">
        <v>414</v>
      </c>
      <c r="C416" s="118" t="s">
        <v>415</v>
      </c>
      <c r="D416" s="118" t="s">
        <v>453</v>
      </c>
      <c r="E416" s="118" t="s">
        <v>25</v>
      </c>
      <c r="F416" s="119">
        <v>74.403032374494146</v>
      </c>
      <c r="G416" s="119">
        <v>80.340532374494146</v>
      </c>
      <c r="H416" s="119">
        <v>17.100000000000001</v>
      </c>
      <c r="I416" s="116">
        <v>1935</v>
      </c>
      <c r="J416" s="118" t="s">
        <v>269</v>
      </c>
    </row>
    <row r="417" spans="1:10" x14ac:dyDescent="0.25">
      <c r="A417" s="116">
        <v>414</v>
      </c>
      <c r="B417" s="117" t="s">
        <v>2441</v>
      </c>
      <c r="C417" s="118" t="s">
        <v>2442</v>
      </c>
      <c r="D417" s="118" t="s">
        <v>453</v>
      </c>
      <c r="E417" s="118" t="s">
        <v>25</v>
      </c>
      <c r="F417" s="119">
        <v>90.882597999525842</v>
      </c>
      <c r="G417" s="119">
        <v>91.99369799952585</v>
      </c>
      <c r="H417" s="119">
        <v>18.53</v>
      </c>
      <c r="I417" s="116">
        <v>688</v>
      </c>
      <c r="J417" s="118" t="s">
        <v>269</v>
      </c>
    </row>
    <row r="418" spans="1:10" x14ac:dyDescent="0.25">
      <c r="A418" s="116">
        <v>415</v>
      </c>
      <c r="B418" s="117" t="s">
        <v>270</v>
      </c>
      <c r="C418" s="118" t="s">
        <v>271</v>
      </c>
      <c r="D418" s="118" t="s">
        <v>453</v>
      </c>
      <c r="E418" s="118" t="s">
        <v>25</v>
      </c>
      <c r="F418" s="119">
        <v>100</v>
      </c>
      <c r="G418" s="119">
        <v>107.0575</v>
      </c>
      <c r="H418" s="119">
        <v>17.760000000000002</v>
      </c>
      <c r="I418" s="116">
        <v>43</v>
      </c>
      <c r="J418" s="118" t="s">
        <v>269</v>
      </c>
    </row>
    <row r="419" spans="1:10" x14ac:dyDescent="0.25">
      <c r="A419" s="116">
        <v>416</v>
      </c>
      <c r="B419" s="117" t="s">
        <v>272</v>
      </c>
      <c r="C419" s="118" t="s">
        <v>273</v>
      </c>
      <c r="D419" s="118" t="s">
        <v>453</v>
      </c>
      <c r="E419" s="118" t="s">
        <v>25</v>
      </c>
      <c r="F419" s="119">
        <v>100</v>
      </c>
      <c r="G419" s="119">
        <v>107.5176</v>
      </c>
      <c r="H419" s="119">
        <v>18.510000000000002</v>
      </c>
      <c r="I419" s="116">
        <v>766</v>
      </c>
      <c r="J419" s="118" t="s">
        <v>269</v>
      </c>
    </row>
    <row r="420" spans="1:10" x14ac:dyDescent="0.25">
      <c r="A420" s="116">
        <v>417</v>
      </c>
      <c r="B420" s="117" t="s">
        <v>274</v>
      </c>
      <c r="C420" s="118" t="s">
        <v>275</v>
      </c>
      <c r="D420" s="118" t="s">
        <v>453</v>
      </c>
      <c r="E420" s="118" t="s">
        <v>25</v>
      </c>
      <c r="F420" s="119">
        <v>100</v>
      </c>
      <c r="G420" s="119">
        <v>104.6807</v>
      </c>
      <c r="H420" s="119">
        <v>18.52</v>
      </c>
      <c r="I420" s="116">
        <v>822</v>
      </c>
      <c r="J420" s="118" t="s">
        <v>269</v>
      </c>
    </row>
    <row r="421" spans="1:10" x14ac:dyDescent="0.25">
      <c r="A421" s="116">
        <v>418</v>
      </c>
      <c r="B421" s="117" t="s">
        <v>276</v>
      </c>
      <c r="C421" s="118" t="s">
        <v>267</v>
      </c>
      <c r="D421" s="118" t="s">
        <v>453</v>
      </c>
      <c r="E421" s="118" t="s">
        <v>25</v>
      </c>
      <c r="F421" s="119">
        <v>100</v>
      </c>
      <c r="G421" s="119">
        <v>104.7311</v>
      </c>
      <c r="H421" s="119">
        <v>18.739999999999998</v>
      </c>
      <c r="I421" s="116">
        <v>1553</v>
      </c>
      <c r="J421" s="118" t="s">
        <v>269</v>
      </c>
    </row>
    <row r="422" spans="1:10" x14ac:dyDescent="0.25">
      <c r="A422" s="116">
        <v>419</v>
      </c>
      <c r="B422" s="117" t="s">
        <v>277</v>
      </c>
      <c r="C422" s="118" t="s">
        <v>278</v>
      </c>
      <c r="D422" s="118" t="s">
        <v>453</v>
      </c>
      <c r="E422" s="118" t="s">
        <v>25</v>
      </c>
      <c r="F422" s="119">
        <v>100</v>
      </c>
      <c r="G422" s="119">
        <v>107.5581</v>
      </c>
      <c r="H422" s="119">
        <v>18.62</v>
      </c>
      <c r="I422" s="116">
        <v>1497</v>
      </c>
      <c r="J422" s="118" t="s">
        <v>269</v>
      </c>
    </row>
    <row r="423" spans="1:10" x14ac:dyDescent="0.25">
      <c r="A423" s="116">
        <v>420</v>
      </c>
      <c r="B423" s="117" t="s">
        <v>399</v>
      </c>
      <c r="C423" s="118" t="s">
        <v>398</v>
      </c>
      <c r="D423" s="118" t="s">
        <v>453</v>
      </c>
      <c r="E423" s="118" t="s">
        <v>25</v>
      </c>
      <c r="F423" s="119">
        <v>98.762680465930217</v>
      </c>
      <c r="G423" s="119">
        <v>106.91688046593022</v>
      </c>
      <c r="H423" s="119">
        <v>18.350000000000001</v>
      </c>
      <c r="I423" s="116">
        <v>51</v>
      </c>
      <c r="J423" s="118" t="s">
        <v>269</v>
      </c>
    </row>
    <row r="424" spans="1:10" x14ac:dyDescent="0.25">
      <c r="A424" s="116">
        <v>421</v>
      </c>
      <c r="B424" s="117" t="s">
        <v>279</v>
      </c>
      <c r="C424" s="118" t="s">
        <v>280</v>
      </c>
      <c r="D424" s="118" t="s">
        <v>453</v>
      </c>
      <c r="E424" s="118" t="s">
        <v>25</v>
      </c>
      <c r="F424" s="119">
        <v>100</v>
      </c>
      <c r="G424" s="119">
        <v>100.9819</v>
      </c>
      <c r="H424" s="119">
        <v>17.829999999999998</v>
      </c>
      <c r="I424" s="116">
        <v>162</v>
      </c>
      <c r="J424" s="118" t="s">
        <v>269</v>
      </c>
    </row>
    <row r="425" spans="1:10" x14ac:dyDescent="0.25">
      <c r="A425" s="116">
        <v>422</v>
      </c>
      <c r="B425" s="117" t="s">
        <v>1136</v>
      </c>
      <c r="C425" s="118" t="s">
        <v>1137</v>
      </c>
      <c r="D425" s="118" t="s">
        <v>453</v>
      </c>
      <c r="E425" s="118" t="s">
        <v>25</v>
      </c>
      <c r="F425" s="119">
        <v>100</v>
      </c>
      <c r="G425" s="119">
        <v>104.5966</v>
      </c>
      <c r="H425" s="119">
        <v>16.98</v>
      </c>
      <c r="I425" s="116">
        <v>267</v>
      </c>
      <c r="J425" s="118" t="s">
        <v>269</v>
      </c>
    </row>
    <row r="426" spans="1:10" x14ac:dyDescent="0.25">
      <c r="A426" s="116">
        <v>423</v>
      </c>
      <c r="B426" s="117" t="s">
        <v>389</v>
      </c>
      <c r="C426" s="118" t="s">
        <v>390</v>
      </c>
      <c r="D426" s="118" t="s">
        <v>453</v>
      </c>
      <c r="E426" s="118" t="s">
        <v>25</v>
      </c>
      <c r="F426" s="119">
        <v>87.107371759816246</v>
      </c>
      <c r="G426" s="119">
        <v>95.182371759816249</v>
      </c>
      <c r="H426" s="119">
        <v>17.100000000000001</v>
      </c>
      <c r="I426" s="116">
        <v>774</v>
      </c>
      <c r="J426" s="118" t="s">
        <v>269</v>
      </c>
    </row>
    <row r="427" spans="1:10" x14ac:dyDescent="0.25">
      <c r="A427" s="116">
        <v>424</v>
      </c>
      <c r="B427" s="117" t="s">
        <v>1138</v>
      </c>
      <c r="C427" s="118" t="s">
        <v>1139</v>
      </c>
      <c r="D427" s="118" t="s">
        <v>453</v>
      </c>
      <c r="E427" s="118" t="s">
        <v>25</v>
      </c>
      <c r="F427" s="119">
        <v>98.00346216860504</v>
      </c>
      <c r="G427" s="119">
        <v>106.71876216860504</v>
      </c>
      <c r="H427" s="119">
        <v>19.03</v>
      </c>
      <c r="I427" s="116">
        <v>109</v>
      </c>
      <c r="J427" s="118" t="s">
        <v>269</v>
      </c>
    </row>
    <row r="428" spans="1:10" x14ac:dyDescent="0.25">
      <c r="A428" s="116">
        <v>425</v>
      </c>
      <c r="B428" s="117" t="s">
        <v>416</v>
      </c>
      <c r="C428" s="118" t="s">
        <v>417</v>
      </c>
      <c r="D428" s="118" t="s">
        <v>453</v>
      </c>
      <c r="E428" s="118" t="s">
        <v>25</v>
      </c>
      <c r="F428" s="119">
        <v>75.546576615990375</v>
      </c>
      <c r="G428" s="119">
        <v>84.254876615990369</v>
      </c>
      <c r="H428" s="119">
        <v>17.05</v>
      </c>
      <c r="I428" s="116">
        <v>1830</v>
      </c>
      <c r="J428" s="118" t="s">
        <v>269</v>
      </c>
    </row>
    <row r="429" spans="1:10" x14ac:dyDescent="0.25">
      <c r="A429" s="116">
        <v>426</v>
      </c>
      <c r="B429" s="117" t="s">
        <v>1140</v>
      </c>
      <c r="C429" s="118" t="s">
        <v>1141</v>
      </c>
      <c r="D429" s="118" t="s">
        <v>453</v>
      </c>
      <c r="E429" s="118" t="s">
        <v>25</v>
      </c>
      <c r="F429" s="119">
        <v>95.277417109066107</v>
      </c>
      <c r="G429" s="119">
        <v>96.596817109066109</v>
      </c>
      <c r="H429" s="119">
        <v>18.579999999999998</v>
      </c>
      <c r="I429" s="116">
        <v>322</v>
      </c>
      <c r="J429" s="118" t="s">
        <v>269</v>
      </c>
    </row>
    <row r="430" spans="1:10" x14ac:dyDescent="0.25">
      <c r="A430" s="116">
        <v>427</v>
      </c>
      <c r="B430" s="117" t="s">
        <v>1142</v>
      </c>
      <c r="C430" s="118" t="s">
        <v>1143</v>
      </c>
      <c r="D430" s="118" t="s">
        <v>453</v>
      </c>
      <c r="E430" s="118" t="s">
        <v>25</v>
      </c>
      <c r="F430" s="119">
        <v>95.139255396197356</v>
      </c>
      <c r="G430" s="119">
        <v>95.97255539619735</v>
      </c>
      <c r="H430" s="119">
        <v>18.559999999999999</v>
      </c>
      <c r="I430" s="116">
        <v>336</v>
      </c>
      <c r="J430" s="118" t="s">
        <v>269</v>
      </c>
    </row>
    <row r="431" spans="1:10" x14ac:dyDescent="0.25">
      <c r="A431" s="116">
        <v>428</v>
      </c>
      <c r="B431" s="117" t="s">
        <v>2330</v>
      </c>
      <c r="C431" s="118" t="s">
        <v>2331</v>
      </c>
      <c r="D431" s="118" t="s">
        <v>453</v>
      </c>
      <c r="E431" s="118" t="s">
        <v>25</v>
      </c>
      <c r="F431" s="119">
        <v>95.685911850975174</v>
      </c>
      <c r="G431" s="119">
        <v>98.22061185097516</v>
      </c>
      <c r="H431" s="119">
        <v>18.559999999999999</v>
      </c>
      <c r="I431" s="116">
        <v>287</v>
      </c>
      <c r="J431" s="118" t="s">
        <v>269</v>
      </c>
    </row>
    <row r="432" spans="1:10" x14ac:dyDescent="0.25">
      <c r="A432" s="116">
        <v>429</v>
      </c>
      <c r="B432" s="117" t="s">
        <v>2414</v>
      </c>
      <c r="C432" s="118" t="s">
        <v>2415</v>
      </c>
      <c r="D432" s="118" t="s">
        <v>453</v>
      </c>
      <c r="E432" s="118" t="s">
        <v>25</v>
      </c>
      <c r="F432" s="119">
        <v>95.347995458977138</v>
      </c>
      <c r="G432" s="119">
        <v>96.910495458977138</v>
      </c>
      <c r="H432" s="119">
        <v>18.59</v>
      </c>
      <c r="I432" s="116">
        <v>315</v>
      </c>
      <c r="J432" s="118" t="s">
        <v>269</v>
      </c>
    </row>
    <row r="433" spans="1:10" x14ac:dyDescent="0.25">
      <c r="A433" s="116">
        <v>430</v>
      </c>
      <c r="B433" s="117" t="s">
        <v>2075</v>
      </c>
      <c r="C433" s="118" t="s">
        <v>2076</v>
      </c>
      <c r="D433" s="118" t="s">
        <v>453</v>
      </c>
      <c r="E433" s="118" t="s">
        <v>25</v>
      </c>
      <c r="F433" s="119">
        <v>97.284350878566087</v>
      </c>
      <c r="G433" s="119">
        <v>104.1246508785661</v>
      </c>
      <c r="H433" s="119">
        <v>18.63</v>
      </c>
      <c r="I433" s="116">
        <v>163</v>
      </c>
      <c r="J433" s="118" t="s">
        <v>269</v>
      </c>
    </row>
    <row r="434" spans="1:10" x14ac:dyDescent="0.25">
      <c r="A434" s="116">
        <v>431</v>
      </c>
      <c r="B434" s="117" t="s">
        <v>2101</v>
      </c>
      <c r="C434" s="118" t="s">
        <v>2102</v>
      </c>
      <c r="D434" s="118" t="s">
        <v>453</v>
      </c>
      <c r="E434" s="118" t="s">
        <v>25</v>
      </c>
      <c r="F434" s="119">
        <v>96.900651676218615</v>
      </c>
      <c r="G434" s="119">
        <v>102.73395167621861</v>
      </c>
      <c r="H434" s="119">
        <v>18.559999999999999</v>
      </c>
      <c r="I434" s="116">
        <v>192</v>
      </c>
      <c r="J434" s="118" t="s">
        <v>269</v>
      </c>
    </row>
    <row r="435" spans="1:10" x14ac:dyDescent="0.25">
      <c r="A435" s="116">
        <v>432</v>
      </c>
      <c r="B435" s="117" t="s">
        <v>1986</v>
      </c>
      <c r="C435" s="118" t="s">
        <v>1987</v>
      </c>
      <c r="D435" s="118" t="s">
        <v>453</v>
      </c>
      <c r="E435" s="118" t="s">
        <v>25</v>
      </c>
      <c r="F435" s="119">
        <v>98.048236920820656</v>
      </c>
      <c r="G435" s="119">
        <v>106.86763692082066</v>
      </c>
      <c r="H435" s="119">
        <v>19.059999999999999</v>
      </c>
      <c r="I435" s="116">
        <v>106</v>
      </c>
      <c r="J435" s="118" t="s">
        <v>269</v>
      </c>
    </row>
    <row r="436" spans="1:10" x14ac:dyDescent="0.25">
      <c r="A436" s="116">
        <v>433</v>
      </c>
      <c r="B436" s="117" t="s">
        <v>2198</v>
      </c>
      <c r="C436" s="118" t="s">
        <v>2199</v>
      </c>
      <c r="D436" s="118" t="s">
        <v>453</v>
      </c>
      <c r="E436" s="118" t="s">
        <v>25</v>
      </c>
      <c r="F436" s="119">
        <v>96.356516041010991</v>
      </c>
      <c r="G436" s="119">
        <v>100.80091604101099</v>
      </c>
      <c r="H436" s="119">
        <v>18.579999999999998</v>
      </c>
      <c r="I436" s="116">
        <v>232</v>
      </c>
      <c r="J436" s="118" t="s">
        <v>269</v>
      </c>
    </row>
    <row r="437" spans="1:10" x14ac:dyDescent="0.25">
      <c r="A437" s="116">
        <v>434</v>
      </c>
      <c r="B437" s="117" t="s">
        <v>2188</v>
      </c>
      <c r="C437" s="118" t="s">
        <v>2189</v>
      </c>
      <c r="D437" s="118" t="s">
        <v>453</v>
      </c>
      <c r="E437" s="118" t="s">
        <v>25</v>
      </c>
      <c r="F437" s="119">
        <v>96.440807732527716</v>
      </c>
      <c r="G437" s="119">
        <v>101.12830773252772</v>
      </c>
      <c r="H437" s="119">
        <v>18.59</v>
      </c>
      <c r="I437" s="116">
        <v>225</v>
      </c>
      <c r="J437" s="118" t="s">
        <v>269</v>
      </c>
    </row>
    <row r="438" spans="1:10" x14ac:dyDescent="0.25">
      <c r="A438" s="116">
        <v>435</v>
      </c>
      <c r="B438" s="117" t="s">
        <v>2231</v>
      </c>
      <c r="C438" s="118" t="s">
        <v>2232</v>
      </c>
      <c r="D438" s="118" t="s">
        <v>453</v>
      </c>
      <c r="E438" s="118" t="s">
        <v>25</v>
      </c>
      <c r="F438" s="119">
        <v>96.110121097449735</v>
      </c>
      <c r="G438" s="119">
        <v>99.825421097449734</v>
      </c>
      <c r="H438" s="119">
        <v>18.54</v>
      </c>
      <c r="I438" s="116">
        <v>253</v>
      </c>
      <c r="J438" s="118" t="s">
        <v>269</v>
      </c>
    </row>
    <row r="439" spans="1:10" x14ac:dyDescent="0.25">
      <c r="A439" s="116">
        <v>436</v>
      </c>
      <c r="B439" s="117" t="s">
        <v>2493</v>
      </c>
      <c r="C439" s="118" t="s">
        <v>2494</v>
      </c>
      <c r="D439" s="118" t="s">
        <v>453</v>
      </c>
      <c r="E439" s="118" t="s">
        <v>25</v>
      </c>
      <c r="F439" s="119">
        <v>95.081261941480236</v>
      </c>
      <c r="G439" s="119">
        <v>95.706261941480236</v>
      </c>
      <c r="H439" s="119">
        <v>18.55</v>
      </c>
      <c r="I439" s="116">
        <v>342</v>
      </c>
      <c r="J439" s="118" t="s">
        <v>269</v>
      </c>
    </row>
    <row r="440" spans="1:10" x14ac:dyDescent="0.25">
      <c r="A440" s="116">
        <v>437</v>
      </c>
      <c r="B440" s="117" t="s">
        <v>401</v>
      </c>
      <c r="C440" s="118" t="s">
        <v>402</v>
      </c>
      <c r="D440" s="118" t="s">
        <v>453</v>
      </c>
      <c r="E440" s="118" t="s">
        <v>25</v>
      </c>
      <c r="F440" s="119">
        <v>97.947588318932517</v>
      </c>
      <c r="G440" s="119">
        <v>105.01978831893251</v>
      </c>
      <c r="H440" s="119">
        <v>17.760000000000002</v>
      </c>
      <c r="I440" s="116">
        <v>92</v>
      </c>
      <c r="J440" s="118" t="s">
        <v>269</v>
      </c>
    </row>
    <row r="441" spans="1:10" x14ac:dyDescent="0.25">
      <c r="A441" s="116">
        <v>438</v>
      </c>
      <c r="B441" s="117" t="s">
        <v>2029</v>
      </c>
      <c r="C441" s="118" t="s">
        <v>2030</v>
      </c>
      <c r="D441" s="118" t="s">
        <v>453</v>
      </c>
      <c r="E441" s="118" t="s">
        <v>25</v>
      </c>
      <c r="F441" s="119">
        <v>93.189075819485666</v>
      </c>
      <c r="G441" s="119">
        <v>101.76547581948566</v>
      </c>
      <c r="H441" s="119">
        <v>18.59</v>
      </c>
      <c r="I441" s="116">
        <v>473</v>
      </c>
      <c r="J441" s="118" t="s">
        <v>269</v>
      </c>
    </row>
    <row r="442" spans="1:10" x14ac:dyDescent="0.25">
      <c r="A442" s="116">
        <v>439</v>
      </c>
      <c r="B442" s="117" t="s">
        <v>2045</v>
      </c>
      <c r="C442" s="118" t="s">
        <v>2046</v>
      </c>
      <c r="D442" s="118" t="s">
        <v>453</v>
      </c>
      <c r="E442" s="118" t="s">
        <v>25</v>
      </c>
      <c r="F442" s="119">
        <v>92.832977956944433</v>
      </c>
      <c r="G442" s="119">
        <v>100.12467795694442</v>
      </c>
      <c r="H442" s="119">
        <v>18.48</v>
      </c>
      <c r="I442" s="116">
        <v>510</v>
      </c>
      <c r="J442" s="118" t="s">
        <v>269</v>
      </c>
    </row>
    <row r="443" spans="1:10" x14ac:dyDescent="0.25">
      <c r="A443" s="116">
        <v>440</v>
      </c>
      <c r="B443" s="117" t="s">
        <v>2103</v>
      </c>
      <c r="C443" s="118" t="s">
        <v>2104</v>
      </c>
      <c r="D443" s="118" t="s">
        <v>453</v>
      </c>
      <c r="E443" s="118" t="s">
        <v>25</v>
      </c>
      <c r="F443" s="119">
        <v>92.310404843606193</v>
      </c>
      <c r="G443" s="119">
        <v>98.143704843606187</v>
      </c>
      <c r="H443" s="119">
        <v>18.489999999999998</v>
      </c>
      <c r="I443" s="116">
        <v>552</v>
      </c>
      <c r="J443" s="118" t="s">
        <v>269</v>
      </c>
    </row>
    <row r="444" spans="1:10" x14ac:dyDescent="0.25">
      <c r="A444" s="116">
        <v>441</v>
      </c>
      <c r="B444" s="117" t="s">
        <v>1145</v>
      </c>
      <c r="C444" s="118" t="s">
        <v>1146</v>
      </c>
      <c r="D444" s="118" t="s">
        <v>453</v>
      </c>
      <c r="E444" s="118" t="s">
        <v>1144</v>
      </c>
      <c r="F444" s="119">
        <v>100</v>
      </c>
      <c r="G444" s="119">
        <v>100.0885</v>
      </c>
      <c r="H444" s="119">
        <v>0.35</v>
      </c>
      <c r="I444" s="116">
        <v>269</v>
      </c>
      <c r="J444" s="118" t="s">
        <v>269</v>
      </c>
    </row>
    <row r="445" spans="1:10" x14ac:dyDescent="0.25">
      <c r="A445" s="116">
        <v>442</v>
      </c>
      <c r="B445" s="117" t="s">
        <v>2341</v>
      </c>
      <c r="C445" s="118" t="s">
        <v>2342</v>
      </c>
      <c r="D445" s="118" t="s">
        <v>453</v>
      </c>
      <c r="E445" s="118" t="s">
        <v>1144</v>
      </c>
      <c r="F445" s="119">
        <v>100</v>
      </c>
      <c r="G445" s="119">
        <v>100.0583</v>
      </c>
      <c r="H445" s="119">
        <v>0.35</v>
      </c>
      <c r="I445" s="116">
        <v>660</v>
      </c>
      <c r="J445" s="118" t="s">
        <v>269</v>
      </c>
    </row>
    <row r="446" spans="1:10" x14ac:dyDescent="0.25">
      <c r="A446" s="116">
        <v>443</v>
      </c>
      <c r="B446" s="117" t="s">
        <v>1147</v>
      </c>
      <c r="C446" s="118" t="s">
        <v>1148</v>
      </c>
      <c r="D446" s="118" t="s">
        <v>453</v>
      </c>
      <c r="E446" s="118" t="s">
        <v>1144</v>
      </c>
      <c r="F446" s="119">
        <v>100</v>
      </c>
      <c r="G446" s="119">
        <v>100.00530000000001</v>
      </c>
      <c r="H446" s="119">
        <v>0.02</v>
      </c>
      <c r="I446" s="116">
        <v>3040</v>
      </c>
      <c r="J446" s="118" t="s">
        <v>269</v>
      </c>
    </row>
    <row r="447" spans="1:10" x14ac:dyDescent="0.25">
      <c r="A447" s="116">
        <v>444</v>
      </c>
      <c r="B447" s="117" t="s">
        <v>1149</v>
      </c>
      <c r="C447" s="118" t="s">
        <v>1150</v>
      </c>
      <c r="D447" s="118" t="s">
        <v>453</v>
      </c>
      <c r="E447" s="118" t="s">
        <v>1144</v>
      </c>
      <c r="F447" s="119">
        <v>100</v>
      </c>
      <c r="G447" s="119">
        <v>105.8378</v>
      </c>
      <c r="H447" s="119">
        <v>7.05</v>
      </c>
      <c r="I447" s="116">
        <v>2137</v>
      </c>
      <c r="J447" s="118" t="s">
        <v>269</v>
      </c>
    </row>
    <row r="448" spans="1:10" x14ac:dyDescent="0.25">
      <c r="A448" s="116">
        <v>445</v>
      </c>
      <c r="B448" s="117" t="s">
        <v>1151</v>
      </c>
      <c r="C448" s="118" t="s">
        <v>1152</v>
      </c>
      <c r="D448" s="118" t="s">
        <v>453</v>
      </c>
      <c r="E448" s="118" t="s">
        <v>1144</v>
      </c>
      <c r="F448" s="119">
        <v>100</v>
      </c>
      <c r="G448" s="119">
        <v>101.9486</v>
      </c>
      <c r="H448" s="119">
        <v>6.08</v>
      </c>
      <c r="I448" s="116">
        <v>1655</v>
      </c>
      <c r="J448" s="118" t="s">
        <v>269</v>
      </c>
    </row>
    <row r="449" spans="1:10" x14ac:dyDescent="0.25">
      <c r="A449" s="116">
        <v>446</v>
      </c>
      <c r="B449" s="117" t="s">
        <v>1153</v>
      </c>
      <c r="C449" s="118" t="s">
        <v>1154</v>
      </c>
      <c r="D449" s="118" t="s">
        <v>453</v>
      </c>
      <c r="E449" s="118" t="s">
        <v>1144</v>
      </c>
      <c r="F449" s="119">
        <v>100</v>
      </c>
      <c r="G449" s="119">
        <v>106.9619</v>
      </c>
      <c r="H449" s="119">
        <v>7.08</v>
      </c>
      <c r="I449" s="116">
        <v>2137</v>
      </c>
      <c r="J449" s="118" t="s">
        <v>269</v>
      </c>
    </row>
    <row r="450" spans="1:10" x14ac:dyDescent="0.25">
      <c r="A450" s="116">
        <v>447</v>
      </c>
      <c r="B450" s="117" t="s">
        <v>2383</v>
      </c>
      <c r="C450" s="118" t="s">
        <v>2384</v>
      </c>
      <c r="D450" s="118" t="s">
        <v>453</v>
      </c>
      <c r="E450" s="118" t="s">
        <v>1144</v>
      </c>
      <c r="F450" s="119">
        <v>92.985701869636131</v>
      </c>
      <c r="G450" s="119">
        <v>95.505701869636127</v>
      </c>
      <c r="H450" s="119">
        <v>20.56</v>
      </c>
      <c r="I450" s="116">
        <v>3552</v>
      </c>
      <c r="J450" s="118" t="s">
        <v>269</v>
      </c>
    </row>
    <row r="451" spans="1:10" x14ac:dyDescent="0.25">
      <c r="A451" s="116">
        <v>448</v>
      </c>
      <c r="B451" s="117" t="s">
        <v>2363</v>
      </c>
      <c r="C451" s="118" t="s">
        <v>2364</v>
      </c>
      <c r="D451" s="118" t="s">
        <v>453</v>
      </c>
      <c r="E451" s="118" t="s">
        <v>1144</v>
      </c>
      <c r="F451" s="119">
        <v>93.024053141473829</v>
      </c>
      <c r="G451" s="119">
        <v>95.701553141473823</v>
      </c>
      <c r="H451" s="119">
        <v>20.55</v>
      </c>
      <c r="I451" s="116">
        <v>3549</v>
      </c>
      <c r="J451" s="118" t="s">
        <v>269</v>
      </c>
    </row>
    <row r="452" spans="1:10" x14ac:dyDescent="0.25">
      <c r="A452" s="116">
        <v>449</v>
      </c>
      <c r="B452" s="117" t="s">
        <v>2385</v>
      </c>
      <c r="C452" s="118" t="s">
        <v>2386</v>
      </c>
      <c r="D452" s="118" t="s">
        <v>453</v>
      </c>
      <c r="E452" s="118" t="s">
        <v>1144</v>
      </c>
      <c r="F452" s="119">
        <v>92.985701869636131</v>
      </c>
      <c r="G452" s="119">
        <v>95.505701869636127</v>
      </c>
      <c r="H452" s="119">
        <v>20.56</v>
      </c>
      <c r="I452" s="116">
        <v>3552</v>
      </c>
      <c r="J452" s="118" t="s">
        <v>269</v>
      </c>
    </row>
    <row r="453" spans="1:10" x14ac:dyDescent="0.25">
      <c r="A453" s="116">
        <v>450</v>
      </c>
      <c r="B453" s="117" t="s">
        <v>2453</v>
      </c>
      <c r="C453" s="118" t="s">
        <v>2454</v>
      </c>
      <c r="D453" s="118" t="s">
        <v>453</v>
      </c>
      <c r="E453" s="118" t="s">
        <v>1144</v>
      </c>
      <c r="F453" s="119">
        <v>93.07888885727705</v>
      </c>
      <c r="G453" s="119">
        <v>94.338888857277055</v>
      </c>
      <c r="H453" s="119">
        <v>20.56</v>
      </c>
      <c r="I453" s="116">
        <v>3576</v>
      </c>
      <c r="J453" s="118" t="s">
        <v>269</v>
      </c>
    </row>
    <row r="454" spans="1:10" x14ac:dyDescent="0.25">
      <c r="A454" s="116">
        <v>451</v>
      </c>
      <c r="B454" s="117" t="s">
        <v>1155</v>
      </c>
      <c r="C454" s="118" t="s">
        <v>1156</v>
      </c>
      <c r="D454" s="118" t="s">
        <v>453</v>
      </c>
      <c r="E454" s="118" t="s">
        <v>1144</v>
      </c>
      <c r="F454" s="119">
        <v>100</v>
      </c>
      <c r="G454" s="119">
        <v>101.1183</v>
      </c>
      <c r="H454" s="119">
        <v>6.08</v>
      </c>
      <c r="I454" s="116">
        <v>2064</v>
      </c>
      <c r="J454" s="118" t="s">
        <v>269</v>
      </c>
    </row>
    <row r="455" spans="1:10" x14ac:dyDescent="0.25">
      <c r="A455" s="116">
        <v>452</v>
      </c>
      <c r="B455" s="117" t="s">
        <v>1157</v>
      </c>
      <c r="C455" s="118" t="s">
        <v>1158</v>
      </c>
      <c r="D455" s="118" t="s">
        <v>453</v>
      </c>
      <c r="E455" s="118" t="s">
        <v>1144</v>
      </c>
      <c r="F455" s="119">
        <v>100</v>
      </c>
      <c r="G455" s="119">
        <v>106.06610000000001</v>
      </c>
      <c r="H455" s="119">
        <v>6.09</v>
      </c>
      <c r="I455" s="116">
        <v>2492</v>
      </c>
      <c r="J455" s="118" t="s">
        <v>269</v>
      </c>
    </row>
    <row r="456" spans="1:10" x14ac:dyDescent="0.25">
      <c r="A456" s="116">
        <v>453</v>
      </c>
      <c r="B456" s="117" t="s">
        <v>1159</v>
      </c>
      <c r="C456" s="118" t="s">
        <v>1160</v>
      </c>
      <c r="D456" s="118" t="s">
        <v>453</v>
      </c>
      <c r="E456" s="118" t="s">
        <v>1144</v>
      </c>
      <c r="F456" s="119">
        <v>100</v>
      </c>
      <c r="G456" s="119">
        <v>106.06610000000001</v>
      </c>
      <c r="H456" s="119">
        <v>6.09</v>
      </c>
      <c r="I456" s="116">
        <v>2492</v>
      </c>
      <c r="J456" s="118" t="s">
        <v>269</v>
      </c>
    </row>
    <row r="457" spans="1:10" x14ac:dyDescent="0.25">
      <c r="A457" s="116">
        <v>454</v>
      </c>
      <c r="B457" s="117" t="s">
        <v>1161</v>
      </c>
      <c r="C457" s="118" t="s">
        <v>1162</v>
      </c>
      <c r="D457" s="118" t="s">
        <v>453</v>
      </c>
      <c r="E457" s="118" t="s">
        <v>65</v>
      </c>
      <c r="F457" s="119">
        <v>99.896342697520495</v>
      </c>
      <c r="G457" s="119">
        <v>109.3699426975205</v>
      </c>
      <c r="H457" s="119">
        <v>53.39</v>
      </c>
      <c r="I457" s="116">
        <v>1</v>
      </c>
      <c r="J457" s="118" t="s">
        <v>269</v>
      </c>
    </row>
    <row r="458" spans="1:10" x14ac:dyDescent="0.25">
      <c r="A458" s="116">
        <v>455</v>
      </c>
      <c r="B458" s="117" t="s">
        <v>1163</v>
      </c>
      <c r="C458" s="118" t="s">
        <v>1164</v>
      </c>
      <c r="D458" s="118" t="s">
        <v>443</v>
      </c>
      <c r="E458" s="118" t="s">
        <v>1165</v>
      </c>
      <c r="F458" s="119">
        <v>0.01</v>
      </c>
      <c r="G458" s="119">
        <v>0.01</v>
      </c>
      <c r="H458" s="119">
        <v>0</v>
      </c>
      <c r="I458" s="116">
        <v>0</v>
      </c>
      <c r="J458" s="118" t="s">
        <v>238</v>
      </c>
    </row>
    <row r="459" spans="1:10" x14ac:dyDescent="0.25">
      <c r="A459" s="116">
        <v>456</v>
      </c>
      <c r="B459" s="117" t="s">
        <v>1166</v>
      </c>
      <c r="C459" s="118" t="s">
        <v>1167</v>
      </c>
      <c r="D459" s="118" t="s">
        <v>443</v>
      </c>
      <c r="E459" s="118" t="s">
        <v>1168</v>
      </c>
      <c r="F459" s="119">
        <v>71</v>
      </c>
      <c r="G459" s="119">
        <v>71</v>
      </c>
      <c r="H459" s="119">
        <v>0</v>
      </c>
      <c r="I459" s="116">
        <v>0</v>
      </c>
      <c r="J459" s="118" t="s">
        <v>238</v>
      </c>
    </row>
    <row r="460" spans="1:10" x14ac:dyDescent="0.25">
      <c r="A460" s="116">
        <v>457</v>
      </c>
      <c r="B460" s="117" t="s">
        <v>85</v>
      </c>
      <c r="C460" s="118" t="s">
        <v>86</v>
      </c>
      <c r="D460" s="118" t="s">
        <v>443</v>
      </c>
      <c r="E460" s="118" t="s">
        <v>87</v>
      </c>
      <c r="F460" s="119">
        <v>22006.589740785301</v>
      </c>
      <c r="G460" s="119">
        <v>22006.589740785301</v>
      </c>
      <c r="H460" s="119">
        <v>0</v>
      </c>
      <c r="I460" s="116">
        <v>0</v>
      </c>
      <c r="J460" s="118" t="s">
        <v>238</v>
      </c>
    </row>
    <row r="461" spans="1:10" x14ac:dyDescent="0.25">
      <c r="A461" s="116">
        <v>458</v>
      </c>
      <c r="B461" s="117" t="s">
        <v>1169</v>
      </c>
      <c r="C461" s="118" t="s">
        <v>1170</v>
      </c>
      <c r="D461" s="118" t="s">
        <v>453</v>
      </c>
      <c r="E461" s="118" t="s">
        <v>87</v>
      </c>
      <c r="F461" s="119">
        <v>100.678</v>
      </c>
      <c r="G461" s="119">
        <v>100.69119999999999</v>
      </c>
      <c r="H461" s="119">
        <v>4.28</v>
      </c>
      <c r="I461" s="116">
        <v>539</v>
      </c>
      <c r="J461" s="118" t="s">
        <v>269</v>
      </c>
    </row>
    <row r="462" spans="1:10" x14ac:dyDescent="0.25">
      <c r="A462" s="116">
        <v>459</v>
      </c>
      <c r="B462" s="117" t="s">
        <v>88</v>
      </c>
      <c r="C462" s="118" t="s">
        <v>89</v>
      </c>
      <c r="D462" s="118" t="s">
        <v>453</v>
      </c>
      <c r="E462" s="118" t="s">
        <v>87</v>
      </c>
      <c r="F462" s="119">
        <v>94.504999999999995</v>
      </c>
      <c r="G462" s="119">
        <v>94.521000000000001</v>
      </c>
      <c r="H462" s="119">
        <v>6.22</v>
      </c>
      <c r="I462" s="116">
        <v>7739</v>
      </c>
      <c r="J462" s="118" t="s">
        <v>269</v>
      </c>
    </row>
    <row r="463" spans="1:10" x14ac:dyDescent="0.25">
      <c r="A463" s="116">
        <v>460</v>
      </c>
      <c r="B463" s="117" t="s">
        <v>90</v>
      </c>
      <c r="C463" s="118" t="s">
        <v>91</v>
      </c>
      <c r="D463" s="118" t="s">
        <v>453</v>
      </c>
      <c r="E463" s="118" t="s">
        <v>87</v>
      </c>
      <c r="F463" s="119">
        <v>102.905</v>
      </c>
      <c r="G463" s="119">
        <v>105.53279999999999</v>
      </c>
      <c r="H463" s="119">
        <v>4.6500000000000004</v>
      </c>
      <c r="I463" s="116">
        <v>1624</v>
      </c>
      <c r="J463" s="118" t="s">
        <v>269</v>
      </c>
    </row>
    <row r="464" spans="1:10" x14ac:dyDescent="0.25">
      <c r="A464" s="116">
        <v>461</v>
      </c>
      <c r="B464" s="117" t="s">
        <v>92</v>
      </c>
      <c r="C464" s="118" t="s">
        <v>93</v>
      </c>
      <c r="D464" s="118" t="s">
        <v>453</v>
      </c>
      <c r="E464" s="118" t="s">
        <v>87</v>
      </c>
      <c r="F464" s="119">
        <v>100.209</v>
      </c>
      <c r="G464" s="119">
        <v>103.3257</v>
      </c>
      <c r="H464" s="119">
        <v>6.36</v>
      </c>
      <c r="I464" s="116">
        <v>8284</v>
      </c>
      <c r="J464" s="118" t="s">
        <v>269</v>
      </c>
    </row>
    <row r="465" spans="1:10" x14ac:dyDescent="0.25">
      <c r="A465" s="116">
        <v>462</v>
      </c>
      <c r="B465" s="117" t="s">
        <v>94</v>
      </c>
      <c r="C465" s="118" t="s">
        <v>95</v>
      </c>
      <c r="D465" s="118" t="s">
        <v>453</v>
      </c>
      <c r="E465" s="118" t="s">
        <v>87</v>
      </c>
      <c r="F465" s="119">
        <v>90.585999999999999</v>
      </c>
      <c r="G465" s="119">
        <v>90.644300000000001</v>
      </c>
      <c r="H465" s="119">
        <v>5.0199999999999996</v>
      </c>
      <c r="I465" s="116">
        <v>2694</v>
      </c>
      <c r="J465" s="118" t="s">
        <v>269</v>
      </c>
    </row>
    <row r="466" spans="1:10" x14ac:dyDescent="0.25">
      <c r="A466" s="116">
        <v>463</v>
      </c>
      <c r="B466" s="117" t="s">
        <v>1174</v>
      </c>
      <c r="C466" s="118" t="s">
        <v>1175</v>
      </c>
      <c r="D466" s="118" t="s">
        <v>453</v>
      </c>
      <c r="E466" s="118" t="s">
        <v>1176</v>
      </c>
      <c r="F466" s="119">
        <v>100</v>
      </c>
      <c r="G466" s="119">
        <v>100.7792</v>
      </c>
      <c r="H466" s="119">
        <v>4.2300000000000004</v>
      </c>
      <c r="I466" s="116">
        <v>234</v>
      </c>
      <c r="J466" s="118" t="s">
        <v>269</v>
      </c>
    </row>
    <row r="467" spans="1:10" x14ac:dyDescent="0.25">
      <c r="A467" s="116">
        <v>464</v>
      </c>
      <c r="B467" s="117" t="s">
        <v>1177</v>
      </c>
      <c r="C467" s="118" t="s">
        <v>1178</v>
      </c>
      <c r="D467" s="118" t="s">
        <v>453</v>
      </c>
      <c r="E467" s="118" t="s">
        <v>1176</v>
      </c>
      <c r="F467" s="119">
        <v>100</v>
      </c>
      <c r="G467" s="119">
        <v>100.1371</v>
      </c>
      <c r="H467" s="119">
        <v>0.35</v>
      </c>
      <c r="I467" s="116">
        <v>39</v>
      </c>
      <c r="J467" s="118" t="s">
        <v>269</v>
      </c>
    </row>
    <row r="468" spans="1:10" x14ac:dyDescent="0.25">
      <c r="A468" s="116">
        <v>465</v>
      </c>
      <c r="B468" s="117" t="s">
        <v>1179</v>
      </c>
      <c r="C468" s="118" t="s">
        <v>1180</v>
      </c>
      <c r="D468" s="118" t="s">
        <v>453</v>
      </c>
      <c r="E468" s="118" t="s">
        <v>1176</v>
      </c>
      <c r="F468" s="119">
        <v>100</v>
      </c>
      <c r="G468" s="119">
        <v>100.0972</v>
      </c>
      <c r="H468" s="119">
        <v>0.35</v>
      </c>
      <c r="I468" s="116">
        <v>260</v>
      </c>
      <c r="J468" s="118" t="s">
        <v>269</v>
      </c>
    </row>
    <row r="469" spans="1:10" x14ac:dyDescent="0.25">
      <c r="A469" s="116">
        <v>466</v>
      </c>
      <c r="B469" s="117" t="s">
        <v>2113</v>
      </c>
      <c r="C469" s="118" t="s">
        <v>2114</v>
      </c>
      <c r="D469" s="118" t="s">
        <v>453</v>
      </c>
      <c r="E469" s="118" t="s">
        <v>1176</v>
      </c>
      <c r="F469" s="119">
        <v>100</v>
      </c>
      <c r="G469" s="119">
        <v>100.15170000000001</v>
      </c>
      <c r="H469" s="119">
        <v>0.35</v>
      </c>
      <c r="I469" s="116">
        <v>564</v>
      </c>
      <c r="J469" s="118" t="s">
        <v>269</v>
      </c>
    </row>
    <row r="470" spans="1:10" x14ac:dyDescent="0.25">
      <c r="A470" s="116">
        <v>467</v>
      </c>
      <c r="B470" s="117" t="s">
        <v>1936</v>
      </c>
      <c r="C470" s="118" t="s">
        <v>1937</v>
      </c>
      <c r="D470" s="118" t="s">
        <v>453</v>
      </c>
      <c r="E470" s="118" t="s">
        <v>1176</v>
      </c>
      <c r="F470" s="119">
        <v>100</v>
      </c>
      <c r="G470" s="119">
        <v>100.0168</v>
      </c>
      <c r="H470" s="119">
        <v>0.02</v>
      </c>
      <c r="I470" s="116">
        <v>3040</v>
      </c>
      <c r="J470" s="118" t="s">
        <v>269</v>
      </c>
    </row>
    <row r="471" spans="1:10" x14ac:dyDescent="0.25">
      <c r="A471" s="116">
        <v>468</v>
      </c>
      <c r="B471" s="117" t="s">
        <v>1181</v>
      </c>
      <c r="C471" s="118" t="s">
        <v>1182</v>
      </c>
      <c r="D471" s="118" t="s">
        <v>453</v>
      </c>
      <c r="E471" s="118" t="s">
        <v>1176</v>
      </c>
      <c r="F471" s="119">
        <v>100</v>
      </c>
      <c r="G471" s="119">
        <v>100.0067</v>
      </c>
      <c r="H471" s="119">
        <v>0.02</v>
      </c>
      <c r="I471" s="116">
        <v>3040</v>
      </c>
      <c r="J471" s="118" t="s">
        <v>269</v>
      </c>
    </row>
    <row r="472" spans="1:10" x14ac:dyDescent="0.25">
      <c r="A472" s="116">
        <v>469</v>
      </c>
      <c r="B472" s="117" t="s">
        <v>1183</v>
      </c>
      <c r="C472" s="118" t="s">
        <v>1184</v>
      </c>
      <c r="D472" s="118" t="s">
        <v>453</v>
      </c>
      <c r="E472" s="118" t="s">
        <v>1176</v>
      </c>
      <c r="F472" s="119">
        <v>100</v>
      </c>
      <c r="G472" s="119">
        <v>101.9486</v>
      </c>
      <c r="H472" s="119">
        <v>6.08</v>
      </c>
      <c r="I472" s="116">
        <v>1655</v>
      </c>
      <c r="J472" s="118" t="s">
        <v>269</v>
      </c>
    </row>
    <row r="473" spans="1:10" x14ac:dyDescent="0.25">
      <c r="A473" s="116">
        <v>470</v>
      </c>
      <c r="B473" s="117" t="s">
        <v>2310</v>
      </c>
      <c r="C473" s="118" t="s">
        <v>2311</v>
      </c>
      <c r="D473" s="118" t="s">
        <v>453</v>
      </c>
      <c r="E473" s="118" t="s">
        <v>1176</v>
      </c>
      <c r="F473" s="119">
        <v>90.081836475033526</v>
      </c>
      <c r="G473" s="119">
        <v>94.126236475033522</v>
      </c>
      <c r="H473" s="119">
        <v>20.56</v>
      </c>
      <c r="I473" s="116">
        <v>3520</v>
      </c>
      <c r="J473" s="118" t="s">
        <v>269</v>
      </c>
    </row>
    <row r="474" spans="1:10" x14ac:dyDescent="0.25">
      <c r="A474" s="116">
        <v>471</v>
      </c>
      <c r="B474" s="117" t="s">
        <v>2365</v>
      </c>
      <c r="C474" s="118" t="s">
        <v>2366</v>
      </c>
      <c r="D474" s="118" t="s">
        <v>453</v>
      </c>
      <c r="E474" s="118" t="s">
        <v>1176</v>
      </c>
      <c r="F474" s="119">
        <v>93.024053141473829</v>
      </c>
      <c r="G474" s="119">
        <v>95.701553141473823</v>
      </c>
      <c r="H474" s="119">
        <v>20.55</v>
      </c>
      <c r="I474" s="116">
        <v>3549</v>
      </c>
      <c r="J474" s="118" t="s">
        <v>269</v>
      </c>
    </row>
    <row r="475" spans="1:10" x14ac:dyDescent="0.25">
      <c r="A475" s="116">
        <v>472</v>
      </c>
      <c r="B475" s="117" t="s">
        <v>2367</v>
      </c>
      <c r="C475" s="118" t="s">
        <v>2368</v>
      </c>
      <c r="D475" s="118" t="s">
        <v>453</v>
      </c>
      <c r="E475" s="118" t="s">
        <v>1176</v>
      </c>
      <c r="F475" s="119">
        <v>93.024053141473829</v>
      </c>
      <c r="G475" s="119">
        <v>95.701553141473823</v>
      </c>
      <c r="H475" s="119">
        <v>20.55</v>
      </c>
      <c r="I475" s="116">
        <v>3549</v>
      </c>
      <c r="J475" s="118" t="s">
        <v>269</v>
      </c>
    </row>
    <row r="476" spans="1:10" x14ac:dyDescent="0.25">
      <c r="A476" s="116">
        <v>473</v>
      </c>
      <c r="B476" s="117" t="s">
        <v>1185</v>
      </c>
      <c r="C476" s="118" t="s">
        <v>1186</v>
      </c>
      <c r="D476" s="118" t="s">
        <v>453</v>
      </c>
      <c r="E476" s="118" t="s">
        <v>1176</v>
      </c>
      <c r="F476" s="119">
        <v>100</v>
      </c>
      <c r="G476" s="119">
        <v>101.1183</v>
      </c>
      <c r="H476" s="119">
        <v>6.08</v>
      </c>
      <c r="I476" s="116">
        <v>2064</v>
      </c>
      <c r="J476" s="118" t="s">
        <v>269</v>
      </c>
    </row>
    <row r="477" spans="1:10" x14ac:dyDescent="0.25">
      <c r="A477" s="116">
        <v>474</v>
      </c>
      <c r="B477" s="117" t="s">
        <v>1187</v>
      </c>
      <c r="C477" s="118" t="s">
        <v>1188</v>
      </c>
      <c r="D477" s="118" t="s">
        <v>453</v>
      </c>
      <c r="E477" s="118" t="s">
        <v>1176</v>
      </c>
      <c r="F477" s="119">
        <v>100</v>
      </c>
      <c r="G477" s="119">
        <v>106.06610000000001</v>
      </c>
      <c r="H477" s="119">
        <v>6.09</v>
      </c>
      <c r="I477" s="116">
        <v>2492</v>
      </c>
      <c r="J477" s="118" t="s">
        <v>269</v>
      </c>
    </row>
    <row r="478" spans="1:10" x14ac:dyDescent="0.25">
      <c r="A478" s="116">
        <v>475</v>
      </c>
      <c r="B478" s="117" t="s">
        <v>1189</v>
      </c>
      <c r="C478" s="118" t="s">
        <v>1190</v>
      </c>
      <c r="D478" s="118" t="s">
        <v>453</v>
      </c>
      <c r="E478" s="118" t="s">
        <v>1176</v>
      </c>
      <c r="F478" s="119">
        <v>100</v>
      </c>
      <c r="G478" s="119">
        <v>106.06610000000001</v>
      </c>
      <c r="H478" s="119">
        <v>6.09</v>
      </c>
      <c r="I478" s="116">
        <v>2492</v>
      </c>
      <c r="J478" s="118" t="s">
        <v>269</v>
      </c>
    </row>
    <row r="479" spans="1:10" x14ac:dyDescent="0.25">
      <c r="A479" s="116">
        <v>476</v>
      </c>
      <c r="B479" s="117" t="s">
        <v>1191</v>
      </c>
      <c r="C479" s="118" t="s">
        <v>1192</v>
      </c>
      <c r="D479" s="118" t="s">
        <v>453</v>
      </c>
      <c r="E479" s="118" t="s">
        <v>1176</v>
      </c>
      <c r="F479" s="119">
        <v>100</v>
      </c>
      <c r="G479" s="119">
        <v>104.9308</v>
      </c>
      <c r="H479" s="119">
        <v>6.08</v>
      </c>
      <c r="I479" s="116">
        <v>2559</v>
      </c>
      <c r="J479" s="118" t="s">
        <v>269</v>
      </c>
    </row>
    <row r="480" spans="1:10" x14ac:dyDescent="0.25">
      <c r="A480" s="116">
        <v>477</v>
      </c>
      <c r="B480" s="117" t="s">
        <v>1193</v>
      </c>
      <c r="C480" s="118" t="s">
        <v>1194</v>
      </c>
      <c r="D480" s="118" t="s">
        <v>443</v>
      </c>
      <c r="E480" s="118" t="s">
        <v>1195</v>
      </c>
      <c r="F480" s="119">
        <v>0.01</v>
      </c>
      <c r="G480" s="119">
        <v>0.01</v>
      </c>
      <c r="H480" s="119">
        <v>0</v>
      </c>
      <c r="I480" s="116">
        <v>0</v>
      </c>
      <c r="J480" s="118" t="s">
        <v>238</v>
      </c>
    </row>
    <row r="481" spans="1:10" x14ac:dyDescent="0.25">
      <c r="A481" s="116">
        <v>478</v>
      </c>
      <c r="B481" s="117" t="s">
        <v>1171</v>
      </c>
      <c r="C481" s="118" t="s">
        <v>1172</v>
      </c>
      <c r="D481" s="118" t="s">
        <v>443</v>
      </c>
      <c r="E481" s="118" t="s">
        <v>1173</v>
      </c>
      <c r="F481" s="119">
        <v>36694.053600000007</v>
      </c>
      <c r="G481" s="119">
        <v>36694.053600000007</v>
      </c>
      <c r="H481" s="119">
        <v>0</v>
      </c>
      <c r="I481" s="116">
        <v>0</v>
      </c>
      <c r="J481" s="118" t="s">
        <v>238</v>
      </c>
    </row>
    <row r="482" spans="1:10" x14ac:dyDescent="0.25">
      <c r="A482" s="116">
        <v>479</v>
      </c>
      <c r="B482" s="117" t="s">
        <v>1196</v>
      </c>
      <c r="C482" s="118" t="s">
        <v>1197</v>
      </c>
      <c r="D482" s="118" t="s">
        <v>453</v>
      </c>
      <c r="E482" s="118" t="s">
        <v>1198</v>
      </c>
      <c r="F482" s="119">
        <v>100</v>
      </c>
      <c r="G482" s="119">
        <v>101.8653</v>
      </c>
      <c r="H482" s="119">
        <v>4.24</v>
      </c>
      <c r="I482" s="116">
        <v>322</v>
      </c>
      <c r="J482" s="118" t="s">
        <v>269</v>
      </c>
    </row>
    <row r="483" spans="1:10" x14ac:dyDescent="0.25">
      <c r="A483" s="116">
        <v>480</v>
      </c>
      <c r="B483" s="117" t="s">
        <v>1199</v>
      </c>
      <c r="C483" s="118" t="s">
        <v>1200</v>
      </c>
      <c r="D483" s="118" t="s">
        <v>453</v>
      </c>
      <c r="E483" s="118" t="s">
        <v>1198</v>
      </c>
      <c r="F483" s="119">
        <v>100</v>
      </c>
      <c r="G483" s="119">
        <v>100.1439</v>
      </c>
      <c r="H483" s="119">
        <v>0.35</v>
      </c>
      <c r="I483" s="116">
        <v>32</v>
      </c>
      <c r="J483" s="118" t="s">
        <v>269</v>
      </c>
    </row>
    <row r="484" spans="1:10" x14ac:dyDescent="0.25">
      <c r="A484" s="116">
        <v>481</v>
      </c>
      <c r="B484" s="117" t="s">
        <v>1201</v>
      </c>
      <c r="C484" s="118" t="s">
        <v>1202</v>
      </c>
      <c r="D484" s="118" t="s">
        <v>453</v>
      </c>
      <c r="E484" s="118" t="s">
        <v>1198</v>
      </c>
      <c r="F484" s="119">
        <v>100</v>
      </c>
      <c r="G484" s="119">
        <v>100.0778</v>
      </c>
      <c r="H484" s="119">
        <v>0.35</v>
      </c>
      <c r="I484" s="116">
        <v>280</v>
      </c>
      <c r="J484" s="118" t="s">
        <v>269</v>
      </c>
    </row>
    <row r="485" spans="1:10" x14ac:dyDescent="0.25">
      <c r="A485" s="116">
        <v>482</v>
      </c>
      <c r="B485" s="117" t="s">
        <v>2080</v>
      </c>
      <c r="C485" s="118" t="s">
        <v>2081</v>
      </c>
      <c r="D485" s="118" t="s">
        <v>453</v>
      </c>
      <c r="E485" s="118" t="s">
        <v>1198</v>
      </c>
      <c r="F485" s="119">
        <v>100</v>
      </c>
      <c r="G485" s="119">
        <v>100.00190000000001</v>
      </c>
      <c r="H485" s="119">
        <v>0.35</v>
      </c>
      <c r="I485" s="116">
        <v>538</v>
      </c>
      <c r="J485" s="118" t="s">
        <v>269</v>
      </c>
    </row>
    <row r="486" spans="1:10" x14ac:dyDescent="0.25">
      <c r="A486" s="116">
        <v>483</v>
      </c>
      <c r="B486" s="117" t="s">
        <v>1203</v>
      </c>
      <c r="C486" s="118" t="s">
        <v>1204</v>
      </c>
      <c r="D486" s="118" t="s">
        <v>453</v>
      </c>
      <c r="E486" s="118" t="s">
        <v>1198</v>
      </c>
      <c r="F486" s="119">
        <v>100</v>
      </c>
      <c r="G486" s="119">
        <v>100.0042</v>
      </c>
      <c r="H486" s="119">
        <v>0.02</v>
      </c>
      <c r="I486" s="116">
        <v>3040</v>
      </c>
      <c r="J486" s="118" t="s">
        <v>269</v>
      </c>
    </row>
    <row r="487" spans="1:10" x14ac:dyDescent="0.25">
      <c r="A487" s="116">
        <v>484</v>
      </c>
      <c r="B487" s="117" t="s">
        <v>1205</v>
      </c>
      <c r="C487" s="118" t="s">
        <v>1206</v>
      </c>
      <c r="D487" s="118" t="s">
        <v>453</v>
      </c>
      <c r="E487" s="118" t="s">
        <v>1198</v>
      </c>
      <c r="F487" s="119">
        <v>100</v>
      </c>
      <c r="G487" s="119">
        <v>100.00709999999999</v>
      </c>
      <c r="H487" s="119">
        <v>0.02</v>
      </c>
      <c r="I487" s="116">
        <v>3040</v>
      </c>
      <c r="J487" s="118" t="s">
        <v>269</v>
      </c>
    </row>
    <row r="488" spans="1:10" x14ac:dyDescent="0.25">
      <c r="A488" s="116">
        <v>485</v>
      </c>
      <c r="B488" s="117" t="s">
        <v>1207</v>
      </c>
      <c r="C488" s="118" t="s">
        <v>1208</v>
      </c>
      <c r="D488" s="118" t="s">
        <v>453</v>
      </c>
      <c r="E488" s="118" t="s">
        <v>1198</v>
      </c>
      <c r="F488" s="119">
        <v>100</v>
      </c>
      <c r="G488" s="119">
        <v>101.9486</v>
      </c>
      <c r="H488" s="119">
        <v>6.08</v>
      </c>
      <c r="I488" s="116">
        <v>1655</v>
      </c>
      <c r="J488" s="118" t="s">
        <v>269</v>
      </c>
    </row>
    <row r="489" spans="1:10" x14ac:dyDescent="0.25">
      <c r="A489" s="116">
        <v>486</v>
      </c>
      <c r="B489" s="117" t="s">
        <v>1209</v>
      </c>
      <c r="C489" s="118" t="s">
        <v>1210</v>
      </c>
      <c r="D489" s="118" t="s">
        <v>453</v>
      </c>
      <c r="E489" s="118" t="s">
        <v>1198</v>
      </c>
      <c r="F489" s="119">
        <v>100</v>
      </c>
      <c r="G489" s="119">
        <v>106.9619</v>
      </c>
      <c r="H489" s="119">
        <v>7.08</v>
      </c>
      <c r="I489" s="116">
        <v>2137</v>
      </c>
      <c r="J489" s="118" t="s">
        <v>269</v>
      </c>
    </row>
    <row r="490" spans="1:10" x14ac:dyDescent="0.25">
      <c r="A490" s="116">
        <v>487</v>
      </c>
      <c r="B490" s="117" t="s">
        <v>2250</v>
      </c>
      <c r="C490" s="118" t="s">
        <v>2251</v>
      </c>
      <c r="D490" s="118" t="s">
        <v>453</v>
      </c>
      <c r="E490" s="118" t="s">
        <v>1198</v>
      </c>
      <c r="F490" s="119">
        <v>90.103829909734245</v>
      </c>
      <c r="G490" s="119">
        <v>94.754929909734244</v>
      </c>
      <c r="H490" s="119">
        <v>20.55</v>
      </c>
      <c r="I490" s="116">
        <v>3508</v>
      </c>
      <c r="J490" s="118" t="s">
        <v>269</v>
      </c>
    </row>
    <row r="491" spans="1:10" x14ac:dyDescent="0.25">
      <c r="A491" s="116">
        <v>488</v>
      </c>
      <c r="B491" s="117" t="s">
        <v>2369</v>
      </c>
      <c r="C491" s="118" t="s">
        <v>2370</v>
      </c>
      <c r="D491" s="118" t="s">
        <v>453</v>
      </c>
      <c r="E491" s="118" t="s">
        <v>1198</v>
      </c>
      <c r="F491" s="119">
        <v>93.024053141473829</v>
      </c>
      <c r="G491" s="119">
        <v>95.701553141473823</v>
      </c>
      <c r="H491" s="119">
        <v>20.55</v>
      </c>
      <c r="I491" s="116">
        <v>3549</v>
      </c>
      <c r="J491" s="118" t="s">
        <v>269</v>
      </c>
    </row>
    <row r="492" spans="1:10" x14ac:dyDescent="0.25">
      <c r="A492" s="116">
        <v>489</v>
      </c>
      <c r="B492" s="117" t="s">
        <v>1211</v>
      </c>
      <c r="C492" s="118" t="s">
        <v>1212</v>
      </c>
      <c r="D492" s="118" t="s">
        <v>453</v>
      </c>
      <c r="E492" s="118" t="s">
        <v>1198</v>
      </c>
      <c r="F492" s="119">
        <v>100</v>
      </c>
      <c r="G492" s="119">
        <v>101.1183</v>
      </c>
      <c r="H492" s="119">
        <v>6.08</v>
      </c>
      <c r="I492" s="116">
        <v>2064</v>
      </c>
      <c r="J492" s="118" t="s">
        <v>269</v>
      </c>
    </row>
    <row r="493" spans="1:10" x14ac:dyDescent="0.25">
      <c r="A493" s="116">
        <v>490</v>
      </c>
      <c r="B493" s="117" t="s">
        <v>1213</v>
      </c>
      <c r="C493" s="118" t="s">
        <v>1214</v>
      </c>
      <c r="D493" s="118" t="s">
        <v>453</v>
      </c>
      <c r="E493" s="118" t="s">
        <v>1198</v>
      </c>
      <c r="F493" s="119">
        <v>100</v>
      </c>
      <c r="G493" s="119">
        <v>106.06610000000001</v>
      </c>
      <c r="H493" s="119">
        <v>6.09</v>
      </c>
      <c r="I493" s="116">
        <v>2492</v>
      </c>
      <c r="J493" s="118" t="s">
        <v>269</v>
      </c>
    </row>
    <row r="494" spans="1:10" x14ac:dyDescent="0.25">
      <c r="A494" s="116">
        <v>491</v>
      </c>
      <c r="B494" s="117" t="s">
        <v>1215</v>
      </c>
      <c r="C494" s="118" t="s">
        <v>1216</v>
      </c>
      <c r="D494" s="118" t="s">
        <v>453</v>
      </c>
      <c r="E494" s="118" t="s">
        <v>1198</v>
      </c>
      <c r="F494" s="119">
        <v>100</v>
      </c>
      <c r="G494" s="119">
        <v>106.06610000000001</v>
      </c>
      <c r="H494" s="119">
        <v>6.09</v>
      </c>
      <c r="I494" s="116">
        <v>2492</v>
      </c>
      <c r="J494" s="118" t="s">
        <v>269</v>
      </c>
    </row>
    <row r="495" spans="1:10" x14ac:dyDescent="0.25">
      <c r="A495" s="116">
        <v>492</v>
      </c>
      <c r="B495" s="117" t="s">
        <v>1217</v>
      </c>
      <c r="C495" s="118" t="s">
        <v>1218</v>
      </c>
      <c r="D495" s="118" t="s">
        <v>453</v>
      </c>
      <c r="E495" s="118" t="s">
        <v>1198</v>
      </c>
      <c r="F495" s="119">
        <v>100</v>
      </c>
      <c r="G495" s="119">
        <v>104.9308</v>
      </c>
      <c r="H495" s="119">
        <v>6.08</v>
      </c>
      <c r="I495" s="116">
        <v>2559</v>
      </c>
      <c r="J495" s="118" t="s">
        <v>269</v>
      </c>
    </row>
    <row r="496" spans="1:10" x14ac:dyDescent="0.25">
      <c r="A496" s="116">
        <v>493</v>
      </c>
      <c r="B496" s="117" t="s">
        <v>1219</v>
      </c>
      <c r="C496" s="118" t="s">
        <v>1220</v>
      </c>
      <c r="D496" s="118" t="s">
        <v>443</v>
      </c>
      <c r="E496" s="118" t="s">
        <v>1221</v>
      </c>
      <c r="F496" s="119">
        <v>0.01</v>
      </c>
      <c r="G496" s="119">
        <v>0.01</v>
      </c>
      <c r="H496" s="119">
        <v>0</v>
      </c>
      <c r="I496" s="116">
        <v>0</v>
      </c>
      <c r="J496" s="118" t="s">
        <v>238</v>
      </c>
    </row>
    <row r="497" spans="1:10" x14ac:dyDescent="0.25">
      <c r="A497" s="116">
        <v>494</v>
      </c>
      <c r="B497" s="117" t="s">
        <v>96</v>
      </c>
      <c r="C497" s="118" t="s">
        <v>97</v>
      </c>
      <c r="D497" s="118" t="s">
        <v>443</v>
      </c>
      <c r="E497" s="118" t="s">
        <v>98</v>
      </c>
      <c r="F497" s="119">
        <v>41911.541421850197</v>
      </c>
      <c r="G497" s="119">
        <v>41911.541421850197</v>
      </c>
      <c r="H497" s="119">
        <v>0</v>
      </c>
      <c r="I497" s="116">
        <v>0</v>
      </c>
      <c r="J497" s="118" t="s">
        <v>238</v>
      </c>
    </row>
    <row r="498" spans="1:10" x14ac:dyDescent="0.25">
      <c r="A498" s="116">
        <v>495</v>
      </c>
      <c r="B498" s="117" t="s">
        <v>99</v>
      </c>
      <c r="C498" s="118" t="s">
        <v>100</v>
      </c>
      <c r="D498" s="118" t="s">
        <v>520</v>
      </c>
      <c r="E498" s="118" t="s">
        <v>98</v>
      </c>
      <c r="F498" s="119">
        <v>40574.618396587561</v>
      </c>
      <c r="G498" s="119">
        <v>40574.618396587561</v>
      </c>
      <c r="H498" s="119">
        <v>0</v>
      </c>
      <c r="I498" s="116">
        <v>0</v>
      </c>
      <c r="J498" s="118" t="s">
        <v>238</v>
      </c>
    </row>
    <row r="499" spans="1:10" x14ac:dyDescent="0.25">
      <c r="A499" s="116">
        <v>496</v>
      </c>
      <c r="B499" s="117" t="s">
        <v>1222</v>
      </c>
      <c r="C499" s="118" t="s">
        <v>1223</v>
      </c>
      <c r="D499" s="118" t="s">
        <v>453</v>
      </c>
      <c r="E499" s="118" t="s">
        <v>1224</v>
      </c>
      <c r="F499" s="119">
        <v>98.085034059645153</v>
      </c>
      <c r="G499" s="119">
        <v>100.62673405964514</v>
      </c>
      <c r="H499" s="119">
        <v>19.899999999999999</v>
      </c>
      <c r="I499" s="116">
        <v>58</v>
      </c>
      <c r="J499" s="118" t="s">
        <v>269</v>
      </c>
    </row>
    <row r="500" spans="1:10" x14ac:dyDescent="0.25">
      <c r="A500" s="116">
        <v>497</v>
      </c>
      <c r="B500" s="117" t="s">
        <v>1225</v>
      </c>
      <c r="C500" s="118" t="s">
        <v>1226</v>
      </c>
      <c r="D500" s="118" t="s">
        <v>443</v>
      </c>
      <c r="E500" s="118" t="s">
        <v>1227</v>
      </c>
      <c r="F500" s="119">
        <v>254.86263600000004</v>
      </c>
      <c r="G500" s="119">
        <v>254.86263600000004</v>
      </c>
      <c r="H500" s="119">
        <v>0</v>
      </c>
      <c r="I500" s="116">
        <v>0</v>
      </c>
      <c r="J500" s="118" t="s">
        <v>238</v>
      </c>
    </row>
    <row r="501" spans="1:10" x14ac:dyDescent="0.25">
      <c r="A501" s="116">
        <v>498</v>
      </c>
      <c r="B501" s="117" t="s">
        <v>1250</v>
      </c>
      <c r="C501" s="118" t="s">
        <v>1251</v>
      </c>
      <c r="D501" s="118" t="s">
        <v>453</v>
      </c>
      <c r="E501" s="118" t="s">
        <v>385</v>
      </c>
      <c r="F501" s="119">
        <v>82.362236599143813</v>
      </c>
      <c r="G501" s="119">
        <v>87.237236599143813</v>
      </c>
      <c r="H501" s="119">
        <v>20.09</v>
      </c>
      <c r="I501" s="116">
        <v>2223</v>
      </c>
      <c r="J501" s="118" t="s">
        <v>269</v>
      </c>
    </row>
    <row r="502" spans="1:10" x14ac:dyDescent="0.25">
      <c r="A502" s="116">
        <v>499</v>
      </c>
      <c r="B502" s="117" t="s">
        <v>1252</v>
      </c>
      <c r="C502" s="118" t="s">
        <v>1253</v>
      </c>
      <c r="D502" s="118" t="s">
        <v>453</v>
      </c>
      <c r="E502" s="118" t="s">
        <v>385</v>
      </c>
      <c r="F502" s="119">
        <v>93.968257793044657</v>
      </c>
      <c r="G502" s="119">
        <v>98.557157793044652</v>
      </c>
      <c r="H502" s="119">
        <v>19.95</v>
      </c>
      <c r="I502" s="116">
        <v>422</v>
      </c>
      <c r="J502" s="118" t="s">
        <v>269</v>
      </c>
    </row>
    <row r="503" spans="1:10" x14ac:dyDescent="0.25">
      <c r="A503" s="116">
        <v>500</v>
      </c>
      <c r="B503" s="117" t="s">
        <v>1254</v>
      </c>
      <c r="C503" s="118" t="s">
        <v>1255</v>
      </c>
      <c r="D503" s="118" t="s">
        <v>443</v>
      </c>
      <c r="E503" s="118" t="s">
        <v>385</v>
      </c>
      <c r="F503" s="119">
        <v>0.01</v>
      </c>
      <c r="G503" s="119">
        <v>0.01</v>
      </c>
      <c r="H503" s="119">
        <v>0</v>
      </c>
      <c r="I503" s="116">
        <v>969</v>
      </c>
      <c r="J503" s="118" t="s">
        <v>238</v>
      </c>
    </row>
    <row r="504" spans="1:10" x14ac:dyDescent="0.25">
      <c r="A504" s="116">
        <v>501</v>
      </c>
      <c r="B504" s="117" t="s">
        <v>1256</v>
      </c>
      <c r="C504" s="118" t="s">
        <v>1257</v>
      </c>
      <c r="D504" s="118" t="s">
        <v>453</v>
      </c>
      <c r="E504" s="118" t="s">
        <v>385</v>
      </c>
      <c r="F504" s="119">
        <v>58.299424054570672</v>
      </c>
      <c r="G504" s="119">
        <v>67.21612405457067</v>
      </c>
      <c r="H504" s="119">
        <v>21.16</v>
      </c>
      <c r="I504" s="116">
        <v>2919</v>
      </c>
      <c r="J504" s="118" t="s">
        <v>269</v>
      </c>
    </row>
    <row r="505" spans="1:10" x14ac:dyDescent="0.25">
      <c r="A505" s="116">
        <v>502</v>
      </c>
      <c r="B505" s="117" t="s">
        <v>101</v>
      </c>
      <c r="C505" s="118" t="s">
        <v>102</v>
      </c>
      <c r="D505" s="118" t="s">
        <v>443</v>
      </c>
      <c r="E505" s="118" t="s">
        <v>386</v>
      </c>
      <c r="F505" s="119">
        <v>29928.188448700803</v>
      </c>
      <c r="G505" s="119">
        <v>29928.188448700803</v>
      </c>
      <c r="H505" s="119">
        <v>0</v>
      </c>
      <c r="I505" s="116">
        <v>0</v>
      </c>
      <c r="J505" s="118" t="s">
        <v>238</v>
      </c>
    </row>
    <row r="506" spans="1:10" x14ac:dyDescent="0.25">
      <c r="A506" s="116">
        <v>503</v>
      </c>
      <c r="B506" s="117" t="s">
        <v>1258</v>
      </c>
      <c r="C506" s="118" t="s">
        <v>1259</v>
      </c>
      <c r="D506" s="118" t="s">
        <v>520</v>
      </c>
      <c r="E506" s="118" t="s">
        <v>386</v>
      </c>
      <c r="F506" s="119">
        <v>28823.936000000005</v>
      </c>
      <c r="G506" s="119">
        <v>28823.936000000005</v>
      </c>
      <c r="H506" s="119">
        <v>0</v>
      </c>
      <c r="I506" s="116">
        <v>0</v>
      </c>
      <c r="J506" s="118" t="s">
        <v>238</v>
      </c>
    </row>
    <row r="507" spans="1:10" x14ac:dyDescent="0.25">
      <c r="A507" s="116">
        <v>504</v>
      </c>
      <c r="B507" s="117" t="s">
        <v>1260</v>
      </c>
      <c r="C507" s="118" t="s">
        <v>1261</v>
      </c>
      <c r="D507" s="118" t="s">
        <v>443</v>
      </c>
      <c r="E507" s="118" t="s">
        <v>1262</v>
      </c>
      <c r="F507" s="119">
        <v>0.01</v>
      </c>
      <c r="G507" s="119">
        <v>0.01</v>
      </c>
      <c r="H507" s="119">
        <v>0</v>
      </c>
      <c r="I507" s="116">
        <v>0</v>
      </c>
      <c r="J507" s="118" t="s">
        <v>238</v>
      </c>
    </row>
    <row r="508" spans="1:10" x14ac:dyDescent="0.25">
      <c r="A508" s="116">
        <v>505</v>
      </c>
      <c r="B508" s="117" t="s">
        <v>1263</v>
      </c>
      <c r="C508" s="118" t="s">
        <v>1264</v>
      </c>
      <c r="D508" s="118" t="s">
        <v>443</v>
      </c>
      <c r="E508" s="118" t="s">
        <v>1265</v>
      </c>
      <c r="F508" s="119">
        <v>13473.57</v>
      </c>
      <c r="G508" s="119">
        <v>13473.57</v>
      </c>
      <c r="H508" s="119">
        <v>0</v>
      </c>
      <c r="I508" s="116">
        <v>0</v>
      </c>
      <c r="J508" s="118" t="s">
        <v>238</v>
      </c>
    </row>
    <row r="509" spans="1:10" x14ac:dyDescent="0.25">
      <c r="A509" s="116">
        <v>506</v>
      </c>
      <c r="B509" s="117" t="s">
        <v>1266</v>
      </c>
      <c r="C509" s="118" t="s">
        <v>1267</v>
      </c>
      <c r="D509" s="118" t="s">
        <v>453</v>
      </c>
      <c r="E509" s="118" t="s">
        <v>1265</v>
      </c>
      <c r="F509" s="119">
        <v>78.703981391780701</v>
      </c>
      <c r="G509" s="119">
        <v>79.17068139178069</v>
      </c>
      <c r="H509" s="119">
        <v>20.309999999999999</v>
      </c>
      <c r="I509" s="116">
        <v>2148</v>
      </c>
      <c r="J509" s="118" t="s">
        <v>269</v>
      </c>
    </row>
    <row r="510" spans="1:10" x14ac:dyDescent="0.25">
      <c r="A510" s="116">
        <v>507</v>
      </c>
      <c r="B510" s="117" t="s">
        <v>1268</v>
      </c>
      <c r="C510" s="118" t="s">
        <v>1269</v>
      </c>
      <c r="D510" s="118" t="s">
        <v>443</v>
      </c>
      <c r="E510" s="118" t="s">
        <v>816</v>
      </c>
      <c r="F510" s="119">
        <v>0.01</v>
      </c>
      <c r="G510" s="119">
        <v>0.01</v>
      </c>
      <c r="H510" s="119">
        <v>0</v>
      </c>
      <c r="I510" s="116">
        <v>0</v>
      </c>
      <c r="J510" s="118" t="s">
        <v>238</v>
      </c>
    </row>
    <row r="511" spans="1:10" x14ac:dyDescent="0.25">
      <c r="A511" s="116">
        <v>508</v>
      </c>
      <c r="B511" s="117" t="s">
        <v>1270</v>
      </c>
      <c r="C511" s="118" t="s">
        <v>1271</v>
      </c>
      <c r="D511" s="118" t="s">
        <v>453</v>
      </c>
      <c r="E511" s="118" t="s">
        <v>816</v>
      </c>
      <c r="F511" s="119">
        <v>85.333272838936836</v>
      </c>
      <c r="G511" s="119">
        <v>88.97907283893683</v>
      </c>
      <c r="H511" s="119">
        <v>19.09</v>
      </c>
      <c r="I511" s="116">
        <v>775</v>
      </c>
      <c r="J511" s="118" t="s">
        <v>269</v>
      </c>
    </row>
    <row r="512" spans="1:10" x14ac:dyDescent="0.25">
      <c r="A512" s="116">
        <v>509</v>
      </c>
      <c r="B512" s="117" t="s">
        <v>1272</v>
      </c>
      <c r="C512" s="118" t="s">
        <v>1273</v>
      </c>
      <c r="D512" s="118" t="s">
        <v>453</v>
      </c>
      <c r="E512" s="118" t="s">
        <v>816</v>
      </c>
      <c r="F512" s="119">
        <v>1.7680637718077343</v>
      </c>
      <c r="G512" s="119">
        <v>1.7761637718077343</v>
      </c>
      <c r="H512" s="119">
        <v>18.96</v>
      </c>
      <c r="I512" s="116">
        <v>8521</v>
      </c>
      <c r="J512" s="118" t="s">
        <v>269</v>
      </c>
    </row>
    <row r="513" spans="1:10" x14ac:dyDescent="0.25">
      <c r="A513" s="116">
        <v>510</v>
      </c>
      <c r="B513" s="117" t="s">
        <v>1274</v>
      </c>
      <c r="C513" s="118" t="s">
        <v>1275</v>
      </c>
      <c r="D513" s="118" t="s">
        <v>453</v>
      </c>
      <c r="E513" s="118" t="s">
        <v>816</v>
      </c>
      <c r="F513" s="119">
        <v>1.5344724990448659</v>
      </c>
      <c r="G513" s="119">
        <v>1.5550724990448659</v>
      </c>
      <c r="H513" s="119">
        <v>18.96</v>
      </c>
      <c r="I513" s="116">
        <v>8926</v>
      </c>
      <c r="J513" s="118" t="s">
        <v>269</v>
      </c>
    </row>
    <row r="514" spans="1:10" x14ac:dyDescent="0.25">
      <c r="A514" s="116">
        <v>511</v>
      </c>
      <c r="B514" s="117" t="s">
        <v>1276</v>
      </c>
      <c r="C514" s="118" t="s">
        <v>1277</v>
      </c>
      <c r="D514" s="118" t="s">
        <v>453</v>
      </c>
      <c r="E514" s="118" t="s">
        <v>816</v>
      </c>
      <c r="F514" s="119">
        <v>96.995709914788108</v>
      </c>
      <c r="G514" s="119">
        <v>98.590109914788115</v>
      </c>
      <c r="H514" s="119">
        <v>19.53</v>
      </c>
      <c r="I514" s="116">
        <v>124</v>
      </c>
      <c r="J514" s="118" t="s">
        <v>269</v>
      </c>
    </row>
    <row r="515" spans="1:10" x14ac:dyDescent="0.25">
      <c r="A515" s="116">
        <v>512</v>
      </c>
      <c r="B515" s="117" t="s">
        <v>1278</v>
      </c>
      <c r="C515" s="118" t="s">
        <v>1279</v>
      </c>
      <c r="D515" s="118" t="s">
        <v>453</v>
      </c>
      <c r="E515" s="118" t="s">
        <v>816</v>
      </c>
      <c r="F515" s="119">
        <v>1.0619376016984905</v>
      </c>
      <c r="G515" s="119">
        <v>1.0652376016984906</v>
      </c>
      <c r="H515" s="119">
        <v>18.96</v>
      </c>
      <c r="I515" s="116">
        <v>10158</v>
      </c>
      <c r="J515" s="118" t="s">
        <v>269</v>
      </c>
    </row>
    <row r="516" spans="1:10" x14ac:dyDescent="0.25">
      <c r="A516" s="116">
        <v>513</v>
      </c>
      <c r="B516" s="117" t="s">
        <v>1280</v>
      </c>
      <c r="C516" s="118" t="s">
        <v>1281</v>
      </c>
      <c r="D516" s="118" t="s">
        <v>453</v>
      </c>
      <c r="E516" s="118" t="s">
        <v>816</v>
      </c>
      <c r="F516" s="119">
        <v>1.4200800009083967</v>
      </c>
      <c r="G516" s="119">
        <v>1.4253800009083966</v>
      </c>
      <c r="H516" s="119">
        <v>18.96</v>
      </c>
      <c r="I516" s="116">
        <v>9161</v>
      </c>
      <c r="J516" s="118" t="s">
        <v>269</v>
      </c>
    </row>
    <row r="517" spans="1:10" x14ac:dyDescent="0.25">
      <c r="A517" s="116">
        <v>514</v>
      </c>
      <c r="B517" s="117" t="s">
        <v>1282</v>
      </c>
      <c r="C517" s="118" t="s">
        <v>1283</v>
      </c>
      <c r="D517" s="118" t="s">
        <v>453</v>
      </c>
      <c r="E517" s="118" t="s">
        <v>816</v>
      </c>
      <c r="F517" s="119">
        <v>48.390898718380612</v>
      </c>
      <c r="G517" s="119">
        <v>53.257098718380611</v>
      </c>
      <c r="H517" s="119">
        <v>20.21</v>
      </c>
      <c r="I517" s="116">
        <v>2589</v>
      </c>
      <c r="J517" s="118" t="s">
        <v>269</v>
      </c>
    </row>
    <row r="518" spans="1:10" x14ac:dyDescent="0.25">
      <c r="A518" s="116">
        <v>515</v>
      </c>
      <c r="B518" s="117" t="s">
        <v>1284</v>
      </c>
      <c r="C518" s="118" t="s">
        <v>1285</v>
      </c>
      <c r="D518" s="118" t="s">
        <v>453</v>
      </c>
      <c r="E518" s="118" t="s">
        <v>816</v>
      </c>
      <c r="F518" s="119">
        <v>68.595542666439769</v>
      </c>
      <c r="G518" s="119">
        <v>71.159242666439766</v>
      </c>
      <c r="H518" s="119">
        <v>19.2</v>
      </c>
      <c r="I518" s="116">
        <v>1695</v>
      </c>
      <c r="J518" s="118" t="s">
        <v>269</v>
      </c>
    </row>
    <row r="519" spans="1:10" x14ac:dyDescent="0.25">
      <c r="A519" s="116">
        <v>516</v>
      </c>
      <c r="B519" s="117" t="s">
        <v>1286</v>
      </c>
      <c r="C519" s="118" t="s">
        <v>1287</v>
      </c>
      <c r="D519" s="118" t="s">
        <v>453</v>
      </c>
      <c r="E519" s="118" t="s">
        <v>816</v>
      </c>
      <c r="F519" s="119">
        <v>1.2906113130110157</v>
      </c>
      <c r="G519" s="119">
        <v>1.3117113130110158</v>
      </c>
      <c r="H519" s="119">
        <v>18.96</v>
      </c>
      <c r="I519" s="116">
        <v>9464</v>
      </c>
      <c r="J519" s="118" t="s">
        <v>269</v>
      </c>
    </row>
    <row r="520" spans="1:10" x14ac:dyDescent="0.25">
      <c r="A520" s="116">
        <v>517</v>
      </c>
      <c r="B520" s="117" t="s">
        <v>1288</v>
      </c>
      <c r="C520" s="118" t="s">
        <v>1289</v>
      </c>
      <c r="D520" s="118" t="s">
        <v>453</v>
      </c>
      <c r="E520" s="118" t="s">
        <v>816</v>
      </c>
      <c r="F520" s="119">
        <v>56.35600595833381</v>
      </c>
      <c r="G520" s="119">
        <v>63.239505958333808</v>
      </c>
      <c r="H520" s="119">
        <v>20.170000000000002</v>
      </c>
      <c r="I520" s="116">
        <v>2167</v>
      </c>
      <c r="J520" s="118" t="s">
        <v>269</v>
      </c>
    </row>
    <row r="521" spans="1:10" x14ac:dyDescent="0.25">
      <c r="A521" s="116">
        <v>518</v>
      </c>
      <c r="B521" s="117" t="s">
        <v>1290</v>
      </c>
      <c r="C521" s="118" t="s">
        <v>1291</v>
      </c>
      <c r="D521" s="118" t="s">
        <v>443</v>
      </c>
      <c r="E521" s="118" t="s">
        <v>816</v>
      </c>
      <c r="F521" s="119">
        <v>1000</v>
      </c>
      <c r="G521" s="119">
        <v>1000</v>
      </c>
      <c r="H521" s="119">
        <v>0</v>
      </c>
      <c r="I521" s="116">
        <v>1692</v>
      </c>
      <c r="J521" s="118" t="s">
        <v>238</v>
      </c>
    </row>
    <row r="522" spans="1:10" x14ac:dyDescent="0.25">
      <c r="A522" s="116">
        <v>519</v>
      </c>
      <c r="B522" s="117" t="s">
        <v>1292</v>
      </c>
      <c r="C522" s="118" t="s">
        <v>1293</v>
      </c>
      <c r="D522" s="118" t="s">
        <v>453</v>
      </c>
      <c r="E522" s="118" t="s">
        <v>816</v>
      </c>
      <c r="F522" s="119">
        <v>31.87619704424133</v>
      </c>
      <c r="G522" s="119">
        <v>32.989997044241328</v>
      </c>
      <c r="H522" s="119">
        <v>19.32</v>
      </c>
      <c r="I522" s="116">
        <v>3861</v>
      </c>
      <c r="J522" s="118" t="s">
        <v>269</v>
      </c>
    </row>
    <row r="523" spans="1:10" x14ac:dyDescent="0.25">
      <c r="A523" s="116">
        <v>520</v>
      </c>
      <c r="B523" s="117" t="s">
        <v>2296</v>
      </c>
      <c r="C523" s="118" t="s">
        <v>2297</v>
      </c>
      <c r="D523" s="118" t="s">
        <v>453</v>
      </c>
      <c r="E523" s="118" t="s">
        <v>816</v>
      </c>
      <c r="F523" s="119">
        <v>93.661860015116659</v>
      </c>
      <c r="G523" s="119">
        <v>97.96186001511667</v>
      </c>
      <c r="H523" s="119">
        <v>20.09</v>
      </c>
      <c r="I523" s="116">
        <v>1714</v>
      </c>
      <c r="J523" s="118" t="s">
        <v>269</v>
      </c>
    </row>
    <row r="524" spans="1:10" x14ac:dyDescent="0.25">
      <c r="A524" s="116">
        <v>521</v>
      </c>
      <c r="B524" s="117" t="s">
        <v>2426</v>
      </c>
      <c r="C524" s="118" t="s">
        <v>2350</v>
      </c>
      <c r="D524" s="118" t="s">
        <v>453</v>
      </c>
      <c r="E524" s="118" t="s">
        <v>816</v>
      </c>
      <c r="F524" s="119">
        <v>97.132106016867695</v>
      </c>
      <c r="G524" s="119">
        <v>99.885206016867699</v>
      </c>
      <c r="H524" s="119">
        <v>20.010000000000002</v>
      </c>
      <c r="I524" s="116">
        <v>1027</v>
      </c>
      <c r="J524" s="118" t="s">
        <v>269</v>
      </c>
    </row>
    <row r="525" spans="1:10" x14ac:dyDescent="0.25">
      <c r="A525" s="116">
        <v>522</v>
      </c>
      <c r="B525" s="117" t="s">
        <v>2427</v>
      </c>
      <c r="C525" s="118" t="s">
        <v>2428</v>
      </c>
      <c r="D525" s="118" t="s">
        <v>453</v>
      </c>
      <c r="E525" s="118" t="s">
        <v>816</v>
      </c>
      <c r="F525" s="119">
        <v>97.132106016867695</v>
      </c>
      <c r="G525" s="119">
        <v>99.885206016867699</v>
      </c>
      <c r="H525" s="119">
        <v>20.010000000000002</v>
      </c>
      <c r="I525" s="116">
        <v>1027</v>
      </c>
      <c r="J525" s="118" t="s">
        <v>269</v>
      </c>
    </row>
    <row r="526" spans="1:10" x14ac:dyDescent="0.25">
      <c r="A526" s="116">
        <v>523</v>
      </c>
      <c r="B526" s="117" t="s">
        <v>2033</v>
      </c>
      <c r="C526" s="118" t="s">
        <v>2034</v>
      </c>
      <c r="D526" s="118" t="s">
        <v>453</v>
      </c>
      <c r="E526" s="118" t="s">
        <v>2035</v>
      </c>
      <c r="F526" s="119">
        <v>104.5728</v>
      </c>
      <c r="G526" s="119">
        <v>106.5895</v>
      </c>
      <c r="H526" s="119">
        <v>19.489999999999998</v>
      </c>
      <c r="I526" s="116">
        <v>867</v>
      </c>
      <c r="J526" s="118" t="s">
        <v>269</v>
      </c>
    </row>
    <row r="527" spans="1:10" x14ac:dyDescent="0.25">
      <c r="A527" s="116">
        <v>524</v>
      </c>
      <c r="B527" s="117" t="s">
        <v>1294</v>
      </c>
      <c r="C527" s="118" t="s">
        <v>1295</v>
      </c>
      <c r="D527" s="118" t="s">
        <v>453</v>
      </c>
      <c r="E527" s="118" t="s">
        <v>1296</v>
      </c>
      <c r="F527" s="119">
        <v>99.28</v>
      </c>
      <c r="G527" s="119">
        <v>99.571700000000007</v>
      </c>
      <c r="H527" s="119">
        <v>4.7699999999999996</v>
      </c>
      <c r="I527" s="116">
        <v>696</v>
      </c>
      <c r="J527" s="118" t="s">
        <v>269</v>
      </c>
    </row>
    <row r="528" spans="1:10" x14ac:dyDescent="0.25">
      <c r="A528" s="116">
        <v>525</v>
      </c>
      <c r="B528" s="117" t="s">
        <v>103</v>
      </c>
      <c r="C528" s="118" t="s">
        <v>104</v>
      </c>
      <c r="D528" s="118" t="s">
        <v>443</v>
      </c>
      <c r="E528" s="118" t="s">
        <v>105</v>
      </c>
      <c r="F528" s="119">
        <v>39579.685004921797</v>
      </c>
      <c r="G528" s="119">
        <v>39579.685004921797</v>
      </c>
      <c r="H528" s="119">
        <v>0</v>
      </c>
      <c r="I528" s="116">
        <v>0</v>
      </c>
      <c r="J528" s="118" t="s">
        <v>238</v>
      </c>
    </row>
    <row r="529" spans="1:10" x14ac:dyDescent="0.25">
      <c r="A529" s="116">
        <v>526</v>
      </c>
      <c r="B529" s="117" t="s">
        <v>1297</v>
      </c>
      <c r="C529" s="118" t="s">
        <v>1298</v>
      </c>
      <c r="D529" s="118" t="s">
        <v>453</v>
      </c>
      <c r="E529" s="118" t="s">
        <v>105</v>
      </c>
      <c r="F529" s="119">
        <v>95.291128458930331</v>
      </c>
      <c r="G529" s="119">
        <v>99.156428458930336</v>
      </c>
      <c r="H529" s="119">
        <v>19.29</v>
      </c>
      <c r="I529" s="116">
        <v>239</v>
      </c>
      <c r="J529" s="118" t="s">
        <v>269</v>
      </c>
    </row>
    <row r="530" spans="1:10" x14ac:dyDescent="0.25">
      <c r="A530" s="116">
        <v>527</v>
      </c>
      <c r="B530" s="117" t="s">
        <v>106</v>
      </c>
      <c r="C530" s="118" t="s">
        <v>107</v>
      </c>
      <c r="D530" s="118" t="s">
        <v>443</v>
      </c>
      <c r="E530" s="118" t="s">
        <v>105</v>
      </c>
      <c r="F530" s="119">
        <v>30242.056170730972</v>
      </c>
      <c r="G530" s="119">
        <v>30242.056170730972</v>
      </c>
      <c r="H530" s="119">
        <v>0</v>
      </c>
      <c r="I530" s="116">
        <v>0</v>
      </c>
      <c r="J530" s="118" t="s">
        <v>238</v>
      </c>
    </row>
    <row r="531" spans="1:10" x14ac:dyDescent="0.25">
      <c r="A531" s="116">
        <v>528</v>
      </c>
      <c r="B531" s="117" t="s">
        <v>108</v>
      </c>
      <c r="C531" s="118" t="s">
        <v>109</v>
      </c>
      <c r="D531" s="118" t="s">
        <v>443</v>
      </c>
      <c r="E531" s="118" t="s">
        <v>110</v>
      </c>
      <c r="F531" s="119">
        <v>872.77835502570269</v>
      </c>
      <c r="G531" s="119">
        <v>872.77835502570269</v>
      </c>
      <c r="H531" s="119">
        <v>0</v>
      </c>
      <c r="I531" s="116">
        <v>0</v>
      </c>
      <c r="J531" s="118" t="s">
        <v>238</v>
      </c>
    </row>
    <row r="532" spans="1:10" x14ac:dyDescent="0.25">
      <c r="A532" s="116">
        <v>529</v>
      </c>
      <c r="B532" s="117" t="s">
        <v>1299</v>
      </c>
      <c r="C532" s="118" t="s">
        <v>1300</v>
      </c>
      <c r="D532" s="118" t="s">
        <v>453</v>
      </c>
      <c r="E532" s="118" t="s">
        <v>1301</v>
      </c>
      <c r="F532" s="119">
        <v>93.139653150085138</v>
      </c>
      <c r="G532" s="119">
        <v>93.320953150085145</v>
      </c>
      <c r="H532" s="119">
        <v>25.14</v>
      </c>
      <c r="I532" s="116">
        <v>1077</v>
      </c>
      <c r="J532" s="118" t="s">
        <v>269</v>
      </c>
    </row>
    <row r="533" spans="1:10" x14ac:dyDescent="0.25">
      <c r="A533" s="116">
        <v>530</v>
      </c>
      <c r="B533" s="117" t="s">
        <v>1228</v>
      </c>
      <c r="C533" s="118" t="s">
        <v>1229</v>
      </c>
      <c r="D533" s="118" t="s">
        <v>453</v>
      </c>
      <c r="E533" s="118" t="s">
        <v>111</v>
      </c>
      <c r="F533" s="119">
        <v>94.165000000000006</v>
      </c>
      <c r="G533" s="119">
        <v>94.246300000000005</v>
      </c>
      <c r="H533" s="119">
        <v>5.37</v>
      </c>
      <c r="I533" s="116">
        <v>6834</v>
      </c>
      <c r="J533" s="118" t="s">
        <v>269</v>
      </c>
    </row>
    <row r="534" spans="1:10" x14ac:dyDescent="0.25">
      <c r="A534" s="116">
        <v>531</v>
      </c>
      <c r="B534" s="117" t="s">
        <v>1230</v>
      </c>
      <c r="C534" s="118" t="s">
        <v>1231</v>
      </c>
      <c r="D534" s="118" t="s">
        <v>453</v>
      </c>
      <c r="E534" s="118" t="s">
        <v>111</v>
      </c>
      <c r="F534" s="119">
        <v>98.922853234107762</v>
      </c>
      <c r="G534" s="119">
        <v>101.16675323410776</v>
      </c>
      <c r="H534" s="119">
        <v>2.75</v>
      </c>
      <c r="I534" s="116">
        <v>1116</v>
      </c>
      <c r="J534" s="118" t="s">
        <v>269</v>
      </c>
    </row>
    <row r="535" spans="1:10" x14ac:dyDescent="0.25">
      <c r="A535" s="116">
        <v>532</v>
      </c>
      <c r="B535" s="117" t="s">
        <v>1232</v>
      </c>
      <c r="C535" s="118" t="s">
        <v>1233</v>
      </c>
      <c r="D535" s="118" t="s">
        <v>453</v>
      </c>
      <c r="E535" s="118" t="s">
        <v>111</v>
      </c>
      <c r="F535" s="119">
        <v>98.098722038012539</v>
      </c>
      <c r="G535" s="119">
        <v>98.131622038012537</v>
      </c>
      <c r="H535" s="119">
        <v>2.66</v>
      </c>
      <c r="I535" s="116">
        <v>345</v>
      </c>
      <c r="J535" s="118" t="s">
        <v>269</v>
      </c>
    </row>
    <row r="536" spans="1:10" x14ac:dyDescent="0.25">
      <c r="A536" s="116">
        <v>533</v>
      </c>
      <c r="B536" s="117" t="s">
        <v>1234</v>
      </c>
      <c r="C536" s="118" t="s">
        <v>1235</v>
      </c>
      <c r="D536" s="118" t="s">
        <v>453</v>
      </c>
      <c r="E536" s="118" t="s">
        <v>111</v>
      </c>
      <c r="F536" s="119">
        <v>84.166979711656353</v>
      </c>
      <c r="G536" s="119">
        <v>84.759179711656358</v>
      </c>
      <c r="H536" s="119">
        <v>16.57</v>
      </c>
      <c r="I536" s="116">
        <v>695</v>
      </c>
      <c r="J536" s="118" t="s">
        <v>269</v>
      </c>
    </row>
    <row r="537" spans="1:10" x14ac:dyDescent="0.25">
      <c r="A537" s="116">
        <v>534</v>
      </c>
      <c r="B537" s="117" t="s">
        <v>1236</v>
      </c>
      <c r="C537" s="118" t="s">
        <v>1237</v>
      </c>
      <c r="D537" s="118" t="s">
        <v>453</v>
      </c>
      <c r="E537" s="118" t="s">
        <v>111</v>
      </c>
      <c r="F537" s="119">
        <v>68.516861686392232</v>
      </c>
      <c r="G537" s="119">
        <v>69.149761686392239</v>
      </c>
      <c r="H537" s="119">
        <v>16.649999999999999</v>
      </c>
      <c r="I537" s="116">
        <v>1787</v>
      </c>
      <c r="J537" s="118" t="s">
        <v>269</v>
      </c>
    </row>
    <row r="538" spans="1:10" x14ac:dyDescent="0.25">
      <c r="A538" s="116">
        <v>535</v>
      </c>
      <c r="B538" s="117" t="s">
        <v>1238</v>
      </c>
      <c r="C538" s="118" t="s">
        <v>1239</v>
      </c>
      <c r="D538" s="118" t="s">
        <v>453</v>
      </c>
      <c r="E538" s="118" t="s">
        <v>111</v>
      </c>
      <c r="F538" s="119">
        <v>94.635547792916853</v>
      </c>
      <c r="G538" s="119">
        <v>97.07424779291685</v>
      </c>
      <c r="H538" s="119">
        <v>16.18</v>
      </c>
      <c r="I538" s="116">
        <v>245</v>
      </c>
      <c r="J538" s="118" t="s">
        <v>269</v>
      </c>
    </row>
    <row r="539" spans="1:10" x14ac:dyDescent="0.25">
      <c r="A539" s="116">
        <v>536</v>
      </c>
      <c r="B539" s="117" t="s">
        <v>1240</v>
      </c>
      <c r="C539" s="118" t="s">
        <v>1241</v>
      </c>
      <c r="D539" s="118" t="s">
        <v>453</v>
      </c>
      <c r="E539" s="118" t="s">
        <v>111</v>
      </c>
      <c r="F539" s="119">
        <v>81.269839501192948</v>
      </c>
      <c r="G539" s="119">
        <v>83.777039501192945</v>
      </c>
      <c r="H539" s="119">
        <v>16.66</v>
      </c>
      <c r="I539" s="116">
        <v>973</v>
      </c>
      <c r="J539" s="118" t="s">
        <v>269</v>
      </c>
    </row>
    <row r="540" spans="1:10" x14ac:dyDescent="0.25">
      <c r="A540" s="116">
        <v>537</v>
      </c>
      <c r="B540" s="117" t="s">
        <v>1242</v>
      </c>
      <c r="C540" s="118" t="s">
        <v>1243</v>
      </c>
      <c r="D540" s="118" t="s">
        <v>453</v>
      </c>
      <c r="E540" s="118" t="s">
        <v>111</v>
      </c>
      <c r="F540" s="119">
        <v>68.877754139134524</v>
      </c>
      <c r="G540" s="119">
        <v>71.459854139134521</v>
      </c>
      <c r="H540" s="119">
        <v>16.600000000000001</v>
      </c>
      <c r="I540" s="116">
        <v>2065</v>
      </c>
      <c r="J540" s="118" t="s">
        <v>269</v>
      </c>
    </row>
    <row r="541" spans="1:10" x14ac:dyDescent="0.25">
      <c r="A541" s="116">
        <v>538</v>
      </c>
      <c r="B541" s="117" t="s">
        <v>1244</v>
      </c>
      <c r="C541" s="118" t="s">
        <v>1245</v>
      </c>
      <c r="D541" s="118" t="s">
        <v>453</v>
      </c>
      <c r="E541" s="118" t="s">
        <v>111</v>
      </c>
      <c r="F541" s="119">
        <v>68.877754139134524</v>
      </c>
      <c r="G541" s="119">
        <v>71.459854139134521</v>
      </c>
      <c r="H541" s="119">
        <v>16.600000000000001</v>
      </c>
      <c r="I541" s="116">
        <v>2065</v>
      </c>
      <c r="J541" s="118" t="s">
        <v>269</v>
      </c>
    </row>
    <row r="542" spans="1:10" x14ac:dyDescent="0.25">
      <c r="A542" s="116">
        <v>539</v>
      </c>
      <c r="B542" s="117" t="s">
        <v>1246</v>
      </c>
      <c r="C542" s="118" t="s">
        <v>1247</v>
      </c>
      <c r="D542" s="118" t="s">
        <v>453</v>
      </c>
      <c r="E542" s="118" t="s">
        <v>111</v>
      </c>
      <c r="F542" s="119">
        <v>113.1</v>
      </c>
      <c r="G542" s="119">
        <v>114.7069</v>
      </c>
      <c r="H542" s="119">
        <v>5.41</v>
      </c>
      <c r="I542" s="116">
        <v>7111</v>
      </c>
      <c r="J542" s="118" t="s">
        <v>269</v>
      </c>
    </row>
    <row r="543" spans="1:10" x14ac:dyDescent="0.25">
      <c r="A543" s="116">
        <v>540</v>
      </c>
      <c r="B543" s="117" t="s">
        <v>1248</v>
      </c>
      <c r="C543" s="118" t="s">
        <v>1249</v>
      </c>
      <c r="D543" s="118" t="s">
        <v>453</v>
      </c>
      <c r="E543" s="118" t="s">
        <v>111</v>
      </c>
      <c r="F543" s="119">
        <v>99.387</v>
      </c>
      <c r="G543" s="119">
        <v>99.531000000000006</v>
      </c>
      <c r="H543" s="119">
        <v>4.8</v>
      </c>
      <c r="I543" s="116">
        <v>3409</v>
      </c>
      <c r="J543" s="118" t="s">
        <v>269</v>
      </c>
    </row>
    <row r="544" spans="1:10" x14ac:dyDescent="0.25">
      <c r="A544" s="116">
        <v>541</v>
      </c>
      <c r="B544" s="117" t="s">
        <v>2217</v>
      </c>
      <c r="C544" s="118" t="s">
        <v>2218</v>
      </c>
      <c r="D544" s="118" t="s">
        <v>453</v>
      </c>
      <c r="E544" s="118" t="s">
        <v>111</v>
      </c>
      <c r="F544" s="119">
        <v>102.176</v>
      </c>
      <c r="G544" s="119">
        <v>103.68989999999999</v>
      </c>
      <c r="H544" s="119">
        <v>4.62</v>
      </c>
      <c r="I544" s="116">
        <v>2411</v>
      </c>
      <c r="J544" s="118" t="s">
        <v>269</v>
      </c>
    </row>
    <row r="545" spans="1:10" x14ac:dyDescent="0.25">
      <c r="A545" s="116">
        <v>542</v>
      </c>
      <c r="B545" s="117" t="s">
        <v>2219</v>
      </c>
      <c r="C545" s="118" t="s">
        <v>2220</v>
      </c>
      <c r="D545" s="118" t="s">
        <v>453</v>
      </c>
      <c r="E545" s="118" t="s">
        <v>111</v>
      </c>
      <c r="F545" s="119">
        <v>102.82</v>
      </c>
      <c r="G545" s="119">
        <v>104.4853</v>
      </c>
      <c r="H545" s="119">
        <v>5.17</v>
      </c>
      <c r="I545" s="116">
        <v>4211</v>
      </c>
      <c r="J545" s="118" t="s">
        <v>269</v>
      </c>
    </row>
    <row r="546" spans="1:10" x14ac:dyDescent="0.25">
      <c r="A546" s="116">
        <v>543</v>
      </c>
      <c r="B546" s="117" t="s">
        <v>1302</v>
      </c>
      <c r="C546" s="118" t="s">
        <v>1303</v>
      </c>
      <c r="D546" s="118" t="s">
        <v>443</v>
      </c>
      <c r="E546" s="118" t="s">
        <v>1304</v>
      </c>
      <c r="F546" s="119">
        <v>0.01</v>
      </c>
      <c r="G546" s="119">
        <v>0.01</v>
      </c>
      <c r="H546" s="119">
        <v>0</v>
      </c>
      <c r="I546" s="116">
        <v>0</v>
      </c>
      <c r="J546" s="118" t="s">
        <v>238</v>
      </c>
    </row>
    <row r="547" spans="1:10" x14ac:dyDescent="0.25">
      <c r="A547" s="116">
        <v>544</v>
      </c>
      <c r="B547" s="117" t="s">
        <v>1305</v>
      </c>
      <c r="C547" s="118" t="s">
        <v>1306</v>
      </c>
      <c r="D547" s="118" t="s">
        <v>443</v>
      </c>
      <c r="E547" s="118" t="s">
        <v>1307</v>
      </c>
      <c r="F547" s="119">
        <v>0.01</v>
      </c>
      <c r="G547" s="119">
        <v>0.01</v>
      </c>
      <c r="H547" s="119">
        <v>0</v>
      </c>
      <c r="I547" s="116">
        <v>0</v>
      </c>
      <c r="J547" s="118" t="s">
        <v>238</v>
      </c>
    </row>
    <row r="548" spans="1:10" x14ac:dyDescent="0.25">
      <c r="A548" s="116">
        <v>545</v>
      </c>
      <c r="B548" s="117" t="s">
        <v>1308</v>
      </c>
      <c r="C548" s="118" t="s">
        <v>1309</v>
      </c>
      <c r="D548" s="118" t="s">
        <v>453</v>
      </c>
      <c r="E548" s="118" t="s">
        <v>1307</v>
      </c>
      <c r="F548" s="119">
        <v>92.410521776348801</v>
      </c>
      <c r="G548" s="119">
        <v>93.754921776348809</v>
      </c>
      <c r="H548" s="119">
        <v>26.37</v>
      </c>
      <c r="I548" s="116">
        <v>878</v>
      </c>
      <c r="J548" s="118" t="s">
        <v>269</v>
      </c>
    </row>
    <row r="549" spans="1:10" x14ac:dyDescent="0.25">
      <c r="A549" s="116">
        <v>546</v>
      </c>
      <c r="B549" s="117" t="s">
        <v>1310</v>
      </c>
      <c r="C549" s="118" t="s">
        <v>1311</v>
      </c>
      <c r="D549" s="118" t="s">
        <v>753</v>
      </c>
      <c r="E549" s="118" t="s">
        <v>2547</v>
      </c>
      <c r="F549" s="119">
        <v>60317.85040000001</v>
      </c>
      <c r="G549" s="119">
        <v>60317.85040000001</v>
      </c>
      <c r="H549" s="119">
        <v>0</v>
      </c>
      <c r="I549" s="116">
        <v>0</v>
      </c>
      <c r="J549" s="118" t="s">
        <v>238</v>
      </c>
    </row>
    <row r="550" spans="1:10" x14ac:dyDescent="0.25">
      <c r="A550" s="116">
        <v>547</v>
      </c>
      <c r="B550" s="117" t="s">
        <v>1312</v>
      </c>
      <c r="C550" s="118" t="s">
        <v>1313</v>
      </c>
      <c r="D550" s="118" t="s">
        <v>443</v>
      </c>
      <c r="E550" s="118" t="s">
        <v>1314</v>
      </c>
      <c r="F550" s="119">
        <v>1.81</v>
      </c>
      <c r="G550" s="119">
        <v>1.81</v>
      </c>
      <c r="H550" s="119">
        <v>0</v>
      </c>
      <c r="I550" s="116">
        <v>0</v>
      </c>
      <c r="J550" s="118" t="s">
        <v>238</v>
      </c>
    </row>
    <row r="551" spans="1:10" x14ac:dyDescent="0.25">
      <c r="A551" s="116">
        <v>548</v>
      </c>
      <c r="B551" s="117" t="s">
        <v>2569</v>
      </c>
      <c r="C551" s="118" t="s">
        <v>2570</v>
      </c>
      <c r="D551" s="118" t="s">
        <v>453</v>
      </c>
      <c r="E551" s="118" t="s">
        <v>1314</v>
      </c>
      <c r="F551" s="119">
        <v>99.999300000000005</v>
      </c>
      <c r="G551" s="119">
        <v>100.1104</v>
      </c>
      <c r="H551" s="119">
        <v>10</v>
      </c>
      <c r="I551" s="116">
        <v>356</v>
      </c>
      <c r="J551" s="118" t="s">
        <v>269</v>
      </c>
    </row>
    <row r="552" spans="1:10" x14ac:dyDescent="0.25">
      <c r="A552" s="116">
        <v>549</v>
      </c>
      <c r="B552" s="117" t="s">
        <v>2571</v>
      </c>
      <c r="C552" s="118" t="s">
        <v>2572</v>
      </c>
      <c r="D552" s="118" t="s">
        <v>453</v>
      </c>
      <c r="E552" s="118" t="s">
        <v>1314</v>
      </c>
      <c r="F552" s="119">
        <v>100.05339175437693</v>
      </c>
      <c r="G552" s="119">
        <v>100.29779175437693</v>
      </c>
      <c r="H552" s="119">
        <v>21.74</v>
      </c>
      <c r="I552" s="116">
        <v>86</v>
      </c>
      <c r="J552" s="118" t="s">
        <v>269</v>
      </c>
    </row>
    <row r="553" spans="1:10" x14ac:dyDescent="0.25">
      <c r="A553" s="116">
        <v>550</v>
      </c>
      <c r="B553" s="117" t="s">
        <v>2573</v>
      </c>
      <c r="C553" s="118" t="s">
        <v>2574</v>
      </c>
      <c r="D553" s="118" t="s">
        <v>453</v>
      </c>
      <c r="E553" s="118" t="s">
        <v>1314</v>
      </c>
      <c r="F553" s="119">
        <v>100.00879762406755</v>
      </c>
      <c r="G553" s="119">
        <v>100.11989762406756</v>
      </c>
      <c r="H553" s="119">
        <v>9.9600000000000009</v>
      </c>
      <c r="I553" s="116">
        <v>86</v>
      </c>
      <c r="J553" s="118" t="s">
        <v>269</v>
      </c>
    </row>
    <row r="554" spans="1:10" x14ac:dyDescent="0.25">
      <c r="A554" s="116">
        <v>551</v>
      </c>
      <c r="B554" s="117" t="s">
        <v>2575</v>
      </c>
      <c r="C554" s="118" t="s">
        <v>2576</v>
      </c>
      <c r="D554" s="118" t="s">
        <v>453</v>
      </c>
      <c r="E554" s="118" t="s">
        <v>1314</v>
      </c>
      <c r="F554" s="119">
        <v>99.994100000000003</v>
      </c>
      <c r="G554" s="119">
        <v>100.2385</v>
      </c>
      <c r="H554" s="119">
        <v>21.98</v>
      </c>
      <c r="I554" s="116">
        <v>356</v>
      </c>
      <c r="J554" s="118" t="s">
        <v>269</v>
      </c>
    </row>
    <row r="555" spans="1:10" x14ac:dyDescent="0.25">
      <c r="A555" s="116">
        <v>552</v>
      </c>
      <c r="B555" s="117" t="s">
        <v>1320</v>
      </c>
      <c r="C555" s="118" t="s">
        <v>1321</v>
      </c>
      <c r="D555" s="118" t="s">
        <v>443</v>
      </c>
      <c r="E555" s="118" t="s">
        <v>1322</v>
      </c>
      <c r="F555" s="119">
        <v>7350</v>
      </c>
      <c r="G555" s="119">
        <v>7350</v>
      </c>
      <c r="H555" s="119">
        <v>0</v>
      </c>
      <c r="I555" s="116">
        <v>0</v>
      </c>
      <c r="J555" s="118" t="s">
        <v>238</v>
      </c>
    </row>
    <row r="556" spans="1:10" x14ac:dyDescent="0.25">
      <c r="A556" s="116">
        <v>553</v>
      </c>
      <c r="B556" s="117" t="s">
        <v>1318</v>
      </c>
      <c r="C556" s="118" t="s">
        <v>1319</v>
      </c>
      <c r="D556" s="118" t="s">
        <v>443</v>
      </c>
      <c r="E556" s="118" t="s">
        <v>2548</v>
      </c>
      <c r="F556" s="119">
        <v>301454.81200000003</v>
      </c>
      <c r="G556" s="119">
        <v>301454.81200000003</v>
      </c>
      <c r="H556" s="119">
        <v>0</v>
      </c>
      <c r="I556" s="116">
        <v>0</v>
      </c>
      <c r="J556" s="118" t="s">
        <v>238</v>
      </c>
    </row>
    <row r="557" spans="1:10" x14ac:dyDescent="0.25">
      <c r="A557" s="116">
        <v>554</v>
      </c>
      <c r="B557" s="117" t="s">
        <v>1323</v>
      </c>
      <c r="C557" s="118" t="s">
        <v>1324</v>
      </c>
      <c r="D557" s="118" t="s">
        <v>443</v>
      </c>
      <c r="E557" s="118" t="s">
        <v>2549</v>
      </c>
      <c r="F557" s="119">
        <v>383966.01760000008</v>
      </c>
      <c r="G557" s="119">
        <v>383966.01760000008</v>
      </c>
      <c r="H557" s="119">
        <v>0</v>
      </c>
      <c r="I557" s="116">
        <v>0</v>
      </c>
      <c r="J557" s="118" t="s">
        <v>238</v>
      </c>
    </row>
    <row r="558" spans="1:10" x14ac:dyDescent="0.25">
      <c r="A558" s="116">
        <v>555</v>
      </c>
      <c r="B558" s="117" t="s">
        <v>2054</v>
      </c>
      <c r="C558" s="118" t="s">
        <v>2055</v>
      </c>
      <c r="D558" s="118" t="s">
        <v>453</v>
      </c>
      <c r="E558" s="118" t="s">
        <v>2056</v>
      </c>
      <c r="F558" s="119">
        <v>100.17666503373555</v>
      </c>
      <c r="G558" s="119">
        <v>102.85996503373555</v>
      </c>
      <c r="H558" s="119">
        <v>20.95</v>
      </c>
      <c r="I558" s="116">
        <v>3374</v>
      </c>
      <c r="J558" s="118" t="s">
        <v>269</v>
      </c>
    </row>
    <row r="559" spans="1:10" x14ac:dyDescent="0.25">
      <c r="A559" s="116">
        <v>556</v>
      </c>
      <c r="B559" s="117" t="s">
        <v>1325</v>
      </c>
      <c r="C559" s="118" t="s">
        <v>1326</v>
      </c>
      <c r="D559" s="118" t="s">
        <v>453</v>
      </c>
      <c r="E559" s="118" t="s">
        <v>1327</v>
      </c>
      <c r="F559" s="119">
        <v>99.734619044454291</v>
      </c>
      <c r="G559" s="119">
        <v>101.95131904445429</v>
      </c>
      <c r="H559" s="119">
        <v>20.84</v>
      </c>
      <c r="I559" s="116">
        <v>48</v>
      </c>
      <c r="J559" s="118" t="s">
        <v>269</v>
      </c>
    </row>
    <row r="560" spans="1:10" x14ac:dyDescent="0.25">
      <c r="A560" s="116">
        <v>557</v>
      </c>
      <c r="B560" s="117" t="s">
        <v>2312</v>
      </c>
      <c r="C560" s="118" t="s">
        <v>2313</v>
      </c>
      <c r="D560" s="118" t="s">
        <v>453</v>
      </c>
      <c r="E560" s="118" t="s">
        <v>1327</v>
      </c>
      <c r="F560" s="119">
        <v>99.818742121935898</v>
      </c>
      <c r="G560" s="119">
        <v>100.92984212193591</v>
      </c>
      <c r="H560" s="119">
        <v>20.12</v>
      </c>
      <c r="I560" s="116">
        <v>640</v>
      </c>
      <c r="J560" s="118" t="s">
        <v>269</v>
      </c>
    </row>
    <row r="561" spans="1:10" x14ac:dyDescent="0.25">
      <c r="A561" s="116">
        <v>558</v>
      </c>
      <c r="B561" s="117" t="s">
        <v>2348</v>
      </c>
      <c r="C561" s="118" t="s">
        <v>2349</v>
      </c>
      <c r="D561" s="118" t="s">
        <v>453</v>
      </c>
      <c r="E561" s="118" t="s">
        <v>1328</v>
      </c>
      <c r="F561" s="119">
        <v>102.29357126987252</v>
      </c>
      <c r="G561" s="119">
        <v>102.66027126987252</v>
      </c>
      <c r="H561" s="119">
        <v>9.2899999999999991</v>
      </c>
      <c r="I561" s="116">
        <v>319</v>
      </c>
      <c r="J561" s="118" t="s">
        <v>269</v>
      </c>
    </row>
    <row r="562" spans="1:10" x14ac:dyDescent="0.25">
      <c r="A562" s="116">
        <v>559</v>
      </c>
      <c r="B562" s="117" t="s">
        <v>2437</v>
      </c>
      <c r="C562" s="118" t="s">
        <v>2438</v>
      </c>
      <c r="D562" s="118" t="s">
        <v>453</v>
      </c>
      <c r="E562" s="118" t="s">
        <v>1328</v>
      </c>
      <c r="F562" s="119">
        <v>101.12466113928053</v>
      </c>
      <c r="G562" s="119">
        <v>102.40246113928053</v>
      </c>
      <c r="H562" s="119">
        <v>21.67</v>
      </c>
      <c r="I562" s="116">
        <v>340</v>
      </c>
      <c r="J562" s="118" t="s">
        <v>269</v>
      </c>
    </row>
    <row r="563" spans="1:10" x14ac:dyDescent="0.25">
      <c r="A563" s="116">
        <v>560</v>
      </c>
      <c r="B563" s="117" t="s">
        <v>2196</v>
      </c>
      <c r="C563" s="118" t="s">
        <v>2197</v>
      </c>
      <c r="D563" s="118" t="s">
        <v>453</v>
      </c>
      <c r="E563" s="118" t="s">
        <v>1328</v>
      </c>
      <c r="F563" s="119">
        <v>101.68877754046549</v>
      </c>
      <c r="G563" s="119">
        <v>102.5220775404655</v>
      </c>
      <c r="H563" s="119">
        <v>9.4</v>
      </c>
      <c r="I563" s="116">
        <v>245</v>
      </c>
      <c r="J563" s="118" t="s">
        <v>269</v>
      </c>
    </row>
    <row r="564" spans="1:10" x14ac:dyDescent="0.25">
      <c r="A564" s="116">
        <v>561</v>
      </c>
      <c r="B564" s="117" t="s">
        <v>2405</v>
      </c>
      <c r="C564" s="118" t="s">
        <v>2406</v>
      </c>
      <c r="D564" s="118" t="s">
        <v>453</v>
      </c>
      <c r="E564" s="118" t="s">
        <v>2407</v>
      </c>
      <c r="F564" s="119">
        <v>99.869699999999995</v>
      </c>
      <c r="G564" s="119">
        <v>102.99469999999999</v>
      </c>
      <c r="H564" s="119">
        <v>25</v>
      </c>
      <c r="I564" s="116">
        <v>675</v>
      </c>
      <c r="J564" s="118" t="s">
        <v>269</v>
      </c>
    </row>
    <row r="565" spans="1:10" x14ac:dyDescent="0.25">
      <c r="A565" s="116">
        <v>562</v>
      </c>
      <c r="B565" s="117" t="s">
        <v>2474</v>
      </c>
      <c r="C565" s="118" t="s">
        <v>2475</v>
      </c>
      <c r="D565" s="118" t="s">
        <v>453</v>
      </c>
      <c r="E565" s="118" t="s">
        <v>1329</v>
      </c>
      <c r="F565" s="119">
        <v>100.93324923764185</v>
      </c>
      <c r="G565" s="119">
        <v>102.74154923764185</v>
      </c>
      <c r="H565" s="119">
        <v>20.68</v>
      </c>
      <c r="I565" s="116">
        <v>1769</v>
      </c>
      <c r="J565" s="118" t="s">
        <v>269</v>
      </c>
    </row>
    <row r="566" spans="1:10" x14ac:dyDescent="0.25">
      <c r="A566" s="116">
        <v>563</v>
      </c>
      <c r="B566" s="117" t="s">
        <v>2476</v>
      </c>
      <c r="C566" s="118" t="s">
        <v>2477</v>
      </c>
      <c r="D566" s="118" t="s">
        <v>453</v>
      </c>
      <c r="E566" s="118" t="s">
        <v>1329</v>
      </c>
      <c r="F566" s="119">
        <v>99.09</v>
      </c>
      <c r="G566" s="119">
        <v>100.6067</v>
      </c>
      <c r="H566" s="119">
        <v>21.41</v>
      </c>
      <c r="I566" s="116">
        <v>1054</v>
      </c>
      <c r="J566" s="118" t="s">
        <v>269</v>
      </c>
    </row>
    <row r="567" spans="1:10" x14ac:dyDescent="0.25">
      <c r="A567" s="116">
        <v>564</v>
      </c>
      <c r="B567" s="117" t="s">
        <v>1330</v>
      </c>
      <c r="C567" s="118" t="s">
        <v>1331</v>
      </c>
      <c r="D567" s="118" t="s">
        <v>453</v>
      </c>
      <c r="E567" s="118" t="s">
        <v>1332</v>
      </c>
      <c r="F567" s="119">
        <v>98.484177812123477</v>
      </c>
      <c r="G567" s="119">
        <v>106.30087781212347</v>
      </c>
      <c r="H567" s="119">
        <v>21.86</v>
      </c>
      <c r="I567" s="116">
        <v>766</v>
      </c>
      <c r="J567" s="118" t="s">
        <v>269</v>
      </c>
    </row>
    <row r="568" spans="1:10" x14ac:dyDescent="0.25">
      <c r="A568" s="116">
        <v>565</v>
      </c>
      <c r="B568" s="117" t="s">
        <v>2221</v>
      </c>
      <c r="C568" s="118" t="s">
        <v>2222</v>
      </c>
      <c r="D568" s="118" t="s">
        <v>453</v>
      </c>
      <c r="E568" s="118" t="s">
        <v>1332</v>
      </c>
      <c r="F568" s="119">
        <v>100.21199565585592</v>
      </c>
      <c r="G568" s="119">
        <v>100.51059565585591</v>
      </c>
      <c r="H568" s="119">
        <v>21.29</v>
      </c>
      <c r="I568" s="116">
        <v>445</v>
      </c>
      <c r="J568" s="118" t="s">
        <v>269</v>
      </c>
    </row>
    <row r="569" spans="1:10" x14ac:dyDescent="0.25">
      <c r="A569" s="116">
        <v>566</v>
      </c>
      <c r="B569" s="117" t="s">
        <v>2223</v>
      </c>
      <c r="C569" s="118" t="s">
        <v>2224</v>
      </c>
      <c r="D569" s="118" t="s">
        <v>443</v>
      </c>
      <c r="E569" s="118" t="s">
        <v>1332</v>
      </c>
      <c r="F569" s="119">
        <v>1000</v>
      </c>
      <c r="G569" s="119">
        <v>1000</v>
      </c>
      <c r="H569" s="119">
        <v>0</v>
      </c>
      <c r="I569" s="116">
        <v>0</v>
      </c>
      <c r="J569" s="118" t="s">
        <v>238</v>
      </c>
    </row>
    <row r="570" spans="1:10" x14ac:dyDescent="0.25">
      <c r="A570" s="116">
        <v>567</v>
      </c>
      <c r="B570" s="117" t="s">
        <v>1333</v>
      </c>
      <c r="C570" s="118" t="s">
        <v>1334</v>
      </c>
      <c r="D570" s="118" t="s">
        <v>453</v>
      </c>
      <c r="E570" s="118" t="s">
        <v>1335</v>
      </c>
      <c r="F570" s="119">
        <v>98.525099999999995</v>
      </c>
      <c r="G570" s="119">
        <v>101.6168</v>
      </c>
      <c r="H570" s="119">
        <v>22.51</v>
      </c>
      <c r="I570" s="116">
        <v>397</v>
      </c>
      <c r="J570" s="118" t="s">
        <v>269</v>
      </c>
    </row>
    <row r="571" spans="1:10" x14ac:dyDescent="0.25">
      <c r="A571" s="116">
        <v>568</v>
      </c>
      <c r="B571" s="117" t="s">
        <v>2339</v>
      </c>
      <c r="C571" s="118" t="s">
        <v>2340</v>
      </c>
      <c r="D571" s="118" t="s">
        <v>453</v>
      </c>
      <c r="E571" s="118" t="s">
        <v>1335</v>
      </c>
      <c r="F571" s="119">
        <v>100.5325</v>
      </c>
      <c r="G571" s="119">
        <v>104.2825</v>
      </c>
      <c r="H571" s="119">
        <v>22</v>
      </c>
      <c r="I571" s="116">
        <v>480</v>
      </c>
      <c r="J571" s="118" t="s">
        <v>269</v>
      </c>
    </row>
    <row r="572" spans="1:10" x14ac:dyDescent="0.25">
      <c r="A572" s="116">
        <v>569</v>
      </c>
      <c r="B572" s="117" t="s">
        <v>1336</v>
      </c>
      <c r="C572" s="118" t="s">
        <v>1337</v>
      </c>
      <c r="D572" s="118" t="s">
        <v>453</v>
      </c>
      <c r="E572" s="118" t="s">
        <v>2036</v>
      </c>
      <c r="F572" s="119">
        <v>100</v>
      </c>
      <c r="G572" s="119">
        <v>104.09439999999999</v>
      </c>
      <c r="H572" s="119">
        <v>21.98</v>
      </c>
      <c r="I572" s="116">
        <v>563</v>
      </c>
      <c r="J572" s="118" t="s">
        <v>269</v>
      </c>
    </row>
    <row r="573" spans="1:10" x14ac:dyDescent="0.25">
      <c r="A573" s="116">
        <v>570</v>
      </c>
      <c r="B573" s="117" t="s">
        <v>1338</v>
      </c>
      <c r="C573" s="118" t="s">
        <v>1339</v>
      </c>
      <c r="D573" s="118" t="s">
        <v>453</v>
      </c>
      <c r="E573" s="118" t="s">
        <v>1340</v>
      </c>
      <c r="F573" s="119">
        <v>100.01990345548879</v>
      </c>
      <c r="G573" s="119">
        <v>105.21570345548878</v>
      </c>
      <c r="H573" s="119">
        <v>21.4</v>
      </c>
      <c r="I573" s="116">
        <v>93</v>
      </c>
      <c r="J573" s="118" t="s">
        <v>269</v>
      </c>
    </row>
    <row r="574" spans="1:10" x14ac:dyDescent="0.25">
      <c r="A574" s="116">
        <v>571</v>
      </c>
      <c r="B574" s="117" t="s">
        <v>1341</v>
      </c>
      <c r="C574" s="118" t="s">
        <v>1342</v>
      </c>
      <c r="D574" s="118" t="s">
        <v>453</v>
      </c>
      <c r="E574" s="118" t="s">
        <v>1340</v>
      </c>
      <c r="F574" s="119">
        <v>100.07123287983191</v>
      </c>
      <c r="G574" s="119">
        <v>100.10183287983192</v>
      </c>
      <c r="H574" s="119">
        <v>10.7</v>
      </c>
      <c r="I574" s="116">
        <v>89</v>
      </c>
      <c r="J574" s="118" t="s">
        <v>269</v>
      </c>
    </row>
    <row r="575" spans="1:10" x14ac:dyDescent="0.25">
      <c r="A575" s="116">
        <v>572</v>
      </c>
      <c r="B575" s="117" t="s">
        <v>2204</v>
      </c>
      <c r="C575" s="118" t="s">
        <v>2205</v>
      </c>
      <c r="D575" s="118" t="s">
        <v>453</v>
      </c>
      <c r="E575" s="118" t="s">
        <v>1340</v>
      </c>
      <c r="F575" s="119">
        <v>99.799129483815463</v>
      </c>
      <c r="G575" s="119">
        <v>101.19912948381545</v>
      </c>
      <c r="H575" s="119">
        <v>21.14</v>
      </c>
      <c r="I575" s="116">
        <v>606</v>
      </c>
      <c r="J575" s="118" t="s">
        <v>269</v>
      </c>
    </row>
    <row r="576" spans="1:10" x14ac:dyDescent="0.25">
      <c r="A576" s="116">
        <v>573</v>
      </c>
      <c r="B576" s="117" t="s">
        <v>1343</v>
      </c>
      <c r="C576" s="118" t="s">
        <v>1344</v>
      </c>
      <c r="D576" s="118" t="s">
        <v>453</v>
      </c>
      <c r="E576" s="118" t="s">
        <v>1345</v>
      </c>
      <c r="F576" s="119">
        <v>99.025000000000006</v>
      </c>
      <c r="G576" s="119">
        <v>102.75279999999999</v>
      </c>
      <c r="H576" s="119">
        <v>23.01</v>
      </c>
      <c r="I576" s="116">
        <v>389</v>
      </c>
      <c r="J576" s="118" t="s">
        <v>269</v>
      </c>
    </row>
    <row r="577" spans="1:10" x14ac:dyDescent="0.25">
      <c r="A577" s="116">
        <v>574</v>
      </c>
      <c r="B577" s="117" t="s">
        <v>1346</v>
      </c>
      <c r="C577" s="118" t="s">
        <v>1347</v>
      </c>
      <c r="D577" s="118" t="s">
        <v>453</v>
      </c>
      <c r="E577" s="118" t="s">
        <v>1348</v>
      </c>
      <c r="F577" s="119">
        <v>100.75798480524685</v>
      </c>
      <c r="G577" s="119">
        <v>106.15798480524684</v>
      </c>
      <c r="H577" s="119">
        <v>21.04</v>
      </c>
      <c r="I577" s="116">
        <v>99</v>
      </c>
      <c r="J577" s="118" t="s">
        <v>269</v>
      </c>
    </row>
    <row r="578" spans="1:10" x14ac:dyDescent="0.25">
      <c r="A578" s="116">
        <v>575</v>
      </c>
      <c r="B578" s="117" t="s">
        <v>1349</v>
      </c>
      <c r="C578" s="118" t="s">
        <v>1350</v>
      </c>
      <c r="D578" s="118" t="s">
        <v>453</v>
      </c>
      <c r="E578" s="118" t="s">
        <v>1348</v>
      </c>
      <c r="F578" s="119">
        <v>100.79015415209007</v>
      </c>
      <c r="G578" s="119">
        <v>105.92345415209007</v>
      </c>
      <c r="H578" s="119">
        <v>20.85</v>
      </c>
      <c r="I578" s="116">
        <v>276</v>
      </c>
      <c r="J578" s="118" t="s">
        <v>269</v>
      </c>
    </row>
    <row r="579" spans="1:10" x14ac:dyDescent="0.25">
      <c r="A579" s="116">
        <v>576</v>
      </c>
      <c r="B579" s="117" t="s">
        <v>2344</v>
      </c>
      <c r="C579" s="118" t="s">
        <v>2345</v>
      </c>
      <c r="D579" s="118" t="s">
        <v>453</v>
      </c>
      <c r="E579" s="118" t="s">
        <v>1348</v>
      </c>
      <c r="F579" s="119">
        <v>102.58216681692906</v>
      </c>
      <c r="G579" s="119">
        <v>105.88216681692906</v>
      </c>
      <c r="H579" s="119">
        <v>20.99</v>
      </c>
      <c r="I579" s="116">
        <v>1386</v>
      </c>
      <c r="J579" s="118" t="s">
        <v>269</v>
      </c>
    </row>
    <row r="580" spans="1:10" x14ac:dyDescent="0.25">
      <c r="A580" s="116">
        <v>577</v>
      </c>
      <c r="B580" s="117" t="s">
        <v>2577</v>
      </c>
      <c r="C580" s="118" t="s">
        <v>2578</v>
      </c>
      <c r="D580" s="118" t="s">
        <v>443</v>
      </c>
      <c r="E580" s="118" t="s">
        <v>2579</v>
      </c>
      <c r="F580" s="119">
        <v>992.01</v>
      </c>
      <c r="G580" s="119">
        <v>992.01</v>
      </c>
      <c r="H580" s="119">
        <v>0</v>
      </c>
      <c r="I580" s="116">
        <v>0</v>
      </c>
      <c r="J580" s="118" t="s">
        <v>238</v>
      </c>
    </row>
    <row r="581" spans="1:10" x14ac:dyDescent="0.25">
      <c r="A581" s="116">
        <v>578</v>
      </c>
      <c r="B581" s="117" t="s">
        <v>2115</v>
      </c>
      <c r="C581" s="118" t="s">
        <v>2116</v>
      </c>
      <c r="D581" s="118" t="s">
        <v>453</v>
      </c>
      <c r="E581" s="118" t="s">
        <v>2336</v>
      </c>
      <c r="F581" s="119">
        <v>99.179713473904201</v>
      </c>
      <c r="G581" s="119">
        <v>107.6297134739042</v>
      </c>
      <c r="H581" s="119">
        <v>20.28</v>
      </c>
      <c r="I581" s="116">
        <v>204</v>
      </c>
      <c r="J581" s="118" t="s">
        <v>269</v>
      </c>
    </row>
    <row r="582" spans="1:10" x14ac:dyDescent="0.25">
      <c r="A582" s="116">
        <v>579</v>
      </c>
      <c r="B582" s="117" t="s">
        <v>2162</v>
      </c>
      <c r="C582" s="118" t="s">
        <v>2163</v>
      </c>
      <c r="D582" s="118" t="s">
        <v>453</v>
      </c>
      <c r="E582" s="118" t="s">
        <v>2336</v>
      </c>
      <c r="F582" s="119">
        <v>99.180236295553044</v>
      </c>
      <c r="G582" s="119">
        <v>106.81773629555305</v>
      </c>
      <c r="H582" s="119">
        <v>20.25</v>
      </c>
      <c r="I582" s="116">
        <v>219</v>
      </c>
      <c r="J582" s="118" t="s">
        <v>269</v>
      </c>
    </row>
    <row r="583" spans="1:10" x14ac:dyDescent="0.25">
      <c r="A583" s="116">
        <v>580</v>
      </c>
      <c r="B583" s="117" t="s">
        <v>2164</v>
      </c>
      <c r="C583" s="118" t="s">
        <v>2165</v>
      </c>
      <c r="D583" s="118" t="s">
        <v>453</v>
      </c>
      <c r="E583" s="118" t="s">
        <v>2336</v>
      </c>
      <c r="F583" s="119">
        <v>99.180510272390251</v>
      </c>
      <c r="G583" s="119">
        <v>106.76381027239024</v>
      </c>
      <c r="H583" s="119">
        <v>20.25</v>
      </c>
      <c r="I583" s="116">
        <v>220</v>
      </c>
      <c r="J583" s="118" t="s">
        <v>269</v>
      </c>
    </row>
    <row r="584" spans="1:10" x14ac:dyDescent="0.25">
      <c r="A584" s="116">
        <v>581</v>
      </c>
      <c r="B584" s="117" t="s">
        <v>1351</v>
      </c>
      <c r="C584" s="118" t="s">
        <v>1352</v>
      </c>
      <c r="D584" s="118" t="s">
        <v>453</v>
      </c>
      <c r="E584" s="118" t="s">
        <v>2110</v>
      </c>
      <c r="F584" s="119">
        <v>97.585473127121944</v>
      </c>
      <c r="G584" s="119">
        <v>102.41877312712194</v>
      </c>
      <c r="H584" s="119">
        <v>21.37</v>
      </c>
      <c r="I584" s="116">
        <v>813</v>
      </c>
      <c r="J584" s="118" t="s">
        <v>269</v>
      </c>
    </row>
    <row r="585" spans="1:10" x14ac:dyDescent="0.25">
      <c r="A585" s="116">
        <v>582</v>
      </c>
      <c r="B585" s="117" t="s">
        <v>1353</v>
      </c>
      <c r="C585" s="118" t="s">
        <v>1354</v>
      </c>
      <c r="D585" s="118" t="s">
        <v>453</v>
      </c>
      <c r="E585" s="118" t="s">
        <v>2110</v>
      </c>
      <c r="F585" s="119">
        <v>89.99998146420711</v>
      </c>
      <c r="G585" s="119">
        <v>91.666681464207102</v>
      </c>
      <c r="H585" s="119">
        <v>24.91</v>
      </c>
      <c r="I585" s="116">
        <v>1050</v>
      </c>
      <c r="J585" s="118" t="s">
        <v>269</v>
      </c>
    </row>
    <row r="586" spans="1:10" x14ac:dyDescent="0.25">
      <c r="A586" s="116">
        <v>583</v>
      </c>
      <c r="B586" s="117" t="s">
        <v>1355</v>
      </c>
      <c r="C586" s="118" t="s">
        <v>1356</v>
      </c>
      <c r="D586" s="118" t="s">
        <v>453</v>
      </c>
      <c r="E586" s="118" t="s">
        <v>1357</v>
      </c>
      <c r="F586" s="119">
        <v>100.41932437233864</v>
      </c>
      <c r="G586" s="119">
        <v>100.60262437233864</v>
      </c>
      <c r="H586" s="119">
        <v>20.92</v>
      </c>
      <c r="I586" s="116">
        <v>147</v>
      </c>
      <c r="J586" s="118" t="s">
        <v>269</v>
      </c>
    </row>
    <row r="587" spans="1:10" x14ac:dyDescent="0.25">
      <c r="A587" s="116">
        <v>584</v>
      </c>
      <c r="B587" s="117" t="s">
        <v>2066</v>
      </c>
      <c r="C587" s="118" t="s">
        <v>2067</v>
      </c>
      <c r="D587" s="118" t="s">
        <v>453</v>
      </c>
      <c r="E587" s="118" t="s">
        <v>1357</v>
      </c>
      <c r="F587" s="119">
        <v>100.02891909209488</v>
      </c>
      <c r="G587" s="119">
        <v>101.06781909209488</v>
      </c>
      <c r="H587" s="119">
        <v>21.94</v>
      </c>
      <c r="I587" s="116">
        <v>523</v>
      </c>
      <c r="J587" s="118" t="s">
        <v>269</v>
      </c>
    </row>
    <row r="588" spans="1:10" x14ac:dyDescent="0.25">
      <c r="A588" s="116">
        <v>585</v>
      </c>
      <c r="B588" s="117" t="s">
        <v>2387</v>
      </c>
      <c r="C588" s="118" t="s">
        <v>2388</v>
      </c>
      <c r="D588" s="118" t="s">
        <v>453</v>
      </c>
      <c r="E588" s="118" t="s">
        <v>1357</v>
      </c>
      <c r="F588" s="119">
        <v>101.47618859313648</v>
      </c>
      <c r="G588" s="119">
        <v>102.51508859313648</v>
      </c>
      <c r="H588" s="119">
        <v>21.04</v>
      </c>
      <c r="I588" s="116">
        <v>673</v>
      </c>
      <c r="J588" s="118" t="s">
        <v>269</v>
      </c>
    </row>
    <row r="589" spans="1:10" x14ac:dyDescent="0.25">
      <c r="A589" s="116">
        <v>586</v>
      </c>
      <c r="B589" s="117" t="s">
        <v>2166</v>
      </c>
      <c r="C589" s="118" t="s">
        <v>2167</v>
      </c>
      <c r="D589" s="118" t="s">
        <v>453</v>
      </c>
      <c r="E589" s="118" t="s">
        <v>1357</v>
      </c>
      <c r="F589" s="119">
        <v>101.13950651960701</v>
      </c>
      <c r="G589" s="119">
        <v>102.22560651960701</v>
      </c>
      <c r="H589" s="119">
        <v>21.01</v>
      </c>
      <c r="I589" s="116">
        <v>223</v>
      </c>
      <c r="J589" s="118" t="s">
        <v>269</v>
      </c>
    </row>
    <row r="590" spans="1:10" x14ac:dyDescent="0.25">
      <c r="A590" s="116">
        <v>587</v>
      </c>
      <c r="B590" s="117" t="s">
        <v>2105</v>
      </c>
      <c r="C590" s="118" t="s">
        <v>2106</v>
      </c>
      <c r="D590" s="118" t="s">
        <v>453</v>
      </c>
      <c r="E590" s="118" t="s">
        <v>1357</v>
      </c>
      <c r="F590" s="119">
        <v>101.0746037099233</v>
      </c>
      <c r="G590" s="119">
        <v>101.58570370992329</v>
      </c>
      <c r="H590" s="119">
        <v>20.95</v>
      </c>
      <c r="I590" s="116">
        <v>202</v>
      </c>
      <c r="J590" s="118" t="s">
        <v>269</v>
      </c>
    </row>
    <row r="591" spans="1:10" x14ac:dyDescent="0.25">
      <c r="A591" s="116">
        <v>588</v>
      </c>
      <c r="B591" s="117" t="s">
        <v>2439</v>
      </c>
      <c r="C591" s="118" t="s">
        <v>2440</v>
      </c>
      <c r="D591" s="118" t="s">
        <v>453</v>
      </c>
      <c r="E591" s="118" t="s">
        <v>1357</v>
      </c>
      <c r="F591" s="119">
        <v>99.996700000000004</v>
      </c>
      <c r="G591" s="119">
        <v>101.5245</v>
      </c>
      <c r="H591" s="119">
        <v>22</v>
      </c>
      <c r="I591" s="116">
        <v>335</v>
      </c>
      <c r="J591" s="118" t="s">
        <v>269</v>
      </c>
    </row>
    <row r="592" spans="1:10" x14ac:dyDescent="0.25">
      <c r="A592" s="116">
        <v>589</v>
      </c>
      <c r="B592" s="117" t="s">
        <v>2346</v>
      </c>
      <c r="C592" s="118" t="s">
        <v>2347</v>
      </c>
      <c r="D592" s="118" t="s">
        <v>453</v>
      </c>
      <c r="E592" s="118" t="s">
        <v>1357</v>
      </c>
      <c r="F592" s="119">
        <v>100.76722100455297</v>
      </c>
      <c r="G592" s="119">
        <v>102.29502100455296</v>
      </c>
      <c r="H592" s="119">
        <v>21</v>
      </c>
      <c r="I592" s="116">
        <v>305</v>
      </c>
      <c r="J592" s="118" t="s">
        <v>269</v>
      </c>
    </row>
    <row r="593" spans="1:10" x14ac:dyDescent="0.25">
      <c r="A593" s="116">
        <v>590</v>
      </c>
      <c r="B593" s="117" t="s">
        <v>1358</v>
      </c>
      <c r="C593" s="118" t="s">
        <v>1359</v>
      </c>
      <c r="D593" s="118" t="s">
        <v>453</v>
      </c>
      <c r="E593" s="118" t="s">
        <v>1357</v>
      </c>
      <c r="F593" s="119">
        <v>99.907007563634139</v>
      </c>
      <c r="G593" s="119">
        <v>101.01810756363415</v>
      </c>
      <c r="H593" s="119">
        <v>23.26</v>
      </c>
      <c r="I593" s="116">
        <v>10</v>
      </c>
      <c r="J593" s="118" t="s">
        <v>269</v>
      </c>
    </row>
    <row r="594" spans="1:10" x14ac:dyDescent="0.25">
      <c r="A594" s="116">
        <v>591</v>
      </c>
      <c r="B594" s="117" t="s">
        <v>1360</v>
      </c>
      <c r="C594" s="118" t="s">
        <v>1361</v>
      </c>
      <c r="D594" s="118" t="s">
        <v>453</v>
      </c>
      <c r="E594" s="118" t="s">
        <v>1357</v>
      </c>
      <c r="F594" s="119">
        <v>99.450542407886758</v>
      </c>
      <c r="G594" s="119">
        <v>103.22834240788676</v>
      </c>
      <c r="H594" s="119">
        <v>21.79</v>
      </c>
      <c r="I594" s="116">
        <v>112</v>
      </c>
      <c r="J594" s="118" t="s">
        <v>269</v>
      </c>
    </row>
    <row r="595" spans="1:10" x14ac:dyDescent="0.25">
      <c r="A595" s="116">
        <v>592</v>
      </c>
      <c r="B595" s="117" t="s">
        <v>1362</v>
      </c>
      <c r="C595" s="118" t="s">
        <v>1363</v>
      </c>
      <c r="D595" s="118" t="s">
        <v>453</v>
      </c>
      <c r="E595" s="118" t="s">
        <v>1357</v>
      </c>
      <c r="F595" s="119">
        <v>99.778246014473893</v>
      </c>
      <c r="G595" s="119">
        <v>102.7226460144739</v>
      </c>
      <c r="H595" s="119">
        <v>21.91</v>
      </c>
      <c r="I595" s="116">
        <v>37</v>
      </c>
      <c r="J595" s="118" t="s">
        <v>269</v>
      </c>
    </row>
    <row r="596" spans="1:10" x14ac:dyDescent="0.25">
      <c r="A596" s="116">
        <v>593</v>
      </c>
      <c r="B596" s="117" t="s">
        <v>1364</v>
      </c>
      <c r="C596" s="118" t="s">
        <v>1365</v>
      </c>
      <c r="D596" s="118" t="s">
        <v>453</v>
      </c>
      <c r="E596" s="118" t="s">
        <v>1357</v>
      </c>
      <c r="F596" s="119">
        <v>99.750451125484105</v>
      </c>
      <c r="G596" s="119">
        <v>102.19485112548411</v>
      </c>
      <c r="H596" s="119">
        <v>21.76</v>
      </c>
      <c r="I596" s="116">
        <v>46</v>
      </c>
      <c r="J596" s="118" t="s">
        <v>269</v>
      </c>
    </row>
    <row r="597" spans="1:10" x14ac:dyDescent="0.25">
      <c r="A597" s="116">
        <v>594</v>
      </c>
      <c r="B597" s="117" t="s">
        <v>1963</v>
      </c>
      <c r="C597" s="118" t="s">
        <v>1964</v>
      </c>
      <c r="D597" s="118" t="s">
        <v>453</v>
      </c>
      <c r="E597" s="118" t="s">
        <v>1357</v>
      </c>
      <c r="F597" s="119">
        <v>98.463239443315857</v>
      </c>
      <c r="G597" s="119">
        <v>103.29653944331585</v>
      </c>
      <c r="H597" s="119">
        <v>21.42</v>
      </c>
      <c r="I597" s="116">
        <v>453</v>
      </c>
      <c r="J597" s="118" t="s">
        <v>269</v>
      </c>
    </row>
    <row r="598" spans="1:10" x14ac:dyDescent="0.25">
      <c r="A598" s="116">
        <v>595</v>
      </c>
      <c r="B598" s="117" t="s">
        <v>1995</v>
      </c>
      <c r="C598" s="118" t="s">
        <v>1996</v>
      </c>
      <c r="D598" s="118" t="s">
        <v>453</v>
      </c>
      <c r="E598" s="118" t="s">
        <v>1357</v>
      </c>
      <c r="F598" s="119">
        <v>98.317471410242248</v>
      </c>
      <c r="G598" s="119">
        <v>101.31747141024225</v>
      </c>
      <c r="H598" s="119">
        <v>21.44</v>
      </c>
      <c r="I598" s="116">
        <v>486</v>
      </c>
      <c r="J598" s="118" t="s">
        <v>269</v>
      </c>
    </row>
    <row r="599" spans="1:10" x14ac:dyDescent="0.25">
      <c r="A599" s="116">
        <v>596</v>
      </c>
      <c r="B599" s="117" t="s">
        <v>2040</v>
      </c>
      <c r="C599" s="118" t="s">
        <v>2041</v>
      </c>
      <c r="D599" s="118" t="s">
        <v>453</v>
      </c>
      <c r="E599" s="118" t="s">
        <v>1357</v>
      </c>
      <c r="F599" s="119">
        <v>100.26812068470068</v>
      </c>
      <c r="G599" s="119">
        <v>101.73482068470068</v>
      </c>
      <c r="H599" s="119">
        <v>21.27</v>
      </c>
      <c r="I599" s="116">
        <v>156</v>
      </c>
      <c r="J599" s="118" t="s">
        <v>269</v>
      </c>
    </row>
    <row r="600" spans="1:10" x14ac:dyDescent="0.25">
      <c r="A600" s="116">
        <v>597</v>
      </c>
      <c r="B600" s="117" t="s">
        <v>1366</v>
      </c>
      <c r="C600" s="118" t="s">
        <v>1367</v>
      </c>
      <c r="D600" s="118" t="s">
        <v>453</v>
      </c>
      <c r="E600" s="118" t="s">
        <v>1368</v>
      </c>
      <c r="F600" s="119">
        <v>100.24284700156784</v>
      </c>
      <c r="G600" s="119">
        <v>102.10954700156783</v>
      </c>
      <c r="H600" s="119">
        <v>22.31</v>
      </c>
      <c r="I600" s="116">
        <v>62</v>
      </c>
      <c r="J600" s="118" t="s">
        <v>269</v>
      </c>
    </row>
    <row r="601" spans="1:10" x14ac:dyDescent="0.25">
      <c r="A601" s="116">
        <v>598</v>
      </c>
      <c r="B601" s="117" t="s">
        <v>1955</v>
      </c>
      <c r="C601" s="118" t="s">
        <v>1956</v>
      </c>
      <c r="D601" s="118" t="s">
        <v>453</v>
      </c>
      <c r="E601" s="118" t="s">
        <v>1368</v>
      </c>
      <c r="F601" s="119">
        <v>97.588693497693242</v>
      </c>
      <c r="G601" s="119">
        <v>98.144293497693255</v>
      </c>
      <c r="H601" s="119">
        <v>22.3</v>
      </c>
      <c r="I601" s="116">
        <v>440</v>
      </c>
      <c r="J601" s="118" t="s">
        <v>269</v>
      </c>
    </row>
    <row r="602" spans="1:10" x14ac:dyDescent="0.25">
      <c r="A602" s="116">
        <v>599</v>
      </c>
      <c r="B602" s="117" t="s">
        <v>1369</v>
      </c>
      <c r="C602" s="118" t="s">
        <v>1370</v>
      </c>
      <c r="D602" s="118" t="s">
        <v>453</v>
      </c>
      <c r="E602" s="118" t="s">
        <v>367</v>
      </c>
      <c r="F602" s="119">
        <v>97.630200000000002</v>
      </c>
      <c r="G602" s="119">
        <v>105.2135</v>
      </c>
      <c r="H602" s="119">
        <v>20.02</v>
      </c>
      <c r="I602" s="116">
        <v>384</v>
      </c>
      <c r="J602" s="118" t="s">
        <v>269</v>
      </c>
    </row>
    <row r="603" spans="1:10" x14ac:dyDescent="0.25">
      <c r="A603" s="116">
        <v>600</v>
      </c>
      <c r="B603" s="117" t="s">
        <v>418</v>
      </c>
      <c r="C603" s="118" t="s">
        <v>419</v>
      </c>
      <c r="D603" s="118" t="s">
        <v>453</v>
      </c>
      <c r="E603" s="118" t="s">
        <v>397</v>
      </c>
      <c r="F603" s="119">
        <v>94.525692353505093</v>
      </c>
      <c r="G603" s="119">
        <v>96.792392353505093</v>
      </c>
      <c r="H603" s="119">
        <v>17.760000000000002</v>
      </c>
      <c r="I603" s="116">
        <v>382</v>
      </c>
      <c r="J603" s="118" t="s">
        <v>269</v>
      </c>
    </row>
    <row r="604" spans="1:10" x14ac:dyDescent="0.25">
      <c r="A604" s="116">
        <v>601</v>
      </c>
      <c r="B604" s="117" t="s">
        <v>1938</v>
      </c>
      <c r="C604" s="118" t="s">
        <v>1939</v>
      </c>
      <c r="D604" s="118" t="s">
        <v>453</v>
      </c>
      <c r="E604" s="118" t="s">
        <v>397</v>
      </c>
      <c r="F604" s="119">
        <v>100.05115445144936</v>
      </c>
      <c r="G604" s="119">
        <v>100.47895445144935</v>
      </c>
      <c r="H604" s="119">
        <v>21.76</v>
      </c>
      <c r="I604" s="116">
        <v>83</v>
      </c>
      <c r="J604" s="118" t="s">
        <v>269</v>
      </c>
    </row>
    <row r="605" spans="1:10" x14ac:dyDescent="0.25">
      <c r="A605" s="116">
        <v>602</v>
      </c>
      <c r="B605" s="117" t="s">
        <v>1940</v>
      </c>
      <c r="C605" s="118" t="s">
        <v>1941</v>
      </c>
      <c r="D605" s="118" t="s">
        <v>453</v>
      </c>
      <c r="E605" s="118" t="s">
        <v>397</v>
      </c>
      <c r="F605" s="119">
        <v>100.08337293917282</v>
      </c>
      <c r="G605" s="119">
        <v>101.36667293917282</v>
      </c>
      <c r="H605" s="119">
        <v>21.68</v>
      </c>
      <c r="I605" s="116">
        <v>99</v>
      </c>
      <c r="J605" s="118" t="s">
        <v>269</v>
      </c>
    </row>
    <row r="606" spans="1:10" x14ac:dyDescent="0.25">
      <c r="A606" s="116">
        <v>603</v>
      </c>
      <c r="B606" s="117" t="s">
        <v>1982</v>
      </c>
      <c r="C606" s="118" t="s">
        <v>1983</v>
      </c>
      <c r="D606" s="118" t="s">
        <v>453</v>
      </c>
      <c r="E606" s="118" t="s">
        <v>397</v>
      </c>
      <c r="F606" s="119">
        <v>100.07231783140801</v>
      </c>
      <c r="G606" s="119">
        <v>100.13341783140801</v>
      </c>
      <c r="H606" s="119">
        <v>21.77</v>
      </c>
      <c r="I606" s="116">
        <v>119</v>
      </c>
      <c r="J606" s="118" t="s">
        <v>269</v>
      </c>
    </row>
    <row r="607" spans="1:10" x14ac:dyDescent="0.25">
      <c r="A607" s="116">
        <v>604</v>
      </c>
      <c r="B607" s="117" t="s">
        <v>2009</v>
      </c>
      <c r="C607" s="118" t="s">
        <v>2010</v>
      </c>
      <c r="D607" s="118" t="s">
        <v>453</v>
      </c>
      <c r="E607" s="118" t="s">
        <v>397</v>
      </c>
      <c r="F607" s="119">
        <v>100.21115487151114</v>
      </c>
      <c r="G607" s="119">
        <v>101.12785487151113</v>
      </c>
      <c r="H607" s="119">
        <v>21.4</v>
      </c>
      <c r="I607" s="116">
        <v>135</v>
      </c>
      <c r="J607" s="118" t="s">
        <v>269</v>
      </c>
    </row>
    <row r="608" spans="1:10" x14ac:dyDescent="0.25">
      <c r="A608" s="116">
        <v>605</v>
      </c>
      <c r="B608" s="117" t="s">
        <v>2097</v>
      </c>
      <c r="C608" s="118" t="s">
        <v>2098</v>
      </c>
      <c r="D608" s="118" t="s">
        <v>443</v>
      </c>
      <c r="E608" s="118" t="s">
        <v>397</v>
      </c>
      <c r="F608" s="119">
        <v>1000</v>
      </c>
      <c r="G608" s="119">
        <v>1000</v>
      </c>
      <c r="H608" s="119">
        <v>0</v>
      </c>
      <c r="I608" s="116">
        <v>0</v>
      </c>
      <c r="J608" s="118" t="s">
        <v>238</v>
      </c>
    </row>
    <row r="609" spans="1:10" x14ac:dyDescent="0.25">
      <c r="A609" s="116">
        <v>606</v>
      </c>
      <c r="B609" s="117" t="s">
        <v>1984</v>
      </c>
      <c r="C609" s="118" t="s">
        <v>1985</v>
      </c>
      <c r="D609" s="118" t="s">
        <v>453</v>
      </c>
      <c r="E609" s="118" t="s">
        <v>397</v>
      </c>
      <c r="F609" s="119">
        <v>98.203936086028861</v>
      </c>
      <c r="G609" s="119">
        <v>98.537236086028855</v>
      </c>
      <c r="H609" s="119">
        <v>18.079999999999998</v>
      </c>
      <c r="I609" s="116">
        <v>110</v>
      </c>
      <c r="J609" s="118" t="s">
        <v>269</v>
      </c>
    </row>
    <row r="610" spans="1:10" x14ac:dyDescent="0.25">
      <c r="A610" s="116">
        <v>607</v>
      </c>
      <c r="B610" s="117" t="s">
        <v>1991</v>
      </c>
      <c r="C610" s="118" t="s">
        <v>1992</v>
      </c>
      <c r="D610" s="118" t="s">
        <v>453</v>
      </c>
      <c r="E610" s="118" t="s">
        <v>397</v>
      </c>
      <c r="F610" s="119">
        <v>98.053599167343577</v>
      </c>
      <c r="G610" s="119">
        <v>99.020299167343566</v>
      </c>
      <c r="H610" s="119">
        <v>18.010000000000002</v>
      </c>
      <c r="I610" s="116">
        <v>121</v>
      </c>
      <c r="J610" s="118" t="s">
        <v>269</v>
      </c>
    </row>
    <row r="611" spans="1:10" x14ac:dyDescent="0.25">
      <c r="A611" s="116">
        <v>608</v>
      </c>
      <c r="B611" s="117" t="s">
        <v>1997</v>
      </c>
      <c r="C611" s="118" t="s">
        <v>1998</v>
      </c>
      <c r="D611" s="118" t="s">
        <v>453</v>
      </c>
      <c r="E611" s="118" t="s">
        <v>397</v>
      </c>
      <c r="F611" s="119">
        <v>100.08540788495796</v>
      </c>
      <c r="G611" s="119">
        <v>101.55210788495796</v>
      </c>
      <c r="H611" s="119">
        <v>21.74</v>
      </c>
      <c r="I611" s="116">
        <v>126</v>
      </c>
      <c r="J611" s="118" t="s">
        <v>269</v>
      </c>
    </row>
    <row r="612" spans="1:10" x14ac:dyDescent="0.25">
      <c r="A612" s="116">
        <v>609</v>
      </c>
      <c r="B612" s="117" t="s">
        <v>2003</v>
      </c>
      <c r="C612" s="118" t="s">
        <v>2004</v>
      </c>
      <c r="D612" s="118" t="s">
        <v>453</v>
      </c>
      <c r="E612" s="118" t="s">
        <v>397</v>
      </c>
      <c r="F612" s="119">
        <v>97.971188494028468</v>
      </c>
      <c r="G612" s="119">
        <v>98.737888494028468</v>
      </c>
      <c r="H612" s="119">
        <v>17.97</v>
      </c>
      <c r="I612" s="116">
        <v>127</v>
      </c>
      <c r="J612" s="118" t="s">
        <v>269</v>
      </c>
    </row>
    <row r="613" spans="1:10" x14ac:dyDescent="0.25">
      <c r="A613" s="116">
        <v>610</v>
      </c>
      <c r="B613" s="117" t="s">
        <v>2005</v>
      </c>
      <c r="C613" s="118" t="s">
        <v>2006</v>
      </c>
      <c r="D613" s="118" t="s">
        <v>453</v>
      </c>
      <c r="E613" s="118" t="s">
        <v>397</v>
      </c>
      <c r="F613" s="119">
        <v>97.971188494028468</v>
      </c>
      <c r="G613" s="119">
        <v>98.737888494028468</v>
      </c>
      <c r="H613" s="119">
        <v>17.97</v>
      </c>
      <c r="I613" s="116">
        <v>127</v>
      </c>
      <c r="J613" s="118" t="s">
        <v>269</v>
      </c>
    </row>
    <row r="614" spans="1:10" x14ac:dyDescent="0.25">
      <c r="A614" s="116">
        <v>611</v>
      </c>
      <c r="B614" s="117" t="s">
        <v>2061</v>
      </c>
      <c r="C614" s="118" t="s">
        <v>2062</v>
      </c>
      <c r="D614" s="118" t="s">
        <v>453</v>
      </c>
      <c r="E614" s="118" t="s">
        <v>397</v>
      </c>
      <c r="F614" s="119">
        <v>97.545664566813471</v>
      </c>
      <c r="G614" s="119">
        <v>98.145664566813466</v>
      </c>
      <c r="H614" s="119">
        <v>17.71</v>
      </c>
      <c r="I614" s="116">
        <v>162</v>
      </c>
      <c r="J614" s="118" t="s">
        <v>269</v>
      </c>
    </row>
    <row r="615" spans="1:10" x14ac:dyDescent="0.25">
      <c r="A615" s="116">
        <v>612</v>
      </c>
      <c r="B615" s="117" t="s">
        <v>2068</v>
      </c>
      <c r="C615" s="118" t="s">
        <v>2069</v>
      </c>
      <c r="D615" s="118" t="s">
        <v>453</v>
      </c>
      <c r="E615" s="118" t="s">
        <v>397</v>
      </c>
      <c r="F615" s="119">
        <v>96.886814249535931</v>
      </c>
      <c r="G615" s="119">
        <v>97.786814249535936</v>
      </c>
      <c r="H615" s="119">
        <v>17.579999999999998</v>
      </c>
      <c r="I615" s="116">
        <v>213</v>
      </c>
      <c r="J615" s="118" t="s">
        <v>269</v>
      </c>
    </row>
    <row r="616" spans="1:10" x14ac:dyDescent="0.25">
      <c r="A616" s="116">
        <v>613</v>
      </c>
      <c r="B616" s="117" t="s">
        <v>2121</v>
      </c>
      <c r="C616" s="118" t="s">
        <v>2122</v>
      </c>
      <c r="D616" s="118" t="s">
        <v>453</v>
      </c>
      <c r="E616" s="118" t="s">
        <v>397</v>
      </c>
      <c r="F616" s="119">
        <v>100.74419867107211</v>
      </c>
      <c r="G616" s="119">
        <v>100.98859867107211</v>
      </c>
      <c r="H616" s="119">
        <v>21.44</v>
      </c>
      <c r="I616" s="116">
        <v>566</v>
      </c>
      <c r="J616" s="118" t="s">
        <v>269</v>
      </c>
    </row>
    <row r="617" spans="1:10" x14ac:dyDescent="0.25">
      <c r="A617" s="116">
        <v>614</v>
      </c>
      <c r="B617" s="117" t="s">
        <v>2180</v>
      </c>
      <c r="C617" s="118" t="s">
        <v>2181</v>
      </c>
      <c r="D617" s="118" t="s">
        <v>453</v>
      </c>
      <c r="E617" s="118" t="s">
        <v>397</v>
      </c>
      <c r="F617" s="119">
        <v>99.998999999999995</v>
      </c>
      <c r="G617" s="119">
        <v>101.099</v>
      </c>
      <c r="H617" s="119">
        <v>22</v>
      </c>
      <c r="I617" s="116">
        <v>612</v>
      </c>
      <c r="J617" s="118" t="s">
        <v>269</v>
      </c>
    </row>
    <row r="618" spans="1:10" x14ac:dyDescent="0.25">
      <c r="A618" s="116">
        <v>615</v>
      </c>
      <c r="B618" s="117" t="s">
        <v>2182</v>
      </c>
      <c r="C618" s="118" t="s">
        <v>2183</v>
      </c>
      <c r="D618" s="118" t="s">
        <v>453</v>
      </c>
      <c r="E618" s="118" t="s">
        <v>397</v>
      </c>
      <c r="F618" s="119">
        <v>99.998699999999999</v>
      </c>
      <c r="G618" s="119">
        <v>100.5487</v>
      </c>
      <c r="H618" s="119">
        <v>22</v>
      </c>
      <c r="I618" s="116">
        <v>651</v>
      </c>
      <c r="J618" s="118" t="s">
        <v>269</v>
      </c>
    </row>
    <row r="619" spans="1:10" x14ac:dyDescent="0.25">
      <c r="A619" s="116">
        <v>616</v>
      </c>
      <c r="B619" s="117" t="s">
        <v>2123</v>
      </c>
      <c r="C619" s="118" t="s">
        <v>2124</v>
      </c>
      <c r="D619" s="118" t="s">
        <v>453</v>
      </c>
      <c r="E619" s="118" t="s">
        <v>397</v>
      </c>
      <c r="F619" s="119">
        <v>92.697754575188227</v>
      </c>
      <c r="G619" s="119">
        <v>92.831054575188233</v>
      </c>
      <c r="H619" s="119">
        <v>17.34</v>
      </c>
      <c r="I619" s="116">
        <v>566</v>
      </c>
      <c r="J619" s="118" t="s">
        <v>269</v>
      </c>
    </row>
    <row r="620" spans="1:10" x14ac:dyDescent="0.25">
      <c r="A620" s="116">
        <v>617</v>
      </c>
      <c r="B620" s="117" t="s">
        <v>2184</v>
      </c>
      <c r="C620" s="118" t="s">
        <v>2185</v>
      </c>
      <c r="D620" s="118" t="s">
        <v>453</v>
      </c>
      <c r="E620" s="118" t="s">
        <v>397</v>
      </c>
      <c r="F620" s="119">
        <v>92.183772236300001</v>
      </c>
      <c r="G620" s="119">
        <v>92.750472236299998</v>
      </c>
      <c r="H620" s="119">
        <v>17.329999999999998</v>
      </c>
      <c r="I620" s="116">
        <v>613</v>
      </c>
      <c r="J620" s="118" t="s">
        <v>269</v>
      </c>
    </row>
    <row r="621" spans="1:10" x14ac:dyDescent="0.25">
      <c r="A621" s="116">
        <v>618</v>
      </c>
      <c r="B621" s="117" t="s">
        <v>2186</v>
      </c>
      <c r="C621" s="118" t="s">
        <v>2187</v>
      </c>
      <c r="D621" s="118" t="s">
        <v>453</v>
      </c>
      <c r="E621" s="118" t="s">
        <v>397</v>
      </c>
      <c r="F621" s="119">
        <v>92.317323526828943</v>
      </c>
      <c r="G621" s="119">
        <v>92.317323526828943</v>
      </c>
      <c r="H621" s="119">
        <v>17.34</v>
      </c>
      <c r="I621" s="116">
        <v>600</v>
      </c>
      <c r="J621" s="118" t="s">
        <v>269</v>
      </c>
    </row>
    <row r="622" spans="1:10" x14ac:dyDescent="0.25">
      <c r="A622" s="116">
        <v>619</v>
      </c>
      <c r="B622" s="117" t="s">
        <v>2482</v>
      </c>
      <c r="C622" s="118" t="s">
        <v>2483</v>
      </c>
      <c r="D622" s="118" t="s">
        <v>453</v>
      </c>
      <c r="E622" s="118" t="s">
        <v>397</v>
      </c>
      <c r="F622" s="119">
        <v>99.998999999999995</v>
      </c>
      <c r="G622" s="119">
        <v>100.8546</v>
      </c>
      <c r="H622" s="119">
        <v>22</v>
      </c>
      <c r="I622" s="116">
        <v>706</v>
      </c>
      <c r="J622" s="118" t="s">
        <v>269</v>
      </c>
    </row>
    <row r="623" spans="1:10" x14ac:dyDescent="0.25">
      <c r="A623" s="116">
        <v>620</v>
      </c>
      <c r="B623" s="117" t="s">
        <v>2337</v>
      </c>
      <c r="C623" s="118" t="s">
        <v>2338</v>
      </c>
      <c r="D623" s="118" t="s">
        <v>453</v>
      </c>
      <c r="E623" s="118" t="s">
        <v>397</v>
      </c>
      <c r="F623" s="119">
        <v>99.998900000000006</v>
      </c>
      <c r="G623" s="119">
        <v>99.998900000000006</v>
      </c>
      <c r="H623" s="119">
        <v>11</v>
      </c>
      <c r="I623" s="116">
        <v>660</v>
      </c>
      <c r="J623" s="118" t="s">
        <v>269</v>
      </c>
    </row>
    <row r="624" spans="1:10" x14ac:dyDescent="0.25">
      <c r="A624" s="116">
        <v>621</v>
      </c>
      <c r="B624" s="117" t="s">
        <v>1371</v>
      </c>
      <c r="C624" s="118" t="s">
        <v>1372</v>
      </c>
      <c r="D624" s="118" t="s">
        <v>453</v>
      </c>
      <c r="E624" s="118" t="s">
        <v>397</v>
      </c>
      <c r="F624" s="119">
        <v>100.06530648350639</v>
      </c>
      <c r="G624" s="119">
        <v>104.58750648350639</v>
      </c>
      <c r="H624" s="119">
        <v>21.9</v>
      </c>
      <c r="I624" s="116">
        <v>376</v>
      </c>
      <c r="J624" s="118" t="s">
        <v>269</v>
      </c>
    </row>
    <row r="625" spans="1:10" x14ac:dyDescent="0.25">
      <c r="A625" s="116">
        <v>622</v>
      </c>
      <c r="B625" s="117" t="s">
        <v>1373</v>
      </c>
      <c r="C625" s="118" t="s">
        <v>1374</v>
      </c>
      <c r="D625" s="118" t="s">
        <v>453</v>
      </c>
      <c r="E625" s="118" t="s">
        <v>397</v>
      </c>
      <c r="F625" s="119">
        <v>99.920556277105391</v>
      </c>
      <c r="G625" s="119">
        <v>100.73725627710539</v>
      </c>
      <c r="H625" s="119">
        <v>22.72</v>
      </c>
      <c r="I625" s="116">
        <v>16</v>
      </c>
      <c r="J625" s="118" t="s">
        <v>269</v>
      </c>
    </row>
    <row r="626" spans="1:10" x14ac:dyDescent="0.25">
      <c r="A626" s="116">
        <v>623</v>
      </c>
      <c r="B626" s="117" t="s">
        <v>1375</v>
      </c>
      <c r="C626" s="118" t="s">
        <v>1376</v>
      </c>
      <c r="D626" s="118" t="s">
        <v>453</v>
      </c>
      <c r="E626" s="118" t="s">
        <v>397</v>
      </c>
      <c r="F626" s="119">
        <v>99.605848643893196</v>
      </c>
      <c r="G626" s="119">
        <v>100.0336486438932</v>
      </c>
      <c r="H626" s="119">
        <v>19.940000000000001</v>
      </c>
      <c r="I626" s="116">
        <v>16</v>
      </c>
      <c r="J626" s="118" t="s">
        <v>269</v>
      </c>
    </row>
    <row r="627" spans="1:10" x14ac:dyDescent="0.25">
      <c r="A627" s="116">
        <v>624</v>
      </c>
      <c r="B627" s="117" t="s">
        <v>1377</v>
      </c>
      <c r="C627" s="118" t="s">
        <v>1378</v>
      </c>
      <c r="D627" s="118" t="s">
        <v>453</v>
      </c>
      <c r="E627" s="118" t="s">
        <v>1379</v>
      </c>
      <c r="F627" s="119">
        <v>96.784746790122981</v>
      </c>
      <c r="G627" s="119">
        <v>98.029146790122994</v>
      </c>
      <c r="H627" s="119">
        <v>19.260000000000002</v>
      </c>
      <c r="I627" s="116">
        <v>238</v>
      </c>
      <c r="J627" s="118" t="s">
        <v>269</v>
      </c>
    </row>
    <row r="628" spans="1:10" x14ac:dyDescent="0.25">
      <c r="A628" s="116">
        <v>625</v>
      </c>
      <c r="B628" s="117" t="s">
        <v>113</v>
      </c>
      <c r="C628" s="118" t="s">
        <v>114</v>
      </c>
      <c r="D628" s="118" t="s">
        <v>453</v>
      </c>
      <c r="E628" s="118" t="s">
        <v>112</v>
      </c>
      <c r="F628" s="119">
        <v>99.976667203951536</v>
      </c>
      <c r="G628" s="119">
        <v>100.36496720395154</v>
      </c>
      <c r="H628" s="119">
        <v>23.61</v>
      </c>
      <c r="I628" s="116">
        <v>24</v>
      </c>
      <c r="J628" s="118" t="s">
        <v>269</v>
      </c>
    </row>
    <row r="629" spans="1:10" x14ac:dyDescent="0.25">
      <c r="A629" s="116">
        <v>626</v>
      </c>
      <c r="B629" s="117" t="s">
        <v>115</v>
      </c>
      <c r="C629" s="118" t="s">
        <v>116</v>
      </c>
      <c r="D629" s="118" t="s">
        <v>453</v>
      </c>
      <c r="E629" s="118" t="s">
        <v>112</v>
      </c>
      <c r="F629" s="119">
        <v>99.40354300831828</v>
      </c>
      <c r="G629" s="119">
        <v>100.73684300831829</v>
      </c>
      <c r="H629" s="119">
        <v>21.22</v>
      </c>
      <c r="I629" s="116">
        <v>186</v>
      </c>
      <c r="J629" s="118" t="s">
        <v>269</v>
      </c>
    </row>
    <row r="630" spans="1:10" x14ac:dyDescent="0.25">
      <c r="A630" s="116">
        <v>627</v>
      </c>
      <c r="B630" s="117" t="s">
        <v>1380</v>
      </c>
      <c r="C630" s="118" t="s">
        <v>1381</v>
      </c>
      <c r="D630" s="118" t="s">
        <v>453</v>
      </c>
      <c r="E630" s="118" t="s">
        <v>112</v>
      </c>
      <c r="F630" s="119">
        <v>99.232951833574788</v>
      </c>
      <c r="G630" s="119">
        <v>99.288551833574786</v>
      </c>
      <c r="H630" s="119">
        <v>10.59</v>
      </c>
      <c r="I630" s="116">
        <v>508</v>
      </c>
      <c r="J630" s="118" t="s">
        <v>269</v>
      </c>
    </row>
    <row r="631" spans="1:10" x14ac:dyDescent="0.25">
      <c r="A631" s="116">
        <v>628</v>
      </c>
      <c r="B631" s="117" t="s">
        <v>352</v>
      </c>
      <c r="C631" s="118" t="s">
        <v>353</v>
      </c>
      <c r="D631" s="118" t="s">
        <v>453</v>
      </c>
      <c r="E631" s="118" t="s">
        <v>112</v>
      </c>
      <c r="F631" s="119">
        <v>102.11325875695474</v>
      </c>
      <c r="G631" s="119">
        <v>102.42755875695472</v>
      </c>
      <c r="H631" s="119">
        <v>21.22</v>
      </c>
      <c r="I631" s="116">
        <v>655</v>
      </c>
      <c r="J631" s="118" t="s">
        <v>269</v>
      </c>
    </row>
    <row r="632" spans="1:10" x14ac:dyDescent="0.25">
      <c r="A632" s="116">
        <v>629</v>
      </c>
      <c r="B632" s="117" t="s">
        <v>1382</v>
      </c>
      <c r="C632" s="118" t="s">
        <v>1383</v>
      </c>
      <c r="D632" s="118" t="s">
        <v>453</v>
      </c>
      <c r="E632" s="118" t="s">
        <v>112</v>
      </c>
      <c r="F632" s="119">
        <v>95.949893474327297</v>
      </c>
      <c r="G632" s="119">
        <v>97.110993474327302</v>
      </c>
      <c r="H632" s="119">
        <v>21.26</v>
      </c>
      <c r="I632" s="116">
        <v>818</v>
      </c>
      <c r="J632" s="118" t="s">
        <v>269</v>
      </c>
    </row>
    <row r="633" spans="1:10" x14ac:dyDescent="0.25">
      <c r="A633" s="116">
        <v>630</v>
      </c>
      <c r="B633" s="117" t="s">
        <v>383</v>
      </c>
      <c r="C633" s="118" t="s">
        <v>384</v>
      </c>
      <c r="D633" s="118" t="s">
        <v>453</v>
      </c>
      <c r="E633" s="118" t="s">
        <v>112</v>
      </c>
      <c r="F633" s="119">
        <v>96.35</v>
      </c>
      <c r="G633" s="119">
        <v>97.880600000000001</v>
      </c>
      <c r="H633" s="119">
        <v>23.11</v>
      </c>
      <c r="I633" s="116">
        <v>361</v>
      </c>
      <c r="J633" s="118" t="s">
        <v>269</v>
      </c>
    </row>
    <row r="634" spans="1:10" x14ac:dyDescent="0.25">
      <c r="A634" s="116">
        <v>631</v>
      </c>
      <c r="B634" s="117" t="s">
        <v>1993</v>
      </c>
      <c r="C634" s="118" t="s">
        <v>1994</v>
      </c>
      <c r="D634" s="118" t="s">
        <v>453</v>
      </c>
      <c r="E634" s="118" t="s">
        <v>112</v>
      </c>
      <c r="F634" s="119">
        <v>99.501865311875846</v>
      </c>
      <c r="G634" s="119">
        <v>99.560165311875849</v>
      </c>
      <c r="H634" s="119">
        <v>21.27</v>
      </c>
      <c r="I634" s="116">
        <v>839</v>
      </c>
      <c r="J634" s="118" t="s">
        <v>269</v>
      </c>
    </row>
    <row r="635" spans="1:10" x14ac:dyDescent="0.25">
      <c r="A635" s="116">
        <v>632</v>
      </c>
      <c r="B635" s="117" t="s">
        <v>2021</v>
      </c>
      <c r="C635" s="118" t="s">
        <v>2022</v>
      </c>
      <c r="D635" s="118" t="s">
        <v>453</v>
      </c>
      <c r="E635" s="118" t="s">
        <v>112</v>
      </c>
      <c r="F635" s="119">
        <v>99.531025666782483</v>
      </c>
      <c r="G635" s="119">
        <v>99.997725666782486</v>
      </c>
      <c r="H635" s="119">
        <v>21.25</v>
      </c>
      <c r="I635" s="116">
        <v>862</v>
      </c>
      <c r="J635" s="118" t="s">
        <v>269</v>
      </c>
    </row>
    <row r="636" spans="1:10" x14ac:dyDescent="0.25">
      <c r="A636" s="116">
        <v>633</v>
      </c>
      <c r="B636" s="117" t="s">
        <v>2057</v>
      </c>
      <c r="C636" s="118" t="s">
        <v>2058</v>
      </c>
      <c r="D636" s="118" t="s">
        <v>453</v>
      </c>
      <c r="E636" s="118" t="s">
        <v>112</v>
      </c>
      <c r="F636" s="119">
        <v>101.8333247958664</v>
      </c>
      <c r="G636" s="119">
        <v>103.0833247958664</v>
      </c>
      <c r="H636" s="119">
        <v>21.53</v>
      </c>
      <c r="I636" s="116">
        <v>880</v>
      </c>
      <c r="J636" s="118" t="s">
        <v>269</v>
      </c>
    </row>
    <row r="637" spans="1:10" x14ac:dyDescent="0.25">
      <c r="A637" s="116">
        <v>634</v>
      </c>
      <c r="B637" s="117" t="s">
        <v>2059</v>
      </c>
      <c r="C637" s="118" t="s">
        <v>2060</v>
      </c>
      <c r="D637" s="118" t="s">
        <v>453</v>
      </c>
      <c r="E637" s="118" t="s">
        <v>112</v>
      </c>
      <c r="F637" s="119">
        <v>100.82610195133638</v>
      </c>
      <c r="G637" s="119">
        <v>100.82610195133638</v>
      </c>
      <c r="H637" s="119">
        <v>21.27</v>
      </c>
      <c r="I637" s="116">
        <v>960</v>
      </c>
      <c r="J637" s="118" t="s">
        <v>269</v>
      </c>
    </row>
    <row r="638" spans="1:10" x14ac:dyDescent="0.25">
      <c r="A638" s="116">
        <v>635</v>
      </c>
      <c r="B638" s="117" t="s">
        <v>2125</v>
      </c>
      <c r="C638" s="118" t="s">
        <v>2126</v>
      </c>
      <c r="D638" s="118" t="s">
        <v>453</v>
      </c>
      <c r="E638" s="118" t="s">
        <v>2127</v>
      </c>
      <c r="F638" s="119">
        <v>100.54394344454849</v>
      </c>
      <c r="G638" s="119">
        <v>102.34954344454849</v>
      </c>
      <c r="H638" s="119">
        <v>9.6199999999999992</v>
      </c>
      <c r="I638" s="116">
        <v>565</v>
      </c>
      <c r="J638" s="118" t="s">
        <v>269</v>
      </c>
    </row>
    <row r="639" spans="1:10" x14ac:dyDescent="0.25">
      <c r="A639" s="116">
        <v>636</v>
      </c>
      <c r="B639" s="117" t="s">
        <v>1384</v>
      </c>
      <c r="C639" s="118" t="s">
        <v>1385</v>
      </c>
      <c r="D639" s="118" t="s">
        <v>453</v>
      </c>
      <c r="E639" s="118" t="s">
        <v>380</v>
      </c>
      <c r="F639" s="119">
        <v>96.895583874791171</v>
      </c>
      <c r="G639" s="119">
        <v>97.789983874791162</v>
      </c>
      <c r="H639" s="119">
        <v>34.21</v>
      </c>
      <c r="I639" s="116">
        <v>106</v>
      </c>
      <c r="J639" s="118" t="s">
        <v>269</v>
      </c>
    </row>
    <row r="640" spans="1:10" x14ac:dyDescent="0.25">
      <c r="A640" s="116">
        <v>637</v>
      </c>
      <c r="B640" s="117" t="s">
        <v>395</v>
      </c>
      <c r="C640" s="118" t="s">
        <v>396</v>
      </c>
      <c r="D640" s="118" t="s">
        <v>453</v>
      </c>
      <c r="E640" s="118" t="s">
        <v>380</v>
      </c>
      <c r="F640" s="119">
        <v>85.299919689045424</v>
      </c>
      <c r="G640" s="119">
        <v>86.21661968904543</v>
      </c>
      <c r="H640" s="119">
        <v>33.4</v>
      </c>
      <c r="I640" s="116">
        <v>615</v>
      </c>
      <c r="J640" s="118" t="s">
        <v>269</v>
      </c>
    </row>
    <row r="641" spans="1:10" x14ac:dyDescent="0.25">
      <c r="A641" s="116">
        <v>638</v>
      </c>
      <c r="B641" s="117" t="s">
        <v>387</v>
      </c>
      <c r="C641" s="118" t="s">
        <v>388</v>
      </c>
      <c r="D641" s="118" t="s">
        <v>453</v>
      </c>
      <c r="E641" s="118" t="s">
        <v>380</v>
      </c>
      <c r="F641" s="119">
        <v>89.288104262757301</v>
      </c>
      <c r="G641" s="119">
        <v>90.454804262757293</v>
      </c>
      <c r="H641" s="119">
        <v>33.450000000000003</v>
      </c>
      <c r="I641" s="116">
        <v>370</v>
      </c>
      <c r="J641" s="118" t="s">
        <v>269</v>
      </c>
    </row>
    <row r="642" spans="1:10" x14ac:dyDescent="0.25">
      <c r="A642" s="116">
        <v>639</v>
      </c>
      <c r="B642" s="117" t="s">
        <v>2052</v>
      </c>
      <c r="C642" s="118" t="s">
        <v>2053</v>
      </c>
      <c r="D642" s="118" t="s">
        <v>453</v>
      </c>
      <c r="E642" s="118" t="s">
        <v>380</v>
      </c>
      <c r="F642" s="119">
        <v>71.549681995287685</v>
      </c>
      <c r="G642" s="119">
        <v>72.832981995287682</v>
      </c>
      <c r="H642" s="119">
        <v>39.31</v>
      </c>
      <c r="I642" s="116">
        <v>878</v>
      </c>
      <c r="J642" s="118" t="s">
        <v>269</v>
      </c>
    </row>
    <row r="643" spans="1:10" x14ac:dyDescent="0.25">
      <c r="A643" s="116">
        <v>640</v>
      </c>
      <c r="B643" s="117" t="s">
        <v>2147</v>
      </c>
      <c r="C643" s="118" t="s">
        <v>2148</v>
      </c>
      <c r="D643" s="118" t="s">
        <v>453</v>
      </c>
      <c r="E643" s="118" t="s">
        <v>380</v>
      </c>
      <c r="F643" s="119">
        <v>92.395874030255072</v>
      </c>
      <c r="G643" s="119">
        <v>93.926474030255079</v>
      </c>
      <c r="H643" s="119">
        <v>33.47</v>
      </c>
      <c r="I643" s="116">
        <v>211</v>
      </c>
      <c r="J643" s="118" t="s">
        <v>269</v>
      </c>
    </row>
    <row r="644" spans="1:10" x14ac:dyDescent="0.25">
      <c r="A644" s="116">
        <v>641</v>
      </c>
      <c r="B644" s="117" t="s">
        <v>2266</v>
      </c>
      <c r="C644" s="118" t="s">
        <v>2267</v>
      </c>
      <c r="D644" s="118" t="s">
        <v>453</v>
      </c>
      <c r="E644" s="118" t="s">
        <v>380</v>
      </c>
      <c r="F644" s="119">
        <v>85.020130391988886</v>
      </c>
      <c r="G644" s="119">
        <v>86.731230391988888</v>
      </c>
      <c r="H644" s="119">
        <v>33.39</v>
      </c>
      <c r="I644" s="116">
        <v>632</v>
      </c>
      <c r="J644" s="118" t="s">
        <v>269</v>
      </c>
    </row>
    <row r="645" spans="1:10" x14ac:dyDescent="0.25">
      <c r="A645" s="116">
        <v>642</v>
      </c>
      <c r="B645" s="117" t="s">
        <v>2209</v>
      </c>
      <c r="C645" s="118" t="s">
        <v>2210</v>
      </c>
      <c r="D645" s="118" t="s">
        <v>453</v>
      </c>
      <c r="E645" s="118" t="s">
        <v>380</v>
      </c>
      <c r="F645" s="119">
        <v>78.129427003992063</v>
      </c>
      <c r="G645" s="119">
        <v>79.529427003992069</v>
      </c>
      <c r="H645" s="119">
        <v>33.450000000000003</v>
      </c>
      <c r="I645" s="116">
        <v>966</v>
      </c>
      <c r="J645" s="118" t="s">
        <v>269</v>
      </c>
    </row>
    <row r="646" spans="1:10" x14ac:dyDescent="0.25">
      <c r="A646" s="116">
        <v>643</v>
      </c>
      <c r="B646" s="117" t="s">
        <v>2332</v>
      </c>
      <c r="C646" s="118" t="s">
        <v>2333</v>
      </c>
      <c r="D646" s="118" t="s">
        <v>453</v>
      </c>
      <c r="E646" s="118" t="s">
        <v>380</v>
      </c>
      <c r="F646" s="119">
        <v>84.695502575527286</v>
      </c>
      <c r="G646" s="119">
        <v>85.428802575527286</v>
      </c>
      <c r="H646" s="119">
        <v>33.43</v>
      </c>
      <c r="I646" s="116">
        <v>648</v>
      </c>
      <c r="J646" s="118" t="s">
        <v>269</v>
      </c>
    </row>
    <row r="647" spans="1:10" x14ac:dyDescent="0.25">
      <c r="A647" s="116">
        <v>644</v>
      </c>
      <c r="B647" s="117" t="s">
        <v>1386</v>
      </c>
      <c r="C647" s="118" t="s">
        <v>1387</v>
      </c>
      <c r="D647" s="118" t="s">
        <v>453</v>
      </c>
      <c r="E647" s="118" t="s">
        <v>380</v>
      </c>
      <c r="F647" s="119">
        <v>96.630329343991079</v>
      </c>
      <c r="G647" s="119">
        <v>98.158129343991078</v>
      </c>
      <c r="H647" s="119">
        <v>33.35</v>
      </c>
      <c r="I647" s="116">
        <v>158</v>
      </c>
      <c r="J647" s="118" t="s">
        <v>269</v>
      </c>
    </row>
    <row r="648" spans="1:10" x14ac:dyDescent="0.25">
      <c r="A648" s="116">
        <v>645</v>
      </c>
      <c r="B648" s="117" t="s">
        <v>1388</v>
      </c>
      <c r="C648" s="118" t="s">
        <v>1389</v>
      </c>
      <c r="D648" s="118" t="s">
        <v>453</v>
      </c>
      <c r="E648" s="118" t="s">
        <v>380</v>
      </c>
      <c r="F648" s="119">
        <v>92.023819394583398</v>
      </c>
      <c r="G648" s="119">
        <v>92.440519394583404</v>
      </c>
      <c r="H648" s="119">
        <v>33.450000000000003</v>
      </c>
      <c r="I648" s="116">
        <v>414</v>
      </c>
      <c r="J648" s="118" t="s">
        <v>269</v>
      </c>
    </row>
    <row r="649" spans="1:10" x14ac:dyDescent="0.25">
      <c r="A649" s="116">
        <v>646</v>
      </c>
      <c r="B649" s="117" t="s">
        <v>1390</v>
      </c>
      <c r="C649" s="118" t="s">
        <v>1391</v>
      </c>
      <c r="D649" s="118" t="s">
        <v>443</v>
      </c>
      <c r="E649" s="118" t="s">
        <v>1392</v>
      </c>
      <c r="F649" s="119">
        <v>1000</v>
      </c>
      <c r="G649" s="119">
        <v>1000</v>
      </c>
      <c r="H649" s="119">
        <v>0</v>
      </c>
      <c r="I649" s="116">
        <v>0</v>
      </c>
      <c r="J649" s="118" t="s">
        <v>238</v>
      </c>
    </row>
    <row r="650" spans="1:10" x14ac:dyDescent="0.25">
      <c r="A650" s="116">
        <v>647</v>
      </c>
      <c r="B650" s="117" t="s">
        <v>1394</v>
      </c>
      <c r="C650" s="118" t="s">
        <v>1395</v>
      </c>
      <c r="D650" s="118" t="s">
        <v>453</v>
      </c>
      <c r="E650" s="118" t="s">
        <v>1393</v>
      </c>
      <c r="F650" s="119">
        <v>100.58853479429843</v>
      </c>
      <c r="G650" s="119">
        <v>102.04683479429843</v>
      </c>
      <c r="H650" s="119">
        <v>20.059999999999999</v>
      </c>
      <c r="I650" s="116">
        <v>245</v>
      </c>
      <c r="J650" s="118" t="s">
        <v>269</v>
      </c>
    </row>
    <row r="651" spans="1:10" x14ac:dyDescent="0.25">
      <c r="A651" s="116">
        <v>648</v>
      </c>
      <c r="B651" s="117" t="s">
        <v>2088</v>
      </c>
      <c r="C651" s="118" t="s">
        <v>2089</v>
      </c>
      <c r="D651" s="118" t="s">
        <v>453</v>
      </c>
      <c r="E651" s="118" t="s">
        <v>1393</v>
      </c>
      <c r="F651" s="119">
        <v>100.71633649514007</v>
      </c>
      <c r="G651" s="119">
        <v>101.44553649514008</v>
      </c>
      <c r="H651" s="119">
        <v>9.99</v>
      </c>
      <c r="I651" s="116">
        <v>545</v>
      </c>
      <c r="J651" s="118" t="s">
        <v>269</v>
      </c>
    </row>
    <row r="652" spans="1:10" x14ac:dyDescent="0.25">
      <c r="A652" s="116">
        <v>649</v>
      </c>
      <c r="B652" s="117" t="s">
        <v>2111</v>
      </c>
      <c r="C652" s="118" t="s">
        <v>2112</v>
      </c>
      <c r="D652" s="118" t="s">
        <v>453</v>
      </c>
      <c r="E652" s="118" t="s">
        <v>1396</v>
      </c>
      <c r="F652" s="119">
        <v>99.399633690957657</v>
      </c>
      <c r="G652" s="119">
        <v>101.12183369095766</v>
      </c>
      <c r="H652" s="119">
        <v>20.94</v>
      </c>
      <c r="I652" s="116">
        <v>239</v>
      </c>
      <c r="J652" s="118" t="s">
        <v>269</v>
      </c>
    </row>
    <row r="653" spans="1:10" x14ac:dyDescent="0.25">
      <c r="A653" s="116">
        <v>650</v>
      </c>
      <c r="B653" s="117" t="s">
        <v>2334</v>
      </c>
      <c r="C653" s="118" t="s">
        <v>2335</v>
      </c>
      <c r="D653" s="118" t="s">
        <v>453</v>
      </c>
      <c r="E653" s="118" t="s">
        <v>1396</v>
      </c>
      <c r="F653" s="119">
        <v>99.974483547254366</v>
      </c>
      <c r="G653" s="119">
        <v>103.82448354725436</v>
      </c>
      <c r="H653" s="119">
        <v>21</v>
      </c>
      <c r="I653" s="116">
        <v>474</v>
      </c>
      <c r="J653" s="118" t="s">
        <v>269</v>
      </c>
    </row>
    <row r="654" spans="1:10" x14ac:dyDescent="0.25">
      <c r="A654" s="116">
        <v>651</v>
      </c>
      <c r="B654" s="117" t="s">
        <v>1397</v>
      </c>
      <c r="C654" s="118" t="s">
        <v>1398</v>
      </c>
      <c r="D654" s="118" t="s">
        <v>453</v>
      </c>
      <c r="E654" s="118" t="s">
        <v>1396</v>
      </c>
      <c r="F654" s="119">
        <v>99.967799999999997</v>
      </c>
      <c r="G654" s="119">
        <v>101.01779999999999</v>
      </c>
      <c r="H654" s="119">
        <v>21.01</v>
      </c>
      <c r="I654" s="116">
        <v>342</v>
      </c>
      <c r="J654" s="118" t="s">
        <v>269</v>
      </c>
    </row>
    <row r="655" spans="1:10" x14ac:dyDescent="0.25">
      <c r="A655" s="116">
        <v>652</v>
      </c>
      <c r="B655" s="117" t="s">
        <v>1399</v>
      </c>
      <c r="C655" s="118" t="s">
        <v>1400</v>
      </c>
      <c r="D655" s="118" t="s">
        <v>453</v>
      </c>
      <c r="E655" s="118" t="s">
        <v>1396</v>
      </c>
      <c r="F655" s="119">
        <v>100</v>
      </c>
      <c r="G655" s="119">
        <v>100.29170000000001</v>
      </c>
      <c r="H655" s="119">
        <v>20.98</v>
      </c>
      <c r="I655" s="116">
        <v>175</v>
      </c>
      <c r="J655" s="118" t="s">
        <v>269</v>
      </c>
    </row>
    <row r="656" spans="1:10" x14ac:dyDescent="0.25">
      <c r="A656" s="116">
        <v>653</v>
      </c>
      <c r="B656" s="117" t="s">
        <v>1401</v>
      </c>
      <c r="C656" s="118" t="s">
        <v>1402</v>
      </c>
      <c r="D656" s="118" t="s">
        <v>453</v>
      </c>
      <c r="E656" s="118" t="s">
        <v>1396</v>
      </c>
      <c r="F656" s="119">
        <v>99.985879256458858</v>
      </c>
      <c r="G656" s="119">
        <v>100.27757925645886</v>
      </c>
      <c r="H656" s="119">
        <v>21.01</v>
      </c>
      <c r="I656" s="116">
        <v>535</v>
      </c>
      <c r="J656" s="118" t="s">
        <v>269</v>
      </c>
    </row>
    <row r="657" spans="1:10" x14ac:dyDescent="0.25">
      <c r="A657" s="116">
        <v>654</v>
      </c>
      <c r="B657" s="117" t="s">
        <v>1403</v>
      </c>
      <c r="C657" s="118" t="s">
        <v>1404</v>
      </c>
      <c r="D657" s="118" t="s">
        <v>443</v>
      </c>
      <c r="E657" s="118" t="s">
        <v>1396</v>
      </c>
      <c r="F657" s="119">
        <v>1000</v>
      </c>
      <c r="G657" s="119">
        <v>1000</v>
      </c>
      <c r="H657" s="119">
        <v>0</v>
      </c>
      <c r="I657" s="116">
        <v>0</v>
      </c>
      <c r="J657" s="118" t="s">
        <v>238</v>
      </c>
    </row>
    <row r="658" spans="1:10" x14ac:dyDescent="0.25">
      <c r="A658" s="116">
        <v>655</v>
      </c>
      <c r="B658" s="117" t="s">
        <v>1957</v>
      </c>
      <c r="C658" s="118" t="s">
        <v>1958</v>
      </c>
      <c r="D658" s="118" t="s">
        <v>453</v>
      </c>
      <c r="E658" s="118" t="s">
        <v>1396</v>
      </c>
      <c r="F658" s="119">
        <v>95.015525668061514</v>
      </c>
      <c r="G658" s="119">
        <v>95.015525668061514</v>
      </c>
      <c r="H658" s="119">
        <v>21.96</v>
      </c>
      <c r="I658" s="116">
        <v>86</v>
      </c>
      <c r="J658" s="118" t="s">
        <v>269</v>
      </c>
    </row>
    <row r="659" spans="1:10" x14ac:dyDescent="0.25">
      <c r="A659" s="116">
        <v>656</v>
      </c>
      <c r="B659" s="117" t="s">
        <v>1405</v>
      </c>
      <c r="C659" s="118" t="s">
        <v>1406</v>
      </c>
      <c r="D659" s="118" t="s">
        <v>453</v>
      </c>
      <c r="E659" s="118" t="s">
        <v>1407</v>
      </c>
      <c r="F659" s="119">
        <v>94.468100000000007</v>
      </c>
      <c r="G659" s="119">
        <v>97.126400000000004</v>
      </c>
      <c r="H659" s="119">
        <v>19.09</v>
      </c>
      <c r="I659" s="116">
        <v>273</v>
      </c>
      <c r="J659" s="118" t="s">
        <v>269</v>
      </c>
    </row>
    <row r="660" spans="1:10" x14ac:dyDescent="0.25">
      <c r="A660" s="116">
        <v>657</v>
      </c>
      <c r="B660" s="117" t="s">
        <v>1408</v>
      </c>
      <c r="C660" s="118" t="s">
        <v>1409</v>
      </c>
      <c r="D660" s="118" t="s">
        <v>453</v>
      </c>
      <c r="E660" s="118" t="s">
        <v>1407</v>
      </c>
      <c r="F660" s="119">
        <v>88.799314816771499</v>
      </c>
      <c r="G660" s="119">
        <v>92.104914816771497</v>
      </c>
      <c r="H660" s="119">
        <v>19.38</v>
      </c>
      <c r="I660" s="116">
        <v>995</v>
      </c>
      <c r="J660" s="118" t="s">
        <v>269</v>
      </c>
    </row>
    <row r="661" spans="1:10" x14ac:dyDescent="0.25">
      <c r="A661" s="116">
        <v>658</v>
      </c>
      <c r="B661" s="117" t="s">
        <v>1410</v>
      </c>
      <c r="C661" s="118" t="s">
        <v>1411</v>
      </c>
      <c r="D661" s="118" t="s">
        <v>443</v>
      </c>
      <c r="E661" s="118" t="s">
        <v>1407</v>
      </c>
      <c r="F661" s="119">
        <v>1003</v>
      </c>
      <c r="G661" s="119">
        <v>1003</v>
      </c>
      <c r="H661" s="119">
        <v>0</v>
      </c>
      <c r="I661" s="116">
        <v>1415</v>
      </c>
      <c r="J661" s="118" t="s">
        <v>238</v>
      </c>
    </row>
    <row r="662" spans="1:10" x14ac:dyDescent="0.25">
      <c r="A662" s="116">
        <v>659</v>
      </c>
      <c r="B662" s="117" t="s">
        <v>2099</v>
      </c>
      <c r="C662" s="118" t="s">
        <v>2100</v>
      </c>
      <c r="D662" s="118" t="s">
        <v>443</v>
      </c>
      <c r="E662" s="118" t="s">
        <v>1407</v>
      </c>
      <c r="F662" s="119">
        <v>100.62</v>
      </c>
      <c r="G662" s="119">
        <v>100.62</v>
      </c>
      <c r="H662" s="119">
        <v>0</v>
      </c>
      <c r="I662" s="116">
        <v>1294</v>
      </c>
      <c r="J662" s="118" t="s">
        <v>238</v>
      </c>
    </row>
    <row r="663" spans="1:10" x14ac:dyDescent="0.25">
      <c r="A663" s="116">
        <v>660</v>
      </c>
      <c r="B663" s="117" t="s">
        <v>2395</v>
      </c>
      <c r="C663" s="118" t="s">
        <v>2396</v>
      </c>
      <c r="D663" s="118" t="s">
        <v>443</v>
      </c>
      <c r="E663" s="118" t="s">
        <v>1407</v>
      </c>
      <c r="F663" s="119">
        <v>1075.68</v>
      </c>
      <c r="G663" s="119">
        <v>1075.68</v>
      </c>
      <c r="H663" s="119">
        <v>0</v>
      </c>
      <c r="I663" s="116">
        <v>1388</v>
      </c>
      <c r="J663" s="118" t="s">
        <v>238</v>
      </c>
    </row>
    <row r="664" spans="1:10" x14ac:dyDescent="0.25">
      <c r="A664" s="116">
        <v>661</v>
      </c>
      <c r="B664" s="117" t="s">
        <v>1412</v>
      </c>
      <c r="C664" s="118" t="s">
        <v>1413</v>
      </c>
      <c r="D664" s="118" t="s">
        <v>453</v>
      </c>
      <c r="E664" s="118" t="s">
        <v>1414</v>
      </c>
      <c r="F664" s="119">
        <v>99.982632886523746</v>
      </c>
      <c r="G664" s="119">
        <v>102.18263288652375</v>
      </c>
      <c r="H664" s="119">
        <v>21.88</v>
      </c>
      <c r="I664" s="116">
        <v>54</v>
      </c>
      <c r="J664" s="118" t="s">
        <v>269</v>
      </c>
    </row>
    <row r="665" spans="1:10" x14ac:dyDescent="0.25">
      <c r="A665" s="116">
        <v>662</v>
      </c>
      <c r="B665" s="117" t="s">
        <v>1415</v>
      </c>
      <c r="C665" s="118" t="s">
        <v>1416</v>
      </c>
      <c r="D665" s="118" t="s">
        <v>453</v>
      </c>
      <c r="E665" s="118" t="s">
        <v>1414</v>
      </c>
      <c r="F665" s="119">
        <v>99.217553391034954</v>
      </c>
      <c r="G665" s="119">
        <v>99.274453391034953</v>
      </c>
      <c r="H665" s="119">
        <v>21.66</v>
      </c>
      <c r="I665" s="116">
        <v>269</v>
      </c>
      <c r="J665" s="118" t="s">
        <v>269</v>
      </c>
    </row>
    <row r="666" spans="1:10" x14ac:dyDescent="0.25">
      <c r="A666" s="116">
        <v>663</v>
      </c>
      <c r="B666" s="117" t="s">
        <v>2242</v>
      </c>
      <c r="C666" s="118" t="s">
        <v>2243</v>
      </c>
      <c r="D666" s="118" t="s">
        <v>453</v>
      </c>
      <c r="E666" s="118" t="s">
        <v>1414</v>
      </c>
      <c r="F666" s="119">
        <v>99.051162625749697</v>
      </c>
      <c r="G666" s="119">
        <v>99.342862625749703</v>
      </c>
      <c r="H666" s="119">
        <v>21.67</v>
      </c>
      <c r="I666" s="116">
        <v>625</v>
      </c>
      <c r="J666" s="118" t="s">
        <v>269</v>
      </c>
    </row>
    <row r="667" spans="1:10" x14ac:dyDescent="0.25">
      <c r="A667" s="116">
        <v>664</v>
      </c>
      <c r="B667" s="117" t="s">
        <v>1418</v>
      </c>
      <c r="C667" s="118" t="s">
        <v>1419</v>
      </c>
      <c r="D667" s="118" t="s">
        <v>453</v>
      </c>
      <c r="E667" s="118" t="s">
        <v>1417</v>
      </c>
      <c r="F667" s="119">
        <v>98.265689104518543</v>
      </c>
      <c r="G667" s="119">
        <v>98.543489104518542</v>
      </c>
      <c r="H667" s="119">
        <v>22.61</v>
      </c>
      <c r="I667" s="116">
        <v>265</v>
      </c>
      <c r="J667" s="118" t="s">
        <v>269</v>
      </c>
    </row>
    <row r="668" spans="1:10" x14ac:dyDescent="0.25">
      <c r="A668" s="116">
        <v>665</v>
      </c>
      <c r="B668" s="117" t="s">
        <v>1977</v>
      </c>
      <c r="C668" s="118" t="s">
        <v>1978</v>
      </c>
      <c r="D668" s="118" t="s">
        <v>453</v>
      </c>
      <c r="E668" s="118" t="s">
        <v>1417</v>
      </c>
      <c r="F668" s="119">
        <v>98.72</v>
      </c>
      <c r="G668" s="119">
        <v>99.839399999999998</v>
      </c>
      <c r="H668" s="119">
        <v>14</v>
      </c>
      <c r="I668" s="116">
        <v>509</v>
      </c>
      <c r="J668" s="118" t="s">
        <v>269</v>
      </c>
    </row>
    <row r="669" spans="1:10" x14ac:dyDescent="0.25">
      <c r="A669" s="116">
        <v>666</v>
      </c>
      <c r="B669" s="117" t="s">
        <v>2190</v>
      </c>
      <c r="C669" s="118" t="s">
        <v>2191</v>
      </c>
      <c r="D669" s="118" t="s">
        <v>453</v>
      </c>
      <c r="E669" s="118" t="s">
        <v>1417</v>
      </c>
      <c r="F669" s="119">
        <v>94.719371719944036</v>
      </c>
      <c r="G669" s="119">
        <v>96.497171719944035</v>
      </c>
      <c r="H669" s="119">
        <v>22.68</v>
      </c>
      <c r="I669" s="116">
        <v>958</v>
      </c>
      <c r="J669" s="118" t="s">
        <v>269</v>
      </c>
    </row>
    <row r="670" spans="1:10" x14ac:dyDescent="0.25">
      <c r="A670" s="116">
        <v>667</v>
      </c>
      <c r="B670" s="117" t="s">
        <v>2443</v>
      </c>
      <c r="C670" s="118" t="s">
        <v>2444</v>
      </c>
      <c r="D670" s="118" t="s">
        <v>453</v>
      </c>
      <c r="E670" s="118" t="s">
        <v>1417</v>
      </c>
      <c r="F670" s="119">
        <v>94.68032774208595</v>
      </c>
      <c r="G670" s="119">
        <v>95.047027742085945</v>
      </c>
      <c r="H670" s="119">
        <v>13.19</v>
      </c>
      <c r="I670" s="116">
        <v>1068</v>
      </c>
      <c r="J670" s="118" t="s">
        <v>269</v>
      </c>
    </row>
    <row r="671" spans="1:10" x14ac:dyDescent="0.25">
      <c r="A671" s="116">
        <v>668</v>
      </c>
      <c r="B671" s="117" t="s">
        <v>1420</v>
      </c>
      <c r="C671" s="118" t="s">
        <v>1421</v>
      </c>
      <c r="D671" s="118" t="s">
        <v>453</v>
      </c>
      <c r="E671" s="118" t="s">
        <v>1422</v>
      </c>
      <c r="F671" s="119">
        <v>100</v>
      </c>
      <c r="G671" s="119">
        <v>100.0042</v>
      </c>
      <c r="H671" s="119">
        <v>0.02</v>
      </c>
      <c r="I671" s="116">
        <v>3040</v>
      </c>
      <c r="J671" s="118" t="s">
        <v>269</v>
      </c>
    </row>
    <row r="672" spans="1:10" x14ac:dyDescent="0.25">
      <c r="A672" s="116">
        <v>669</v>
      </c>
      <c r="B672" s="117" t="s">
        <v>1423</v>
      </c>
      <c r="C672" s="118" t="s">
        <v>1424</v>
      </c>
      <c r="D672" s="118" t="s">
        <v>453</v>
      </c>
      <c r="E672" s="118" t="s">
        <v>1422</v>
      </c>
      <c r="F672" s="119">
        <v>100</v>
      </c>
      <c r="G672" s="119">
        <v>106.3111</v>
      </c>
      <c r="H672" s="119">
        <v>7.06</v>
      </c>
      <c r="I672" s="116">
        <v>2137</v>
      </c>
      <c r="J672" s="118" t="s">
        <v>269</v>
      </c>
    </row>
    <row r="673" spans="1:10" x14ac:dyDescent="0.25">
      <c r="A673" s="116">
        <v>670</v>
      </c>
      <c r="B673" s="117" t="s">
        <v>1425</v>
      </c>
      <c r="C673" s="118" t="s">
        <v>1426</v>
      </c>
      <c r="D673" s="118" t="s">
        <v>453</v>
      </c>
      <c r="E673" s="118" t="s">
        <v>1422</v>
      </c>
      <c r="F673" s="119">
        <v>100</v>
      </c>
      <c r="G673" s="119">
        <v>101.9486</v>
      </c>
      <c r="H673" s="119">
        <v>6.08</v>
      </c>
      <c r="I673" s="116">
        <v>1655</v>
      </c>
      <c r="J673" s="118" t="s">
        <v>269</v>
      </c>
    </row>
    <row r="674" spans="1:10" x14ac:dyDescent="0.25">
      <c r="A674" s="116">
        <v>671</v>
      </c>
      <c r="B674" s="117" t="s">
        <v>1427</v>
      </c>
      <c r="C674" s="118" t="s">
        <v>1428</v>
      </c>
      <c r="D674" s="118" t="s">
        <v>453</v>
      </c>
      <c r="E674" s="118" t="s">
        <v>1422</v>
      </c>
      <c r="F674" s="119">
        <v>100</v>
      </c>
      <c r="G674" s="119">
        <v>106.9619</v>
      </c>
      <c r="H674" s="119">
        <v>7.08</v>
      </c>
      <c r="I674" s="116">
        <v>2137</v>
      </c>
      <c r="J674" s="118" t="s">
        <v>269</v>
      </c>
    </row>
    <row r="675" spans="1:10" x14ac:dyDescent="0.25">
      <c r="A675" s="116">
        <v>672</v>
      </c>
      <c r="B675" s="117" t="s">
        <v>2314</v>
      </c>
      <c r="C675" s="118" t="s">
        <v>2315</v>
      </c>
      <c r="D675" s="118" t="s">
        <v>453</v>
      </c>
      <c r="E675" s="118" t="s">
        <v>1422</v>
      </c>
      <c r="F675" s="119">
        <v>90.081836475033526</v>
      </c>
      <c r="G675" s="119">
        <v>94.126236475033522</v>
      </c>
      <c r="H675" s="119">
        <v>20.56</v>
      </c>
      <c r="I675" s="116">
        <v>3520</v>
      </c>
      <c r="J675" s="118" t="s">
        <v>269</v>
      </c>
    </row>
    <row r="676" spans="1:10" x14ac:dyDescent="0.25">
      <c r="A676" s="116">
        <v>673</v>
      </c>
      <c r="B676" s="117" t="s">
        <v>2371</v>
      </c>
      <c r="C676" s="118" t="s">
        <v>2372</v>
      </c>
      <c r="D676" s="118" t="s">
        <v>453</v>
      </c>
      <c r="E676" s="118" t="s">
        <v>1422</v>
      </c>
      <c r="F676" s="119">
        <v>93.024053141473829</v>
      </c>
      <c r="G676" s="119">
        <v>95.701553141473823</v>
      </c>
      <c r="H676" s="119">
        <v>20.55</v>
      </c>
      <c r="I676" s="116">
        <v>3549</v>
      </c>
      <c r="J676" s="118" t="s">
        <v>269</v>
      </c>
    </row>
    <row r="677" spans="1:10" x14ac:dyDescent="0.25">
      <c r="A677" s="116">
        <v>674</v>
      </c>
      <c r="B677" s="117" t="s">
        <v>2397</v>
      </c>
      <c r="C677" s="118" t="s">
        <v>2398</v>
      </c>
      <c r="D677" s="118" t="s">
        <v>453</v>
      </c>
      <c r="E677" s="118" t="s">
        <v>1422</v>
      </c>
      <c r="F677" s="119">
        <v>92.989296467033995</v>
      </c>
      <c r="G677" s="119">
        <v>95.456796467033996</v>
      </c>
      <c r="H677" s="119">
        <v>20.56</v>
      </c>
      <c r="I677" s="116">
        <v>3553</v>
      </c>
      <c r="J677" s="118" t="s">
        <v>269</v>
      </c>
    </row>
    <row r="678" spans="1:10" x14ac:dyDescent="0.25">
      <c r="A678" s="116">
        <v>675</v>
      </c>
      <c r="B678" s="117" t="s">
        <v>2455</v>
      </c>
      <c r="C678" s="118" t="s">
        <v>2456</v>
      </c>
      <c r="D678" s="118" t="s">
        <v>453</v>
      </c>
      <c r="E678" s="118" t="s">
        <v>1422</v>
      </c>
      <c r="F678" s="119">
        <v>93.07888885727705</v>
      </c>
      <c r="G678" s="119">
        <v>94.338888857277055</v>
      </c>
      <c r="H678" s="119">
        <v>20.56</v>
      </c>
      <c r="I678" s="116">
        <v>3576</v>
      </c>
      <c r="J678" s="118" t="s">
        <v>269</v>
      </c>
    </row>
    <row r="679" spans="1:10" x14ac:dyDescent="0.25">
      <c r="A679" s="116">
        <v>676</v>
      </c>
      <c r="B679" s="117" t="s">
        <v>2457</v>
      </c>
      <c r="C679" s="118" t="s">
        <v>2458</v>
      </c>
      <c r="D679" s="118" t="s">
        <v>453</v>
      </c>
      <c r="E679" s="118" t="s">
        <v>1422</v>
      </c>
      <c r="F679" s="119">
        <v>93.07888885727705</v>
      </c>
      <c r="G679" s="119">
        <v>94.338888857277055</v>
      </c>
      <c r="H679" s="119">
        <v>20.56</v>
      </c>
      <c r="I679" s="116">
        <v>3576</v>
      </c>
      <c r="J679" s="118" t="s">
        <v>269</v>
      </c>
    </row>
    <row r="680" spans="1:10" x14ac:dyDescent="0.25">
      <c r="A680" s="116">
        <v>677</v>
      </c>
      <c r="B680" s="117" t="s">
        <v>1429</v>
      </c>
      <c r="C680" s="118" t="s">
        <v>1430</v>
      </c>
      <c r="D680" s="118" t="s">
        <v>453</v>
      </c>
      <c r="E680" s="118" t="s">
        <v>1422</v>
      </c>
      <c r="F680" s="119">
        <v>100</v>
      </c>
      <c r="G680" s="119">
        <v>105.4222</v>
      </c>
      <c r="H680" s="119">
        <v>6.07</v>
      </c>
      <c r="I680" s="116">
        <v>2492</v>
      </c>
      <c r="J680" s="118" t="s">
        <v>269</v>
      </c>
    </row>
    <row r="681" spans="1:10" x14ac:dyDescent="0.25">
      <c r="A681" s="116">
        <v>678</v>
      </c>
      <c r="B681" s="117" t="s">
        <v>1431</v>
      </c>
      <c r="C681" s="118" t="s">
        <v>1432</v>
      </c>
      <c r="D681" s="118" t="s">
        <v>453</v>
      </c>
      <c r="E681" s="118" t="s">
        <v>1422</v>
      </c>
      <c r="F681" s="119">
        <v>100</v>
      </c>
      <c r="G681" s="119">
        <v>101.1183</v>
      </c>
      <c r="H681" s="119">
        <v>6.08</v>
      </c>
      <c r="I681" s="116">
        <v>2064</v>
      </c>
      <c r="J681" s="118" t="s">
        <v>269</v>
      </c>
    </row>
    <row r="682" spans="1:10" x14ac:dyDescent="0.25">
      <c r="A682" s="116">
        <v>679</v>
      </c>
      <c r="B682" s="117" t="s">
        <v>1433</v>
      </c>
      <c r="C682" s="118" t="s">
        <v>1434</v>
      </c>
      <c r="D682" s="118" t="s">
        <v>453</v>
      </c>
      <c r="E682" s="118" t="s">
        <v>1422</v>
      </c>
      <c r="F682" s="119">
        <v>100</v>
      </c>
      <c r="G682" s="119">
        <v>105.4222</v>
      </c>
      <c r="H682" s="119">
        <v>6.1</v>
      </c>
      <c r="I682" s="116">
        <v>2559</v>
      </c>
      <c r="J682" s="118" t="s">
        <v>269</v>
      </c>
    </row>
    <row r="683" spans="1:10" x14ac:dyDescent="0.25">
      <c r="A683" s="116">
        <v>680</v>
      </c>
      <c r="B683" s="117" t="s">
        <v>1435</v>
      </c>
      <c r="C683" s="118" t="s">
        <v>1436</v>
      </c>
      <c r="D683" s="118" t="s">
        <v>453</v>
      </c>
      <c r="E683" s="118" t="s">
        <v>1422</v>
      </c>
      <c r="F683" s="119">
        <v>100</v>
      </c>
      <c r="G683" s="119">
        <v>106.06610000000001</v>
      </c>
      <c r="H683" s="119">
        <v>6.09</v>
      </c>
      <c r="I683" s="116">
        <v>2492</v>
      </c>
      <c r="J683" s="118" t="s">
        <v>269</v>
      </c>
    </row>
    <row r="684" spans="1:10" x14ac:dyDescent="0.25">
      <c r="A684" s="116">
        <v>681</v>
      </c>
      <c r="B684" s="117" t="s">
        <v>1437</v>
      </c>
      <c r="C684" s="118" t="s">
        <v>1438</v>
      </c>
      <c r="D684" s="118" t="s">
        <v>453</v>
      </c>
      <c r="E684" s="118" t="s">
        <v>1422</v>
      </c>
      <c r="F684" s="119">
        <v>100</v>
      </c>
      <c r="G684" s="119">
        <v>106.06610000000001</v>
      </c>
      <c r="H684" s="119">
        <v>6.09</v>
      </c>
      <c r="I684" s="116">
        <v>2492</v>
      </c>
      <c r="J684" s="118" t="s">
        <v>269</v>
      </c>
    </row>
    <row r="685" spans="1:10" x14ac:dyDescent="0.25">
      <c r="A685" s="116">
        <v>682</v>
      </c>
      <c r="B685" s="117" t="s">
        <v>1439</v>
      </c>
      <c r="C685" s="118" t="s">
        <v>1440</v>
      </c>
      <c r="D685" s="118" t="s">
        <v>453</v>
      </c>
      <c r="E685" s="118" t="s">
        <v>1422</v>
      </c>
      <c r="F685" s="119">
        <v>100</v>
      </c>
      <c r="G685" s="119">
        <v>104.9308</v>
      </c>
      <c r="H685" s="119">
        <v>6.08</v>
      </c>
      <c r="I685" s="116">
        <v>2559</v>
      </c>
      <c r="J685" s="118" t="s">
        <v>269</v>
      </c>
    </row>
    <row r="686" spans="1:10" x14ac:dyDescent="0.25">
      <c r="A686" s="116">
        <v>683</v>
      </c>
      <c r="B686" s="117" t="s">
        <v>2299</v>
      </c>
      <c r="C686" s="118" t="s">
        <v>2300</v>
      </c>
      <c r="D686" s="118" t="s">
        <v>453</v>
      </c>
      <c r="E686" s="118" t="s">
        <v>2301</v>
      </c>
      <c r="F686" s="119">
        <v>100.87010695153771</v>
      </c>
      <c r="G686" s="119">
        <v>103.31450695153771</v>
      </c>
      <c r="H686" s="119">
        <v>10.62</v>
      </c>
      <c r="I686" s="116">
        <v>1000</v>
      </c>
      <c r="J686" s="118" t="s">
        <v>269</v>
      </c>
    </row>
    <row r="687" spans="1:10" x14ac:dyDescent="0.25">
      <c r="A687" s="116">
        <v>684</v>
      </c>
      <c r="B687" s="117" t="s">
        <v>2206</v>
      </c>
      <c r="C687" s="118" t="s">
        <v>2207</v>
      </c>
      <c r="D687" s="118" t="s">
        <v>453</v>
      </c>
      <c r="E687" s="118" t="s">
        <v>2208</v>
      </c>
      <c r="F687" s="119">
        <v>101.67654692309335</v>
      </c>
      <c r="G687" s="119">
        <v>103.40984692309335</v>
      </c>
      <c r="H687" s="119">
        <v>25.1</v>
      </c>
      <c r="I687" s="116">
        <v>966</v>
      </c>
      <c r="J687" s="118" t="s">
        <v>269</v>
      </c>
    </row>
    <row r="688" spans="1:10" x14ac:dyDescent="0.25">
      <c r="A688" s="116">
        <v>685</v>
      </c>
      <c r="B688" s="117" t="s">
        <v>1441</v>
      </c>
      <c r="C688" s="118" t="s">
        <v>1442</v>
      </c>
      <c r="D688" s="118" t="s">
        <v>443</v>
      </c>
      <c r="E688" s="118" t="s">
        <v>1443</v>
      </c>
      <c r="F688" s="119">
        <v>52664.62</v>
      </c>
      <c r="G688" s="119">
        <v>52664.62</v>
      </c>
      <c r="H688" s="119">
        <v>0</v>
      </c>
      <c r="I688" s="116">
        <v>0</v>
      </c>
      <c r="J688" s="118" t="s">
        <v>238</v>
      </c>
    </row>
    <row r="689" spans="1:10" x14ac:dyDescent="0.25">
      <c r="A689" s="116">
        <v>686</v>
      </c>
      <c r="B689" s="117" t="s">
        <v>381</v>
      </c>
      <c r="C689" s="118" t="s">
        <v>382</v>
      </c>
      <c r="D689" s="118" t="s">
        <v>453</v>
      </c>
      <c r="E689" s="118" t="s">
        <v>111</v>
      </c>
      <c r="F689" s="119">
        <v>99.828000000000003</v>
      </c>
      <c r="G689" s="119">
        <v>99.828000000000003</v>
      </c>
      <c r="H689" s="119">
        <v>15.72</v>
      </c>
      <c r="I689" s="116">
        <v>4</v>
      </c>
      <c r="J689" s="118" t="s">
        <v>269</v>
      </c>
    </row>
    <row r="690" spans="1:10" x14ac:dyDescent="0.25">
      <c r="A690" s="116">
        <v>687</v>
      </c>
      <c r="B690" s="117" t="s">
        <v>1979</v>
      </c>
      <c r="C690" s="118" t="s">
        <v>1980</v>
      </c>
      <c r="D690" s="118" t="s">
        <v>453</v>
      </c>
      <c r="E690" s="118" t="s">
        <v>111</v>
      </c>
      <c r="F690" s="119">
        <v>95.442800000000005</v>
      </c>
      <c r="G690" s="119">
        <v>95.442800000000005</v>
      </c>
      <c r="H690" s="119">
        <v>15.99</v>
      </c>
      <c r="I690" s="116">
        <v>109</v>
      </c>
      <c r="J690" s="118" t="s">
        <v>269</v>
      </c>
    </row>
    <row r="691" spans="1:10" x14ac:dyDescent="0.25">
      <c r="A691" s="116">
        <v>688</v>
      </c>
      <c r="B691" s="117" t="s">
        <v>2119</v>
      </c>
      <c r="C691" s="118" t="s">
        <v>2120</v>
      </c>
      <c r="D691" s="118" t="s">
        <v>453</v>
      </c>
      <c r="E691" s="118" t="s">
        <v>111</v>
      </c>
      <c r="F691" s="119">
        <v>91.548699999999997</v>
      </c>
      <c r="G691" s="119">
        <v>91.548699999999997</v>
      </c>
      <c r="H691" s="119">
        <v>16.28</v>
      </c>
      <c r="I691" s="116">
        <v>207</v>
      </c>
      <c r="J691" s="118" t="s">
        <v>269</v>
      </c>
    </row>
    <row r="692" spans="1:10" x14ac:dyDescent="0.25">
      <c r="A692" s="116">
        <v>689</v>
      </c>
      <c r="B692" s="117" t="s">
        <v>1444</v>
      </c>
      <c r="C692" s="118" t="s">
        <v>1445</v>
      </c>
      <c r="D692" s="118" t="s">
        <v>443</v>
      </c>
      <c r="E692" s="118" t="s">
        <v>1446</v>
      </c>
      <c r="F692" s="119">
        <v>0.01</v>
      </c>
      <c r="G692" s="119">
        <v>0.01</v>
      </c>
      <c r="H692" s="119">
        <v>0</v>
      </c>
      <c r="I692" s="116">
        <v>0</v>
      </c>
      <c r="J692" s="118" t="s">
        <v>238</v>
      </c>
    </row>
    <row r="693" spans="1:10" x14ac:dyDescent="0.25">
      <c r="A693" s="116">
        <v>690</v>
      </c>
      <c r="B693" s="117" t="s">
        <v>1447</v>
      </c>
      <c r="C693" s="118" t="s">
        <v>1448</v>
      </c>
      <c r="D693" s="118" t="s">
        <v>443</v>
      </c>
      <c r="E693" s="118" t="s">
        <v>1446</v>
      </c>
      <c r="F693" s="119">
        <v>5695</v>
      </c>
      <c r="G693" s="119">
        <v>5695</v>
      </c>
      <c r="H693" s="119">
        <v>0</v>
      </c>
      <c r="I693" s="116">
        <v>0</v>
      </c>
      <c r="J693" s="118" t="s">
        <v>238</v>
      </c>
    </row>
    <row r="694" spans="1:10" x14ac:dyDescent="0.25">
      <c r="A694" s="116">
        <v>691</v>
      </c>
      <c r="B694" s="117" t="s">
        <v>1449</v>
      </c>
      <c r="C694" s="118" t="s">
        <v>1450</v>
      </c>
      <c r="D694" s="118" t="s">
        <v>443</v>
      </c>
      <c r="E694" s="118" t="s">
        <v>1451</v>
      </c>
      <c r="F694" s="119">
        <v>13000</v>
      </c>
      <c r="G694" s="119">
        <v>13000</v>
      </c>
      <c r="H694" s="119">
        <v>0</v>
      </c>
      <c r="I694" s="116">
        <v>0</v>
      </c>
      <c r="J694" s="118" t="s">
        <v>238</v>
      </c>
    </row>
    <row r="695" spans="1:10" x14ac:dyDescent="0.25">
      <c r="A695" s="116">
        <v>692</v>
      </c>
      <c r="B695" s="117" t="s">
        <v>1452</v>
      </c>
      <c r="C695" s="118" t="s">
        <v>1453</v>
      </c>
      <c r="D695" s="118" t="s">
        <v>453</v>
      </c>
      <c r="E695" s="118" t="s">
        <v>1454</v>
      </c>
      <c r="F695" s="119">
        <v>90.278713599643041</v>
      </c>
      <c r="G695" s="119">
        <v>90.645413599643035</v>
      </c>
      <c r="H695" s="119">
        <v>10.63</v>
      </c>
      <c r="I695" s="116">
        <v>878</v>
      </c>
      <c r="J695" s="118" t="s">
        <v>269</v>
      </c>
    </row>
    <row r="696" spans="1:10" x14ac:dyDescent="0.25">
      <c r="A696" s="116">
        <v>693</v>
      </c>
      <c r="B696" s="117" t="s">
        <v>117</v>
      </c>
      <c r="C696" s="118" t="s">
        <v>4</v>
      </c>
      <c r="D696" s="118" t="s">
        <v>453</v>
      </c>
      <c r="E696" s="118" t="s">
        <v>111</v>
      </c>
      <c r="F696" s="119">
        <v>98.584699999999998</v>
      </c>
      <c r="G696" s="119">
        <v>101.2226</v>
      </c>
      <c r="H696" s="119">
        <v>16.39</v>
      </c>
      <c r="I696" s="116">
        <v>91</v>
      </c>
      <c r="J696" s="118" t="s">
        <v>269</v>
      </c>
    </row>
    <row r="697" spans="1:10" x14ac:dyDescent="0.25">
      <c r="A697" s="116">
        <v>694</v>
      </c>
      <c r="B697" s="117" t="s">
        <v>118</v>
      </c>
      <c r="C697" s="118" t="s">
        <v>119</v>
      </c>
      <c r="D697" s="118" t="s">
        <v>453</v>
      </c>
      <c r="E697" s="118" t="s">
        <v>111</v>
      </c>
      <c r="F697" s="119">
        <v>98.451800000000006</v>
      </c>
      <c r="G697" s="119">
        <v>102.8824</v>
      </c>
      <c r="H697" s="119">
        <v>16.149999999999999</v>
      </c>
      <c r="I697" s="116">
        <v>244</v>
      </c>
      <c r="J697" s="118" t="s">
        <v>269</v>
      </c>
    </row>
    <row r="698" spans="1:10" x14ac:dyDescent="0.25">
      <c r="A698" s="116">
        <v>695</v>
      </c>
      <c r="B698" s="117" t="s">
        <v>120</v>
      </c>
      <c r="C698" s="118" t="s">
        <v>121</v>
      </c>
      <c r="D698" s="118" t="s">
        <v>453</v>
      </c>
      <c r="E698" s="118" t="s">
        <v>111</v>
      </c>
      <c r="F698" s="119">
        <v>98.109300000000005</v>
      </c>
      <c r="G698" s="119">
        <v>99.4221</v>
      </c>
      <c r="H698" s="119">
        <v>16.18</v>
      </c>
      <c r="I698" s="116">
        <v>326</v>
      </c>
      <c r="J698" s="118" t="s">
        <v>269</v>
      </c>
    </row>
    <row r="699" spans="1:10" x14ac:dyDescent="0.25">
      <c r="A699" s="116">
        <v>696</v>
      </c>
      <c r="B699" s="117" t="s">
        <v>2326</v>
      </c>
      <c r="C699" s="118" t="s">
        <v>2325</v>
      </c>
      <c r="D699" s="118" t="s">
        <v>453</v>
      </c>
      <c r="E699" s="118" t="s">
        <v>111</v>
      </c>
      <c r="F699" s="119">
        <v>101.9787</v>
      </c>
      <c r="G699" s="119">
        <v>105.428</v>
      </c>
      <c r="H699" s="119">
        <v>16.260000000000002</v>
      </c>
      <c r="I699" s="116">
        <v>1367</v>
      </c>
      <c r="J699" s="118" t="s">
        <v>269</v>
      </c>
    </row>
    <row r="700" spans="1:10" x14ac:dyDescent="0.25">
      <c r="A700" s="116">
        <v>697</v>
      </c>
      <c r="B700" s="117" t="s">
        <v>122</v>
      </c>
      <c r="C700" s="118" t="s">
        <v>123</v>
      </c>
      <c r="D700" s="118" t="s">
        <v>453</v>
      </c>
      <c r="E700" s="118" t="s">
        <v>111</v>
      </c>
      <c r="F700" s="119">
        <v>95.899199999999993</v>
      </c>
      <c r="G700" s="119">
        <v>98.115899999999996</v>
      </c>
      <c r="H700" s="119">
        <v>16.170000000000002</v>
      </c>
      <c r="I700" s="116">
        <v>284</v>
      </c>
      <c r="J700" s="118" t="s">
        <v>269</v>
      </c>
    </row>
    <row r="701" spans="1:10" x14ac:dyDescent="0.25">
      <c r="A701" s="116">
        <v>698</v>
      </c>
      <c r="B701" s="117" t="s">
        <v>124</v>
      </c>
      <c r="C701" s="118" t="s">
        <v>125</v>
      </c>
      <c r="D701" s="118" t="s">
        <v>453</v>
      </c>
      <c r="E701" s="118" t="s">
        <v>111</v>
      </c>
      <c r="F701" s="119">
        <v>98.551900000000003</v>
      </c>
      <c r="G701" s="119">
        <v>105.033</v>
      </c>
      <c r="H701" s="119">
        <v>16.18</v>
      </c>
      <c r="I701" s="116">
        <v>748</v>
      </c>
      <c r="J701" s="118" t="s">
        <v>269</v>
      </c>
    </row>
    <row r="702" spans="1:10" x14ac:dyDescent="0.25">
      <c r="A702" s="116">
        <v>699</v>
      </c>
      <c r="B702" s="117" t="s">
        <v>2501</v>
      </c>
      <c r="C702" s="118" t="s">
        <v>2502</v>
      </c>
      <c r="D702" s="118" t="s">
        <v>453</v>
      </c>
      <c r="E702" s="118" t="s">
        <v>111</v>
      </c>
      <c r="F702" s="119">
        <v>102.14409999999999</v>
      </c>
      <c r="G702" s="119">
        <v>102.66200000000001</v>
      </c>
      <c r="H702" s="119">
        <v>16.3</v>
      </c>
      <c r="I702" s="116">
        <v>1789</v>
      </c>
      <c r="J702" s="118" t="s">
        <v>269</v>
      </c>
    </row>
    <row r="703" spans="1:10" x14ac:dyDescent="0.25">
      <c r="A703" s="116">
        <v>700</v>
      </c>
      <c r="B703" s="117" t="s">
        <v>2419</v>
      </c>
      <c r="C703" s="118" t="s">
        <v>2420</v>
      </c>
      <c r="D703" s="118" t="s">
        <v>453</v>
      </c>
      <c r="E703" s="118" t="s">
        <v>2421</v>
      </c>
      <c r="F703" s="119">
        <v>100.0066509056165</v>
      </c>
      <c r="G703" s="119">
        <v>100.2566509056165</v>
      </c>
      <c r="H703" s="119">
        <v>10</v>
      </c>
      <c r="I703" s="116">
        <v>681</v>
      </c>
      <c r="J703" s="118" t="s">
        <v>269</v>
      </c>
    </row>
    <row r="704" spans="1:10" x14ac:dyDescent="0.25">
      <c r="A704" s="116">
        <v>701</v>
      </c>
      <c r="B704" s="117" t="s">
        <v>1455</v>
      </c>
      <c r="C704" s="118" t="s">
        <v>1456</v>
      </c>
      <c r="D704" s="118" t="s">
        <v>443</v>
      </c>
      <c r="E704" s="118" t="s">
        <v>1457</v>
      </c>
      <c r="F704" s="119">
        <v>0.01</v>
      </c>
      <c r="G704" s="119">
        <v>0.01</v>
      </c>
      <c r="H704" s="119">
        <v>0</v>
      </c>
      <c r="I704" s="116">
        <v>0</v>
      </c>
      <c r="J704" s="118" t="s">
        <v>238</v>
      </c>
    </row>
    <row r="705" spans="1:10" x14ac:dyDescent="0.25">
      <c r="A705" s="116">
        <v>702</v>
      </c>
      <c r="B705" s="117" t="s">
        <v>1458</v>
      </c>
      <c r="C705" s="118" t="s">
        <v>1459</v>
      </c>
      <c r="D705" s="118" t="s">
        <v>443</v>
      </c>
      <c r="E705" s="118" t="s">
        <v>1460</v>
      </c>
      <c r="F705" s="119">
        <v>14360.880800000003</v>
      </c>
      <c r="G705" s="119">
        <v>14360.880800000003</v>
      </c>
      <c r="H705" s="119">
        <v>0</v>
      </c>
      <c r="I705" s="116">
        <v>0</v>
      </c>
      <c r="J705" s="118" t="s">
        <v>238</v>
      </c>
    </row>
    <row r="706" spans="1:10" x14ac:dyDescent="0.25">
      <c r="A706" s="116">
        <v>703</v>
      </c>
      <c r="B706" s="117" t="s">
        <v>1461</v>
      </c>
      <c r="C706" s="118" t="s">
        <v>1462</v>
      </c>
      <c r="D706" s="118" t="s">
        <v>443</v>
      </c>
      <c r="E706" s="118" t="s">
        <v>1463</v>
      </c>
      <c r="F706" s="119">
        <v>275152.97040000005</v>
      </c>
      <c r="G706" s="119">
        <v>275152.97040000005</v>
      </c>
      <c r="H706" s="119">
        <v>0</v>
      </c>
      <c r="I706" s="116">
        <v>0</v>
      </c>
      <c r="J706" s="118" t="s">
        <v>238</v>
      </c>
    </row>
    <row r="707" spans="1:10" x14ac:dyDescent="0.25">
      <c r="A707" s="116">
        <v>704</v>
      </c>
      <c r="B707" s="117" t="s">
        <v>1464</v>
      </c>
      <c r="C707" s="118" t="s">
        <v>1465</v>
      </c>
      <c r="D707" s="118" t="s">
        <v>443</v>
      </c>
      <c r="E707" s="118" t="s">
        <v>1466</v>
      </c>
      <c r="F707" s="119">
        <v>95231.918400000024</v>
      </c>
      <c r="G707" s="119">
        <v>95231.918400000024</v>
      </c>
      <c r="H707" s="119">
        <v>0</v>
      </c>
      <c r="I707" s="116">
        <v>0</v>
      </c>
      <c r="J707" s="118" t="s">
        <v>238</v>
      </c>
    </row>
    <row r="708" spans="1:10" x14ac:dyDescent="0.25">
      <c r="A708" s="116">
        <v>705</v>
      </c>
      <c r="B708" s="117" t="s">
        <v>2304</v>
      </c>
      <c r="C708" s="118" t="s">
        <v>2298</v>
      </c>
      <c r="D708" s="118" t="s">
        <v>453</v>
      </c>
      <c r="E708" s="118" t="s">
        <v>111</v>
      </c>
      <c r="F708" s="119">
        <v>100</v>
      </c>
      <c r="G708" s="119">
        <v>100</v>
      </c>
      <c r="H708" s="119">
        <v>16.936</v>
      </c>
      <c r="I708" s="116">
        <v>1379</v>
      </c>
      <c r="J708" s="118" t="s">
        <v>269</v>
      </c>
    </row>
    <row r="709" spans="1:10" x14ac:dyDescent="0.25">
      <c r="A709" s="116">
        <v>706</v>
      </c>
      <c r="B709" s="117" t="s">
        <v>126</v>
      </c>
      <c r="C709" s="118" t="s">
        <v>127</v>
      </c>
      <c r="D709" s="118" t="s">
        <v>453</v>
      </c>
      <c r="E709" s="118" t="s">
        <v>111</v>
      </c>
      <c r="F709" s="119">
        <v>100</v>
      </c>
      <c r="G709" s="119">
        <v>100</v>
      </c>
      <c r="H709" s="119">
        <v>17.175000000000001</v>
      </c>
      <c r="I709" s="116">
        <v>319</v>
      </c>
      <c r="J709" s="118" t="s">
        <v>269</v>
      </c>
    </row>
    <row r="710" spans="1:10" x14ac:dyDescent="0.25">
      <c r="A710" s="116">
        <v>707</v>
      </c>
      <c r="B710" s="117" t="s">
        <v>128</v>
      </c>
      <c r="C710" s="118" t="s">
        <v>129</v>
      </c>
      <c r="D710" s="118" t="s">
        <v>453</v>
      </c>
      <c r="E710" s="118" t="s">
        <v>111</v>
      </c>
      <c r="F710" s="119">
        <v>100</v>
      </c>
      <c r="G710" s="119">
        <v>100</v>
      </c>
      <c r="H710" s="119">
        <v>17.324999999999999</v>
      </c>
      <c r="I710" s="116">
        <v>714</v>
      </c>
      <c r="J710" s="118" t="s">
        <v>269</v>
      </c>
    </row>
    <row r="711" spans="1:10" x14ac:dyDescent="0.25">
      <c r="A711" s="116">
        <v>708</v>
      </c>
      <c r="B711" s="117" t="s">
        <v>130</v>
      </c>
      <c r="C711" s="118" t="s">
        <v>131</v>
      </c>
      <c r="D711" s="118" t="s">
        <v>453</v>
      </c>
      <c r="E711" s="118" t="s">
        <v>111</v>
      </c>
      <c r="F711" s="119">
        <v>100</v>
      </c>
      <c r="G711" s="119">
        <v>100</v>
      </c>
      <c r="H711" s="119">
        <v>17.524999999999999</v>
      </c>
      <c r="I711" s="116">
        <v>1108</v>
      </c>
      <c r="J711" s="118" t="s">
        <v>269</v>
      </c>
    </row>
    <row r="712" spans="1:10" x14ac:dyDescent="0.25">
      <c r="A712" s="116">
        <v>709</v>
      </c>
      <c r="B712" s="117" t="s">
        <v>132</v>
      </c>
      <c r="C712" s="118" t="s">
        <v>133</v>
      </c>
      <c r="D712" s="118" t="s">
        <v>453</v>
      </c>
      <c r="E712" s="118" t="s">
        <v>111</v>
      </c>
      <c r="F712" s="119">
        <v>100</v>
      </c>
      <c r="G712" s="119">
        <v>100</v>
      </c>
      <c r="H712" s="119">
        <v>17.625</v>
      </c>
      <c r="I712" s="116">
        <v>1573</v>
      </c>
      <c r="J712" s="118" t="s">
        <v>269</v>
      </c>
    </row>
    <row r="713" spans="1:10" x14ac:dyDescent="0.25">
      <c r="A713" s="116">
        <v>710</v>
      </c>
      <c r="B713" s="117" t="s">
        <v>134</v>
      </c>
      <c r="C713" s="118" t="s">
        <v>135</v>
      </c>
      <c r="D713" s="118" t="s">
        <v>453</v>
      </c>
      <c r="E713" s="118" t="s">
        <v>111</v>
      </c>
      <c r="F713" s="119">
        <v>100</v>
      </c>
      <c r="G713" s="119">
        <v>100</v>
      </c>
      <c r="H713" s="119">
        <v>17.725000000000001</v>
      </c>
      <c r="I713" s="116">
        <v>1883</v>
      </c>
      <c r="J713" s="118" t="s">
        <v>269</v>
      </c>
    </row>
    <row r="714" spans="1:10" x14ac:dyDescent="0.25">
      <c r="A714" s="116">
        <v>711</v>
      </c>
      <c r="B714" s="117" t="s">
        <v>281</v>
      </c>
      <c r="C714" s="118" t="s">
        <v>282</v>
      </c>
      <c r="D714" s="118" t="s">
        <v>453</v>
      </c>
      <c r="E714" s="118" t="s">
        <v>111</v>
      </c>
      <c r="F714" s="119">
        <v>99.925299999999993</v>
      </c>
      <c r="G714" s="119">
        <v>99.925299999999993</v>
      </c>
      <c r="H714" s="119">
        <v>13.025</v>
      </c>
      <c r="I714" s="116">
        <v>37</v>
      </c>
      <c r="J714" s="118" t="s">
        <v>269</v>
      </c>
    </row>
    <row r="715" spans="1:10" x14ac:dyDescent="0.25">
      <c r="A715" s="116">
        <v>712</v>
      </c>
      <c r="B715" s="117" t="s">
        <v>283</v>
      </c>
      <c r="C715" s="118" t="s">
        <v>284</v>
      </c>
      <c r="D715" s="118" t="s">
        <v>453</v>
      </c>
      <c r="E715" s="118" t="s">
        <v>111</v>
      </c>
      <c r="F715" s="119">
        <v>99.9589</v>
      </c>
      <c r="G715" s="119">
        <v>99.9589</v>
      </c>
      <c r="H715" s="119">
        <v>13.025</v>
      </c>
      <c r="I715" s="116">
        <v>340</v>
      </c>
      <c r="J715" s="118" t="s">
        <v>269</v>
      </c>
    </row>
    <row r="716" spans="1:10" x14ac:dyDescent="0.25">
      <c r="A716" s="116">
        <v>713</v>
      </c>
      <c r="B716" s="117" t="s">
        <v>285</v>
      </c>
      <c r="C716" s="118" t="s">
        <v>286</v>
      </c>
      <c r="D716" s="118" t="s">
        <v>453</v>
      </c>
      <c r="E716" s="118" t="s">
        <v>111</v>
      </c>
      <c r="F716" s="119">
        <v>99.802999999999997</v>
      </c>
      <c r="G716" s="119">
        <v>99.802999999999997</v>
      </c>
      <c r="H716" s="119">
        <v>13.025</v>
      </c>
      <c r="I716" s="116">
        <v>159</v>
      </c>
      <c r="J716" s="118" t="s">
        <v>269</v>
      </c>
    </row>
    <row r="717" spans="1:10" x14ac:dyDescent="0.25">
      <c r="A717" s="116">
        <v>714</v>
      </c>
      <c r="B717" s="117" t="s">
        <v>287</v>
      </c>
      <c r="C717" s="118" t="s">
        <v>288</v>
      </c>
      <c r="D717" s="118" t="s">
        <v>453</v>
      </c>
      <c r="E717" s="118" t="s">
        <v>111</v>
      </c>
      <c r="F717" s="119">
        <v>99.902900000000002</v>
      </c>
      <c r="G717" s="119">
        <v>99.902900000000002</v>
      </c>
      <c r="H717" s="119">
        <v>13.025</v>
      </c>
      <c r="I717" s="116">
        <v>308</v>
      </c>
      <c r="J717" s="118" t="s">
        <v>269</v>
      </c>
    </row>
    <row r="718" spans="1:10" x14ac:dyDescent="0.25">
      <c r="A718" s="116">
        <v>715</v>
      </c>
      <c r="B718" s="117" t="s">
        <v>289</v>
      </c>
      <c r="C718" s="118" t="s">
        <v>290</v>
      </c>
      <c r="D718" s="118" t="s">
        <v>453</v>
      </c>
      <c r="E718" s="118" t="s">
        <v>111</v>
      </c>
      <c r="F718" s="119">
        <v>99.982299999999995</v>
      </c>
      <c r="G718" s="119">
        <v>99.982299999999995</v>
      </c>
      <c r="H718" s="119">
        <v>13.025</v>
      </c>
      <c r="I718" s="116">
        <v>8</v>
      </c>
      <c r="J718" s="118" t="s">
        <v>269</v>
      </c>
    </row>
    <row r="719" spans="1:10" x14ac:dyDescent="0.25">
      <c r="A719" s="116">
        <v>716</v>
      </c>
      <c r="B719" s="117" t="s">
        <v>291</v>
      </c>
      <c r="C719" s="118" t="s">
        <v>292</v>
      </c>
      <c r="D719" s="118" t="s">
        <v>453</v>
      </c>
      <c r="E719" s="118" t="s">
        <v>111</v>
      </c>
      <c r="F719" s="119">
        <v>99.897099999999995</v>
      </c>
      <c r="G719" s="119">
        <v>99.897099999999995</v>
      </c>
      <c r="H719" s="119">
        <v>13.115</v>
      </c>
      <c r="I719" s="116">
        <v>1133</v>
      </c>
      <c r="J719" s="118" t="s">
        <v>269</v>
      </c>
    </row>
    <row r="720" spans="1:10" x14ac:dyDescent="0.25">
      <c r="A720" s="116">
        <v>717</v>
      </c>
      <c r="B720" s="117" t="s">
        <v>293</v>
      </c>
      <c r="C720" s="118" t="s">
        <v>294</v>
      </c>
      <c r="D720" s="118" t="s">
        <v>453</v>
      </c>
      <c r="E720" s="118" t="s">
        <v>111</v>
      </c>
      <c r="F720" s="119">
        <v>99.980199999999996</v>
      </c>
      <c r="G720" s="119">
        <v>99.980199999999996</v>
      </c>
      <c r="H720" s="119">
        <v>13.025</v>
      </c>
      <c r="I720" s="116">
        <v>9</v>
      </c>
      <c r="J720" s="118" t="s">
        <v>269</v>
      </c>
    </row>
    <row r="721" spans="1:10" x14ac:dyDescent="0.25">
      <c r="A721" s="116">
        <v>718</v>
      </c>
      <c r="B721" s="117" t="s">
        <v>295</v>
      </c>
      <c r="C721" s="118" t="s">
        <v>296</v>
      </c>
      <c r="D721" s="118" t="s">
        <v>453</v>
      </c>
      <c r="E721" s="118" t="s">
        <v>111</v>
      </c>
      <c r="F721" s="119">
        <v>99.810400000000001</v>
      </c>
      <c r="G721" s="119">
        <v>99.810400000000001</v>
      </c>
      <c r="H721" s="119">
        <v>13.025</v>
      </c>
      <c r="I721" s="116">
        <v>218</v>
      </c>
      <c r="J721" s="118" t="s">
        <v>269</v>
      </c>
    </row>
    <row r="722" spans="1:10" x14ac:dyDescent="0.25">
      <c r="A722" s="116">
        <v>719</v>
      </c>
      <c r="B722" s="117" t="s">
        <v>297</v>
      </c>
      <c r="C722" s="118" t="s">
        <v>298</v>
      </c>
      <c r="D722" s="118" t="s">
        <v>453</v>
      </c>
      <c r="E722" s="118" t="s">
        <v>111</v>
      </c>
      <c r="F722" s="119">
        <v>99.816400000000002</v>
      </c>
      <c r="G722" s="119">
        <v>99.816400000000002</v>
      </c>
      <c r="H722" s="119">
        <v>13.115</v>
      </c>
      <c r="I722" s="116">
        <v>1564</v>
      </c>
      <c r="J722" s="118" t="s">
        <v>269</v>
      </c>
    </row>
    <row r="723" spans="1:10" x14ac:dyDescent="0.25">
      <c r="A723" s="116">
        <v>720</v>
      </c>
      <c r="B723" s="117" t="s">
        <v>299</v>
      </c>
      <c r="C723" s="118" t="s">
        <v>300</v>
      </c>
      <c r="D723" s="118" t="s">
        <v>453</v>
      </c>
      <c r="E723" s="118" t="s">
        <v>111</v>
      </c>
      <c r="F723" s="119">
        <v>99.810400000000001</v>
      </c>
      <c r="G723" s="119">
        <v>99.810400000000001</v>
      </c>
      <c r="H723" s="119">
        <v>13.025</v>
      </c>
      <c r="I723" s="116">
        <v>218</v>
      </c>
      <c r="J723" s="118" t="s">
        <v>269</v>
      </c>
    </row>
    <row r="724" spans="1:10" x14ac:dyDescent="0.25">
      <c r="A724" s="116">
        <v>721</v>
      </c>
      <c r="B724" s="117" t="s">
        <v>301</v>
      </c>
      <c r="C724" s="118" t="s">
        <v>302</v>
      </c>
      <c r="D724" s="118" t="s">
        <v>453</v>
      </c>
      <c r="E724" s="118" t="s">
        <v>111</v>
      </c>
      <c r="F724" s="119">
        <v>99.863799999999998</v>
      </c>
      <c r="G724" s="119">
        <v>99.863799999999998</v>
      </c>
      <c r="H724" s="119">
        <v>13.025</v>
      </c>
      <c r="I724" s="116">
        <v>280</v>
      </c>
      <c r="J724" s="118" t="s">
        <v>269</v>
      </c>
    </row>
    <row r="725" spans="1:10" x14ac:dyDescent="0.25">
      <c r="A725" s="116">
        <v>722</v>
      </c>
      <c r="B725" s="117" t="s">
        <v>303</v>
      </c>
      <c r="C725" s="118" t="s">
        <v>304</v>
      </c>
      <c r="D725" s="118" t="s">
        <v>453</v>
      </c>
      <c r="E725" s="118" t="s">
        <v>111</v>
      </c>
      <c r="F725" s="119">
        <v>99.801400000000001</v>
      </c>
      <c r="G725" s="119">
        <v>99.801400000000001</v>
      </c>
      <c r="H725" s="119">
        <v>13.025</v>
      </c>
      <c r="I725" s="116">
        <v>549</v>
      </c>
      <c r="J725" s="118" t="s">
        <v>269</v>
      </c>
    </row>
    <row r="726" spans="1:10" x14ac:dyDescent="0.25">
      <c r="A726" s="116">
        <v>723</v>
      </c>
      <c r="B726" s="117" t="s">
        <v>305</v>
      </c>
      <c r="C726" s="118" t="s">
        <v>306</v>
      </c>
      <c r="D726" s="118" t="s">
        <v>453</v>
      </c>
      <c r="E726" s="118" t="s">
        <v>111</v>
      </c>
      <c r="F726" s="119">
        <v>99.862499999999997</v>
      </c>
      <c r="G726" s="119">
        <v>99.862499999999997</v>
      </c>
      <c r="H726" s="119">
        <v>13.025</v>
      </c>
      <c r="I726" s="116">
        <v>639</v>
      </c>
      <c r="J726" s="118" t="s">
        <v>269</v>
      </c>
    </row>
    <row r="727" spans="1:10" x14ac:dyDescent="0.25">
      <c r="A727" s="116">
        <v>724</v>
      </c>
      <c r="B727" s="117" t="s">
        <v>307</v>
      </c>
      <c r="C727" s="118" t="s">
        <v>308</v>
      </c>
      <c r="D727" s="118" t="s">
        <v>453</v>
      </c>
      <c r="E727" s="118" t="s">
        <v>111</v>
      </c>
      <c r="F727" s="119">
        <v>99.816299999999998</v>
      </c>
      <c r="G727" s="119">
        <v>99.816299999999998</v>
      </c>
      <c r="H727" s="119">
        <v>13.025</v>
      </c>
      <c r="I727" s="116">
        <v>1208</v>
      </c>
      <c r="J727" s="118" t="s">
        <v>269</v>
      </c>
    </row>
    <row r="728" spans="1:10" x14ac:dyDescent="0.25">
      <c r="A728" s="116">
        <v>725</v>
      </c>
      <c r="B728" s="117" t="s">
        <v>309</v>
      </c>
      <c r="C728" s="118" t="s">
        <v>310</v>
      </c>
      <c r="D728" s="118" t="s">
        <v>453</v>
      </c>
      <c r="E728" s="118" t="s">
        <v>111</v>
      </c>
      <c r="F728" s="119">
        <v>99.830500000000001</v>
      </c>
      <c r="G728" s="119">
        <v>99.830500000000001</v>
      </c>
      <c r="H728" s="119">
        <v>13.025</v>
      </c>
      <c r="I728" s="116">
        <v>1328</v>
      </c>
      <c r="J728" s="118" t="s">
        <v>269</v>
      </c>
    </row>
    <row r="729" spans="1:10" x14ac:dyDescent="0.25">
      <c r="A729" s="116">
        <v>726</v>
      </c>
      <c r="B729" s="117" t="s">
        <v>311</v>
      </c>
      <c r="C729" s="118" t="s">
        <v>312</v>
      </c>
      <c r="D729" s="118" t="s">
        <v>453</v>
      </c>
      <c r="E729" s="118" t="s">
        <v>111</v>
      </c>
      <c r="F729" s="119">
        <v>99.831299999999999</v>
      </c>
      <c r="G729" s="119">
        <v>99.831299999999999</v>
      </c>
      <c r="H729" s="119">
        <v>13.025</v>
      </c>
      <c r="I729" s="116">
        <v>609</v>
      </c>
      <c r="J729" s="118" t="s">
        <v>269</v>
      </c>
    </row>
    <row r="730" spans="1:10" x14ac:dyDescent="0.25">
      <c r="A730" s="116">
        <v>727</v>
      </c>
      <c r="B730" s="117" t="s">
        <v>313</v>
      </c>
      <c r="C730" s="118" t="s">
        <v>314</v>
      </c>
      <c r="D730" s="118" t="s">
        <v>453</v>
      </c>
      <c r="E730" s="118" t="s">
        <v>111</v>
      </c>
      <c r="F730" s="119">
        <v>99.927099999999996</v>
      </c>
      <c r="G730" s="119">
        <v>99.927099999999996</v>
      </c>
      <c r="H730" s="119">
        <v>13.025</v>
      </c>
      <c r="I730" s="116">
        <v>756</v>
      </c>
      <c r="J730" s="118" t="s">
        <v>269</v>
      </c>
    </row>
    <row r="731" spans="1:10" x14ac:dyDescent="0.25">
      <c r="A731" s="116">
        <v>728</v>
      </c>
      <c r="B731" s="117" t="s">
        <v>315</v>
      </c>
      <c r="C731" s="118" t="s">
        <v>316</v>
      </c>
      <c r="D731" s="118" t="s">
        <v>453</v>
      </c>
      <c r="E731" s="118" t="s">
        <v>111</v>
      </c>
      <c r="F731" s="119">
        <v>99.818200000000004</v>
      </c>
      <c r="G731" s="119">
        <v>99.818200000000004</v>
      </c>
      <c r="H731" s="119">
        <v>13.025</v>
      </c>
      <c r="I731" s="116">
        <v>845</v>
      </c>
      <c r="J731" s="118" t="s">
        <v>269</v>
      </c>
    </row>
    <row r="732" spans="1:10" x14ac:dyDescent="0.25">
      <c r="A732" s="116">
        <v>729</v>
      </c>
      <c r="B732" s="117" t="s">
        <v>317</v>
      </c>
      <c r="C732" s="118" t="s">
        <v>318</v>
      </c>
      <c r="D732" s="118" t="s">
        <v>453</v>
      </c>
      <c r="E732" s="118" t="s">
        <v>111</v>
      </c>
      <c r="F732" s="119">
        <v>99.901300000000006</v>
      </c>
      <c r="G732" s="119">
        <v>99.901300000000006</v>
      </c>
      <c r="H732" s="119">
        <v>13.025</v>
      </c>
      <c r="I732" s="116">
        <v>1387</v>
      </c>
      <c r="J732" s="118" t="s">
        <v>269</v>
      </c>
    </row>
    <row r="733" spans="1:10" x14ac:dyDescent="0.25">
      <c r="A733" s="116">
        <v>730</v>
      </c>
      <c r="B733" s="117" t="s">
        <v>319</v>
      </c>
      <c r="C733" s="118" t="s">
        <v>320</v>
      </c>
      <c r="D733" s="118" t="s">
        <v>453</v>
      </c>
      <c r="E733" s="118" t="s">
        <v>111</v>
      </c>
      <c r="F733" s="119">
        <v>99.811400000000006</v>
      </c>
      <c r="G733" s="119">
        <v>99.811400000000006</v>
      </c>
      <c r="H733" s="119">
        <v>13.025</v>
      </c>
      <c r="I733" s="116">
        <v>1660</v>
      </c>
      <c r="J733" s="118" t="s">
        <v>269</v>
      </c>
    </row>
    <row r="734" spans="1:10" x14ac:dyDescent="0.25">
      <c r="A734" s="116">
        <v>731</v>
      </c>
      <c r="B734" s="117" t="s">
        <v>321</v>
      </c>
      <c r="C734" s="118" t="s">
        <v>322</v>
      </c>
      <c r="D734" s="118" t="s">
        <v>453</v>
      </c>
      <c r="E734" s="118" t="s">
        <v>111</v>
      </c>
      <c r="F734" s="119">
        <v>99.901300000000006</v>
      </c>
      <c r="G734" s="119">
        <v>99.901300000000006</v>
      </c>
      <c r="H734" s="119">
        <v>13.025</v>
      </c>
      <c r="I734" s="116">
        <v>1027</v>
      </c>
      <c r="J734" s="118" t="s">
        <v>269</v>
      </c>
    </row>
    <row r="735" spans="1:10" x14ac:dyDescent="0.25">
      <c r="A735" s="116">
        <v>732</v>
      </c>
      <c r="B735" s="117" t="s">
        <v>323</v>
      </c>
      <c r="C735" s="118" t="s">
        <v>324</v>
      </c>
      <c r="D735" s="118" t="s">
        <v>453</v>
      </c>
      <c r="E735" s="118" t="s">
        <v>111</v>
      </c>
      <c r="F735" s="119">
        <v>99.873599999999996</v>
      </c>
      <c r="G735" s="119">
        <v>99.873599999999996</v>
      </c>
      <c r="H735" s="119">
        <v>13.025</v>
      </c>
      <c r="I735" s="116">
        <v>1150</v>
      </c>
      <c r="J735" s="118" t="s">
        <v>269</v>
      </c>
    </row>
    <row r="736" spans="1:10" x14ac:dyDescent="0.25">
      <c r="A736" s="116">
        <v>733</v>
      </c>
      <c r="B736" s="117" t="s">
        <v>325</v>
      </c>
      <c r="C736" s="118" t="s">
        <v>326</v>
      </c>
      <c r="D736" s="118" t="s">
        <v>453</v>
      </c>
      <c r="E736" s="118" t="s">
        <v>111</v>
      </c>
      <c r="F736" s="119">
        <v>99.831299999999999</v>
      </c>
      <c r="G736" s="119">
        <v>99.831299999999999</v>
      </c>
      <c r="H736" s="119">
        <v>13.025</v>
      </c>
      <c r="I736" s="116">
        <v>1329</v>
      </c>
      <c r="J736" s="118" t="s">
        <v>269</v>
      </c>
    </row>
    <row r="737" spans="1:10" x14ac:dyDescent="0.25">
      <c r="A737" s="116">
        <v>734</v>
      </c>
      <c r="B737" s="117" t="s">
        <v>327</v>
      </c>
      <c r="C737" s="118" t="s">
        <v>328</v>
      </c>
      <c r="D737" s="118" t="s">
        <v>453</v>
      </c>
      <c r="E737" s="118" t="s">
        <v>111</v>
      </c>
      <c r="F737" s="119">
        <v>99.840599999999995</v>
      </c>
      <c r="G737" s="119">
        <v>99.840599999999995</v>
      </c>
      <c r="H737" s="119">
        <v>13.025</v>
      </c>
      <c r="I737" s="116">
        <v>1538</v>
      </c>
      <c r="J737" s="118" t="s">
        <v>269</v>
      </c>
    </row>
    <row r="738" spans="1:10" x14ac:dyDescent="0.25">
      <c r="A738" s="116">
        <v>735</v>
      </c>
      <c r="B738" s="117" t="s">
        <v>329</v>
      </c>
      <c r="C738" s="118" t="s">
        <v>330</v>
      </c>
      <c r="D738" s="118" t="s">
        <v>453</v>
      </c>
      <c r="E738" s="118" t="s">
        <v>111</v>
      </c>
      <c r="F738" s="119">
        <v>99.956999999999994</v>
      </c>
      <c r="G738" s="119">
        <v>99.956999999999994</v>
      </c>
      <c r="H738" s="119">
        <v>13.025</v>
      </c>
      <c r="I738" s="116">
        <v>1779</v>
      </c>
      <c r="J738" s="118" t="s">
        <v>269</v>
      </c>
    </row>
    <row r="739" spans="1:10" x14ac:dyDescent="0.25">
      <c r="A739" s="116">
        <v>736</v>
      </c>
      <c r="B739" s="117" t="s">
        <v>331</v>
      </c>
      <c r="C739" s="118" t="s">
        <v>332</v>
      </c>
      <c r="D739" s="118" t="s">
        <v>453</v>
      </c>
      <c r="E739" s="118" t="s">
        <v>111</v>
      </c>
      <c r="F739" s="119">
        <v>99.953199999999995</v>
      </c>
      <c r="G739" s="119">
        <v>99.953199999999995</v>
      </c>
      <c r="H739" s="119">
        <v>13.025</v>
      </c>
      <c r="I739" s="116">
        <v>2137</v>
      </c>
      <c r="J739" s="118" t="s">
        <v>269</v>
      </c>
    </row>
    <row r="740" spans="1:10" x14ac:dyDescent="0.25">
      <c r="A740" s="116">
        <v>737</v>
      </c>
      <c r="B740" s="117" t="s">
        <v>333</v>
      </c>
      <c r="C740" s="118" t="s">
        <v>334</v>
      </c>
      <c r="D740" s="118" t="s">
        <v>453</v>
      </c>
      <c r="E740" s="118" t="s">
        <v>111</v>
      </c>
      <c r="F740" s="119">
        <v>99.874899999999997</v>
      </c>
      <c r="G740" s="119">
        <v>99.874899999999997</v>
      </c>
      <c r="H740" s="119">
        <v>13.025</v>
      </c>
      <c r="I740" s="116">
        <v>2229</v>
      </c>
      <c r="J740" s="118" t="s">
        <v>269</v>
      </c>
    </row>
    <row r="741" spans="1:10" x14ac:dyDescent="0.25">
      <c r="A741" s="116">
        <v>738</v>
      </c>
      <c r="B741" s="117" t="s">
        <v>136</v>
      </c>
      <c r="C741" s="118" t="s">
        <v>137</v>
      </c>
      <c r="D741" s="118" t="s">
        <v>453</v>
      </c>
      <c r="E741" s="118" t="s">
        <v>111</v>
      </c>
      <c r="F741" s="119">
        <v>91.551100000000005</v>
      </c>
      <c r="G741" s="119">
        <v>95.913300000000007</v>
      </c>
      <c r="H741" s="119">
        <v>16.77</v>
      </c>
      <c r="I741" s="116">
        <v>569</v>
      </c>
      <c r="J741" s="118" t="s">
        <v>269</v>
      </c>
    </row>
    <row r="742" spans="1:10" x14ac:dyDescent="0.25">
      <c r="A742" s="116">
        <v>739</v>
      </c>
      <c r="B742" s="117" t="s">
        <v>138</v>
      </c>
      <c r="C742" s="118" t="s">
        <v>139</v>
      </c>
      <c r="D742" s="118" t="s">
        <v>453</v>
      </c>
      <c r="E742" s="118" t="s">
        <v>111</v>
      </c>
      <c r="F742" s="119">
        <v>95.883899999999997</v>
      </c>
      <c r="G742" s="119">
        <v>105.5314</v>
      </c>
      <c r="H742" s="119">
        <v>16.88</v>
      </c>
      <c r="I742" s="116">
        <v>1213</v>
      </c>
      <c r="J742" s="118" t="s">
        <v>269</v>
      </c>
    </row>
    <row r="743" spans="1:10" x14ac:dyDescent="0.25">
      <c r="A743" s="116">
        <v>740</v>
      </c>
      <c r="B743" s="117" t="s">
        <v>140</v>
      </c>
      <c r="C743" s="118" t="s">
        <v>141</v>
      </c>
      <c r="D743" s="118" t="s">
        <v>453</v>
      </c>
      <c r="E743" s="118" t="s">
        <v>111</v>
      </c>
      <c r="F743" s="119">
        <v>85.3215</v>
      </c>
      <c r="G743" s="119">
        <v>92.754800000000003</v>
      </c>
      <c r="H743" s="119">
        <v>16.93</v>
      </c>
      <c r="I743" s="116">
        <v>1577</v>
      </c>
      <c r="J743" s="118" t="s">
        <v>269</v>
      </c>
    </row>
    <row r="744" spans="1:10" x14ac:dyDescent="0.25">
      <c r="A744" s="116">
        <v>741</v>
      </c>
      <c r="B744" s="117" t="s">
        <v>142</v>
      </c>
      <c r="C744" s="118" t="s">
        <v>6</v>
      </c>
      <c r="D744" s="118" t="s">
        <v>453</v>
      </c>
      <c r="E744" s="118" t="s">
        <v>111</v>
      </c>
      <c r="F744" s="119">
        <v>87.546700000000001</v>
      </c>
      <c r="G744" s="119">
        <v>92.977800000000002</v>
      </c>
      <c r="H744" s="119">
        <v>16.850000000000001</v>
      </c>
      <c r="I744" s="116">
        <v>892</v>
      </c>
      <c r="J744" s="118" t="s">
        <v>269</v>
      </c>
    </row>
    <row r="745" spans="1:10" x14ac:dyDescent="0.25">
      <c r="A745" s="116">
        <v>742</v>
      </c>
      <c r="B745" s="117" t="s">
        <v>143</v>
      </c>
      <c r="C745" s="118" t="s">
        <v>144</v>
      </c>
      <c r="D745" s="118" t="s">
        <v>453</v>
      </c>
      <c r="E745" s="118" t="s">
        <v>111</v>
      </c>
      <c r="F745" s="119">
        <v>83.0989</v>
      </c>
      <c r="G745" s="119">
        <v>91.032200000000003</v>
      </c>
      <c r="H745" s="119">
        <v>17</v>
      </c>
      <c r="I745" s="116">
        <v>1922</v>
      </c>
      <c r="J745" s="118" t="s">
        <v>269</v>
      </c>
    </row>
    <row r="746" spans="1:10" x14ac:dyDescent="0.25">
      <c r="A746" s="116">
        <v>743</v>
      </c>
      <c r="B746" s="117" t="s">
        <v>2013</v>
      </c>
      <c r="C746" s="118" t="s">
        <v>2014</v>
      </c>
      <c r="D746" s="118" t="s">
        <v>453</v>
      </c>
      <c r="E746" s="118" t="s">
        <v>111</v>
      </c>
      <c r="F746" s="119">
        <v>90.8</v>
      </c>
      <c r="G746" s="119">
        <v>99.884399999999999</v>
      </c>
      <c r="H746" s="119">
        <v>17</v>
      </c>
      <c r="I746" s="116">
        <v>2296</v>
      </c>
      <c r="J746" s="118" t="s">
        <v>269</v>
      </c>
    </row>
    <row r="747" spans="1:10" x14ac:dyDescent="0.25">
      <c r="A747" s="116">
        <v>744</v>
      </c>
      <c r="B747" s="117" t="s">
        <v>145</v>
      </c>
      <c r="C747" s="118" t="s">
        <v>146</v>
      </c>
      <c r="D747" s="118" t="s">
        <v>453</v>
      </c>
      <c r="E747" s="118" t="s">
        <v>111</v>
      </c>
      <c r="F747" s="119">
        <v>85.716800000000006</v>
      </c>
      <c r="G747" s="119">
        <v>95.983199999999997</v>
      </c>
      <c r="H747" s="119">
        <v>16.88</v>
      </c>
      <c r="I747" s="116">
        <v>1087</v>
      </c>
      <c r="J747" s="118" t="s">
        <v>269</v>
      </c>
    </row>
    <row r="748" spans="1:10" x14ac:dyDescent="0.25">
      <c r="A748" s="116">
        <v>745</v>
      </c>
      <c r="B748" s="117" t="s">
        <v>147</v>
      </c>
      <c r="C748" s="118" t="s">
        <v>8</v>
      </c>
      <c r="D748" s="118" t="s">
        <v>453</v>
      </c>
      <c r="E748" s="118" t="s">
        <v>111</v>
      </c>
      <c r="F748" s="119">
        <v>83.111000000000004</v>
      </c>
      <c r="G748" s="119">
        <v>85.514099999999999</v>
      </c>
      <c r="H748" s="119">
        <v>16.91</v>
      </c>
      <c r="I748" s="116">
        <v>1358</v>
      </c>
      <c r="J748" s="118" t="s">
        <v>269</v>
      </c>
    </row>
    <row r="749" spans="1:10" x14ac:dyDescent="0.25">
      <c r="A749" s="116">
        <v>746</v>
      </c>
      <c r="B749" s="117" t="s">
        <v>148</v>
      </c>
      <c r="C749" s="118" t="s">
        <v>149</v>
      </c>
      <c r="D749" s="118" t="s">
        <v>453</v>
      </c>
      <c r="E749" s="118" t="s">
        <v>111</v>
      </c>
      <c r="F749" s="119">
        <v>82.604799999999997</v>
      </c>
      <c r="G749" s="119">
        <v>90.427000000000007</v>
      </c>
      <c r="H749" s="119">
        <v>16.97</v>
      </c>
      <c r="I749" s="116">
        <v>1544</v>
      </c>
      <c r="J749" s="118" t="s">
        <v>269</v>
      </c>
    </row>
    <row r="750" spans="1:10" x14ac:dyDescent="0.25">
      <c r="A750" s="116">
        <v>747</v>
      </c>
      <c r="B750" s="117" t="s">
        <v>150</v>
      </c>
      <c r="C750" s="118" t="s">
        <v>151</v>
      </c>
      <c r="D750" s="118" t="s">
        <v>453</v>
      </c>
      <c r="E750" s="118" t="s">
        <v>111</v>
      </c>
      <c r="F750" s="119">
        <v>89.533199999999994</v>
      </c>
      <c r="G750" s="119">
        <v>95.677599999999998</v>
      </c>
      <c r="H750" s="119">
        <v>16.98</v>
      </c>
      <c r="I750" s="116">
        <v>2002</v>
      </c>
      <c r="J750" s="118" t="s">
        <v>269</v>
      </c>
    </row>
    <row r="751" spans="1:10" x14ac:dyDescent="0.25">
      <c r="A751" s="116">
        <v>748</v>
      </c>
      <c r="B751" s="117" t="s">
        <v>2175</v>
      </c>
      <c r="C751" s="118" t="s">
        <v>2176</v>
      </c>
      <c r="D751" s="118" t="s">
        <v>453</v>
      </c>
      <c r="E751" s="118" t="s">
        <v>111</v>
      </c>
      <c r="F751" s="119">
        <v>89.149699999999996</v>
      </c>
      <c r="G751" s="119">
        <v>94.568399999999997</v>
      </c>
      <c r="H751" s="119">
        <v>17.03</v>
      </c>
      <c r="I751" s="116">
        <v>2745</v>
      </c>
      <c r="J751" s="118" t="s">
        <v>269</v>
      </c>
    </row>
    <row r="752" spans="1:10" x14ac:dyDescent="0.25">
      <c r="A752" s="116">
        <v>749</v>
      </c>
      <c r="B752" s="117" t="s">
        <v>152</v>
      </c>
      <c r="C752" s="118" t="s">
        <v>153</v>
      </c>
      <c r="D752" s="118" t="s">
        <v>453</v>
      </c>
      <c r="E752" s="118" t="s">
        <v>111</v>
      </c>
      <c r="F752" s="119">
        <v>95.1203</v>
      </c>
      <c r="G752" s="119">
        <v>97.825000000000003</v>
      </c>
      <c r="H752" s="119">
        <v>16.79</v>
      </c>
      <c r="I752" s="116">
        <v>253</v>
      </c>
      <c r="J752" s="118" t="s">
        <v>269</v>
      </c>
    </row>
    <row r="753" spans="1:10" x14ac:dyDescent="0.25">
      <c r="A753" s="116">
        <v>750</v>
      </c>
      <c r="B753" s="117" t="s">
        <v>154</v>
      </c>
      <c r="C753" s="118" t="s">
        <v>7</v>
      </c>
      <c r="D753" s="118" t="s">
        <v>453</v>
      </c>
      <c r="E753" s="118" t="s">
        <v>111</v>
      </c>
      <c r="F753" s="119">
        <v>85.257800000000003</v>
      </c>
      <c r="G753" s="119">
        <v>91.368899999999996</v>
      </c>
      <c r="H753" s="119">
        <v>16.899999999999999</v>
      </c>
      <c r="I753" s="116">
        <v>1240</v>
      </c>
      <c r="J753" s="118" t="s">
        <v>269</v>
      </c>
    </row>
    <row r="754" spans="1:10" x14ac:dyDescent="0.25">
      <c r="A754" s="116">
        <v>751</v>
      </c>
      <c r="B754" s="117" t="s">
        <v>155</v>
      </c>
      <c r="C754" s="118" t="s">
        <v>156</v>
      </c>
      <c r="D754" s="118" t="s">
        <v>453</v>
      </c>
      <c r="E754" s="118" t="s">
        <v>111</v>
      </c>
      <c r="F754" s="119">
        <v>88.350999999999999</v>
      </c>
      <c r="G754" s="119">
        <v>94.223200000000006</v>
      </c>
      <c r="H754" s="119">
        <v>17</v>
      </c>
      <c r="I754" s="116">
        <v>2369</v>
      </c>
      <c r="J754" s="118" t="s">
        <v>269</v>
      </c>
    </row>
    <row r="755" spans="1:10" x14ac:dyDescent="0.25">
      <c r="A755" s="116">
        <v>752</v>
      </c>
      <c r="B755" s="117" t="s">
        <v>2015</v>
      </c>
      <c r="C755" s="118" t="s">
        <v>2016</v>
      </c>
      <c r="D755" s="118" t="s">
        <v>453</v>
      </c>
      <c r="E755" s="118" t="s">
        <v>111</v>
      </c>
      <c r="F755" s="119">
        <v>88.839799999999997</v>
      </c>
      <c r="G755" s="119">
        <v>97.861999999999995</v>
      </c>
      <c r="H755" s="119">
        <v>17.03</v>
      </c>
      <c r="I755" s="116">
        <v>3016</v>
      </c>
      <c r="J755" s="118" t="s">
        <v>269</v>
      </c>
    </row>
    <row r="756" spans="1:10" x14ac:dyDescent="0.25">
      <c r="A756" s="116">
        <v>753</v>
      </c>
      <c r="B756" s="117" t="s">
        <v>157</v>
      </c>
      <c r="C756" s="118" t="s">
        <v>158</v>
      </c>
      <c r="D756" s="118" t="s">
        <v>453</v>
      </c>
      <c r="E756" s="118" t="s">
        <v>111</v>
      </c>
      <c r="F756" s="119">
        <v>90.932100000000005</v>
      </c>
      <c r="G756" s="119">
        <v>96.5321</v>
      </c>
      <c r="H756" s="119">
        <v>16.760000000000002</v>
      </c>
      <c r="I756" s="116">
        <v>496</v>
      </c>
      <c r="J756" s="118" t="s">
        <v>269</v>
      </c>
    </row>
    <row r="757" spans="1:10" x14ac:dyDescent="0.25">
      <c r="A757" s="116">
        <v>754</v>
      </c>
      <c r="B757" s="117" t="s">
        <v>159</v>
      </c>
      <c r="C757" s="118" t="s">
        <v>160</v>
      </c>
      <c r="D757" s="118" t="s">
        <v>453</v>
      </c>
      <c r="E757" s="118" t="s">
        <v>111</v>
      </c>
      <c r="F757" s="119">
        <v>89.085599999999999</v>
      </c>
      <c r="G757" s="119">
        <v>91.760599999999997</v>
      </c>
      <c r="H757" s="119">
        <v>16.79</v>
      </c>
      <c r="I757" s="116">
        <v>613</v>
      </c>
      <c r="J757" s="118" t="s">
        <v>269</v>
      </c>
    </row>
    <row r="758" spans="1:10" x14ac:dyDescent="0.25">
      <c r="A758" s="116">
        <v>755</v>
      </c>
      <c r="B758" s="117" t="s">
        <v>161</v>
      </c>
      <c r="C758" s="118" t="s">
        <v>9</v>
      </c>
      <c r="D758" s="118" t="s">
        <v>453</v>
      </c>
      <c r="E758" s="118" t="s">
        <v>111</v>
      </c>
      <c r="F758" s="119">
        <v>77.3249</v>
      </c>
      <c r="G758" s="119">
        <v>83.4191</v>
      </c>
      <c r="H758" s="119">
        <v>16.97</v>
      </c>
      <c r="I758" s="116">
        <v>1947</v>
      </c>
      <c r="J758" s="118" t="s">
        <v>269</v>
      </c>
    </row>
    <row r="759" spans="1:10" x14ac:dyDescent="0.25">
      <c r="A759" s="116">
        <v>756</v>
      </c>
      <c r="B759" s="117" t="s">
        <v>1988</v>
      </c>
      <c r="C759" s="118" t="s">
        <v>1989</v>
      </c>
      <c r="D759" s="118" t="s">
        <v>453</v>
      </c>
      <c r="E759" s="118" t="s">
        <v>111</v>
      </c>
      <c r="F759" s="119">
        <v>85.931899999999999</v>
      </c>
      <c r="G759" s="119">
        <v>95.537499999999994</v>
      </c>
      <c r="H759" s="119">
        <v>17.07</v>
      </c>
      <c r="I759" s="116">
        <v>3353</v>
      </c>
      <c r="J759" s="118" t="s">
        <v>269</v>
      </c>
    </row>
    <row r="760" spans="1:10" x14ac:dyDescent="0.25">
      <c r="A760" s="116">
        <v>757</v>
      </c>
      <c r="B760" s="117" t="s">
        <v>162</v>
      </c>
      <c r="C760" s="118" t="s">
        <v>11</v>
      </c>
      <c r="D760" s="118" t="s">
        <v>453</v>
      </c>
      <c r="E760" s="118" t="s">
        <v>111</v>
      </c>
      <c r="F760" s="119">
        <v>75.357399999999998</v>
      </c>
      <c r="G760" s="119">
        <v>77.842399999999998</v>
      </c>
      <c r="H760" s="119">
        <v>17.02</v>
      </c>
      <c r="I760" s="116">
        <v>2436</v>
      </c>
      <c r="J760" s="118" t="s">
        <v>269</v>
      </c>
    </row>
    <row r="761" spans="1:10" x14ac:dyDescent="0.25">
      <c r="A761" s="116">
        <v>758</v>
      </c>
      <c r="B761" s="117" t="s">
        <v>163</v>
      </c>
      <c r="C761" s="118" t="s">
        <v>164</v>
      </c>
      <c r="D761" s="118" t="s">
        <v>453</v>
      </c>
      <c r="E761" s="118" t="s">
        <v>111</v>
      </c>
      <c r="F761" s="119">
        <v>73.470799999999997</v>
      </c>
      <c r="G761" s="119">
        <v>75.163399999999996</v>
      </c>
      <c r="H761" s="119">
        <v>17.04</v>
      </c>
      <c r="I761" s="116">
        <v>2823</v>
      </c>
      <c r="J761" s="118" t="s">
        <v>269</v>
      </c>
    </row>
    <row r="762" spans="1:10" x14ac:dyDescent="0.25">
      <c r="A762" s="116">
        <v>759</v>
      </c>
      <c r="B762" s="117" t="s">
        <v>165</v>
      </c>
      <c r="C762" s="118" t="s">
        <v>166</v>
      </c>
      <c r="D762" s="118" t="s">
        <v>453</v>
      </c>
      <c r="E762" s="118" t="s">
        <v>111</v>
      </c>
      <c r="F762" s="119">
        <v>87.22</v>
      </c>
      <c r="G762" s="119">
        <v>89.71</v>
      </c>
      <c r="H762" s="119">
        <v>16.79</v>
      </c>
      <c r="I762" s="116">
        <v>600</v>
      </c>
      <c r="J762" s="118" t="s">
        <v>269</v>
      </c>
    </row>
    <row r="763" spans="1:10" x14ac:dyDescent="0.25">
      <c r="A763" s="116">
        <v>760</v>
      </c>
      <c r="B763" s="117" t="s">
        <v>167</v>
      </c>
      <c r="C763" s="118" t="s">
        <v>168</v>
      </c>
      <c r="D763" s="118" t="s">
        <v>453</v>
      </c>
      <c r="E763" s="118" t="s">
        <v>111</v>
      </c>
      <c r="F763" s="119">
        <v>70.569999999999993</v>
      </c>
      <c r="G763" s="119">
        <v>74.321100000000001</v>
      </c>
      <c r="H763" s="119">
        <v>16.989999999999998</v>
      </c>
      <c r="I763" s="116">
        <v>2000</v>
      </c>
      <c r="J763" s="118" t="s">
        <v>269</v>
      </c>
    </row>
    <row r="764" spans="1:10" x14ac:dyDescent="0.25">
      <c r="A764" s="116">
        <v>761</v>
      </c>
      <c r="B764" s="117" t="s">
        <v>169</v>
      </c>
      <c r="C764" s="118" t="s">
        <v>170</v>
      </c>
      <c r="D764" s="118" t="s">
        <v>453</v>
      </c>
      <c r="E764" s="118" t="s">
        <v>111</v>
      </c>
      <c r="F764" s="119">
        <v>70.090299999999999</v>
      </c>
      <c r="G764" s="119">
        <v>76.921300000000002</v>
      </c>
      <c r="H764" s="119">
        <v>17.059999999999999</v>
      </c>
      <c r="I764" s="116">
        <v>2997</v>
      </c>
      <c r="J764" s="118" t="s">
        <v>269</v>
      </c>
    </row>
    <row r="765" spans="1:10" x14ac:dyDescent="0.25">
      <c r="A765" s="116">
        <v>762</v>
      </c>
      <c r="B765" s="117" t="s">
        <v>2149</v>
      </c>
      <c r="C765" s="118" t="s">
        <v>2150</v>
      </c>
      <c r="D765" s="118" t="s">
        <v>453</v>
      </c>
      <c r="E765" s="118" t="s">
        <v>111</v>
      </c>
      <c r="F765" s="119">
        <v>84.734899999999996</v>
      </c>
      <c r="G765" s="119">
        <v>90.531599999999997</v>
      </c>
      <c r="H765" s="119">
        <v>17.07</v>
      </c>
      <c r="I765" s="116">
        <v>4532</v>
      </c>
      <c r="J765" s="118" t="s">
        <v>269</v>
      </c>
    </row>
    <row r="766" spans="1:10" x14ac:dyDescent="0.25">
      <c r="A766" s="116">
        <v>763</v>
      </c>
      <c r="B766" s="117" t="s">
        <v>171</v>
      </c>
      <c r="C766" s="118" t="s">
        <v>172</v>
      </c>
      <c r="D766" s="118" t="s">
        <v>453</v>
      </c>
      <c r="E766" s="118" t="s">
        <v>111</v>
      </c>
      <c r="F766" s="119">
        <v>99.150099999999995</v>
      </c>
      <c r="G766" s="119">
        <v>103.789</v>
      </c>
      <c r="H766" s="119">
        <v>17.420000000000002</v>
      </c>
      <c r="I766" s="116">
        <v>26</v>
      </c>
      <c r="J766" s="118" t="s">
        <v>269</v>
      </c>
    </row>
    <row r="767" spans="1:10" x14ac:dyDescent="0.25">
      <c r="A767" s="116">
        <v>764</v>
      </c>
      <c r="B767" s="117" t="s">
        <v>173</v>
      </c>
      <c r="C767" s="118" t="s">
        <v>10</v>
      </c>
      <c r="D767" s="118" t="s">
        <v>453</v>
      </c>
      <c r="E767" s="118" t="s">
        <v>111</v>
      </c>
      <c r="F767" s="119">
        <v>67.637699999999995</v>
      </c>
      <c r="G767" s="119">
        <v>71.956599999999995</v>
      </c>
      <c r="H767" s="119">
        <v>17.02</v>
      </c>
      <c r="I767" s="116">
        <v>2336</v>
      </c>
      <c r="J767" s="118" t="s">
        <v>269</v>
      </c>
    </row>
    <row r="768" spans="1:10" x14ac:dyDescent="0.25">
      <c r="A768" s="116">
        <v>765</v>
      </c>
      <c r="B768" s="117" t="s">
        <v>174</v>
      </c>
      <c r="C768" s="118" t="s">
        <v>175</v>
      </c>
      <c r="D768" s="118" t="s">
        <v>453</v>
      </c>
      <c r="E768" s="118" t="s">
        <v>111</v>
      </c>
      <c r="F768" s="119">
        <v>69.006100000000004</v>
      </c>
      <c r="G768" s="119">
        <v>75.27</v>
      </c>
      <c r="H768" s="119">
        <v>17.05</v>
      </c>
      <c r="I768" s="116">
        <v>3380</v>
      </c>
      <c r="J768" s="118" t="s">
        <v>269</v>
      </c>
    </row>
    <row r="769" spans="1:10" x14ac:dyDescent="0.25">
      <c r="A769" s="116">
        <v>766</v>
      </c>
      <c r="B769" s="117" t="s">
        <v>176</v>
      </c>
      <c r="C769" s="118" t="s">
        <v>177</v>
      </c>
      <c r="D769" s="118" t="s">
        <v>453</v>
      </c>
      <c r="E769" s="118" t="s">
        <v>111</v>
      </c>
      <c r="F769" s="119">
        <v>98.953500000000005</v>
      </c>
      <c r="G769" s="119">
        <v>104.02460000000001</v>
      </c>
      <c r="H769" s="119">
        <v>17.25</v>
      </c>
      <c r="I769" s="116">
        <v>34</v>
      </c>
      <c r="J769" s="118" t="s">
        <v>269</v>
      </c>
    </row>
    <row r="770" spans="1:10" x14ac:dyDescent="0.25">
      <c r="A770" s="116">
        <v>767</v>
      </c>
      <c r="B770" s="117" t="s">
        <v>178</v>
      </c>
      <c r="C770" s="118" t="s">
        <v>179</v>
      </c>
      <c r="D770" s="118" t="s">
        <v>453</v>
      </c>
      <c r="E770" s="118" t="s">
        <v>111</v>
      </c>
      <c r="F770" s="119">
        <v>91.822500000000005</v>
      </c>
      <c r="G770" s="119">
        <v>92.7697</v>
      </c>
      <c r="H770" s="119">
        <v>16.809999999999999</v>
      </c>
      <c r="I770" s="116">
        <v>298</v>
      </c>
      <c r="J770" s="118" t="s">
        <v>269</v>
      </c>
    </row>
    <row r="771" spans="1:10" x14ac:dyDescent="0.25">
      <c r="A771" s="116">
        <v>768</v>
      </c>
      <c r="B771" s="117" t="s">
        <v>180</v>
      </c>
      <c r="C771" s="118" t="s">
        <v>181</v>
      </c>
      <c r="D771" s="118" t="s">
        <v>453</v>
      </c>
      <c r="E771" s="118" t="s">
        <v>111</v>
      </c>
      <c r="F771" s="119">
        <v>88.993600000000001</v>
      </c>
      <c r="G771" s="119">
        <v>93.535300000000007</v>
      </c>
      <c r="H771" s="119">
        <v>16.82</v>
      </c>
      <c r="I771" s="116">
        <v>393</v>
      </c>
      <c r="J771" s="118" t="s">
        <v>269</v>
      </c>
    </row>
    <row r="772" spans="1:10" x14ac:dyDescent="0.25">
      <c r="A772" s="116">
        <v>769</v>
      </c>
      <c r="B772" s="117" t="s">
        <v>182</v>
      </c>
      <c r="C772" s="118" t="s">
        <v>5</v>
      </c>
      <c r="D772" s="118" t="s">
        <v>453</v>
      </c>
      <c r="E772" s="118" t="s">
        <v>111</v>
      </c>
      <c r="F772" s="119">
        <v>86.486599999999996</v>
      </c>
      <c r="G772" s="119">
        <v>89.582400000000007</v>
      </c>
      <c r="H772" s="119">
        <v>16.75</v>
      </c>
      <c r="I772" s="116">
        <v>517</v>
      </c>
      <c r="J772" s="118" t="s">
        <v>269</v>
      </c>
    </row>
    <row r="773" spans="1:10" x14ac:dyDescent="0.25">
      <c r="A773" s="116">
        <v>770</v>
      </c>
      <c r="B773" s="117" t="s">
        <v>183</v>
      </c>
      <c r="C773" s="118" t="s">
        <v>184</v>
      </c>
      <c r="D773" s="118" t="s">
        <v>453</v>
      </c>
      <c r="E773" s="118" t="s">
        <v>111</v>
      </c>
      <c r="F773" s="119">
        <v>82.650599999999997</v>
      </c>
      <c r="G773" s="119">
        <v>83.138599999999997</v>
      </c>
      <c r="H773" s="119">
        <v>16.82</v>
      </c>
      <c r="I773" s="116">
        <v>688</v>
      </c>
      <c r="J773" s="118" t="s">
        <v>269</v>
      </c>
    </row>
    <row r="774" spans="1:10" x14ac:dyDescent="0.25">
      <c r="A774" s="116">
        <v>771</v>
      </c>
      <c r="B774" s="117" t="s">
        <v>185</v>
      </c>
      <c r="C774" s="118" t="s">
        <v>186</v>
      </c>
      <c r="D774" s="118" t="s">
        <v>453</v>
      </c>
      <c r="E774" s="118" t="s">
        <v>111</v>
      </c>
      <c r="F774" s="119">
        <v>83.531400000000005</v>
      </c>
      <c r="G774" s="119">
        <v>89.959199999999996</v>
      </c>
      <c r="H774" s="119">
        <v>16.809999999999999</v>
      </c>
      <c r="I774" s="116">
        <v>724</v>
      </c>
      <c r="J774" s="118" t="s">
        <v>269</v>
      </c>
    </row>
    <row r="775" spans="1:10" x14ac:dyDescent="0.25">
      <c r="A775" s="116">
        <v>772</v>
      </c>
      <c r="B775" s="117" t="s">
        <v>187</v>
      </c>
      <c r="C775" s="118" t="s">
        <v>188</v>
      </c>
      <c r="D775" s="118" t="s">
        <v>453</v>
      </c>
      <c r="E775" s="118" t="s">
        <v>111</v>
      </c>
      <c r="F775" s="119">
        <v>77.740799999999993</v>
      </c>
      <c r="G775" s="119">
        <v>83.957999999999998</v>
      </c>
      <c r="H775" s="119">
        <v>16.899999999999999</v>
      </c>
      <c r="I775" s="116">
        <v>1130</v>
      </c>
      <c r="J775" s="118" t="s">
        <v>269</v>
      </c>
    </row>
    <row r="776" spans="1:10" x14ac:dyDescent="0.25">
      <c r="A776" s="116">
        <v>773</v>
      </c>
      <c r="B776" s="117" t="s">
        <v>189</v>
      </c>
      <c r="C776" s="118" t="s">
        <v>190</v>
      </c>
      <c r="D776" s="118" t="s">
        <v>453</v>
      </c>
      <c r="E776" s="118" t="s">
        <v>111</v>
      </c>
      <c r="F776" s="119">
        <v>75.371099999999998</v>
      </c>
      <c r="G776" s="119">
        <v>76.800399999999996</v>
      </c>
      <c r="H776" s="119">
        <v>16.93</v>
      </c>
      <c r="I776" s="116">
        <v>1373</v>
      </c>
      <c r="J776" s="118" t="s">
        <v>269</v>
      </c>
    </row>
    <row r="777" spans="1:10" x14ac:dyDescent="0.25">
      <c r="A777" s="116">
        <v>774</v>
      </c>
      <c r="B777" s="117" t="s">
        <v>191</v>
      </c>
      <c r="C777" s="118" t="s">
        <v>192</v>
      </c>
      <c r="D777" s="118" t="s">
        <v>453</v>
      </c>
      <c r="E777" s="118" t="s">
        <v>111</v>
      </c>
      <c r="F777" s="119">
        <v>73.075299999999999</v>
      </c>
      <c r="G777" s="119">
        <v>78.536600000000007</v>
      </c>
      <c r="H777" s="119">
        <v>16.97</v>
      </c>
      <c r="I777" s="116">
        <v>1544</v>
      </c>
      <c r="J777" s="118" t="s">
        <v>269</v>
      </c>
    </row>
    <row r="778" spans="1:10" x14ac:dyDescent="0.25">
      <c r="A778" s="116">
        <v>775</v>
      </c>
      <c r="B778" s="117" t="s">
        <v>193</v>
      </c>
      <c r="C778" s="118" t="s">
        <v>194</v>
      </c>
      <c r="D778" s="118" t="s">
        <v>453</v>
      </c>
      <c r="E778" s="118" t="s">
        <v>111</v>
      </c>
      <c r="F778" s="119">
        <v>65.866100000000003</v>
      </c>
      <c r="G778" s="119">
        <v>70.581000000000003</v>
      </c>
      <c r="H778" s="119">
        <v>17.04</v>
      </c>
      <c r="I778" s="116">
        <v>2684</v>
      </c>
      <c r="J778" s="118" t="s">
        <v>269</v>
      </c>
    </row>
    <row r="779" spans="1:10" x14ac:dyDescent="0.25">
      <c r="A779" s="116">
        <v>776</v>
      </c>
      <c r="B779" s="117" t="s">
        <v>195</v>
      </c>
      <c r="C779" s="118" t="s">
        <v>196</v>
      </c>
      <c r="D779" s="118" t="s">
        <v>453</v>
      </c>
      <c r="E779" s="118" t="s">
        <v>111</v>
      </c>
      <c r="F779" s="119">
        <v>64.933599999999998</v>
      </c>
      <c r="G779" s="119">
        <v>69.093100000000007</v>
      </c>
      <c r="H779" s="119">
        <v>17.04</v>
      </c>
      <c r="I779" s="116">
        <v>2703</v>
      </c>
      <c r="J779" s="118" t="s">
        <v>269</v>
      </c>
    </row>
    <row r="780" spans="1:10" x14ac:dyDescent="0.25">
      <c r="A780" s="116">
        <v>777</v>
      </c>
      <c r="B780" s="117" t="s">
        <v>197</v>
      </c>
      <c r="C780" s="118" t="s">
        <v>198</v>
      </c>
      <c r="D780" s="118" t="s">
        <v>453</v>
      </c>
      <c r="E780" s="118" t="s">
        <v>111</v>
      </c>
      <c r="F780" s="119">
        <v>69.702799999999996</v>
      </c>
      <c r="G780" s="119">
        <v>71.349699999999999</v>
      </c>
      <c r="H780" s="119">
        <v>17.07</v>
      </c>
      <c r="I780" s="116">
        <v>3905</v>
      </c>
      <c r="J780" s="118" t="s">
        <v>269</v>
      </c>
    </row>
    <row r="781" spans="1:10" x14ac:dyDescent="0.25">
      <c r="A781" s="116">
        <v>778</v>
      </c>
      <c r="B781" s="117" t="s">
        <v>199</v>
      </c>
      <c r="C781" s="118" t="s">
        <v>200</v>
      </c>
      <c r="D781" s="118" t="s">
        <v>453</v>
      </c>
      <c r="E781" s="118" t="s">
        <v>111</v>
      </c>
      <c r="F781" s="119">
        <v>70.484300000000005</v>
      </c>
      <c r="G781" s="119">
        <v>78.526200000000003</v>
      </c>
      <c r="H781" s="119">
        <v>17.079999999999998</v>
      </c>
      <c r="I781" s="116">
        <v>4058</v>
      </c>
      <c r="J781" s="118" t="s">
        <v>269</v>
      </c>
    </row>
    <row r="782" spans="1:10" x14ac:dyDescent="0.25">
      <c r="A782" s="116">
        <v>779</v>
      </c>
      <c r="B782" s="117" t="s">
        <v>201</v>
      </c>
      <c r="C782" s="118" t="s">
        <v>202</v>
      </c>
      <c r="D782" s="118" t="s">
        <v>453</v>
      </c>
      <c r="E782" s="118" t="s">
        <v>111</v>
      </c>
      <c r="F782" s="119">
        <v>81.726799999999997</v>
      </c>
      <c r="G782" s="119">
        <v>81.741500000000002</v>
      </c>
      <c r="H782" s="119">
        <v>16.809999999999999</v>
      </c>
      <c r="I782" s="116">
        <v>719</v>
      </c>
      <c r="J782" s="118" t="s">
        <v>269</v>
      </c>
    </row>
    <row r="783" spans="1:10" x14ac:dyDescent="0.25">
      <c r="A783" s="116">
        <v>780</v>
      </c>
      <c r="B783" s="117" t="s">
        <v>203</v>
      </c>
      <c r="C783" s="118" t="s">
        <v>204</v>
      </c>
      <c r="D783" s="118" t="s">
        <v>453</v>
      </c>
      <c r="E783" s="118" t="s">
        <v>111</v>
      </c>
      <c r="F783" s="119">
        <v>77.265900000000002</v>
      </c>
      <c r="G783" s="119">
        <v>79.793700000000001</v>
      </c>
      <c r="H783" s="119">
        <v>16.850000000000001</v>
      </c>
      <c r="I783" s="116">
        <v>898</v>
      </c>
      <c r="J783" s="118" t="s">
        <v>269</v>
      </c>
    </row>
    <row r="784" spans="1:10" x14ac:dyDescent="0.25">
      <c r="A784" s="116">
        <v>781</v>
      </c>
      <c r="B784" s="117" t="s">
        <v>205</v>
      </c>
      <c r="C784" s="118" t="s">
        <v>206</v>
      </c>
      <c r="D784" s="118" t="s">
        <v>453</v>
      </c>
      <c r="E784" s="118" t="s">
        <v>111</v>
      </c>
      <c r="F784" s="119">
        <v>75.308999999999997</v>
      </c>
      <c r="G784" s="119">
        <v>75.767300000000006</v>
      </c>
      <c r="H784" s="119">
        <v>16.89</v>
      </c>
      <c r="I784" s="116">
        <v>1050</v>
      </c>
      <c r="J784" s="118" t="s">
        <v>269</v>
      </c>
    </row>
    <row r="785" spans="1:10" x14ac:dyDescent="0.25">
      <c r="A785" s="116">
        <v>782</v>
      </c>
      <c r="B785" s="117" t="s">
        <v>207</v>
      </c>
      <c r="C785" s="118" t="s">
        <v>208</v>
      </c>
      <c r="D785" s="118" t="s">
        <v>453</v>
      </c>
      <c r="E785" s="118" t="s">
        <v>111</v>
      </c>
      <c r="F785" s="119">
        <v>58.757399999999997</v>
      </c>
      <c r="G785" s="119">
        <v>60.641800000000003</v>
      </c>
      <c r="H785" s="119">
        <v>17.07</v>
      </c>
      <c r="I785" s="116">
        <v>3880</v>
      </c>
      <c r="J785" s="118" t="s">
        <v>269</v>
      </c>
    </row>
    <row r="786" spans="1:10" x14ac:dyDescent="0.25">
      <c r="A786" s="116">
        <v>783</v>
      </c>
      <c r="B786" s="117" t="s">
        <v>209</v>
      </c>
      <c r="C786" s="118" t="s">
        <v>210</v>
      </c>
      <c r="D786" s="118" t="s">
        <v>453</v>
      </c>
      <c r="E786" s="118" t="s">
        <v>111</v>
      </c>
      <c r="F786" s="119">
        <v>58.986499999999999</v>
      </c>
      <c r="G786" s="119">
        <v>65.004000000000005</v>
      </c>
      <c r="H786" s="119">
        <v>17.100000000000001</v>
      </c>
      <c r="I786" s="116">
        <v>4071</v>
      </c>
      <c r="J786" s="118" t="s">
        <v>269</v>
      </c>
    </row>
    <row r="787" spans="1:10" x14ac:dyDescent="0.25">
      <c r="A787" s="116">
        <v>784</v>
      </c>
      <c r="B787" s="117" t="s">
        <v>211</v>
      </c>
      <c r="C787" s="118" t="s">
        <v>212</v>
      </c>
      <c r="D787" s="118" t="s">
        <v>453</v>
      </c>
      <c r="E787" s="118" t="s">
        <v>111</v>
      </c>
      <c r="F787" s="119">
        <v>56.507199999999997</v>
      </c>
      <c r="G787" s="119">
        <v>59.196100000000001</v>
      </c>
      <c r="H787" s="119">
        <v>17.03</v>
      </c>
      <c r="I787" s="116">
        <v>2344</v>
      </c>
      <c r="J787" s="118" t="s">
        <v>269</v>
      </c>
    </row>
    <row r="788" spans="1:10" x14ac:dyDescent="0.25">
      <c r="A788" s="116">
        <v>785</v>
      </c>
      <c r="B788" s="117" t="s">
        <v>213</v>
      </c>
      <c r="C788" s="118" t="s">
        <v>12</v>
      </c>
      <c r="D788" s="118" t="s">
        <v>453</v>
      </c>
      <c r="E788" s="118" t="s">
        <v>111</v>
      </c>
      <c r="F788" s="119">
        <v>60.849699999999999</v>
      </c>
      <c r="G788" s="119">
        <v>64.391499999999994</v>
      </c>
      <c r="H788" s="119">
        <v>17.05</v>
      </c>
      <c r="I788" s="116">
        <v>3082</v>
      </c>
      <c r="J788" s="118" t="s">
        <v>269</v>
      </c>
    </row>
    <row r="789" spans="1:10" x14ac:dyDescent="0.25">
      <c r="A789" s="116">
        <v>786</v>
      </c>
      <c r="B789" s="117" t="s">
        <v>214</v>
      </c>
      <c r="C789" s="118" t="s">
        <v>13</v>
      </c>
      <c r="D789" s="118" t="s">
        <v>453</v>
      </c>
      <c r="E789" s="118" t="s">
        <v>111</v>
      </c>
      <c r="F789" s="119">
        <v>59.360199999999999</v>
      </c>
      <c r="G789" s="119">
        <v>65.210999999999999</v>
      </c>
      <c r="H789" s="119">
        <v>17.07</v>
      </c>
      <c r="I789" s="116">
        <v>3339</v>
      </c>
      <c r="J789" s="118" t="s">
        <v>269</v>
      </c>
    </row>
    <row r="790" spans="1:10" x14ac:dyDescent="0.25">
      <c r="A790" s="116">
        <v>787</v>
      </c>
      <c r="B790" s="117" t="s">
        <v>215</v>
      </c>
      <c r="C790" s="118" t="s">
        <v>216</v>
      </c>
      <c r="D790" s="118" t="s">
        <v>453</v>
      </c>
      <c r="E790" s="118" t="s">
        <v>111</v>
      </c>
      <c r="F790" s="119">
        <v>52.858400000000003</v>
      </c>
      <c r="G790" s="119">
        <v>59.441699999999997</v>
      </c>
      <c r="H790" s="119">
        <v>17.09</v>
      </c>
      <c r="I790" s="116">
        <v>4740</v>
      </c>
      <c r="J790" s="118" t="s">
        <v>269</v>
      </c>
    </row>
    <row r="791" spans="1:10" x14ac:dyDescent="0.25">
      <c r="A791" s="116">
        <v>788</v>
      </c>
      <c r="B791" s="117" t="s">
        <v>217</v>
      </c>
      <c r="C791" s="118" t="s">
        <v>218</v>
      </c>
      <c r="D791" s="118" t="s">
        <v>453</v>
      </c>
      <c r="E791" s="118" t="s">
        <v>111</v>
      </c>
      <c r="F791" s="119">
        <v>54.579599999999999</v>
      </c>
      <c r="G791" s="119">
        <v>56.551099999999998</v>
      </c>
      <c r="H791" s="119">
        <v>17.09</v>
      </c>
      <c r="I791" s="116">
        <v>4955</v>
      </c>
      <c r="J791" s="118" t="s">
        <v>269</v>
      </c>
    </row>
    <row r="792" spans="1:10" x14ac:dyDescent="0.25">
      <c r="A792" s="116">
        <v>789</v>
      </c>
      <c r="B792" s="117" t="s">
        <v>219</v>
      </c>
      <c r="C792" s="118" t="s">
        <v>220</v>
      </c>
      <c r="D792" s="118" t="s">
        <v>453</v>
      </c>
      <c r="E792" s="118" t="s">
        <v>111</v>
      </c>
      <c r="F792" s="119">
        <v>54.0809</v>
      </c>
      <c r="G792" s="119">
        <v>59.5214</v>
      </c>
      <c r="H792" s="119">
        <v>17.100000000000001</v>
      </c>
      <c r="I792" s="116">
        <v>5166</v>
      </c>
      <c r="J792" s="118" t="s">
        <v>269</v>
      </c>
    </row>
    <row r="793" spans="1:10" x14ac:dyDescent="0.25">
      <c r="A793" s="116">
        <v>790</v>
      </c>
      <c r="B793" s="117" t="s">
        <v>221</v>
      </c>
      <c r="C793" s="118" t="s">
        <v>222</v>
      </c>
      <c r="D793" s="118" t="s">
        <v>453</v>
      </c>
      <c r="E793" s="118" t="s">
        <v>111</v>
      </c>
      <c r="F793" s="119">
        <v>53.0199</v>
      </c>
      <c r="G793" s="119">
        <v>53.596600000000002</v>
      </c>
      <c r="H793" s="119">
        <v>17.100000000000001</v>
      </c>
      <c r="I793" s="116">
        <v>6816</v>
      </c>
      <c r="J793" s="118" t="s">
        <v>269</v>
      </c>
    </row>
    <row r="794" spans="1:10" x14ac:dyDescent="0.25">
      <c r="A794" s="116">
        <v>791</v>
      </c>
      <c r="B794" s="117" t="s">
        <v>2048</v>
      </c>
      <c r="C794" s="118" t="s">
        <v>2049</v>
      </c>
      <c r="D794" s="118" t="s">
        <v>453</v>
      </c>
      <c r="E794" s="118" t="s">
        <v>111</v>
      </c>
      <c r="F794" s="119">
        <v>99.723100000000002</v>
      </c>
      <c r="G794" s="119">
        <v>99.723100000000002</v>
      </c>
      <c r="H794" s="119">
        <v>15.515000000000001</v>
      </c>
      <c r="I794" s="116">
        <v>1960</v>
      </c>
      <c r="J794" s="118" t="s">
        <v>269</v>
      </c>
    </row>
    <row r="795" spans="1:10" x14ac:dyDescent="0.25">
      <c r="A795" s="116">
        <v>792</v>
      </c>
      <c r="B795" s="117" t="s">
        <v>1467</v>
      </c>
      <c r="C795" s="118" t="s">
        <v>1468</v>
      </c>
      <c r="D795" s="118" t="s">
        <v>443</v>
      </c>
      <c r="E795" s="118" t="s">
        <v>2550</v>
      </c>
      <c r="F795" s="119">
        <v>108001.02960000002</v>
      </c>
      <c r="G795" s="119">
        <v>108001.02960000002</v>
      </c>
      <c r="H795" s="119">
        <v>0</v>
      </c>
      <c r="I795" s="116">
        <v>0</v>
      </c>
      <c r="J795" s="118" t="s">
        <v>238</v>
      </c>
    </row>
    <row r="796" spans="1:10" x14ac:dyDescent="0.25">
      <c r="A796" s="116">
        <v>793</v>
      </c>
      <c r="B796" s="117" t="s">
        <v>1469</v>
      </c>
      <c r="C796" s="118" t="s">
        <v>1470</v>
      </c>
      <c r="D796" s="118" t="s">
        <v>443</v>
      </c>
      <c r="E796" s="118" t="s">
        <v>1471</v>
      </c>
      <c r="F796" s="119">
        <v>490.7490208000001</v>
      </c>
      <c r="G796" s="119">
        <v>490.7490208000001</v>
      </c>
      <c r="H796" s="119">
        <v>0</v>
      </c>
      <c r="I796" s="116">
        <v>1988</v>
      </c>
      <c r="J796" s="118" t="s">
        <v>238</v>
      </c>
    </row>
    <row r="797" spans="1:10" x14ac:dyDescent="0.25">
      <c r="A797" s="116">
        <v>794</v>
      </c>
      <c r="B797" s="117" t="s">
        <v>1315</v>
      </c>
      <c r="C797" s="118" t="s">
        <v>1316</v>
      </c>
      <c r="D797" s="118" t="s">
        <v>443</v>
      </c>
      <c r="E797" s="118" t="s">
        <v>1317</v>
      </c>
      <c r="F797" s="119">
        <v>9585.5720000000019</v>
      </c>
      <c r="G797" s="119">
        <v>9585.5720000000019</v>
      </c>
      <c r="H797" s="119">
        <v>0</v>
      </c>
      <c r="I797" s="116">
        <v>0</v>
      </c>
      <c r="J797" s="118" t="s">
        <v>238</v>
      </c>
    </row>
    <row r="798" spans="1:10" x14ac:dyDescent="0.25">
      <c r="A798" s="116">
        <v>795</v>
      </c>
      <c r="B798" s="117" t="s">
        <v>223</v>
      </c>
      <c r="C798" s="118" t="s">
        <v>224</v>
      </c>
      <c r="D798" s="118" t="s">
        <v>453</v>
      </c>
      <c r="E798" s="118" t="s">
        <v>225</v>
      </c>
      <c r="F798" s="119">
        <v>81.051025157451775</v>
      </c>
      <c r="G798" s="119">
        <v>84.784325157451775</v>
      </c>
      <c r="H798" s="119">
        <v>19.399999999999999</v>
      </c>
      <c r="I798" s="116">
        <v>1328</v>
      </c>
      <c r="J798" s="118" t="s">
        <v>269</v>
      </c>
    </row>
    <row r="799" spans="1:10" x14ac:dyDescent="0.25">
      <c r="A799" s="116">
        <v>796</v>
      </c>
      <c r="B799" s="117" t="s">
        <v>226</v>
      </c>
      <c r="C799" s="118" t="s">
        <v>227</v>
      </c>
      <c r="D799" s="118" t="s">
        <v>453</v>
      </c>
      <c r="E799" s="118" t="s">
        <v>225</v>
      </c>
      <c r="F799" s="119">
        <v>99.765600000000006</v>
      </c>
      <c r="G799" s="119">
        <v>100.2281</v>
      </c>
      <c r="H799" s="119">
        <v>18.989999999999998</v>
      </c>
      <c r="I799" s="116">
        <v>171</v>
      </c>
      <c r="J799" s="118" t="s">
        <v>269</v>
      </c>
    </row>
    <row r="800" spans="1:10" x14ac:dyDescent="0.25">
      <c r="A800" s="116">
        <v>797</v>
      </c>
      <c r="B800" s="117" t="s">
        <v>1975</v>
      </c>
      <c r="C800" s="118" t="s">
        <v>1976</v>
      </c>
      <c r="D800" s="118" t="s">
        <v>453</v>
      </c>
      <c r="E800" s="118" t="s">
        <v>225</v>
      </c>
      <c r="F800" s="119">
        <v>99.79125855692881</v>
      </c>
      <c r="G800" s="119">
        <v>102.14405855692881</v>
      </c>
      <c r="H800" s="119">
        <v>11.62</v>
      </c>
      <c r="I800" s="116">
        <v>103</v>
      </c>
      <c r="J800" s="118" t="s">
        <v>269</v>
      </c>
    </row>
    <row r="801" spans="1:10" x14ac:dyDescent="0.25">
      <c r="A801" s="116">
        <v>798</v>
      </c>
      <c r="B801" s="117" t="s">
        <v>2090</v>
      </c>
      <c r="C801" s="118" t="s">
        <v>2091</v>
      </c>
      <c r="D801" s="118" t="s">
        <v>453</v>
      </c>
      <c r="E801" s="118" t="s">
        <v>225</v>
      </c>
      <c r="F801" s="119">
        <v>99.837857180674362</v>
      </c>
      <c r="G801" s="119">
        <v>104.39065718067437</v>
      </c>
      <c r="H801" s="119">
        <v>11.25</v>
      </c>
      <c r="I801" s="116">
        <v>211</v>
      </c>
      <c r="J801" s="118" t="s">
        <v>269</v>
      </c>
    </row>
    <row r="802" spans="1:10" x14ac:dyDescent="0.25">
      <c r="A802" s="116">
        <v>799</v>
      </c>
      <c r="B802" s="117" t="s">
        <v>2422</v>
      </c>
      <c r="C802" s="118" t="s">
        <v>2423</v>
      </c>
      <c r="D802" s="118" t="s">
        <v>453</v>
      </c>
      <c r="E802" s="118" t="s">
        <v>225</v>
      </c>
      <c r="F802" s="119">
        <v>99.979100000000003</v>
      </c>
      <c r="G802" s="119">
        <v>101.018</v>
      </c>
      <c r="H802" s="119">
        <v>11</v>
      </c>
      <c r="I802" s="116">
        <v>326</v>
      </c>
      <c r="J802" s="118" t="s">
        <v>269</v>
      </c>
    </row>
    <row r="803" spans="1:10" x14ac:dyDescent="0.25">
      <c r="A803" s="116">
        <v>800</v>
      </c>
      <c r="B803" s="117" t="s">
        <v>1472</v>
      </c>
      <c r="C803" s="118" t="s">
        <v>1473</v>
      </c>
      <c r="D803" s="118" t="s">
        <v>453</v>
      </c>
      <c r="E803" s="118" t="s">
        <v>225</v>
      </c>
      <c r="F803" s="119">
        <v>99.819462582580542</v>
      </c>
      <c r="G803" s="119">
        <v>103.66946258258055</v>
      </c>
      <c r="H803" s="119">
        <v>11.68</v>
      </c>
      <c r="I803" s="116">
        <v>48</v>
      </c>
      <c r="J803" s="118" t="s">
        <v>269</v>
      </c>
    </row>
    <row r="804" spans="1:10" x14ac:dyDescent="0.25">
      <c r="A804" s="116">
        <v>801</v>
      </c>
      <c r="B804" s="117" t="s">
        <v>1474</v>
      </c>
      <c r="C804" s="118" t="s">
        <v>1475</v>
      </c>
      <c r="D804" s="118" t="s">
        <v>453</v>
      </c>
      <c r="E804" s="118" t="s">
        <v>225</v>
      </c>
      <c r="F804" s="119">
        <v>97.045123150282862</v>
      </c>
      <c r="G804" s="119">
        <v>100.43402315028287</v>
      </c>
      <c r="H804" s="119">
        <v>10.99</v>
      </c>
      <c r="I804" s="116">
        <v>1318</v>
      </c>
      <c r="J804" s="118" t="s">
        <v>269</v>
      </c>
    </row>
    <row r="805" spans="1:10" x14ac:dyDescent="0.25">
      <c r="A805" s="116">
        <v>802</v>
      </c>
      <c r="B805" s="117" t="s">
        <v>1476</v>
      </c>
      <c r="C805" s="118" t="s">
        <v>1477</v>
      </c>
      <c r="D805" s="118" t="s">
        <v>443</v>
      </c>
      <c r="E805" s="118" t="s">
        <v>1478</v>
      </c>
      <c r="F805" s="119">
        <v>49788.509600000012</v>
      </c>
      <c r="G805" s="119">
        <v>49788.509600000012</v>
      </c>
      <c r="H805" s="119">
        <v>0</v>
      </c>
      <c r="I805" s="116">
        <v>0</v>
      </c>
      <c r="J805" s="118" t="s">
        <v>238</v>
      </c>
    </row>
    <row r="806" spans="1:10" x14ac:dyDescent="0.25">
      <c r="A806" s="116">
        <v>803</v>
      </c>
      <c r="B806" s="117" t="s">
        <v>1479</v>
      </c>
      <c r="C806" s="118" t="s">
        <v>1480</v>
      </c>
      <c r="D806" s="118" t="s">
        <v>443</v>
      </c>
      <c r="E806" s="118" t="s">
        <v>2551</v>
      </c>
      <c r="F806" s="119">
        <v>642628.57760000008</v>
      </c>
      <c r="G806" s="119">
        <v>642628.57760000008</v>
      </c>
      <c r="H806" s="119">
        <v>0</v>
      </c>
      <c r="I806" s="116">
        <v>0</v>
      </c>
      <c r="J806" s="118" t="s">
        <v>238</v>
      </c>
    </row>
    <row r="807" spans="1:10" x14ac:dyDescent="0.25">
      <c r="A807" s="116">
        <v>804</v>
      </c>
      <c r="B807" s="117" t="s">
        <v>1960</v>
      </c>
      <c r="C807" s="118" t="s">
        <v>1961</v>
      </c>
      <c r="D807" s="118" t="s">
        <v>453</v>
      </c>
      <c r="E807" s="118" t="s">
        <v>1962</v>
      </c>
      <c r="F807" s="119">
        <v>92.487007504431617</v>
      </c>
      <c r="G807" s="119">
        <v>98.450907504431612</v>
      </c>
      <c r="H807" s="119">
        <v>23.51</v>
      </c>
      <c r="I807" s="116">
        <v>787</v>
      </c>
      <c r="J807" s="118" t="s">
        <v>269</v>
      </c>
    </row>
    <row r="808" spans="1:10" x14ac:dyDescent="0.25">
      <c r="A808" s="116">
        <v>805</v>
      </c>
      <c r="B808" s="117" t="s">
        <v>1481</v>
      </c>
      <c r="C808" s="118" t="s">
        <v>1482</v>
      </c>
      <c r="D808" s="118" t="s">
        <v>443</v>
      </c>
      <c r="E808" s="118" t="s">
        <v>2552</v>
      </c>
      <c r="F808" s="119">
        <v>36083.696000000004</v>
      </c>
      <c r="G808" s="119">
        <v>36083.696000000004</v>
      </c>
      <c r="H808" s="119">
        <v>0</v>
      </c>
      <c r="I808" s="116">
        <v>0</v>
      </c>
      <c r="J808" s="118" t="s">
        <v>238</v>
      </c>
    </row>
    <row r="809" spans="1:10" x14ac:dyDescent="0.25">
      <c r="A809" s="116">
        <v>806</v>
      </c>
      <c r="B809" s="117" t="s">
        <v>1483</v>
      </c>
      <c r="C809" s="118" t="s">
        <v>1484</v>
      </c>
      <c r="D809" s="118" t="s">
        <v>443</v>
      </c>
      <c r="E809" s="118" t="s">
        <v>1485</v>
      </c>
      <c r="F809" s="119">
        <v>6751.38</v>
      </c>
      <c r="G809" s="119">
        <v>6751.38</v>
      </c>
      <c r="H809" s="119">
        <v>0</v>
      </c>
      <c r="I809" s="116">
        <v>0</v>
      </c>
      <c r="J809" s="118" t="s">
        <v>238</v>
      </c>
    </row>
    <row r="810" spans="1:10" x14ac:dyDescent="0.25">
      <c r="A810" s="116">
        <v>807</v>
      </c>
      <c r="B810" s="117" t="s">
        <v>1486</v>
      </c>
      <c r="C810" s="118" t="s">
        <v>1487</v>
      </c>
      <c r="D810" s="118" t="s">
        <v>443</v>
      </c>
      <c r="E810" s="118" t="s">
        <v>1485</v>
      </c>
      <c r="F810" s="119">
        <v>88.363100000000003</v>
      </c>
      <c r="G810" s="119">
        <v>88.363100000000003</v>
      </c>
      <c r="H810" s="119">
        <v>0</v>
      </c>
      <c r="I810" s="116">
        <v>817</v>
      </c>
      <c r="J810" s="118" t="s">
        <v>238</v>
      </c>
    </row>
    <row r="811" spans="1:10" x14ac:dyDescent="0.25">
      <c r="A811" s="116">
        <v>808</v>
      </c>
      <c r="B811" s="117" t="s">
        <v>1488</v>
      </c>
      <c r="C811" s="118" t="s">
        <v>1489</v>
      </c>
      <c r="D811" s="118" t="s">
        <v>443</v>
      </c>
      <c r="E811" s="118" t="s">
        <v>1485</v>
      </c>
      <c r="F811" s="119">
        <v>0.01</v>
      </c>
      <c r="G811" s="119">
        <v>0.01</v>
      </c>
      <c r="H811" s="119">
        <v>0</v>
      </c>
      <c r="I811" s="116">
        <v>0</v>
      </c>
      <c r="J811" s="118" t="s">
        <v>238</v>
      </c>
    </row>
    <row r="812" spans="1:10" x14ac:dyDescent="0.25">
      <c r="A812" s="116">
        <v>809</v>
      </c>
      <c r="B812" s="117" t="s">
        <v>1490</v>
      </c>
      <c r="C812" s="118" t="s">
        <v>1491</v>
      </c>
      <c r="D812" s="118" t="s">
        <v>443</v>
      </c>
      <c r="E812" s="118" t="s">
        <v>1485</v>
      </c>
      <c r="F812" s="119">
        <v>0.01</v>
      </c>
      <c r="G812" s="119">
        <v>0.01</v>
      </c>
      <c r="H812" s="119">
        <v>0</v>
      </c>
      <c r="I812" s="116">
        <v>0</v>
      </c>
      <c r="J812" s="118" t="s">
        <v>238</v>
      </c>
    </row>
    <row r="813" spans="1:10" x14ac:dyDescent="0.25">
      <c r="A813" s="116">
        <v>810</v>
      </c>
      <c r="B813" s="117" t="s">
        <v>1492</v>
      </c>
      <c r="C813" s="118" t="s">
        <v>1493</v>
      </c>
      <c r="D813" s="118" t="s">
        <v>453</v>
      </c>
      <c r="E813" s="118" t="s">
        <v>1485</v>
      </c>
      <c r="F813" s="119">
        <v>97.442911369064745</v>
      </c>
      <c r="G813" s="119">
        <v>99.055011369064744</v>
      </c>
      <c r="H813" s="119">
        <v>18.62</v>
      </c>
      <c r="I813" s="116">
        <v>127</v>
      </c>
      <c r="J813" s="118" t="s">
        <v>269</v>
      </c>
    </row>
    <row r="814" spans="1:10" x14ac:dyDescent="0.25">
      <c r="A814" s="116">
        <v>811</v>
      </c>
      <c r="B814" s="117" t="s">
        <v>1494</v>
      </c>
      <c r="C814" s="118" t="s">
        <v>1495</v>
      </c>
      <c r="D814" s="118" t="s">
        <v>453</v>
      </c>
      <c r="E814" s="118" t="s">
        <v>1485</v>
      </c>
      <c r="F814" s="119">
        <v>35.372954815112834</v>
      </c>
      <c r="G814" s="119">
        <v>37.272954815112833</v>
      </c>
      <c r="H814" s="119">
        <v>19.309999999999999</v>
      </c>
      <c r="I814" s="116">
        <v>3429</v>
      </c>
      <c r="J814" s="118" t="s">
        <v>269</v>
      </c>
    </row>
    <row r="815" spans="1:10" x14ac:dyDescent="0.25">
      <c r="A815" s="116">
        <v>812</v>
      </c>
      <c r="B815" s="117" t="s">
        <v>1496</v>
      </c>
      <c r="C815" s="118" t="s">
        <v>1497</v>
      </c>
      <c r="D815" s="118" t="s">
        <v>443</v>
      </c>
      <c r="E815" s="118" t="s">
        <v>1485</v>
      </c>
      <c r="F815" s="119">
        <v>11898.67</v>
      </c>
      <c r="G815" s="119">
        <v>11898.67</v>
      </c>
      <c r="H815" s="119">
        <v>0</v>
      </c>
      <c r="I815" s="116">
        <v>0</v>
      </c>
      <c r="J815" s="118" t="s">
        <v>238</v>
      </c>
    </row>
    <row r="816" spans="1:10" x14ac:dyDescent="0.25">
      <c r="A816" s="116">
        <v>813</v>
      </c>
      <c r="B816" s="117" t="s">
        <v>1498</v>
      </c>
      <c r="C816" s="118" t="s">
        <v>1499</v>
      </c>
      <c r="D816" s="118" t="s">
        <v>453</v>
      </c>
      <c r="E816" s="118" t="s">
        <v>653</v>
      </c>
      <c r="F816" s="119">
        <v>100</v>
      </c>
      <c r="G816" s="119">
        <v>106.9619</v>
      </c>
      <c r="H816" s="119">
        <v>7.08</v>
      </c>
      <c r="I816" s="116">
        <v>2137</v>
      </c>
      <c r="J816" s="118" t="s">
        <v>269</v>
      </c>
    </row>
    <row r="817" spans="1:10" x14ac:dyDescent="0.25">
      <c r="A817" s="116">
        <v>814</v>
      </c>
      <c r="B817" s="117" t="s">
        <v>1500</v>
      </c>
      <c r="C817" s="118" t="s">
        <v>1501</v>
      </c>
      <c r="D817" s="118" t="s">
        <v>453</v>
      </c>
      <c r="E817" s="118" t="s">
        <v>653</v>
      </c>
      <c r="F817" s="119">
        <v>100</v>
      </c>
      <c r="G817" s="119">
        <v>101.1183</v>
      </c>
      <c r="H817" s="119">
        <v>6.08</v>
      </c>
      <c r="I817" s="116">
        <v>2064</v>
      </c>
      <c r="J817" s="118" t="s">
        <v>269</v>
      </c>
    </row>
    <row r="818" spans="1:10" x14ac:dyDescent="0.25">
      <c r="A818" s="116">
        <v>815</v>
      </c>
      <c r="B818" s="117" t="s">
        <v>1502</v>
      </c>
      <c r="C818" s="118" t="s">
        <v>1503</v>
      </c>
      <c r="D818" s="118" t="s">
        <v>453</v>
      </c>
      <c r="E818" s="118" t="s">
        <v>653</v>
      </c>
      <c r="F818" s="119">
        <v>100</v>
      </c>
      <c r="G818" s="119">
        <v>106.06610000000001</v>
      </c>
      <c r="H818" s="119">
        <v>6.09</v>
      </c>
      <c r="I818" s="116">
        <v>2492</v>
      </c>
      <c r="J818" s="118" t="s">
        <v>269</v>
      </c>
    </row>
    <row r="819" spans="1:10" x14ac:dyDescent="0.25">
      <c r="A819" s="116">
        <v>816</v>
      </c>
      <c r="B819" s="117" t="s">
        <v>1504</v>
      </c>
      <c r="C819" s="118" t="s">
        <v>1505</v>
      </c>
      <c r="D819" s="118" t="s">
        <v>453</v>
      </c>
      <c r="E819" s="118" t="s">
        <v>653</v>
      </c>
      <c r="F819" s="119">
        <v>100</v>
      </c>
      <c r="G819" s="119">
        <v>106.06610000000001</v>
      </c>
      <c r="H819" s="119">
        <v>6.09</v>
      </c>
      <c r="I819" s="116">
        <v>2492</v>
      </c>
      <c r="J819" s="118" t="s">
        <v>269</v>
      </c>
    </row>
    <row r="820" spans="1:10" x14ac:dyDescent="0.25">
      <c r="A820" s="116">
        <v>817</v>
      </c>
      <c r="B820" s="117" t="s">
        <v>1506</v>
      </c>
      <c r="C820" s="118" t="s">
        <v>1507</v>
      </c>
      <c r="D820" s="118" t="s">
        <v>453</v>
      </c>
      <c r="E820" s="118" t="s">
        <v>653</v>
      </c>
      <c r="F820" s="119">
        <v>100</v>
      </c>
      <c r="G820" s="119">
        <v>104.9308</v>
      </c>
      <c r="H820" s="119">
        <v>6.08</v>
      </c>
      <c r="I820" s="116">
        <v>2559</v>
      </c>
      <c r="J820" s="118" t="s">
        <v>269</v>
      </c>
    </row>
    <row r="821" spans="1:10" x14ac:dyDescent="0.25">
      <c r="A821" s="116">
        <v>818</v>
      </c>
      <c r="B821" s="117" t="s">
        <v>2553</v>
      </c>
      <c r="C821" s="118" t="s">
        <v>2541</v>
      </c>
      <c r="D821" s="118" t="s">
        <v>453</v>
      </c>
      <c r="E821" s="118" t="s">
        <v>228</v>
      </c>
      <c r="F821" s="119">
        <v>99.016400000000004</v>
      </c>
      <c r="G821" s="119">
        <v>99.016400000000004</v>
      </c>
      <c r="H821" s="119">
        <v>15.76</v>
      </c>
      <c r="I821" s="116">
        <v>23</v>
      </c>
      <c r="J821" s="118" t="s">
        <v>269</v>
      </c>
    </row>
    <row r="822" spans="1:10" x14ac:dyDescent="0.25">
      <c r="A822" s="116">
        <v>819</v>
      </c>
      <c r="B822" s="117" t="s">
        <v>1508</v>
      </c>
      <c r="C822" s="118" t="s">
        <v>1509</v>
      </c>
      <c r="D822" s="118" t="s">
        <v>443</v>
      </c>
      <c r="E822" s="118" t="s">
        <v>1510</v>
      </c>
      <c r="F822" s="119">
        <v>98574.096800000014</v>
      </c>
      <c r="G822" s="119">
        <v>98574.096800000014</v>
      </c>
      <c r="H822" s="119">
        <v>0</v>
      </c>
      <c r="I822" s="116">
        <v>0</v>
      </c>
      <c r="J822" s="118" t="s">
        <v>238</v>
      </c>
    </row>
    <row r="823" spans="1:10" x14ac:dyDescent="0.25">
      <c r="A823" s="116">
        <v>820</v>
      </c>
      <c r="B823" s="117" t="s">
        <v>1511</v>
      </c>
      <c r="C823" s="118" t="s">
        <v>1512</v>
      </c>
      <c r="D823" s="118" t="s">
        <v>453</v>
      </c>
      <c r="E823" s="118" t="s">
        <v>1513</v>
      </c>
      <c r="F823" s="119">
        <v>101.60250905035802</v>
      </c>
      <c r="G823" s="119">
        <v>105.81920905035803</v>
      </c>
      <c r="H823" s="119">
        <v>5.68</v>
      </c>
      <c r="I823" s="116">
        <v>2267</v>
      </c>
      <c r="J823" s="118" t="s">
        <v>269</v>
      </c>
    </row>
    <row r="824" spans="1:10" x14ac:dyDescent="0.25">
      <c r="A824" s="116">
        <v>821</v>
      </c>
      <c r="B824" s="117" t="s">
        <v>1514</v>
      </c>
      <c r="C824" s="118" t="s">
        <v>1515</v>
      </c>
      <c r="D824" s="118" t="s">
        <v>453</v>
      </c>
      <c r="E824" s="118" t="s">
        <v>1516</v>
      </c>
      <c r="F824" s="119">
        <v>105.459</v>
      </c>
      <c r="G824" s="119">
        <v>106.7757</v>
      </c>
      <c r="H824" s="119">
        <v>4.41</v>
      </c>
      <c r="I824" s="116">
        <v>1361</v>
      </c>
      <c r="J824" s="118" t="s">
        <v>269</v>
      </c>
    </row>
    <row r="825" spans="1:10" x14ac:dyDescent="0.25">
      <c r="A825" s="116">
        <v>822</v>
      </c>
      <c r="B825" s="117" t="s">
        <v>1942</v>
      </c>
      <c r="C825" s="118" t="s">
        <v>1943</v>
      </c>
      <c r="D825" s="118" t="s">
        <v>453</v>
      </c>
      <c r="E825" s="118" t="s">
        <v>435</v>
      </c>
      <c r="F825" s="119">
        <v>100.04817586470641</v>
      </c>
      <c r="G825" s="119">
        <v>100.48147586470641</v>
      </c>
      <c r="H825" s="119">
        <v>19.14</v>
      </c>
      <c r="I825" s="116">
        <v>52</v>
      </c>
      <c r="J825" s="118" t="s">
        <v>269</v>
      </c>
    </row>
    <row r="826" spans="1:10" x14ac:dyDescent="0.25">
      <c r="A826" s="116">
        <v>823</v>
      </c>
      <c r="B826" s="117" t="s">
        <v>2023</v>
      </c>
      <c r="C826" s="118" t="s">
        <v>2024</v>
      </c>
      <c r="D826" s="118" t="s">
        <v>453</v>
      </c>
      <c r="E826" s="118" t="s">
        <v>435</v>
      </c>
      <c r="F826" s="119">
        <v>100.39239914688316</v>
      </c>
      <c r="G826" s="119">
        <v>101.28129914688317</v>
      </c>
      <c r="H826" s="119">
        <v>18.89</v>
      </c>
      <c r="I826" s="116">
        <v>134</v>
      </c>
      <c r="J826" s="118" t="s">
        <v>269</v>
      </c>
    </row>
    <row r="827" spans="1:10" x14ac:dyDescent="0.25">
      <c r="A827" s="116">
        <v>824</v>
      </c>
      <c r="B827" s="117" t="s">
        <v>2086</v>
      </c>
      <c r="C827" s="118" t="s">
        <v>2087</v>
      </c>
      <c r="D827" s="118" t="s">
        <v>453</v>
      </c>
      <c r="E827" s="118" t="s">
        <v>435</v>
      </c>
      <c r="F827" s="119">
        <v>100.50808597618388</v>
      </c>
      <c r="G827" s="119">
        <v>102.06368597618389</v>
      </c>
      <c r="H827" s="119">
        <v>18.940000000000001</v>
      </c>
      <c r="I827" s="116">
        <v>182</v>
      </c>
      <c r="J827" s="118" t="s">
        <v>269</v>
      </c>
    </row>
    <row r="828" spans="1:10" x14ac:dyDescent="0.25">
      <c r="A828" s="116">
        <v>825</v>
      </c>
      <c r="B828" s="117" t="s">
        <v>1944</v>
      </c>
      <c r="C828" s="118" t="s">
        <v>1945</v>
      </c>
      <c r="D828" s="118" t="s">
        <v>443</v>
      </c>
      <c r="E828" s="118" t="s">
        <v>1946</v>
      </c>
      <c r="F828" s="119">
        <v>157383.53040000002</v>
      </c>
      <c r="G828" s="119">
        <v>157383.53040000002</v>
      </c>
      <c r="H828" s="119">
        <v>0</v>
      </c>
      <c r="I828" s="116">
        <v>0</v>
      </c>
      <c r="J828" s="118" t="s">
        <v>238</v>
      </c>
    </row>
    <row r="829" spans="1:10" x14ac:dyDescent="0.25">
      <c r="A829" s="116">
        <v>826</v>
      </c>
      <c r="B829" s="117" t="s">
        <v>1517</v>
      </c>
      <c r="C829" s="118" t="s">
        <v>1518</v>
      </c>
      <c r="D829" s="118" t="s">
        <v>453</v>
      </c>
      <c r="E829" s="118" t="s">
        <v>1519</v>
      </c>
      <c r="F829" s="119">
        <v>85.911616565125314</v>
      </c>
      <c r="G829" s="119">
        <v>96.774116565125325</v>
      </c>
      <c r="H829" s="119">
        <v>23.73</v>
      </c>
      <c r="I829" s="116">
        <v>3105</v>
      </c>
      <c r="J829" s="118" t="s">
        <v>269</v>
      </c>
    </row>
    <row r="830" spans="1:10" x14ac:dyDescent="0.25">
      <c r="A830" s="116">
        <v>827</v>
      </c>
      <c r="B830" s="117" t="s">
        <v>1520</v>
      </c>
      <c r="C830" s="118" t="s">
        <v>1521</v>
      </c>
      <c r="D830" s="118" t="s">
        <v>453</v>
      </c>
      <c r="E830" s="118" t="s">
        <v>1522</v>
      </c>
      <c r="F830" s="119">
        <v>95.766818117620389</v>
      </c>
      <c r="G830" s="119">
        <v>98.450118117620391</v>
      </c>
      <c r="H830" s="119">
        <v>16.7</v>
      </c>
      <c r="I830" s="116">
        <v>268</v>
      </c>
      <c r="J830" s="118" t="s">
        <v>269</v>
      </c>
    </row>
    <row r="831" spans="1:10" x14ac:dyDescent="0.25">
      <c r="A831" s="116">
        <v>828</v>
      </c>
      <c r="B831" s="117" t="s">
        <v>1523</v>
      </c>
      <c r="C831" s="118" t="s">
        <v>1524</v>
      </c>
      <c r="D831" s="118" t="s">
        <v>453</v>
      </c>
      <c r="E831" s="118" t="s">
        <v>1522</v>
      </c>
      <c r="F831" s="119">
        <v>89.730837511593734</v>
      </c>
      <c r="G831" s="119">
        <v>94.776637511593734</v>
      </c>
      <c r="H831" s="119">
        <v>16.690000000000001</v>
      </c>
      <c r="I831" s="116">
        <v>727</v>
      </c>
      <c r="J831" s="118" t="s">
        <v>269</v>
      </c>
    </row>
    <row r="832" spans="1:10" x14ac:dyDescent="0.25">
      <c r="A832" s="116">
        <v>829</v>
      </c>
      <c r="B832" s="117" t="s">
        <v>1525</v>
      </c>
      <c r="C832" s="118" t="s">
        <v>1526</v>
      </c>
      <c r="D832" s="118" t="s">
        <v>443</v>
      </c>
      <c r="E832" s="118" t="s">
        <v>1527</v>
      </c>
      <c r="F832" s="119">
        <v>21846.500000000004</v>
      </c>
      <c r="G832" s="119">
        <v>21846.500000000004</v>
      </c>
      <c r="H832" s="119">
        <v>0</v>
      </c>
      <c r="I832" s="116">
        <v>0</v>
      </c>
      <c r="J832" s="118" t="s">
        <v>238</v>
      </c>
    </row>
    <row r="833" spans="1:10" x14ac:dyDescent="0.25">
      <c r="A833" s="116">
        <v>830</v>
      </c>
      <c r="B833" s="117" t="s">
        <v>1528</v>
      </c>
      <c r="C833" s="118" t="s">
        <v>1529</v>
      </c>
      <c r="D833" s="118" t="s">
        <v>453</v>
      </c>
      <c r="E833" s="118" t="s">
        <v>1530</v>
      </c>
      <c r="F833" s="119">
        <v>100</v>
      </c>
      <c r="G833" s="119">
        <v>101.2222</v>
      </c>
      <c r="H833" s="119">
        <v>9.9700000000000006</v>
      </c>
      <c r="I833" s="116">
        <v>316</v>
      </c>
      <c r="J833" s="118" t="s">
        <v>269</v>
      </c>
    </row>
    <row r="834" spans="1:10" x14ac:dyDescent="0.25">
      <c r="A834" s="116">
        <v>831</v>
      </c>
      <c r="B834" s="117" t="s">
        <v>1531</v>
      </c>
      <c r="C834" s="118" t="s">
        <v>1532</v>
      </c>
      <c r="D834" s="118" t="s">
        <v>453</v>
      </c>
      <c r="E834" s="118" t="s">
        <v>1533</v>
      </c>
      <c r="F834" s="119">
        <v>100.53100000000001</v>
      </c>
      <c r="G834" s="119">
        <v>101.16119999999999</v>
      </c>
      <c r="H834" s="119">
        <v>3.82</v>
      </c>
      <c r="I834" s="116">
        <v>665</v>
      </c>
      <c r="J834" s="118" t="s">
        <v>269</v>
      </c>
    </row>
    <row r="835" spans="1:10" x14ac:dyDescent="0.25">
      <c r="A835" s="116">
        <v>832</v>
      </c>
      <c r="B835" s="117" t="s">
        <v>1534</v>
      </c>
      <c r="C835" s="118" t="s">
        <v>1535</v>
      </c>
      <c r="D835" s="118" t="s">
        <v>453</v>
      </c>
      <c r="E835" s="118" t="s">
        <v>1533</v>
      </c>
      <c r="F835" s="119">
        <v>99.434770391385683</v>
      </c>
      <c r="G835" s="119">
        <v>100.01287039138569</v>
      </c>
      <c r="H835" s="119">
        <v>4.5999999999999996</v>
      </c>
      <c r="I835" s="116">
        <v>93</v>
      </c>
      <c r="J835" s="118" t="s">
        <v>269</v>
      </c>
    </row>
    <row r="836" spans="1:10" x14ac:dyDescent="0.25">
      <c r="A836" s="116">
        <v>833</v>
      </c>
      <c r="B836" s="117" t="s">
        <v>1536</v>
      </c>
      <c r="C836" s="118" t="s">
        <v>1537</v>
      </c>
      <c r="D836" s="118" t="s">
        <v>443</v>
      </c>
      <c r="E836" s="118" t="s">
        <v>1538</v>
      </c>
      <c r="F836" s="119">
        <v>13046.057600000002</v>
      </c>
      <c r="G836" s="119">
        <v>13046.057600000002</v>
      </c>
      <c r="H836" s="119">
        <v>0</v>
      </c>
      <c r="I836" s="116">
        <v>0</v>
      </c>
      <c r="J836" s="118" t="s">
        <v>238</v>
      </c>
    </row>
    <row r="837" spans="1:10" x14ac:dyDescent="0.25">
      <c r="A837" s="116">
        <v>834</v>
      </c>
      <c r="B837" s="117" t="s">
        <v>2042</v>
      </c>
      <c r="C837" s="118" t="s">
        <v>1837</v>
      </c>
      <c r="D837" s="118" t="s">
        <v>753</v>
      </c>
      <c r="E837" s="118" t="s">
        <v>1593</v>
      </c>
      <c r="F837" s="119">
        <v>39200.015200000009</v>
      </c>
      <c r="G837" s="119">
        <v>39200.015200000009</v>
      </c>
      <c r="H837" s="119">
        <v>0</v>
      </c>
      <c r="I837" s="116">
        <v>0</v>
      </c>
      <c r="J837" s="118" t="s">
        <v>238</v>
      </c>
    </row>
    <row r="838" spans="1:10" x14ac:dyDescent="0.25">
      <c r="A838" s="116">
        <v>835</v>
      </c>
      <c r="B838" s="117" t="s">
        <v>1544</v>
      </c>
      <c r="C838" s="118" t="s">
        <v>1545</v>
      </c>
      <c r="D838" s="118" t="s">
        <v>443</v>
      </c>
      <c r="E838" s="118" t="s">
        <v>1546</v>
      </c>
      <c r="F838" s="119">
        <v>0.01</v>
      </c>
      <c r="G838" s="119">
        <v>0.01</v>
      </c>
      <c r="H838" s="119">
        <v>0</v>
      </c>
      <c r="I838" s="116">
        <v>0</v>
      </c>
      <c r="J838" s="118" t="s">
        <v>238</v>
      </c>
    </row>
    <row r="839" spans="1:10" x14ac:dyDescent="0.25">
      <c r="A839" s="116">
        <v>836</v>
      </c>
      <c r="B839" s="117" t="s">
        <v>1539</v>
      </c>
      <c r="C839" s="118" t="s">
        <v>1540</v>
      </c>
      <c r="D839" s="118" t="s">
        <v>453</v>
      </c>
      <c r="E839" s="118" t="s">
        <v>1541</v>
      </c>
      <c r="F839" s="119">
        <v>98.887</v>
      </c>
      <c r="G839" s="119">
        <v>99.887</v>
      </c>
      <c r="H839" s="119">
        <v>4.12</v>
      </c>
      <c r="I839" s="116">
        <v>1164</v>
      </c>
      <c r="J839" s="118" t="s">
        <v>269</v>
      </c>
    </row>
    <row r="840" spans="1:10" x14ac:dyDescent="0.25">
      <c r="A840" s="116">
        <v>837</v>
      </c>
      <c r="B840" s="117" t="s">
        <v>1542</v>
      </c>
      <c r="C840" s="118" t="s">
        <v>1543</v>
      </c>
      <c r="D840" s="118" t="s">
        <v>453</v>
      </c>
      <c r="E840" s="118" t="s">
        <v>1541</v>
      </c>
      <c r="F840" s="119">
        <v>97.683000000000007</v>
      </c>
      <c r="G840" s="119">
        <v>98.341300000000004</v>
      </c>
      <c r="H840" s="119">
        <v>4.07</v>
      </c>
      <c r="I840" s="116">
        <v>821</v>
      </c>
      <c r="J840" s="118" t="s">
        <v>269</v>
      </c>
    </row>
    <row r="841" spans="1:10" x14ac:dyDescent="0.25">
      <c r="A841" s="116">
        <v>838</v>
      </c>
      <c r="B841" s="117" t="s">
        <v>1547</v>
      </c>
      <c r="C841" s="118" t="s">
        <v>1548</v>
      </c>
      <c r="D841" s="118" t="s">
        <v>453</v>
      </c>
      <c r="E841" s="118" t="s">
        <v>1549</v>
      </c>
      <c r="F841" s="119">
        <v>100</v>
      </c>
      <c r="G841" s="119">
        <v>102.45</v>
      </c>
      <c r="H841" s="119">
        <v>14</v>
      </c>
      <c r="I841" s="116">
        <v>1827</v>
      </c>
      <c r="J841" s="118" t="s">
        <v>269</v>
      </c>
    </row>
    <row r="842" spans="1:10" x14ac:dyDescent="0.25">
      <c r="A842" s="116">
        <v>839</v>
      </c>
      <c r="B842" s="117" t="s">
        <v>2495</v>
      </c>
      <c r="C842" s="118" t="s">
        <v>2496</v>
      </c>
      <c r="D842" s="118" t="s">
        <v>453</v>
      </c>
      <c r="E842" s="118" t="s">
        <v>391</v>
      </c>
      <c r="F842" s="119">
        <v>100.47917757382997</v>
      </c>
      <c r="G842" s="119">
        <v>101.79857757382996</v>
      </c>
      <c r="H842" s="119">
        <v>18.399999999999999</v>
      </c>
      <c r="I842" s="116">
        <v>335</v>
      </c>
      <c r="J842" s="118" t="s">
        <v>269</v>
      </c>
    </row>
    <row r="843" spans="1:10" x14ac:dyDescent="0.25">
      <c r="A843" s="116">
        <v>840</v>
      </c>
      <c r="B843" s="117" t="s">
        <v>2017</v>
      </c>
      <c r="C843" s="118" t="s">
        <v>2018</v>
      </c>
      <c r="D843" s="118" t="s">
        <v>453</v>
      </c>
      <c r="E843" s="118" t="s">
        <v>391</v>
      </c>
      <c r="F843" s="119">
        <v>99.682492328708307</v>
      </c>
      <c r="G843" s="119">
        <v>103.3324923287083</v>
      </c>
      <c r="H843" s="119">
        <v>18.420000000000002</v>
      </c>
      <c r="I843" s="116">
        <v>287</v>
      </c>
      <c r="J843" s="118" t="s">
        <v>269</v>
      </c>
    </row>
    <row r="844" spans="1:10" x14ac:dyDescent="0.25">
      <c r="A844" s="116">
        <v>841</v>
      </c>
      <c r="B844" s="117" t="s">
        <v>2019</v>
      </c>
      <c r="C844" s="118" t="s">
        <v>2020</v>
      </c>
      <c r="D844" s="118" t="s">
        <v>453</v>
      </c>
      <c r="E844" s="118" t="s">
        <v>391</v>
      </c>
      <c r="F844" s="119">
        <v>99.682492328708307</v>
      </c>
      <c r="G844" s="119">
        <v>103.3324923287083</v>
      </c>
      <c r="H844" s="119">
        <v>18.420000000000002</v>
      </c>
      <c r="I844" s="116">
        <v>287</v>
      </c>
      <c r="J844" s="118" t="s">
        <v>269</v>
      </c>
    </row>
    <row r="845" spans="1:10" x14ac:dyDescent="0.25">
      <c r="A845" s="116">
        <v>842</v>
      </c>
      <c r="B845" s="117" t="s">
        <v>1550</v>
      </c>
      <c r="C845" s="118" t="s">
        <v>1551</v>
      </c>
      <c r="D845" s="118" t="s">
        <v>443</v>
      </c>
      <c r="E845" s="118" t="s">
        <v>391</v>
      </c>
      <c r="F845" s="119">
        <v>1689.67</v>
      </c>
      <c r="G845" s="119">
        <v>1689.67</v>
      </c>
      <c r="H845" s="119">
        <v>0</v>
      </c>
      <c r="I845" s="116">
        <v>157</v>
      </c>
      <c r="J845" s="118" t="s">
        <v>238</v>
      </c>
    </row>
    <row r="846" spans="1:10" x14ac:dyDescent="0.25">
      <c r="A846" s="116">
        <v>843</v>
      </c>
      <c r="B846" s="117" t="s">
        <v>1552</v>
      </c>
      <c r="C846" s="118" t="s">
        <v>1553</v>
      </c>
      <c r="D846" s="118" t="s">
        <v>453</v>
      </c>
      <c r="E846" s="118" t="s">
        <v>1554</v>
      </c>
      <c r="F846" s="119">
        <v>100</v>
      </c>
      <c r="G846" s="119">
        <v>100.6965</v>
      </c>
      <c r="H846" s="119">
        <v>4.24</v>
      </c>
      <c r="I846" s="116">
        <v>241</v>
      </c>
      <c r="J846" s="118" t="s">
        <v>269</v>
      </c>
    </row>
    <row r="847" spans="1:10" x14ac:dyDescent="0.25">
      <c r="A847" s="116">
        <v>844</v>
      </c>
      <c r="B847" s="117" t="s">
        <v>1555</v>
      </c>
      <c r="C847" s="118" t="s">
        <v>1556</v>
      </c>
      <c r="D847" s="118" t="s">
        <v>453</v>
      </c>
      <c r="E847" s="118" t="s">
        <v>1554</v>
      </c>
      <c r="F847" s="119">
        <v>100</v>
      </c>
      <c r="G847" s="119">
        <v>100.1371</v>
      </c>
      <c r="H847" s="119">
        <v>0.35</v>
      </c>
      <c r="I847" s="116">
        <v>39</v>
      </c>
      <c r="J847" s="118" t="s">
        <v>269</v>
      </c>
    </row>
    <row r="848" spans="1:10" x14ac:dyDescent="0.25">
      <c r="A848" s="116">
        <v>845</v>
      </c>
      <c r="B848" s="117" t="s">
        <v>1557</v>
      </c>
      <c r="C848" s="118" t="s">
        <v>1558</v>
      </c>
      <c r="D848" s="118" t="s">
        <v>453</v>
      </c>
      <c r="E848" s="118" t="s">
        <v>1554</v>
      </c>
      <c r="F848" s="119">
        <v>100</v>
      </c>
      <c r="G848" s="119">
        <v>100.1332</v>
      </c>
      <c r="H848" s="119">
        <v>0.35</v>
      </c>
      <c r="I848" s="116">
        <v>223</v>
      </c>
      <c r="J848" s="118" t="s">
        <v>269</v>
      </c>
    </row>
    <row r="849" spans="1:10" x14ac:dyDescent="0.25">
      <c r="A849" s="116">
        <v>846</v>
      </c>
      <c r="B849" s="117" t="s">
        <v>2153</v>
      </c>
      <c r="C849" s="118" t="s">
        <v>2154</v>
      </c>
      <c r="D849" s="118" t="s">
        <v>453</v>
      </c>
      <c r="E849" s="118" t="s">
        <v>1554</v>
      </c>
      <c r="F849" s="119">
        <v>100</v>
      </c>
      <c r="G849" s="119">
        <v>100.139</v>
      </c>
      <c r="H849" s="119">
        <v>0.35</v>
      </c>
      <c r="I849" s="116">
        <v>577</v>
      </c>
      <c r="J849" s="118" t="s">
        <v>269</v>
      </c>
    </row>
    <row r="850" spans="1:10" x14ac:dyDescent="0.25">
      <c r="A850" s="116">
        <v>847</v>
      </c>
      <c r="B850" s="117" t="s">
        <v>1559</v>
      </c>
      <c r="C850" s="118" t="s">
        <v>1560</v>
      </c>
      <c r="D850" s="118" t="s">
        <v>453</v>
      </c>
      <c r="E850" s="118" t="s">
        <v>1554</v>
      </c>
      <c r="F850" s="119">
        <v>100</v>
      </c>
      <c r="G850" s="119">
        <v>100.0042</v>
      </c>
      <c r="H850" s="119">
        <v>0.02</v>
      </c>
      <c r="I850" s="116">
        <v>3040</v>
      </c>
      <c r="J850" s="118" t="s">
        <v>269</v>
      </c>
    </row>
    <row r="851" spans="1:10" x14ac:dyDescent="0.25">
      <c r="A851" s="116">
        <v>848</v>
      </c>
      <c r="B851" s="117" t="s">
        <v>1561</v>
      </c>
      <c r="C851" s="118" t="s">
        <v>1562</v>
      </c>
      <c r="D851" s="118" t="s">
        <v>453</v>
      </c>
      <c r="E851" s="118" t="s">
        <v>1554</v>
      </c>
      <c r="F851" s="119">
        <v>100</v>
      </c>
      <c r="G851" s="119">
        <v>101.9486</v>
      </c>
      <c r="H851" s="119">
        <v>6.08</v>
      </c>
      <c r="I851" s="116">
        <v>1655</v>
      </c>
      <c r="J851" s="118" t="s">
        <v>269</v>
      </c>
    </row>
    <row r="852" spans="1:10" x14ac:dyDescent="0.25">
      <c r="A852" s="116">
        <v>849</v>
      </c>
      <c r="B852" s="117" t="s">
        <v>1563</v>
      </c>
      <c r="C852" s="118" t="s">
        <v>1564</v>
      </c>
      <c r="D852" s="118" t="s">
        <v>453</v>
      </c>
      <c r="E852" s="118" t="s">
        <v>1554</v>
      </c>
      <c r="F852" s="119">
        <v>100</v>
      </c>
      <c r="G852" s="119">
        <v>106.9619</v>
      </c>
      <c r="H852" s="119">
        <v>7.08</v>
      </c>
      <c r="I852" s="116">
        <v>2137</v>
      </c>
      <c r="J852" s="118" t="s">
        <v>269</v>
      </c>
    </row>
    <row r="853" spans="1:10" x14ac:dyDescent="0.25">
      <c r="A853" s="116">
        <v>850</v>
      </c>
      <c r="B853" s="117" t="s">
        <v>2252</v>
      </c>
      <c r="C853" s="118" t="s">
        <v>2253</v>
      </c>
      <c r="D853" s="118" t="s">
        <v>453</v>
      </c>
      <c r="E853" s="118" t="s">
        <v>1554</v>
      </c>
      <c r="F853" s="119">
        <v>90.103829909734245</v>
      </c>
      <c r="G853" s="119">
        <v>94.754929909734244</v>
      </c>
      <c r="H853" s="119">
        <v>20.55</v>
      </c>
      <c r="I853" s="116">
        <v>3508</v>
      </c>
      <c r="J853" s="118" t="s">
        <v>269</v>
      </c>
    </row>
    <row r="854" spans="1:10" x14ac:dyDescent="0.25">
      <c r="A854" s="116">
        <v>851</v>
      </c>
      <c r="B854" s="117" t="s">
        <v>2389</v>
      </c>
      <c r="C854" s="118" t="s">
        <v>2390</v>
      </c>
      <c r="D854" s="118" t="s">
        <v>453</v>
      </c>
      <c r="E854" s="118" t="s">
        <v>1554</v>
      </c>
      <c r="F854" s="119">
        <v>92.985701869636131</v>
      </c>
      <c r="G854" s="119">
        <v>95.505701869636127</v>
      </c>
      <c r="H854" s="119">
        <v>20.56</v>
      </c>
      <c r="I854" s="116">
        <v>3552</v>
      </c>
      <c r="J854" s="118" t="s">
        <v>269</v>
      </c>
    </row>
    <row r="855" spans="1:10" x14ac:dyDescent="0.25">
      <c r="A855" s="116">
        <v>852</v>
      </c>
      <c r="B855" s="117" t="s">
        <v>2459</v>
      </c>
      <c r="C855" s="118" t="s">
        <v>2460</v>
      </c>
      <c r="D855" s="118" t="s">
        <v>453</v>
      </c>
      <c r="E855" s="118" t="s">
        <v>1554</v>
      </c>
      <c r="F855" s="119">
        <v>93.07888885727705</v>
      </c>
      <c r="G855" s="119">
        <v>94.338888857277055</v>
      </c>
      <c r="H855" s="119">
        <v>20.56</v>
      </c>
      <c r="I855" s="116">
        <v>3576</v>
      </c>
      <c r="J855" s="118" t="s">
        <v>269</v>
      </c>
    </row>
    <row r="856" spans="1:10" x14ac:dyDescent="0.25">
      <c r="A856" s="116">
        <v>853</v>
      </c>
      <c r="B856" s="117" t="s">
        <v>1565</v>
      </c>
      <c r="C856" s="118" t="s">
        <v>1566</v>
      </c>
      <c r="D856" s="118" t="s">
        <v>453</v>
      </c>
      <c r="E856" s="118" t="s">
        <v>1554</v>
      </c>
      <c r="F856" s="119">
        <v>100</v>
      </c>
      <c r="G856" s="119">
        <v>101.1183</v>
      </c>
      <c r="H856" s="119">
        <v>6.08</v>
      </c>
      <c r="I856" s="116">
        <v>2064</v>
      </c>
      <c r="J856" s="118" t="s">
        <v>269</v>
      </c>
    </row>
    <row r="857" spans="1:10" x14ac:dyDescent="0.25">
      <c r="A857" s="116">
        <v>854</v>
      </c>
      <c r="B857" s="117" t="s">
        <v>1567</v>
      </c>
      <c r="C857" s="118" t="s">
        <v>1568</v>
      </c>
      <c r="D857" s="118" t="s">
        <v>453</v>
      </c>
      <c r="E857" s="118" t="s">
        <v>1554</v>
      </c>
      <c r="F857" s="119">
        <v>100</v>
      </c>
      <c r="G857" s="119">
        <v>106.06610000000001</v>
      </c>
      <c r="H857" s="119">
        <v>6.09</v>
      </c>
      <c r="I857" s="116">
        <v>2492</v>
      </c>
      <c r="J857" s="118" t="s">
        <v>269</v>
      </c>
    </row>
    <row r="858" spans="1:10" x14ac:dyDescent="0.25">
      <c r="A858" s="116">
        <v>855</v>
      </c>
      <c r="B858" s="117" t="s">
        <v>1569</v>
      </c>
      <c r="C858" s="118" t="s">
        <v>1570</v>
      </c>
      <c r="D858" s="118" t="s">
        <v>453</v>
      </c>
      <c r="E858" s="118" t="s">
        <v>1554</v>
      </c>
      <c r="F858" s="119">
        <v>100</v>
      </c>
      <c r="G858" s="119">
        <v>106.06610000000001</v>
      </c>
      <c r="H858" s="119">
        <v>6.09</v>
      </c>
      <c r="I858" s="116">
        <v>2492</v>
      </c>
      <c r="J858" s="118" t="s">
        <v>269</v>
      </c>
    </row>
    <row r="859" spans="1:10" x14ac:dyDescent="0.25">
      <c r="A859" s="116">
        <v>856</v>
      </c>
      <c r="B859" s="117" t="s">
        <v>1571</v>
      </c>
      <c r="C859" s="118" t="s">
        <v>1572</v>
      </c>
      <c r="D859" s="118" t="s">
        <v>453</v>
      </c>
      <c r="E859" s="118" t="s">
        <v>1554</v>
      </c>
      <c r="F859" s="119">
        <v>100</v>
      </c>
      <c r="G859" s="119">
        <v>104.9308</v>
      </c>
      <c r="H859" s="119">
        <v>6.08</v>
      </c>
      <c r="I859" s="116">
        <v>2559</v>
      </c>
      <c r="J859" s="118" t="s">
        <v>269</v>
      </c>
    </row>
    <row r="860" spans="1:10" x14ac:dyDescent="0.25">
      <c r="A860" s="116">
        <v>857</v>
      </c>
      <c r="B860" s="117" t="s">
        <v>1573</v>
      </c>
      <c r="C860" s="118" t="s">
        <v>1574</v>
      </c>
      <c r="D860" s="118" t="s">
        <v>443</v>
      </c>
      <c r="E860" s="118" t="s">
        <v>1575</v>
      </c>
      <c r="F860" s="119">
        <v>35752.973600000005</v>
      </c>
      <c r="G860" s="119">
        <v>35752.973600000005</v>
      </c>
      <c r="H860" s="119">
        <v>0</v>
      </c>
      <c r="I860" s="116">
        <v>0</v>
      </c>
      <c r="J860" s="118" t="s">
        <v>238</v>
      </c>
    </row>
    <row r="861" spans="1:10" x14ac:dyDescent="0.25">
      <c r="A861" s="116">
        <v>858</v>
      </c>
      <c r="B861" s="117" t="s">
        <v>1576</v>
      </c>
      <c r="C861" s="118" t="s">
        <v>1577</v>
      </c>
      <c r="D861" s="118" t="s">
        <v>443</v>
      </c>
      <c r="E861" s="118" t="s">
        <v>1578</v>
      </c>
      <c r="F861" s="119">
        <v>0.01</v>
      </c>
      <c r="G861" s="119">
        <v>0.01</v>
      </c>
      <c r="H861" s="119">
        <v>0</v>
      </c>
      <c r="I861" s="116">
        <v>0</v>
      </c>
      <c r="J861" s="118" t="s">
        <v>238</v>
      </c>
    </row>
    <row r="862" spans="1:10" x14ac:dyDescent="0.25">
      <c r="A862" s="116">
        <v>859</v>
      </c>
      <c r="B862" s="117" t="s">
        <v>1579</v>
      </c>
      <c r="C862" s="118" t="s">
        <v>1580</v>
      </c>
      <c r="D862" s="118" t="s">
        <v>453</v>
      </c>
      <c r="E862" s="118" t="s">
        <v>1581</v>
      </c>
      <c r="F862" s="119">
        <v>99.457999999999998</v>
      </c>
      <c r="G862" s="119">
        <v>100.7038</v>
      </c>
      <c r="H862" s="119">
        <v>4.1399999999999997</v>
      </c>
      <c r="I862" s="116">
        <v>222</v>
      </c>
      <c r="J862" s="118" t="s">
        <v>269</v>
      </c>
    </row>
    <row r="863" spans="1:10" x14ac:dyDescent="0.25">
      <c r="A863" s="116">
        <v>860</v>
      </c>
      <c r="B863" s="117" t="s">
        <v>1582</v>
      </c>
      <c r="C863" s="118" t="s">
        <v>1583</v>
      </c>
      <c r="D863" s="118" t="s">
        <v>453</v>
      </c>
      <c r="E863" s="118" t="s">
        <v>1581</v>
      </c>
      <c r="F863" s="119">
        <v>99.52</v>
      </c>
      <c r="G863" s="119">
        <v>99.561700000000002</v>
      </c>
      <c r="H863" s="119">
        <v>3.87</v>
      </c>
      <c r="I863" s="116">
        <v>1616</v>
      </c>
      <c r="J863" s="118" t="s">
        <v>269</v>
      </c>
    </row>
    <row r="864" spans="1:10" x14ac:dyDescent="0.25">
      <c r="A864" s="116">
        <v>861</v>
      </c>
      <c r="B864" s="117" t="s">
        <v>1584</v>
      </c>
      <c r="C864" s="118" t="s">
        <v>1585</v>
      </c>
      <c r="D864" s="118" t="s">
        <v>453</v>
      </c>
      <c r="E864" s="118" t="s">
        <v>1581</v>
      </c>
      <c r="F864" s="119">
        <v>100.617</v>
      </c>
      <c r="G864" s="119">
        <v>101.017</v>
      </c>
      <c r="H864" s="119">
        <v>3.8</v>
      </c>
      <c r="I864" s="116">
        <v>1224</v>
      </c>
      <c r="J864" s="118" t="s">
        <v>269</v>
      </c>
    </row>
    <row r="865" spans="1:10" x14ac:dyDescent="0.25">
      <c r="A865" s="116">
        <v>862</v>
      </c>
      <c r="B865" s="117" t="s">
        <v>1586</v>
      </c>
      <c r="C865" s="118" t="s">
        <v>1587</v>
      </c>
      <c r="D865" s="118" t="s">
        <v>453</v>
      </c>
      <c r="E865" s="118" t="s">
        <v>1581</v>
      </c>
      <c r="F865" s="119">
        <v>101.61247163011389</v>
      </c>
      <c r="G865" s="119">
        <v>103.82497163011389</v>
      </c>
      <c r="H865" s="119">
        <v>3.82</v>
      </c>
      <c r="I865" s="116">
        <v>903</v>
      </c>
      <c r="J865" s="118" t="s">
        <v>269</v>
      </c>
    </row>
    <row r="866" spans="1:10" x14ac:dyDescent="0.25">
      <c r="A866" s="116">
        <v>863</v>
      </c>
      <c r="B866" s="117" t="s">
        <v>1588</v>
      </c>
      <c r="C866" s="118" t="s">
        <v>1589</v>
      </c>
      <c r="D866" s="118" t="s">
        <v>443</v>
      </c>
      <c r="E866" s="118" t="s">
        <v>1590</v>
      </c>
      <c r="F866" s="119">
        <v>87504.30720000001</v>
      </c>
      <c r="G866" s="119">
        <v>87504.30720000001</v>
      </c>
      <c r="H866" s="119">
        <v>0</v>
      </c>
      <c r="I866" s="116">
        <v>0</v>
      </c>
      <c r="J866" s="118" t="s">
        <v>238</v>
      </c>
    </row>
    <row r="867" spans="1:10" x14ac:dyDescent="0.25">
      <c r="A867" s="116">
        <v>864</v>
      </c>
      <c r="B867" s="117" t="s">
        <v>1591</v>
      </c>
      <c r="C867" s="118" t="s">
        <v>1592</v>
      </c>
      <c r="D867" s="118" t="s">
        <v>753</v>
      </c>
      <c r="E867" s="118" t="s">
        <v>1593</v>
      </c>
      <c r="F867" s="119">
        <v>323876.71520000004</v>
      </c>
      <c r="G867" s="119">
        <v>323876.71520000004</v>
      </c>
      <c r="H867" s="119">
        <v>0</v>
      </c>
      <c r="I867" s="116">
        <v>0</v>
      </c>
      <c r="J867" s="118" t="s">
        <v>238</v>
      </c>
    </row>
    <row r="868" spans="1:10" x14ac:dyDescent="0.25">
      <c r="A868" s="116">
        <v>865</v>
      </c>
      <c r="B868" s="117" t="s">
        <v>1594</v>
      </c>
      <c r="C868" s="118" t="s">
        <v>1595</v>
      </c>
      <c r="D868" s="118" t="s">
        <v>443</v>
      </c>
      <c r="E868" s="118" t="s">
        <v>1596</v>
      </c>
      <c r="F868" s="119">
        <v>17000.39</v>
      </c>
      <c r="G868" s="119">
        <v>17000.39</v>
      </c>
      <c r="H868" s="119">
        <v>0</v>
      </c>
      <c r="I868" s="116">
        <v>0</v>
      </c>
      <c r="J868" s="118" t="s">
        <v>238</v>
      </c>
    </row>
    <row r="869" spans="1:10" x14ac:dyDescent="0.25">
      <c r="A869" s="116">
        <v>866</v>
      </c>
      <c r="B869" s="117" t="s">
        <v>1597</v>
      </c>
      <c r="C869" s="118" t="s">
        <v>1598</v>
      </c>
      <c r="D869" s="118" t="s">
        <v>453</v>
      </c>
      <c r="E869" s="118" t="s">
        <v>1599</v>
      </c>
      <c r="F869" s="119">
        <v>95.999234577736146</v>
      </c>
      <c r="G869" s="119">
        <v>98.915934577736152</v>
      </c>
      <c r="H869" s="119">
        <v>31.69</v>
      </c>
      <c r="I869" s="116">
        <v>1585</v>
      </c>
      <c r="J869" s="118" t="s">
        <v>269</v>
      </c>
    </row>
    <row r="870" spans="1:10" x14ac:dyDescent="0.25">
      <c r="A870" s="116">
        <v>867</v>
      </c>
      <c r="B870" s="117" t="s">
        <v>1600</v>
      </c>
      <c r="C870" s="118" t="s">
        <v>1601</v>
      </c>
      <c r="D870" s="118" t="s">
        <v>453</v>
      </c>
      <c r="E870" s="118" t="s">
        <v>1602</v>
      </c>
      <c r="F870" s="119">
        <v>73.520067593217419</v>
      </c>
      <c r="G870" s="119">
        <v>80.631167593217413</v>
      </c>
      <c r="H870" s="119">
        <v>29.94</v>
      </c>
      <c r="I870" s="116">
        <v>2032</v>
      </c>
      <c r="J870" s="118" t="s">
        <v>269</v>
      </c>
    </row>
    <row r="871" spans="1:10" x14ac:dyDescent="0.25">
      <c r="A871" s="116">
        <v>868</v>
      </c>
      <c r="B871" s="117" t="s">
        <v>1603</v>
      </c>
      <c r="C871" s="118" t="s">
        <v>1604</v>
      </c>
      <c r="D871" s="118" t="s">
        <v>453</v>
      </c>
      <c r="E871" s="118" t="s">
        <v>1602</v>
      </c>
      <c r="F871" s="119">
        <v>70.527722623651684</v>
      </c>
      <c r="G871" s="119">
        <v>77.749922623651685</v>
      </c>
      <c r="H871" s="119">
        <v>29.97</v>
      </c>
      <c r="I871" s="116">
        <v>2750</v>
      </c>
      <c r="J871" s="118" t="s">
        <v>269</v>
      </c>
    </row>
    <row r="872" spans="1:10" x14ac:dyDescent="0.25">
      <c r="A872" s="116">
        <v>869</v>
      </c>
      <c r="B872" s="117" t="s">
        <v>1605</v>
      </c>
      <c r="C872" s="118" t="s">
        <v>1606</v>
      </c>
      <c r="D872" s="118" t="s">
        <v>443</v>
      </c>
      <c r="E872" s="118" t="s">
        <v>1607</v>
      </c>
      <c r="F872" s="119">
        <v>0.01</v>
      </c>
      <c r="G872" s="119">
        <v>0.01</v>
      </c>
      <c r="H872" s="119">
        <v>0</v>
      </c>
      <c r="I872" s="116">
        <v>0</v>
      </c>
      <c r="J872" s="118" t="s">
        <v>238</v>
      </c>
    </row>
    <row r="873" spans="1:10" x14ac:dyDescent="0.25">
      <c r="A873" s="116">
        <v>870</v>
      </c>
      <c r="B873" s="117" t="s">
        <v>1608</v>
      </c>
      <c r="C873" s="118" t="s">
        <v>1609</v>
      </c>
      <c r="D873" s="118" t="s">
        <v>443</v>
      </c>
      <c r="E873" s="118" t="s">
        <v>1607</v>
      </c>
      <c r="F873" s="119">
        <v>0.01</v>
      </c>
      <c r="G873" s="119">
        <v>0.01</v>
      </c>
      <c r="H873" s="119">
        <v>0</v>
      </c>
      <c r="I873" s="116">
        <v>0</v>
      </c>
      <c r="J873" s="118" t="s">
        <v>238</v>
      </c>
    </row>
    <row r="874" spans="1:10" x14ac:dyDescent="0.25">
      <c r="A874" s="116">
        <v>871</v>
      </c>
      <c r="B874" s="117" t="s">
        <v>1621</v>
      </c>
      <c r="C874" s="118" t="s">
        <v>1622</v>
      </c>
      <c r="D874" s="118" t="s">
        <v>443</v>
      </c>
      <c r="E874" s="118" t="s">
        <v>1623</v>
      </c>
      <c r="F874" s="119">
        <v>34400</v>
      </c>
      <c r="G874" s="119">
        <v>34400</v>
      </c>
      <c r="H874" s="119">
        <v>0</v>
      </c>
      <c r="I874" s="116">
        <v>0</v>
      </c>
      <c r="J874" s="118" t="s">
        <v>238</v>
      </c>
    </row>
    <row r="875" spans="1:10" x14ac:dyDescent="0.25">
      <c r="A875" s="116">
        <v>872</v>
      </c>
      <c r="B875" s="117" t="s">
        <v>1624</v>
      </c>
      <c r="C875" s="118" t="s">
        <v>1625</v>
      </c>
      <c r="D875" s="118" t="s">
        <v>443</v>
      </c>
      <c r="E875" s="118" t="s">
        <v>1623</v>
      </c>
      <c r="F875" s="119">
        <v>17800</v>
      </c>
      <c r="G875" s="119">
        <v>17800</v>
      </c>
      <c r="H875" s="119">
        <v>0</v>
      </c>
      <c r="I875" s="116">
        <v>0</v>
      </c>
      <c r="J875" s="118" t="s">
        <v>238</v>
      </c>
    </row>
    <row r="876" spans="1:10" x14ac:dyDescent="0.25">
      <c r="A876" s="116">
        <v>873</v>
      </c>
      <c r="B876" s="117" t="s">
        <v>1626</v>
      </c>
      <c r="C876" s="118" t="s">
        <v>1627</v>
      </c>
      <c r="D876" s="118" t="s">
        <v>443</v>
      </c>
      <c r="E876" s="118" t="s">
        <v>1628</v>
      </c>
      <c r="F876" s="119">
        <v>1000</v>
      </c>
      <c r="G876" s="119">
        <v>1000</v>
      </c>
      <c r="H876" s="119">
        <v>0</v>
      </c>
      <c r="I876" s="116">
        <v>186</v>
      </c>
      <c r="J876" s="118" t="s">
        <v>238</v>
      </c>
    </row>
    <row r="877" spans="1:10" x14ac:dyDescent="0.25">
      <c r="A877" s="116">
        <v>874</v>
      </c>
      <c r="B877" s="117" t="s">
        <v>1629</v>
      </c>
      <c r="C877" s="118" t="s">
        <v>1630</v>
      </c>
      <c r="D877" s="118" t="s">
        <v>443</v>
      </c>
      <c r="E877" s="118" t="s">
        <v>1631</v>
      </c>
      <c r="F877" s="119">
        <v>0.01</v>
      </c>
      <c r="G877" s="119">
        <v>0.01</v>
      </c>
      <c r="H877" s="119">
        <v>0</v>
      </c>
      <c r="I877" s="116">
        <v>0</v>
      </c>
      <c r="J877" s="118" t="s">
        <v>238</v>
      </c>
    </row>
    <row r="878" spans="1:10" x14ac:dyDescent="0.25">
      <c r="A878" s="116">
        <v>875</v>
      </c>
      <c r="B878" s="117" t="s">
        <v>1632</v>
      </c>
      <c r="C878" s="118" t="s">
        <v>1633</v>
      </c>
      <c r="D878" s="118" t="s">
        <v>443</v>
      </c>
      <c r="E878" s="118" t="s">
        <v>1634</v>
      </c>
      <c r="F878" s="119">
        <v>0.01</v>
      </c>
      <c r="G878" s="119">
        <v>0.01</v>
      </c>
      <c r="H878" s="119">
        <v>0</v>
      </c>
      <c r="I878" s="116">
        <v>0</v>
      </c>
      <c r="J878" s="118" t="s">
        <v>238</v>
      </c>
    </row>
    <row r="879" spans="1:10" x14ac:dyDescent="0.25">
      <c r="A879" s="116">
        <v>876</v>
      </c>
      <c r="B879" s="117" t="s">
        <v>1635</v>
      </c>
      <c r="C879" s="118" t="s">
        <v>1636</v>
      </c>
      <c r="D879" s="118" t="s">
        <v>443</v>
      </c>
      <c r="E879" s="118" t="s">
        <v>1634</v>
      </c>
      <c r="F879" s="119">
        <v>0.01</v>
      </c>
      <c r="G879" s="119">
        <v>0.01</v>
      </c>
      <c r="H879" s="119">
        <v>0</v>
      </c>
      <c r="I879" s="116">
        <v>0</v>
      </c>
      <c r="J879" s="118" t="s">
        <v>238</v>
      </c>
    </row>
    <row r="880" spans="1:10" x14ac:dyDescent="0.25">
      <c r="A880" s="116">
        <v>877</v>
      </c>
      <c r="B880" s="117" t="s">
        <v>1610</v>
      </c>
      <c r="C880" s="118" t="s">
        <v>1611</v>
      </c>
      <c r="D880" s="118" t="s">
        <v>453</v>
      </c>
      <c r="E880" s="118" t="s">
        <v>1612</v>
      </c>
      <c r="F880" s="119">
        <v>99.10295720580821</v>
      </c>
      <c r="G880" s="119">
        <v>99.56615720580821</v>
      </c>
      <c r="H880" s="119">
        <v>4.0199999999999996</v>
      </c>
      <c r="I880" s="116">
        <v>854</v>
      </c>
      <c r="J880" s="118" t="s">
        <v>269</v>
      </c>
    </row>
    <row r="881" spans="1:10" x14ac:dyDescent="0.25">
      <c r="A881" s="116">
        <v>878</v>
      </c>
      <c r="B881" s="117" t="s">
        <v>1613</v>
      </c>
      <c r="C881" s="118" t="s">
        <v>1614</v>
      </c>
      <c r="D881" s="118" t="s">
        <v>453</v>
      </c>
      <c r="E881" s="118" t="s">
        <v>1612</v>
      </c>
      <c r="F881" s="119">
        <v>101.03400000000001</v>
      </c>
      <c r="G881" s="119">
        <v>101.0826</v>
      </c>
      <c r="H881" s="119">
        <v>4.05</v>
      </c>
      <c r="I881" s="116">
        <v>1256</v>
      </c>
      <c r="J881" s="118" t="s">
        <v>269</v>
      </c>
    </row>
    <row r="882" spans="1:10" x14ac:dyDescent="0.25">
      <c r="A882" s="116">
        <v>879</v>
      </c>
      <c r="B882" s="117" t="s">
        <v>1615</v>
      </c>
      <c r="C882" s="118" t="s">
        <v>1616</v>
      </c>
      <c r="D882" s="118" t="s">
        <v>453</v>
      </c>
      <c r="E882" s="118" t="s">
        <v>1612</v>
      </c>
      <c r="F882" s="119">
        <v>97.994</v>
      </c>
      <c r="G882" s="119">
        <v>98.528700000000001</v>
      </c>
      <c r="H882" s="119">
        <v>4.1100000000000003</v>
      </c>
      <c r="I882" s="116">
        <v>463</v>
      </c>
      <c r="J882" s="118" t="s">
        <v>269</v>
      </c>
    </row>
    <row r="883" spans="1:10" x14ac:dyDescent="0.25">
      <c r="A883" s="116">
        <v>880</v>
      </c>
      <c r="B883" s="117" t="s">
        <v>1617</v>
      </c>
      <c r="C883" s="118" t="s">
        <v>1618</v>
      </c>
      <c r="D883" s="118" t="s">
        <v>453</v>
      </c>
      <c r="E883" s="118" t="s">
        <v>1612</v>
      </c>
      <c r="F883" s="119">
        <v>99.123999999999995</v>
      </c>
      <c r="G883" s="119">
        <v>100.6948</v>
      </c>
      <c r="H883" s="119">
        <v>4.1399999999999997</v>
      </c>
      <c r="I883" s="116">
        <v>366</v>
      </c>
      <c r="J883" s="118" t="s">
        <v>269</v>
      </c>
    </row>
    <row r="884" spans="1:10" x14ac:dyDescent="0.25">
      <c r="A884" s="116">
        <v>881</v>
      </c>
      <c r="B884" s="117" t="s">
        <v>1619</v>
      </c>
      <c r="C884" s="118" t="s">
        <v>1620</v>
      </c>
      <c r="D884" s="118" t="s">
        <v>443</v>
      </c>
      <c r="E884" s="118" t="s">
        <v>1612</v>
      </c>
      <c r="F884" s="119">
        <v>534.15700800000013</v>
      </c>
      <c r="G884" s="119">
        <v>534.15700800000013</v>
      </c>
      <c r="H884" s="119">
        <v>0</v>
      </c>
      <c r="I884" s="116">
        <v>540</v>
      </c>
      <c r="J884" s="118" t="s">
        <v>238</v>
      </c>
    </row>
    <row r="885" spans="1:10" x14ac:dyDescent="0.25">
      <c r="A885" s="116">
        <v>882</v>
      </c>
      <c r="B885" s="117" t="s">
        <v>1637</v>
      </c>
      <c r="C885" s="118" t="s">
        <v>1638</v>
      </c>
      <c r="D885" s="118" t="s">
        <v>443</v>
      </c>
      <c r="E885" s="118" t="s">
        <v>1639</v>
      </c>
      <c r="F885" s="119">
        <v>45489.118400000007</v>
      </c>
      <c r="G885" s="119">
        <v>45489.118400000007</v>
      </c>
      <c r="H885" s="119">
        <v>0</v>
      </c>
      <c r="I885" s="116">
        <v>0</v>
      </c>
      <c r="J885" s="118" t="s">
        <v>238</v>
      </c>
    </row>
    <row r="886" spans="1:10" x14ac:dyDescent="0.25">
      <c r="A886" s="116">
        <v>883</v>
      </c>
      <c r="B886" s="117" t="s">
        <v>1968</v>
      </c>
      <c r="C886" s="118" t="s">
        <v>1969</v>
      </c>
      <c r="D886" s="118" t="s">
        <v>453</v>
      </c>
      <c r="E886" s="118" t="s">
        <v>1970</v>
      </c>
      <c r="F886" s="119">
        <v>96.946517063814667</v>
      </c>
      <c r="G886" s="119">
        <v>101.44651706381467</v>
      </c>
      <c r="H886" s="119">
        <v>21.98</v>
      </c>
      <c r="I886" s="116">
        <v>820</v>
      </c>
      <c r="J886" s="118" t="s">
        <v>269</v>
      </c>
    </row>
    <row r="887" spans="1:10" x14ac:dyDescent="0.25">
      <c r="A887" s="116">
        <v>884</v>
      </c>
      <c r="B887" s="117" t="s">
        <v>2323</v>
      </c>
      <c r="C887" s="118" t="s">
        <v>2324</v>
      </c>
      <c r="D887" s="118" t="s">
        <v>453</v>
      </c>
      <c r="E887" s="118" t="s">
        <v>1970</v>
      </c>
      <c r="F887" s="119">
        <v>95.918300000000002</v>
      </c>
      <c r="G887" s="119">
        <v>100.1183</v>
      </c>
      <c r="H887" s="119">
        <v>23.01</v>
      </c>
      <c r="I887" s="116">
        <v>1008</v>
      </c>
      <c r="J887" s="118" t="s">
        <v>269</v>
      </c>
    </row>
    <row r="888" spans="1:10" x14ac:dyDescent="0.25">
      <c r="A888" s="116">
        <v>885</v>
      </c>
      <c r="B888" s="117" t="s">
        <v>2429</v>
      </c>
      <c r="C888" s="118" t="s">
        <v>2430</v>
      </c>
      <c r="D888" s="118" t="s">
        <v>453</v>
      </c>
      <c r="E888" s="118" t="s">
        <v>2431</v>
      </c>
      <c r="F888" s="119">
        <v>79.882868195947381</v>
      </c>
      <c r="G888" s="119">
        <v>84.434268195947382</v>
      </c>
      <c r="H888" s="119">
        <v>18.510000000000002</v>
      </c>
      <c r="I888" s="116">
        <v>5287</v>
      </c>
      <c r="J888" s="118" t="s">
        <v>269</v>
      </c>
    </row>
    <row r="889" spans="1:10" x14ac:dyDescent="0.25">
      <c r="A889" s="116">
        <v>886</v>
      </c>
      <c r="B889" s="117" t="s">
        <v>2554</v>
      </c>
      <c r="C889" s="118" t="s">
        <v>2555</v>
      </c>
      <c r="D889" s="118" t="s">
        <v>443</v>
      </c>
      <c r="E889" s="118" t="s">
        <v>2556</v>
      </c>
      <c r="F889" s="119">
        <v>1000</v>
      </c>
      <c r="G889" s="119">
        <v>1000</v>
      </c>
      <c r="H889" s="119">
        <v>0</v>
      </c>
      <c r="I889" s="116">
        <v>1609</v>
      </c>
      <c r="J889" s="118" t="s">
        <v>238</v>
      </c>
    </row>
    <row r="890" spans="1:10" x14ac:dyDescent="0.25">
      <c r="A890" s="116">
        <v>887</v>
      </c>
      <c r="B890" s="117" t="s">
        <v>1640</v>
      </c>
      <c r="C890" s="118" t="s">
        <v>1641</v>
      </c>
      <c r="D890" s="118" t="s">
        <v>453</v>
      </c>
      <c r="E890" s="118" t="s">
        <v>1642</v>
      </c>
      <c r="F890" s="119">
        <v>100</v>
      </c>
      <c r="G890" s="119">
        <v>101.0271</v>
      </c>
      <c r="H890" s="119">
        <v>4.2300000000000004</v>
      </c>
      <c r="I890" s="116">
        <v>213</v>
      </c>
      <c r="J890" s="118" t="s">
        <v>269</v>
      </c>
    </row>
    <row r="891" spans="1:10" x14ac:dyDescent="0.25">
      <c r="A891" s="116">
        <v>888</v>
      </c>
      <c r="B891" s="117" t="s">
        <v>2082</v>
      </c>
      <c r="C891" s="118" t="s">
        <v>2083</v>
      </c>
      <c r="D891" s="118" t="s">
        <v>453</v>
      </c>
      <c r="E891" s="118" t="s">
        <v>1642</v>
      </c>
      <c r="F891" s="119">
        <v>100</v>
      </c>
      <c r="G891" s="119">
        <v>100.0236</v>
      </c>
      <c r="H891" s="119">
        <v>4.24</v>
      </c>
      <c r="I891" s="116">
        <v>478</v>
      </c>
      <c r="J891" s="118" t="s">
        <v>269</v>
      </c>
    </row>
    <row r="892" spans="1:10" x14ac:dyDescent="0.25">
      <c r="A892" s="116">
        <v>889</v>
      </c>
      <c r="B892" s="117" t="s">
        <v>1643</v>
      </c>
      <c r="C892" s="118" t="s">
        <v>1644</v>
      </c>
      <c r="D892" s="118" t="s">
        <v>453</v>
      </c>
      <c r="E892" s="118" t="s">
        <v>1642</v>
      </c>
      <c r="F892" s="119">
        <v>100</v>
      </c>
      <c r="G892" s="119">
        <v>100.1293</v>
      </c>
      <c r="H892" s="119">
        <v>0.35</v>
      </c>
      <c r="I892" s="116">
        <v>227</v>
      </c>
      <c r="J892" s="118" t="s">
        <v>269</v>
      </c>
    </row>
    <row r="893" spans="1:10" x14ac:dyDescent="0.25">
      <c r="A893" s="116">
        <v>890</v>
      </c>
      <c r="B893" s="117" t="s">
        <v>1645</v>
      </c>
      <c r="C893" s="118" t="s">
        <v>1646</v>
      </c>
      <c r="D893" s="118" t="s">
        <v>453</v>
      </c>
      <c r="E893" s="118" t="s">
        <v>1642</v>
      </c>
      <c r="F893" s="119">
        <v>96.671994962891802</v>
      </c>
      <c r="G893" s="119">
        <v>97.601994962891808</v>
      </c>
      <c r="H893" s="119">
        <v>19.46</v>
      </c>
      <c r="I893" s="116">
        <v>149</v>
      </c>
      <c r="J893" s="118" t="s">
        <v>269</v>
      </c>
    </row>
    <row r="894" spans="1:10" x14ac:dyDescent="0.25">
      <c r="A894" s="116">
        <v>891</v>
      </c>
      <c r="B894" s="117" t="s">
        <v>1647</v>
      </c>
      <c r="C894" s="118" t="s">
        <v>1648</v>
      </c>
      <c r="D894" s="118" t="s">
        <v>453</v>
      </c>
      <c r="E894" s="118" t="s">
        <v>1642</v>
      </c>
      <c r="F894" s="119">
        <v>100</v>
      </c>
      <c r="G894" s="119">
        <v>100.0042</v>
      </c>
      <c r="H894" s="119">
        <v>0.02</v>
      </c>
      <c r="I894" s="116">
        <v>3040</v>
      </c>
      <c r="J894" s="118" t="s">
        <v>269</v>
      </c>
    </row>
    <row r="895" spans="1:10" x14ac:dyDescent="0.25">
      <c r="A895" s="116">
        <v>892</v>
      </c>
      <c r="B895" s="117" t="s">
        <v>1649</v>
      </c>
      <c r="C895" s="118" t="s">
        <v>1650</v>
      </c>
      <c r="D895" s="118" t="s">
        <v>453</v>
      </c>
      <c r="E895" s="118" t="s">
        <v>1642</v>
      </c>
      <c r="F895" s="119">
        <v>100</v>
      </c>
      <c r="G895" s="119">
        <v>101.9486</v>
      </c>
      <c r="H895" s="119">
        <v>6.08</v>
      </c>
      <c r="I895" s="116">
        <v>1655</v>
      </c>
      <c r="J895" s="118" t="s">
        <v>269</v>
      </c>
    </row>
    <row r="896" spans="1:10" x14ac:dyDescent="0.25">
      <c r="A896" s="116">
        <v>893</v>
      </c>
      <c r="B896" s="117" t="s">
        <v>1651</v>
      </c>
      <c r="C896" s="118" t="s">
        <v>1652</v>
      </c>
      <c r="D896" s="118" t="s">
        <v>453</v>
      </c>
      <c r="E896" s="118" t="s">
        <v>1642</v>
      </c>
      <c r="F896" s="119">
        <v>100</v>
      </c>
      <c r="G896" s="119">
        <v>106.9619</v>
      </c>
      <c r="H896" s="119">
        <v>7.08</v>
      </c>
      <c r="I896" s="116">
        <v>2137</v>
      </c>
      <c r="J896" s="118" t="s">
        <v>269</v>
      </c>
    </row>
    <row r="897" spans="1:10" x14ac:dyDescent="0.25">
      <c r="A897" s="116">
        <v>894</v>
      </c>
      <c r="B897" s="117" t="s">
        <v>2478</v>
      </c>
      <c r="C897" s="118" t="s">
        <v>2479</v>
      </c>
      <c r="D897" s="118" t="s">
        <v>453</v>
      </c>
      <c r="E897" s="118" t="s">
        <v>1642</v>
      </c>
      <c r="F897" s="119">
        <v>93.091526621470734</v>
      </c>
      <c r="G897" s="119">
        <v>94.194026621470726</v>
      </c>
      <c r="H897" s="119">
        <v>20.56</v>
      </c>
      <c r="I897" s="116">
        <v>3579</v>
      </c>
      <c r="J897" s="118" t="s">
        <v>269</v>
      </c>
    </row>
    <row r="898" spans="1:10" x14ac:dyDescent="0.25">
      <c r="A898" s="116">
        <v>895</v>
      </c>
      <c r="B898" s="117" t="s">
        <v>1653</v>
      </c>
      <c r="C898" s="118" t="s">
        <v>1654</v>
      </c>
      <c r="D898" s="118" t="s">
        <v>453</v>
      </c>
      <c r="E898" s="118" t="s">
        <v>1642</v>
      </c>
      <c r="F898" s="119">
        <v>100</v>
      </c>
      <c r="G898" s="119">
        <v>101.1183</v>
      </c>
      <c r="H898" s="119">
        <v>6.08</v>
      </c>
      <c r="I898" s="116">
        <v>2064</v>
      </c>
      <c r="J898" s="118" t="s">
        <v>269</v>
      </c>
    </row>
    <row r="899" spans="1:10" x14ac:dyDescent="0.25">
      <c r="A899" s="116">
        <v>896</v>
      </c>
      <c r="B899" s="117" t="s">
        <v>1655</v>
      </c>
      <c r="C899" s="118" t="s">
        <v>1656</v>
      </c>
      <c r="D899" s="118" t="s">
        <v>453</v>
      </c>
      <c r="E899" s="118" t="s">
        <v>1642</v>
      </c>
      <c r="F899" s="119">
        <v>100</v>
      </c>
      <c r="G899" s="119">
        <v>106.06610000000001</v>
      </c>
      <c r="H899" s="119">
        <v>6.09</v>
      </c>
      <c r="I899" s="116">
        <v>2492</v>
      </c>
      <c r="J899" s="118" t="s">
        <v>269</v>
      </c>
    </row>
    <row r="900" spans="1:10" x14ac:dyDescent="0.25">
      <c r="A900" s="116">
        <v>897</v>
      </c>
      <c r="B900" s="117" t="s">
        <v>1657</v>
      </c>
      <c r="C900" s="118" t="s">
        <v>1658</v>
      </c>
      <c r="D900" s="118" t="s">
        <v>453</v>
      </c>
      <c r="E900" s="118" t="s">
        <v>1642</v>
      </c>
      <c r="F900" s="119">
        <v>100</v>
      </c>
      <c r="G900" s="119">
        <v>106.06610000000001</v>
      </c>
      <c r="H900" s="119">
        <v>6.09</v>
      </c>
      <c r="I900" s="116">
        <v>2492</v>
      </c>
      <c r="J900" s="118" t="s">
        <v>269</v>
      </c>
    </row>
    <row r="901" spans="1:10" x14ac:dyDescent="0.25">
      <c r="A901" s="116">
        <v>898</v>
      </c>
      <c r="B901" s="117" t="s">
        <v>1659</v>
      </c>
      <c r="C901" s="118" t="s">
        <v>1660</v>
      </c>
      <c r="D901" s="118" t="s">
        <v>453</v>
      </c>
      <c r="E901" s="118" t="s">
        <v>1642</v>
      </c>
      <c r="F901" s="119">
        <v>100</v>
      </c>
      <c r="G901" s="119">
        <v>104.9308</v>
      </c>
      <c r="H901" s="119">
        <v>6.08</v>
      </c>
      <c r="I901" s="116">
        <v>2559</v>
      </c>
      <c r="J901" s="118" t="s">
        <v>269</v>
      </c>
    </row>
    <row r="902" spans="1:10" x14ac:dyDescent="0.25">
      <c r="A902" s="116">
        <v>899</v>
      </c>
      <c r="B902" s="117" t="s">
        <v>1661</v>
      </c>
      <c r="C902" s="118" t="s">
        <v>1662</v>
      </c>
      <c r="D902" s="118" t="s">
        <v>443</v>
      </c>
      <c r="E902" s="118" t="s">
        <v>1663</v>
      </c>
      <c r="F902" s="119">
        <v>0.01</v>
      </c>
      <c r="G902" s="119">
        <v>0.01</v>
      </c>
      <c r="H902" s="119">
        <v>0</v>
      </c>
      <c r="I902" s="116">
        <v>0</v>
      </c>
      <c r="J902" s="118" t="s">
        <v>238</v>
      </c>
    </row>
    <row r="903" spans="1:10" x14ac:dyDescent="0.25">
      <c r="A903" s="116">
        <v>900</v>
      </c>
      <c r="B903" s="117" t="s">
        <v>1664</v>
      </c>
      <c r="C903" s="118" t="s">
        <v>1665</v>
      </c>
      <c r="D903" s="118" t="s">
        <v>443</v>
      </c>
      <c r="E903" s="118" t="s">
        <v>1666</v>
      </c>
      <c r="F903" s="119">
        <v>0.01</v>
      </c>
      <c r="G903" s="119">
        <v>0.01</v>
      </c>
      <c r="H903" s="119">
        <v>0</v>
      </c>
      <c r="I903" s="116">
        <v>0</v>
      </c>
      <c r="J903" s="118" t="s">
        <v>238</v>
      </c>
    </row>
    <row r="904" spans="1:10" x14ac:dyDescent="0.25">
      <c r="A904" s="116">
        <v>901</v>
      </c>
      <c r="B904" s="117" t="s">
        <v>1667</v>
      </c>
      <c r="C904" s="118" t="s">
        <v>1668</v>
      </c>
      <c r="D904" s="118" t="s">
        <v>453</v>
      </c>
      <c r="E904" s="118" t="s">
        <v>1669</v>
      </c>
      <c r="F904" s="119">
        <v>92.767167715137944</v>
      </c>
      <c r="G904" s="119">
        <v>96.128267715137937</v>
      </c>
      <c r="H904" s="119">
        <v>20.49</v>
      </c>
      <c r="I904" s="116">
        <v>452</v>
      </c>
      <c r="J904" s="118" t="s">
        <v>269</v>
      </c>
    </row>
    <row r="905" spans="1:10" x14ac:dyDescent="0.25">
      <c r="A905" s="116">
        <v>902</v>
      </c>
      <c r="B905" s="117" t="s">
        <v>1671</v>
      </c>
      <c r="C905" s="118" t="s">
        <v>1672</v>
      </c>
      <c r="D905" s="118" t="s">
        <v>453</v>
      </c>
      <c r="E905" s="118" t="s">
        <v>1670</v>
      </c>
      <c r="F905" s="119">
        <v>100</v>
      </c>
      <c r="G905" s="119">
        <v>100.1371</v>
      </c>
      <c r="H905" s="119">
        <v>0.35</v>
      </c>
      <c r="I905" s="116">
        <v>39</v>
      </c>
      <c r="J905" s="118" t="s">
        <v>269</v>
      </c>
    </row>
    <row r="906" spans="1:10" x14ac:dyDescent="0.25">
      <c r="A906" s="116">
        <v>903</v>
      </c>
      <c r="B906" s="117" t="s">
        <v>1673</v>
      </c>
      <c r="C906" s="118" t="s">
        <v>1674</v>
      </c>
      <c r="D906" s="118" t="s">
        <v>453</v>
      </c>
      <c r="E906" s="118" t="s">
        <v>1670</v>
      </c>
      <c r="F906" s="119">
        <v>100</v>
      </c>
      <c r="G906" s="119">
        <v>100.1293</v>
      </c>
      <c r="H906" s="119">
        <v>0.35</v>
      </c>
      <c r="I906" s="116">
        <v>227</v>
      </c>
      <c r="J906" s="118" t="s">
        <v>269</v>
      </c>
    </row>
    <row r="907" spans="1:10" x14ac:dyDescent="0.25">
      <c r="A907" s="116">
        <v>904</v>
      </c>
      <c r="B907" s="117" t="s">
        <v>1675</v>
      </c>
      <c r="C907" s="118" t="s">
        <v>1676</v>
      </c>
      <c r="D907" s="118" t="s">
        <v>453</v>
      </c>
      <c r="E907" s="118" t="s">
        <v>1670</v>
      </c>
      <c r="F907" s="119">
        <v>100</v>
      </c>
      <c r="G907" s="119">
        <v>100.0194</v>
      </c>
      <c r="H907" s="119">
        <v>0.02</v>
      </c>
      <c r="I907" s="116">
        <v>3040</v>
      </c>
      <c r="J907" s="118" t="s">
        <v>269</v>
      </c>
    </row>
    <row r="908" spans="1:10" x14ac:dyDescent="0.25">
      <c r="A908" s="116">
        <v>905</v>
      </c>
      <c r="B908" s="117" t="s">
        <v>1677</v>
      </c>
      <c r="C908" s="118" t="s">
        <v>1678</v>
      </c>
      <c r="D908" s="118" t="s">
        <v>453</v>
      </c>
      <c r="E908" s="118" t="s">
        <v>1670</v>
      </c>
      <c r="F908" s="119">
        <v>100</v>
      </c>
      <c r="G908" s="119">
        <v>101.9486</v>
      </c>
      <c r="H908" s="119">
        <v>6.08</v>
      </c>
      <c r="I908" s="116">
        <v>1655</v>
      </c>
      <c r="J908" s="118" t="s">
        <v>269</v>
      </c>
    </row>
    <row r="909" spans="1:10" x14ac:dyDescent="0.25">
      <c r="A909" s="116">
        <v>906</v>
      </c>
      <c r="B909" s="117" t="s">
        <v>1679</v>
      </c>
      <c r="C909" s="118" t="s">
        <v>1680</v>
      </c>
      <c r="D909" s="118" t="s">
        <v>453</v>
      </c>
      <c r="E909" s="118" t="s">
        <v>1670</v>
      </c>
      <c r="F909" s="119">
        <v>100</v>
      </c>
      <c r="G909" s="119">
        <v>106.9619</v>
      </c>
      <c r="H909" s="119">
        <v>7.08</v>
      </c>
      <c r="I909" s="116">
        <v>2137</v>
      </c>
      <c r="J909" s="118" t="s">
        <v>269</v>
      </c>
    </row>
    <row r="910" spans="1:10" x14ac:dyDescent="0.25">
      <c r="A910" s="116">
        <v>907</v>
      </c>
      <c r="B910" s="117" t="s">
        <v>2254</v>
      </c>
      <c r="C910" s="118" t="s">
        <v>2255</v>
      </c>
      <c r="D910" s="118" t="s">
        <v>453</v>
      </c>
      <c r="E910" s="118" t="s">
        <v>1670</v>
      </c>
      <c r="F910" s="119">
        <v>90.103829909734245</v>
      </c>
      <c r="G910" s="119">
        <v>94.754929909734244</v>
      </c>
      <c r="H910" s="119">
        <v>20.55</v>
      </c>
      <c r="I910" s="116">
        <v>3508</v>
      </c>
      <c r="J910" s="118" t="s">
        <v>269</v>
      </c>
    </row>
    <row r="911" spans="1:10" x14ac:dyDescent="0.25">
      <c r="A911" s="116">
        <v>908</v>
      </c>
      <c r="B911" s="117" t="s">
        <v>2316</v>
      </c>
      <c r="C911" s="118" t="s">
        <v>2317</v>
      </c>
      <c r="D911" s="118" t="s">
        <v>453</v>
      </c>
      <c r="E911" s="118" t="s">
        <v>1670</v>
      </c>
      <c r="F911" s="119">
        <v>90.081836475033526</v>
      </c>
      <c r="G911" s="119">
        <v>94.126236475033522</v>
      </c>
      <c r="H911" s="119">
        <v>20.56</v>
      </c>
      <c r="I911" s="116">
        <v>3520</v>
      </c>
      <c r="J911" s="118" t="s">
        <v>269</v>
      </c>
    </row>
    <row r="912" spans="1:10" x14ac:dyDescent="0.25">
      <c r="A912" s="116">
        <v>909</v>
      </c>
      <c r="B912" s="117" t="s">
        <v>2373</v>
      </c>
      <c r="C912" s="118" t="s">
        <v>2374</v>
      </c>
      <c r="D912" s="118" t="s">
        <v>453</v>
      </c>
      <c r="E912" s="118" t="s">
        <v>1670</v>
      </c>
      <c r="F912" s="119">
        <v>93.024053141473829</v>
      </c>
      <c r="G912" s="119">
        <v>95.701553141473823</v>
      </c>
      <c r="H912" s="119">
        <v>20.55</v>
      </c>
      <c r="I912" s="116">
        <v>3549</v>
      </c>
      <c r="J912" s="118" t="s">
        <v>269</v>
      </c>
    </row>
    <row r="913" spans="1:10" x14ac:dyDescent="0.25">
      <c r="A913" s="116">
        <v>910</v>
      </c>
      <c r="B913" s="117" t="s">
        <v>2399</v>
      </c>
      <c r="C913" s="118" t="s">
        <v>2400</v>
      </c>
      <c r="D913" s="118" t="s">
        <v>453</v>
      </c>
      <c r="E913" s="118" t="s">
        <v>1670</v>
      </c>
      <c r="F913" s="119">
        <v>92.989296467033995</v>
      </c>
      <c r="G913" s="119">
        <v>95.456796467033996</v>
      </c>
      <c r="H913" s="119">
        <v>20.56</v>
      </c>
      <c r="I913" s="116">
        <v>3553</v>
      </c>
      <c r="J913" s="118" t="s">
        <v>269</v>
      </c>
    </row>
    <row r="914" spans="1:10" x14ac:dyDescent="0.25">
      <c r="A914" s="116">
        <v>911</v>
      </c>
      <c r="B914" s="117" t="s">
        <v>2461</v>
      </c>
      <c r="C914" s="118" t="s">
        <v>2462</v>
      </c>
      <c r="D914" s="118" t="s">
        <v>453</v>
      </c>
      <c r="E914" s="118" t="s">
        <v>1670</v>
      </c>
      <c r="F914" s="119">
        <v>93.07888885727705</v>
      </c>
      <c r="G914" s="119">
        <v>94.338888857277055</v>
      </c>
      <c r="H914" s="119">
        <v>20.56</v>
      </c>
      <c r="I914" s="116">
        <v>3576</v>
      </c>
      <c r="J914" s="118" t="s">
        <v>269</v>
      </c>
    </row>
    <row r="915" spans="1:10" x14ac:dyDescent="0.25">
      <c r="A915" s="116">
        <v>912</v>
      </c>
      <c r="B915" s="117" t="s">
        <v>1681</v>
      </c>
      <c r="C915" s="118" t="s">
        <v>1682</v>
      </c>
      <c r="D915" s="118" t="s">
        <v>453</v>
      </c>
      <c r="E915" s="118" t="s">
        <v>1670</v>
      </c>
      <c r="F915" s="119">
        <v>100</v>
      </c>
      <c r="G915" s="119">
        <v>101.1183</v>
      </c>
      <c r="H915" s="119">
        <v>6.08</v>
      </c>
      <c r="I915" s="116">
        <v>2064</v>
      </c>
      <c r="J915" s="118" t="s">
        <v>269</v>
      </c>
    </row>
    <row r="916" spans="1:10" x14ac:dyDescent="0.25">
      <c r="A916" s="116">
        <v>913</v>
      </c>
      <c r="B916" s="117" t="s">
        <v>1683</v>
      </c>
      <c r="C916" s="118" t="s">
        <v>1684</v>
      </c>
      <c r="D916" s="118" t="s">
        <v>453</v>
      </c>
      <c r="E916" s="118" t="s">
        <v>1670</v>
      </c>
      <c r="F916" s="119">
        <v>100</v>
      </c>
      <c r="G916" s="119">
        <v>106.06610000000001</v>
      </c>
      <c r="H916" s="119">
        <v>6.09</v>
      </c>
      <c r="I916" s="116">
        <v>2492</v>
      </c>
      <c r="J916" s="118" t="s">
        <v>269</v>
      </c>
    </row>
    <row r="917" spans="1:10" x14ac:dyDescent="0.25">
      <c r="A917" s="116">
        <v>914</v>
      </c>
      <c r="B917" s="117" t="s">
        <v>1685</v>
      </c>
      <c r="C917" s="118" t="s">
        <v>1686</v>
      </c>
      <c r="D917" s="118" t="s">
        <v>453</v>
      </c>
      <c r="E917" s="118" t="s">
        <v>1670</v>
      </c>
      <c r="F917" s="119">
        <v>100</v>
      </c>
      <c r="G917" s="119">
        <v>106.06610000000001</v>
      </c>
      <c r="H917" s="119">
        <v>6.09</v>
      </c>
      <c r="I917" s="116">
        <v>2492</v>
      </c>
      <c r="J917" s="118" t="s">
        <v>269</v>
      </c>
    </row>
    <row r="918" spans="1:10" x14ac:dyDescent="0.25">
      <c r="A918" s="116">
        <v>915</v>
      </c>
      <c r="B918" s="117" t="s">
        <v>1687</v>
      </c>
      <c r="C918" s="118" t="s">
        <v>1688</v>
      </c>
      <c r="D918" s="118" t="s">
        <v>453</v>
      </c>
      <c r="E918" s="118" t="s">
        <v>1670</v>
      </c>
      <c r="F918" s="119">
        <v>100</v>
      </c>
      <c r="G918" s="119">
        <v>104.9308</v>
      </c>
      <c r="H918" s="119">
        <v>6.08</v>
      </c>
      <c r="I918" s="116">
        <v>2559</v>
      </c>
      <c r="J918" s="118" t="s">
        <v>269</v>
      </c>
    </row>
    <row r="919" spans="1:10" x14ac:dyDescent="0.25">
      <c r="A919" s="116">
        <v>916</v>
      </c>
      <c r="B919" s="117" t="s">
        <v>2401</v>
      </c>
      <c r="C919" s="118" t="s">
        <v>2402</v>
      </c>
      <c r="D919" s="118" t="s">
        <v>453</v>
      </c>
      <c r="E919" s="118" t="s">
        <v>1670</v>
      </c>
      <c r="F919" s="119">
        <v>92.118600314729008</v>
      </c>
      <c r="G919" s="119">
        <v>94.586100314729009</v>
      </c>
      <c r="H919" s="119">
        <v>20.59</v>
      </c>
      <c r="I919" s="116">
        <v>5353</v>
      </c>
      <c r="J919" s="118" t="s">
        <v>269</v>
      </c>
    </row>
    <row r="920" spans="1:10" x14ac:dyDescent="0.25">
      <c r="A920" s="116">
        <v>917</v>
      </c>
      <c r="B920" s="117" t="s">
        <v>420</v>
      </c>
      <c r="C920" s="118" t="s">
        <v>421</v>
      </c>
      <c r="D920" s="118" t="s">
        <v>453</v>
      </c>
      <c r="E920" s="118" t="s">
        <v>427</v>
      </c>
      <c r="F920" s="119">
        <v>91.014690321604391</v>
      </c>
      <c r="G920" s="119">
        <v>93.260490321604379</v>
      </c>
      <c r="H920" s="119">
        <v>16.48</v>
      </c>
      <c r="I920" s="116">
        <v>643</v>
      </c>
      <c r="J920" s="118" t="s">
        <v>269</v>
      </c>
    </row>
    <row r="921" spans="1:10" x14ac:dyDescent="0.25">
      <c r="A921" s="116">
        <v>918</v>
      </c>
      <c r="B921" s="117" t="s">
        <v>422</v>
      </c>
      <c r="C921" s="118" t="s">
        <v>423</v>
      </c>
      <c r="D921" s="118" t="s">
        <v>453</v>
      </c>
      <c r="E921" s="118" t="s">
        <v>427</v>
      </c>
      <c r="F921" s="119">
        <v>97.361652319277027</v>
      </c>
      <c r="G921" s="119">
        <v>98.317252319277031</v>
      </c>
      <c r="H921" s="119">
        <v>4.67</v>
      </c>
      <c r="I921" s="116">
        <v>368</v>
      </c>
      <c r="J921" s="118" t="s">
        <v>269</v>
      </c>
    </row>
    <row r="922" spans="1:10" x14ac:dyDescent="0.25">
      <c r="A922" s="116">
        <v>919</v>
      </c>
      <c r="B922" s="117" t="s">
        <v>1689</v>
      </c>
      <c r="C922" s="118" t="s">
        <v>1690</v>
      </c>
      <c r="D922" s="118" t="s">
        <v>443</v>
      </c>
      <c r="E922" s="118" t="s">
        <v>1691</v>
      </c>
      <c r="F922" s="119">
        <v>0.01</v>
      </c>
      <c r="G922" s="119">
        <v>0.01</v>
      </c>
      <c r="H922" s="119">
        <v>0</v>
      </c>
      <c r="I922" s="116">
        <v>0</v>
      </c>
      <c r="J922" s="118" t="s">
        <v>238</v>
      </c>
    </row>
    <row r="923" spans="1:10" x14ac:dyDescent="0.25">
      <c r="A923" s="116">
        <v>920</v>
      </c>
      <c r="B923" s="117" t="s">
        <v>1692</v>
      </c>
      <c r="C923" s="118" t="s">
        <v>1693</v>
      </c>
      <c r="D923" s="118" t="s">
        <v>453</v>
      </c>
      <c r="E923" s="118" t="s">
        <v>1694</v>
      </c>
      <c r="F923" s="119">
        <v>99.328219074718703</v>
      </c>
      <c r="G923" s="119">
        <v>103.6838190747187</v>
      </c>
      <c r="H923" s="119">
        <v>17.18</v>
      </c>
      <c r="I923" s="116">
        <v>40</v>
      </c>
      <c r="J923" s="118" t="s">
        <v>269</v>
      </c>
    </row>
    <row r="924" spans="1:10" x14ac:dyDescent="0.25">
      <c r="A924" s="116">
        <v>921</v>
      </c>
      <c r="B924" s="117" t="s">
        <v>1695</v>
      </c>
      <c r="C924" s="118" t="s">
        <v>1696</v>
      </c>
      <c r="D924" s="118" t="s">
        <v>453</v>
      </c>
      <c r="E924" s="118" t="s">
        <v>1697</v>
      </c>
      <c r="F924" s="119">
        <v>94.747879747797157</v>
      </c>
      <c r="G924" s="119">
        <v>99.497879747797157</v>
      </c>
      <c r="H924" s="119">
        <v>30.2</v>
      </c>
      <c r="I924" s="116">
        <v>3180</v>
      </c>
      <c r="J924" s="118" t="s">
        <v>269</v>
      </c>
    </row>
    <row r="925" spans="1:10" x14ac:dyDescent="0.25">
      <c r="A925" s="116">
        <v>922</v>
      </c>
      <c r="B925" s="117" t="s">
        <v>2047</v>
      </c>
      <c r="C925" s="118" t="s">
        <v>1838</v>
      </c>
      <c r="D925" s="118" t="s">
        <v>753</v>
      </c>
      <c r="E925" s="118" t="s">
        <v>1839</v>
      </c>
      <c r="F925" s="119">
        <v>356306.33200000005</v>
      </c>
      <c r="G925" s="119">
        <v>356306.33200000005</v>
      </c>
      <c r="H925" s="119">
        <v>0</v>
      </c>
      <c r="I925" s="116">
        <v>0</v>
      </c>
      <c r="J925" s="118" t="s">
        <v>238</v>
      </c>
    </row>
    <row r="926" spans="1:10" x14ac:dyDescent="0.25">
      <c r="A926" s="116">
        <v>923</v>
      </c>
      <c r="B926" s="117" t="s">
        <v>1698</v>
      </c>
      <c r="C926" s="118" t="s">
        <v>1699</v>
      </c>
      <c r="D926" s="118" t="s">
        <v>443</v>
      </c>
      <c r="E926" s="118" t="s">
        <v>1700</v>
      </c>
      <c r="F926" s="119">
        <v>0.01</v>
      </c>
      <c r="G926" s="119">
        <v>0.01</v>
      </c>
      <c r="H926" s="119">
        <v>0</v>
      </c>
      <c r="I926" s="116">
        <v>0</v>
      </c>
      <c r="J926" s="118" t="s">
        <v>238</v>
      </c>
    </row>
    <row r="927" spans="1:10" x14ac:dyDescent="0.25">
      <c r="A927" s="116">
        <v>924</v>
      </c>
      <c r="B927" s="117" t="s">
        <v>2155</v>
      </c>
      <c r="C927" s="118" t="s">
        <v>2156</v>
      </c>
      <c r="D927" s="118" t="s">
        <v>453</v>
      </c>
      <c r="E927" s="118" t="s">
        <v>2157</v>
      </c>
      <c r="F927" s="119">
        <v>101.52049463264979</v>
      </c>
      <c r="G927" s="119">
        <v>104.55379463264978</v>
      </c>
      <c r="H927" s="119">
        <v>20.22</v>
      </c>
      <c r="I927" s="116">
        <v>938</v>
      </c>
      <c r="J927" s="118" t="s">
        <v>269</v>
      </c>
    </row>
    <row r="928" spans="1:10" x14ac:dyDescent="0.25">
      <c r="A928" s="116">
        <v>925</v>
      </c>
      <c r="B928" s="117" t="s">
        <v>1704</v>
      </c>
      <c r="C928" s="118" t="s">
        <v>1705</v>
      </c>
      <c r="D928" s="118" t="s">
        <v>453</v>
      </c>
      <c r="E928" s="118" t="s">
        <v>424</v>
      </c>
      <c r="F928" s="119">
        <v>100</v>
      </c>
      <c r="G928" s="119">
        <v>103.1944</v>
      </c>
      <c r="H928" s="119">
        <v>11.49</v>
      </c>
      <c r="I928" s="116">
        <v>2240</v>
      </c>
      <c r="J928" s="118" t="s">
        <v>269</v>
      </c>
    </row>
    <row r="929" spans="1:10" x14ac:dyDescent="0.25">
      <c r="A929" s="116">
        <v>926</v>
      </c>
      <c r="B929" s="117" t="s">
        <v>425</v>
      </c>
      <c r="C929" s="118" t="s">
        <v>426</v>
      </c>
      <c r="D929" s="118" t="s">
        <v>453</v>
      </c>
      <c r="E929" s="118" t="s">
        <v>424</v>
      </c>
      <c r="F929" s="119">
        <v>100</v>
      </c>
      <c r="G929" s="119">
        <v>105.4528</v>
      </c>
      <c r="H929" s="119">
        <v>12.99</v>
      </c>
      <c r="I929" s="116">
        <v>1109</v>
      </c>
      <c r="J929" s="118" t="s">
        <v>269</v>
      </c>
    </row>
    <row r="930" spans="1:10" x14ac:dyDescent="0.25">
      <c r="A930" s="116">
        <v>927</v>
      </c>
      <c r="B930" s="117" t="s">
        <v>1706</v>
      </c>
      <c r="C930" s="118" t="s">
        <v>1707</v>
      </c>
      <c r="D930" s="118" t="s">
        <v>453</v>
      </c>
      <c r="E930" s="118" t="s">
        <v>631</v>
      </c>
      <c r="F930" s="119">
        <v>100</v>
      </c>
      <c r="G930" s="119">
        <v>103.13330000000001</v>
      </c>
      <c r="H930" s="119">
        <v>7.99</v>
      </c>
      <c r="I930" s="116">
        <v>399</v>
      </c>
      <c r="J930" s="118" t="s">
        <v>269</v>
      </c>
    </row>
    <row r="931" spans="1:10" x14ac:dyDescent="0.25">
      <c r="A931" s="116">
        <v>928</v>
      </c>
      <c r="B931" s="117" t="s">
        <v>1708</v>
      </c>
      <c r="C931" s="118" t="s">
        <v>1709</v>
      </c>
      <c r="D931" s="118" t="s">
        <v>453</v>
      </c>
      <c r="E931" s="118" t="s">
        <v>631</v>
      </c>
      <c r="F931" s="119">
        <v>100</v>
      </c>
      <c r="G931" s="119">
        <v>103.13330000000001</v>
      </c>
      <c r="H931" s="119">
        <v>8</v>
      </c>
      <c r="I931" s="116">
        <v>2199</v>
      </c>
      <c r="J931" s="118" t="s">
        <v>269</v>
      </c>
    </row>
    <row r="932" spans="1:10" x14ac:dyDescent="0.25">
      <c r="A932" s="116">
        <v>929</v>
      </c>
      <c r="B932" s="117" t="s">
        <v>1710</v>
      </c>
      <c r="C932" s="118" t="s">
        <v>1711</v>
      </c>
      <c r="D932" s="118" t="s">
        <v>453</v>
      </c>
      <c r="E932" s="118" t="s">
        <v>631</v>
      </c>
      <c r="F932" s="119">
        <v>100</v>
      </c>
      <c r="G932" s="119">
        <v>100.13330000000001</v>
      </c>
      <c r="H932" s="119">
        <v>7.99</v>
      </c>
      <c r="I932" s="116">
        <v>174</v>
      </c>
      <c r="J932" s="118" t="s">
        <v>269</v>
      </c>
    </row>
    <row r="933" spans="1:10" x14ac:dyDescent="0.25">
      <c r="A933" s="116">
        <v>930</v>
      </c>
      <c r="B933" s="117" t="s">
        <v>1712</v>
      </c>
      <c r="C933" s="118" t="s">
        <v>1713</v>
      </c>
      <c r="D933" s="118" t="s">
        <v>453</v>
      </c>
      <c r="E933" s="118" t="s">
        <v>631</v>
      </c>
      <c r="F933" s="119">
        <v>100</v>
      </c>
      <c r="G933" s="119">
        <v>100.13330000000001</v>
      </c>
      <c r="H933" s="119">
        <v>7.99</v>
      </c>
      <c r="I933" s="116">
        <v>174</v>
      </c>
      <c r="J933" s="118" t="s">
        <v>269</v>
      </c>
    </row>
    <row r="934" spans="1:10" x14ac:dyDescent="0.25">
      <c r="A934" s="116">
        <v>931</v>
      </c>
      <c r="B934" s="117" t="s">
        <v>1714</v>
      </c>
      <c r="C934" s="118" t="s">
        <v>1715</v>
      </c>
      <c r="D934" s="118" t="s">
        <v>453</v>
      </c>
      <c r="E934" s="118" t="s">
        <v>631</v>
      </c>
      <c r="F934" s="119">
        <v>100</v>
      </c>
      <c r="G934" s="119">
        <v>100.13330000000001</v>
      </c>
      <c r="H934" s="119">
        <v>8</v>
      </c>
      <c r="I934" s="116">
        <v>534</v>
      </c>
      <c r="J934" s="118" t="s">
        <v>269</v>
      </c>
    </row>
    <row r="935" spans="1:10" x14ac:dyDescent="0.25">
      <c r="A935" s="116">
        <v>932</v>
      </c>
      <c r="B935" s="117" t="s">
        <v>1716</v>
      </c>
      <c r="C935" s="118" t="s">
        <v>1717</v>
      </c>
      <c r="D935" s="118" t="s">
        <v>453</v>
      </c>
      <c r="E935" s="118" t="s">
        <v>631</v>
      </c>
      <c r="F935" s="119">
        <v>100</v>
      </c>
      <c r="G935" s="119">
        <v>100.13330000000001</v>
      </c>
      <c r="H935" s="119">
        <v>8</v>
      </c>
      <c r="I935" s="116">
        <v>534</v>
      </c>
      <c r="J935" s="118" t="s">
        <v>269</v>
      </c>
    </row>
    <row r="936" spans="1:10" x14ac:dyDescent="0.25">
      <c r="A936" s="116">
        <v>933</v>
      </c>
      <c r="B936" s="117" t="s">
        <v>1718</v>
      </c>
      <c r="C936" s="118" t="s">
        <v>1719</v>
      </c>
      <c r="D936" s="118" t="s">
        <v>453</v>
      </c>
      <c r="E936" s="118" t="s">
        <v>1720</v>
      </c>
      <c r="F936" s="119">
        <v>90.796794434519924</v>
      </c>
      <c r="G936" s="119">
        <v>94.143294434519916</v>
      </c>
      <c r="H936" s="119">
        <v>23.47</v>
      </c>
      <c r="I936" s="116">
        <v>1379</v>
      </c>
      <c r="J936" s="118" t="s">
        <v>269</v>
      </c>
    </row>
    <row r="937" spans="1:10" x14ac:dyDescent="0.25">
      <c r="A937" s="116">
        <v>934</v>
      </c>
      <c r="B937" s="117" t="s">
        <v>1721</v>
      </c>
      <c r="C937" s="118" t="s">
        <v>1722</v>
      </c>
      <c r="D937" s="118" t="s">
        <v>453</v>
      </c>
      <c r="E937" s="118" t="s">
        <v>1723</v>
      </c>
      <c r="F937" s="119">
        <v>100</v>
      </c>
      <c r="G937" s="119">
        <v>100.9208</v>
      </c>
      <c r="H937" s="119">
        <v>4.2300000000000004</v>
      </c>
      <c r="I937" s="116">
        <v>222</v>
      </c>
      <c r="J937" s="118" t="s">
        <v>269</v>
      </c>
    </row>
    <row r="938" spans="1:10" x14ac:dyDescent="0.25">
      <c r="A938" s="116">
        <v>935</v>
      </c>
      <c r="B938" s="117" t="s">
        <v>1724</v>
      </c>
      <c r="C938" s="118" t="s">
        <v>1725</v>
      </c>
      <c r="D938" s="118" t="s">
        <v>453</v>
      </c>
      <c r="E938" s="118" t="s">
        <v>1723</v>
      </c>
      <c r="F938" s="119">
        <v>100</v>
      </c>
      <c r="G938" s="119">
        <v>100.1439</v>
      </c>
      <c r="H938" s="119">
        <v>0.35</v>
      </c>
      <c r="I938" s="116">
        <v>32</v>
      </c>
      <c r="J938" s="118" t="s">
        <v>269</v>
      </c>
    </row>
    <row r="939" spans="1:10" x14ac:dyDescent="0.25">
      <c r="A939" s="116">
        <v>936</v>
      </c>
      <c r="B939" s="117" t="s">
        <v>1726</v>
      </c>
      <c r="C939" s="118" t="s">
        <v>1727</v>
      </c>
      <c r="D939" s="118" t="s">
        <v>453</v>
      </c>
      <c r="E939" s="118" t="s">
        <v>1723</v>
      </c>
      <c r="F939" s="119">
        <v>100</v>
      </c>
      <c r="G939" s="119">
        <v>100.1293</v>
      </c>
      <c r="H939" s="119">
        <v>0.35</v>
      </c>
      <c r="I939" s="116">
        <v>227</v>
      </c>
      <c r="J939" s="118" t="s">
        <v>269</v>
      </c>
    </row>
    <row r="940" spans="1:10" x14ac:dyDescent="0.25">
      <c r="A940" s="116">
        <v>937</v>
      </c>
      <c r="B940" s="117" t="s">
        <v>2117</v>
      </c>
      <c r="C940" s="118" t="s">
        <v>2118</v>
      </c>
      <c r="D940" s="118" t="s">
        <v>453</v>
      </c>
      <c r="E940" s="118" t="s">
        <v>1723</v>
      </c>
      <c r="F940" s="119">
        <v>100</v>
      </c>
      <c r="G940" s="119">
        <v>100.15170000000001</v>
      </c>
      <c r="H940" s="119">
        <v>0.35</v>
      </c>
      <c r="I940" s="116">
        <v>564</v>
      </c>
      <c r="J940" s="118" t="s">
        <v>269</v>
      </c>
    </row>
    <row r="941" spans="1:10" x14ac:dyDescent="0.25">
      <c r="A941" s="116">
        <v>938</v>
      </c>
      <c r="B941" s="117" t="s">
        <v>1947</v>
      </c>
      <c r="C941" s="118" t="s">
        <v>1948</v>
      </c>
      <c r="D941" s="118" t="s">
        <v>453</v>
      </c>
      <c r="E941" s="118" t="s">
        <v>1723</v>
      </c>
      <c r="F941" s="119">
        <v>100</v>
      </c>
      <c r="G941" s="119">
        <v>100.0168</v>
      </c>
      <c r="H941" s="119">
        <v>0.02</v>
      </c>
      <c r="I941" s="116">
        <v>3040</v>
      </c>
      <c r="J941" s="118" t="s">
        <v>269</v>
      </c>
    </row>
    <row r="942" spans="1:10" x14ac:dyDescent="0.25">
      <c r="A942" s="116">
        <v>939</v>
      </c>
      <c r="B942" s="117" t="s">
        <v>1728</v>
      </c>
      <c r="C942" s="118" t="s">
        <v>1729</v>
      </c>
      <c r="D942" s="118" t="s">
        <v>453</v>
      </c>
      <c r="E942" s="118" t="s">
        <v>1723</v>
      </c>
      <c r="F942" s="119">
        <v>100</v>
      </c>
      <c r="G942" s="119">
        <v>105.8378</v>
      </c>
      <c r="H942" s="119">
        <v>7.05</v>
      </c>
      <c r="I942" s="116">
        <v>2137</v>
      </c>
      <c r="J942" s="118" t="s">
        <v>269</v>
      </c>
    </row>
    <row r="943" spans="1:10" x14ac:dyDescent="0.25">
      <c r="A943" s="116">
        <v>940</v>
      </c>
      <c r="B943" s="117" t="s">
        <v>1730</v>
      </c>
      <c r="C943" s="118" t="s">
        <v>1731</v>
      </c>
      <c r="D943" s="118" t="s">
        <v>453</v>
      </c>
      <c r="E943" s="118" t="s">
        <v>1723</v>
      </c>
      <c r="F943" s="119">
        <v>100</v>
      </c>
      <c r="G943" s="119">
        <v>100.0067</v>
      </c>
      <c r="H943" s="119">
        <v>0.02</v>
      </c>
      <c r="I943" s="116">
        <v>3040</v>
      </c>
      <c r="J943" s="118" t="s">
        <v>269</v>
      </c>
    </row>
    <row r="944" spans="1:10" x14ac:dyDescent="0.25">
      <c r="A944" s="116">
        <v>941</v>
      </c>
      <c r="B944" s="117" t="s">
        <v>1732</v>
      </c>
      <c r="C944" s="118" t="s">
        <v>1733</v>
      </c>
      <c r="D944" s="118" t="s">
        <v>453</v>
      </c>
      <c r="E944" s="118" t="s">
        <v>1723</v>
      </c>
      <c r="F944" s="119">
        <v>100</v>
      </c>
      <c r="G944" s="119">
        <v>100.0072</v>
      </c>
      <c r="H944" s="119">
        <v>0.02</v>
      </c>
      <c r="I944" s="116">
        <v>3040</v>
      </c>
      <c r="J944" s="118" t="s">
        <v>269</v>
      </c>
    </row>
    <row r="945" spans="1:10" x14ac:dyDescent="0.25">
      <c r="A945" s="116">
        <v>942</v>
      </c>
      <c r="B945" s="117" t="s">
        <v>1734</v>
      </c>
      <c r="C945" s="118" t="s">
        <v>1735</v>
      </c>
      <c r="D945" s="118" t="s">
        <v>453</v>
      </c>
      <c r="E945" s="118" t="s">
        <v>1723</v>
      </c>
      <c r="F945" s="119">
        <v>100</v>
      </c>
      <c r="G945" s="119">
        <v>101.9486</v>
      </c>
      <c r="H945" s="119">
        <v>6.08</v>
      </c>
      <c r="I945" s="116">
        <v>1655</v>
      </c>
      <c r="J945" s="118" t="s">
        <v>269</v>
      </c>
    </row>
    <row r="946" spans="1:10" x14ac:dyDescent="0.25">
      <c r="A946" s="116">
        <v>943</v>
      </c>
      <c r="B946" s="117" t="s">
        <v>1736</v>
      </c>
      <c r="C946" s="118" t="s">
        <v>1737</v>
      </c>
      <c r="D946" s="118" t="s">
        <v>453</v>
      </c>
      <c r="E946" s="118" t="s">
        <v>1723</v>
      </c>
      <c r="F946" s="119">
        <v>100</v>
      </c>
      <c r="G946" s="119">
        <v>101.1183</v>
      </c>
      <c r="H946" s="119">
        <v>6.08</v>
      </c>
      <c r="I946" s="116">
        <v>2064</v>
      </c>
      <c r="J946" s="118" t="s">
        <v>269</v>
      </c>
    </row>
    <row r="947" spans="1:10" x14ac:dyDescent="0.25">
      <c r="A947" s="116">
        <v>944</v>
      </c>
      <c r="B947" s="117" t="s">
        <v>1738</v>
      </c>
      <c r="C947" s="118" t="s">
        <v>1739</v>
      </c>
      <c r="D947" s="118" t="s">
        <v>453</v>
      </c>
      <c r="E947" s="118" t="s">
        <v>1723</v>
      </c>
      <c r="F947" s="119">
        <v>100</v>
      </c>
      <c r="G947" s="119">
        <v>103.8633</v>
      </c>
      <c r="H947" s="119">
        <v>6.06</v>
      </c>
      <c r="I947" s="116">
        <v>2562</v>
      </c>
      <c r="J947" s="118" t="s">
        <v>269</v>
      </c>
    </row>
    <row r="948" spans="1:10" x14ac:dyDescent="0.25">
      <c r="A948" s="116">
        <v>945</v>
      </c>
      <c r="B948" s="117" t="s">
        <v>1740</v>
      </c>
      <c r="C948" s="118" t="s">
        <v>1741</v>
      </c>
      <c r="D948" s="118" t="s">
        <v>453</v>
      </c>
      <c r="E948" s="118" t="s">
        <v>1723</v>
      </c>
      <c r="F948" s="119">
        <v>100</v>
      </c>
      <c r="G948" s="119">
        <v>106.06610000000001</v>
      </c>
      <c r="H948" s="119">
        <v>6.09</v>
      </c>
      <c r="I948" s="116">
        <v>2492</v>
      </c>
      <c r="J948" s="118" t="s">
        <v>269</v>
      </c>
    </row>
    <row r="949" spans="1:10" x14ac:dyDescent="0.25">
      <c r="A949" s="116">
        <v>946</v>
      </c>
      <c r="B949" s="117" t="s">
        <v>1742</v>
      </c>
      <c r="C949" s="118" t="s">
        <v>1743</v>
      </c>
      <c r="D949" s="118" t="s">
        <v>453</v>
      </c>
      <c r="E949" s="118" t="s">
        <v>1723</v>
      </c>
      <c r="F949" s="119">
        <v>100</v>
      </c>
      <c r="G949" s="119">
        <v>106.06610000000001</v>
      </c>
      <c r="H949" s="119">
        <v>6.09</v>
      </c>
      <c r="I949" s="116">
        <v>2492</v>
      </c>
      <c r="J949" s="118" t="s">
        <v>269</v>
      </c>
    </row>
    <row r="950" spans="1:10" x14ac:dyDescent="0.25">
      <c r="A950" s="116">
        <v>947</v>
      </c>
      <c r="B950" s="117" t="s">
        <v>1744</v>
      </c>
      <c r="C950" s="118" t="s">
        <v>1745</v>
      </c>
      <c r="D950" s="118" t="s">
        <v>453</v>
      </c>
      <c r="E950" s="118" t="s">
        <v>1723</v>
      </c>
      <c r="F950" s="119">
        <v>100</v>
      </c>
      <c r="G950" s="119">
        <v>104.9308</v>
      </c>
      <c r="H950" s="119">
        <v>6.08</v>
      </c>
      <c r="I950" s="116">
        <v>2559</v>
      </c>
      <c r="J950" s="118" t="s">
        <v>269</v>
      </c>
    </row>
    <row r="951" spans="1:10" x14ac:dyDescent="0.25">
      <c r="A951" s="116">
        <v>948</v>
      </c>
      <c r="B951" s="117" t="s">
        <v>1746</v>
      </c>
      <c r="C951" s="118" t="s">
        <v>1747</v>
      </c>
      <c r="D951" s="118" t="s">
        <v>753</v>
      </c>
      <c r="E951" s="118" t="s">
        <v>1072</v>
      </c>
      <c r="F951" s="119">
        <v>48906.583200000008</v>
      </c>
      <c r="G951" s="119">
        <v>48906.583200000008</v>
      </c>
      <c r="H951" s="119">
        <v>0</v>
      </c>
      <c r="I951" s="116">
        <v>0</v>
      </c>
      <c r="J951" s="118" t="s">
        <v>238</v>
      </c>
    </row>
    <row r="952" spans="1:10" x14ac:dyDescent="0.25">
      <c r="A952" s="116">
        <v>949</v>
      </c>
      <c r="B952" s="117" t="s">
        <v>1748</v>
      </c>
      <c r="C952" s="118" t="s">
        <v>1749</v>
      </c>
      <c r="D952" s="118" t="s">
        <v>453</v>
      </c>
      <c r="E952" s="118" t="s">
        <v>2063</v>
      </c>
      <c r="F952" s="119">
        <v>95.636998371151734</v>
      </c>
      <c r="G952" s="119">
        <v>101.18839837115173</v>
      </c>
      <c r="H952" s="119">
        <v>20.62</v>
      </c>
      <c r="I952" s="116">
        <v>185</v>
      </c>
      <c r="J952" s="118" t="s">
        <v>269</v>
      </c>
    </row>
    <row r="953" spans="1:10" x14ac:dyDescent="0.25">
      <c r="A953" s="116">
        <v>950</v>
      </c>
      <c r="B953" s="117" t="s">
        <v>1750</v>
      </c>
      <c r="C953" s="118" t="s">
        <v>1751</v>
      </c>
      <c r="D953" s="118" t="s">
        <v>453</v>
      </c>
      <c r="E953" s="118" t="s">
        <v>2063</v>
      </c>
      <c r="F953" s="119">
        <v>87.690910411459541</v>
      </c>
      <c r="G953" s="119">
        <v>90.257610411459552</v>
      </c>
      <c r="H953" s="119">
        <v>19.54</v>
      </c>
      <c r="I953" s="116">
        <v>634</v>
      </c>
      <c r="J953" s="118" t="s">
        <v>269</v>
      </c>
    </row>
    <row r="954" spans="1:10" x14ac:dyDescent="0.25">
      <c r="A954" s="116">
        <v>951</v>
      </c>
      <c r="B954" s="117" t="s">
        <v>1752</v>
      </c>
      <c r="C954" s="118" t="s">
        <v>1753</v>
      </c>
      <c r="D954" s="118" t="s">
        <v>453</v>
      </c>
      <c r="E954" s="118" t="s">
        <v>2063</v>
      </c>
      <c r="F954" s="119">
        <v>27.022849481919831</v>
      </c>
      <c r="G954" s="119">
        <v>27.356149481919832</v>
      </c>
      <c r="H954" s="119">
        <v>19.82</v>
      </c>
      <c r="I954" s="116">
        <v>3180</v>
      </c>
      <c r="J954" s="118" t="s">
        <v>269</v>
      </c>
    </row>
    <row r="955" spans="1:10" x14ac:dyDescent="0.25">
      <c r="A955" s="116">
        <v>952</v>
      </c>
      <c r="B955" s="117" t="s">
        <v>1754</v>
      </c>
      <c r="C955" s="118" t="s">
        <v>1755</v>
      </c>
      <c r="D955" s="118" t="s">
        <v>453</v>
      </c>
      <c r="E955" s="118" t="s">
        <v>2063</v>
      </c>
      <c r="F955" s="119">
        <v>65.893619620883428</v>
      </c>
      <c r="G955" s="119">
        <v>66.436719620883423</v>
      </c>
      <c r="H955" s="119">
        <v>19.77</v>
      </c>
      <c r="I955" s="116">
        <v>3223</v>
      </c>
      <c r="J955" s="118" t="s">
        <v>269</v>
      </c>
    </row>
    <row r="956" spans="1:10" x14ac:dyDescent="0.25">
      <c r="A956" s="116">
        <v>953</v>
      </c>
      <c r="B956" s="117" t="s">
        <v>1756</v>
      </c>
      <c r="C956" s="118" t="s">
        <v>1757</v>
      </c>
      <c r="D956" s="118" t="s">
        <v>453</v>
      </c>
      <c r="E956" s="118" t="s">
        <v>2063</v>
      </c>
      <c r="F956" s="119">
        <v>65.960296907617035</v>
      </c>
      <c r="G956" s="119">
        <v>67.174196907617045</v>
      </c>
      <c r="H956" s="119">
        <v>19.760000000000002</v>
      </c>
      <c r="I956" s="116">
        <v>3202</v>
      </c>
      <c r="J956" s="118" t="s">
        <v>269</v>
      </c>
    </row>
    <row r="957" spans="1:10" x14ac:dyDescent="0.25">
      <c r="A957" s="116">
        <v>954</v>
      </c>
      <c r="B957" s="117" t="s">
        <v>1758</v>
      </c>
      <c r="C957" s="118" t="s">
        <v>1759</v>
      </c>
      <c r="D957" s="118" t="s">
        <v>443</v>
      </c>
      <c r="E957" s="118" t="s">
        <v>1760</v>
      </c>
      <c r="F957" s="119">
        <v>0.01</v>
      </c>
      <c r="G957" s="119">
        <v>0.01</v>
      </c>
      <c r="H957" s="119">
        <v>0</v>
      </c>
      <c r="I957" s="116">
        <v>0</v>
      </c>
      <c r="J957" s="118" t="s">
        <v>238</v>
      </c>
    </row>
    <row r="958" spans="1:10" x14ac:dyDescent="0.25">
      <c r="A958" s="116">
        <v>955</v>
      </c>
      <c r="B958" s="117" t="s">
        <v>1761</v>
      </c>
      <c r="C958" s="118" t="s">
        <v>1762</v>
      </c>
      <c r="D958" s="118" t="s">
        <v>443</v>
      </c>
      <c r="E958" s="118" t="s">
        <v>1763</v>
      </c>
      <c r="F958" s="119">
        <v>2740</v>
      </c>
      <c r="G958" s="119">
        <v>2740</v>
      </c>
      <c r="H958" s="119">
        <v>0</v>
      </c>
      <c r="I958" s="116">
        <v>0</v>
      </c>
      <c r="J958" s="118" t="s">
        <v>238</v>
      </c>
    </row>
    <row r="959" spans="1:10" x14ac:dyDescent="0.25">
      <c r="A959" s="116">
        <v>956</v>
      </c>
      <c r="B959" s="117" t="s">
        <v>1764</v>
      </c>
      <c r="C959" s="118" t="s">
        <v>1765</v>
      </c>
      <c r="D959" s="118" t="s">
        <v>453</v>
      </c>
      <c r="E959" s="118" t="s">
        <v>1766</v>
      </c>
      <c r="F959" s="119">
        <v>106.22859551020755</v>
      </c>
      <c r="G959" s="119">
        <v>109.91399551020756</v>
      </c>
      <c r="H959" s="119">
        <v>5.65</v>
      </c>
      <c r="I959" s="116">
        <v>1266</v>
      </c>
      <c r="J959" s="118" t="s">
        <v>269</v>
      </c>
    </row>
    <row r="960" spans="1:10" x14ac:dyDescent="0.25">
      <c r="A960" s="116">
        <v>957</v>
      </c>
      <c r="B960" s="117" t="s">
        <v>1767</v>
      </c>
      <c r="C960" s="118" t="s">
        <v>1768</v>
      </c>
      <c r="D960" s="118" t="s">
        <v>443</v>
      </c>
      <c r="E960" s="118" t="s">
        <v>2202</v>
      </c>
      <c r="F960" s="119">
        <v>0.01</v>
      </c>
      <c r="G960" s="119">
        <v>0.01</v>
      </c>
      <c r="H960" s="119">
        <v>0</v>
      </c>
      <c r="I960" s="116">
        <v>0</v>
      </c>
      <c r="J960" s="118" t="s">
        <v>238</v>
      </c>
    </row>
    <row r="961" spans="1:10" x14ac:dyDescent="0.25">
      <c r="A961" s="116">
        <v>958</v>
      </c>
      <c r="B961" s="117" t="s">
        <v>1769</v>
      </c>
      <c r="C961" s="118" t="s">
        <v>1770</v>
      </c>
      <c r="D961" s="118" t="s">
        <v>453</v>
      </c>
      <c r="E961" s="118" t="s">
        <v>2202</v>
      </c>
      <c r="F961" s="119">
        <v>83.987943254266469</v>
      </c>
      <c r="G961" s="119">
        <v>87.387943254266474</v>
      </c>
      <c r="H961" s="119">
        <v>16.78</v>
      </c>
      <c r="I961" s="116">
        <v>944</v>
      </c>
      <c r="J961" s="118" t="s">
        <v>269</v>
      </c>
    </row>
    <row r="962" spans="1:10" x14ac:dyDescent="0.25">
      <c r="A962" s="116">
        <v>959</v>
      </c>
      <c r="B962" s="117" t="s">
        <v>1771</v>
      </c>
      <c r="C962" s="118" t="s">
        <v>1772</v>
      </c>
      <c r="D962" s="118" t="s">
        <v>453</v>
      </c>
      <c r="E962" s="118" t="s">
        <v>2202</v>
      </c>
      <c r="F962" s="119">
        <v>9.0577219339853858</v>
      </c>
      <c r="G962" s="119">
        <v>9.1144219339853851</v>
      </c>
      <c r="H962" s="119">
        <v>17.2</v>
      </c>
      <c r="I962" s="116">
        <v>5411</v>
      </c>
      <c r="J962" s="118" t="s">
        <v>269</v>
      </c>
    </row>
    <row r="963" spans="1:10" x14ac:dyDescent="0.25">
      <c r="A963" s="116">
        <v>960</v>
      </c>
      <c r="B963" s="117" t="s">
        <v>1773</v>
      </c>
      <c r="C963" s="118" t="s">
        <v>1774</v>
      </c>
      <c r="D963" s="118" t="s">
        <v>453</v>
      </c>
      <c r="E963" s="118" t="s">
        <v>2202</v>
      </c>
      <c r="F963" s="119">
        <v>26.357697833508084</v>
      </c>
      <c r="G963" s="119">
        <v>26.430497833508085</v>
      </c>
      <c r="H963" s="119">
        <v>17.72</v>
      </c>
      <c r="I963" s="116">
        <v>2978</v>
      </c>
      <c r="J963" s="118" t="s">
        <v>269</v>
      </c>
    </row>
    <row r="964" spans="1:10" x14ac:dyDescent="0.25">
      <c r="A964" s="116">
        <v>961</v>
      </c>
      <c r="B964" s="117" t="s">
        <v>1775</v>
      </c>
      <c r="C964" s="118" t="s">
        <v>1776</v>
      </c>
      <c r="D964" s="118" t="s">
        <v>453</v>
      </c>
      <c r="E964" s="118" t="s">
        <v>2202</v>
      </c>
      <c r="F964" s="119">
        <v>26.357697833508084</v>
      </c>
      <c r="G964" s="119">
        <v>26.430497833508085</v>
      </c>
      <c r="H964" s="119">
        <v>17.72</v>
      </c>
      <c r="I964" s="116">
        <v>2978</v>
      </c>
      <c r="J964" s="118" t="s">
        <v>269</v>
      </c>
    </row>
    <row r="965" spans="1:10" x14ac:dyDescent="0.25">
      <c r="A965" s="116">
        <v>962</v>
      </c>
      <c r="B965" s="117" t="s">
        <v>1777</v>
      </c>
      <c r="C965" s="118" t="s">
        <v>1778</v>
      </c>
      <c r="D965" s="118" t="s">
        <v>453</v>
      </c>
      <c r="E965" s="118" t="s">
        <v>2202</v>
      </c>
      <c r="F965" s="119">
        <v>4.2985760033473381</v>
      </c>
      <c r="G965" s="119">
        <v>4.3693760033473383</v>
      </c>
      <c r="H965" s="119">
        <v>17.43</v>
      </c>
      <c r="I965" s="116">
        <v>7211</v>
      </c>
      <c r="J965" s="118" t="s">
        <v>269</v>
      </c>
    </row>
    <row r="966" spans="1:10" x14ac:dyDescent="0.25">
      <c r="A966" s="116">
        <v>963</v>
      </c>
      <c r="B966" s="117" t="s">
        <v>1779</v>
      </c>
      <c r="C966" s="118" t="s">
        <v>1780</v>
      </c>
      <c r="D966" s="118" t="s">
        <v>453</v>
      </c>
      <c r="E966" s="118" t="s">
        <v>2202</v>
      </c>
      <c r="F966" s="119">
        <v>9.0591472942591391</v>
      </c>
      <c r="G966" s="119">
        <v>9.1577472942591385</v>
      </c>
      <c r="H966" s="119">
        <v>16.41</v>
      </c>
      <c r="I966" s="116">
        <v>5411</v>
      </c>
      <c r="J966" s="118" t="s">
        <v>269</v>
      </c>
    </row>
    <row r="967" spans="1:10" x14ac:dyDescent="0.25">
      <c r="A967" s="116">
        <v>964</v>
      </c>
      <c r="B967" s="117" t="s">
        <v>229</v>
      </c>
      <c r="C967" s="118" t="s">
        <v>230</v>
      </c>
      <c r="D967" s="118" t="s">
        <v>453</v>
      </c>
      <c r="E967" s="118" t="s">
        <v>2202</v>
      </c>
      <c r="F967" s="119">
        <v>26.511089682339264</v>
      </c>
      <c r="G967" s="119">
        <v>26.512489682339265</v>
      </c>
      <c r="H967" s="119">
        <v>16.66</v>
      </c>
      <c r="I967" s="116">
        <v>2965</v>
      </c>
      <c r="J967" s="118" t="s">
        <v>269</v>
      </c>
    </row>
    <row r="968" spans="1:10" x14ac:dyDescent="0.25">
      <c r="A968" s="116">
        <v>965</v>
      </c>
      <c r="B968" s="117" t="s">
        <v>1781</v>
      </c>
      <c r="C968" s="118" t="s">
        <v>1782</v>
      </c>
      <c r="D968" s="118" t="s">
        <v>453</v>
      </c>
      <c r="E968" s="118" t="s">
        <v>2202</v>
      </c>
      <c r="F968" s="119">
        <v>26.42744635297338</v>
      </c>
      <c r="G968" s="119">
        <v>26.501846352973381</v>
      </c>
      <c r="H968" s="119">
        <v>17.72</v>
      </c>
      <c r="I968" s="116">
        <v>2972</v>
      </c>
      <c r="J968" s="118" t="s">
        <v>269</v>
      </c>
    </row>
    <row r="969" spans="1:10" x14ac:dyDescent="0.25">
      <c r="A969" s="116">
        <v>966</v>
      </c>
      <c r="B969" s="117" t="s">
        <v>1783</v>
      </c>
      <c r="C969" s="118" t="s">
        <v>1784</v>
      </c>
      <c r="D969" s="118" t="s">
        <v>453</v>
      </c>
      <c r="E969" s="118" t="s">
        <v>2202</v>
      </c>
      <c r="F969" s="119">
        <v>26.357697833508084</v>
      </c>
      <c r="G969" s="119">
        <v>26.430497833508085</v>
      </c>
      <c r="H969" s="119">
        <v>17.72</v>
      </c>
      <c r="I969" s="116">
        <v>2978</v>
      </c>
      <c r="J969" s="118" t="s">
        <v>269</v>
      </c>
    </row>
    <row r="970" spans="1:10" x14ac:dyDescent="0.25">
      <c r="A970" s="116">
        <v>967</v>
      </c>
      <c r="B970" s="117" t="s">
        <v>231</v>
      </c>
      <c r="C970" s="118" t="s">
        <v>232</v>
      </c>
      <c r="D970" s="118" t="s">
        <v>453</v>
      </c>
      <c r="E970" s="118" t="s">
        <v>2202</v>
      </c>
      <c r="F970" s="119">
        <v>26.42744635297338</v>
      </c>
      <c r="G970" s="119">
        <v>26.501846352973381</v>
      </c>
      <c r="H970" s="119">
        <v>17.72</v>
      </c>
      <c r="I970" s="116">
        <v>2972</v>
      </c>
      <c r="J970" s="118" t="s">
        <v>269</v>
      </c>
    </row>
    <row r="971" spans="1:10" x14ac:dyDescent="0.25">
      <c r="A971" s="116">
        <v>968</v>
      </c>
      <c r="B971" s="117" t="s">
        <v>1785</v>
      </c>
      <c r="C971" s="118" t="s">
        <v>1786</v>
      </c>
      <c r="D971" s="118" t="s">
        <v>453</v>
      </c>
      <c r="E971" s="118" t="s">
        <v>2202</v>
      </c>
      <c r="F971" s="119">
        <v>98.44298182408528</v>
      </c>
      <c r="G971" s="119">
        <v>105.84298182408529</v>
      </c>
      <c r="H971" s="119">
        <v>17.98</v>
      </c>
      <c r="I971" s="116">
        <v>64</v>
      </c>
      <c r="J971" s="118" t="s">
        <v>269</v>
      </c>
    </row>
    <row r="972" spans="1:10" x14ac:dyDescent="0.25">
      <c r="A972" s="116">
        <v>969</v>
      </c>
      <c r="B972" s="117" t="s">
        <v>1787</v>
      </c>
      <c r="C972" s="118" t="s">
        <v>1788</v>
      </c>
      <c r="D972" s="118" t="s">
        <v>453</v>
      </c>
      <c r="E972" s="118" t="s">
        <v>2202</v>
      </c>
      <c r="F972" s="119">
        <v>86.610834026493606</v>
      </c>
      <c r="G972" s="119">
        <v>88.673334026493606</v>
      </c>
      <c r="H972" s="119">
        <v>16.73</v>
      </c>
      <c r="I972" s="116">
        <v>621</v>
      </c>
      <c r="J972" s="118" t="s">
        <v>269</v>
      </c>
    </row>
    <row r="973" spans="1:10" x14ac:dyDescent="0.25">
      <c r="A973" s="116">
        <v>970</v>
      </c>
      <c r="B973" s="117" t="s">
        <v>1789</v>
      </c>
      <c r="C973" s="118" t="s">
        <v>1790</v>
      </c>
      <c r="D973" s="118" t="s">
        <v>443</v>
      </c>
      <c r="E973" s="118" t="s">
        <v>2202</v>
      </c>
      <c r="F973" s="119">
        <v>590</v>
      </c>
      <c r="G973" s="119">
        <v>590</v>
      </c>
      <c r="H973" s="119">
        <v>0</v>
      </c>
      <c r="I973" s="116">
        <v>0</v>
      </c>
      <c r="J973" s="118" t="s">
        <v>238</v>
      </c>
    </row>
    <row r="974" spans="1:10" x14ac:dyDescent="0.25">
      <c r="A974" s="116">
        <v>971</v>
      </c>
      <c r="B974" s="117" t="s">
        <v>1791</v>
      </c>
      <c r="C974" s="118" t="s">
        <v>1792</v>
      </c>
      <c r="D974" s="118" t="s">
        <v>443</v>
      </c>
      <c r="E974" s="118" t="s">
        <v>2557</v>
      </c>
      <c r="F974" s="119">
        <v>235735.16240000003</v>
      </c>
      <c r="G974" s="119">
        <v>235735.16240000003</v>
      </c>
      <c r="H974" s="119">
        <v>0</v>
      </c>
      <c r="I974" s="116">
        <v>0</v>
      </c>
      <c r="J974" s="118" t="s">
        <v>238</v>
      </c>
    </row>
    <row r="975" spans="1:10" x14ac:dyDescent="0.25">
      <c r="A975" s="116">
        <v>972</v>
      </c>
      <c r="B975" s="117" t="s">
        <v>2237</v>
      </c>
      <c r="C975" s="118" t="s">
        <v>2238</v>
      </c>
      <c r="D975" s="118" t="s">
        <v>453</v>
      </c>
      <c r="E975" s="118" t="s">
        <v>1795</v>
      </c>
      <c r="F975" s="119">
        <v>51.012804062444332</v>
      </c>
      <c r="G975" s="119">
        <v>51.512804062444332</v>
      </c>
      <c r="H975" s="119">
        <v>52.95</v>
      </c>
      <c r="I975" s="116">
        <v>980</v>
      </c>
      <c r="J975" s="118" t="s">
        <v>269</v>
      </c>
    </row>
    <row r="976" spans="1:10" x14ac:dyDescent="0.25">
      <c r="A976" s="116">
        <v>973</v>
      </c>
      <c r="B976" s="117" t="s">
        <v>1793</v>
      </c>
      <c r="C976" s="118" t="s">
        <v>1794</v>
      </c>
      <c r="D976" s="118" t="s">
        <v>453</v>
      </c>
      <c r="E976" s="118" t="s">
        <v>1795</v>
      </c>
      <c r="F976" s="119">
        <v>96.518433014730491</v>
      </c>
      <c r="G976" s="119">
        <v>99.462833014730492</v>
      </c>
      <c r="H976" s="119">
        <v>56.34</v>
      </c>
      <c r="I976" s="116">
        <v>37</v>
      </c>
      <c r="J976" s="118" t="s">
        <v>269</v>
      </c>
    </row>
    <row r="977" spans="1:10" x14ac:dyDescent="0.25">
      <c r="A977" s="116">
        <v>974</v>
      </c>
      <c r="B977" s="117" t="s">
        <v>1796</v>
      </c>
      <c r="C977" s="118" t="s">
        <v>1797</v>
      </c>
      <c r="D977" s="118" t="s">
        <v>453</v>
      </c>
      <c r="E977" s="118" t="s">
        <v>1795</v>
      </c>
      <c r="F977" s="119">
        <v>96.919013037574558</v>
      </c>
      <c r="G977" s="119">
        <v>100.14121303757456</v>
      </c>
      <c r="H977" s="119">
        <v>57.02</v>
      </c>
      <c r="I977" s="116">
        <v>32</v>
      </c>
      <c r="J977" s="118" t="s">
        <v>269</v>
      </c>
    </row>
    <row r="978" spans="1:10" x14ac:dyDescent="0.25">
      <c r="A978" s="116">
        <v>975</v>
      </c>
      <c r="B978" s="117" t="s">
        <v>1798</v>
      </c>
      <c r="C978" s="118" t="s">
        <v>1799</v>
      </c>
      <c r="D978" s="118" t="s">
        <v>443</v>
      </c>
      <c r="E978" s="118" t="s">
        <v>1800</v>
      </c>
      <c r="F978" s="119">
        <v>94492.498400000011</v>
      </c>
      <c r="G978" s="119">
        <v>94492.498400000011</v>
      </c>
      <c r="H978" s="119">
        <v>0</v>
      </c>
      <c r="I978" s="116">
        <v>0</v>
      </c>
      <c r="J978" s="118" t="s">
        <v>238</v>
      </c>
    </row>
    <row r="979" spans="1:10" x14ac:dyDescent="0.25">
      <c r="A979" s="116">
        <v>976</v>
      </c>
      <c r="B979" s="117" t="s">
        <v>1701</v>
      </c>
      <c r="C979" s="118" t="s">
        <v>1702</v>
      </c>
      <c r="D979" s="118" t="s">
        <v>443</v>
      </c>
      <c r="E979" s="118" t="s">
        <v>1703</v>
      </c>
      <c r="F979" s="119">
        <v>14178.042400000002</v>
      </c>
      <c r="G979" s="119">
        <v>14178.042400000002</v>
      </c>
      <c r="H979" s="119">
        <v>0</v>
      </c>
      <c r="I979" s="116">
        <v>0</v>
      </c>
      <c r="J979" s="118" t="s">
        <v>238</v>
      </c>
    </row>
    <row r="980" spans="1:10" x14ac:dyDescent="0.25">
      <c r="A980" s="116">
        <v>977</v>
      </c>
      <c r="B980" s="117" t="s">
        <v>1801</v>
      </c>
      <c r="C980" s="118" t="s">
        <v>1802</v>
      </c>
      <c r="D980" s="118" t="s">
        <v>443</v>
      </c>
      <c r="E980" s="118" t="s">
        <v>1803</v>
      </c>
      <c r="F980" s="119">
        <v>49718.600800000007</v>
      </c>
      <c r="G980" s="119">
        <v>49718.600800000007</v>
      </c>
      <c r="H980" s="119">
        <v>0</v>
      </c>
      <c r="I980" s="116">
        <v>0</v>
      </c>
      <c r="J980" s="118" t="s">
        <v>238</v>
      </c>
    </row>
    <row r="981" spans="1:10" x14ac:dyDescent="0.25">
      <c r="A981" s="116">
        <v>978</v>
      </c>
      <c r="B981" s="117" t="s">
        <v>1804</v>
      </c>
      <c r="C981" s="118" t="s">
        <v>1805</v>
      </c>
      <c r="D981" s="118" t="s">
        <v>443</v>
      </c>
      <c r="E981" s="118" t="s">
        <v>1806</v>
      </c>
      <c r="F981" s="119">
        <v>230803</v>
      </c>
      <c r="G981" s="119">
        <v>230803</v>
      </c>
      <c r="H981" s="119">
        <v>0</v>
      </c>
      <c r="I981" s="116">
        <v>0</v>
      </c>
      <c r="J981" s="118" t="s">
        <v>238</v>
      </c>
    </row>
    <row r="982" spans="1:10" x14ac:dyDescent="0.25">
      <c r="A982" s="116">
        <v>979</v>
      </c>
      <c r="B982" s="117" t="s">
        <v>1807</v>
      </c>
      <c r="C982" s="118" t="s">
        <v>1808</v>
      </c>
      <c r="D982" s="118" t="s">
        <v>753</v>
      </c>
      <c r="E982" s="118" t="s">
        <v>760</v>
      </c>
      <c r="F982" s="119">
        <v>28926.110400000005</v>
      </c>
      <c r="G982" s="119">
        <v>28926.110400000005</v>
      </c>
      <c r="H982" s="119">
        <v>0</v>
      </c>
      <c r="I982" s="116">
        <v>0</v>
      </c>
      <c r="J982" s="118" t="s">
        <v>238</v>
      </c>
    </row>
    <row r="983" spans="1:10" x14ac:dyDescent="0.25">
      <c r="A983" s="116">
        <v>980</v>
      </c>
      <c r="B983" s="117" t="s">
        <v>1840</v>
      </c>
      <c r="C983" s="118" t="s">
        <v>1841</v>
      </c>
      <c r="D983" s="118" t="s">
        <v>453</v>
      </c>
      <c r="E983" s="118" t="s">
        <v>1811</v>
      </c>
      <c r="F983" s="119">
        <v>98.03125</v>
      </c>
      <c r="G983" s="119">
        <v>98.664150000000006</v>
      </c>
      <c r="H983" s="119">
        <v>3.81</v>
      </c>
      <c r="I983" s="116">
        <v>2675</v>
      </c>
      <c r="J983" s="118" t="s">
        <v>269</v>
      </c>
    </row>
    <row r="984" spans="1:10" x14ac:dyDescent="0.25">
      <c r="A984" s="116">
        <v>981</v>
      </c>
      <c r="B984" s="117" t="s">
        <v>1842</v>
      </c>
      <c r="C984" s="118" t="s">
        <v>1843</v>
      </c>
      <c r="D984" s="118" t="s">
        <v>453</v>
      </c>
      <c r="E984" s="118" t="s">
        <v>1811</v>
      </c>
      <c r="F984" s="119">
        <v>100.1875</v>
      </c>
      <c r="G984" s="119">
        <v>100.8882</v>
      </c>
      <c r="H984" s="119">
        <v>3.85</v>
      </c>
      <c r="I984" s="116">
        <v>2856</v>
      </c>
      <c r="J984" s="118" t="s">
        <v>269</v>
      </c>
    </row>
    <row r="985" spans="1:10" x14ac:dyDescent="0.25">
      <c r="A985" s="116">
        <v>982</v>
      </c>
      <c r="B985" s="117" t="s">
        <v>1844</v>
      </c>
      <c r="C985" s="118" t="s">
        <v>1845</v>
      </c>
      <c r="D985" s="118" t="s">
        <v>453</v>
      </c>
      <c r="E985" s="118" t="s">
        <v>1811</v>
      </c>
      <c r="F985" s="119">
        <v>108.5546875</v>
      </c>
      <c r="G985" s="119">
        <v>109.52658750000001</v>
      </c>
      <c r="H985" s="119">
        <v>3.59</v>
      </c>
      <c r="I985" s="116">
        <v>1944</v>
      </c>
      <c r="J985" s="118" t="s">
        <v>269</v>
      </c>
    </row>
    <row r="986" spans="1:10" x14ac:dyDescent="0.25">
      <c r="A986" s="116">
        <v>983</v>
      </c>
      <c r="B986" s="117" t="s">
        <v>1846</v>
      </c>
      <c r="C986" s="118" t="s">
        <v>1847</v>
      </c>
      <c r="D986" s="118" t="s">
        <v>453</v>
      </c>
      <c r="E986" s="118" t="s">
        <v>1811</v>
      </c>
      <c r="F986" s="119">
        <v>97.921875</v>
      </c>
      <c r="G986" s="119">
        <v>98.458875000000006</v>
      </c>
      <c r="H986" s="119">
        <v>3.54</v>
      </c>
      <c r="I986" s="116">
        <v>437</v>
      </c>
      <c r="J986" s="118" t="s">
        <v>269</v>
      </c>
    </row>
    <row r="987" spans="1:10" x14ac:dyDescent="0.25">
      <c r="A987" s="116">
        <v>984</v>
      </c>
      <c r="B987" s="117" t="s">
        <v>1848</v>
      </c>
      <c r="C987" s="118" t="s">
        <v>1849</v>
      </c>
      <c r="D987" s="118" t="s">
        <v>453</v>
      </c>
      <c r="E987" s="118" t="s">
        <v>1811</v>
      </c>
      <c r="F987" s="119">
        <v>93.703125</v>
      </c>
      <c r="G987" s="119">
        <v>94.125024999999994</v>
      </c>
      <c r="H987" s="119">
        <v>3.47</v>
      </c>
      <c r="I987" s="116">
        <v>1168</v>
      </c>
      <c r="J987" s="118" t="s">
        <v>269</v>
      </c>
    </row>
    <row r="988" spans="1:10" x14ac:dyDescent="0.25">
      <c r="A988" s="116">
        <v>985</v>
      </c>
      <c r="B988" s="117" t="s">
        <v>1850</v>
      </c>
      <c r="C988" s="118" t="s">
        <v>1851</v>
      </c>
      <c r="D988" s="118" t="s">
        <v>453</v>
      </c>
      <c r="E988" s="118" t="s">
        <v>1811</v>
      </c>
      <c r="F988" s="119">
        <v>88.234375</v>
      </c>
      <c r="G988" s="119">
        <v>88.437775000000002</v>
      </c>
      <c r="H988" s="119">
        <v>3.57</v>
      </c>
      <c r="I988" s="116">
        <v>1944</v>
      </c>
      <c r="J988" s="118" t="s">
        <v>269</v>
      </c>
    </row>
    <row r="989" spans="1:10" x14ac:dyDescent="0.25">
      <c r="A989" s="116">
        <v>986</v>
      </c>
      <c r="B989" s="117" t="s">
        <v>1852</v>
      </c>
      <c r="C989" s="118" t="s">
        <v>1853</v>
      </c>
      <c r="D989" s="118" t="s">
        <v>453</v>
      </c>
      <c r="E989" s="118" t="s">
        <v>1811</v>
      </c>
      <c r="F989" s="119">
        <v>99.2890625</v>
      </c>
      <c r="G989" s="119">
        <v>99.388762499999999</v>
      </c>
      <c r="H989" s="119">
        <v>0.95</v>
      </c>
      <c r="I989" s="116">
        <v>452</v>
      </c>
      <c r="J989" s="118" t="s">
        <v>269</v>
      </c>
    </row>
    <row r="990" spans="1:10" x14ac:dyDescent="0.25">
      <c r="A990" s="116">
        <v>987</v>
      </c>
      <c r="B990" s="117" t="s">
        <v>1854</v>
      </c>
      <c r="C990" s="118" t="s">
        <v>1855</v>
      </c>
      <c r="D990" s="118" t="s">
        <v>453</v>
      </c>
      <c r="E990" s="118" t="s">
        <v>1811</v>
      </c>
      <c r="F990" s="119">
        <v>100.1015625</v>
      </c>
      <c r="G990" s="119">
        <v>101.99816250000001</v>
      </c>
      <c r="H990" s="119">
        <v>3.92</v>
      </c>
      <c r="I990" s="116">
        <v>41</v>
      </c>
      <c r="J990" s="118" t="s">
        <v>269</v>
      </c>
    </row>
    <row r="991" spans="1:10" x14ac:dyDescent="0.25">
      <c r="A991" s="116">
        <v>988</v>
      </c>
      <c r="B991" s="117" t="s">
        <v>1949</v>
      </c>
      <c r="C991" s="118" t="s">
        <v>1950</v>
      </c>
      <c r="D991" s="118" t="s">
        <v>453</v>
      </c>
      <c r="E991" s="118" t="s">
        <v>1811</v>
      </c>
      <c r="F991" s="119">
        <v>101.09765625</v>
      </c>
      <c r="G991" s="119">
        <v>103.09975625</v>
      </c>
      <c r="H991" s="119">
        <v>3.57</v>
      </c>
      <c r="I991" s="116">
        <v>391</v>
      </c>
      <c r="J991" s="118" t="s">
        <v>269</v>
      </c>
    </row>
    <row r="992" spans="1:10" x14ac:dyDescent="0.25">
      <c r="A992" s="116">
        <v>989</v>
      </c>
      <c r="B992" s="117" t="s">
        <v>1856</v>
      </c>
      <c r="C992" s="118" t="s">
        <v>1857</v>
      </c>
      <c r="D992" s="118" t="s">
        <v>453</v>
      </c>
      <c r="E992" s="118" t="s">
        <v>1811</v>
      </c>
      <c r="F992" s="119">
        <v>104.859375</v>
      </c>
      <c r="G992" s="119">
        <v>106.658675</v>
      </c>
      <c r="H992" s="119">
        <v>3.66</v>
      </c>
      <c r="I992" s="116">
        <v>2049</v>
      </c>
      <c r="J992" s="118" t="s">
        <v>269</v>
      </c>
    </row>
    <row r="993" spans="1:10" x14ac:dyDescent="0.25">
      <c r="A993" s="116">
        <v>990</v>
      </c>
      <c r="B993" s="117" t="s">
        <v>1858</v>
      </c>
      <c r="C993" s="118" t="s">
        <v>1859</v>
      </c>
      <c r="D993" s="118" t="s">
        <v>453</v>
      </c>
      <c r="E993" s="118" t="s">
        <v>1811</v>
      </c>
      <c r="F993" s="119">
        <v>103.359375</v>
      </c>
      <c r="G993" s="119">
        <v>105.253175</v>
      </c>
      <c r="H993" s="119">
        <v>3.91</v>
      </c>
      <c r="I993" s="116">
        <v>3129</v>
      </c>
      <c r="J993" s="118" t="s">
        <v>269</v>
      </c>
    </row>
    <row r="994" spans="1:10" x14ac:dyDescent="0.25">
      <c r="A994" s="116">
        <v>991</v>
      </c>
      <c r="B994" s="117" t="s">
        <v>1951</v>
      </c>
      <c r="C994" s="118" t="s">
        <v>1952</v>
      </c>
      <c r="D994" s="118" t="s">
        <v>453</v>
      </c>
      <c r="E994" s="118" t="s">
        <v>1811</v>
      </c>
      <c r="F994" s="119">
        <v>100.27734375</v>
      </c>
      <c r="G994" s="119">
        <v>100.91094375</v>
      </c>
      <c r="H994" s="119">
        <v>3.83</v>
      </c>
      <c r="I994" s="116">
        <v>131</v>
      </c>
      <c r="J994" s="118" t="s">
        <v>269</v>
      </c>
    </row>
    <row r="995" spans="1:10" x14ac:dyDescent="0.25">
      <c r="A995" s="116">
        <v>992</v>
      </c>
      <c r="B995" s="117" t="s">
        <v>1953</v>
      </c>
      <c r="C995" s="118" t="s">
        <v>1954</v>
      </c>
      <c r="D995" s="118" t="s">
        <v>453</v>
      </c>
      <c r="E995" s="118" t="s">
        <v>1811</v>
      </c>
      <c r="F995" s="119">
        <v>100.10546875</v>
      </c>
      <c r="G995" s="119">
        <v>101.04866875</v>
      </c>
      <c r="H995" s="119">
        <v>3.85</v>
      </c>
      <c r="I995" s="116">
        <v>103</v>
      </c>
      <c r="J995" s="118" t="s">
        <v>269</v>
      </c>
    </row>
    <row r="996" spans="1:10" x14ac:dyDescent="0.25">
      <c r="A996" s="116">
        <v>993</v>
      </c>
      <c r="B996" s="117" t="s">
        <v>1971</v>
      </c>
      <c r="C996" s="118" t="s">
        <v>1972</v>
      </c>
      <c r="D996" s="118" t="s">
        <v>453</v>
      </c>
      <c r="E996" s="118" t="s">
        <v>1811</v>
      </c>
      <c r="F996" s="119">
        <v>98.0390625</v>
      </c>
      <c r="G996" s="119">
        <v>98.809262500000003</v>
      </c>
      <c r="H996" s="119">
        <v>3.58</v>
      </c>
      <c r="I996" s="116">
        <v>376</v>
      </c>
      <c r="J996" s="118" t="s">
        <v>269</v>
      </c>
    </row>
    <row r="997" spans="1:10" x14ac:dyDescent="0.25">
      <c r="A997" s="116">
        <v>994</v>
      </c>
      <c r="B997" s="117" t="s">
        <v>1973</v>
      </c>
      <c r="C997" s="118" t="s">
        <v>1974</v>
      </c>
      <c r="D997" s="118" t="s">
        <v>453</v>
      </c>
      <c r="E997" s="118" t="s">
        <v>1811</v>
      </c>
      <c r="F997" s="119">
        <v>102.6875</v>
      </c>
      <c r="G997" s="119">
        <v>104.7437</v>
      </c>
      <c r="H997" s="119">
        <v>4.53</v>
      </c>
      <c r="I997" s="116">
        <v>6600</v>
      </c>
      <c r="J997" s="118" t="s">
        <v>269</v>
      </c>
    </row>
    <row r="998" spans="1:10" x14ac:dyDescent="0.25">
      <c r="A998" s="116">
        <v>995</v>
      </c>
      <c r="B998" s="117" t="s">
        <v>2132</v>
      </c>
      <c r="C998" s="118" t="s">
        <v>2133</v>
      </c>
      <c r="D998" s="118" t="s">
        <v>453</v>
      </c>
      <c r="E998" s="118" t="s">
        <v>1811</v>
      </c>
      <c r="F998" s="119">
        <v>99.854593682296937</v>
      </c>
      <c r="G998" s="119">
        <v>99.854593682296937</v>
      </c>
      <c r="H998" s="119">
        <v>5.24</v>
      </c>
      <c r="I998" s="116">
        <v>10</v>
      </c>
      <c r="J998" s="118" t="s">
        <v>269</v>
      </c>
    </row>
    <row r="999" spans="1:10" x14ac:dyDescent="0.25">
      <c r="A999" s="116">
        <v>996</v>
      </c>
      <c r="B999" s="117" t="s">
        <v>2134</v>
      </c>
      <c r="C999" s="118" t="s">
        <v>2135</v>
      </c>
      <c r="D999" s="118" t="s">
        <v>453</v>
      </c>
      <c r="E999" s="118" t="s">
        <v>1811</v>
      </c>
      <c r="F999" s="119">
        <v>99.536656862305975</v>
      </c>
      <c r="G999" s="119">
        <v>99.536656862305975</v>
      </c>
      <c r="H999" s="119">
        <v>4.3</v>
      </c>
      <c r="I999" s="116">
        <v>38</v>
      </c>
      <c r="J999" s="118" t="s">
        <v>269</v>
      </c>
    </row>
    <row r="1000" spans="1:10" x14ac:dyDescent="0.25">
      <c r="A1000" s="116">
        <v>997</v>
      </c>
      <c r="B1000" s="117" t="s">
        <v>2136</v>
      </c>
      <c r="C1000" s="118" t="s">
        <v>2137</v>
      </c>
      <c r="D1000" s="118" t="s">
        <v>453</v>
      </c>
      <c r="E1000" s="118" t="s">
        <v>1811</v>
      </c>
      <c r="F1000" s="119">
        <v>99.252162525416139</v>
      </c>
      <c r="G1000" s="119">
        <v>99.252162525416139</v>
      </c>
      <c r="H1000" s="119">
        <v>4.05</v>
      </c>
      <c r="I1000" s="116">
        <v>66</v>
      </c>
      <c r="J1000" s="118" t="s">
        <v>269</v>
      </c>
    </row>
    <row r="1001" spans="1:10" x14ac:dyDescent="0.25">
      <c r="A1001" s="116">
        <v>998</v>
      </c>
      <c r="B1001" s="117" t="s">
        <v>2138</v>
      </c>
      <c r="C1001" s="118" t="s">
        <v>2139</v>
      </c>
      <c r="D1001" s="118" t="s">
        <v>453</v>
      </c>
      <c r="E1001" s="118" t="s">
        <v>1811</v>
      </c>
      <c r="F1001" s="119">
        <v>98.991108742351656</v>
      </c>
      <c r="G1001" s="119">
        <v>98.991108742351656</v>
      </c>
      <c r="H1001" s="119">
        <v>3.9</v>
      </c>
      <c r="I1001" s="116">
        <v>92</v>
      </c>
      <c r="J1001" s="118" t="s">
        <v>269</v>
      </c>
    </row>
    <row r="1002" spans="1:10" x14ac:dyDescent="0.25">
      <c r="A1002" s="116">
        <v>999</v>
      </c>
      <c r="B1002" s="117" t="s">
        <v>2143</v>
      </c>
      <c r="C1002" s="118" t="s">
        <v>2144</v>
      </c>
      <c r="D1002" s="118" t="s">
        <v>453</v>
      </c>
      <c r="E1002" s="118" t="s">
        <v>1811</v>
      </c>
      <c r="F1002" s="119">
        <v>98.720721332685343</v>
      </c>
      <c r="G1002" s="119">
        <v>98.720721332685343</v>
      </c>
      <c r="H1002" s="119">
        <v>3.82</v>
      </c>
      <c r="I1002" s="116">
        <v>119</v>
      </c>
      <c r="J1002" s="118" t="s">
        <v>269</v>
      </c>
    </row>
    <row r="1003" spans="1:10" x14ac:dyDescent="0.25">
      <c r="A1003" s="116">
        <v>1000</v>
      </c>
      <c r="B1003" s="117" t="s">
        <v>2145</v>
      </c>
      <c r="C1003" s="118" t="s">
        <v>2146</v>
      </c>
      <c r="D1003" s="118" t="s">
        <v>453</v>
      </c>
      <c r="E1003" s="118" t="s">
        <v>1811</v>
      </c>
      <c r="F1003" s="119">
        <v>98.453221309654325</v>
      </c>
      <c r="G1003" s="119">
        <v>98.453221309654325</v>
      </c>
      <c r="H1003" s="119">
        <v>3.77</v>
      </c>
      <c r="I1003" s="116">
        <v>149</v>
      </c>
      <c r="J1003" s="118" t="s">
        <v>269</v>
      </c>
    </row>
    <row r="1004" spans="1:10" x14ac:dyDescent="0.25">
      <c r="A1004" s="116">
        <v>1001</v>
      </c>
      <c r="B1004" s="117" t="s">
        <v>2225</v>
      </c>
      <c r="C1004" s="118" t="s">
        <v>2226</v>
      </c>
      <c r="D1004" s="118" t="s">
        <v>453</v>
      </c>
      <c r="E1004" s="118" t="s">
        <v>1811</v>
      </c>
      <c r="F1004" s="119">
        <v>100.73046875</v>
      </c>
      <c r="G1004" s="119">
        <v>101.64586875000001</v>
      </c>
      <c r="H1004" s="119">
        <v>3.53</v>
      </c>
      <c r="I1004" s="116">
        <v>468</v>
      </c>
      <c r="J1004" s="118" t="s">
        <v>269</v>
      </c>
    </row>
    <row r="1005" spans="1:10" x14ac:dyDescent="0.25">
      <c r="A1005" s="116">
        <v>1002</v>
      </c>
      <c r="B1005" s="117" t="s">
        <v>2227</v>
      </c>
      <c r="C1005" s="118" t="s">
        <v>2228</v>
      </c>
      <c r="D1005" s="118" t="s">
        <v>453</v>
      </c>
      <c r="E1005" s="118" t="s">
        <v>1811</v>
      </c>
      <c r="F1005" s="119">
        <v>98.184600822664223</v>
      </c>
      <c r="G1005" s="119">
        <v>98.184600822664223</v>
      </c>
      <c r="H1005" s="119">
        <v>3.74</v>
      </c>
      <c r="I1005" s="116">
        <v>176</v>
      </c>
      <c r="J1005" s="118" t="s">
        <v>269</v>
      </c>
    </row>
    <row r="1006" spans="1:10" x14ac:dyDescent="0.25">
      <c r="A1006" s="116">
        <v>1003</v>
      </c>
      <c r="B1006" s="117" t="s">
        <v>2229</v>
      </c>
      <c r="C1006" s="118" t="s">
        <v>2230</v>
      </c>
      <c r="D1006" s="118" t="s">
        <v>453</v>
      </c>
      <c r="E1006" s="118" t="s">
        <v>1811</v>
      </c>
      <c r="F1006" s="119">
        <v>97.979252757146369</v>
      </c>
      <c r="G1006" s="119">
        <v>97.979252757146369</v>
      </c>
      <c r="H1006" s="119">
        <v>3.6</v>
      </c>
      <c r="I1006" s="116">
        <v>204</v>
      </c>
      <c r="J1006" s="118" t="s">
        <v>269</v>
      </c>
    </row>
    <row r="1007" spans="1:10" x14ac:dyDescent="0.25">
      <c r="A1007" s="116">
        <v>1004</v>
      </c>
      <c r="B1007" s="117" t="s">
        <v>1809</v>
      </c>
      <c r="C1007" s="118" t="s">
        <v>1810</v>
      </c>
      <c r="D1007" s="118" t="s">
        <v>453</v>
      </c>
      <c r="E1007" s="118" t="s">
        <v>1811</v>
      </c>
      <c r="F1007" s="119">
        <v>109.4453125</v>
      </c>
      <c r="G1007" s="119">
        <v>110.5528125</v>
      </c>
      <c r="H1007" s="119">
        <v>3.46</v>
      </c>
      <c r="I1007" s="116">
        <v>1395</v>
      </c>
      <c r="J1007" s="118" t="s">
        <v>269</v>
      </c>
    </row>
    <row r="1008" spans="1:10" x14ac:dyDescent="0.25">
      <c r="A1008" s="116">
        <v>1005</v>
      </c>
      <c r="B1008" s="117" t="s">
        <v>1812</v>
      </c>
      <c r="C1008" s="118" t="s">
        <v>1813</v>
      </c>
      <c r="D1008" s="118" t="s">
        <v>453</v>
      </c>
      <c r="E1008" s="118" t="s">
        <v>1811</v>
      </c>
      <c r="F1008" s="119">
        <v>87.5078125</v>
      </c>
      <c r="G1008" s="119">
        <v>87.886612499999998</v>
      </c>
      <c r="H1008" s="119">
        <v>3.59</v>
      </c>
      <c r="I1008" s="116">
        <v>1852</v>
      </c>
      <c r="J1008" s="118" t="s">
        <v>269</v>
      </c>
    </row>
    <row r="1009" spans="1:10" x14ac:dyDescent="0.25">
      <c r="A1009" s="116">
        <v>1006</v>
      </c>
      <c r="B1009" s="117" t="s">
        <v>1814</v>
      </c>
      <c r="C1009" s="118" t="s">
        <v>1815</v>
      </c>
      <c r="D1009" s="118" t="s">
        <v>453</v>
      </c>
      <c r="E1009" s="118" t="s">
        <v>1811</v>
      </c>
      <c r="F1009" s="119">
        <v>79.703125</v>
      </c>
      <c r="G1009" s="119">
        <v>81.001724999999993</v>
      </c>
      <c r="H1009" s="119">
        <v>4.6100000000000003</v>
      </c>
      <c r="I1009" s="116">
        <v>6966</v>
      </c>
      <c r="J1009" s="118" t="s">
        <v>269</v>
      </c>
    </row>
    <row r="1010" spans="1:10" x14ac:dyDescent="0.25">
      <c r="A1010" s="116">
        <v>1007</v>
      </c>
      <c r="B1010" s="117" t="s">
        <v>1816</v>
      </c>
      <c r="C1010" s="118" t="s">
        <v>1817</v>
      </c>
      <c r="D1010" s="118" t="s">
        <v>453</v>
      </c>
      <c r="E1010" s="118" t="s">
        <v>1811</v>
      </c>
      <c r="F1010" s="119">
        <v>75.375</v>
      </c>
      <c r="G1010" s="119">
        <v>76.349000000000004</v>
      </c>
      <c r="H1010" s="119">
        <v>4.46</v>
      </c>
      <c r="I1010" s="116">
        <v>5686</v>
      </c>
      <c r="J1010" s="118" t="s">
        <v>269</v>
      </c>
    </row>
    <row r="1011" spans="1:10" x14ac:dyDescent="0.25">
      <c r="A1011" s="116">
        <v>1008</v>
      </c>
      <c r="B1011" s="117" t="s">
        <v>1818</v>
      </c>
      <c r="C1011" s="118" t="s">
        <v>1819</v>
      </c>
      <c r="D1011" s="118" t="s">
        <v>453</v>
      </c>
      <c r="E1011" s="118" t="s">
        <v>1811</v>
      </c>
      <c r="F1011" s="119">
        <v>99.012544702902417</v>
      </c>
      <c r="G1011" s="119">
        <v>99.095744702902422</v>
      </c>
      <c r="H1011" s="119">
        <v>3.93</v>
      </c>
      <c r="I1011" s="116">
        <v>103</v>
      </c>
      <c r="J1011" s="118" t="s">
        <v>269</v>
      </c>
    </row>
    <row r="1012" spans="1:10" x14ac:dyDescent="0.25">
      <c r="A1012" s="116">
        <v>1009</v>
      </c>
      <c r="B1012" s="117" t="s">
        <v>1820</v>
      </c>
      <c r="C1012" s="118" t="s">
        <v>1821</v>
      </c>
      <c r="D1012" s="118" t="s">
        <v>453</v>
      </c>
      <c r="E1012" s="118" t="s">
        <v>1811</v>
      </c>
      <c r="F1012" s="119">
        <v>99.961441130057167</v>
      </c>
      <c r="G1012" s="119">
        <v>101.38334113005716</v>
      </c>
      <c r="H1012" s="119">
        <v>4.26</v>
      </c>
      <c r="I1012" s="116">
        <v>11</v>
      </c>
      <c r="J1012" s="118" t="s">
        <v>269</v>
      </c>
    </row>
    <row r="1013" spans="1:10" x14ac:dyDescent="0.25">
      <c r="A1013" s="116">
        <v>1010</v>
      </c>
      <c r="B1013" s="117" t="s">
        <v>1822</v>
      </c>
      <c r="C1013" s="118" t="s">
        <v>1823</v>
      </c>
      <c r="D1013" s="118" t="s">
        <v>453</v>
      </c>
      <c r="E1013" s="118" t="s">
        <v>1811</v>
      </c>
      <c r="F1013" s="119">
        <v>90.234375</v>
      </c>
      <c r="G1013" s="119">
        <v>91.965874999999997</v>
      </c>
      <c r="H1013" s="119">
        <v>4.6399999999999997</v>
      </c>
      <c r="I1013" s="116">
        <v>9888</v>
      </c>
      <c r="J1013" s="118" t="s">
        <v>269</v>
      </c>
    </row>
    <row r="1014" spans="1:10" x14ac:dyDescent="0.25">
      <c r="A1014" s="116">
        <v>1011</v>
      </c>
      <c r="B1014" s="117" t="s">
        <v>1824</v>
      </c>
      <c r="C1014" s="118" t="s">
        <v>1825</v>
      </c>
      <c r="D1014" s="118" t="s">
        <v>453</v>
      </c>
      <c r="E1014" s="118" t="s">
        <v>1811</v>
      </c>
      <c r="F1014" s="119">
        <v>98.673199437352707</v>
      </c>
      <c r="G1014" s="119">
        <v>98.714299437352707</v>
      </c>
      <c r="H1014" s="119">
        <v>3.79</v>
      </c>
      <c r="I1014" s="116">
        <v>162</v>
      </c>
      <c r="J1014" s="118" t="s">
        <v>269</v>
      </c>
    </row>
    <row r="1015" spans="1:10" x14ac:dyDescent="0.25">
      <c r="A1015" s="116">
        <v>1012</v>
      </c>
      <c r="B1015" s="117" t="s">
        <v>1826</v>
      </c>
      <c r="C1015" s="118" t="s">
        <v>1827</v>
      </c>
      <c r="D1015" s="118" t="s">
        <v>453</v>
      </c>
      <c r="E1015" s="118" t="s">
        <v>1811</v>
      </c>
      <c r="F1015" s="119">
        <v>98.10546875</v>
      </c>
      <c r="G1015" s="119">
        <v>98.373968750000003</v>
      </c>
      <c r="H1015" s="119">
        <v>3.67</v>
      </c>
      <c r="I1015" s="116">
        <v>253</v>
      </c>
      <c r="J1015" s="118" t="s">
        <v>269</v>
      </c>
    </row>
    <row r="1016" spans="1:10" x14ac:dyDescent="0.25">
      <c r="A1016" s="116">
        <v>1013</v>
      </c>
      <c r="B1016" s="117" t="s">
        <v>1828</v>
      </c>
      <c r="C1016" s="118" t="s">
        <v>1829</v>
      </c>
      <c r="D1016" s="118" t="s">
        <v>453</v>
      </c>
      <c r="E1016" s="118" t="s">
        <v>1811</v>
      </c>
      <c r="F1016" s="119">
        <v>100.01111603537584</v>
      </c>
      <c r="G1016" s="119">
        <v>101.40291603537584</v>
      </c>
      <c r="H1016" s="119">
        <v>3.9</v>
      </c>
      <c r="I1016" s="116">
        <v>56</v>
      </c>
      <c r="J1016" s="118" t="s">
        <v>269</v>
      </c>
    </row>
    <row r="1017" spans="1:10" x14ac:dyDescent="0.25">
      <c r="A1017" s="116">
        <v>1014</v>
      </c>
      <c r="B1017" s="117" t="s">
        <v>1830</v>
      </c>
      <c r="C1017" s="118" t="s">
        <v>1831</v>
      </c>
      <c r="D1017" s="118" t="s">
        <v>453</v>
      </c>
      <c r="E1017" s="118" t="s">
        <v>1811</v>
      </c>
      <c r="F1017" s="119">
        <v>94.921875</v>
      </c>
      <c r="G1017" s="119">
        <v>96.166375000000002</v>
      </c>
      <c r="H1017" s="119">
        <v>3.75</v>
      </c>
      <c r="I1017" s="116">
        <v>2399</v>
      </c>
      <c r="J1017" s="118" t="s">
        <v>269</v>
      </c>
    </row>
    <row r="1018" spans="1:10" x14ac:dyDescent="0.25">
      <c r="A1018" s="116">
        <v>1015</v>
      </c>
      <c r="B1018" s="117" t="s">
        <v>1860</v>
      </c>
      <c r="C1018" s="118" t="s">
        <v>1861</v>
      </c>
      <c r="D1018" s="118" t="s">
        <v>453</v>
      </c>
      <c r="E1018" s="118" t="s">
        <v>2064</v>
      </c>
      <c r="F1018" s="119">
        <v>100</v>
      </c>
      <c r="G1018" s="119">
        <v>100.0311</v>
      </c>
      <c r="H1018" s="119">
        <v>0.35</v>
      </c>
      <c r="I1018" s="116">
        <v>268</v>
      </c>
      <c r="J1018" s="118" t="s">
        <v>269</v>
      </c>
    </row>
    <row r="1019" spans="1:10" x14ac:dyDescent="0.25">
      <c r="A1019" s="116">
        <v>1016</v>
      </c>
      <c r="B1019" s="117" t="s">
        <v>1862</v>
      </c>
      <c r="C1019" s="118" t="s">
        <v>1863</v>
      </c>
      <c r="D1019" s="118" t="s">
        <v>453</v>
      </c>
      <c r="E1019" s="118" t="s">
        <v>2064</v>
      </c>
      <c r="F1019" s="119">
        <v>100</v>
      </c>
      <c r="G1019" s="119">
        <v>100.1721</v>
      </c>
      <c r="H1019" s="119">
        <v>0.35</v>
      </c>
      <c r="I1019" s="116">
        <v>3</v>
      </c>
      <c r="J1019" s="118" t="s">
        <v>269</v>
      </c>
    </row>
    <row r="1020" spans="1:10" x14ac:dyDescent="0.25">
      <c r="A1020" s="116">
        <v>1017</v>
      </c>
      <c r="B1020" s="117" t="s">
        <v>2244</v>
      </c>
      <c r="C1020" s="118" t="s">
        <v>2245</v>
      </c>
      <c r="D1020" s="118" t="s">
        <v>453</v>
      </c>
      <c r="E1020" s="118" t="s">
        <v>2064</v>
      </c>
      <c r="F1020" s="119">
        <v>100</v>
      </c>
      <c r="G1020" s="119">
        <v>100.09139999999999</v>
      </c>
      <c r="H1020" s="119">
        <v>0.35</v>
      </c>
      <c r="I1020" s="116">
        <v>626</v>
      </c>
      <c r="J1020" s="118" t="s">
        <v>269</v>
      </c>
    </row>
    <row r="1021" spans="1:10" x14ac:dyDescent="0.25">
      <c r="A1021" s="116">
        <v>1018</v>
      </c>
      <c r="B1021" s="117" t="s">
        <v>1864</v>
      </c>
      <c r="C1021" s="118" t="s">
        <v>1865</v>
      </c>
      <c r="D1021" s="118" t="s">
        <v>453</v>
      </c>
      <c r="E1021" s="118" t="s">
        <v>2064</v>
      </c>
      <c r="F1021" s="119">
        <v>100</v>
      </c>
      <c r="G1021" s="119">
        <v>100.00530000000001</v>
      </c>
      <c r="H1021" s="119">
        <v>0.02</v>
      </c>
      <c r="I1021" s="116">
        <v>3040</v>
      </c>
      <c r="J1021" s="118" t="s">
        <v>269</v>
      </c>
    </row>
    <row r="1022" spans="1:10" x14ac:dyDescent="0.25">
      <c r="A1022" s="116">
        <v>1019</v>
      </c>
      <c r="B1022" s="117" t="s">
        <v>2318</v>
      </c>
      <c r="C1022" s="118" t="s">
        <v>2319</v>
      </c>
      <c r="D1022" s="118" t="s">
        <v>453</v>
      </c>
      <c r="E1022" s="118" t="s">
        <v>2064</v>
      </c>
      <c r="F1022" s="119">
        <v>90.081836475033526</v>
      </c>
      <c r="G1022" s="119">
        <v>94.126236475033522</v>
      </c>
      <c r="H1022" s="119">
        <v>20.56</v>
      </c>
      <c r="I1022" s="116">
        <v>3520</v>
      </c>
      <c r="J1022" s="118" t="s">
        <v>269</v>
      </c>
    </row>
    <row r="1023" spans="1:10" x14ac:dyDescent="0.25">
      <c r="A1023" s="116">
        <v>1020</v>
      </c>
      <c r="B1023" s="117" t="s">
        <v>2375</v>
      </c>
      <c r="C1023" s="118" t="s">
        <v>2376</v>
      </c>
      <c r="D1023" s="118" t="s">
        <v>453</v>
      </c>
      <c r="E1023" s="118" t="s">
        <v>2064</v>
      </c>
      <c r="F1023" s="119">
        <v>93.024053141473829</v>
      </c>
      <c r="G1023" s="119">
        <v>95.701553141473823</v>
      </c>
      <c r="H1023" s="119">
        <v>20.55</v>
      </c>
      <c r="I1023" s="116">
        <v>3549</v>
      </c>
      <c r="J1023" s="118" t="s">
        <v>269</v>
      </c>
    </row>
    <row r="1024" spans="1:10" x14ac:dyDescent="0.25">
      <c r="A1024" s="116">
        <v>1021</v>
      </c>
      <c r="B1024" s="117" t="s">
        <v>2403</v>
      </c>
      <c r="C1024" s="118" t="s">
        <v>2404</v>
      </c>
      <c r="D1024" s="118" t="s">
        <v>453</v>
      </c>
      <c r="E1024" s="118" t="s">
        <v>2064</v>
      </c>
      <c r="F1024" s="119">
        <v>92.989296467033995</v>
      </c>
      <c r="G1024" s="119">
        <v>95.456796467033996</v>
      </c>
      <c r="H1024" s="119">
        <v>20.56</v>
      </c>
      <c r="I1024" s="116">
        <v>3553</v>
      </c>
      <c r="J1024" s="118" t="s">
        <v>269</v>
      </c>
    </row>
    <row r="1025" spans="1:10" x14ac:dyDescent="0.25">
      <c r="A1025" s="116">
        <v>1022</v>
      </c>
      <c r="B1025" s="117" t="s">
        <v>2463</v>
      </c>
      <c r="C1025" s="118" t="s">
        <v>2464</v>
      </c>
      <c r="D1025" s="118" t="s">
        <v>453</v>
      </c>
      <c r="E1025" s="118" t="s">
        <v>2064</v>
      </c>
      <c r="F1025" s="119">
        <v>93.07888885727705</v>
      </c>
      <c r="G1025" s="119">
        <v>94.338888857277055</v>
      </c>
      <c r="H1025" s="119">
        <v>20.56</v>
      </c>
      <c r="I1025" s="116">
        <v>3576</v>
      </c>
      <c r="J1025" s="118" t="s">
        <v>269</v>
      </c>
    </row>
    <row r="1026" spans="1:10" x14ac:dyDescent="0.25">
      <c r="A1026" s="116">
        <v>1023</v>
      </c>
      <c r="B1026" s="117" t="s">
        <v>1866</v>
      </c>
      <c r="C1026" s="118" t="s">
        <v>1867</v>
      </c>
      <c r="D1026" s="118" t="s">
        <v>443</v>
      </c>
      <c r="E1026" s="118" t="s">
        <v>1868</v>
      </c>
      <c r="F1026" s="119">
        <v>0.01</v>
      </c>
      <c r="G1026" s="119">
        <v>0.01</v>
      </c>
      <c r="H1026" s="119">
        <v>0</v>
      </c>
      <c r="I1026" s="116">
        <v>0</v>
      </c>
      <c r="J1026" s="118" t="s">
        <v>238</v>
      </c>
    </row>
    <row r="1027" spans="1:10" x14ac:dyDescent="0.25">
      <c r="A1027" s="116">
        <v>1024</v>
      </c>
      <c r="B1027" s="117" t="s">
        <v>1869</v>
      </c>
      <c r="C1027" s="118" t="s">
        <v>1870</v>
      </c>
      <c r="D1027" s="118" t="s">
        <v>443</v>
      </c>
      <c r="E1027" s="118" t="s">
        <v>1868</v>
      </c>
      <c r="F1027" s="119">
        <v>28000</v>
      </c>
      <c r="G1027" s="119">
        <v>28000</v>
      </c>
      <c r="H1027" s="119">
        <v>0</v>
      </c>
      <c r="I1027" s="116">
        <v>0</v>
      </c>
      <c r="J1027" s="118" t="s">
        <v>238</v>
      </c>
    </row>
    <row r="1028" spans="1:10" x14ac:dyDescent="0.25">
      <c r="A1028" s="116">
        <v>1025</v>
      </c>
      <c r="B1028" s="117" t="s">
        <v>2171</v>
      </c>
      <c r="C1028" s="118" t="s">
        <v>2172</v>
      </c>
      <c r="D1028" s="118" t="s">
        <v>453</v>
      </c>
      <c r="E1028" s="118" t="s">
        <v>2173</v>
      </c>
      <c r="F1028" s="119">
        <v>97.242535718777262</v>
      </c>
      <c r="G1028" s="119">
        <v>99.989735718777268</v>
      </c>
      <c r="H1028" s="119">
        <v>22.91</v>
      </c>
      <c r="I1028" s="116">
        <v>944</v>
      </c>
      <c r="J1028" s="118" t="s">
        <v>269</v>
      </c>
    </row>
    <row r="1029" spans="1:10" x14ac:dyDescent="0.25">
      <c r="A1029" s="116">
        <v>1026</v>
      </c>
      <c r="B1029" s="117" t="s">
        <v>2158</v>
      </c>
      <c r="C1029" s="118" t="s">
        <v>2159</v>
      </c>
      <c r="D1029" s="118" t="s">
        <v>453</v>
      </c>
      <c r="E1029" s="118" t="s">
        <v>1871</v>
      </c>
      <c r="F1029" s="119">
        <v>100</v>
      </c>
      <c r="G1029" s="119">
        <v>100.139</v>
      </c>
      <c r="H1029" s="119">
        <v>0.35</v>
      </c>
      <c r="I1029" s="116">
        <v>577</v>
      </c>
      <c r="J1029" s="118" t="s">
        <v>269</v>
      </c>
    </row>
    <row r="1030" spans="1:10" x14ac:dyDescent="0.25">
      <c r="A1030" s="116">
        <v>1027</v>
      </c>
      <c r="B1030" s="117" t="s">
        <v>1872</v>
      </c>
      <c r="C1030" s="118" t="s">
        <v>1873</v>
      </c>
      <c r="D1030" s="118" t="s">
        <v>453</v>
      </c>
      <c r="E1030" s="118" t="s">
        <v>1871</v>
      </c>
      <c r="F1030" s="119">
        <v>100</v>
      </c>
      <c r="G1030" s="119">
        <v>100.0067</v>
      </c>
      <c r="H1030" s="119">
        <v>0.02</v>
      </c>
      <c r="I1030" s="116">
        <v>3040</v>
      </c>
      <c r="J1030" s="118" t="s">
        <v>269</v>
      </c>
    </row>
    <row r="1031" spans="1:10" x14ac:dyDescent="0.25">
      <c r="A1031" s="116">
        <v>1028</v>
      </c>
      <c r="B1031" s="117" t="s">
        <v>1874</v>
      </c>
      <c r="C1031" s="118" t="s">
        <v>1875</v>
      </c>
      <c r="D1031" s="118" t="s">
        <v>453</v>
      </c>
      <c r="E1031" s="118" t="s">
        <v>1871</v>
      </c>
      <c r="F1031" s="119">
        <v>100</v>
      </c>
      <c r="G1031" s="119">
        <v>100.00709999999999</v>
      </c>
      <c r="H1031" s="119">
        <v>0.02</v>
      </c>
      <c r="I1031" s="116">
        <v>3040</v>
      </c>
      <c r="J1031" s="118" t="s">
        <v>269</v>
      </c>
    </row>
    <row r="1032" spans="1:10" x14ac:dyDescent="0.25">
      <c r="A1032" s="116">
        <v>1029</v>
      </c>
      <c r="B1032" s="117" t="s">
        <v>1876</v>
      </c>
      <c r="C1032" s="118" t="s">
        <v>1877</v>
      </c>
      <c r="D1032" s="118" t="s">
        <v>453</v>
      </c>
      <c r="E1032" s="118" t="s">
        <v>1871</v>
      </c>
      <c r="F1032" s="119">
        <v>100</v>
      </c>
      <c r="G1032" s="119">
        <v>101.9486</v>
      </c>
      <c r="H1032" s="119">
        <v>6.08</v>
      </c>
      <c r="I1032" s="116">
        <v>1655</v>
      </c>
      <c r="J1032" s="118" t="s">
        <v>269</v>
      </c>
    </row>
    <row r="1033" spans="1:10" x14ac:dyDescent="0.25">
      <c r="A1033" s="116">
        <v>1030</v>
      </c>
      <c r="B1033" s="117" t="s">
        <v>1878</v>
      </c>
      <c r="C1033" s="118" t="s">
        <v>1879</v>
      </c>
      <c r="D1033" s="118" t="s">
        <v>453</v>
      </c>
      <c r="E1033" s="118" t="s">
        <v>1871</v>
      </c>
      <c r="F1033" s="119">
        <v>100</v>
      </c>
      <c r="G1033" s="119">
        <v>106.9619</v>
      </c>
      <c r="H1033" s="119">
        <v>7.08</v>
      </c>
      <c r="I1033" s="116">
        <v>2137</v>
      </c>
      <c r="J1033" s="118" t="s">
        <v>269</v>
      </c>
    </row>
    <row r="1034" spans="1:10" x14ac:dyDescent="0.25">
      <c r="A1034" s="116">
        <v>1031</v>
      </c>
      <c r="B1034" s="117" t="s">
        <v>2256</v>
      </c>
      <c r="C1034" s="118" t="s">
        <v>2257</v>
      </c>
      <c r="D1034" s="118" t="s">
        <v>453</v>
      </c>
      <c r="E1034" s="118" t="s">
        <v>1871</v>
      </c>
      <c r="F1034" s="119">
        <v>90.103829909734245</v>
      </c>
      <c r="G1034" s="119">
        <v>94.754929909734244</v>
      </c>
      <c r="H1034" s="119">
        <v>20.55</v>
      </c>
      <c r="I1034" s="116">
        <v>3508</v>
      </c>
      <c r="J1034" s="118" t="s">
        <v>269</v>
      </c>
    </row>
    <row r="1035" spans="1:10" x14ac:dyDescent="0.25">
      <c r="A1035" s="116">
        <v>1032</v>
      </c>
      <c r="B1035" s="117" t="s">
        <v>2320</v>
      </c>
      <c r="C1035" s="118" t="s">
        <v>2321</v>
      </c>
      <c r="D1035" s="118" t="s">
        <v>453</v>
      </c>
      <c r="E1035" s="118" t="s">
        <v>1871</v>
      </c>
      <c r="F1035" s="119">
        <v>90.081836475033526</v>
      </c>
      <c r="G1035" s="119">
        <v>94.126236475033522</v>
      </c>
      <c r="H1035" s="119">
        <v>20.56</v>
      </c>
      <c r="I1035" s="116">
        <v>3520</v>
      </c>
      <c r="J1035" s="118" t="s">
        <v>269</v>
      </c>
    </row>
    <row r="1036" spans="1:10" x14ac:dyDescent="0.25">
      <c r="A1036" s="116">
        <v>1033</v>
      </c>
      <c r="B1036" s="117" t="s">
        <v>2377</v>
      </c>
      <c r="C1036" s="118" t="s">
        <v>2378</v>
      </c>
      <c r="D1036" s="118" t="s">
        <v>453</v>
      </c>
      <c r="E1036" s="118" t="s">
        <v>1871</v>
      </c>
      <c r="F1036" s="119">
        <v>93.024053141473829</v>
      </c>
      <c r="G1036" s="119">
        <v>95.701553141473823</v>
      </c>
      <c r="H1036" s="119">
        <v>20.55</v>
      </c>
      <c r="I1036" s="116">
        <v>3549</v>
      </c>
      <c r="J1036" s="118" t="s">
        <v>269</v>
      </c>
    </row>
    <row r="1037" spans="1:10" x14ac:dyDescent="0.25">
      <c r="A1037" s="116">
        <v>1034</v>
      </c>
      <c r="B1037" s="117" t="s">
        <v>2379</v>
      </c>
      <c r="C1037" s="118" t="s">
        <v>2380</v>
      </c>
      <c r="D1037" s="118" t="s">
        <v>453</v>
      </c>
      <c r="E1037" s="118" t="s">
        <v>1871</v>
      </c>
      <c r="F1037" s="119">
        <v>93.024053141473829</v>
      </c>
      <c r="G1037" s="119">
        <v>95.701553141473823</v>
      </c>
      <c r="H1037" s="119">
        <v>20.55</v>
      </c>
      <c r="I1037" s="116">
        <v>3549</v>
      </c>
      <c r="J1037" s="118" t="s">
        <v>269</v>
      </c>
    </row>
    <row r="1038" spans="1:10" x14ac:dyDescent="0.25">
      <c r="A1038" s="116">
        <v>1035</v>
      </c>
      <c r="B1038" s="117" t="s">
        <v>2465</v>
      </c>
      <c r="C1038" s="118" t="s">
        <v>2466</v>
      </c>
      <c r="D1038" s="118" t="s">
        <v>453</v>
      </c>
      <c r="E1038" s="118" t="s">
        <v>1871</v>
      </c>
      <c r="F1038" s="119">
        <v>93.07888885727705</v>
      </c>
      <c r="G1038" s="119">
        <v>94.338888857277055</v>
      </c>
      <c r="H1038" s="119">
        <v>20.56</v>
      </c>
      <c r="I1038" s="116">
        <v>3576</v>
      </c>
      <c r="J1038" s="118" t="s">
        <v>269</v>
      </c>
    </row>
    <row r="1039" spans="1:10" x14ac:dyDescent="0.25">
      <c r="A1039" s="116">
        <v>1036</v>
      </c>
      <c r="B1039" s="117" t="s">
        <v>2467</v>
      </c>
      <c r="C1039" s="118" t="s">
        <v>2468</v>
      </c>
      <c r="D1039" s="118" t="s">
        <v>453</v>
      </c>
      <c r="E1039" s="118" t="s">
        <v>1871</v>
      </c>
      <c r="F1039" s="119">
        <v>93.07888885727705</v>
      </c>
      <c r="G1039" s="119">
        <v>94.338888857277055</v>
      </c>
      <c r="H1039" s="119">
        <v>20.56</v>
      </c>
      <c r="I1039" s="116">
        <v>3576</v>
      </c>
      <c r="J1039" s="118" t="s">
        <v>269</v>
      </c>
    </row>
    <row r="1040" spans="1:10" x14ac:dyDescent="0.25">
      <c r="A1040" s="116">
        <v>1037</v>
      </c>
      <c r="B1040" s="117" t="s">
        <v>1880</v>
      </c>
      <c r="C1040" s="118" t="s">
        <v>1881</v>
      </c>
      <c r="D1040" s="118" t="s">
        <v>453</v>
      </c>
      <c r="E1040" s="118" t="s">
        <v>1871</v>
      </c>
      <c r="F1040" s="119">
        <v>100</v>
      </c>
      <c r="G1040" s="119">
        <v>101.1183</v>
      </c>
      <c r="H1040" s="119">
        <v>6.08</v>
      </c>
      <c r="I1040" s="116">
        <v>2064</v>
      </c>
      <c r="J1040" s="118" t="s">
        <v>269</v>
      </c>
    </row>
    <row r="1041" spans="1:10" x14ac:dyDescent="0.25">
      <c r="A1041" s="116">
        <v>1038</v>
      </c>
      <c r="B1041" s="117" t="s">
        <v>1882</v>
      </c>
      <c r="C1041" s="118" t="s">
        <v>1883</v>
      </c>
      <c r="D1041" s="118" t="s">
        <v>453</v>
      </c>
      <c r="E1041" s="118" t="s">
        <v>1871</v>
      </c>
      <c r="F1041" s="119">
        <v>100</v>
      </c>
      <c r="G1041" s="119">
        <v>106.06610000000001</v>
      </c>
      <c r="H1041" s="119">
        <v>6.09</v>
      </c>
      <c r="I1041" s="116">
        <v>2492</v>
      </c>
      <c r="J1041" s="118" t="s">
        <v>269</v>
      </c>
    </row>
    <row r="1042" spans="1:10" x14ac:dyDescent="0.25">
      <c r="A1042" s="116">
        <v>1039</v>
      </c>
      <c r="B1042" s="117" t="s">
        <v>1884</v>
      </c>
      <c r="C1042" s="118" t="s">
        <v>1885</v>
      </c>
      <c r="D1042" s="118" t="s">
        <v>453</v>
      </c>
      <c r="E1042" s="118" t="s">
        <v>1871</v>
      </c>
      <c r="F1042" s="119">
        <v>100</v>
      </c>
      <c r="G1042" s="119">
        <v>106.06610000000001</v>
      </c>
      <c r="H1042" s="119">
        <v>6.09</v>
      </c>
      <c r="I1042" s="116">
        <v>2492</v>
      </c>
      <c r="J1042" s="118" t="s">
        <v>269</v>
      </c>
    </row>
    <row r="1043" spans="1:10" x14ac:dyDescent="0.25">
      <c r="A1043" s="116">
        <v>1040</v>
      </c>
      <c r="B1043" s="117" t="s">
        <v>1886</v>
      </c>
      <c r="C1043" s="118" t="s">
        <v>1887</v>
      </c>
      <c r="D1043" s="118" t="s">
        <v>453</v>
      </c>
      <c r="E1043" s="118" t="s">
        <v>1871</v>
      </c>
      <c r="F1043" s="119">
        <v>100</v>
      </c>
      <c r="G1043" s="119">
        <v>104.9308</v>
      </c>
      <c r="H1043" s="119">
        <v>6.08</v>
      </c>
      <c r="I1043" s="116">
        <v>2559</v>
      </c>
      <c r="J1043" s="118" t="s">
        <v>269</v>
      </c>
    </row>
    <row r="1044" spans="1:10" x14ac:dyDescent="0.25">
      <c r="A1044" s="116">
        <v>1041</v>
      </c>
      <c r="B1044" s="117" t="s">
        <v>1888</v>
      </c>
      <c r="C1044" s="118" t="s">
        <v>1889</v>
      </c>
      <c r="D1044" s="118" t="s">
        <v>443</v>
      </c>
      <c r="E1044" s="118" t="s">
        <v>1890</v>
      </c>
      <c r="F1044" s="119">
        <v>21706.682400000005</v>
      </c>
      <c r="G1044" s="119">
        <v>21706.682400000005</v>
      </c>
      <c r="H1044" s="119">
        <v>0</v>
      </c>
      <c r="I1044" s="116">
        <v>0</v>
      </c>
      <c r="J1044" s="118" t="s">
        <v>238</v>
      </c>
    </row>
    <row r="1045" spans="1:10" x14ac:dyDescent="0.25">
      <c r="A1045" s="116">
        <v>1042</v>
      </c>
      <c r="B1045" s="117" t="s">
        <v>1891</v>
      </c>
      <c r="C1045" s="118" t="s">
        <v>1892</v>
      </c>
      <c r="D1045" s="118" t="s">
        <v>753</v>
      </c>
      <c r="E1045" s="118" t="s">
        <v>1893</v>
      </c>
      <c r="F1045" s="119">
        <v>42655.123200000009</v>
      </c>
      <c r="G1045" s="119">
        <v>42655.123200000009</v>
      </c>
      <c r="H1045" s="119">
        <v>0</v>
      </c>
      <c r="I1045" s="116">
        <v>0</v>
      </c>
      <c r="J1045" s="118" t="s">
        <v>238</v>
      </c>
    </row>
    <row r="1046" spans="1:10" x14ac:dyDescent="0.25">
      <c r="A1046" s="116">
        <v>1043</v>
      </c>
      <c r="B1046" s="117" t="s">
        <v>1894</v>
      </c>
      <c r="C1046" s="118" t="s">
        <v>1895</v>
      </c>
      <c r="D1046" s="118" t="s">
        <v>753</v>
      </c>
      <c r="E1046" s="118" t="s">
        <v>1893</v>
      </c>
      <c r="F1046" s="119">
        <v>49360.99040000001</v>
      </c>
      <c r="G1046" s="119">
        <v>49360.99040000001</v>
      </c>
      <c r="H1046" s="119">
        <v>0</v>
      </c>
      <c r="I1046" s="116">
        <v>0</v>
      </c>
      <c r="J1046" s="118" t="s">
        <v>238</v>
      </c>
    </row>
    <row r="1047" spans="1:10" x14ac:dyDescent="0.25">
      <c r="A1047" s="116">
        <v>1044</v>
      </c>
      <c r="B1047" s="117" t="s">
        <v>1896</v>
      </c>
      <c r="C1047" s="118" t="s">
        <v>1897</v>
      </c>
      <c r="D1047" s="118" t="s">
        <v>443</v>
      </c>
      <c r="E1047" s="118" t="s">
        <v>1898</v>
      </c>
      <c r="F1047" s="119">
        <v>60229.12000000001</v>
      </c>
      <c r="G1047" s="119">
        <v>60229.12000000001</v>
      </c>
      <c r="H1047" s="119">
        <v>0</v>
      </c>
      <c r="I1047" s="116">
        <v>0</v>
      </c>
      <c r="J1047" s="118" t="s">
        <v>238</v>
      </c>
    </row>
    <row r="1048" spans="1:10" x14ac:dyDescent="0.25">
      <c r="A1048" s="116">
        <v>1045</v>
      </c>
      <c r="B1048" s="117" t="s">
        <v>1899</v>
      </c>
      <c r="C1048" s="118" t="s">
        <v>1900</v>
      </c>
      <c r="D1048" s="118" t="s">
        <v>443</v>
      </c>
      <c r="E1048" s="118" t="s">
        <v>1901</v>
      </c>
      <c r="F1048" s="119">
        <v>1000</v>
      </c>
      <c r="G1048" s="119">
        <v>1000</v>
      </c>
      <c r="H1048" s="119">
        <v>0</v>
      </c>
      <c r="I1048" s="116">
        <v>0</v>
      </c>
      <c r="J1048" s="118" t="s">
        <v>238</v>
      </c>
    </row>
    <row r="1049" spans="1:10" x14ac:dyDescent="0.25">
      <c r="A1049" s="116">
        <v>1046</v>
      </c>
      <c r="B1049" s="117" t="s">
        <v>1902</v>
      </c>
      <c r="C1049" s="118" t="s">
        <v>1903</v>
      </c>
      <c r="D1049" s="118" t="s">
        <v>443</v>
      </c>
      <c r="E1049" s="118" t="s">
        <v>1904</v>
      </c>
      <c r="F1049" s="119">
        <v>0.01</v>
      </c>
      <c r="G1049" s="119">
        <v>0.01</v>
      </c>
      <c r="H1049" s="119">
        <v>0</v>
      </c>
      <c r="I1049" s="116">
        <v>2765</v>
      </c>
      <c r="J1049" s="118" t="s">
        <v>238</v>
      </c>
    </row>
    <row r="1050" spans="1:10" x14ac:dyDescent="0.25">
      <c r="A1050" s="116">
        <v>1047</v>
      </c>
      <c r="B1050" s="117" t="s">
        <v>1905</v>
      </c>
      <c r="C1050" s="118" t="s">
        <v>1906</v>
      </c>
      <c r="D1050" s="118" t="s">
        <v>443</v>
      </c>
      <c r="E1050" s="118" t="s">
        <v>1904</v>
      </c>
      <c r="F1050" s="119">
        <v>0.01</v>
      </c>
      <c r="G1050" s="119">
        <v>0.01</v>
      </c>
      <c r="H1050" s="119">
        <v>0</v>
      </c>
      <c r="I1050" s="116">
        <v>2604</v>
      </c>
      <c r="J1050" s="118" t="s">
        <v>238</v>
      </c>
    </row>
    <row r="1051" spans="1:10" x14ac:dyDescent="0.25">
      <c r="A1051" s="116">
        <v>1048</v>
      </c>
      <c r="B1051" s="117" t="s">
        <v>1907</v>
      </c>
      <c r="C1051" s="118" t="s">
        <v>1908</v>
      </c>
      <c r="D1051" s="118" t="s">
        <v>453</v>
      </c>
      <c r="E1051" s="118" t="s">
        <v>1909</v>
      </c>
      <c r="F1051" s="119">
        <v>100</v>
      </c>
      <c r="G1051" s="119">
        <v>101.07429999999999</v>
      </c>
      <c r="H1051" s="119">
        <v>4.2300000000000004</v>
      </c>
      <c r="I1051" s="116">
        <v>209</v>
      </c>
      <c r="J1051" s="118" t="s">
        <v>269</v>
      </c>
    </row>
    <row r="1052" spans="1:10" x14ac:dyDescent="0.25">
      <c r="A1052" s="116">
        <v>1049</v>
      </c>
      <c r="B1052" s="117" t="s">
        <v>1910</v>
      </c>
      <c r="C1052" s="118" t="s">
        <v>1911</v>
      </c>
      <c r="D1052" s="118" t="s">
        <v>453</v>
      </c>
      <c r="E1052" s="118" t="s">
        <v>1909</v>
      </c>
      <c r="F1052" s="119">
        <v>100</v>
      </c>
      <c r="G1052" s="119">
        <v>100.1371</v>
      </c>
      <c r="H1052" s="119">
        <v>0.35</v>
      </c>
      <c r="I1052" s="116">
        <v>39</v>
      </c>
      <c r="J1052" s="118" t="s">
        <v>269</v>
      </c>
    </row>
    <row r="1053" spans="1:10" x14ac:dyDescent="0.25">
      <c r="A1053" s="116">
        <v>1050</v>
      </c>
      <c r="B1053" s="117" t="s">
        <v>1912</v>
      </c>
      <c r="C1053" s="118" t="s">
        <v>1913</v>
      </c>
      <c r="D1053" s="118" t="s">
        <v>453</v>
      </c>
      <c r="E1053" s="118" t="s">
        <v>1909</v>
      </c>
      <c r="F1053" s="119">
        <v>100</v>
      </c>
      <c r="G1053" s="119">
        <v>100.14879999999999</v>
      </c>
      <c r="H1053" s="119">
        <v>0.35</v>
      </c>
      <c r="I1053" s="116">
        <v>207</v>
      </c>
      <c r="J1053" s="118" t="s">
        <v>269</v>
      </c>
    </row>
    <row r="1054" spans="1:10" x14ac:dyDescent="0.25">
      <c r="A1054" s="116">
        <v>1051</v>
      </c>
      <c r="B1054" s="117" t="s">
        <v>2084</v>
      </c>
      <c r="C1054" s="118" t="s">
        <v>2085</v>
      </c>
      <c r="D1054" s="118" t="s">
        <v>453</v>
      </c>
      <c r="E1054" s="118" t="s">
        <v>1909</v>
      </c>
      <c r="F1054" s="119">
        <v>100</v>
      </c>
      <c r="G1054" s="119">
        <v>100.00190000000001</v>
      </c>
      <c r="H1054" s="119">
        <v>0.35</v>
      </c>
      <c r="I1054" s="116">
        <v>538</v>
      </c>
      <c r="J1054" s="118" t="s">
        <v>269</v>
      </c>
    </row>
    <row r="1055" spans="1:10" x14ac:dyDescent="0.25">
      <c r="A1055" s="116">
        <v>1052</v>
      </c>
      <c r="B1055" s="117" t="s">
        <v>2246</v>
      </c>
      <c r="C1055" s="118" t="s">
        <v>2247</v>
      </c>
      <c r="D1055" s="118" t="s">
        <v>453</v>
      </c>
      <c r="E1055" s="118" t="s">
        <v>1909</v>
      </c>
      <c r="F1055" s="119">
        <v>100</v>
      </c>
      <c r="G1055" s="119">
        <v>100.09139999999999</v>
      </c>
      <c r="H1055" s="119">
        <v>0.35</v>
      </c>
      <c r="I1055" s="116">
        <v>626</v>
      </c>
      <c r="J1055" s="118" t="s">
        <v>269</v>
      </c>
    </row>
    <row r="1056" spans="1:10" x14ac:dyDescent="0.25">
      <c r="A1056" s="116">
        <v>1053</v>
      </c>
      <c r="B1056" s="117" t="s">
        <v>1914</v>
      </c>
      <c r="C1056" s="118" t="s">
        <v>1915</v>
      </c>
      <c r="D1056" s="118" t="s">
        <v>453</v>
      </c>
      <c r="E1056" s="118" t="s">
        <v>1909</v>
      </c>
      <c r="F1056" s="119">
        <v>100</v>
      </c>
      <c r="G1056" s="119">
        <v>100.0067</v>
      </c>
      <c r="H1056" s="119">
        <v>0.02</v>
      </c>
      <c r="I1056" s="116">
        <v>3040</v>
      </c>
      <c r="J1056" s="118" t="s">
        <v>269</v>
      </c>
    </row>
    <row r="1057" spans="1:10" x14ac:dyDescent="0.25">
      <c r="A1057" s="116">
        <v>1054</v>
      </c>
      <c r="B1057" s="117" t="s">
        <v>1916</v>
      </c>
      <c r="C1057" s="118" t="s">
        <v>1917</v>
      </c>
      <c r="D1057" s="118" t="s">
        <v>453</v>
      </c>
      <c r="E1057" s="118" t="s">
        <v>1909</v>
      </c>
      <c r="F1057" s="119">
        <v>100</v>
      </c>
      <c r="G1057" s="119">
        <v>101.9486</v>
      </c>
      <c r="H1057" s="119">
        <v>6.08</v>
      </c>
      <c r="I1057" s="116">
        <v>1655</v>
      </c>
      <c r="J1057" s="118" t="s">
        <v>269</v>
      </c>
    </row>
    <row r="1058" spans="1:10" x14ac:dyDescent="0.25">
      <c r="A1058" s="116">
        <v>1055</v>
      </c>
      <c r="B1058" s="117" t="s">
        <v>1918</v>
      </c>
      <c r="C1058" s="118" t="s">
        <v>1919</v>
      </c>
      <c r="D1058" s="118" t="s">
        <v>453</v>
      </c>
      <c r="E1058" s="118" t="s">
        <v>1909</v>
      </c>
      <c r="F1058" s="119">
        <v>100</v>
      </c>
      <c r="G1058" s="119">
        <v>106.9619</v>
      </c>
      <c r="H1058" s="119">
        <v>7.08</v>
      </c>
      <c r="I1058" s="116">
        <v>2137</v>
      </c>
      <c r="J1058" s="118" t="s">
        <v>269</v>
      </c>
    </row>
    <row r="1059" spans="1:10" x14ac:dyDescent="0.25">
      <c r="A1059" s="116">
        <v>1056</v>
      </c>
      <c r="B1059" s="117" t="s">
        <v>2258</v>
      </c>
      <c r="C1059" s="118" t="s">
        <v>2259</v>
      </c>
      <c r="D1059" s="118" t="s">
        <v>453</v>
      </c>
      <c r="E1059" s="118" t="s">
        <v>1909</v>
      </c>
      <c r="F1059" s="119">
        <v>90.103829909734245</v>
      </c>
      <c r="G1059" s="119">
        <v>94.754929909734244</v>
      </c>
      <c r="H1059" s="119">
        <v>20.55</v>
      </c>
      <c r="I1059" s="116">
        <v>3508</v>
      </c>
      <c r="J1059" s="118" t="s">
        <v>269</v>
      </c>
    </row>
    <row r="1060" spans="1:10" x14ac:dyDescent="0.25">
      <c r="A1060" s="116">
        <v>1057</v>
      </c>
      <c r="B1060" s="117" t="s">
        <v>2381</v>
      </c>
      <c r="C1060" s="118" t="s">
        <v>2382</v>
      </c>
      <c r="D1060" s="118" t="s">
        <v>453</v>
      </c>
      <c r="E1060" s="118" t="s">
        <v>1909</v>
      </c>
      <c r="F1060" s="119">
        <v>93.024053141473829</v>
      </c>
      <c r="G1060" s="119">
        <v>95.701553141473823</v>
      </c>
      <c r="H1060" s="119">
        <v>20.55</v>
      </c>
      <c r="I1060" s="116">
        <v>3549</v>
      </c>
      <c r="J1060" s="118" t="s">
        <v>269</v>
      </c>
    </row>
    <row r="1061" spans="1:10" x14ac:dyDescent="0.25">
      <c r="A1061" s="116">
        <v>1058</v>
      </c>
      <c r="B1061" s="117" t="s">
        <v>1920</v>
      </c>
      <c r="C1061" s="118" t="s">
        <v>1921</v>
      </c>
      <c r="D1061" s="118" t="s">
        <v>453</v>
      </c>
      <c r="E1061" s="118" t="s">
        <v>1909</v>
      </c>
      <c r="F1061" s="119">
        <v>100</v>
      </c>
      <c r="G1061" s="119">
        <v>101.1183</v>
      </c>
      <c r="H1061" s="119">
        <v>6.08</v>
      </c>
      <c r="I1061" s="116">
        <v>2064</v>
      </c>
      <c r="J1061" s="118" t="s">
        <v>269</v>
      </c>
    </row>
    <row r="1062" spans="1:10" x14ac:dyDescent="0.25">
      <c r="A1062" s="116">
        <v>1059</v>
      </c>
      <c r="B1062" s="117" t="s">
        <v>1922</v>
      </c>
      <c r="C1062" s="118" t="s">
        <v>1923</v>
      </c>
      <c r="D1062" s="118" t="s">
        <v>453</v>
      </c>
      <c r="E1062" s="118" t="s">
        <v>1909</v>
      </c>
      <c r="F1062" s="119">
        <v>100</v>
      </c>
      <c r="G1062" s="119">
        <v>106.06610000000001</v>
      </c>
      <c r="H1062" s="119">
        <v>6.09</v>
      </c>
      <c r="I1062" s="116">
        <v>2492</v>
      </c>
      <c r="J1062" s="118" t="s">
        <v>269</v>
      </c>
    </row>
    <row r="1063" spans="1:10" x14ac:dyDescent="0.25">
      <c r="A1063" s="116">
        <v>1060</v>
      </c>
      <c r="B1063" s="117" t="s">
        <v>1924</v>
      </c>
      <c r="C1063" s="118" t="s">
        <v>1925</v>
      </c>
      <c r="D1063" s="118" t="s">
        <v>453</v>
      </c>
      <c r="E1063" s="118" t="s">
        <v>1909</v>
      </c>
      <c r="F1063" s="119">
        <v>100</v>
      </c>
      <c r="G1063" s="119">
        <v>106.06610000000001</v>
      </c>
      <c r="H1063" s="119">
        <v>6.09</v>
      </c>
      <c r="I1063" s="116">
        <v>2492</v>
      </c>
      <c r="J1063" s="118" t="s">
        <v>269</v>
      </c>
    </row>
    <row r="1064" spans="1:10" x14ac:dyDescent="0.25">
      <c r="A1064" s="116">
        <v>1061</v>
      </c>
      <c r="B1064" s="117" t="s">
        <v>2412</v>
      </c>
      <c r="C1064" s="118" t="s">
        <v>2413</v>
      </c>
      <c r="D1064" s="118" t="s">
        <v>453</v>
      </c>
      <c r="E1064" s="118" t="s">
        <v>1909</v>
      </c>
      <c r="F1064" s="119">
        <v>92.118600314729008</v>
      </c>
      <c r="G1064" s="119">
        <v>94.586100314729009</v>
      </c>
      <c r="H1064" s="119">
        <v>20.59</v>
      </c>
      <c r="I1064" s="116">
        <v>5353</v>
      </c>
      <c r="J1064" s="118" t="s">
        <v>269</v>
      </c>
    </row>
  </sheetData>
  <conditionalFormatting sqref="A4:A1058">
    <cfRule type="expression" dxfId="5" priority="9" stopIfTrue="1">
      <formula>A4&lt;&gt;""</formula>
    </cfRule>
  </conditionalFormatting>
  <conditionalFormatting sqref="A5:A1058">
    <cfRule type="expression" dxfId="4" priority="10" stopIfTrue="1">
      <formula>С4&lt;&gt;""</formula>
    </cfRule>
  </conditionalFormatting>
  <conditionalFormatting sqref="F4:I1058">
    <cfRule type="expression" dxfId="3" priority="1" stopIfTrue="1">
      <formula>F4&lt;&gt;""</formula>
    </cfRule>
  </conditionalFormatting>
  <conditionalFormatting sqref="G4:G1058">
    <cfRule type="expression" dxfId="2" priority="4" stopIfTrue="1">
      <formula>G&lt;&gt;""</formula>
    </cfRule>
  </conditionalFormatting>
  <conditionalFormatting sqref="H4:H1058">
    <cfRule type="expression" dxfId="1" priority="6" stopIfTrue="1">
      <formula>H&lt;&gt;""</formula>
    </cfRule>
  </conditionalFormatting>
  <conditionalFormatting sqref="I4:I1058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20.10.25</vt:lpstr>
      <vt:lpstr>Риск цены за 20.10.25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2025-10-21T07:00:45Z</dcterms:modified>
</cp:coreProperties>
</file>