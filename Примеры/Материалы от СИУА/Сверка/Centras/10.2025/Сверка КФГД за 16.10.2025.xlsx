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B33C6099-E5EC-4B7D-BF69-061CD0351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6.10.25" sheetId="2" r:id="rId2"/>
    <sheet name="Риск цены за 16.10.25" sheetId="4" r:id="rId3"/>
  </sheets>
  <definedNames>
    <definedName name="_xlnm._FilterDatabase" localSheetId="1" hidden="1">'KASE за 16.10.25'!#REF!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1" i="1"/>
  <c r="O76" i="1"/>
  <c r="O62" i="1"/>
  <c r="D65" i="1"/>
  <c r="M70" i="1"/>
  <c r="M71" i="1"/>
  <c r="L70" i="1"/>
  <c r="L71" i="1"/>
  <c r="L72" i="1"/>
  <c r="M72" i="1" s="1"/>
  <c r="L73" i="1"/>
  <c r="M73" i="1" s="1"/>
  <c r="L74" i="1"/>
  <c r="M74" i="1" s="1"/>
  <c r="B95" i="1"/>
  <c r="B94" i="1"/>
  <c r="B91" i="1"/>
  <c r="C76" i="1"/>
  <c r="J76" i="1"/>
  <c r="I76" i="1"/>
  <c r="L69" i="1"/>
  <c r="M69" i="1" s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B89" i="1"/>
  <c r="M76" i="1" l="1"/>
  <c r="L76" i="1"/>
  <c r="B99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<sst xmlns="http://schemas.openxmlformats.org/spreadsheetml/2006/main" count="6742" uniqueCount="2937">
  <si>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</si>
  <si>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</si>
  <si>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</si>
  <si>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</si>
  <si>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</si>
  <si>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</si>
  <si>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</si>
  <si>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</si>
  <si>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</si>
  <si>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</si>
  <si>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</si>
  <si>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</si>
  <si>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</si>
  <si>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</si>
  <si>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</si>
  <si>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</si>
  <si>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</si>
  <si>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</si>
  <si>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</si>
  <si>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</si>
  <si>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</si>
  <si>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</si>
  <si>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</si>
  <si>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</si>
  <si>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</si>
  <si>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</si>
  <si>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</si>
  <si>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</si>
  <si>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</si>
  <si>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</si>
  <si>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</si>
  <si>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</si>
  <si>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</si>
  <si>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</si>
  <si>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</si>
  <si>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</si>
  <si>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</si>
  <si>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</si>
  <si>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</si>
  <si>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</si>
  <si>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</si>
  <si>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</si>
  <si>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</si>
  <si>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</si>
  <si>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</si>
  <si>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</si>
  <si>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</si>
  <si>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</si>
  <si>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</si>
  <si>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</si>
  <si>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</si>
  <si>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</si>
  <si>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</si>
  <si>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</si>
  <si>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</si>
  <si>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</si>
  <si>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</si>
  <si>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</si>
  <si>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</si>
  <si>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</si>
  <si>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</si>
  <si>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</si>
  <si>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</si>
  <si>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</si>
  <si>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</si>
  <si>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</si>
  <si>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</si>
  <si>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</si>
  <si>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</si>
  <si>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</si>
  <si>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</si>
  <si>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</si>
  <si>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</si>
  <si>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</si>
  <si>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</si>
  <si>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</si>
  <si>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</si>
  <si>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</si>
  <si>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</si>
  <si>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</si>
  <si>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</si>
  <si>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</si>
  <si>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</si>
  <si>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</si>
  <si>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</si>
  <si>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</si>
  <si>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</si>
  <si>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</si>
  <si>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</si>
  <si>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</si>
  <si>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</si>
  <si>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</si>
  <si>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</si>
  <si>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</si>
  <si>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</si>
  <si>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</si>
  <si>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</si>
  <si>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</si>
  <si>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</si>
  <si>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</si>
  <si>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</si>
  <si>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</si>
  <si>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</si>
  <si>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</si>
  <si>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</si>
  <si>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</si>
  <si>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</si>
  <si>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</si>
  <si>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</si>
  <si>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</si>
  <si>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</si>
  <si>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</si>
  <si>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</si>
  <si>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</si>
  <si>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</si>
  <si>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</si>
  <si>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</si>
  <si>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</si>
  <si>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</si>
  <si>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</si>
  <si>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</si>
  <si>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</si>
  <si>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</si>
  <si>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</si>
  <si>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</si>
  <si>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</si>
  <si>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</si>
  <si>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</si>
  <si>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</si>
  <si>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</si>
  <si>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</si>
  <si>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</si>
  <si>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</si>
  <si>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</si>
  <si>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</si>
  <si>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</si>
  <si>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</si>
  <si>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</si>
  <si>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</si>
  <si>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</si>
  <si>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</si>
  <si>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</si>
  <si>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</si>
  <si>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</si>
  <si>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</si>
  <si>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</si>
  <si>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</si>
  <si>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</si>
  <si>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</si>
  <si>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</si>
  <si>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</si>
  <si>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</si>
  <si>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</si>
  <si>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</si>
  <si>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</si>
  <si>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</si>
  <si>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</si>
  <si>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</si>
  <si>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</si>
  <si>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</si>
  <si>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</si>
  <si>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</si>
  <si>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</si>
  <si>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</si>
  <si>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</si>
  <si>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</si>
  <si>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</si>
  <si>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</si>
  <si>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</si>
  <si>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</si>
  <si>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</si>
  <si>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</si>
  <si>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</si>
  <si>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</si>
  <si>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</si>
  <si>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</si>
  <si>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</si>
  <si>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</si>
  <si>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</si>
  <si>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</si>
  <si>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</si>
  <si>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</si>
  <si>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</si>
  <si>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</si>
  <si>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</si>
  <si>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</si>
  <si>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</si>
  <si>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</si>
  <si>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</si>
  <si>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</si>
  <si>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</si>
  <si>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</si>
  <si>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</si>
  <si>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</si>
  <si>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</si>
  <si>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</si>
  <si>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</si>
  <si>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</si>
  <si>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</si>
  <si>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</si>
  <si>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</si>
  <si>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</si>
  <si>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</si>
  <si>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</si>
  <si>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</si>
  <si>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</si>
  <si>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</si>
  <si>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</si>
  <si>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</si>
  <si>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</si>
  <si>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</si>
  <si>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</si>
  <si>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</si>
  <si>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</si>
  <si>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</si>
  <si>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</si>
  <si>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</si>
  <si>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</si>
  <si>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</si>
  <si>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</si>
  <si>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</si>
  <si>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</si>
  <si>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</si>
  <si>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</si>
  <si>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</si>
  <si>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</si>
  <si>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</si>
  <si>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</si>
  <si>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</si>
  <si>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</si>
  <si>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</si>
  <si>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</si>
  <si>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</si>
  <si>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</si>
  <si>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</si>
  <si>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</si>
  <si>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</si>
  <si>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</si>
  <si>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</si>
  <si>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</si>
  <si>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</si>
  <si>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</si>
  <si>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</si>
  <si>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</si>
  <si>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</si>
  <si>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</si>
  <si>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</si>
  <si>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</si>
  <si>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</si>
  <si>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</si>
  <si>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</si>
  <si>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</si>
  <si>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</si>
  <si>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</si>
  <si>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</si>
  <si>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</si>
  <si>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</si>
  <si>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</si>
  <si>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</si>
  <si>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</si>
  <si>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</si>
  <si>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</si>
  <si>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</si>
  <si>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</si>
  <si>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</si>
  <si>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</si>
  <si>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</si>
  <si>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</si>
  <si>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</si>
  <si>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</si>
  <si>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</si>
  <si>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</si>
  <si>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</si>
  <si>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</si>
  <si>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</si>
  <si>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</si>
  <si>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</si>
  <si>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</si>
  <si>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</si>
  <si>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</si>
  <si>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</si>
  <si>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</si>
  <si>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</si>
  <si>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</si>
  <si>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</si>
  <si>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</si>
  <si>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</si>
  <si>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</si>
  <si>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</si>
  <si>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</si>
  <si>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</si>
  <si>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</si>
  <si>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</si>
  <si>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</si>
  <si>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</si>
  <si>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</si>
  <si>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</si>
  <si>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</si>
  <si>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</si>
  <si>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</si>
  <si>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</si>
  <si>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</si>
  <si>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</si>
  <si>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</si>
  <si>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</si>
  <si>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</si>
  <si>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</si>
  <si>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</si>
  <si>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</si>
  <si>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</si>
  <si>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</si>
  <si>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</si>
  <si>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</si>
  <si>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</si>
  <si>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</si>
  <si>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</si>
  <si>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</si>
  <si>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</si>
  <si>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</si>
  <si>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</si>
  <si>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</si>
  <si>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</si>
  <si>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</si>
  <si>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</si>
  <si>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</si>
  <si>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</si>
  <si>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</si>
  <si>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</si>
  <si>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</si>
  <si>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</si>
  <si>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</si>
  <si>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</si>
  <si>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</si>
  <si>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</si>
  <si>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</si>
  <si>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</si>
  <si>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</si>
  <si>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</si>
  <si>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</si>
  <si>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</si>
  <si>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</si>
  <si>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</si>
  <si>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</si>
  <si>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</si>
  <si>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</si>
  <si>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</si>
  <si>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</si>
  <si>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</si>
  <si>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</si>
  <si>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</si>
  <si>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</si>
  <si>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</si>
  <si>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</si>
  <si>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</si>
  <si>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</si>
  <si>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</si>
  <si>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</si>
  <si>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</si>
  <si>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</si>
  <si>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</si>
  <si>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</si>
  <si>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</si>
  <si>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</si>
  <si>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</si>
  <si>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</si>
  <si>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</si>
  <si>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</si>
  <si>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</si>
  <si>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</si>
  <si>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</si>
  <si>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</si>
  <si>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</si>
  <si>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</si>
  <si>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</si>
  <si>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</si>
  <si>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</si>
  <si>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</si>
  <si>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</si>
  <si>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</si>
  <si>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</si>
  <si>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</si>
  <si>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</si>
  <si>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</si>
  <si>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</si>
  <si>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</si>
  <si>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</si>
  <si>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</si>
  <si>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</si>
  <si>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</si>
  <si>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</si>
  <si>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</si>
  <si>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</si>
  <si>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</si>
  <si>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</si>
  <si>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</si>
  <si>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</si>
  <si>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</si>
  <si>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</si>
  <si>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</si>
  <si>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</si>
  <si>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</si>
  <si>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</si>
  <si>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</si>
  <si>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</si>
  <si>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</si>
  <si>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</si>
  <si>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</si>
  <si>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</si>
  <si>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</si>
  <si>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</si>
  <si>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</si>
  <si>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</si>
  <si>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</si>
  <si>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</si>
  <si>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</si>
  <si>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</si>
  <si>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</si>
  <si>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</si>
  <si>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</si>
  <si>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</si>
  <si>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</si>
  <si>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</si>
  <si>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</si>
  <si>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</si>
  <si>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</si>
  <si>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</si>
  <si>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</si>
  <si>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</si>
  <si>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</si>
  <si>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</si>
  <si>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</si>
  <si>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</si>
  <si>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</si>
  <si>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</si>
  <si>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</si>
  <si>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</si>
  <si>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</si>
  <si>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</si>
  <si>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</si>
  <si>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</si>
  <si>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</si>
  <si>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</si>
  <si>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</si>
  <si>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</si>
  <si>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</si>
  <si>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</si>
  <si>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</si>
  <si>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</si>
  <si>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</si>
  <si>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</si>
  <si>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</si>
  <si>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</si>
  <si>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</si>
  <si>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</si>
  <si>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</si>
  <si>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</si>
  <si>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</si>
  <si>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</si>
  <si>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</si>
  <si>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</si>
  <si>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</si>
  <si>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</si>
  <si>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</si>
  <si>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</si>
  <si>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</si>
  <si>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</si>
  <si>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</si>
  <si>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</si>
  <si>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</si>
  <si>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</si>
  <si>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</si>
  <si>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</si>
  <si>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</si>
  <si>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</si>
  <si>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</si>
  <si>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</si>
  <si>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</si>
  <si>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</si>
  <si>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</si>
  <si>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</si>
  <si>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</si>
  <si>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</si>
  <si>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</si>
  <si>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</si>
  <si>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</si>
  <si>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</si>
  <si>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</si>
  <si>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</si>
  <si>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</si>
  <si>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</si>
  <si>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</si>
  <si>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</si>
  <si>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</si>
  <si>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</si>
  <si>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</si>
  <si>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</si>
  <si>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</si>
  <si>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</si>
  <si>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</si>
  <si>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</si>
  <si>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</si>
  <si>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</si>
  <si>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</si>
  <si>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</si>
  <si>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</si>
  <si>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</si>
  <si>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</si>
  <si>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</si>
  <si>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</si>
  <si>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</si>
  <si>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</si>
  <si>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</si>
  <si>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</si>
  <si>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</si>
  <si>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</si>
  <si>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</si>
  <si>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</si>
  <si>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</si>
  <si>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</si>
  <si>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</si>
  <si>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</si>
  <si>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</si>
  <si>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</si>
  <si>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</si>
  <si>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</si>
  <si>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</si>
  <si>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</si>
  <si>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</si>
  <si>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</si>
  <si>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</si>
  <si>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</si>
  <si>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</si>
  <si>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</si>
  <si>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</si>
  <si>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</si>
  <si>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</si>
  <si>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</si>
  <si>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</si>
  <si>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</si>
  <si>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</si>
  <si>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</si>
  <si>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</si>
  <si>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</si>
  <si>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</si>
  <si>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</si>
  <si>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</si>
  <si>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</si>
  <si>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</si>
  <si>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</si>
  <si>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</si>
  <si>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</si>
  <si>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</si>
  <si>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</si>
  <si>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</si>
  <si>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</si>
  <si>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</si>
  <si>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</si>
  <si>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</si>
  <si>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</si>
  <si>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</si>
  <si>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</si>
  <si>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</si>
  <si>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</si>
  <si>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</si>
  <si>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</si>
  <si>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</si>
  <si>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</si>
  <si>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</si>
  <si>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</si>
  <si>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</si>
  <si>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</si>
  <si>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</si>
  <si>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</si>
  <si>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</si>
  <si>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</si>
  <si>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</si>
  <si>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</si>
  <si>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</si>
  <si>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</si>
  <si>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</si>
  <si>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</si>
  <si>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</si>
  <si>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</si>
  <si>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</si>
  <si>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</si>
  <si>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</si>
  <si>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</si>
  <si>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</si>
  <si>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</si>
  <si>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</si>
  <si>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</si>
  <si>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</si>
  <si>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</si>
  <si>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</si>
  <si>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</si>
  <si>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</si>
  <si>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</si>
  <si>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</si>
  <si>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</si>
  <si>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</si>
  <si>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</si>
  <si>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</si>
  <si>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</si>
  <si>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</si>
  <si>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</si>
  <si>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</si>
  <si>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</si>
  <si>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</si>
  <si>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</si>
  <si>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</si>
  <si>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</si>
  <si>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</si>
  <si>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</si>
  <si>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</si>
  <si>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</si>
  <si>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</si>
  <si>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</si>
  <si>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</si>
  <si>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</si>
  <si>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</si>
  <si>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</si>
  <si>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</si>
  <si>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</si>
  <si>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</si>
  <si>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</si>
  <si>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</si>
  <si>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</si>
  <si>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</si>
  <si>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</si>
  <si>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</si>
  <si>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</si>
  <si>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</si>
  <si>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</si>
  <si>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</si>
  <si>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</si>
  <si>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</si>
  <si>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</si>
  <si>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</si>
  <si>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</si>
  <si>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</si>
  <si>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</si>
  <si>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</si>
  <si>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</si>
  <si>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</si>
  <si>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</si>
  <si>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</si>
  <si>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</si>
  <si>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</si>
  <si>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</si>
  <si>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</si>
  <si>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</si>
  <si>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</si>
  <si>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</si>
  <si>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</si>
  <si>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</si>
  <si>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</si>
  <si>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</si>
  <si>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</si>
  <si>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</si>
  <si>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</si>
  <si>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</si>
  <si>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</si>
  <si>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</si>
  <si>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</si>
  <si>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</si>
  <si>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</si>
  <si>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</si>
  <si>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</si>
  <si>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</si>
  <si>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</si>
  <si>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</si>
  <si>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</si>
  <si>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</si>
  <si>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</si>
  <si>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</si>
  <si>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</si>
  <si>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</si>
  <si>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</si>
  <si>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</si>
  <si>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</si>
  <si>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</si>
  <si>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</si>
  <si>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</si>
  <si>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</si>
  <si>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</si>
  <si>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</si>
  <si>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</si>
  <si>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</si>
  <si>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</si>
  <si>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</si>
  <si>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</si>
  <si>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</si>
  <si>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</si>
  <si>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</si>
  <si>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</si>
  <si>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</si>
  <si>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</si>
  <si>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</si>
  <si>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</si>
  <si>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</si>
  <si>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</si>
  <si>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</si>
  <si>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</si>
  <si>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</si>
  <si>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</si>
  <si>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</si>
  <si>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</si>
  <si>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</si>
  <si>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</si>
  <si>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</si>
  <si>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</si>
  <si>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</si>
  <si>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</si>
  <si>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</si>
  <si>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</si>
  <si>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</si>
  <si>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</si>
  <si>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</si>
  <si>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</si>
  <si>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</si>
  <si>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</si>
  <si>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</si>
  <si>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</si>
  <si>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</si>
  <si>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</si>
  <si>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</si>
  <si>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</si>
  <si>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</si>
  <si>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</si>
  <si>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</si>
  <si>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</si>
  <si>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</si>
  <si>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</si>
  <si>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</si>
  <si>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</si>
  <si>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</si>
  <si>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</si>
  <si>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</si>
  <si>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</si>
  <si>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</si>
  <si>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</si>
  <si>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</si>
  <si>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</si>
  <si>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</si>
  <si>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</si>
  <si>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</si>
  <si>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</si>
  <si>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</si>
  <si>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</si>
  <si>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</si>
  <si>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</si>
  <si>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</si>
  <si>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</si>
  <si>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</si>
  <si>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</si>
  <si>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</si>
  <si>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</si>
  <si>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</si>
  <si>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</si>
  <si>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</si>
  <si>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</si>
  <si>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</si>
  <si>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</si>
  <si>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</si>
  <si>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</si>
  <si>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</si>
  <si>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</si>
  <si>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</si>
  <si>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</si>
  <si>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</si>
  <si>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</si>
  <si>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</si>
  <si>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</si>
  <si>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</si>
  <si>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</si>
  <si>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</si>
  <si>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</si>
  <si>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</si>
  <si>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</si>
  <si>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</si>
  <si>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</si>
  <si>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</si>
  <si>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</si>
  <si>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</si>
  <si>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</si>
  <si>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</si>
  <si>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</si>
  <si>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</si>
  <si>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</si>
  <si>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</si>
  <si>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</si>
  <si>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</si>
  <si>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</si>
  <si>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</si>
  <si>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</si>
  <si>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</si>
  <si>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</si>
  <si>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</si>
  <si>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</si>
  <si>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</si>
  <si>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</si>
  <si>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</si>
  <si>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</si>
  <si>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</si>
  <si>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</si>
  <si>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</si>
  <si>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</si>
  <si>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</si>
  <si>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</si>
  <si>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</si>
  <si>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</si>
  <si>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</si>
  <si>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</si>
  <si>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</si>
  <si>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</si>
  <si>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</si>
  <si>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</si>
  <si>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</si>
  <si>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</si>
  <si>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</si>
  <si>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</si>
  <si>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</si>
  <si>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</si>
  <si>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</si>
  <si>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</si>
  <si>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</si>
  <si>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</si>
  <si>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</si>
  <si>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</si>
  <si>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</si>
  <si>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</si>
  <si>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</si>
  <si>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</si>
  <si>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</si>
  <si>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</si>
  <si>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</si>
  <si>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</si>
  <si>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</si>
  <si>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</si>
  <si>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</si>
  <si>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</si>
  <si>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</si>
  <si>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</si>
  <si>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</si>
  <si>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</si>
  <si>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</si>
  <si>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</si>
  <si>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</si>
  <si>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</si>
  <si>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</si>
  <si>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</si>
  <si>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</si>
  <si>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</si>
  <si>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</si>
  <si>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</si>
  <si>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</si>
  <si>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</si>
  <si>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</si>
  <si>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</si>
  <si>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</si>
  <si>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</si>
  <si>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</si>
  <si>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</si>
  <si>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</si>
  <si>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</si>
  <si>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</si>
  <si>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</si>
  <si>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</si>
  <si>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</si>
  <si>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</si>
  <si>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</si>
  <si>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</si>
  <si>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</si>
  <si>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</si>
  <si>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</si>
  <si>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</si>
  <si>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</si>
  <si>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</si>
  <si>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</si>
  <si>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</si>
  <si>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</si>
  <si>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</si>
  <si>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</si>
  <si>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</si>
  <si>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</si>
  <si>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</si>
  <si>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</si>
  <si>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</si>
  <si>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</si>
  <si>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</si>
  <si>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</si>
  <si>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</si>
  <si>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</si>
  <si>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</si>
  <si>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</si>
  <si>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</si>
  <si>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</si>
  <si>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</si>
  <si>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</si>
  <si>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</si>
  <si>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</si>
  <si>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</si>
  <si>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</si>
  <si>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</si>
  <si>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</si>
  <si>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</si>
  <si>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</si>
  <si>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</si>
  <si>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</si>
  <si>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</si>
  <si>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</si>
  <si>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</si>
  <si>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</si>
  <si>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</si>
  <si>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</si>
  <si>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</si>
  <si>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</si>
  <si>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</si>
  <si>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</si>
  <si>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</si>
  <si>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</si>
  <si>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</si>
  <si>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</si>
  <si>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</si>
  <si>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</si>
  <si>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</si>
  <si>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</si>
  <si>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</si>
  <si>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</si>
  <si>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</si>
  <si>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</si>
  <si>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</si>
  <si>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</si>
  <si>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</si>
  <si>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</si>
  <si>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</si>
  <si>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</si>
  <si>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</si>
  <si>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</si>
  <si>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</si>
  <si>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</si>
  <si>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</si>
  <si>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</si>
  <si>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</si>
  <si>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</si>
  <si>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</si>
  <si>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</si>
  <si>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</si>
  <si>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</si>
  <si>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</si>
  <si>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</si>
  <si>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</si>
  <si>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</si>
  <si>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</si>
  <si>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</si>
  <si>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</si>
  <si>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</si>
  <si>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</si>
  <si>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</si>
  <si>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</si>
  <si>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</si>
  <si>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</si>
  <si>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</si>
  <si>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</si>
  <si>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</si>
  <si>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</si>
  <si>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</si>
  <si>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</si>
  <si>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</si>
  <si>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</si>
  <si>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</si>
  <si>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</si>
  <si>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</si>
  <si>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</si>
  <si>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</si>
  <si>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</si>
  <si>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</si>
  <si>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</si>
  <si>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</si>
  <si>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</si>
  <si>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</si>
  <si>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</si>
  <si>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</si>
  <si>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</si>
  <si>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</si>
  <si>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</si>
  <si>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</si>
  <si>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</si>
  <si>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</si>
  <si>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</si>
  <si>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</si>
  <si>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</si>
  <si>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</si>
  <si>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</si>
  <si>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</si>
  <si>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</si>
  <si>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</si>
  <si>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</si>
  <si>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</si>
  <si>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</si>
  <si>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</si>
  <si>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</si>
  <si>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</si>
  <si>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</si>
  <si>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</si>
  <si>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</si>
  <si>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</si>
  <si>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</si>
  <si>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</si>
  <si>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</si>
  <si>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</si>
  <si>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</si>
  <si>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</si>
  <si>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</si>
  <si>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</si>
  <si>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</si>
  <si>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</si>
  <si>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</si>
  <si>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</si>
  <si>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</si>
  <si>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</si>
  <si>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</si>
  <si>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</si>
  <si>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</si>
  <si>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</si>
  <si>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</si>
  <si>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</si>
  <si>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</si>
  <si>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</si>
  <si>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</si>
  <si>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</si>
  <si>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</si>
  <si>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</si>
  <si>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</si>
  <si>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</si>
  <si>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</si>
  <si>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</si>
  <si>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</si>
  <si>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</si>
  <si>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</si>
  <si>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</si>
  <si>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</si>
  <si>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</si>
  <si>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</si>
  <si>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</si>
  <si>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</si>
  <si>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</si>
  <si>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</si>
  <si>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</si>
  <si>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</si>
  <si>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</si>
  <si>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</si>
  <si>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</si>
  <si>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</si>
  <si>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</si>
  <si>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</si>
  <si>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</si>
  <si>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</si>
  <si>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</si>
  <si>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</si>
  <si>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</si>
  <si>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</si>
  <si>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</si>
  <si>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</si>
  <si>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</si>
  <si>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</si>
  <si>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</si>
  <si>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</si>
  <si>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</si>
  <si>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</si>
  <si>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</si>
  <si>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</si>
  <si>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</si>
  <si>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</si>
  <si>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</si>
  <si>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</si>
  <si>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</si>
  <si>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</si>
  <si>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</si>
  <si>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</si>
  <si>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</si>
  <si>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</si>
  <si>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</si>
  <si>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</si>
  <si>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</si>
  <si>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</si>
  <si>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</si>
  <si>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</si>
  <si>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</si>
  <si>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</si>
  <si>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</si>
  <si>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</si>
  <si>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</si>
  <si>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</si>
  <si>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</si>
  <si>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</si>
  <si>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</si>
  <si>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</si>
  <si>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</si>
  <si>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</si>
  <si>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</si>
  <si>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</si>
  <si>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</si>
  <si>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</si>
  <si>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</si>
  <si>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</si>
  <si>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</si>
  <si>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</si>
  <si>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</si>
  <si>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</si>
  <si>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</si>
  <si>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</si>
  <si>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</si>
  <si>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</si>
  <si>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</si>
  <si>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</si>
  <si>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</si>
  <si>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</si>
  <si>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</si>
  <si>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</si>
  <si>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</si>
  <si>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</si>
  <si>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</si>
  <si>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</si>
  <si>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</si>
  <si>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</si>
  <si>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</si>
  <si>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</si>
  <si>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</si>
  <si>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</si>
  <si>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</si>
  <si>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</si>
  <si>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</si>
  <si>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</si>
  <si>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</si>
  <si>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</si>
  <si>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</si>
  <si>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</si>
  <si>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</si>
  <si>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</si>
  <si>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</si>
  <si>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</si>
  <si>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</si>
  <si>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</si>
  <si>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</si>
  <si>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</si>
  <si>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</si>
  <si>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</si>
  <si>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</si>
  <si>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</si>
  <si>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</si>
  <si>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</si>
  <si>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</si>
  <si>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</si>
  <si>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</si>
  <si>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</si>
  <si>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</si>
  <si>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</si>
  <si>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</si>
  <si>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</si>
  <si>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</si>
  <si>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</si>
  <si>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</si>
  <si>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</si>
  <si>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</si>
  <si>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</si>
  <si>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</si>
  <si>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</si>
  <si>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</si>
  <si>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</si>
  <si>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</si>
  <si>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</si>
  <si>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</si>
  <si>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</si>
  <si>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</si>
  <si>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</si>
  <si>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</si>
  <si>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</si>
  <si>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</si>
  <si>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</si>
  <si>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</si>
  <si>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</si>
  <si>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</si>
  <si>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</si>
  <si>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</si>
  <si>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</si>
  <si>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</si>
  <si>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</si>
  <si>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</si>
  <si>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</si>
  <si>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</si>
  <si>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</si>
  <si>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</si>
  <si>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</si>
  <si>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</si>
  <si>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</si>
  <si>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</si>
  <si>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</si>
  <si>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</si>
  <si>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</si>
  <si>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</si>
  <si>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</si>
  <si>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</si>
  <si>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</si>
  <si>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</si>
  <si>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</si>
  <si>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</si>
  <si>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</si>
  <si>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</si>
  <si>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</si>
  <si>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</si>
  <si>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</si>
  <si>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</si>
  <si>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</si>
  <si>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</si>
  <si>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</si>
  <si>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</si>
  <si>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</si>
  <si>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</si>
  <si>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</si>
  <si>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</si>
  <si>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</si>
  <si>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</si>
  <si>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</si>
  <si>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</si>
  <si>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</si>
  <si>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</si>
  <si>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</si>
  <si>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</si>
  <si>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</si>
  <si>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</si>
  <si>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</si>
  <si>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</si>
  <si>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</si>
  <si>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</si>
  <si>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</si>
  <si>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</si>
  <si>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</si>
  <si>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</si>
  <si>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</si>
  <si>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</si>
  <si>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</si>
  <si>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</si>
  <si>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</si>
  <si>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</si>
  <si>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</si>
  <si>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</si>
  <si>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</si>
  <si>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</si>
  <si>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</si>
  <si>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</si>
  <si>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</si>
  <si>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</si>
  <si>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</si>
  <si>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</si>
  <si>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</si>
  <si>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</si>
  <si>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</si>
  <si>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</si>
  <si>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</si>
  <si>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</si>
  <si>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</si>
  <si>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</si>
  <si>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</si>
  <si>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</si>
  <si>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</si>
  <si>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</si>
  <si>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</si>
  <si>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</si>
  <si>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</si>
  <si>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</si>
  <si>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</si>
  <si>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</si>
  <si>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</si>
  <si>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</si>
  <si>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</si>
  <si>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</si>
  <si>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</si>
  <si>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</si>
  <si>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</si>
  <si>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</si>
  <si>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</si>
  <si>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</si>
  <si>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</si>
  <si>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</si>
  <si>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</si>
  <si>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</si>
  <si>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</si>
  <si>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</si>
  <si>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</si>
  <si>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</si>
  <si>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</si>
  <si>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</si>
  <si>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</si>
  <si>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</si>
  <si>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</si>
  <si>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</si>
  <si>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</si>
  <si>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</si>
  <si>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</si>
  <si>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</si>
  <si>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</si>
  <si>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</si>
  <si>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</si>
  <si>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</si>
  <si>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</si>
  <si>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</si>
  <si>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</si>
  <si>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</si>
  <si>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</si>
  <si>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</si>
  <si>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</si>
  <si>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</si>
  <si>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</si>
  <si>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</si>
  <si>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</si>
  <si>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</si>
  <si>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</si>
  <si>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</si>
  <si>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</si>
  <si>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</si>
  <si>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</si>
  <si>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</si>
  <si>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</si>
  <si>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</si>
  <si>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</si>
  <si>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</si>
  <si>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</si>
  <si>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</si>
  <si>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</si>
  <si>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</si>
  <si>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</si>
  <si>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</si>
  <si>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</si>
  <si>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</si>
  <si>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</si>
  <si>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</si>
  <si>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</si>
  <si>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</si>
  <si>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</si>
  <si>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</si>
  <si>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</si>
  <si>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</si>
  <si>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</si>
  <si>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</si>
  <si>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</si>
  <si>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</si>
  <si>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</si>
  <si>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</si>
  <si>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</si>
  <si>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</si>
  <si>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</si>
  <si>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</si>
  <si>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</si>
  <si>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</si>
  <si>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</si>
  <si>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</si>
  <si>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</si>
  <si>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</si>
  <si>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</si>
  <si>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</si>
  <si>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</si>
  <si>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</si>
  <si>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</si>
  <si>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</si>
  <si>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</si>
  <si>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</si>
  <si>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</si>
  <si>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</si>
  <si>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</si>
  <si>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</si>
  <si>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</si>
  <si>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</si>
  <si>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</si>
  <si>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</si>
  <si>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</si>
  <si>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</si>
  <si>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</si>
  <si>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</si>
  <si>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</si>
  <si>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</si>
  <si>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</si>
  <si>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</si>
  <si>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</si>
  <si>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</si>
  <si>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</si>
  <si>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</si>
  <si>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</si>
  <si>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</si>
  <si>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</si>
  <si>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</si>
  <si>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</si>
  <si>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</si>
  <si>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</si>
  <si>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</si>
  <si>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</si>
  <si>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</si>
  <si>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</si>
  <si>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</si>
  <si>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</si>
  <si>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</si>
  <si>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</si>
  <si>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</si>
  <si>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</si>
  <si>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</si>
  <si>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</si>
  <si>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</si>
  <si>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</si>
  <si>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</si>
  <si>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</si>
  <si>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</si>
  <si>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</si>
  <si>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</si>
  <si>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</si>
  <si>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</si>
  <si>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</si>
  <si>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</si>
  <si>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</si>
  <si>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</si>
  <si>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</si>
  <si>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</si>
  <si>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</si>
  <si>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</si>
  <si>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</si>
  <si>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</si>
  <si>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</si>
  <si>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</si>
  <si>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</si>
  <si>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</si>
  <si>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</si>
  <si>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</si>
  <si>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</si>
  <si>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</si>
  <si>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</si>
  <si>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</si>
  <si>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</si>
  <si>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</si>
  <si>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</si>
  <si>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</si>
  <si>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</si>
  <si>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</si>
  <si>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</si>
  <si>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</si>
  <si>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</si>
  <si>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</si>
  <si>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</si>
  <si>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</si>
  <si>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</si>
  <si>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</si>
  <si>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</si>
  <si>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</si>
  <si>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</si>
  <si>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</si>
  <si>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</si>
  <si>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</si>
  <si>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</si>
  <si>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</si>
  <si>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</si>
  <si>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</si>
  <si>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</si>
  <si>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</si>
  <si>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</si>
  <si>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</si>
  <si>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</si>
  <si>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</si>
  <si>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</si>
  <si>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</si>
  <si>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</si>
  <si>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</si>
  <si>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</si>
  <si>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</si>
  <si>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</si>
  <si>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</si>
  <si>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</si>
  <si>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</si>
  <si>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</si>
  <si>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</si>
  <si>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</si>
  <si>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</si>
  <si>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</si>
  <si>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</si>
  <si>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</si>
  <si>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</si>
  <si>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</si>
  <si>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</si>
  <si>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</si>
  <si>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</si>
  <si>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</si>
  <si>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</si>
  <si>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</si>
  <si>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</si>
  <si>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</si>
  <si>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</si>
  <si>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</si>
  <si>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</si>
  <si>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</si>
  <si>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</si>
  <si>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</si>
  <si>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</si>
  <si>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</si>
  <si>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</si>
  <si>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</si>
  <si>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</si>
  <si>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</si>
  <si>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</si>
  <si>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</si>
  <si>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</si>
  <si>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</si>
  <si>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</si>
  <si>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</si>
  <si>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</si>
  <si>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</si>
  <si>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</si>
  <si>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</si>
  <si>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</si>
  <si>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</si>
  <si>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</si>
  <si>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</si>
  <si>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</si>
  <si>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</si>
  <si>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</si>
  <si>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</si>
  <si>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</si>
  <si>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</si>
  <si>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</si>
  <si>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</si>
  <si>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</si>
  <si>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</si>
  <si>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</si>
  <si>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</si>
  <si>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</si>
  <si>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</si>
  <si>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</si>
  <si>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</si>
  <si>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</si>
  <si>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</si>
  <si>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</si>
  <si>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</si>
  <si>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</si>
  <si>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</si>
  <si>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</si>
  <si>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</si>
  <si>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</si>
  <si>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</si>
  <si>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</si>
  <si>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</si>
  <si>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</si>
  <si>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</si>
  <si>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</si>
  <si>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</si>
  <si>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</si>
  <si>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</si>
  <si>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</si>
  <si>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</si>
  <si>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</si>
  <si>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</si>
  <si>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</si>
  <si>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</si>
  <si>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</si>
  <si>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</si>
  <si>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</si>
  <si>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</si>
  <si>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</si>
  <si>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</si>
  <si>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</si>
  <si>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</si>
  <si>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</si>
  <si>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</si>
  <si>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</si>
  <si>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</si>
  <si>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</si>
  <si>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</si>
  <si>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</si>
  <si>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</si>
  <si>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</si>
  <si>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</si>
  <si>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</si>
  <si>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</si>
  <si>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</si>
  <si>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</si>
  <si>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</si>
  <si>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</si>
  <si>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</si>
  <si>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</si>
  <si>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</si>
  <si>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</si>
  <si>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</si>
  <si>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</si>
  <si>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</si>
  <si>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</si>
  <si>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</si>
  <si>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</si>
  <si>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</si>
  <si>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</si>
  <si>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</si>
  <si>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</si>
  <si>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</si>
  <si>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</si>
  <si>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</si>
  <si>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</si>
  <si>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</si>
  <si>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</si>
  <si>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</si>
  <si>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</si>
  <si>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</si>
  <si>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</si>
  <si>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</si>
  <si>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</si>
  <si>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</si>
  <si>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</si>
  <si>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</si>
  <si>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</si>
  <si>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</si>
  <si>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</si>
  <si>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</si>
  <si>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</si>
  <si>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</si>
  <si>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</si>
  <si>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</si>
  <si>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</si>
  <si>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</si>
  <si>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</si>
  <si>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</si>
  <si>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</si>
  <si>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</si>
  <si>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</si>
  <si>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</si>
  <si>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</si>
  <si>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</si>
  <si>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</si>
  <si>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</si>
  <si>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</si>
  <si>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</si>
  <si>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</si>
  <si>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</si>
  <si>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</si>
  <si>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</si>
  <si>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</si>
  <si>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</si>
  <si>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</si>
  <si>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</si>
  <si>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</si>
  <si>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</si>
  <si>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</si>
  <si>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</si>
  <si>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</si>
  <si>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</si>
  <si>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</si>
  <si>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</si>
  <si>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</si>
  <si>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</si>
  <si>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</si>
  <si>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</si>
  <si>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</si>
  <si>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</si>
  <si>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</si>
  <si>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</si>
  <si>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</si>
  <si>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</si>
  <si>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</si>
  <si>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</si>
  <si>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</si>
  <si>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</si>
  <si>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</si>
  <si>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</si>
  <si>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</si>
  <si>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</si>
  <si>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</si>
  <si>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</si>
  <si>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</si>
  <si>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</si>
  <si>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</si>
  <si>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</si>
  <si>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</si>
  <si>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</si>
  <si>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</si>
  <si>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</si>
  <si>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</si>
  <si>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</si>
  <si>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</si>
  <si>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</si>
  <si>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</si>
  <si>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</si>
  <si>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</si>
  <si>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</si>
  <si>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</si>
  <si>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</si>
  <si>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</si>
  <si>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</si>
  <si>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</si>
  <si>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</si>
  <si>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</si>
  <si>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</si>
  <si>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</si>
  <si>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</si>
  <si>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</si>
  <si>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</si>
  <si>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</si>
  <si>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</si>
  <si>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</si>
  <si>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</si>
  <si>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</si>
  <si>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</si>
  <si>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</si>
  <si>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</si>
  <si>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</si>
  <si>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</si>
  <si>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</si>
  <si>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</si>
  <si>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</si>
  <si>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</si>
  <si>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</si>
  <si>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</si>
  <si>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</si>
  <si>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</si>
  <si>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</si>
  <si>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</si>
  <si>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</si>
  <si>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</si>
  <si>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</si>
  <si>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</si>
  <si>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</si>
  <si>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</si>
  <si>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</si>
  <si>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</si>
  <si>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</si>
  <si>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</si>
  <si>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</si>
  <si>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</si>
  <si>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</si>
  <si>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</si>
  <si>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</si>
  <si>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</si>
  <si>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</si>
  <si>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</si>
  <si>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</si>
  <si>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</si>
  <si>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</si>
  <si>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</si>
  <si>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</si>
  <si>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</si>
  <si>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</si>
  <si>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</si>
  <si>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</si>
  <si>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</si>
  <si>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</si>
  <si>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</si>
  <si>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</si>
  <si>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</si>
  <si>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</si>
  <si>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</si>
  <si>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</si>
  <si>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</si>
  <si>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</si>
  <si>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</si>
  <si>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</si>
  <si>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</si>
  <si>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</si>
  <si>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</si>
  <si>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</si>
  <si>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</si>
  <si>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</si>
  <si>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</si>
  <si>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</si>
  <si>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</si>
  <si>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</si>
  <si>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</si>
  <si>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</si>
  <si>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</si>
  <si>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</si>
  <si>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</si>
  <si>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</si>
  <si>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</si>
  <si>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</si>
  <si>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</si>
  <si>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</si>
  <si>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</si>
  <si>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</si>
  <si>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</si>
  <si>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</si>
  <si>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</si>
  <si>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</si>
  <si>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</si>
  <si>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</si>
  <si>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</si>
  <si>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</si>
  <si>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</si>
  <si>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</si>
  <si>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</si>
  <si>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</si>
  <si>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</si>
  <si>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</si>
  <si>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</si>
  <si>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</si>
  <si>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</si>
  <si>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</si>
  <si>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</si>
  <si>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</si>
  <si>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</si>
  <si>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</si>
  <si>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</si>
  <si>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</si>
  <si>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</si>
  <si>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</si>
  <si>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</si>
  <si>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</si>
  <si>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</si>
  <si>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</si>
  <si>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</si>
  <si>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</si>
  <si>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</si>
  <si>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</si>
  <si>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</si>
  <si>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</si>
  <si>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</si>
  <si>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</si>
  <si>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</si>
  <si>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</si>
  <si>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</si>
  <si>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</si>
  <si>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</si>
  <si>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</si>
  <si>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</si>
  <si>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</si>
  <si>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</si>
  <si>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</si>
  <si>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</si>
  <si>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</si>
  <si>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</si>
  <si>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</si>
  <si>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</si>
  <si>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</si>
  <si>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</si>
  <si>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</si>
  <si>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</si>
  <si>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</si>
  <si>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</si>
  <si>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</si>
  <si>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</si>
  <si>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</si>
  <si>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</si>
  <si>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</si>
  <si>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</si>
  <si>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</si>
  <si>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</si>
  <si>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</si>
  <si>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</si>
  <si>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</si>
  <si>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</si>
  <si>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</si>
  <si>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</si>
  <si>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</si>
  <si>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</si>
  <si>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</si>
  <si>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</si>
  <si>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</si>
  <si>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</si>
  <si>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</si>
  <si>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</si>
  <si>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</si>
  <si>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</si>
  <si>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</si>
  <si>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</si>
  <si>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</si>
  <si>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</si>
  <si>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</si>
  <si>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</si>
  <si>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</si>
  <si>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</si>
  <si>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</si>
  <si>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</si>
  <si>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</si>
  <si>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</si>
  <si>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</si>
  <si>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</si>
  <si>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</si>
  <si>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</si>
  <si>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</si>
  <si>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</si>
  <si>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</si>
  <si>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</si>
  <si>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</si>
  <si>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</si>
  <si>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</si>
  <si>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</si>
  <si>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</si>
  <si>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</si>
  <si>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</si>
  <si>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</si>
  <si>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</si>
  <si>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</si>
  <si>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</si>
  <si>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</si>
  <si>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</si>
  <si>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</si>
  <si>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</si>
  <si>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</si>
  <si>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</si>
  <si>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</si>
  <si>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</si>
  <si>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</si>
  <si>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</si>
  <si>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</si>
  <si>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</si>
  <si>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</si>
  <si>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</si>
  <si>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</si>
  <si>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</si>
  <si>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</si>
  <si>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</si>
  <si>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</si>
  <si>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</si>
  <si>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</si>
  <si>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</si>
  <si>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</si>
  <si>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</si>
  <si>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</si>
  <si>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</si>
  <si>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</si>
  <si>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</si>
  <si>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</si>
  <si>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</si>
  <si>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</si>
  <si>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</si>
  <si>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</si>
  <si>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</si>
  <si>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</si>
  <si>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</si>
  <si>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</si>
  <si>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</si>
  <si>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</si>
  <si>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</si>
  <si>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</si>
  <si>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</si>
  <si>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</si>
  <si>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</si>
  <si>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</si>
  <si>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</si>
  <si>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</si>
  <si>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</si>
  <si>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</si>
  <si>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</si>
  <si>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</si>
  <si>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</si>
  <si>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</si>
  <si>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</si>
  <si>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</si>
  <si>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</si>
  <si>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</si>
  <si>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</si>
  <si>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</si>
  <si>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</si>
  <si>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</si>
  <si>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</si>
  <si>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</si>
  <si>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</si>
  <si>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</si>
  <si>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</si>
  <si>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</si>
  <si>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</si>
  <si>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</si>
  <si>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</si>
  <si>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</si>
  <si>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</si>
  <si>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</si>
  <si>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</si>
  <si>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</si>
  <si>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</si>
  <si>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</si>
  <si>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</si>
  <si>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</si>
  <si>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</si>
  <si>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</si>
  <si>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</si>
  <si>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</si>
  <si>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</si>
  <si>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</si>
  <si>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</si>
  <si>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</si>
  <si>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</si>
  <si>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</si>
  <si>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</si>
  <si>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</si>
  <si>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</si>
  <si>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</si>
  <si>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</si>
  <si>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</si>
  <si>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</si>
  <si>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</si>
  <si>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</si>
  <si>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</si>
  <si>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</si>
  <si>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</si>
  <si>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</si>
  <si>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</si>
  <si>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</si>
  <si>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</si>
  <si>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</si>
  <si>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</si>
  <si>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</si>
  <si>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</si>
  <si>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</si>
  <si>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</si>
  <si>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</si>
  <si>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</si>
  <si>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</si>
  <si>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</si>
  <si>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</si>
  <si>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</si>
  <si>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</si>
  <si>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</si>
  <si>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</si>
  <si>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</si>
  <si>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</si>
  <si>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</si>
  <si>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</si>
  <si>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</si>
  <si>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</si>
  <si>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</si>
  <si>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</si>
  <si>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</si>
  <si>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</si>
  <si>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</si>
  <si>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</si>
  <si>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</si>
  <si>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</si>
  <si>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</si>
  <si>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</si>
  <si>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</si>
  <si>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</si>
  <si>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</si>
  <si>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</si>
  <si>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</si>
  <si>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</si>
  <si>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</si>
  <si>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</si>
  <si>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</si>
  <si>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</si>
  <si>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</si>
  <si>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</si>
  <si>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</si>
  <si>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</si>
  <si>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</si>
  <si>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</si>
  <si>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</si>
  <si>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</si>
  <si>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</si>
  <si>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</si>
  <si>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</si>
  <si>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</si>
  <si>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</si>
  <si>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</si>
  <si>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</si>
  <si>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</si>
  <si>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</si>
  <si>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</si>
  <si>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</si>
  <si>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</si>
  <si>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</si>
  <si>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</si>
  <si>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</si>
  <si>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</si>
  <si>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</si>
  <si>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</si>
  <si>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</si>
  <si>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</si>
  <si>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</si>
  <si>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</si>
  <si>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</si>
  <si>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</si>
  <si>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</si>
  <si>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</si>
  <si>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</si>
  <si>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</si>
  <si>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</si>
  <si>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</si>
  <si>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</si>
  <si>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</si>
  <si>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</si>
  <si>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</si>
  <si>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</si>
  <si>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</si>
  <si>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</si>
  <si>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</si>
  <si>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</si>
  <si>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</si>
  <si>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</si>
  <si>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</si>
  <si>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</si>
  <si>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</si>
  <si>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</si>
  <si>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</si>
  <si>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</si>
  <si>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</si>
  <si>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</si>
  <si>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</si>
  <si>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</si>
  <si>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</si>
  <si>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</si>
  <si>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</si>
  <si>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</si>
  <si>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</si>
  <si>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</si>
  <si>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</si>
  <si>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</si>
  <si>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</si>
  <si>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</si>
  <si>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</si>
  <si>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</si>
  <si>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</si>
  <si>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</si>
  <si>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</si>
  <si>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</si>
  <si>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</si>
  <si>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</si>
  <si>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</si>
  <si>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</si>
  <si>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</si>
  <si>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</si>
  <si>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</si>
  <si>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</si>
  <si>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</si>
  <si>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</si>
  <si>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</si>
  <si>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</si>
  <si>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</si>
  <si>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</si>
  <si>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</si>
  <si>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</si>
  <si>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</si>
  <si>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</si>
  <si>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</si>
  <si>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</si>
  <si>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</si>
  <si>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</si>
  <si>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</si>
  <si>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</si>
  <si>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</si>
  <si>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</si>
  <si>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</si>
  <si>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</si>
  <si>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</si>
  <si>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</si>
  <si>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</si>
  <si>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</si>
  <si>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</si>
  <si>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</si>
  <si>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</si>
  <si>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</si>
  <si>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</si>
  <si>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</si>
  <si>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</si>
  <si>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</si>
  <si>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</si>
  <si>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</si>
  <si>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</si>
  <si>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</si>
  <si>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</si>
  <si>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</si>
  <si>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</si>
  <si>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</si>
  <si>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</si>
  <si>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</si>
  <si>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</si>
  <si>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</si>
  <si>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</si>
  <si>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</si>
  <si>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</si>
  <si>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</si>
  <si>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</si>
  <si>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</si>
  <si>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</si>
  <si>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</si>
  <si>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</si>
  <si>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</si>
  <si>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</si>
  <si>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</si>
  <si>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</si>
  <si>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</si>
  <si>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</si>
  <si>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</si>
  <si>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</si>
  <si>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</si>
  <si>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</si>
  <si>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</si>
  <si>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</si>
  <si>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</si>
  <si>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</si>
  <si>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</si>
  <si>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</si>
  <si>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</si>
  <si>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</si>
  <si>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</si>
  <si>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</si>
  <si>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</si>
  <si>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</si>
  <si>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</si>
  <si>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</si>
  <si>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</si>
  <si>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</si>
  <si>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</si>
  <si>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</si>
  <si>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</si>
  <si>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</si>
  <si>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</si>
  <si>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</si>
  <si>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</si>
  <si>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</si>
  <si>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</si>
  <si>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</si>
  <si>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</si>
  <si>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</si>
  <si>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</si>
  <si>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</si>
  <si>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</si>
  <si>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</si>
  <si>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</si>
  <si>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</si>
  <si>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</si>
  <si>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</si>
  <si>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</si>
  <si>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</si>
  <si>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</si>
  <si>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</si>
  <si>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</si>
  <si>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</si>
  <si>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</si>
  <si>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</si>
  <si>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</si>
  <si>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</si>
  <si>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</si>
  <si>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</si>
  <si>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</si>
  <si>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</si>
  <si>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</si>
  <si>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</si>
  <si>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</si>
  <si>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</si>
  <si>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</si>
  <si>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</si>
  <si>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</si>
  <si>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</si>
  <si>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</si>
  <si>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</si>
  <si>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</si>
  <si>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</si>
  <si>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</si>
  <si>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</si>
  <si>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</si>
  <si>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</si>
  <si>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</si>
  <si>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</si>
  <si>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</si>
  <si>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</si>
  <si>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</si>
  <si>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</si>
  <si>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</si>
  <si>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</si>
  <si>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</si>
  <si>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</si>
  <si>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</si>
  <si>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</si>
  <si>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</si>
  <si>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</si>
  <si>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</si>
  <si>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</si>
  <si>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</si>
  <si>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</si>
  <si>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</si>
  <si>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</si>
  <si>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</si>
  <si>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</si>
  <si>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</si>
  <si>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</si>
  <si>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</si>
  <si>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</si>
  <si>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</si>
  <si>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</si>
  <si>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</si>
  <si>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</si>
  <si>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</si>
  <si>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</si>
  <si>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</si>
  <si>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</si>
  <si>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</si>
  <si>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</si>
  <si>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</si>
  <si>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</si>
  <si>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</si>
  <si>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</si>
  <si>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</si>
  <si>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</si>
  <si>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</si>
  <si>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</si>
  <si>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</si>
  <si>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</si>
  <si>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</si>
  <si>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</si>
  <si>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</si>
  <si>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</si>
  <si>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</si>
  <si>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</si>
  <si>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</si>
  <si>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</si>
  <si>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</si>
  <si>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</si>
  <si>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</si>
  <si>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</si>
  <si>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</si>
  <si>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</si>
  <si>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</si>
  <si>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</si>
  <si>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</si>
  <si>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</si>
  <si>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</si>
  <si>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</si>
  <si>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</si>
  <si>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</si>
  <si>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</si>
  <si>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</si>
  <si>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</si>
  <si>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</si>
  <si>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</si>
  <si>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</si>
  <si>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</si>
  <si>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</si>
  <si>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</si>
  <si>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</si>
  <si>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</si>
  <si>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</si>
  <si>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</si>
  <si>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</si>
  <si>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</si>
  <si>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</si>
  <si>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</si>
  <si>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</si>
  <si>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</si>
  <si>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</si>
  <si>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</si>
  <si>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</si>
  <si>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</si>
  <si>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</si>
  <si>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</si>
  <si>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</si>
  <si>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</si>
  <si>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</si>
  <si>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</si>
  <si>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</si>
  <si>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</si>
  <si>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</si>
  <si>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</si>
  <si>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</si>
  <si>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</si>
  <si>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</si>
  <si>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</si>
  <si>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</si>
  <si>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</si>
  <si>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</si>
  <si>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</si>
  <si>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</si>
  <si>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</si>
  <si>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</si>
  <si>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</si>
  <si>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</si>
  <si>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</si>
  <si>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</si>
  <si>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</si>
  <si>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</si>
  <si>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</si>
  <si>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</si>
  <si>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</si>
  <si>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</si>
  <si>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</si>
  <si>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</si>
  <si>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</si>
  <si>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</si>
  <si>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</si>
  <si>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</si>
  <si>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</si>
  <si>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</si>
  <si>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</si>
  <si>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</si>
  <si>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</si>
  <si>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</si>
  <si>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</si>
  <si>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</si>
  <si>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</si>
  <si>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</si>
  <si>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</si>
  <si>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</si>
  <si>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</si>
  <si>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</si>
  <si>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</si>
  <si>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</si>
  <si>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</si>
  <si>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</si>
  <si>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</si>
  <si>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</si>
  <si>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</si>
  <si>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</si>
  <si>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</si>
  <si>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</si>
  <si>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</si>
  <si>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</si>
  <si>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</si>
  <si>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</si>
  <si>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</si>
  <si>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</si>
  <si>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</si>
  <si>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</si>
  <si>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</si>
  <si>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</si>
  <si>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</si>
  <si>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</si>
  <si>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</si>
  <si>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</si>
  <si>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</si>
  <si>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</si>
  <si>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</si>
  <si>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</si>
  <si>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</si>
  <si>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</si>
  <si>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</si>
  <si>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</si>
  <si>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</si>
  <si>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</si>
  <si>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</si>
  <si>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</si>
  <si>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</si>
  <si>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</si>
  <si>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</si>
  <si>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</si>
  <si>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</si>
  <si>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</si>
  <si>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</si>
  <si>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</si>
  <si>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</si>
  <si>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</si>
  <si>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</si>
  <si>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</si>
  <si>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</si>
  <si>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</si>
  <si>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</si>
  <si>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</si>
  <si>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</si>
  <si>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</si>
  <si>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</si>
  <si>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</si>
  <si>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</si>
  <si>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</si>
  <si>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</si>
  <si>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</si>
  <si>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</si>
  <si>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</si>
  <si>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</si>
  <si>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</si>
  <si>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</si>
  <si>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</si>
  <si>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</si>
  <si>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</si>
  <si>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</si>
  <si>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</si>
  <si>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</si>
  <si>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</si>
  <si>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</si>
  <si>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</si>
  <si>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</si>
  <si>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</si>
  <si>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</si>
  <si>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</si>
  <si>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</si>
  <si>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</si>
  <si>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</si>
  <si>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</si>
  <si>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</si>
  <si>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</si>
  <si>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</si>
  <si>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</si>
  <si>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</si>
  <si>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</si>
  <si>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</si>
  <si>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</si>
  <si>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</si>
  <si>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</si>
  <si>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</si>
  <si>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</si>
  <si>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</si>
  <si>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</si>
  <si>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</si>
  <si>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</si>
  <si>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</si>
  <si>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</si>
  <si>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</si>
  <si>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</si>
  <si>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</si>
  <si>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</si>
  <si>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</si>
  <si>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Black Biotechnology (Блэк Биотехнолоджи)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</si>
  <si>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</si>
  <si>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</si>
  <si>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</si>
  <si>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</si>
  <si>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</si>
  <si>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</si>
  <si>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</si>
  <si>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</si>
  <si>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</si>
  <si>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</si>
  <si>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</si>
  <si>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</si>
  <si>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МФО "ЮНИКРЕДО</t>
  </si>
  <si>
    <t>грязная цена в USD</t>
  </si>
  <si>
    <t>Национальный управляющий холдинг "Байтерек"</t>
  </si>
  <si>
    <t>2AKZM</t>
  </si>
  <si>
    <t>3ALMSb1</t>
  </si>
  <si>
    <t>4BCCI_cc</t>
  </si>
  <si>
    <t>5BCCIbe</t>
  </si>
  <si>
    <t>6BCCIrb</t>
  </si>
  <si>
    <t>7BCCIwah</t>
  </si>
  <si>
    <t>8BIGDb2</t>
  </si>
  <si>
    <t>9BIGDb5</t>
  </si>
  <si>
    <t>10BIGDb6</t>
  </si>
  <si>
    <t>11BKBTb1</t>
  </si>
  <si>
    <t>Доходность до погашения, % годовых</t>
  </si>
  <si>
    <t>7,99</t>
  </si>
  <si>
    <t>5,49</t>
  </si>
  <si>
    <t>19,09</t>
  </si>
  <si>
    <t>20,23</t>
  </si>
  <si>
    <t>22,17</t>
  </si>
  <si>
    <t>5,20</t>
  </si>
  <si>
    <t>16,22</t>
  </si>
  <si>
    <t>17,48</t>
  </si>
  <si>
    <t>18,25</t>
  </si>
  <si>
    <t>6,09</t>
  </si>
  <si>
    <t>6,28</t>
  </si>
  <si>
    <t>6,38</t>
  </si>
  <si>
    <t>18,47</t>
  </si>
  <si>
    <t>4,90</t>
  </si>
  <si>
    <t>21,51</t>
  </si>
  <si>
    <t>22,01</t>
  </si>
  <si>
    <t>МФО "Деньги говорят"</t>
  </si>
  <si>
    <t>23,02</t>
  </si>
  <si>
    <t>51MFMCb2</t>
  </si>
  <si>
    <t>52MFMOb23</t>
  </si>
  <si>
    <t>53MFMOb24</t>
  </si>
  <si>
    <t>22,53</t>
  </si>
  <si>
    <t>617 (2)</t>
  </si>
  <si>
    <t>54MFMOb25</t>
  </si>
  <si>
    <t>22,43</t>
  </si>
  <si>
    <t>55MFMOb27</t>
  </si>
  <si>
    <t>11,00</t>
  </si>
  <si>
    <t>32,87</t>
  </si>
  <si>
    <t>950,00</t>
  </si>
  <si>
    <t>375 (1)</t>
  </si>
  <si>
    <t>21,52</t>
  </si>
  <si>
    <t>17,06</t>
  </si>
  <si>
    <t>17,66</t>
  </si>
  <si>
    <t>12,30</t>
  </si>
  <si>
    <t>12,99</t>
  </si>
  <si>
    <t>12,91</t>
  </si>
  <si>
    <t>12,24</t>
  </si>
  <si>
    <t>13 (0)</t>
  </si>
  <si>
    <t>13,07</t>
  </si>
  <si>
    <t>12,70</t>
  </si>
  <si>
    <t>13,06</t>
  </si>
  <si>
    <t>12,84</t>
  </si>
  <si>
    <t>12,88</t>
  </si>
  <si>
    <t>12,94</t>
  </si>
  <si>
    <t>12,95</t>
  </si>
  <si>
    <t>12,97</t>
  </si>
  <si>
    <t>1 333 (4)</t>
  </si>
  <si>
    <t>12,98</t>
  </si>
  <si>
    <t>12,93</t>
  </si>
  <si>
    <t>13,02</t>
  </si>
  <si>
    <t>17,03</t>
  </si>
  <si>
    <t>17,07</t>
  </si>
  <si>
    <t>17,09</t>
  </si>
  <si>
    <t>17,02</t>
  </si>
  <si>
    <t>17,04</t>
  </si>
  <si>
    <t>17,05</t>
  </si>
  <si>
    <t>17,08</t>
  </si>
  <si>
    <t>15,44</t>
  </si>
  <si>
    <t>KZW100014346</t>
  </si>
  <si>
    <t>28 (0)</t>
  </si>
  <si>
    <t>5,00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</si>
  <si>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</si>
  <si>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</si>
  <si>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</si>
  <si>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</si>
  <si>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</si>
  <si>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</si>
  <si>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</si>
  <si>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</si>
  <si>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</si>
  <si>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</si>
  <si>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</si>
  <si>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</si>
  <si>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</si>
  <si>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</si>
  <si>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</si>
  <si>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</si>
  <si>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Евразийский Банк Развития</t>
  </si>
  <si>
    <t>Расчетная цена на 16.10.25</t>
  </si>
  <si>
    <t>Расчетная грязная цена 16.10.25</t>
  </si>
  <si>
    <t>790 (2)</t>
  </si>
  <si>
    <t>583 (2)</t>
  </si>
  <si>
    <t>692 (2)</t>
  </si>
  <si>
    <t>391 (1)</t>
  </si>
  <si>
    <t>12BRKZe12</t>
  </si>
  <si>
    <t>5,72</t>
  </si>
  <si>
    <t>2 000 (6)</t>
  </si>
  <si>
    <t>13BRKZe16</t>
  </si>
  <si>
    <t>1 447 (4)</t>
  </si>
  <si>
    <t>14BRKZe21</t>
  </si>
  <si>
    <t>3,08</t>
  </si>
  <si>
    <t>1 051 (3)</t>
  </si>
  <si>
    <t>15BTRKe1</t>
  </si>
  <si>
    <t>4,75</t>
  </si>
  <si>
    <t>922 (3)</t>
  </si>
  <si>
    <t>16CCBN</t>
  </si>
  <si>
    <t>17CCBNp</t>
  </si>
  <si>
    <t>18CSECfe</t>
  </si>
  <si>
    <t>19CSECtf</t>
  </si>
  <si>
    <t>20EABRb40</t>
  </si>
  <si>
    <t>6,43</t>
  </si>
  <si>
    <t>154 (0)</t>
  </si>
  <si>
    <t>21EABRb42</t>
  </si>
  <si>
    <t>862 (2)</t>
  </si>
  <si>
    <t>22EABRb53</t>
  </si>
  <si>
    <t>893 (2)</t>
  </si>
  <si>
    <t>23FFIN_or</t>
  </si>
  <si>
    <t>24FFINgw</t>
  </si>
  <si>
    <t>25HCBNb13</t>
  </si>
  <si>
    <t>851 (2)</t>
  </si>
  <si>
    <t>26HFINhl</t>
  </si>
  <si>
    <t>27HFINhp</t>
  </si>
  <si>
    <t>28HFINhs</t>
  </si>
  <si>
    <t>29HFINhv</t>
  </si>
  <si>
    <t>30HSBK</t>
  </si>
  <si>
    <t>31HSBKb22</t>
  </si>
  <si>
    <t>18,07</t>
  </si>
  <si>
    <t>778 (2)</t>
  </si>
  <si>
    <t>32HSBKd</t>
  </si>
  <si>
    <t>33IFDR</t>
  </si>
  <si>
    <t>34KASAb1</t>
  </si>
  <si>
    <t>944 (3)</t>
  </si>
  <si>
    <t>35KCEL</t>
  </si>
  <si>
    <t>36KEGC</t>
  </si>
  <si>
    <t>37KMGZ</t>
  </si>
  <si>
    <t>38KMGZe12</t>
  </si>
  <si>
    <t>7 743 (22)</t>
  </si>
  <si>
    <t>39KMGZe15</t>
  </si>
  <si>
    <t>8 288 (23)</t>
  </si>
  <si>
    <t>40KSPI</t>
  </si>
  <si>
    <t>41KSPId</t>
  </si>
  <si>
    <t>42KZAP</t>
  </si>
  <si>
    <t>43KZTCb3</t>
  </si>
  <si>
    <t>871 (2)</t>
  </si>
  <si>
    <t>44KZTK</t>
  </si>
  <si>
    <t>45KZTKp</t>
  </si>
  <si>
    <t>46KZTO</t>
  </si>
  <si>
    <t>47KZ_23_3504</t>
  </si>
  <si>
    <t>3 413 (9)</t>
  </si>
  <si>
    <t>48MFDFb1</t>
  </si>
  <si>
    <t>97 (0)</t>
  </si>
  <si>
    <t>49MFDFb3</t>
  </si>
  <si>
    <t>610 (2)</t>
  </si>
  <si>
    <t>50MFDGb1</t>
  </si>
  <si>
    <t>393 (1)</t>
  </si>
  <si>
    <t>18,88</t>
  </si>
  <si>
    <t>388 (1)</t>
  </si>
  <si>
    <t>36,69</t>
  </si>
  <si>
    <t>570 (2)</t>
  </si>
  <si>
    <t>616 (2)</t>
  </si>
  <si>
    <t>655 (2)</t>
  </si>
  <si>
    <t>12,00</t>
  </si>
  <si>
    <t>56MFOKb16</t>
  </si>
  <si>
    <t>26,74</t>
  </si>
  <si>
    <t>57MFOKb18</t>
  </si>
  <si>
    <t>22,11</t>
  </si>
  <si>
    <t>190 (1)</t>
  </si>
  <si>
    <t>58MFOKb20</t>
  </si>
  <si>
    <t>22,68</t>
  </si>
  <si>
    <t>659 (2)</t>
  </si>
  <si>
    <t>59MFOKb21</t>
  </si>
  <si>
    <t>20,87</t>
  </si>
  <si>
    <t>822 (2)</t>
  </si>
  <si>
    <t>60MFOKb22</t>
  </si>
  <si>
    <t>365 (1)</t>
  </si>
  <si>
    <t>61MFOKb24</t>
  </si>
  <si>
    <t>21,56</t>
  </si>
  <si>
    <t>866 (2)</t>
  </si>
  <si>
    <t>62MFOKb25</t>
  </si>
  <si>
    <t>21,92</t>
  </si>
  <si>
    <t>885 (2)</t>
  </si>
  <si>
    <t>63MFOKb26</t>
  </si>
  <si>
    <t>964 (3)</t>
  </si>
  <si>
    <t>64MFRFb11</t>
  </si>
  <si>
    <t>116,39</t>
  </si>
  <si>
    <t>110 (0)</t>
  </si>
  <si>
    <t>65MFRFb12</t>
  </si>
  <si>
    <t>3 (0)</t>
  </si>
  <si>
    <t>66MFRFb14</t>
  </si>
  <si>
    <t>24,13</t>
  </si>
  <si>
    <t>374 (1)</t>
  </si>
  <si>
    <t>67MFRFb16</t>
  </si>
  <si>
    <t>25,02</t>
  </si>
  <si>
    <t>882 (2)</t>
  </si>
  <si>
    <t>68MFRFb19</t>
  </si>
  <si>
    <t>22,49</t>
  </si>
  <si>
    <t>970 (3)</t>
  </si>
  <si>
    <t>69MFTSb1</t>
  </si>
  <si>
    <t>21,44</t>
  </si>
  <si>
    <t>58 (0)</t>
  </si>
  <si>
    <t>70MFTSb2</t>
  </si>
  <si>
    <t>273 (1)</t>
  </si>
  <si>
    <t>71MFTSb3</t>
  </si>
  <si>
    <t>21,74</t>
  </si>
  <si>
    <t>629 (2)</t>
  </si>
  <si>
    <t>72MFUCb9</t>
  </si>
  <si>
    <t>73MKM012_0159</t>
  </si>
  <si>
    <t>15,74</t>
  </si>
  <si>
    <t>8 (0)</t>
  </si>
  <si>
    <t>74MKM012_0160</t>
  </si>
  <si>
    <t>16,08</t>
  </si>
  <si>
    <t>113 (0)</t>
  </si>
  <si>
    <t>75MKM012_0161</t>
  </si>
  <si>
    <t>16,42</t>
  </si>
  <si>
    <t>211 (1)</t>
  </si>
  <si>
    <t>76MOM048_0052</t>
  </si>
  <si>
    <t>16,45</t>
  </si>
  <si>
    <t>95 (0)</t>
  </si>
  <si>
    <t>77MOM048_0053</t>
  </si>
  <si>
    <t>16,29</t>
  </si>
  <si>
    <t>248 (1)</t>
  </si>
  <si>
    <t>78MOM048_0054</t>
  </si>
  <si>
    <t>16,33</t>
  </si>
  <si>
    <t>330 (1)</t>
  </si>
  <si>
    <t>79MOM048_0056</t>
  </si>
  <si>
    <t>16,37</t>
  </si>
  <si>
    <t>1 371 (4)</t>
  </si>
  <si>
    <t>80MOM060_0052</t>
  </si>
  <si>
    <t>16,32</t>
  </si>
  <si>
    <t>288 (1)</t>
  </si>
  <si>
    <t>81MOM060_0054</t>
  </si>
  <si>
    <t>752 (2)</t>
  </si>
  <si>
    <t>82MOM060_0055</t>
  </si>
  <si>
    <t>1 793 (5)</t>
  </si>
  <si>
    <t>83MTC048_0001</t>
  </si>
  <si>
    <t>16,90</t>
  </si>
  <si>
    <t>1 383 (4)</t>
  </si>
  <si>
    <t>84MTM048_0001</t>
  </si>
  <si>
    <t>323 (1)</t>
  </si>
  <si>
    <t>85MTM060_0001</t>
  </si>
  <si>
    <t>17,29</t>
  </si>
  <si>
    <t>718 (2)</t>
  </si>
  <si>
    <t>86MTM072_0001</t>
  </si>
  <si>
    <t>17,47</t>
  </si>
  <si>
    <t>1 112 (3)</t>
  </si>
  <si>
    <t>87MTM084_0001</t>
  </si>
  <si>
    <t>17,57</t>
  </si>
  <si>
    <t>1 577 (4)</t>
  </si>
  <si>
    <t>88MTM096_0001</t>
  </si>
  <si>
    <t>1 887 (5)</t>
  </si>
  <si>
    <t>89MUJ144_0005</t>
  </si>
  <si>
    <t>41 (0)</t>
  </si>
  <si>
    <t>90MUJ156_0004</t>
  </si>
  <si>
    <t>344 (1)</t>
  </si>
  <si>
    <t>91MUJ168_0004</t>
  </si>
  <si>
    <t>12,56</t>
  </si>
  <si>
    <t>163 (0)</t>
  </si>
  <si>
    <t>92MUJ168_0005</t>
  </si>
  <si>
    <t>312 (1)</t>
  </si>
  <si>
    <t>93MUJ180_0007</t>
  </si>
  <si>
    <t>12 (0)</t>
  </si>
  <si>
    <t>94MUJ180_0008</t>
  </si>
  <si>
    <t>1 137 (3)</t>
  </si>
  <si>
    <t>95MUJ192_0002</t>
  </si>
  <si>
    <t>96MUJ192_0003</t>
  </si>
  <si>
    <t>222 (1)</t>
  </si>
  <si>
    <t>97MUJ192_0004</t>
  </si>
  <si>
    <t>1 568 (4)</t>
  </si>
  <si>
    <t>98MUJ204_0001</t>
  </si>
  <si>
    <t>99MUJ204_0002</t>
  </si>
  <si>
    <t>284 (1)</t>
  </si>
  <si>
    <t>100MUJ204_0003</t>
  </si>
  <si>
    <t>553 (2)</t>
  </si>
  <si>
    <t>101MUJ204_0004</t>
  </si>
  <si>
    <t>643 (2)</t>
  </si>
  <si>
    <t>102MUJ204_0005</t>
  </si>
  <si>
    <t>1 212 (3)</t>
  </si>
  <si>
    <t>103MUJ204_0006</t>
  </si>
  <si>
    <t>1 332 (4)</t>
  </si>
  <si>
    <t>104MUJ216_0001</t>
  </si>
  <si>
    <t>613 (2)</t>
  </si>
  <si>
    <t>105MUJ216_0002</t>
  </si>
  <si>
    <t>760 (2)</t>
  </si>
  <si>
    <t>106MUJ216_0003</t>
  </si>
  <si>
    <t>849 (2)</t>
  </si>
  <si>
    <t>107MUJ216_0004</t>
  </si>
  <si>
    <t>1 391 (4)</t>
  </si>
  <si>
    <t>108MUJ216_0005</t>
  </si>
  <si>
    <t>1 664 (5)</t>
  </si>
  <si>
    <t>109MUJ228_0001</t>
  </si>
  <si>
    <t>1 031 (3)</t>
  </si>
  <si>
    <t>110MUJ228_0002</t>
  </si>
  <si>
    <t>1 154 (3)</t>
  </si>
  <si>
    <t>111MUJ228_0003</t>
  </si>
  <si>
    <t>112MUJ228_0004</t>
  </si>
  <si>
    <t>1 542 (4)</t>
  </si>
  <si>
    <t>113MUJ228_0005</t>
  </si>
  <si>
    <t>1 783 (5)</t>
  </si>
  <si>
    <t>114MUJ228_0006</t>
  </si>
  <si>
    <t>2 141 (6)</t>
  </si>
  <si>
    <t>115MUJ240_0001</t>
  </si>
  <si>
    <t>2 233 (6)</t>
  </si>
  <si>
    <t>116MUM072_0013</t>
  </si>
  <si>
    <t>16,95</t>
  </si>
  <si>
    <t>573 (2)</t>
  </si>
  <si>
    <t>117MUM072_0014</t>
  </si>
  <si>
    <t>17,01</t>
  </si>
  <si>
    <t>1 217 (3)</t>
  </si>
  <si>
    <t>118MUM072_0015</t>
  </si>
  <si>
    <t>1 581 (4)</t>
  </si>
  <si>
    <t>119MUM084_0018</t>
  </si>
  <si>
    <t>896 (2)</t>
  </si>
  <si>
    <t>120MUM084_0019</t>
  </si>
  <si>
    <t>1 926 (5)</t>
  </si>
  <si>
    <t>121MUM084_0020</t>
  </si>
  <si>
    <t>2 300 (6)</t>
  </si>
  <si>
    <t>122MUM096_0011</t>
  </si>
  <si>
    <t>1 091 (3)</t>
  </si>
  <si>
    <t>123MUM096_0012</t>
  </si>
  <si>
    <t>1 362 (4)</t>
  </si>
  <si>
    <t>124MUM096_0013</t>
  </si>
  <si>
    <t>1 548 (4)</t>
  </si>
  <si>
    <t>125MUM096_0014</t>
  </si>
  <si>
    <t>2 006 (6)</t>
  </si>
  <si>
    <t>126MUM096_0015</t>
  </si>
  <si>
    <t>2 749 (8)</t>
  </si>
  <si>
    <t>127MUM108_0012</t>
  </si>
  <si>
    <t>16,94</t>
  </si>
  <si>
    <t>257 (1)</t>
  </si>
  <si>
    <t>128MUM108_0013</t>
  </si>
  <si>
    <t>1 245 (3)</t>
  </si>
  <si>
    <t>129MUM108_0014</t>
  </si>
  <si>
    <t>2 373 (7)</t>
  </si>
  <si>
    <t>130MUM108_0015</t>
  </si>
  <si>
    <t>3 020 (8)</t>
  </si>
  <si>
    <t>131MUM120_0017</t>
  </si>
  <si>
    <t>500 (1)</t>
  </si>
  <si>
    <t>132MUM120_0018</t>
  </si>
  <si>
    <t>16,97</t>
  </si>
  <si>
    <t>133MUM120_0019</t>
  </si>
  <si>
    <t>1 951 (5)</t>
  </si>
  <si>
    <t>134MUM120_0020</t>
  </si>
  <si>
    <t>3 357 (9)</t>
  </si>
  <si>
    <t>135MUM132_0007</t>
  </si>
  <si>
    <t>2 440 (7)</t>
  </si>
  <si>
    <t>136MUM144_0009</t>
  </si>
  <si>
    <t>2 827 (8)</t>
  </si>
  <si>
    <t>137MUM156_0005</t>
  </si>
  <si>
    <t>604 (2)</t>
  </si>
  <si>
    <t>138MUM156_0006</t>
  </si>
  <si>
    <t>2 004 (6)</t>
  </si>
  <si>
    <t>139MUM156_0007</t>
  </si>
  <si>
    <t>3 001 (8)</t>
  </si>
  <si>
    <t>140MUM156_0008</t>
  </si>
  <si>
    <t>4 536 (13)</t>
  </si>
  <si>
    <t>141MUM168_0002</t>
  </si>
  <si>
    <t>17,37</t>
  </si>
  <si>
    <t>30 (0)</t>
  </si>
  <si>
    <t>142MUM168_0003</t>
  </si>
  <si>
    <t>2 340 (6)</t>
  </si>
  <si>
    <t>143MUM168_0005</t>
  </si>
  <si>
    <t>3 384 (9)</t>
  </si>
  <si>
    <t>144MUM180_0003</t>
  </si>
  <si>
    <t>17,24</t>
  </si>
  <si>
    <t>38 (0)</t>
  </si>
  <si>
    <t>145MUM180_0004</t>
  </si>
  <si>
    <t>302 (1)</t>
  </si>
  <si>
    <t>146MUM180_0005</t>
  </si>
  <si>
    <t>17,00</t>
  </si>
  <si>
    <t>397 (1)</t>
  </si>
  <si>
    <t>147MUM180_0006</t>
  </si>
  <si>
    <t>521 (1)</t>
  </si>
  <si>
    <t>148MUM180_0007</t>
  </si>
  <si>
    <t>149MUM180_0008</t>
  </si>
  <si>
    <t>16,99</t>
  </si>
  <si>
    <t>728 (2)</t>
  </si>
  <si>
    <t>150MUM180_0009</t>
  </si>
  <si>
    <t>1 134 (3)</t>
  </si>
  <si>
    <t>151MUM180_0011</t>
  </si>
  <si>
    <t>1 377 (4)</t>
  </si>
  <si>
    <t>152MUM180_0012</t>
  </si>
  <si>
    <t>153MUM180_0013</t>
  </si>
  <si>
    <t>2 688 (7)</t>
  </si>
  <si>
    <t>154MUM180_0014</t>
  </si>
  <si>
    <t>2 707 (8)</t>
  </si>
  <si>
    <t>155MUM180_0015</t>
  </si>
  <si>
    <t>3 909 (11)</t>
  </si>
  <si>
    <t>156MUM180_0016</t>
  </si>
  <si>
    <t>4 062 (11)</t>
  </si>
  <si>
    <t>157MUM192_0001</t>
  </si>
  <si>
    <t>723 (2)</t>
  </si>
  <si>
    <t>158MUM192_0002</t>
  </si>
  <si>
    <t>902 (3)</t>
  </si>
  <si>
    <t>159MUM192_0003</t>
  </si>
  <si>
    <t>1 054 (3)</t>
  </si>
  <si>
    <t>160MUM216_0001</t>
  </si>
  <si>
    <t>3 884 (11)</t>
  </si>
  <si>
    <t>161MUM216_0002</t>
  </si>
  <si>
    <t>4 075 (11)</t>
  </si>
  <si>
    <t>162MUM240_0001</t>
  </si>
  <si>
    <t>2 348 (7)</t>
  </si>
  <si>
    <t>163MUM240_0002</t>
  </si>
  <si>
    <t>3 086 (9)</t>
  </si>
  <si>
    <t>164MUM240_0004</t>
  </si>
  <si>
    <t>3 343 (9)</t>
  </si>
  <si>
    <t>165MUM300_0001</t>
  </si>
  <si>
    <t>4 744 (13)</t>
  </si>
  <si>
    <t>166MUM300_0002</t>
  </si>
  <si>
    <t>4 959 (14)</t>
  </si>
  <si>
    <t>167MUM300_0003</t>
  </si>
  <si>
    <t>5 170 (14)</t>
  </si>
  <si>
    <t>168MUM360_0001</t>
  </si>
  <si>
    <t>6 820 (19)</t>
  </si>
  <si>
    <t>169MUX072_0003</t>
  </si>
  <si>
    <t>1 965 (5)</t>
  </si>
  <si>
    <t>170NCOMb7</t>
  </si>
  <si>
    <t>171NTK028_2868</t>
  </si>
  <si>
    <t>15,80</t>
  </si>
  <si>
    <t>27 (0)</t>
  </si>
  <si>
    <t>172PRKRe1</t>
  </si>
  <si>
    <t>161 (0)</t>
  </si>
  <si>
    <t>173SKKZe1</t>
  </si>
  <si>
    <t>372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</si>
</sst>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72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45946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2602</v>
      </c>
      <c r="J5" s="2" t="s">
        <v>2603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16.10.25'!$C$5:$F$162,4,0)</f>
        <v>86.200699999999998</v>
      </c>
      <c r="J6" s="32">
        <f>VLOOKUP(B6,'KASE за 16.10.25'!$C$5:$G$162,5,0)</f>
        <v>89.235500000000002</v>
      </c>
      <c r="K6" s="63">
        <v>53108125</v>
      </c>
      <c r="L6" s="29">
        <f>D6*I6/100+K6</f>
        <v>1561620375</v>
      </c>
      <c r="M6" s="33">
        <f t="shared" ref="M6:M49" si="0">L6/$L$62</f>
        <v>5.8859970426920753E-2</v>
      </c>
      <c r="N6" s="13">
        <f>D6*E6%/360</f>
        <v>266875.00000000006</v>
      </c>
      <c r="O6" s="12">
        <f>K6+N6</f>
        <v>53375000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16.10.25'!$C$5:$F$162,4,0)</f>
        <v>87.229299999999995</v>
      </c>
      <c r="J7" s="32">
        <f>VLOOKUP(B7,'KASE за 16.10.25'!$C$5:$G$162,5,0)</f>
        <v>92.544899999999998</v>
      </c>
      <c r="K7" s="63">
        <v>103653333.33333313</v>
      </c>
      <c r="L7" s="29">
        <f>D7*I7/100+K7</f>
        <v>1804624683.333333</v>
      </c>
      <c r="M7" s="33">
        <f t="shared" si="0"/>
        <v>6.8019191599425183E-2</v>
      </c>
      <c r="N7" s="13">
        <f t="shared" ref="N7:N15" si="1">D7*E7%/360</f>
        <v>563333.33333333337</v>
      </c>
      <c r="O7" s="12">
        <f t="shared" ref="O7:O41" si="2">K7+N7</f>
        <v>104216666.66666646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16.10.25'!$C$5:$F$162,4,0)</f>
        <v>84.955299999999994</v>
      </c>
      <c r="J8" s="32">
        <f>VLOOKUP(B8,'KASE за 16.10.25'!$C$5:$G$162,5,0)</f>
        <v>90.944199999999995</v>
      </c>
      <c r="K8" s="63">
        <v>82547850</v>
      </c>
      <c r="L8" s="29">
        <f>D8*I8/100+K8</f>
        <v>1253529227.55</v>
      </c>
      <c r="M8" s="33">
        <f t="shared" si="0"/>
        <v>4.7247522153310663E-2</v>
      </c>
      <c r="N8" s="13">
        <f>D8*E8%/360</f>
        <v>421162.5</v>
      </c>
      <c r="O8" s="12">
        <f t="shared" si="2"/>
        <v>82969012.5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16.10.25'!$C$5:$F$162,4,0)</f>
        <v>82.827399999999997</v>
      </c>
      <c r="J9" s="32">
        <f>VLOOKUP(B9,'KASE за 16.10.25'!$C$5:$G$162,5,0)</f>
        <v>85.113200000000006</v>
      </c>
      <c r="K9" s="63">
        <v>19246716.66666666</v>
      </c>
      <c r="L9" s="29">
        <f>D9*I9/100+K9</f>
        <v>716653424.66666663</v>
      </c>
      <c r="M9" s="33">
        <f t="shared" si="0"/>
        <v>2.7011814175536403E-2</v>
      </c>
      <c r="N9" s="13">
        <f>D9*E9%/360</f>
        <v>246752.77777777781</v>
      </c>
      <c r="O9" s="12">
        <f>K9+N9</f>
        <v>19493469.444444437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16.10.25'!$C$5:$F$162,4,0)</f>
        <v>77.118899999999996</v>
      </c>
      <c r="J10" s="32">
        <f>VLOOKUP(B10,'KASE за 16.10.25'!$C$5:$G$162,5,0)</f>
        <v>83.098600000000005</v>
      </c>
      <c r="K10" s="63">
        <v>86705972.222222015</v>
      </c>
      <c r="L10" s="29">
        <f t="shared" ref="L10:L15" si="3">D10*I10/100+K10</f>
        <v>1204930022.2222221</v>
      </c>
      <c r="M10" s="33">
        <f t="shared" si="0"/>
        <v>4.5415740348872531E-2</v>
      </c>
      <c r="N10" s="13">
        <f>D10*E10%/360</f>
        <v>414861.11111111112</v>
      </c>
      <c r="O10" s="12">
        <f t="shared" si="2"/>
        <v>87120833.33333312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16.10.25'!$C$5:$F$162,4,0)</f>
        <v>67.495500000000007</v>
      </c>
      <c r="J11" s="32">
        <f>VLOOKUP(B11,'KASE за 16.10.25'!$C$5:$G$162,5,0)</f>
        <v>71.720500000000001</v>
      </c>
      <c r="K11" s="63">
        <v>82387499.99999997</v>
      </c>
      <c r="L11" s="29">
        <f t="shared" si="3"/>
        <v>1398549750.0000002</v>
      </c>
      <c r="M11" s="33">
        <f t="shared" si="0"/>
        <v>5.2713577668053561E-2</v>
      </c>
      <c r="N11" s="13">
        <f t="shared" si="1"/>
        <v>457708.33333333326</v>
      </c>
      <c r="O11" s="12">
        <f t="shared" si="2"/>
        <v>82845208.333333299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16.10.25'!$C$5:$F$162,4,0)</f>
        <v>75.220200000000006</v>
      </c>
      <c r="J12" s="32">
        <f>VLOOKUP(B12,'KASE за 16.10.25'!$C$5:$G$162,5,0)</f>
        <v>77.5869</v>
      </c>
      <c r="K12" s="63">
        <v>23240666.666666653</v>
      </c>
      <c r="L12" s="29">
        <f>D12*I12/100+K12</f>
        <v>761903030.66666663</v>
      </c>
      <c r="M12" s="33">
        <f t="shared" si="0"/>
        <v>2.8717344222164938E-2</v>
      </c>
      <c r="N12" s="13">
        <f>D12*E12%/360</f>
        <v>290508.33333333331</v>
      </c>
      <c r="O12" s="12">
        <f t="shared" si="2"/>
        <v>23531174.999999985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16.10.25'!$C$5:$F$162,4,0)</f>
        <v>75.220200000000006</v>
      </c>
      <c r="J13" s="32">
        <f>VLOOKUP(B13,'KASE за 16.10.25'!$C$5:$G$162,5,0)</f>
        <v>77.5869</v>
      </c>
      <c r="K13" s="63">
        <v>5916666.6666666633</v>
      </c>
      <c r="L13" s="29">
        <f>D13*I13/100+K13</f>
        <v>193967166.66666666</v>
      </c>
      <c r="M13" s="33">
        <f t="shared" si="0"/>
        <v>7.3109328467833344E-3</v>
      </c>
      <c r="N13" s="13">
        <f>D13*E13%/360</f>
        <v>73958.333333333328</v>
      </c>
      <c r="O13" s="12">
        <f>K13+N13</f>
        <v>5990624.9999999963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16.10.25'!$C$5:$F$177,4,0)</f>
        <v>60.789299999999997</v>
      </c>
      <c r="J14" s="32">
        <f>VLOOKUP(B14,'KASE за 16.10.25'!$C$5:$G$177,5,0)</f>
        <v>64.241500000000002</v>
      </c>
      <c r="K14" s="63">
        <v>67317250.000000015</v>
      </c>
      <c r="L14" s="29">
        <f t="shared" si="3"/>
        <v>1252708600</v>
      </c>
      <c r="M14" s="33">
        <f t="shared" si="0"/>
        <v>4.7216591387999336E-2</v>
      </c>
      <c r="N14" s="13">
        <f t="shared" si="1"/>
        <v>437125.00000000006</v>
      </c>
      <c r="O14" s="12">
        <f t="shared" si="2"/>
        <v>67754375.000000015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16.10.25'!$C$5:$F$177,4,0)</f>
        <v>59.316600000000001</v>
      </c>
      <c r="J15" s="32">
        <f>VLOOKUP(B15,'KASE за 16.10.25'!$C$5:$G$177,5,0)</f>
        <v>65.077699999999993</v>
      </c>
      <c r="K15" s="63">
        <v>112341125</v>
      </c>
      <c r="L15" s="29">
        <f t="shared" si="3"/>
        <v>1269014825</v>
      </c>
      <c r="M15" s="33">
        <f t="shared" si="0"/>
        <v>4.7831199097171109E-2</v>
      </c>
      <c r="N15" s="13">
        <f t="shared" si="1"/>
        <v>437125.00000000006</v>
      </c>
      <c r="O15" s="12">
        <f t="shared" si="2"/>
        <v>112778250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16.10.25'!$C$5:$F$177,4,0)</f>
        <v>56.381900000000002</v>
      </c>
      <c r="J16" s="32">
        <f>VLOOKUP(B16,'KASE за 16.10.25'!$C$5:$G$177,5,0)</f>
        <v>59.009700000000002</v>
      </c>
      <c r="K16" s="63">
        <v>8198640.388888903</v>
      </c>
      <c r="L16" s="29">
        <f t="shared" ref="L16:L30" si="4">D16*I16/100+K16</f>
        <v>184109604.56988892</v>
      </c>
      <c r="M16" s="33">
        <f t="shared" si="0"/>
        <v>6.9393855598840629E-3</v>
      </c>
      <c r="N16" s="13">
        <f>D16*E16%/360</f>
        <v>47666.513888888891</v>
      </c>
      <c r="O16" s="12">
        <f t="shared" si="2"/>
        <v>8246306.902777792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16.10.25'!$C$5:$F$177,4,0)</f>
        <v>56.381900000000002</v>
      </c>
      <c r="J17" s="32">
        <f>VLOOKUP(B17,'KASE за 16.10.25'!$C$5:$G$177,5,0)</f>
        <v>59.009700000000002</v>
      </c>
      <c r="K17" s="63">
        <v>13138888.888888847</v>
      </c>
      <c r="L17" s="29">
        <f t="shared" si="4"/>
        <v>295048388.88888884</v>
      </c>
      <c r="M17" s="33">
        <f t="shared" si="0"/>
        <v>1.1120845835858545E-2</v>
      </c>
      <c r="N17" s="13">
        <f t="shared" ref="N17:N27" si="5">D17*E17%/360</f>
        <v>76388.888888888891</v>
      </c>
      <c r="O17" s="12">
        <f t="shared" si="2"/>
        <v>13215277.777777735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16.10.25'!$C$5:$F$177,4,0)</f>
        <v>56.381900000000002</v>
      </c>
      <c r="J18" s="32">
        <f>VLOOKUP(B18,'KASE за 16.10.25'!$C$5:$G$177,5,0)</f>
        <v>59.009700000000002</v>
      </c>
      <c r="K18" s="63">
        <v>13138888.888888847</v>
      </c>
      <c r="L18" s="29">
        <f>D18*I18/100+K18</f>
        <v>295048388.88888884</v>
      </c>
      <c r="M18" s="33">
        <f t="shared" si="0"/>
        <v>1.1120845835858545E-2</v>
      </c>
      <c r="N18" s="13">
        <f>D18*E18%/360</f>
        <v>76388.888888888891</v>
      </c>
      <c r="O18" s="12">
        <f t="shared" si="2"/>
        <v>13215277.777777735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16.10.25'!$C$5:$F$177,4,0)</f>
        <v>56.381900000000002</v>
      </c>
      <c r="J19" s="32">
        <f>VLOOKUP(B19,'KASE за 16.10.25'!$C$5:$G$177,5,0)</f>
        <v>59.009700000000002</v>
      </c>
      <c r="K19" s="63">
        <v>7883333.3333333144</v>
      </c>
      <c r="L19" s="29">
        <f>D19*I19/100+K19</f>
        <v>177029033.33333331</v>
      </c>
      <c r="M19" s="33">
        <f t="shared" si="0"/>
        <v>6.6725075015151274E-3</v>
      </c>
      <c r="N19" s="13">
        <f>D19*E19%/360</f>
        <v>45833.333333333336</v>
      </c>
      <c r="O19" s="12">
        <f t="shared" si="2"/>
        <v>7929166.6666666474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16.10.25'!$C$5:$F$177,4,0)</f>
        <v>56.381900000000002</v>
      </c>
      <c r="J20" s="32">
        <f>VLOOKUP(B20,'KASE за 16.10.25'!$C$5:$G$177,5,0)</f>
        <v>59.009700000000002</v>
      </c>
      <c r="K20" s="63">
        <v>7883333.3333333144</v>
      </c>
      <c r="L20" s="29">
        <f>D20*I20/100+K20</f>
        <v>177029033.33333331</v>
      </c>
      <c r="M20" s="33">
        <f t="shared" si="0"/>
        <v>6.6725075015151274E-3</v>
      </c>
      <c r="N20" s="13">
        <f>D20*E20%/360</f>
        <v>45833.333333333336</v>
      </c>
      <c r="O20" s="12">
        <f t="shared" si="2"/>
        <v>7929166.6666666474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16.10.25'!$C$5:$F$162,4,0)</f>
        <v>82.827399999999997</v>
      </c>
      <c r="J21" s="32">
        <f>VLOOKUP(B21,'KASE за 16.10.25'!$C$5:$G$162,5,0)</f>
        <v>85.113200000000006</v>
      </c>
      <c r="K21" s="63">
        <v>11429166.666666679</v>
      </c>
      <c r="L21" s="29">
        <f t="shared" si="4"/>
        <v>425566166.66666669</v>
      </c>
      <c r="M21" s="33">
        <f t="shared" si="0"/>
        <v>1.6040269700437298E-2</v>
      </c>
      <c r="N21" s="13">
        <f>D21*E21%/360</f>
        <v>146527.77777777781</v>
      </c>
      <c r="O21" s="12">
        <f t="shared" si="2"/>
        <v>11575694.444444457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16.10.25'!$C$5:$F$162,4,0)</f>
        <v>82.827399999999997</v>
      </c>
      <c r="J22" s="32">
        <f>VLOOKUP(B22,'KASE за 16.10.25'!$C$5:$G$162,5,0)</f>
        <v>85.113200000000006</v>
      </c>
      <c r="K22" s="63">
        <v>12650487.416666685</v>
      </c>
      <c r="L22" s="29">
        <f t="shared" si="4"/>
        <v>471042167.23666668</v>
      </c>
      <c r="M22" s="33">
        <f t="shared" si="0"/>
        <v>1.7754332920626024E-2</v>
      </c>
      <c r="N22" s="13">
        <f t="shared" si="5"/>
        <v>162185.73611111112</v>
      </c>
      <c r="O22" s="12">
        <f t="shared" si="2"/>
        <v>12812673.152777797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16.10.25'!$C$5:$F$170,4,0)</f>
        <v>76.935900000000004</v>
      </c>
      <c r="J23" s="32">
        <f>VLOOKUP(B23,'KASE за 16.10.25'!$C$5:$G$170,5,0)</f>
        <v>79.408100000000005</v>
      </c>
      <c r="K23" s="63">
        <v>15724693.055555524</v>
      </c>
      <c r="L23" s="29">
        <f t="shared" si="4"/>
        <v>505079331.80055553</v>
      </c>
      <c r="M23" s="33">
        <f t="shared" si="0"/>
        <v>1.9037248110335133E-2</v>
      </c>
      <c r="N23" s="13">
        <f t="shared" si="5"/>
        <v>88340.972222222219</v>
      </c>
      <c r="O23" s="12">
        <f t="shared" si="2"/>
        <v>15813034.027777746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16.10.25'!$C$5:$F$177,4,0)</f>
        <v>54.610100000000003</v>
      </c>
      <c r="J24" s="32">
        <f>VLOOKUP(B24,'KASE за 16.10.25'!$C$5:$G$177,5,0)</f>
        <v>56.488900000000001</v>
      </c>
      <c r="K24" s="63">
        <v>13134078.225000013</v>
      </c>
      <c r="L24" s="29">
        <f>D24*I24/100+K24</f>
        <v>394905641.91100001</v>
      </c>
      <c r="M24" s="33">
        <f t="shared" si="0"/>
        <v>1.4884625467508784E-2</v>
      </c>
      <c r="N24" s="13">
        <f t="shared" si="5"/>
        <v>162149.11388888888</v>
      </c>
      <c r="O24" s="12">
        <f t="shared" si="2"/>
        <v>13296227.338888902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16.10.25'!$C$5:$F$177,4,0)</f>
        <v>54.610100000000003</v>
      </c>
      <c r="J25" s="32">
        <f>VLOOKUP(B25,'KASE за 16.10.25'!$C$5:$G$177,5,0)</f>
        <v>56.488900000000001</v>
      </c>
      <c r="K25" s="63">
        <v>5337021.4875000045</v>
      </c>
      <c r="L25" s="29">
        <f>D25*I25/100+K25</f>
        <v>160469570.86050004</v>
      </c>
      <c r="M25" s="33">
        <f t="shared" si="0"/>
        <v>6.0483548668284351E-3</v>
      </c>
      <c r="N25" s="13">
        <f>D25*E25%/360</f>
        <v>65889.15416666666</v>
      </c>
      <c r="O25" s="12">
        <f t="shared" si="2"/>
        <v>5402910.6416666713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16.10.25'!$C$5:$F$177,4,0)</f>
        <v>72.816299999999998</v>
      </c>
      <c r="J26" s="32">
        <f>VLOOKUP(B26,'KASE за 16.10.25'!$C$5:$G$177,5,0)</f>
        <v>78.192300000000003</v>
      </c>
      <c r="K26" s="63">
        <v>26879999.999999702</v>
      </c>
      <c r="L26" s="29">
        <f t="shared" si="4"/>
        <v>390961499.9999997</v>
      </c>
      <c r="M26" s="33">
        <f t="shared" si="0"/>
        <v>1.4735964448507249E-2</v>
      </c>
      <c r="N26" s="13">
        <f t="shared" si="5"/>
        <v>106666.66666666667</v>
      </c>
      <c r="O26" s="12">
        <f t="shared" si="2"/>
        <v>26986666.66666637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16.10.25'!$C$5:$F$177,4,0)</f>
        <v>72.816299999999998</v>
      </c>
      <c r="J27" s="32">
        <f>VLOOKUP(B27,'KASE за 16.10.25'!$C$5:$G$177,5,0)</f>
        <v>78.192300000000003</v>
      </c>
      <c r="K27" s="63">
        <v>26879999.999999702</v>
      </c>
      <c r="L27" s="29">
        <f t="shared" si="4"/>
        <v>390961499.9999997</v>
      </c>
      <c r="M27" s="33">
        <f t="shared" si="0"/>
        <v>1.4735964448507249E-2</v>
      </c>
      <c r="N27" s="13">
        <f t="shared" si="5"/>
        <v>106666.66666666667</v>
      </c>
      <c r="O27" s="12">
        <f t="shared" si="2"/>
        <v>26986666.66666637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16.10.25'!$C$5:$F$177,4,0)</f>
        <v>72.816299999999998</v>
      </c>
      <c r="J28" s="32">
        <f>VLOOKUP(B28,'KASE за 16.10.25'!$C$5:$G$177,5,0)</f>
        <v>78.192300000000003</v>
      </c>
      <c r="K28" s="63">
        <v>26879999.999999702</v>
      </c>
      <c r="L28" s="29">
        <f>D28*I28/100+K28</f>
        <v>390961499.9999997</v>
      </c>
      <c r="M28" s="33">
        <f t="shared" si="0"/>
        <v>1.4735964448507249E-2</v>
      </c>
      <c r="N28" s="13">
        <f>D28*E28%/360</f>
        <v>106666.66666666667</v>
      </c>
      <c r="O28" s="12">
        <f t="shared" si="2"/>
        <v>26986666.66666637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16.10.25'!$C$4:$G$963,4,0)</f>
        <v>94.637104694565579</v>
      </c>
      <c r="J29" s="32">
        <f>VLOOKUP(B29,'Риск цены за 16.10.25'!$C$4:$G$963,5,0)</f>
        <v>96.345204694565581</v>
      </c>
      <c r="K29" s="63">
        <v>29036944.444444418</v>
      </c>
      <c r="L29" s="29">
        <f>D29*I29/100+K29</f>
        <v>1637867724.2520592</v>
      </c>
      <c r="M29" s="33">
        <f t="shared" si="0"/>
        <v>6.1733855011134951E-2</v>
      </c>
      <c r="N29" s="13">
        <f t="shared" ref="N29:N35" si="7">D29*E29%/360</f>
        <v>675277.77777777787</v>
      </c>
      <c r="O29" s="12">
        <f t="shared" si="2"/>
        <v>29712222.222222194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16.10.25'!$C$5:$F$162,4,0)</f>
        <v>82.881100000000004</v>
      </c>
      <c r="J30" s="32">
        <f>VLOOKUP(B30,'KASE за 16.10.25'!$C$5:$G$162,5,0)</f>
        <v>90.681100000000001</v>
      </c>
      <c r="K30" s="63">
        <v>38999999.999999702</v>
      </c>
      <c r="L30" s="29">
        <f t="shared" si="4"/>
        <v>453405499.9999997</v>
      </c>
      <c r="M30" s="33">
        <f t="shared" si="0"/>
        <v>1.7089578714931403E-2</v>
      </c>
      <c r="N30" s="13">
        <f t="shared" si="7"/>
        <v>166666.66666666666</v>
      </c>
      <c r="O30" s="12">
        <f t="shared" si="2"/>
        <v>39166666.666666366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16.10.25'!$C$5:$F$162,4,0)</f>
        <v>85.0565</v>
      </c>
      <c r="J31" s="32">
        <f>VLOOKUP(B31,'KASE за 16.10.25'!$C$5:$G$162,5,0)</f>
        <v>92.356499999999997</v>
      </c>
      <c r="K31" s="63">
        <v>21900000</v>
      </c>
      <c r="L31" s="29">
        <f t="shared" ref="L31:L46" si="9">D31*I31/100+K31</f>
        <v>277069500</v>
      </c>
      <c r="M31" s="33">
        <f t="shared" si="0"/>
        <v>1.0443192748558828E-2</v>
      </c>
      <c r="N31" s="13">
        <f t="shared" si="7"/>
        <v>100000</v>
      </c>
      <c r="O31" s="12">
        <f t="shared" si="2"/>
        <v>22000000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16.10.25'!$C$5:$F$162,4,0)</f>
        <v>85.0565</v>
      </c>
      <c r="J32" s="32">
        <f>VLOOKUP(B32,'KASE за 16.10.25'!$C$5:$G$162,5,0)</f>
        <v>92.356499999999997</v>
      </c>
      <c r="K32" s="63">
        <v>21066267</v>
      </c>
      <c r="L32" s="29">
        <f t="shared" si="9"/>
        <v>266521464.13499999</v>
      </c>
      <c r="M32" s="33">
        <f t="shared" si="0"/>
        <v>1.0045620400621194E-2</v>
      </c>
      <c r="N32" s="13">
        <f t="shared" si="7"/>
        <v>96193</v>
      </c>
      <c r="O32" s="12">
        <f t="shared" si="2"/>
        <v>21162460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16.10.25'!$C$4:$G$963,4,0)</f>
        <v>98.483593231520501</v>
      </c>
      <c r="J33" s="32">
        <f>VLOOKUP(B33,'Риск цены за 16.10.25'!$C$4:$G$963,5,0)</f>
        <v>103.8080932315205</v>
      </c>
      <c r="K33" s="63">
        <v>15973500</v>
      </c>
      <c r="L33" s="29">
        <f t="shared" si="9"/>
        <v>311424279.69456148</v>
      </c>
      <c r="M33" s="33">
        <f t="shared" si="0"/>
        <v>1.1738079360706975E-2</v>
      </c>
      <c r="N33" s="13">
        <f t="shared" si="7"/>
        <v>115750</v>
      </c>
      <c r="O33" s="12">
        <f t="shared" si="2"/>
        <v>16089250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16.10.25'!$C$5:$F$162,4,0)</f>
        <v>70.382000000000005</v>
      </c>
      <c r="J34" s="32">
        <f>VLOOKUP(B34,'KASE за 16.10.25'!$C$5:$G$162,5,0)</f>
        <v>74.039299999999997</v>
      </c>
      <c r="K34" s="63">
        <v>256013.33333333422</v>
      </c>
      <c r="L34" s="29">
        <f t="shared" si="9"/>
        <v>5182753.3333333349</v>
      </c>
      <c r="M34" s="33">
        <f t="shared" si="0"/>
        <v>1.953462652086779E-4</v>
      </c>
      <c r="N34" s="13">
        <f t="shared" si="7"/>
        <v>1641.1111111111109</v>
      </c>
      <c r="O34" s="12">
        <f t="shared" si="2"/>
        <v>257654.44444444534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16.10.25'!$C$5:$F$162,4,0)</f>
        <v>88.184899999999999</v>
      </c>
      <c r="J35" s="32">
        <f>VLOOKUP(B35,'KASE за 16.10.25'!$C$5:$G$162,5,0)</f>
        <v>93.901600000000002</v>
      </c>
      <c r="K35" s="63">
        <v>571666.66666666523</v>
      </c>
      <c r="L35" s="29">
        <f t="shared" si="9"/>
        <v>9390156.666666666</v>
      </c>
      <c r="M35" s="33">
        <f t="shared" si="0"/>
        <v>3.5393002841945675E-4</v>
      </c>
      <c r="N35" s="13">
        <f t="shared" si="7"/>
        <v>3888.8888888888896</v>
      </c>
      <c r="O35" s="12">
        <f t="shared" si="2"/>
        <v>575555.55555555411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16.10.25'!$C$5:$F$177,4,0)</f>
        <v>58.981099999999998</v>
      </c>
      <c r="J36" s="32">
        <f>VLOOKUP(B36,'KASE за 16.10.25'!$C$5:$G$177,5,0)</f>
        <v>64.901899999999998</v>
      </c>
      <c r="K36" s="63">
        <v>17762500</v>
      </c>
      <c r="L36" s="29">
        <f t="shared" si="9"/>
        <v>194705800</v>
      </c>
      <c r="M36" s="33">
        <f t="shared" si="0"/>
        <v>7.3387731188829719E-3</v>
      </c>
      <c r="N36" s="13">
        <f t="shared" ref="N36:N60" si="10">D36*E36%/360</f>
        <v>72500</v>
      </c>
      <c r="O36" s="12">
        <f t="shared" si="2"/>
        <v>17835000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16.10.25'!$C$5:$F$177,4,0)</f>
        <v>58.981099999999998</v>
      </c>
      <c r="J37" s="32">
        <f>VLOOKUP(B37,'KASE за 16.10.25'!$C$5:$G$177,5,0)</f>
        <v>64.901899999999998</v>
      </c>
      <c r="K37" s="63">
        <v>11841666.666666342</v>
      </c>
      <c r="L37" s="29">
        <f t="shared" si="9"/>
        <v>129803866.66666634</v>
      </c>
      <c r="M37" s="33">
        <f t="shared" si="0"/>
        <v>4.8925154125886361E-3</v>
      </c>
      <c r="N37" s="13">
        <f t="shared" si="10"/>
        <v>48333.333333333336</v>
      </c>
      <c r="O37" s="12">
        <f t="shared" si="2"/>
        <v>11889999.999999676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16.10.25'!$C$5:$F$162,4,0)</f>
        <v>82.3369</v>
      </c>
      <c r="J38" s="32">
        <f>VLOOKUP(B38,'KASE за 16.10.25'!$C$5:$G$162,5,0)</f>
        <v>90.036900000000003</v>
      </c>
      <c r="K38" s="63">
        <v>20251000.000000238</v>
      </c>
      <c r="L38" s="29">
        <f t="shared" si="9"/>
        <v>236797047.00000024</v>
      </c>
      <c r="M38" s="33">
        <f t="shared" si="0"/>
        <v>8.9252595616282071E-3</v>
      </c>
      <c r="N38" s="13">
        <f t="shared" si="10"/>
        <v>80361.111111111109</v>
      </c>
      <c r="O38" s="12">
        <f t="shared" si="2"/>
        <v>20331361.11111135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16.10.25'!$C$5:$F$162,4,0)</f>
        <v>95.575699999999998</v>
      </c>
      <c r="J39" s="32">
        <f>VLOOKUP(B39,'KASE за 16.10.25'!$C$5:$G$162,5,0)</f>
        <v>105.0532</v>
      </c>
      <c r="K39" s="63">
        <v>32318275</v>
      </c>
      <c r="L39" s="29">
        <f t="shared" si="9"/>
        <v>358231412</v>
      </c>
      <c r="M39" s="33">
        <f t="shared" si="0"/>
        <v>1.3502315065730405E-2</v>
      </c>
      <c r="N39" s="13">
        <f t="shared" si="10"/>
        <v>144925</v>
      </c>
      <c r="O39" s="12">
        <f t="shared" si="2"/>
        <v>32463200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16.10.25'!$C$5:$F$162,4,0)</f>
        <v>85.3947</v>
      </c>
      <c r="J40" s="32">
        <f>VLOOKUP(B40,'KASE за 16.10.25'!$C$5:$G$162,5,0)</f>
        <v>95.544799999999995</v>
      </c>
      <c r="K40" s="63">
        <v>8396859.4391667116</v>
      </c>
      <c r="L40" s="29">
        <f t="shared" si="9"/>
        <v>79041332.908166707</v>
      </c>
      <c r="M40" s="33">
        <f t="shared" si="0"/>
        <v>2.9791942984088498E-3</v>
      </c>
      <c r="N40" s="13">
        <f t="shared" si="10"/>
        <v>24059.769166666669</v>
      </c>
      <c r="O40" s="12">
        <f t="shared" si="2"/>
        <v>8420919.2083333787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16.10.25'!$C$5:$F$177,4,0)</f>
        <v>75.092399999999998</v>
      </c>
      <c r="J41" s="32">
        <f>VLOOKUP(B41,'KASE за 16.10.25'!$C$5:$G$177,5,0)</f>
        <v>76.436400000000006</v>
      </c>
      <c r="K41" s="105">
        <v>3057600.0000000019</v>
      </c>
      <c r="L41" s="29">
        <f t="shared" si="9"/>
        <v>173892810</v>
      </c>
      <c r="M41" s="33">
        <f t="shared" si="0"/>
        <v>6.554298226324147E-3</v>
      </c>
      <c r="N41" s="13">
        <f t="shared" si="10"/>
        <v>48533.333333333336</v>
      </c>
      <c r="O41" s="12">
        <f t="shared" si="2"/>
        <v>3106133.3333333354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16.10.25'!$C$5:$F$162,4,0)</f>
        <v>77.424499999999995</v>
      </c>
      <c r="J42" s="32">
        <f>VLOOKUP(B42,'KASE за 16.10.25'!$C$5:$G$162,5,0)</f>
        <v>83.561499999999995</v>
      </c>
      <c r="K42" s="63">
        <v>30684999.999988675</v>
      </c>
      <c r="L42" s="29">
        <f t="shared" si="9"/>
        <v>417807499.99998868</v>
      </c>
      <c r="M42" s="33">
        <f t="shared" si="0"/>
        <v>1.5747833140397533E-2</v>
      </c>
      <c r="N42" s="13">
        <f t="shared" si="10"/>
        <v>100277.77777777778</v>
      </c>
      <c r="O42" s="12">
        <f t="shared" ref="O42:O60" si="11">K42+N42</f>
        <v>30785277.777766451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16.10.25'!$C$5:$F$162,4,0)</f>
        <v>95.575699999999998</v>
      </c>
      <c r="J43" s="32">
        <f>VLOOKUP(B43,'KASE за 16.10.25'!$C$5:$G$162,5,0)</f>
        <v>105.0532</v>
      </c>
      <c r="K43" s="63">
        <v>24546725</v>
      </c>
      <c r="L43" s="29">
        <f t="shared" si="9"/>
        <v>272087788</v>
      </c>
      <c r="M43" s="33">
        <f t="shared" si="0"/>
        <v>1.0255424052856817E-2</v>
      </c>
      <c r="N43" s="13">
        <f t="shared" si="10"/>
        <v>110075</v>
      </c>
      <c r="O43" s="12">
        <f t="shared" si="11"/>
        <v>24656800</v>
      </c>
      <c r="Q43" s="8"/>
      <c r="R43" s="12"/>
    </row>
    <row r="44" spans="1:19" x14ac:dyDescent="0.25">
      <c r="A44" s="27" t="s">
        <v>387</v>
      </c>
      <c r="B44" s="28" t="s">
        <v>2076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16.10.25'!$C$4:$G$963,4,0)</f>
        <v>99.577342863225184</v>
      </c>
      <c r="J44" s="32">
        <f>VLOOKUP(B44,'Риск цены за 16.10.25'!$C$4:$G$963,5,0)</f>
        <v>99.855642863225185</v>
      </c>
      <c r="K44" s="63">
        <v>556666.66666666663</v>
      </c>
      <c r="L44" s="29">
        <f t="shared" si="9"/>
        <v>199711352.39311704</v>
      </c>
      <c r="M44" s="33">
        <f t="shared" si="0"/>
        <v>7.5274403971446755E-3</v>
      </c>
      <c r="N44" s="13">
        <f t="shared" si="10"/>
        <v>92777.777777777766</v>
      </c>
      <c r="O44" s="12">
        <f t="shared" si="11"/>
        <v>649444.44444444438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16.10.25'!$C$5:$F$177,4,0)</f>
        <v>81.401700000000005</v>
      </c>
      <c r="J45" s="83">
        <f>VLOOKUP(B45,'KASE за 16.10.25'!$C$5:$G$177,5,0)</f>
        <v>86.657499999999999</v>
      </c>
      <c r="K45" s="101">
        <v>26279166.66666685</v>
      </c>
      <c r="L45" s="29">
        <f t="shared" si="9"/>
        <v>433287666.66666687</v>
      </c>
      <c r="M45" s="84">
        <f t="shared" si="0"/>
        <v>1.6331305389345671E-2</v>
      </c>
      <c r="N45" s="13">
        <f t="shared" si="10"/>
        <v>73611.111111111109</v>
      </c>
      <c r="O45" s="12">
        <f t="shared" si="11"/>
        <v>26352777.777777962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16.10.25'!$C$5:$F$162,4,0)</f>
        <v>82.3369</v>
      </c>
      <c r="J46" s="83">
        <f>VLOOKUP(B46,'KASE за 16.10.25'!$C$5:$G$162,5,0)</f>
        <v>90.036900000000003</v>
      </c>
      <c r="K46" s="101">
        <v>56749000.000000313</v>
      </c>
      <c r="L46" s="73">
        <f t="shared" si="9"/>
        <v>663571953.00000036</v>
      </c>
      <c r="M46" s="84">
        <f t="shared" si="0"/>
        <v>2.5011088581444813E-2</v>
      </c>
      <c r="N46" s="13">
        <f t="shared" si="10"/>
        <v>225194.44444444444</v>
      </c>
      <c r="O46" s="12">
        <f t="shared" si="11"/>
        <v>56974194.444444761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16.10.25'!$C$5:$F$162,4,0)</f>
        <v>77.118899999999996</v>
      </c>
      <c r="J47" s="83">
        <f>VLOOKUP(B47,'KASE за 16.10.25'!$C$5:$G$162,5,0)</f>
        <v>83.098600000000005</v>
      </c>
      <c r="K47" s="63">
        <v>358783.3333333339</v>
      </c>
      <c r="L47" s="73">
        <f t="shared" ref="L47:L60" si="12">D47*I47/100+K47</f>
        <v>4985917.333333334</v>
      </c>
      <c r="M47" s="84">
        <f t="shared" si="0"/>
        <v>1.8792720144361052E-4</v>
      </c>
      <c r="N47" s="13">
        <f t="shared" si="10"/>
        <v>1716.6666666666667</v>
      </c>
      <c r="O47" s="12">
        <f t="shared" si="11"/>
        <v>360500.00000000058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16.10.25'!$C$5:$F$162,4,0)</f>
        <v>77.118899999999996</v>
      </c>
      <c r="J48" s="83">
        <f>VLOOKUP(B48,'KASE за 16.10.25'!$C$5:$G$162,5,0)</f>
        <v>83.098600000000005</v>
      </c>
      <c r="K48" s="101">
        <v>358783.3333333339</v>
      </c>
      <c r="L48" s="73">
        <f t="shared" si="12"/>
        <v>4985917.333333334</v>
      </c>
      <c r="M48" s="84">
        <f t="shared" si="0"/>
        <v>1.8792720144361052E-4</v>
      </c>
      <c r="N48" s="13">
        <f t="shared" si="10"/>
        <v>1716.6666666666667</v>
      </c>
      <c r="O48" s="12">
        <f t="shared" si="11"/>
        <v>360500.00000000058</v>
      </c>
      <c r="Q48" s="8"/>
      <c r="R48" s="12"/>
    </row>
    <row r="49" spans="1:18" x14ac:dyDescent="0.25">
      <c r="A49" s="55" t="s">
        <v>29</v>
      </c>
      <c r="B49" s="56" t="s">
        <v>2099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38013888.888888985</v>
      </c>
      <c r="L49" s="73">
        <f t="shared" si="12"/>
        <v>538013888.88888896</v>
      </c>
      <c r="M49" s="84">
        <f t="shared" si="0"/>
        <v>2.02786042601888E-2</v>
      </c>
      <c r="N49" s="13">
        <f t="shared" si="10"/>
        <v>236111.11111111112</v>
      </c>
      <c r="O49" s="12">
        <f t="shared" si="11"/>
        <v>38250000.000000097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16.10.25'!$C$5:$F$165,4,0)</f>
        <v>70.382000000000005</v>
      </c>
      <c r="J50" s="83">
        <f>VLOOKUP(B50,'KASE за 16.10.25'!$C$5:$G$165,5,0)</f>
        <v>74.039299999999997</v>
      </c>
      <c r="K50" s="103">
        <v>18286666.666666664</v>
      </c>
      <c r="L50" s="73">
        <f t="shared" si="12"/>
        <v>370196666.66666669</v>
      </c>
      <c r="M50" s="84">
        <f t="shared" ref="M50:M61" si="13">L50/$L$62</f>
        <v>1.3953304657762703E-2</v>
      </c>
      <c r="N50" s="13">
        <f>D50*E50%/360</f>
        <v>117222.2222222222</v>
      </c>
      <c r="O50" s="12">
        <f>K50+N50</f>
        <v>18403888.888888888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16.10.25'!$C$5:$F$165,4,0)</f>
        <v>75.092399999999998</v>
      </c>
      <c r="J51" s="83">
        <f>VLOOKUP(B51,'KASE за 16.10.25'!$C$5:$G$165,5,0)</f>
        <v>76.436400000000006</v>
      </c>
      <c r="K51" s="106">
        <v>6720000.0000000047</v>
      </c>
      <c r="L51" s="73">
        <f t="shared" si="12"/>
        <v>382182000</v>
      </c>
      <c r="M51" s="84">
        <f t="shared" si="13"/>
        <v>1.4405051046866256E-2</v>
      </c>
      <c r="N51" s="13">
        <f t="shared" si="10"/>
        <v>106666.66666666667</v>
      </c>
      <c r="O51" s="12">
        <f t="shared" si="11"/>
        <v>6826666.6666666716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16.10.25'!$C$5:$F$177,4,0)</f>
        <v>76.935900000000004</v>
      </c>
      <c r="J52" s="83">
        <f>VLOOKUP(B52,'KASE за 16.10.25'!$C$5:$G$177,5,0)</f>
        <v>79.408100000000005</v>
      </c>
      <c r="K52" s="103">
        <v>12361111.111111064</v>
      </c>
      <c r="L52" s="73">
        <f t="shared" si="12"/>
        <v>397040611.11111104</v>
      </c>
      <c r="M52" s="84">
        <f t="shared" si="13"/>
        <v>1.4965095872475754E-2</v>
      </c>
      <c r="N52" s="13">
        <f t="shared" si="10"/>
        <v>69444.444444444438</v>
      </c>
      <c r="O52" s="12">
        <f t="shared" si="11"/>
        <v>12430555.555555508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16.10.25'!$C$5:$F$165,4,0)</f>
        <v>82.827399999999997</v>
      </c>
      <c r="J53" s="83">
        <f>VLOOKUP(B53,'KASE за 16.10.25'!$C$5:$G$165,5,0)</f>
        <v>85.113200000000006</v>
      </c>
      <c r="K53" s="103">
        <v>4571666.6666666614</v>
      </c>
      <c r="L53" s="73">
        <f t="shared" si="12"/>
        <v>170226466.66666666</v>
      </c>
      <c r="M53" s="84">
        <f t="shared" si="13"/>
        <v>6.4161078801749181E-3</v>
      </c>
      <c r="N53" s="13">
        <f t="shared" si="10"/>
        <v>58611.111111111124</v>
      </c>
      <c r="O53" s="12">
        <f t="shared" si="11"/>
        <v>4630277.7777777724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16.10.25'!$C$5:$F$165,4,0)</f>
        <v>85.0565</v>
      </c>
      <c r="J54" s="83">
        <f>VLOOKUP(B54,'KASE за 16.10.25'!$C$5:$G$165,5,0)</f>
        <v>92.356499999999997</v>
      </c>
      <c r="K54" s="103">
        <v>36500000.000000075</v>
      </c>
      <c r="L54" s="73">
        <f>D54*I54/100+K54</f>
        <v>461782500.00000006</v>
      </c>
      <c r="M54" s="84">
        <f t="shared" si="13"/>
        <v>1.7405321247598051E-2</v>
      </c>
      <c r="N54" s="13">
        <f t="shared" si="10"/>
        <v>166666.66666666666</v>
      </c>
      <c r="O54" s="12">
        <f t="shared" si="11"/>
        <v>36666666.666666739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16.10.25'!$C$5:$F$165,4,0)</f>
        <v>85.0565</v>
      </c>
      <c r="J55" s="83">
        <f>VLOOKUP(B55,'KASE за 16.10.25'!$C$5:$G$165,5,0)</f>
        <v>92.356499999999997</v>
      </c>
      <c r="K55" s="103">
        <v>36500000.000000075</v>
      </c>
      <c r="L55" s="73">
        <f t="shared" si="12"/>
        <v>461782500.00000006</v>
      </c>
      <c r="M55" s="84">
        <f t="shared" si="13"/>
        <v>1.7405321247598051E-2</v>
      </c>
      <c r="N55" s="13">
        <f t="shared" si="10"/>
        <v>166666.66666666666</v>
      </c>
      <c r="O55" s="12">
        <f t="shared" si="11"/>
        <v>36666666.666666739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16.10.25'!$C$5:$F$165,4,0)</f>
        <v>85.0565</v>
      </c>
      <c r="J56" s="32">
        <f>VLOOKUP(B56,'KASE за 16.10.25'!$C$5:$G$165,5,0)</f>
        <v>92.356499999999997</v>
      </c>
      <c r="K56" s="102">
        <v>30033732.999999892</v>
      </c>
      <c r="L56" s="73">
        <f t="shared" si="12"/>
        <v>379974035.86499989</v>
      </c>
      <c r="M56" s="84">
        <f t="shared" si="13"/>
        <v>1.4321829346016069E-2</v>
      </c>
      <c r="N56" s="13">
        <f t="shared" si="10"/>
        <v>137140.33333333334</v>
      </c>
      <c r="O56" s="12">
        <f t="shared" si="11"/>
        <v>30170873.333333224</v>
      </c>
      <c r="Q56" s="3"/>
      <c r="R56" s="12"/>
    </row>
    <row r="57" spans="1:18" x14ac:dyDescent="0.25">
      <c r="A57" s="55" t="s">
        <v>396</v>
      </c>
      <c r="B57" s="56" t="s">
        <v>2180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16.10.25'!$C$5:$F$170,4,0)</f>
        <v>89.0227</v>
      </c>
      <c r="J57" s="32">
        <f>VLOOKUP(B57,'KASE за 16.10.25'!$C$5:$G$170,5,0)</f>
        <v>94.280900000000003</v>
      </c>
      <c r="K57" s="102">
        <v>12027541.390277755</v>
      </c>
      <c r="L57" s="73">
        <f>D57*I57/100+K57</f>
        <v>215657175.14327773</v>
      </c>
      <c r="M57" s="84">
        <f t="shared" si="13"/>
        <v>8.1284639688993538E-3</v>
      </c>
      <c r="N57" s="13">
        <f t="shared" si="10"/>
        <v>91813.29305555555</v>
      </c>
      <c r="O57" s="12">
        <f t="shared" si="11"/>
        <v>12119354.683333309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16.10.25'!$C$5:$F$170,4,0)</f>
        <v>70.382000000000005</v>
      </c>
      <c r="J58" s="83">
        <f>VLOOKUP(B58,'KASE за 16.10.25'!$C$5:$G$170,5,0)</f>
        <v>74.039299999999997</v>
      </c>
      <c r="K58" s="103">
        <v>18286666.666666672</v>
      </c>
      <c r="L58" s="73">
        <f t="shared" si="12"/>
        <v>370196666.66666669</v>
      </c>
      <c r="M58" s="84">
        <f t="shared" si="13"/>
        <v>1.3953304657762703E-2</v>
      </c>
      <c r="N58" s="13">
        <f t="shared" si="10"/>
        <v>117222.2222222222</v>
      </c>
      <c r="O58" s="12">
        <f t="shared" si="11"/>
        <v>18403888.888888896</v>
      </c>
      <c r="Q58" s="3"/>
      <c r="R58" s="12"/>
    </row>
    <row r="59" spans="1:18" x14ac:dyDescent="0.25">
      <c r="A59" s="82" t="s">
        <v>396</v>
      </c>
      <c r="B59" s="81" t="s">
        <v>2180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16.10.25'!$C$5:$F$170,4,0)</f>
        <v>89.0227</v>
      </c>
      <c r="J59" s="83">
        <f>VLOOKUP(B59,'KASE за 16.10.25'!$C$5:$G$170,5,0)</f>
        <v>94.280900000000003</v>
      </c>
      <c r="K59" s="103">
        <v>26290972.222222198</v>
      </c>
      <c r="L59" s="73">
        <f t="shared" si="12"/>
        <v>471404472.22222221</v>
      </c>
      <c r="M59" s="84">
        <f t="shared" si="13"/>
        <v>1.7767988775196523E-2</v>
      </c>
      <c r="N59" s="13">
        <f t="shared" si="10"/>
        <v>200694.44444444444</v>
      </c>
      <c r="O59" s="12">
        <f t="shared" si="11"/>
        <v>26491666.666666642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16.10.25'!$C$5:$F$177,4,0)</f>
        <v>54.610100000000003</v>
      </c>
      <c r="J60" s="83">
        <f>VLOOKUP(B60,'KASE за 16.10.25'!$C$5:$G$177,5,0)</f>
        <v>56.488900000000001</v>
      </c>
      <c r="K60" s="103">
        <v>316400.28749999998</v>
      </c>
      <c r="L60" s="73">
        <f t="shared" si="12"/>
        <v>9513287.2284999993</v>
      </c>
      <c r="M60" s="84">
        <f t="shared" si="13"/>
        <v>3.585710162960142E-4</v>
      </c>
      <c r="N60" s="13">
        <f t="shared" si="10"/>
        <v>3906.1763888888881</v>
      </c>
      <c r="O60" s="12">
        <f t="shared" si="11"/>
        <v>320306.46388888889</v>
      </c>
      <c r="Q60" s="3"/>
      <c r="R60" s="12"/>
    </row>
    <row r="61" spans="1:18" ht="15.75" thickBot="1" x14ac:dyDescent="0.3">
      <c r="A61" s="82" t="s">
        <v>818</v>
      </c>
      <c r="B61" s="81" t="s">
        <v>2354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16.10.25'!$C$4:$G$963,4,0)</f>
        <v>96.985818304652611</v>
      </c>
      <c r="J61" s="32">
        <f>VLOOKUP(B61,'Риск цены за 16.10.25'!$C$4:$G$963,5,0)</f>
        <v>99.531118304652622</v>
      </c>
      <c r="K61" s="103">
        <v>12726388.888888881</v>
      </c>
      <c r="L61" s="73">
        <f>D61*I61/100+K61</f>
        <v>497655480.41215199</v>
      </c>
      <c r="M61" s="84">
        <f t="shared" si="13"/>
        <v>1.8757431273816662E-2</v>
      </c>
      <c r="N61" s="13">
        <f t="shared" ref="N61" si="15">D61*E61%/360</f>
        <v>259722.22222222222</v>
      </c>
      <c r="O61" s="12">
        <f t="shared" ref="O61" si="16">K61+N61</f>
        <v>12986111.111111103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1439225190.579432</v>
      </c>
      <c r="L62" s="107">
        <f>SUM(L6:L61)</f>
        <v>26531110424.849323</v>
      </c>
      <c r="M62" s="104">
        <f>SUM(M6:M61)</f>
        <v>0.99999999999999967</v>
      </c>
      <c r="N62" s="13">
        <v>26531110424.849331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692831.45</v>
      </c>
      <c r="C65" s="8">
        <v>692831.45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</v>
      </c>
      <c r="B69" s="56" t="s">
        <v>1137</v>
      </c>
      <c r="C69" s="57">
        <v>38080</v>
      </c>
      <c r="D69" s="58" t="s">
        <v>238</v>
      </c>
      <c r="E69" s="46">
        <v>45943</v>
      </c>
      <c r="F69" s="46">
        <v>45950</v>
      </c>
      <c r="G69" s="59">
        <v>919.15</v>
      </c>
      <c r="H69" s="59">
        <v>922.14668093487398</v>
      </c>
      <c r="I69" s="57">
        <v>35001232</v>
      </c>
      <c r="J69" s="57">
        <v>35115345.609999999</v>
      </c>
      <c r="K69" s="60">
        <v>17.0000006407938</v>
      </c>
      <c r="L69" s="18">
        <f t="shared" ref="L69:L74" si="17">IF(($B$1-E69)=0,0,(J69-I69)/(F69-E69)*($B$1-E69))</f>
        <v>48905.832857142603</v>
      </c>
      <c r="M69" s="18">
        <f t="shared" ref="M69:M74" si="18">IF((F69=$B$1),0,(I69+L69))</f>
        <v>35050137.832857139</v>
      </c>
      <c r="N69" s="16"/>
    </row>
    <row r="70" spans="1:17" s="17" customFormat="1" ht="15" customHeight="1" x14ac:dyDescent="0.25">
      <c r="A70" s="55" t="s">
        <v>2601</v>
      </c>
      <c r="B70" s="56" t="s">
        <v>44</v>
      </c>
      <c r="C70" s="57">
        <v>2552096</v>
      </c>
      <c r="D70" s="58" t="s">
        <v>238</v>
      </c>
      <c r="E70" s="46">
        <v>45945</v>
      </c>
      <c r="F70" s="46">
        <v>45946</v>
      </c>
      <c r="G70" s="59">
        <v>542.46409999858895</v>
      </c>
      <c r="H70" s="59">
        <v>542.71675599585603</v>
      </c>
      <c r="I70" s="57">
        <v>1384420459.75</v>
      </c>
      <c r="J70" s="57">
        <v>1385065262.1099999</v>
      </c>
      <c r="K70" s="60">
        <v>17.0000999149132</v>
      </c>
      <c r="L70" s="18">
        <f t="shared" si="17"/>
        <v>644802.3599998951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2601</v>
      </c>
      <c r="B71" s="56" t="s">
        <v>44</v>
      </c>
      <c r="C71" s="57">
        <v>16596</v>
      </c>
      <c r="D71" s="58" t="s">
        <v>238</v>
      </c>
      <c r="E71" s="46">
        <v>45945</v>
      </c>
      <c r="F71" s="46">
        <v>45946</v>
      </c>
      <c r="G71" s="59">
        <v>542.46409978307997</v>
      </c>
      <c r="H71" s="59">
        <v>542.71675584478203</v>
      </c>
      <c r="I71" s="57">
        <v>9002734.1999999993</v>
      </c>
      <c r="J71" s="57">
        <v>9006927.2799999993</v>
      </c>
      <c r="K71" s="60">
        <v>17.000104257215501</v>
      </c>
      <c r="L71" s="18">
        <f t="shared" si="17"/>
        <v>4193.0800000000745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396</v>
      </c>
      <c r="B72" s="56" t="s">
        <v>1984</v>
      </c>
      <c r="C72" s="57">
        <v>14182798</v>
      </c>
      <c r="D72" s="58" t="s">
        <v>238</v>
      </c>
      <c r="E72" s="46">
        <v>45946</v>
      </c>
      <c r="F72" s="46">
        <v>45947</v>
      </c>
      <c r="G72" s="59">
        <v>95.256600000225603</v>
      </c>
      <c r="H72" s="59">
        <v>95.301096576289098</v>
      </c>
      <c r="I72" s="57">
        <v>1351005115.97</v>
      </c>
      <c r="J72" s="57">
        <v>1351636201.9200001</v>
      </c>
      <c r="K72" s="60">
        <v>17.049999961296599</v>
      </c>
      <c r="L72" s="18">
        <f t="shared" si="17"/>
        <v>0</v>
      </c>
      <c r="M72" s="18">
        <f t="shared" si="18"/>
        <v>1351005115.97</v>
      </c>
      <c r="N72" s="16"/>
    </row>
    <row r="73" spans="1:17" s="17" customFormat="1" ht="15" customHeight="1" x14ac:dyDescent="0.25">
      <c r="A73" s="55" t="s">
        <v>2601</v>
      </c>
      <c r="B73" s="56" t="s">
        <v>905</v>
      </c>
      <c r="C73" s="57">
        <v>58616</v>
      </c>
      <c r="D73" s="58" t="s">
        <v>238</v>
      </c>
      <c r="E73" s="46">
        <v>45946</v>
      </c>
      <c r="F73" s="46">
        <v>45947</v>
      </c>
      <c r="G73" s="59">
        <v>580.22480005459295</v>
      </c>
      <c r="H73" s="59">
        <v>580.49583663163605</v>
      </c>
      <c r="I73" s="57">
        <v>34010456.880000003</v>
      </c>
      <c r="J73" s="57">
        <v>34026343.960000001</v>
      </c>
      <c r="K73" s="60">
        <v>17.0500038281168</v>
      </c>
      <c r="L73" s="18">
        <f t="shared" si="17"/>
        <v>0</v>
      </c>
      <c r="M73" s="18">
        <f t="shared" si="18"/>
        <v>34010456.880000003</v>
      </c>
      <c r="N73" s="16"/>
    </row>
    <row r="74" spans="1:17" s="17" customFormat="1" ht="15" customHeight="1" x14ac:dyDescent="0.25">
      <c r="A74" s="55" t="s">
        <v>396</v>
      </c>
      <c r="B74" s="56" t="s">
        <v>1251</v>
      </c>
      <c r="C74" s="57">
        <v>16794</v>
      </c>
      <c r="D74" s="58" t="s">
        <v>238</v>
      </c>
      <c r="E74" s="46">
        <v>45946</v>
      </c>
      <c r="F74" s="46">
        <v>45947</v>
      </c>
      <c r="G74" s="59">
        <v>536.15510003572695</v>
      </c>
      <c r="H74" s="59">
        <v>536.40481600571604</v>
      </c>
      <c r="I74" s="57">
        <v>9004188.75</v>
      </c>
      <c r="J74" s="57">
        <v>9008382.4800000004</v>
      </c>
      <c r="K74" s="60">
        <v>16.999992919961802</v>
      </c>
      <c r="L74" s="18">
        <f t="shared" si="17"/>
        <v>0</v>
      </c>
      <c r="M74" s="18">
        <f t="shared" si="18"/>
        <v>9004188.75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16864980</v>
      </c>
      <c r="D76" s="79"/>
      <c r="E76" s="78"/>
      <c r="F76" s="79"/>
      <c r="G76" s="77"/>
      <c r="H76" s="79"/>
      <c r="I76" s="68">
        <f>SUM(I69:I74)</f>
        <v>2822444187.5500002</v>
      </c>
      <c r="J76" s="68">
        <f>SUM(J69:J74)</f>
        <v>2823858463.3600001</v>
      </c>
      <c r="K76" s="76"/>
      <c r="L76" s="68">
        <f>SUM(L69:L74)</f>
        <v>697901.27285703772</v>
      </c>
      <c r="M76" s="68">
        <f>SUM(M69:M74)</f>
        <v>1429069899.4328573</v>
      </c>
      <c r="N76" s="128">
        <v>1429069899.4328573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8" t="s">
        <v>16</v>
      </c>
      <c r="B80" s="98" t="s">
        <v>249</v>
      </c>
      <c r="C80" s="98" t="s">
        <v>243</v>
      </c>
      <c r="D80" s="98" t="s">
        <v>250</v>
      </c>
      <c r="E80" s="98" t="s">
        <v>242</v>
      </c>
      <c r="F80" s="98" t="s">
        <v>251</v>
      </c>
      <c r="G80" s="98" t="s">
        <v>252</v>
      </c>
      <c r="L80" s="10"/>
      <c r="M80" s="11"/>
    </row>
    <row r="81" spans="1:14" x14ac:dyDescent="0.25">
      <c r="A81" s="28">
        <v>1</v>
      </c>
      <c r="B81" s="28" t="s">
        <v>2076</v>
      </c>
      <c r="C81" s="97" t="s">
        <v>238</v>
      </c>
      <c r="D81" s="31">
        <v>45757</v>
      </c>
      <c r="E81" s="29">
        <v>200000</v>
      </c>
      <c r="F81" s="29">
        <v>16700000</v>
      </c>
      <c r="G81" s="29">
        <v>16700000</v>
      </c>
      <c r="H81" s="128">
        <v>16700000</v>
      </c>
      <c r="I81" s="8">
        <f>G81-H81</f>
        <v>0</v>
      </c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16700000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27977573155.732182</v>
      </c>
      <c r="C84" s="128">
        <v>27977573155.732189</v>
      </c>
      <c r="D84" s="3">
        <f>B84-C84</f>
        <v>0</v>
      </c>
      <c r="L84" s="10"/>
      <c r="M84" s="10"/>
    </row>
    <row r="85" spans="1:14" x14ac:dyDescent="0.25">
      <c r="B85" s="38"/>
      <c r="C85" s="110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2000+2000+2000+2000+2000+2000+4000+3000+8000+2000+2000+2000+2000+2000+17000+2000+2000+14000+7000+2000+3000+348823.86+2000+2000+3000+4000+4000+2000+2000+6000+2000+2000+2000+3000</f>
        <v>466823.86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v>366267.13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</f>
        <v>93422.49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870.05+870.36+871+2612.49+872.3+872.27+872.63+1055.53+3169.53+1057.33+1057.95+1058.49+1058.78+3177.16+1060.9+1061.35+1061.76+1061.76+3186.6+1063.61+1064.65+1065.07+1065+3197.71+1067.45+1067.66+1068.44+1068.91-29036.5+3205.63+1228.07+1044.55+1045.07+1045.51</f>
        <v>17169.070000000003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943682.54999999993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11" priority="3" operator="equal">
      <formula>$B$1</formula>
    </cfRule>
    <cfRule type="cellIs" dxfId="10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45946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340</v>
      </c>
      <c r="C3" s="126" t="s">
        <v>0</v>
      </c>
      <c r="D3" s="126" t="s">
        <v>17</v>
      </c>
      <c r="E3" s="126" t="s">
        <v>335</v>
      </c>
      <c r="F3" s="126" t="s">
        <v>336</v>
      </c>
      <c r="G3" s="126" t="s">
        <v>337</v>
      </c>
      <c r="H3" s="126" t="s">
        <v>2523</v>
      </c>
      <c r="I3" s="126" t="s">
        <v>338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2207</v>
      </c>
      <c r="C5" s="62" t="s">
        <v>21</v>
      </c>
      <c r="D5" s="62" t="s">
        <v>19</v>
      </c>
      <c r="E5" s="62" t="s">
        <v>2272</v>
      </c>
      <c r="F5" s="62">
        <v>818.8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2513</v>
      </c>
      <c r="C6" s="62" t="s">
        <v>24</v>
      </c>
      <c r="D6" s="62" t="s">
        <v>19</v>
      </c>
      <c r="E6" s="62" t="s">
        <v>2274</v>
      </c>
      <c r="F6" s="114">
        <v>6301.35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2514</v>
      </c>
      <c r="C7" s="62" t="s">
        <v>431</v>
      </c>
      <c r="D7" s="62" t="s">
        <v>2275</v>
      </c>
      <c r="E7" s="62" t="s">
        <v>2436</v>
      </c>
      <c r="F7" s="62">
        <v>100.0201</v>
      </c>
      <c r="G7" s="62">
        <v>100.4645</v>
      </c>
      <c r="H7" s="62" t="s">
        <v>2524</v>
      </c>
      <c r="I7" s="62" t="s">
        <v>2604</v>
      </c>
      <c r="J7" s="62" t="s">
        <v>269</v>
      </c>
    </row>
    <row r="8" spans="1:10" ht="15" x14ac:dyDescent="0.25">
      <c r="A8" s="40">
        <v>4</v>
      </c>
      <c r="B8" s="62" t="s">
        <v>2515</v>
      </c>
      <c r="C8" s="62" t="s">
        <v>734</v>
      </c>
      <c r="D8" s="62" t="s">
        <v>2276</v>
      </c>
      <c r="E8" s="62" t="s">
        <v>2277</v>
      </c>
      <c r="F8" s="62">
        <v>130.74</v>
      </c>
      <c r="G8" s="62" t="s">
        <v>339</v>
      </c>
      <c r="H8" s="62" t="s">
        <v>339</v>
      </c>
      <c r="I8" s="62" t="s">
        <v>339</v>
      </c>
      <c r="J8" s="62" t="s">
        <v>1963</v>
      </c>
    </row>
    <row r="9" spans="1:10" ht="15" x14ac:dyDescent="0.25">
      <c r="A9" s="40">
        <v>5</v>
      </c>
      <c r="B9" s="62" t="s">
        <v>2516</v>
      </c>
      <c r="C9" s="62" t="s">
        <v>27</v>
      </c>
      <c r="D9" s="62" t="s">
        <v>2276</v>
      </c>
      <c r="E9" s="62" t="s">
        <v>2277</v>
      </c>
      <c r="F9" s="114">
        <v>1497.03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2517</v>
      </c>
      <c r="C10" s="62" t="s">
        <v>737</v>
      </c>
      <c r="D10" s="62" t="s">
        <v>2276</v>
      </c>
      <c r="E10" s="62" t="s">
        <v>2277</v>
      </c>
      <c r="F10" s="62">
        <v>7.2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2518</v>
      </c>
      <c r="C11" s="62" t="s">
        <v>2048</v>
      </c>
      <c r="D11" s="62" t="s">
        <v>2276</v>
      </c>
      <c r="E11" s="62" t="s">
        <v>2277</v>
      </c>
      <c r="F11" s="62">
        <v>100.76</v>
      </c>
      <c r="G11" s="62" t="s">
        <v>339</v>
      </c>
      <c r="H11" s="62" t="s">
        <v>339</v>
      </c>
      <c r="I11" s="62" t="s">
        <v>339</v>
      </c>
      <c r="J11" s="62" t="s">
        <v>1963</v>
      </c>
    </row>
    <row r="12" spans="1:10" ht="15" x14ac:dyDescent="0.25">
      <c r="A12" s="40">
        <v>8</v>
      </c>
      <c r="B12" s="62" t="s">
        <v>2519</v>
      </c>
      <c r="C12" s="62" t="s">
        <v>749</v>
      </c>
      <c r="D12" s="62" t="s">
        <v>2275</v>
      </c>
      <c r="E12" s="62" t="s">
        <v>2178</v>
      </c>
      <c r="F12" s="62">
        <v>101.9999</v>
      </c>
      <c r="G12" s="62">
        <v>105.45820000000001</v>
      </c>
      <c r="H12" s="62" t="s">
        <v>2525</v>
      </c>
      <c r="I12" s="62" t="s">
        <v>2553</v>
      </c>
      <c r="J12" s="62" t="s">
        <v>269</v>
      </c>
    </row>
    <row r="13" spans="1:10" ht="15.75" customHeight="1" x14ac:dyDescent="0.25">
      <c r="A13" s="40">
        <v>9</v>
      </c>
      <c r="B13" s="62" t="s">
        <v>2520</v>
      </c>
      <c r="C13" s="62" t="s">
        <v>2165</v>
      </c>
      <c r="D13" s="62" t="s">
        <v>2275</v>
      </c>
      <c r="E13" s="62" t="s">
        <v>2178</v>
      </c>
      <c r="F13" s="62">
        <v>100.4648</v>
      </c>
      <c r="G13" s="62">
        <v>107.8856</v>
      </c>
      <c r="H13" s="62" t="s">
        <v>2526</v>
      </c>
      <c r="I13" s="62" t="s">
        <v>2605</v>
      </c>
      <c r="J13" s="62" t="s">
        <v>269</v>
      </c>
    </row>
    <row r="14" spans="1:10" ht="15.75" customHeight="1" x14ac:dyDescent="0.25">
      <c r="A14" s="40">
        <v>10</v>
      </c>
      <c r="B14" s="62" t="s">
        <v>2521</v>
      </c>
      <c r="C14" s="62" t="s">
        <v>2475</v>
      </c>
      <c r="D14" s="62" t="s">
        <v>2275</v>
      </c>
      <c r="E14" s="62" t="s">
        <v>2178</v>
      </c>
      <c r="F14" s="62">
        <v>100.3437</v>
      </c>
      <c r="G14" s="62">
        <v>101.93810000000001</v>
      </c>
      <c r="H14" s="62" t="s">
        <v>2527</v>
      </c>
      <c r="I14" s="62" t="s">
        <v>2606</v>
      </c>
      <c r="J14" s="62" t="s">
        <v>269</v>
      </c>
    </row>
    <row r="15" spans="1:10" ht="15.75" customHeight="1" x14ac:dyDescent="0.25">
      <c r="A15" s="40">
        <v>11</v>
      </c>
      <c r="B15" s="62" t="s">
        <v>2522</v>
      </c>
      <c r="C15" s="62" t="s">
        <v>758</v>
      </c>
      <c r="D15" s="62" t="s">
        <v>2275</v>
      </c>
      <c r="E15" s="62" t="s">
        <v>2497</v>
      </c>
      <c r="F15" s="62">
        <v>99.3</v>
      </c>
      <c r="G15" s="62">
        <v>108.1986</v>
      </c>
      <c r="H15" s="62" t="s">
        <v>2528</v>
      </c>
      <c r="I15" s="62" t="s">
        <v>2607</v>
      </c>
      <c r="J15" s="62" t="s">
        <v>269</v>
      </c>
    </row>
    <row r="16" spans="1:10" ht="15" x14ac:dyDescent="0.25">
      <c r="A16" s="40">
        <v>12</v>
      </c>
      <c r="B16" s="62" t="s">
        <v>2608</v>
      </c>
      <c r="C16" s="62" t="s">
        <v>801</v>
      </c>
      <c r="D16" s="62" t="s">
        <v>2275</v>
      </c>
      <c r="E16" s="62" t="s">
        <v>2496</v>
      </c>
      <c r="F16" s="62">
        <v>86.962699999999998</v>
      </c>
      <c r="G16" s="62">
        <v>88.273799999999994</v>
      </c>
      <c r="H16" s="62" t="s">
        <v>2609</v>
      </c>
      <c r="I16" s="62" t="s">
        <v>2610</v>
      </c>
      <c r="J16" s="62" t="s">
        <v>269</v>
      </c>
    </row>
    <row r="17" spans="1:10" ht="15" x14ac:dyDescent="0.25">
      <c r="A17" s="40">
        <v>13</v>
      </c>
      <c r="B17" s="62" t="s">
        <v>2611</v>
      </c>
      <c r="C17" s="62" t="s">
        <v>807</v>
      </c>
      <c r="D17" s="62" t="s">
        <v>2275</v>
      </c>
      <c r="E17" s="62" t="s">
        <v>2496</v>
      </c>
      <c r="F17" s="62">
        <v>100.1849</v>
      </c>
      <c r="G17" s="62">
        <v>102.70780000000001</v>
      </c>
      <c r="H17" s="62" t="s">
        <v>2529</v>
      </c>
      <c r="I17" s="62" t="s">
        <v>2612</v>
      </c>
      <c r="J17" s="62" t="s">
        <v>269</v>
      </c>
    </row>
    <row r="18" spans="1:10" ht="15" x14ac:dyDescent="0.25">
      <c r="A18" s="40">
        <v>14</v>
      </c>
      <c r="B18" s="62" t="s">
        <v>2613</v>
      </c>
      <c r="C18" s="62" t="s">
        <v>2438</v>
      </c>
      <c r="D18" s="62" t="s">
        <v>2275</v>
      </c>
      <c r="E18" s="62" t="s">
        <v>2496</v>
      </c>
      <c r="F18" s="62">
        <v>100.7273</v>
      </c>
      <c r="G18" s="62">
        <v>101.1403</v>
      </c>
      <c r="H18" s="62" t="s">
        <v>2614</v>
      </c>
      <c r="I18" s="62" t="s">
        <v>2615</v>
      </c>
      <c r="J18" s="62" t="s">
        <v>269</v>
      </c>
    </row>
    <row r="19" spans="1:10" ht="15" x14ac:dyDescent="0.25">
      <c r="A19" s="40">
        <v>15</v>
      </c>
      <c r="B19" s="62" t="s">
        <v>2616</v>
      </c>
      <c r="C19" s="62" t="s">
        <v>2146</v>
      </c>
      <c r="D19" s="62" t="s">
        <v>2275</v>
      </c>
      <c r="E19" s="62" t="s">
        <v>2512</v>
      </c>
      <c r="F19" s="62">
        <v>101.67570000000001</v>
      </c>
      <c r="G19" s="62">
        <v>104.0676</v>
      </c>
      <c r="H19" s="62" t="s">
        <v>2617</v>
      </c>
      <c r="I19" s="62" t="s">
        <v>2618</v>
      </c>
      <c r="J19" s="62" t="s">
        <v>269</v>
      </c>
    </row>
    <row r="20" spans="1:10" ht="15" x14ac:dyDescent="0.25">
      <c r="A20" s="40">
        <v>16</v>
      </c>
      <c r="B20" s="62" t="s">
        <v>2619</v>
      </c>
      <c r="C20" s="62" t="s">
        <v>33</v>
      </c>
      <c r="D20" s="62" t="s">
        <v>19</v>
      </c>
      <c r="E20" s="62" t="s">
        <v>2278</v>
      </c>
      <c r="F20" s="114">
        <v>4821.5600000000004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2620</v>
      </c>
      <c r="C21" s="62" t="s">
        <v>36</v>
      </c>
      <c r="D21" s="62" t="s">
        <v>19</v>
      </c>
      <c r="E21" s="62" t="s">
        <v>2278</v>
      </c>
      <c r="F21" s="114">
        <v>7831.81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2621</v>
      </c>
      <c r="C22" s="62" t="s">
        <v>38</v>
      </c>
      <c r="D22" s="62" t="s">
        <v>2276</v>
      </c>
      <c r="E22" s="62" t="s">
        <v>235</v>
      </c>
      <c r="F22" s="114">
        <v>6065104.9900000002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2622</v>
      </c>
      <c r="C23" s="62" t="s">
        <v>41</v>
      </c>
      <c r="D23" s="62" t="s">
        <v>2276</v>
      </c>
      <c r="E23" s="62" t="s">
        <v>235</v>
      </c>
      <c r="F23" s="114">
        <v>1788232.6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2623</v>
      </c>
      <c r="C24" s="62" t="s">
        <v>44</v>
      </c>
      <c r="D24" s="62" t="s">
        <v>2279</v>
      </c>
      <c r="E24" s="62" t="s">
        <v>42</v>
      </c>
      <c r="F24" s="62">
        <v>99.700400000000002</v>
      </c>
      <c r="G24" s="62">
        <v>100.1135</v>
      </c>
      <c r="H24" s="62" t="s">
        <v>2624</v>
      </c>
      <c r="I24" s="62" t="s">
        <v>2625</v>
      </c>
      <c r="J24" s="62" t="s">
        <v>269</v>
      </c>
    </row>
    <row r="25" spans="1:10" ht="15" x14ac:dyDescent="0.25">
      <c r="A25" s="40">
        <v>21</v>
      </c>
      <c r="B25" s="62" t="s">
        <v>2626</v>
      </c>
      <c r="C25" s="62" t="s">
        <v>2004</v>
      </c>
      <c r="D25" s="62" t="s">
        <v>2279</v>
      </c>
      <c r="E25" s="62" t="s">
        <v>42</v>
      </c>
      <c r="F25" s="62">
        <v>100</v>
      </c>
      <c r="G25" s="62">
        <v>102.3151</v>
      </c>
      <c r="H25" s="62" t="s">
        <v>2530</v>
      </c>
      <c r="I25" s="62" t="s">
        <v>2627</v>
      </c>
      <c r="J25" s="62" t="s">
        <v>269</v>
      </c>
    </row>
    <row r="26" spans="1:10" ht="15" x14ac:dyDescent="0.25">
      <c r="A26" s="40">
        <v>22</v>
      </c>
      <c r="B26" s="62" t="s">
        <v>2628</v>
      </c>
      <c r="C26" s="62" t="s">
        <v>2055</v>
      </c>
      <c r="D26" s="62" t="s">
        <v>2279</v>
      </c>
      <c r="E26" s="62" t="s">
        <v>42</v>
      </c>
      <c r="F26" s="62">
        <v>100</v>
      </c>
      <c r="G26" s="62">
        <v>100.911</v>
      </c>
      <c r="H26" s="62" t="s">
        <v>2531</v>
      </c>
      <c r="I26" s="62" t="s">
        <v>2629</v>
      </c>
      <c r="J26" s="62" t="s">
        <v>269</v>
      </c>
    </row>
    <row r="27" spans="1:10" ht="15" x14ac:dyDescent="0.25">
      <c r="A27" s="40">
        <v>23</v>
      </c>
      <c r="B27" s="62" t="s">
        <v>2630</v>
      </c>
      <c r="C27" s="62" t="s">
        <v>49</v>
      </c>
      <c r="D27" s="62" t="s">
        <v>2276</v>
      </c>
      <c r="E27" s="62" t="s">
        <v>2280</v>
      </c>
      <c r="F27" s="62">
        <v>168.53</v>
      </c>
      <c r="G27" s="62" t="s">
        <v>339</v>
      </c>
      <c r="H27" s="62" t="s">
        <v>339</v>
      </c>
      <c r="I27" s="62" t="s">
        <v>339</v>
      </c>
      <c r="J27" s="62" t="s">
        <v>1963</v>
      </c>
    </row>
    <row r="28" spans="1:10" ht="15" x14ac:dyDescent="0.25">
      <c r="A28" s="40">
        <v>24</v>
      </c>
      <c r="B28" s="62" t="s">
        <v>2631</v>
      </c>
      <c r="C28" s="62" t="s">
        <v>46</v>
      </c>
      <c r="D28" s="62" t="s">
        <v>2276</v>
      </c>
      <c r="E28" s="62" t="s">
        <v>2280</v>
      </c>
      <c r="F28" s="114">
        <v>5523.73</v>
      </c>
      <c r="G28" s="62" t="s">
        <v>339</v>
      </c>
      <c r="H28" s="62" t="s">
        <v>339</v>
      </c>
      <c r="I28" s="62" t="s">
        <v>339</v>
      </c>
      <c r="J28" s="62" t="s">
        <v>238</v>
      </c>
    </row>
    <row r="29" spans="1:10" ht="15" x14ac:dyDescent="0.25">
      <c r="A29" s="40">
        <v>25</v>
      </c>
      <c r="B29" s="62" t="s">
        <v>2632</v>
      </c>
      <c r="C29" s="62" t="s">
        <v>2012</v>
      </c>
      <c r="D29" s="62" t="s">
        <v>2275</v>
      </c>
      <c r="E29" s="62" t="s">
        <v>2492</v>
      </c>
      <c r="F29" s="62">
        <v>99.744600000000005</v>
      </c>
      <c r="G29" s="62">
        <v>102.215</v>
      </c>
      <c r="H29" s="62" t="s">
        <v>2532</v>
      </c>
      <c r="I29" s="62" t="s">
        <v>2633</v>
      </c>
      <c r="J29" s="62" t="s">
        <v>269</v>
      </c>
    </row>
    <row r="30" spans="1:10" ht="15" x14ac:dyDescent="0.25">
      <c r="A30" s="40">
        <v>26</v>
      </c>
      <c r="B30" s="62" t="s">
        <v>2634</v>
      </c>
      <c r="C30" s="62" t="s">
        <v>56</v>
      </c>
      <c r="D30" s="62" t="s">
        <v>2276</v>
      </c>
      <c r="E30" s="62" t="s">
        <v>2281</v>
      </c>
      <c r="F30" s="114">
        <v>53628.79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2635</v>
      </c>
      <c r="C31" s="62" t="s">
        <v>58</v>
      </c>
      <c r="D31" s="62" t="s">
        <v>2276</v>
      </c>
      <c r="E31" s="62" t="s">
        <v>2281</v>
      </c>
      <c r="F31" s="114">
        <v>75161.850000000006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2636</v>
      </c>
      <c r="C32" s="62" t="s">
        <v>60</v>
      </c>
      <c r="D32" s="62" t="s">
        <v>2276</v>
      </c>
      <c r="E32" s="62" t="s">
        <v>2281</v>
      </c>
      <c r="F32" s="114">
        <v>74280.289999999994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2637</v>
      </c>
      <c r="C33" s="62" t="s">
        <v>62</v>
      </c>
      <c r="D33" s="62" t="s">
        <v>2276</v>
      </c>
      <c r="E33" s="62" t="s">
        <v>2281</v>
      </c>
      <c r="F33" s="114">
        <v>591846.63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2638</v>
      </c>
      <c r="C34" s="62" t="s">
        <v>64</v>
      </c>
      <c r="D34" s="62" t="s">
        <v>19</v>
      </c>
      <c r="E34" s="62" t="s">
        <v>2282</v>
      </c>
      <c r="F34" s="62">
        <v>356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2639</v>
      </c>
      <c r="C35" s="62" t="s">
        <v>436</v>
      </c>
      <c r="D35" s="62" t="s">
        <v>2275</v>
      </c>
      <c r="E35" s="62" t="s">
        <v>2282</v>
      </c>
      <c r="F35" s="62">
        <v>98.645700000000005</v>
      </c>
      <c r="G35" s="62">
        <v>105.0517</v>
      </c>
      <c r="H35" s="62" t="s">
        <v>2640</v>
      </c>
      <c r="I35" s="62" t="s">
        <v>2641</v>
      </c>
      <c r="J35" s="62" t="s">
        <v>269</v>
      </c>
    </row>
    <row r="36" spans="1:10" ht="15" x14ac:dyDescent="0.25">
      <c r="A36" s="40">
        <v>32</v>
      </c>
      <c r="B36" s="62" t="s">
        <v>2642</v>
      </c>
      <c r="C36" s="62" t="s">
        <v>366</v>
      </c>
      <c r="D36" s="62" t="s">
        <v>2273</v>
      </c>
      <c r="E36" s="62" t="s">
        <v>2282</v>
      </c>
      <c r="F36" s="62">
        <v>26.82</v>
      </c>
      <c r="G36" s="62" t="s">
        <v>339</v>
      </c>
      <c r="H36" s="62" t="s">
        <v>339</v>
      </c>
      <c r="I36" s="62" t="s">
        <v>339</v>
      </c>
      <c r="J36" s="62" t="s">
        <v>1963</v>
      </c>
    </row>
    <row r="37" spans="1:10" ht="15" x14ac:dyDescent="0.25">
      <c r="A37" s="40">
        <v>33</v>
      </c>
      <c r="B37" s="62" t="s">
        <v>2643</v>
      </c>
      <c r="C37" s="62" t="s">
        <v>67</v>
      </c>
      <c r="D37" s="62" t="s">
        <v>19</v>
      </c>
      <c r="E37" s="62" t="s">
        <v>2283</v>
      </c>
      <c r="F37" s="114">
        <v>9490.25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2644</v>
      </c>
      <c r="C38" s="62" t="s">
        <v>2173</v>
      </c>
      <c r="D38" s="62" t="s">
        <v>2275</v>
      </c>
      <c r="E38" s="62" t="s">
        <v>2508</v>
      </c>
      <c r="F38" s="62">
        <v>100.9808</v>
      </c>
      <c r="G38" s="62">
        <v>103.43640000000001</v>
      </c>
      <c r="H38" s="62" t="s">
        <v>2533</v>
      </c>
      <c r="I38" s="62" t="s">
        <v>2645</v>
      </c>
      <c r="J38" s="62" t="s">
        <v>269</v>
      </c>
    </row>
    <row r="39" spans="1:10" ht="15" x14ac:dyDescent="0.25">
      <c r="A39" s="40">
        <v>35</v>
      </c>
      <c r="B39" s="62" t="s">
        <v>2646</v>
      </c>
      <c r="C39" s="62" t="s">
        <v>80</v>
      </c>
      <c r="D39" s="62" t="s">
        <v>19</v>
      </c>
      <c r="E39" s="62" t="s">
        <v>2284</v>
      </c>
      <c r="F39" s="114">
        <v>3335.45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2647</v>
      </c>
      <c r="C40" s="62" t="s">
        <v>83</v>
      </c>
      <c r="D40" s="62" t="s">
        <v>19</v>
      </c>
      <c r="E40" s="62" t="s">
        <v>2285</v>
      </c>
      <c r="F40" s="114">
        <v>1478.92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2648</v>
      </c>
      <c r="C41" s="62" t="s">
        <v>86</v>
      </c>
      <c r="D41" s="62" t="s">
        <v>19</v>
      </c>
      <c r="E41" s="62" t="s">
        <v>2286</v>
      </c>
      <c r="F41" s="114">
        <v>21989.759999999998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2649</v>
      </c>
      <c r="C42" s="62" t="s">
        <v>89</v>
      </c>
      <c r="D42" s="62" t="s">
        <v>2275</v>
      </c>
      <c r="E42" s="62" t="s">
        <v>2286</v>
      </c>
      <c r="F42" s="62">
        <v>93.843800000000002</v>
      </c>
      <c r="G42" s="62">
        <v>96.670900000000003</v>
      </c>
      <c r="H42" s="62" t="s">
        <v>2534</v>
      </c>
      <c r="I42" s="62" t="s">
        <v>2650</v>
      </c>
      <c r="J42" s="62" t="s">
        <v>269</v>
      </c>
    </row>
    <row r="43" spans="1:10" ht="15" x14ac:dyDescent="0.25">
      <c r="A43" s="40">
        <v>39</v>
      </c>
      <c r="B43" s="62" t="s">
        <v>2651</v>
      </c>
      <c r="C43" s="62" t="s">
        <v>93</v>
      </c>
      <c r="D43" s="62" t="s">
        <v>2275</v>
      </c>
      <c r="E43" s="62" t="s">
        <v>2286</v>
      </c>
      <c r="F43" s="62">
        <v>99.972800000000007</v>
      </c>
      <c r="G43" s="62">
        <v>103.01860000000001</v>
      </c>
      <c r="H43" s="62" t="s">
        <v>2535</v>
      </c>
      <c r="I43" s="62" t="s">
        <v>2652</v>
      </c>
      <c r="J43" s="62" t="s">
        <v>269</v>
      </c>
    </row>
    <row r="44" spans="1:10" ht="15" x14ac:dyDescent="0.25">
      <c r="A44" s="40">
        <v>40</v>
      </c>
      <c r="B44" s="62" t="s">
        <v>2653</v>
      </c>
      <c r="C44" s="62" t="s">
        <v>97</v>
      </c>
      <c r="D44" s="62" t="s">
        <v>19</v>
      </c>
      <c r="E44" s="62" t="s">
        <v>2287</v>
      </c>
      <c r="F44" s="114">
        <v>43264.77</v>
      </c>
      <c r="G44" s="62" t="s">
        <v>339</v>
      </c>
      <c r="H44" s="62" t="s">
        <v>339</v>
      </c>
      <c r="I44" s="62" t="s">
        <v>339</v>
      </c>
      <c r="J44" s="62" t="s">
        <v>238</v>
      </c>
    </row>
    <row r="45" spans="1:10" ht="15" x14ac:dyDescent="0.25">
      <c r="A45" s="40">
        <v>41</v>
      </c>
      <c r="B45" s="62" t="s">
        <v>2654</v>
      </c>
      <c r="C45" s="62" t="s">
        <v>100</v>
      </c>
      <c r="D45" s="62" t="s">
        <v>2273</v>
      </c>
      <c r="E45" s="62" t="s">
        <v>2287</v>
      </c>
      <c r="F45" s="62">
        <v>77.56</v>
      </c>
      <c r="G45" s="62" t="s">
        <v>339</v>
      </c>
      <c r="H45" s="62" t="s">
        <v>339</v>
      </c>
      <c r="I45" s="62" t="s">
        <v>339</v>
      </c>
      <c r="J45" s="62" t="s">
        <v>1963</v>
      </c>
    </row>
    <row r="46" spans="1:10" ht="15" x14ac:dyDescent="0.25">
      <c r="A46" s="40">
        <v>42</v>
      </c>
      <c r="B46" s="62" t="s">
        <v>2655</v>
      </c>
      <c r="C46" s="62" t="s">
        <v>102</v>
      </c>
      <c r="D46" s="62" t="s">
        <v>19</v>
      </c>
      <c r="E46" s="62" t="s">
        <v>2288</v>
      </c>
      <c r="F46" s="114">
        <v>29950.54</v>
      </c>
      <c r="G46" s="62" t="s">
        <v>339</v>
      </c>
      <c r="H46" s="62" t="s">
        <v>339</v>
      </c>
      <c r="I46" s="62" t="s">
        <v>339</v>
      </c>
      <c r="J46" s="62" t="s">
        <v>238</v>
      </c>
    </row>
    <row r="47" spans="1:10" ht="15" x14ac:dyDescent="0.25">
      <c r="A47" s="40">
        <v>43</v>
      </c>
      <c r="B47" s="62" t="s">
        <v>2656</v>
      </c>
      <c r="C47" s="62" t="s">
        <v>2038</v>
      </c>
      <c r="D47" s="62" t="s">
        <v>2275</v>
      </c>
      <c r="E47" s="62" t="s">
        <v>2289</v>
      </c>
      <c r="F47" s="62">
        <v>106.5783</v>
      </c>
      <c r="G47" s="62">
        <v>108.3505</v>
      </c>
      <c r="H47" s="62" t="s">
        <v>2536</v>
      </c>
      <c r="I47" s="62" t="s">
        <v>2657</v>
      </c>
      <c r="J47" s="62" t="s">
        <v>269</v>
      </c>
    </row>
    <row r="48" spans="1:10" ht="15" x14ac:dyDescent="0.25">
      <c r="A48" s="40">
        <v>44</v>
      </c>
      <c r="B48" s="62" t="s">
        <v>2658</v>
      </c>
      <c r="C48" s="62" t="s">
        <v>104</v>
      </c>
      <c r="D48" s="62" t="s">
        <v>19</v>
      </c>
      <c r="E48" s="62" t="s">
        <v>2290</v>
      </c>
      <c r="F48" s="114">
        <v>39541.67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2659</v>
      </c>
      <c r="C49" s="62" t="s">
        <v>107</v>
      </c>
      <c r="D49" s="62" t="s">
        <v>19</v>
      </c>
      <c r="E49" s="62" t="s">
        <v>2290</v>
      </c>
      <c r="F49" s="114">
        <v>30763.81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2660</v>
      </c>
      <c r="C50" s="62" t="s">
        <v>109</v>
      </c>
      <c r="D50" s="62" t="s">
        <v>19</v>
      </c>
      <c r="E50" s="62" t="s">
        <v>2291</v>
      </c>
      <c r="F50" s="62">
        <v>853.77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2661</v>
      </c>
      <c r="C51" s="62" t="s">
        <v>1251</v>
      </c>
      <c r="D51" s="62" t="s">
        <v>2292</v>
      </c>
      <c r="E51" s="62" t="s">
        <v>2293</v>
      </c>
      <c r="F51" s="62">
        <v>98.625</v>
      </c>
      <c r="G51" s="62">
        <v>98.716700000000003</v>
      </c>
      <c r="H51" s="62" t="s">
        <v>2537</v>
      </c>
      <c r="I51" s="62" t="s">
        <v>2662</v>
      </c>
      <c r="J51" s="62" t="s">
        <v>269</v>
      </c>
    </row>
    <row r="52" spans="1:10" ht="15" x14ac:dyDescent="0.25">
      <c r="A52" s="40">
        <v>48</v>
      </c>
      <c r="B52" s="62" t="s">
        <v>2663</v>
      </c>
      <c r="C52" s="62" t="s">
        <v>1341</v>
      </c>
      <c r="D52" s="62" t="s">
        <v>2275</v>
      </c>
      <c r="E52" s="62" t="s">
        <v>2509</v>
      </c>
      <c r="F52" s="62">
        <v>99.9863</v>
      </c>
      <c r="G52" s="62">
        <v>104.9432</v>
      </c>
      <c r="H52" s="62" t="s">
        <v>2538</v>
      </c>
      <c r="I52" s="62" t="s">
        <v>2664</v>
      </c>
      <c r="J52" s="62" t="s">
        <v>269</v>
      </c>
    </row>
    <row r="53" spans="1:10" ht="15" x14ac:dyDescent="0.25">
      <c r="A53" s="40">
        <v>49</v>
      </c>
      <c r="B53" s="62" t="s">
        <v>2665</v>
      </c>
      <c r="C53" s="62" t="s">
        <v>2209</v>
      </c>
      <c r="D53" s="62" t="s">
        <v>2275</v>
      </c>
      <c r="E53" s="62" t="s">
        <v>2509</v>
      </c>
      <c r="F53" s="62">
        <v>98.580200000000005</v>
      </c>
      <c r="G53" s="62">
        <v>99.746899999999997</v>
      </c>
      <c r="H53" s="62" t="s">
        <v>2539</v>
      </c>
      <c r="I53" s="62" t="s">
        <v>2666</v>
      </c>
      <c r="J53" s="62" t="s">
        <v>269</v>
      </c>
    </row>
    <row r="54" spans="1:10" ht="15" x14ac:dyDescent="0.25">
      <c r="A54" s="40">
        <v>50</v>
      </c>
      <c r="B54" s="62" t="s">
        <v>2667</v>
      </c>
      <c r="C54" s="62" t="s">
        <v>1346</v>
      </c>
      <c r="D54" s="62" t="s">
        <v>2275</v>
      </c>
      <c r="E54" s="62" t="s">
        <v>2540</v>
      </c>
      <c r="F54" s="62">
        <v>99.007499999999993</v>
      </c>
      <c r="G54" s="62">
        <v>102.49079999999999</v>
      </c>
      <c r="H54" s="62" t="s">
        <v>2541</v>
      </c>
      <c r="I54" s="62" t="s">
        <v>2668</v>
      </c>
      <c r="J54" s="62" t="s">
        <v>269</v>
      </c>
    </row>
    <row r="55" spans="1:10" ht="15" x14ac:dyDescent="0.25">
      <c r="A55" s="40">
        <v>51</v>
      </c>
      <c r="B55" s="62" t="s">
        <v>2542</v>
      </c>
      <c r="C55" s="62" t="s">
        <v>1372</v>
      </c>
      <c r="D55" s="62" t="s">
        <v>2275</v>
      </c>
      <c r="E55" s="62" t="s">
        <v>2493</v>
      </c>
      <c r="F55" s="62">
        <v>98.655600000000007</v>
      </c>
      <c r="G55" s="62">
        <v>106.0445</v>
      </c>
      <c r="H55" s="62" t="s">
        <v>2669</v>
      </c>
      <c r="I55" s="62" t="s">
        <v>2670</v>
      </c>
      <c r="J55" s="62" t="s">
        <v>269</v>
      </c>
    </row>
    <row r="56" spans="1:10" ht="15" x14ac:dyDescent="0.25">
      <c r="A56" s="40">
        <v>52</v>
      </c>
      <c r="B56" s="62" t="s">
        <v>2543</v>
      </c>
      <c r="C56" s="62" t="s">
        <v>2126</v>
      </c>
      <c r="D56" s="62" t="s">
        <v>2275</v>
      </c>
      <c r="E56" s="62" t="s">
        <v>2294</v>
      </c>
      <c r="F56" s="62">
        <v>82.549000000000007</v>
      </c>
      <c r="G56" s="62">
        <v>82.549000000000007</v>
      </c>
      <c r="H56" s="62" t="s">
        <v>2671</v>
      </c>
      <c r="I56" s="62" t="s">
        <v>2672</v>
      </c>
      <c r="J56" s="62" t="s">
        <v>269</v>
      </c>
    </row>
    <row r="57" spans="1:10" ht="15" x14ac:dyDescent="0.25">
      <c r="A57" s="40">
        <v>53</v>
      </c>
      <c r="B57" s="62" t="s">
        <v>2544</v>
      </c>
      <c r="C57" s="62" t="s">
        <v>2185</v>
      </c>
      <c r="D57" s="62" t="s">
        <v>2275</v>
      </c>
      <c r="E57" s="62" t="s">
        <v>2294</v>
      </c>
      <c r="F57" s="62">
        <v>99.249499999999998</v>
      </c>
      <c r="G57" s="62">
        <v>100.10509999999999</v>
      </c>
      <c r="H57" s="62" t="s">
        <v>2545</v>
      </c>
      <c r="I57" s="62" t="s">
        <v>2673</v>
      </c>
      <c r="J57" s="62" t="s">
        <v>269</v>
      </c>
    </row>
    <row r="58" spans="1:10" ht="15" x14ac:dyDescent="0.25">
      <c r="A58" s="40">
        <v>54</v>
      </c>
      <c r="B58" s="62" t="s">
        <v>2547</v>
      </c>
      <c r="C58" s="62" t="s">
        <v>2187</v>
      </c>
      <c r="D58" s="62" t="s">
        <v>2275</v>
      </c>
      <c r="E58" s="62" t="s">
        <v>2294</v>
      </c>
      <c r="F58" s="62">
        <v>99.367099999999994</v>
      </c>
      <c r="G58" s="62">
        <v>99.672700000000006</v>
      </c>
      <c r="H58" s="62" t="s">
        <v>2548</v>
      </c>
      <c r="I58" s="62" t="s">
        <v>2674</v>
      </c>
      <c r="J58" s="62" t="s">
        <v>269</v>
      </c>
    </row>
    <row r="59" spans="1:10" ht="15" x14ac:dyDescent="0.25">
      <c r="A59" s="40">
        <v>55</v>
      </c>
      <c r="B59" s="62" t="s">
        <v>2549</v>
      </c>
      <c r="C59" s="62" t="s">
        <v>2189</v>
      </c>
      <c r="D59" s="62" t="s">
        <v>2275</v>
      </c>
      <c r="E59" s="62" t="s">
        <v>2294</v>
      </c>
      <c r="F59" s="62">
        <v>99.998900000000006</v>
      </c>
      <c r="G59" s="62">
        <v>100.43219999999999</v>
      </c>
      <c r="H59" s="62" t="s">
        <v>2675</v>
      </c>
      <c r="I59" s="62" t="s">
        <v>2546</v>
      </c>
      <c r="J59" s="62" t="s">
        <v>269</v>
      </c>
    </row>
    <row r="60" spans="1:10" ht="15" x14ac:dyDescent="0.25">
      <c r="A60" s="40">
        <v>56</v>
      </c>
      <c r="B60" s="62" t="s">
        <v>2676</v>
      </c>
      <c r="C60" s="62" t="s">
        <v>114</v>
      </c>
      <c r="D60" s="62" t="s">
        <v>2275</v>
      </c>
      <c r="E60" s="62" t="s">
        <v>2295</v>
      </c>
      <c r="F60" s="62">
        <v>99.736800000000002</v>
      </c>
      <c r="G60" s="62">
        <v>99.866200000000006</v>
      </c>
      <c r="H60" s="62" t="s">
        <v>2677</v>
      </c>
      <c r="I60" s="62" t="s">
        <v>2583</v>
      </c>
      <c r="J60" s="62" t="s">
        <v>269</v>
      </c>
    </row>
    <row r="61" spans="1:10" ht="15" x14ac:dyDescent="0.25">
      <c r="A61" s="40">
        <v>57</v>
      </c>
      <c r="B61" s="62" t="s">
        <v>2678</v>
      </c>
      <c r="C61" s="62" t="s">
        <v>116</v>
      </c>
      <c r="D61" s="62" t="s">
        <v>2275</v>
      </c>
      <c r="E61" s="62" t="s">
        <v>2295</v>
      </c>
      <c r="F61" s="62">
        <v>98.954700000000003</v>
      </c>
      <c r="G61" s="62">
        <v>100.0658</v>
      </c>
      <c r="H61" s="62" t="s">
        <v>2679</v>
      </c>
      <c r="I61" s="62" t="s">
        <v>2680</v>
      </c>
      <c r="J61" s="62" t="s">
        <v>269</v>
      </c>
    </row>
    <row r="62" spans="1:10" ht="15" x14ac:dyDescent="0.25">
      <c r="A62" s="40">
        <v>58</v>
      </c>
      <c r="B62" s="62" t="s">
        <v>2681</v>
      </c>
      <c r="C62" s="62" t="s">
        <v>353</v>
      </c>
      <c r="D62" s="62" t="s">
        <v>2275</v>
      </c>
      <c r="E62" s="62" t="s">
        <v>2295</v>
      </c>
      <c r="F62" s="62">
        <v>99.924300000000002</v>
      </c>
      <c r="G62" s="62">
        <v>99.987200000000001</v>
      </c>
      <c r="H62" s="62" t="s">
        <v>2682</v>
      </c>
      <c r="I62" s="62" t="s">
        <v>2683</v>
      </c>
      <c r="J62" s="62" t="s">
        <v>269</v>
      </c>
    </row>
    <row r="63" spans="1:10" ht="15" x14ac:dyDescent="0.25">
      <c r="A63" s="40">
        <v>59</v>
      </c>
      <c r="B63" s="62" t="s">
        <v>2684</v>
      </c>
      <c r="C63" s="62" t="s">
        <v>1385</v>
      </c>
      <c r="D63" s="62" t="s">
        <v>2275</v>
      </c>
      <c r="E63" s="62" t="s">
        <v>2295</v>
      </c>
      <c r="F63" s="62">
        <v>96.6203</v>
      </c>
      <c r="G63" s="62">
        <v>97.570300000000003</v>
      </c>
      <c r="H63" s="62" t="s">
        <v>2685</v>
      </c>
      <c r="I63" s="62" t="s">
        <v>2686</v>
      </c>
      <c r="J63" s="62" t="s">
        <v>269</v>
      </c>
    </row>
    <row r="64" spans="1:10" ht="15" x14ac:dyDescent="0.25">
      <c r="A64" s="40">
        <v>60</v>
      </c>
      <c r="B64" s="62" t="s">
        <v>2687</v>
      </c>
      <c r="C64" s="62" t="s">
        <v>386</v>
      </c>
      <c r="D64" s="62" t="s">
        <v>2275</v>
      </c>
      <c r="E64" s="62" t="s">
        <v>2295</v>
      </c>
      <c r="F64" s="62">
        <v>96.3977</v>
      </c>
      <c r="G64" s="62">
        <v>97.717100000000002</v>
      </c>
      <c r="H64" s="62" t="s">
        <v>2541</v>
      </c>
      <c r="I64" s="62" t="s">
        <v>2688</v>
      </c>
      <c r="J64" s="62" t="s">
        <v>269</v>
      </c>
    </row>
    <row r="65" spans="1:10" ht="15" x14ac:dyDescent="0.25">
      <c r="A65" s="40">
        <v>61</v>
      </c>
      <c r="B65" s="62" t="s">
        <v>2689</v>
      </c>
      <c r="C65" s="62" t="s">
        <v>2026</v>
      </c>
      <c r="D65" s="62" t="s">
        <v>2275</v>
      </c>
      <c r="E65" s="62" t="s">
        <v>2295</v>
      </c>
      <c r="F65" s="62">
        <v>98.961799999999997</v>
      </c>
      <c r="G65" s="62">
        <v>99.195099999999996</v>
      </c>
      <c r="H65" s="62" t="s">
        <v>2690</v>
      </c>
      <c r="I65" s="62" t="s">
        <v>2691</v>
      </c>
      <c r="J65" s="62" t="s">
        <v>269</v>
      </c>
    </row>
    <row r="66" spans="1:10" ht="15" x14ac:dyDescent="0.25">
      <c r="A66" s="40">
        <v>62</v>
      </c>
      <c r="B66" s="62" t="s">
        <v>2692</v>
      </c>
      <c r="C66" s="62" t="s">
        <v>2062</v>
      </c>
      <c r="D66" s="62" t="s">
        <v>2275</v>
      </c>
      <c r="E66" s="62" t="s">
        <v>2295</v>
      </c>
      <c r="F66" s="62">
        <v>101.1041</v>
      </c>
      <c r="G66" s="62">
        <v>102.1041</v>
      </c>
      <c r="H66" s="62" t="s">
        <v>2693</v>
      </c>
      <c r="I66" s="62" t="s">
        <v>2694</v>
      </c>
      <c r="J66" s="62" t="s">
        <v>269</v>
      </c>
    </row>
    <row r="67" spans="1:10" ht="15" x14ac:dyDescent="0.25">
      <c r="A67" s="40">
        <v>63</v>
      </c>
      <c r="B67" s="62" t="s">
        <v>2695</v>
      </c>
      <c r="C67" s="62" t="s">
        <v>2064</v>
      </c>
      <c r="D67" s="62" t="s">
        <v>2275</v>
      </c>
      <c r="E67" s="62" t="s">
        <v>2295</v>
      </c>
      <c r="F67" s="62">
        <v>80.305000000000007</v>
      </c>
      <c r="G67" s="62">
        <v>81.873699999999999</v>
      </c>
      <c r="H67" s="62" t="s">
        <v>2551</v>
      </c>
      <c r="I67" s="62" t="s">
        <v>2696</v>
      </c>
      <c r="J67" s="62" t="s">
        <v>269</v>
      </c>
    </row>
    <row r="68" spans="1:10" ht="15" x14ac:dyDescent="0.25">
      <c r="A68" s="40">
        <v>64</v>
      </c>
      <c r="B68" s="62" t="s">
        <v>2697</v>
      </c>
      <c r="C68" s="62" t="s">
        <v>1387</v>
      </c>
      <c r="D68" s="62" t="s">
        <v>2275</v>
      </c>
      <c r="E68" s="62" t="s">
        <v>2296</v>
      </c>
      <c r="F68" s="62">
        <v>76.885000000000005</v>
      </c>
      <c r="G68" s="62">
        <v>77.523899999999998</v>
      </c>
      <c r="H68" s="62" t="s">
        <v>2698</v>
      </c>
      <c r="I68" s="62" t="s">
        <v>2699</v>
      </c>
      <c r="J68" s="62" t="s">
        <v>269</v>
      </c>
    </row>
    <row r="69" spans="1:10" ht="15" x14ac:dyDescent="0.25">
      <c r="A69" s="40">
        <v>65</v>
      </c>
      <c r="B69" s="62" t="s">
        <v>2700</v>
      </c>
      <c r="C69" s="62" t="s">
        <v>381</v>
      </c>
      <c r="D69" s="62" t="s">
        <v>2275</v>
      </c>
      <c r="E69" s="62" t="s">
        <v>2296</v>
      </c>
      <c r="F69" s="62">
        <v>81.979100000000003</v>
      </c>
      <c r="G69" s="62">
        <v>83.554100000000005</v>
      </c>
      <c r="H69" s="62" t="s">
        <v>2552</v>
      </c>
      <c r="I69" s="62" t="s">
        <v>2701</v>
      </c>
      <c r="J69" s="62" t="s">
        <v>269</v>
      </c>
    </row>
    <row r="70" spans="1:10" ht="15" x14ac:dyDescent="0.25">
      <c r="A70" s="40">
        <v>66</v>
      </c>
      <c r="B70" s="62" t="s">
        <v>2702</v>
      </c>
      <c r="C70" s="62" t="s">
        <v>390</v>
      </c>
      <c r="D70" s="62" t="s">
        <v>2275</v>
      </c>
      <c r="E70" s="62" t="s">
        <v>2296</v>
      </c>
      <c r="F70" s="62">
        <v>97.141800000000003</v>
      </c>
      <c r="G70" s="62">
        <v>98.075100000000006</v>
      </c>
      <c r="H70" s="62" t="s">
        <v>2703</v>
      </c>
      <c r="I70" s="62" t="s">
        <v>2704</v>
      </c>
      <c r="J70" s="62" t="s">
        <v>269</v>
      </c>
    </row>
    <row r="71" spans="1:10" ht="15" x14ac:dyDescent="0.25">
      <c r="A71" s="40">
        <v>67</v>
      </c>
      <c r="B71" s="62" t="s">
        <v>2705</v>
      </c>
      <c r="C71" s="62" t="s">
        <v>2057</v>
      </c>
      <c r="D71" s="62" t="s">
        <v>2275</v>
      </c>
      <c r="E71" s="62" t="s">
        <v>2296</v>
      </c>
      <c r="F71" s="62">
        <v>92.68</v>
      </c>
      <c r="G71" s="62">
        <v>93.73</v>
      </c>
      <c r="H71" s="62" t="s">
        <v>2706</v>
      </c>
      <c r="I71" s="62" t="s">
        <v>2707</v>
      </c>
      <c r="J71" s="62" t="s">
        <v>269</v>
      </c>
    </row>
    <row r="72" spans="1:10" ht="15" x14ac:dyDescent="0.25">
      <c r="A72" s="40">
        <v>68</v>
      </c>
      <c r="B72" s="62" t="s">
        <v>2708</v>
      </c>
      <c r="C72" s="62" t="s">
        <v>2214</v>
      </c>
      <c r="D72" s="62" t="s">
        <v>2275</v>
      </c>
      <c r="E72" s="62" t="s">
        <v>2296</v>
      </c>
      <c r="F72" s="62">
        <v>97.013300000000001</v>
      </c>
      <c r="G72" s="62">
        <v>98.18</v>
      </c>
      <c r="H72" s="62" t="s">
        <v>2709</v>
      </c>
      <c r="I72" s="62" t="s">
        <v>2710</v>
      </c>
      <c r="J72" s="62" t="s">
        <v>269</v>
      </c>
    </row>
    <row r="73" spans="1:10" ht="15" x14ac:dyDescent="0.25">
      <c r="A73" s="40">
        <v>69</v>
      </c>
      <c r="B73" s="62" t="s">
        <v>2711</v>
      </c>
      <c r="C73" s="62" t="s">
        <v>1415</v>
      </c>
      <c r="D73" s="62" t="s">
        <v>2275</v>
      </c>
      <c r="E73" s="62" t="s">
        <v>2347</v>
      </c>
      <c r="F73" s="62">
        <v>100.05419999999999</v>
      </c>
      <c r="G73" s="62">
        <v>102.0098</v>
      </c>
      <c r="H73" s="62" t="s">
        <v>2712</v>
      </c>
      <c r="I73" s="62" t="s">
        <v>2713</v>
      </c>
      <c r="J73" s="62" t="s">
        <v>269</v>
      </c>
    </row>
    <row r="74" spans="1:10" ht="15" x14ac:dyDescent="0.25">
      <c r="A74" s="40">
        <v>70</v>
      </c>
      <c r="B74" s="62" t="s">
        <v>2714</v>
      </c>
      <c r="C74" s="62" t="s">
        <v>1418</v>
      </c>
      <c r="D74" s="62" t="s">
        <v>2275</v>
      </c>
      <c r="E74" s="62" t="s">
        <v>2347</v>
      </c>
      <c r="F74" s="62">
        <v>99.302199999999999</v>
      </c>
      <c r="G74" s="62">
        <v>104.2564</v>
      </c>
      <c r="H74" s="62" t="s">
        <v>2554</v>
      </c>
      <c r="I74" s="62" t="s">
        <v>2715</v>
      </c>
      <c r="J74" s="62" t="s">
        <v>269</v>
      </c>
    </row>
    <row r="75" spans="1:10" ht="15" x14ac:dyDescent="0.25">
      <c r="A75" s="40">
        <v>71</v>
      </c>
      <c r="B75" s="62" t="s">
        <v>2716</v>
      </c>
      <c r="C75" s="62" t="s">
        <v>2247</v>
      </c>
      <c r="D75" s="62" t="s">
        <v>2275</v>
      </c>
      <c r="E75" s="62" t="s">
        <v>2347</v>
      </c>
      <c r="F75" s="62">
        <v>98.952299999999994</v>
      </c>
      <c r="G75" s="62">
        <v>99.010599999999997</v>
      </c>
      <c r="H75" s="62" t="s">
        <v>2717</v>
      </c>
      <c r="I75" s="62" t="s">
        <v>2718</v>
      </c>
      <c r="J75" s="62" t="s">
        <v>269</v>
      </c>
    </row>
    <row r="76" spans="1:10" ht="15" x14ac:dyDescent="0.25">
      <c r="A76" s="40">
        <v>72</v>
      </c>
      <c r="B76" s="62" t="s">
        <v>2719</v>
      </c>
      <c r="C76" s="62" t="s">
        <v>2448</v>
      </c>
      <c r="D76" s="62" t="s">
        <v>2275</v>
      </c>
      <c r="E76" s="62" t="s">
        <v>2510</v>
      </c>
      <c r="F76" s="62">
        <v>89.212199999999996</v>
      </c>
      <c r="G76" s="62">
        <v>89.212199999999996</v>
      </c>
      <c r="H76" s="62" t="s">
        <v>339</v>
      </c>
      <c r="I76" s="62" t="s">
        <v>339</v>
      </c>
      <c r="J76" s="62" t="s">
        <v>2511</v>
      </c>
    </row>
    <row r="77" spans="1:10" ht="15" x14ac:dyDescent="0.25">
      <c r="A77" s="40">
        <v>73</v>
      </c>
      <c r="B77" s="62" t="s">
        <v>2720</v>
      </c>
      <c r="C77" s="62" t="s">
        <v>384</v>
      </c>
      <c r="D77" s="62" t="s">
        <v>2292</v>
      </c>
      <c r="E77" s="62" t="s">
        <v>2293</v>
      </c>
      <c r="F77" s="62">
        <v>99.656099999999995</v>
      </c>
      <c r="G77" s="62">
        <v>99.656099999999995</v>
      </c>
      <c r="H77" s="62" t="s">
        <v>2721</v>
      </c>
      <c r="I77" s="62" t="s">
        <v>2722</v>
      </c>
      <c r="J77" s="62" t="s">
        <v>269</v>
      </c>
    </row>
    <row r="78" spans="1:10" ht="15" x14ac:dyDescent="0.25">
      <c r="A78" s="40">
        <v>74</v>
      </c>
      <c r="B78" s="62" t="s">
        <v>2723</v>
      </c>
      <c r="C78" s="62" t="s">
        <v>1984</v>
      </c>
      <c r="D78" s="62" t="s">
        <v>2292</v>
      </c>
      <c r="E78" s="62" t="s">
        <v>2293</v>
      </c>
      <c r="F78" s="62">
        <v>95.256600000000006</v>
      </c>
      <c r="G78" s="62">
        <v>95.256600000000006</v>
      </c>
      <c r="H78" s="62" t="s">
        <v>2724</v>
      </c>
      <c r="I78" s="62" t="s">
        <v>2725</v>
      </c>
      <c r="J78" s="62" t="s">
        <v>269</v>
      </c>
    </row>
    <row r="79" spans="1:10" ht="15" x14ac:dyDescent="0.25">
      <c r="A79" s="40">
        <v>75</v>
      </c>
      <c r="B79" s="62" t="s">
        <v>2726</v>
      </c>
      <c r="C79" s="62" t="s">
        <v>2124</v>
      </c>
      <c r="D79" s="62" t="s">
        <v>2292</v>
      </c>
      <c r="E79" s="62" t="s">
        <v>2293</v>
      </c>
      <c r="F79" s="62">
        <v>91.330600000000004</v>
      </c>
      <c r="G79" s="62">
        <v>91.330600000000004</v>
      </c>
      <c r="H79" s="62" t="s">
        <v>2727</v>
      </c>
      <c r="I79" s="62" t="s">
        <v>2728</v>
      </c>
      <c r="J79" s="62" t="s">
        <v>269</v>
      </c>
    </row>
    <row r="80" spans="1:10" ht="15" x14ac:dyDescent="0.25">
      <c r="A80" s="40">
        <v>76</v>
      </c>
      <c r="B80" s="62" t="s">
        <v>2729</v>
      </c>
      <c r="C80" s="62" t="s">
        <v>4</v>
      </c>
      <c r="D80" s="62" t="s">
        <v>2292</v>
      </c>
      <c r="E80" s="62" t="s">
        <v>2293</v>
      </c>
      <c r="F80" s="62">
        <v>98.511399999999995</v>
      </c>
      <c r="G80" s="62">
        <v>101.0307</v>
      </c>
      <c r="H80" s="62" t="s">
        <v>2730</v>
      </c>
      <c r="I80" s="62" t="s">
        <v>2731</v>
      </c>
      <c r="J80" s="62" t="s">
        <v>269</v>
      </c>
    </row>
    <row r="81" spans="1:10" ht="15" x14ac:dyDescent="0.25">
      <c r="A81" s="40">
        <v>77</v>
      </c>
      <c r="B81" s="62" t="s">
        <v>2732</v>
      </c>
      <c r="C81" s="62" t="s">
        <v>119</v>
      </c>
      <c r="D81" s="62" t="s">
        <v>2292</v>
      </c>
      <c r="E81" s="62" t="s">
        <v>2293</v>
      </c>
      <c r="F81" s="62">
        <v>98.343599999999995</v>
      </c>
      <c r="G81" s="62">
        <v>102.62139999999999</v>
      </c>
      <c r="H81" s="62" t="s">
        <v>2733</v>
      </c>
      <c r="I81" s="62" t="s">
        <v>2734</v>
      </c>
      <c r="J81" s="62" t="s">
        <v>269</v>
      </c>
    </row>
    <row r="82" spans="1:10" ht="15" x14ac:dyDescent="0.25">
      <c r="A82" s="40">
        <v>78</v>
      </c>
      <c r="B82" s="62" t="s">
        <v>2735</v>
      </c>
      <c r="C82" s="62" t="s">
        <v>121</v>
      </c>
      <c r="D82" s="62" t="s">
        <v>2292</v>
      </c>
      <c r="E82" s="62" t="s">
        <v>2293</v>
      </c>
      <c r="F82" s="62">
        <v>97.968199999999996</v>
      </c>
      <c r="G82" s="62">
        <v>99.126499999999993</v>
      </c>
      <c r="H82" s="62" t="s">
        <v>2736</v>
      </c>
      <c r="I82" s="62" t="s">
        <v>2737</v>
      </c>
      <c r="J82" s="62" t="s">
        <v>269</v>
      </c>
    </row>
    <row r="83" spans="1:10" ht="15" x14ac:dyDescent="0.25">
      <c r="A83" s="40">
        <v>79</v>
      </c>
      <c r="B83" s="62" t="s">
        <v>2738</v>
      </c>
      <c r="C83" s="62" t="s">
        <v>2329</v>
      </c>
      <c r="D83" s="62" t="s">
        <v>2292</v>
      </c>
      <c r="E83" s="62" t="s">
        <v>2293</v>
      </c>
      <c r="F83" s="62">
        <v>101.6955</v>
      </c>
      <c r="G83" s="62">
        <v>104.9558</v>
      </c>
      <c r="H83" s="62" t="s">
        <v>2739</v>
      </c>
      <c r="I83" s="62" t="s">
        <v>2740</v>
      </c>
      <c r="J83" s="62" t="s">
        <v>269</v>
      </c>
    </row>
    <row r="84" spans="1:10" ht="15" x14ac:dyDescent="0.25">
      <c r="A84" s="40">
        <v>80</v>
      </c>
      <c r="B84" s="62" t="s">
        <v>2741</v>
      </c>
      <c r="C84" s="62" t="s">
        <v>123</v>
      </c>
      <c r="D84" s="62" t="s">
        <v>2292</v>
      </c>
      <c r="E84" s="62" t="s">
        <v>2293</v>
      </c>
      <c r="F84" s="62">
        <v>95.745099999999994</v>
      </c>
      <c r="G84" s="62">
        <v>97.845100000000002</v>
      </c>
      <c r="H84" s="62" t="s">
        <v>2742</v>
      </c>
      <c r="I84" s="62" t="s">
        <v>2743</v>
      </c>
      <c r="J84" s="62" t="s">
        <v>269</v>
      </c>
    </row>
    <row r="85" spans="1:10" ht="15" x14ac:dyDescent="0.25">
      <c r="A85" s="40">
        <v>81</v>
      </c>
      <c r="B85" s="62" t="s">
        <v>2744</v>
      </c>
      <c r="C85" s="62" t="s">
        <v>125</v>
      </c>
      <c r="D85" s="62" t="s">
        <v>2292</v>
      </c>
      <c r="E85" s="62" t="s">
        <v>2293</v>
      </c>
      <c r="F85" s="62">
        <v>98.273499999999999</v>
      </c>
      <c r="G85" s="62">
        <v>104.58410000000001</v>
      </c>
      <c r="H85" s="62" t="s">
        <v>2736</v>
      </c>
      <c r="I85" s="62" t="s">
        <v>2745</v>
      </c>
      <c r="J85" s="62" t="s">
        <v>269</v>
      </c>
    </row>
    <row r="86" spans="1:10" ht="15" x14ac:dyDescent="0.25">
      <c r="A86" s="40">
        <v>82</v>
      </c>
      <c r="B86" s="62" t="s">
        <v>2746</v>
      </c>
      <c r="C86" s="62" t="s">
        <v>2507</v>
      </c>
      <c r="D86" s="62" t="s">
        <v>2292</v>
      </c>
      <c r="E86" s="62" t="s">
        <v>2293</v>
      </c>
      <c r="F86" s="62">
        <v>101.9066</v>
      </c>
      <c r="G86" s="62">
        <v>102.2362</v>
      </c>
      <c r="H86" s="62" t="s">
        <v>2739</v>
      </c>
      <c r="I86" s="62" t="s">
        <v>2747</v>
      </c>
      <c r="J86" s="62" t="s">
        <v>269</v>
      </c>
    </row>
    <row r="87" spans="1:10" ht="15" x14ac:dyDescent="0.25">
      <c r="A87" s="40">
        <v>83</v>
      </c>
      <c r="B87" s="62" t="s">
        <v>2748</v>
      </c>
      <c r="C87" s="62" t="s">
        <v>2302</v>
      </c>
      <c r="D87" s="62" t="s">
        <v>2292</v>
      </c>
      <c r="E87" s="62" t="s">
        <v>2293</v>
      </c>
      <c r="F87" s="62">
        <v>100</v>
      </c>
      <c r="G87" s="62">
        <v>103.61879999999999</v>
      </c>
      <c r="H87" s="62" t="s">
        <v>2749</v>
      </c>
      <c r="I87" s="62" t="s">
        <v>2750</v>
      </c>
      <c r="J87" s="62" t="s">
        <v>269</v>
      </c>
    </row>
    <row r="88" spans="1:10" ht="15" x14ac:dyDescent="0.25">
      <c r="A88" s="40">
        <v>84</v>
      </c>
      <c r="B88" s="62" t="s">
        <v>2751</v>
      </c>
      <c r="C88" s="62" t="s">
        <v>127</v>
      </c>
      <c r="D88" s="62" t="s">
        <v>2292</v>
      </c>
      <c r="E88" s="62" t="s">
        <v>2293</v>
      </c>
      <c r="F88" s="62">
        <v>100</v>
      </c>
      <c r="G88" s="62">
        <v>101.7617</v>
      </c>
      <c r="H88" s="62" t="s">
        <v>2575</v>
      </c>
      <c r="I88" s="62" t="s">
        <v>2752</v>
      </c>
      <c r="J88" s="62" t="s">
        <v>269</v>
      </c>
    </row>
    <row r="89" spans="1:10" ht="15" x14ac:dyDescent="0.25">
      <c r="A89" s="40">
        <v>85</v>
      </c>
      <c r="B89" s="62" t="s">
        <v>2753</v>
      </c>
      <c r="C89" s="62" t="s">
        <v>129</v>
      </c>
      <c r="D89" s="62" t="s">
        <v>2292</v>
      </c>
      <c r="E89" s="62" t="s">
        <v>2293</v>
      </c>
      <c r="F89" s="62">
        <v>100</v>
      </c>
      <c r="G89" s="62">
        <v>100.09610000000001</v>
      </c>
      <c r="H89" s="62" t="s">
        <v>2754</v>
      </c>
      <c r="I89" s="62" t="s">
        <v>2755</v>
      </c>
      <c r="J89" s="62" t="s">
        <v>269</v>
      </c>
    </row>
    <row r="90" spans="1:10" ht="15" x14ac:dyDescent="0.25">
      <c r="A90" s="40">
        <v>86</v>
      </c>
      <c r="B90" s="62" t="s">
        <v>2756</v>
      </c>
      <c r="C90" s="62" t="s">
        <v>131</v>
      </c>
      <c r="D90" s="62" t="s">
        <v>2292</v>
      </c>
      <c r="E90" s="62" t="s">
        <v>2293</v>
      </c>
      <c r="F90" s="62">
        <v>100</v>
      </c>
      <c r="G90" s="62">
        <v>107.19070000000001</v>
      </c>
      <c r="H90" s="62" t="s">
        <v>2757</v>
      </c>
      <c r="I90" s="62" t="s">
        <v>2758</v>
      </c>
      <c r="J90" s="62" t="s">
        <v>269</v>
      </c>
    </row>
    <row r="91" spans="1:10" ht="15" x14ac:dyDescent="0.25">
      <c r="A91" s="40">
        <v>87</v>
      </c>
      <c r="B91" s="62" t="s">
        <v>2759</v>
      </c>
      <c r="C91" s="62" t="s">
        <v>133</v>
      </c>
      <c r="D91" s="62" t="s">
        <v>2292</v>
      </c>
      <c r="E91" s="62" t="s">
        <v>2293</v>
      </c>
      <c r="F91" s="62">
        <v>100</v>
      </c>
      <c r="G91" s="62">
        <v>102.1011</v>
      </c>
      <c r="H91" s="62" t="s">
        <v>2760</v>
      </c>
      <c r="I91" s="62" t="s">
        <v>2761</v>
      </c>
      <c r="J91" s="62" t="s">
        <v>269</v>
      </c>
    </row>
    <row r="92" spans="1:10" ht="15" x14ac:dyDescent="0.25">
      <c r="A92" s="40">
        <v>88</v>
      </c>
      <c r="B92" s="62" t="s">
        <v>2762</v>
      </c>
      <c r="C92" s="62" t="s">
        <v>135</v>
      </c>
      <c r="D92" s="62" t="s">
        <v>2292</v>
      </c>
      <c r="E92" s="62" t="s">
        <v>2293</v>
      </c>
      <c r="F92" s="62">
        <v>100</v>
      </c>
      <c r="G92" s="62">
        <v>104.5702</v>
      </c>
      <c r="H92" s="62" t="s">
        <v>2556</v>
      </c>
      <c r="I92" s="62" t="s">
        <v>2763</v>
      </c>
      <c r="J92" s="62" t="s">
        <v>269</v>
      </c>
    </row>
    <row r="93" spans="1:10" ht="15" x14ac:dyDescent="0.25">
      <c r="A93" s="40">
        <v>89</v>
      </c>
      <c r="B93" s="62" t="s">
        <v>2764</v>
      </c>
      <c r="C93" s="62" t="s">
        <v>282</v>
      </c>
      <c r="D93" s="62" t="s">
        <v>2292</v>
      </c>
      <c r="E93" s="62" t="s">
        <v>2293</v>
      </c>
      <c r="F93" s="62">
        <v>100</v>
      </c>
      <c r="G93" s="62">
        <v>111.5416</v>
      </c>
      <c r="H93" s="62" t="s">
        <v>2557</v>
      </c>
      <c r="I93" s="62" t="s">
        <v>2765</v>
      </c>
      <c r="J93" s="62" t="s">
        <v>269</v>
      </c>
    </row>
    <row r="94" spans="1:10" ht="15" x14ac:dyDescent="0.25">
      <c r="A94" s="40">
        <v>90</v>
      </c>
      <c r="B94" s="62" t="s">
        <v>2766</v>
      </c>
      <c r="C94" s="62" t="s">
        <v>284</v>
      </c>
      <c r="D94" s="62" t="s">
        <v>2292</v>
      </c>
      <c r="E94" s="62" t="s">
        <v>2293</v>
      </c>
      <c r="F94" s="62">
        <v>100</v>
      </c>
      <c r="G94" s="62">
        <v>100.5789</v>
      </c>
      <c r="H94" s="62" t="s">
        <v>2558</v>
      </c>
      <c r="I94" s="62" t="s">
        <v>2767</v>
      </c>
      <c r="J94" s="62" t="s">
        <v>269</v>
      </c>
    </row>
    <row r="95" spans="1:10" ht="15" x14ac:dyDescent="0.25">
      <c r="A95" s="40">
        <v>91</v>
      </c>
      <c r="B95" s="62" t="s">
        <v>2768</v>
      </c>
      <c r="C95" s="62" t="s">
        <v>286</v>
      </c>
      <c r="D95" s="62" t="s">
        <v>2292</v>
      </c>
      <c r="E95" s="62" t="s">
        <v>2293</v>
      </c>
      <c r="F95" s="62">
        <v>100</v>
      </c>
      <c r="G95" s="62">
        <v>107.1276</v>
      </c>
      <c r="H95" s="62" t="s">
        <v>2769</v>
      </c>
      <c r="I95" s="62" t="s">
        <v>2770</v>
      </c>
      <c r="J95" s="62" t="s">
        <v>269</v>
      </c>
    </row>
    <row r="96" spans="1:10" ht="15" x14ac:dyDescent="0.25">
      <c r="A96" s="40">
        <v>92</v>
      </c>
      <c r="B96" s="62" t="s">
        <v>2771</v>
      </c>
      <c r="C96" s="62" t="s">
        <v>288</v>
      </c>
      <c r="D96" s="62" t="s">
        <v>2292</v>
      </c>
      <c r="E96" s="62" t="s">
        <v>2293</v>
      </c>
      <c r="F96" s="62">
        <v>100</v>
      </c>
      <c r="G96" s="62">
        <v>101.7367</v>
      </c>
      <c r="H96" s="62" t="s">
        <v>2559</v>
      </c>
      <c r="I96" s="62" t="s">
        <v>2772</v>
      </c>
      <c r="J96" s="62" t="s">
        <v>269</v>
      </c>
    </row>
    <row r="97" spans="1:10" ht="15" x14ac:dyDescent="0.25">
      <c r="A97" s="40">
        <v>93</v>
      </c>
      <c r="B97" s="62" t="s">
        <v>2773</v>
      </c>
      <c r="C97" s="62" t="s">
        <v>290</v>
      </c>
      <c r="D97" s="62" t="s">
        <v>2292</v>
      </c>
      <c r="E97" s="62" t="s">
        <v>2293</v>
      </c>
      <c r="F97" s="62">
        <v>100</v>
      </c>
      <c r="G97" s="62">
        <v>112.5908</v>
      </c>
      <c r="H97" s="62" t="s">
        <v>2560</v>
      </c>
      <c r="I97" s="62" t="s">
        <v>2774</v>
      </c>
      <c r="J97" s="62" t="s">
        <v>269</v>
      </c>
    </row>
    <row r="98" spans="1:10" ht="15" x14ac:dyDescent="0.25">
      <c r="A98" s="40">
        <v>94</v>
      </c>
      <c r="B98" s="62" t="s">
        <v>2775</v>
      </c>
      <c r="C98" s="62" t="s">
        <v>292</v>
      </c>
      <c r="D98" s="62" t="s">
        <v>2292</v>
      </c>
      <c r="E98" s="62" t="s">
        <v>2293</v>
      </c>
      <c r="F98" s="62">
        <v>100</v>
      </c>
      <c r="G98" s="62">
        <v>111.0385</v>
      </c>
      <c r="H98" s="62" t="s">
        <v>2562</v>
      </c>
      <c r="I98" s="62" t="s">
        <v>2776</v>
      </c>
      <c r="J98" s="62" t="s">
        <v>269</v>
      </c>
    </row>
    <row r="99" spans="1:10" ht="15" x14ac:dyDescent="0.25">
      <c r="A99" s="40">
        <v>95</v>
      </c>
      <c r="B99" s="62" t="s">
        <v>2777</v>
      </c>
      <c r="C99" s="62" t="s">
        <v>294</v>
      </c>
      <c r="D99" s="62" t="s">
        <v>2292</v>
      </c>
      <c r="E99" s="62" t="s">
        <v>2293</v>
      </c>
      <c r="F99" s="62">
        <v>100</v>
      </c>
      <c r="G99" s="62">
        <v>112.5547</v>
      </c>
      <c r="H99" s="62" t="s">
        <v>2560</v>
      </c>
      <c r="I99" s="62" t="s">
        <v>2561</v>
      </c>
      <c r="J99" s="62" t="s">
        <v>269</v>
      </c>
    </row>
    <row r="100" spans="1:10" ht="15" x14ac:dyDescent="0.25">
      <c r="A100" s="40">
        <v>96</v>
      </c>
      <c r="B100" s="62" t="s">
        <v>2778</v>
      </c>
      <c r="C100" s="62" t="s">
        <v>296</v>
      </c>
      <c r="D100" s="62" t="s">
        <v>2292</v>
      </c>
      <c r="E100" s="62" t="s">
        <v>2293</v>
      </c>
      <c r="F100" s="62">
        <v>100</v>
      </c>
      <c r="G100" s="62">
        <v>104.99290000000001</v>
      </c>
      <c r="H100" s="62" t="s">
        <v>2563</v>
      </c>
      <c r="I100" s="62" t="s">
        <v>2779</v>
      </c>
      <c r="J100" s="62" t="s">
        <v>269</v>
      </c>
    </row>
    <row r="101" spans="1:10" ht="15" x14ac:dyDescent="0.25">
      <c r="A101" s="40">
        <v>97</v>
      </c>
      <c r="B101" s="62" t="s">
        <v>2780</v>
      </c>
      <c r="C101" s="62" t="s">
        <v>298</v>
      </c>
      <c r="D101" s="62" t="s">
        <v>2292</v>
      </c>
      <c r="E101" s="62" t="s">
        <v>2293</v>
      </c>
      <c r="F101" s="62">
        <v>100</v>
      </c>
      <c r="G101" s="62">
        <v>108.45189999999999</v>
      </c>
      <c r="H101" s="62" t="s">
        <v>2564</v>
      </c>
      <c r="I101" s="62" t="s">
        <v>2781</v>
      </c>
      <c r="J101" s="62" t="s">
        <v>269</v>
      </c>
    </row>
    <row r="102" spans="1:10" ht="15" x14ac:dyDescent="0.25">
      <c r="A102" s="40">
        <v>98</v>
      </c>
      <c r="B102" s="62" t="s">
        <v>2782</v>
      </c>
      <c r="C102" s="62" t="s">
        <v>300</v>
      </c>
      <c r="D102" s="62" t="s">
        <v>2292</v>
      </c>
      <c r="E102" s="62" t="s">
        <v>2293</v>
      </c>
      <c r="F102" s="62">
        <v>100</v>
      </c>
      <c r="G102" s="62">
        <v>104.99290000000001</v>
      </c>
      <c r="H102" s="62" t="s">
        <v>2563</v>
      </c>
      <c r="I102" s="62" t="s">
        <v>2779</v>
      </c>
      <c r="J102" s="62" t="s">
        <v>269</v>
      </c>
    </row>
    <row r="103" spans="1:10" ht="15" x14ac:dyDescent="0.25">
      <c r="A103" s="40">
        <v>99</v>
      </c>
      <c r="B103" s="62" t="s">
        <v>2783</v>
      </c>
      <c r="C103" s="62" t="s">
        <v>302</v>
      </c>
      <c r="D103" s="62" t="s">
        <v>2292</v>
      </c>
      <c r="E103" s="62" t="s">
        <v>2293</v>
      </c>
      <c r="F103" s="62">
        <v>100</v>
      </c>
      <c r="G103" s="62">
        <v>102.7497</v>
      </c>
      <c r="H103" s="62" t="s">
        <v>2565</v>
      </c>
      <c r="I103" s="62" t="s">
        <v>2784</v>
      </c>
      <c r="J103" s="62" t="s">
        <v>269</v>
      </c>
    </row>
    <row r="104" spans="1:10" ht="15" x14ac:dyDescent="0.25">
      <c r="A104" s="40">
        <v>100</v>
      </c>
      <c r="B104" s="62" t="s">
        <v>2785</v>
      </c>
      <c r="C104" s="62" t="s">
        <v>304</v>
      </c>
      <c r="D104" s="62" t="s">
        <v>2292</v>
      </c>
      <c r="E104" s="62" t="s">
        <v>2293</v>
      </c>
      <c r="F104" s="62">
        <v>100</v>
      </c>
      <c r="G104" s="62">
        <v>106.04219999999999</v>
      </c>
      <c r="H104" s="62" t="s">
        <v>2566</v>
      </c>
      <c r="I104" s="62" t="s">
        <v>2786</v>
      </c>
      <c r="J104" s="62" t="s">
        <v>269</v>
      </c>
    </row>
    <row r="105" spans="1:10" ht="15" x14ac:dyDescent="0.25">
      <c r="A105" s="40">
        <v>101</v>
      </c>
      <c r="B105" s="62" t="s">
        <v>2787</v>
      </c>
      <c r="C105" s="62" t="s">
        <v>306</v>
      </c>
      <c r="D105" s="62" t="s">
        <v>2292</v>
      </c>
      <c r="E105" s="62" t="s">
        <v>2293</v>
      </c>
      <c r="F105" s="62">
        <v>100</v>
      </c>
      <c r="G105" s="62">
        <v>102.7859</v>
      </c>
      <c r="H105" s="62" t="s">
        <v>2567</v>
      </c>
      <c r="I105" s="62" t="s">
        <v>2788</v>
      </c>
      <c r="J105" s="62" t="s">
        <v>269</v>
      </c>
    </row>
    <row r="106" spans="1:10" ht="15" x14ac:dyDescent="0.25">
      <c r="A106" s="40">
        <v>102</v>
      </c>
      <c r="B106" s="62" t="s">
        <v>2789</v>
      </c>
      <c r="C106" s="62" t="s">
        <v>308</v>
      </c>
      <c r="D106" s="62" t="s">
        <v>2292</v>
      </c>
      <c r="E106" s="62" t="s">
        <v>2293</v>
      </c>
      <c r="F106" s="62">
        <v>100</v>
      </c>
      <c r="G106" s="62">
        <v>108.2492</v>
      </c>
      <c r="H106" s="62" t="s">
        <v>2568</v>
      </c>
      <c r="I106" s="62" t="s">
        <v>2790</v>
      </c>
      <c r="J106" s="62" t="s">
        <v>269</v>
      </c>
    </row>
    <row r="107" spans="1:10" ht="15" x14ac:dyDescent="0.25">
      <c r="A107" s="40">
        <v>103</v>
      </c>
      <c r="B107" s="62" t="s">
        <v>2791</v>
      </c>
      <c r="C107" s="62" t="s">
        <v>310</v>
      </c>
      <c r="D107" s="62" t="s">
        <v>2292</v>
      </c>
      <c r="E107" s="62" t="s">
        <v>2293</v>
      </c>
      <c r="F107" s="62">
        <v>100</v>
      </c>
      <c r="G107" s="62">
        <v>103.9075</v>
      </c>
      <c r="H107" s="62" t="s">
        <v>2569</v>
      </c>
      <c r="I107" s="62" t="s">
        <v>2792</v>
      </c>
      <c r="J107" s="62" t="s">
        <v>269</v>
      </c>
    </row>
    <row r="108" spans="1:10" ht="15" x14ac:dyDescent="0.25">
      <c r="A108" s="40">
        <v>104</v>
      </c>
      <c r="B108" s="62" t="s">
        <v>2793</v>
      </c>
      <c r="C108" s="62" t="s">
        <v>312</v>
      </c>
      <c r="D108" s="62" t="s">
        <v>2292</v>
      </c>
      <c r="E108" s="62" t="s">
        <v>2293</v>
      </c>
      <c r="F108" s="62">
        <v>100</v>
      </c>
      <c r="G108" s="62">
        <v>103.87130000000001</v>
      </c>
      <c r="H108" s="62" t="s">
        <v>2559</v>
      </c>
      <c r="I108" s="62" t="s">
        <v>2794</v>
      </c>
      <c r="J108" s="62" t="s">
        <v>269</v>
      </c>
    </row>
    <row r="109" spans="1:10" ht="15" x14ac:dyDescent="0.25">
      <c r="A109" s="40">
        <v>105</v>
      </c>
      <c r="B109" s="62" t="s">
        <v>2795</v>
      </c>
      <c r="C109" s="62" t="s">
        <v>314</v>
      </c>
      <c r="D109" s="62" t="s">
        <v>2292</v>
      </c>
      <c r="E109" s="62" t="s">
        <v>2293</v>
      </c>
      <c r="F109" s="62">
        <v>100</v>
      </c>
      <c r="G109" s="62">
        <v>111.5778</v>
      </c>
      <c r="H109" s="62" t="s">
        <v>2571</v>
      </c>
      <c r="I109" s="62" t="s">
        <v>2796</v>
      </c>
      <c r="J109" s="62" t="s">
        <v>269</v>
      </c>
    </row>
    <row r="110" spans="1:10" ht="15" x14ac:dyDescent="0.25">
      <c r="A110" s="40">
        <v>106</v>
      </c>
      <c r="B110" s="62" t="s">
        <v>2797</v>
      </c>
      <c r="C110" s="62" t="s">
        <v>316</v>
      </c>
      <c r="D110" s="62" t="s">
        <v>2292</v>
      </c>
      <c r="E110" s="62" t="s">
        <v>2293</v>
      </c>
      <c r="F110" s="62">
        <v>100</v>
      </c>
      <c r="G110" s="62">
        <v>108.35769999999999</v>
      </c>
      <c r="H110" s="62" t="s">
        <v>2572</v>
      </c>
      <c r="I110" s="62" t="s">
        <v>2798</v>
      </c>
      <c r="J110" s="62" t="s">
        <v>269</v>
      </c>
    </row>
    <row r="111" spans="1:10" ht="15" x14ac:dyDescent="0.25">
      <c r="A111" s="40">
        <v>107</v>
      </c>
      <c r="B111" s="62" t="s">
        <v>2799</v>
      </c>
      <c r="C111" s="62" t="s">
        <v>318</v>
      </c>
      <c r="D111" s="62" t="s">
        <v>2292</v>
      </c>
      <c r="E111" s="62" t="s">
        <v>2293</v>
      </c>
      <c r="F111" s="62">
        <v>100</v>
      </c>
      <c r="G111" s="62">
        <v>101.7728</v>
      </c>
      <c r="H111" s="62" t="s">
        <v>2558</v>
      </c>
      <c r="I111" s="62" t="s">
        <v>2800</v>
      </c>
      <c r="J111" s="62" t="s">
        <v>269</v>
      </c>
    </row>
    <row r="112" spans="1:10" ht="15" x14ac:dyDescent="0.25">
      <c r="A112" s="40">
        <v>108</v>
      </c>
      <c r="B112" s="62" t="s">
        <v>2801</v>
      </c>
      <c r="C112" s="62" t="s">
        <v>320</v>
      </c>
      <c r="D112" s="62" t="s">
        <v>2292</v>
      </c>
      <c r="E112" s="62" t="s">
        <v>2293</v>
      </c>
      <c r="F112" s="62">
        <v>100</v>
      </c>
      <c r="G112" s="62">
        <v>104.92059999999999</v>
      </c>
      <c r="H112" s="62" t="s">
        <v>2569</v>
      </c>
      <c r="I112" s="62" t="s">
        <v>2802</v>
      </c>
      <c r="J112" s="62" t="s">
        <v>269</v>
      </c>
    </row>
    <row r="113" spans="1:10" ht="15" x14ac:dyDescent="0.25">
      <c r="A113" s="40">
        <v>109</v>
      </c>
      <c r="B113" s="62" t="s">
        <v>2803</v>
      </c>
      <c r="C113" s="62" t="s">
        <v>322</v>
      </c>
      <c r="D113" s="62" t="s">
        <v>2292</v>
      </c>
      <c r="E113" s="62" t="s">
        <v>2293</v>
      </c>
      <c r="F113" s="62">
        <v>100</v>
      </c>
      <c r="G113" s="62">
        <v>101.7728</v>
      </c>
      <c r="H113" s="62" t="s">
        <v>2571</v>
      </c>
      <c r="I113" s="62" t="s">
        <v>2804</v>
      </c>
      <c r="J113" s="62" t="s">
        <v>269</v>
      </c>
    </row>
    <row r="114" spans="1:10" ht="15" x14ac:dyDescent="0.25">
      <c r="A114" s="40">
        <v>110</v>
      </c>
      <c r="B114" s="62" t="s">
        <v>2805</v>
      </c>
      <c r="C114" s="62" t="s">
        <v>324</v>
      </c>
      <c r="D114" s="62" t="s">
        <v>2292</v>
      </c>
      <c r="E114" s="62" t="s">
        <v>2293</v>
      </c>
      <c r="F114" s="62">
        <v>100</v>
      </c>
      <c r="G114" s="62">
        <v>110.3476</v>
      </c>
      <c r="H114" s="62" t="s">
        <v>2569</v>
      </c>
      <c r="I114" s="62" t="s">
        <v>2806</v>
      </c>
      <c r="J114" s="62" t="s">
        <v>269</v>
      </c>
    </row>
    <row r="115" spans="1:10" ht="15" x14ac:dyDescent="0.25">
      <c r="A115" s="40">
        <v>111</v>
      </c>
      <c r="B115" s="62" t="s">
        <v>2807</v>
      </c>
      <c r="C115" s="62" t="s">
        <v>326</v>
      </c>
      <c r="D115" s="62" t="s">
        <v>2292</v>
      </c>
      <c r="E115" s="62" t="s">
        <v>2293</v>
      </c>
      <c r="F115" s="62">
        <v>100</v>
      </c>
      <c r="G115" s="62">
        <v>103.87130000000001</v>
      </c>
      <c r="H115" s="62" t="s">
        <v>2569</v>
      </c>
      <c r="I115" s="62" t="s">
        <v>2570</v>
      </c>
      <c r="J115" s="62" t="s">
        <v>269</v>
      </c>
    </row>
    <row r="116" spans="1:10" ht="15" x14ac:dyDescent="0.25">
      <c r="A116" s="40">
        <v>112</v>
      </c>
      <c r="B116" s="62" t="s">
        <v>2808</v>
      </c>
      <c r="C116" s="62" t="s">
        <v>328</v>
      </c>
      <c r="D116" s="62" t="s">
        <v>2292</v>
      </c>
      <c r="E116" s="62" t="s">
        <v>2293</v>
      </c>
      <c r="F116" s="62">
        <v>100</v>
      </c>
      <c r="G116" s="62">
        <v>109.33459999999999</v>
      </c>
      <c r="H116" s="62" t="s">
        <v>2569</v>
      </c>
      <c r="I116" s="62" t="s">
        <v>2809</v>
      </c>
      <c r="J116" s="62" t="s">
        <v>269</v>
      </c>
    </row>
    <row r="117" spans="1:10" ht="15" x14ac:dyDescent="0.25">
      <c r="A117" s="40">
        <v>113</v>
      </c>
      <c r="B117" s="62" t="s">
        <v>2810</v>
      </c>
      <c r="C117" s="62" t="s">
        <v>330</v>
      </c>
      <c r="D117" s="62" t="s">
        <v>2292</v>
      </c>
      <c r="E117" s="62" t="s">
        <v>2293</v>
      </c>
      <c r="F117" s="62">
        <v>100</v>
      </c>
      <c r="G117" s="62">
        <v>100.6151</v>
      </c>
      <c r="H117" s="62" t="s">
        <v>2573</v>
      </c>
      <c r="I117" s="62" t="s">
        <v>2811</v>
      </c>
      <c r="J117" s="62" t="s">
        <v>269</v>
      </c>
    </row>
    <row r="118" spans="1:10" ht="15" x14ac:dyDescent="0.25">
      <c r="A118" s="40">
        <v>114</v>
      </c>
      <c r="B118" s="62" t="s">
        <v>2812</v>
      </c>
      <c r="C118" s="62" t="s">
        <v>332</v>
      </c>
      <c r="D118" s="62" t="s">
        <v>2292</v>
      </c>
      <c r="E118" s="62" t="s">
        <v>2293</v>
      </c>
      <c r="F118" s="62">
        <v>100</v>
      </c>
      <c r="G118" s="62">
        <v>100.6874</v>
      </c>
      <c r="H118" s="62" t="s">
        <v>2573</v>
      </c>
      <c r="I118" s="62" t="s">
        <v>2813</v>
      </c>
      <c r="J118" s="62" t="s">
        <v>269</v>
      </c>
    </row>
    <row r="119" spans="1:10" ht="15" x14ac:dyDescent="0.25">
      <c r="A119" s="40">
        <v>115</v>
      </c>
      <c r="B119" s="62" t="s">
        <v>2814</v>
      </c>
      <c r="C119" s="62" t="s">
        <v>334</v>
      </c>
      <c r="D119" s="62" t="s">
        <v>2292</v>
      </c>
      <c r="E119" s="62" t="s">
        <v>2293</v>
      </c>
      <c r="F119" s="62">
        <v>100</v>
      </c>
      <c r="G119" s="62">
        <v>110.38379999999999</v>
      </c>
      <c r="H119" s="62" t="s">
        <v>2558</v>
      </c>
      <c r="I119" s="62" t="s">
        <v>2815</v>
      </c>
      <c r="J119" s="62" t="s">
        <v>269</v>
      </c>
    </row>
    <row r="120" spans="1:10" ht="15" x14ac:dyDescent="0.25">
      <c r="A120" s="40">
        <v>116</v>
      </c>
      <c r="B120" s="62" t="s">
        <v>2816</v>
      </c>
      <c r="C120" s="62" t="s">
        <v>137</v>
      </c>
      <c r="D120" s="62" t="s">
        <v>2292</v>
      </c>
      <c r="E120" s="62" t="s">
        <v>2293</v>
      </c>
      <c r="F120" s="62">
        <v>91.281300000000002</v>
      </c>
      <c r="G120" s="62">
        <v>95.528000000000006</v>
      </c>
      <c r="H120" s="62" t="s">
        <v>2817</v>
      </c>
      <c r="I120" s="62" t="s">
        <v>2818</v>
      </c>
      <c r="J120" s="62" t="s">
        <v>269</v>
      </c>
    </row>
    <row r="121" spans="1:10" ht="15" x14ac:dyDescent="0.25">
      <c r="A121" s="40">
        <v>117</v>
      </c>
      <c r="B121" s="62" t="s">
        <v>2819</v>
      </c>
      <c r="C121" s="62" t="s">
        <v>139</v>
      </c>
      <c r="D121" s="62" t="s">
        <v>2292</v>
      </c>
      <c r="E121" s="62" t="s">
        <v>2293</v>
      </c>
      <c r="F121" s="62">
        <v>95.575699999999998</v>
      </c>
      <c r="G121" s="62">
        <v>105.0532</v>
      </c>
      <c r="H121" s="62" t="s">
        <v>2820</v>
      </c>
      <c r="I121" s="62" t="s">
        <v>2821</v>
      </c>
      <c r="J121" s="62" t="s">
        <v>269</v>
      </c>
    </row>
    <row r="122" spans="1:10" ht="15" x14ac:dyDescent="0.25">
      <c r="A122" s="40">
        <v>118</v>
      </c>
      <c r="B122" s="62" t="s">
        <v>2822</v>
      </c>
      <c r="C122" s="62" t="s">
        <v>141</v>
      </c>
      <c r="D122" s="62" t="s">
        <v>2292</v>
      </c>
      <c r="E122" s="62" t="s">
        <v>2293</v>
      </c>
      <c r="F122" s="62">
        <v>85.0565</v>
      </c>
      <c r="G122" s="62">
        <v>92.356499999999997</v>
      </c>
      <c r="H122" s="62" t="s">
        <v>2574</v>
      </c>
      <c r="I122" s="62" t="s">
        <v>2823</v>
      </c>
      <c r="J122" s="62" t="s">
        <v>269</v>
      </c>
    </row>
    <row r="123" spans="1:10" ht="15" x14ac:dyDescent="0.25">
      <c r="A123" s="40">
        <v>119</v>
      </c>
      <c r="B123" s="62" t="s">
        <v>2824</v>
      </c>
      <c r="C123" s="62" t="s">
        <v>6</v>
      </c>
      <c r="D123" s="62" t="s">
        <v>2292</v>
      </c>
      <c r="E123" s="62" t="s">
        <v>2293</v>
      </c>
      <c r="F123" s="62">
        <v>87.229299999999995</v>
      </c>
      <c r="G123" s="62">
        <v>92.544899999999998</v>
      </c>
      <c r="H123" s="62" t="s">
        <v>2820</v>
      </c>
      <c r="I123" s="62" t="s">
        <v>2825</v>
      </c>
      <c r="J123" s="62" t="s">
        <v>269</v>
      </c>
    </row>
    <row r="124" spans="1:10" ht="15" x14ac:dyDescent="0.25">
      <c r="A124" s="40">
        <v>120</v>
      </c>
      <c r="B124" s="62" t="s">
        <v>2826</v>
      </c>
      <c r="C124" s="62" t="s">
        <v>144</v>
      </c>
      <c r="D124" s="62" t="s">
        <v>2292</v>
      </c>
      <c r="E124" s="62" t="s">
        <v>2293</v>
      </c>
      <c r="F124" s="62">
        <v>82.881100000000004</v>
      </c>
      <c r="G124" s="62">
        <v>90.681100000000001</v>
      </c>
      <c r="H124" s="62" t="s">
        <v>2555</v>
      </c>
      <c r="I124" s="62" t="s">
        <v>2827</v>
      </c>
      <c r="J124" s="62" t="s">
        <v>269</v>
      </c>
    </row>
    <row r="125" spans="1:10" ht="15" x14ac:dyDescent="0.25">
      <c r="A125" s="40">
        <v>121</v>
      </c>
      <c r="B125" s="62" t="s">
        <v>2828</v>
      </c>
      <c r="C125" s="62" t="s">
        <v>2018</v>
      </c>
      <c r="D125" s="62" t="s">
        <v>2292</v>
      </c>
      <c r="E125" s="62" t="s">
        <v>2293</v>
      </c>
      <c r="F125" s="62">
        <v>90.617800000000003</v>
      </c>
      <c r="G125" s="62">
        <v>99.54</v>
      </c>
      <c r="H125" s="62" t="s">
        <v>2579</v>
      </c>
      <c r="I125" s="62" t="s">
        <v>2829</v>
      </c>
      <c r="J125" s="62" t="s">
        <v>269</v>
      </c>
    </row>
    <row r="126" spans="1:10" ht="15" x14ac:dyDescent="0.25">
      <c r="A126" s="40">
        <v>122</v>
      </c>
      <c r="B126" s="62" t="s">
        <v>2830</v>
      </c>
      <c r="C126" s="62" t="s">
        <v>146</v>
      </c>
      <c r="D126" s="62" t="s">
        <v>2292</v>
      </c>
      <c r="E126" s="62" t="s">
        <v>2293</v>
      </c>
      <c r="F126" s="62">
        <v>85.3947</v>
      </c>
      <c r="G126" s="62">
        <v>95.544799999999995</v>
      </c>
      <c r="H126" s="62" t="s">
        <v>2577</v>
      </c>
      <c r="I126" s="62" t="s">
        <v>2831</v>
      </c>
      <c r="J126" s="62" t="s">
        <v>269</v>
      </c>
    </row>
    <row r="127" spans="1:10" ht="15" x14ac:dyDescent="0.25">
      <c r="A127" s="40">
        <v>123</v>
      </c>
      <c r="B127" s="62" t="s">
        <v>2832</v>
      </c>
      <c r="C127" s="62" t="s">
        <v>8</v>
      </c>
      <c r="D127" s="62" t="s">
        <v>2292</v>
      </c>
      <c r="E127" s="62" t="s">
        <v>2293</v>
      </c>
      <c r="F127" s="62">
        <v>82.827399999999997</v>
      </c>
      <c r="G127" s="62">
        <v>85.113200000000006</v>
      </c>
      <c r="H127" s="62" t="s">
        <v>2577</v>
      </c>
      <c r="I127" s="62" t="s">
        <v>2833</v>
      </c>
      <c r="J127" s="62" t="s">
        <v>269</v>
      </c>
    </row>
    <row r="128" spans="1:10" ht="15" x14ac:dyDescent="0.25">
      <c r="A128" s="40">
        <v>124</v>
      </c>
      <c r="B128" s="62" t="s">
        <v>2834</v>
      </c>
      <c r="C128" s="62" t="s">
        <v>149</v>
      </c>
      <c r="D128" s="62" t="s">
        <v>2292</v>
      </c>
      <c r="E128" s="62" t="s">
        <v>2293</v>
      </c>
      <c r="F128" s="62">
        <v>82.3369</v>
      </c>
      <c r="G128" s="62">
        <v>90.036900000000003</v>
      </c>
      <c r="H128" s="62" t="s">
        <v>2555</v>
      </c>
      <c r="I128" s="62" t="s">
        <v>2835</v>
      </c>
      <c r="J128" s="62" t="s">
        <v>269</v>
      </c>
    </row>
    <row r="129" spans="1:10" ht="15" x14ac:dyDescent="0.25">
      <c r="A129" s="40">
        <v>125</v>
      </c>
      <c r="B129" s="62" t="s">
        <v>2836</v>
      </c>
      <c r="C129" s="62" t="s">
        <v>151</v>
      </c>
      <c r="D129" s="62" t="s">
        <v>2292</v>
      </c>
      <c r="E129" s="62" t="s">
        <v>2293</v>
      </c>
      <c r="F129" s="62">
        <v>89.321399999999997</v>
      </c>
      <c r="G129" s="62">
        <v>95.310299999999998</v>
      </c>
      <c r="H129" s="62" t="s">
        <v>2578</v>
      </c>
      <c r="I129" s="62" t="s">
        <v>2837</v>
      </c>
      <c r="J129" s="62" t="s">
        <v>269</v>
      </c>
    </row>
    <row r="130" spans="1:10" ht="15" x14ac:dyDescent="0.25">
      <c r="A130" s="40">
        <v>126</v>
      </c>
      <c r="B130" s="62" t="s">
        <v>2838</v>
      </c>
      <c r="C130" s="62" t="s">
        <v>2180</v>
      </c>
      <c r="D130" s="62" t="s">
        <v>2292</v>
      </c>
      <c r="E130" s="62" t="s">
        <v>2293</v>
      </c>
      <c r="F130" s="62">
        <v>89.0227</v>
      </c>
      <c r="G130" s="62">
        <v>94.280900000000003</v>
      </c>
      <c r="H130" s="62" t="s">
        <v>2555</v>
      </c>
      <c r="I130" s="62" t="s">
        <v>2839</v>
      </c>
      <c r="J130" s="62" t="s">
        <v>269</v>
      </c>
    </row>
    <row r="131" spans="1:10" ht="15" x14ac:dyDescent="0.25">
      <c r="A131" s="40">
        <v>127</v>
      </c>
      <c r="B131" s="62" t="s">
        <v>2840</v>
      </c>
      <c r="C131" s="62" t="s">
        <v>153</v>
      </c>
      <c r="D131" s="62" t="s">
        <v>2292</v>
      </c>
      <c r="E131" s="62" t="s">
        <v>2293</v>
      </c>
      <c r="F131" s="62">
        <v>94.9636</v>
      </c>
      <c r="G131" s="62">
        <v>97.5672</v>
      </c>
      <c r="H131" s="62" t="s">
        <v>2841</v>
      </c>
      <c r="I131" s="62" t="s">
        <v>2842</v>
      </c>
      <c r="J131" s="62" t="s">
        <v>269</v>
      </c>
    </row>
    <row r="132" spans="1:10" ht="15" x14ac:dyDescent="0.25">
      <c r="A132" s="40">
        <v>128</v>
      </c>
      <c r="B132" s="62" t="s">
        <v>2843</v>
      </c>
      <c r="C132" s="62" t="s">
        <v>7</v>
      </c>
      <c r="D132" s="62" t="s">
        <v>2292</v>
      </c>
      <c r="E132" s="62" t="s">
        <v>2293</v>
      </c>
      <c r="F132" s="62">
        <v>84.955299999999994</v>
      </c>
      <c r="G132" s="62">
        <v>90.944199999999995</v>
      </c>
      <c r="H132" s="62" t="s">
        <v>2577</v>
      </c>
      <c r="I132" s="62" t="s">
        <v>2844</v>
      </c>
      <c r="J132" s="62" t="s">
        <v>269</v>
      </c>
    </row>
    <row r="133" spans="1:10" ht="15" x14ac:dyDescent="0.25">
      <c r="A133" s="40">
        <v>129</v>
      </c>
      <c r="B133" s="62" t="s">
        <v>2845</v>
      </c>
      <c r="C133" s="62" t="s">
        <v>156</v>
      </c>
      <c r="D133" s="62" t="s">
        <v>2292</v>
      </c>
      <c r="E133" s="62" t="s">
        <v>2293</v>
      </c>
      <c r="F133" s="62">
        <v>88.184899999999999</v>
      </c>
      <c r="G133" s="62">
        <v>93.901600000000002</v>
      </c>
      <c r="H133" s="62" t="s">
        <v>2579</v>
      </c>
      <c r="I133" s="62" t="s">
        <v>2846</v>
      </c>
      <c r="J133" s="62" t="s">
        <v>269</v>
      </c>
    </row>
    <row r="134" spans="1:10" ht="15" x14ac:dyDescent="0.25">
      <c r="A134" s="40">
        <v>130</v>
      </c>
      <c r="B134" s="62" t="s">
        <v>2847</v>
      </c>
      <c r="C134" s="62" t="s">
        <v>2020</v>
      </c>
      <c r="D134" s="62" t="s">
        <v>2292</v>
      </c>
      <c r="E134" s="62" t="s">
        <v>2293</v>
      </c>
      <c r="F134" s="62">
        <v>88.732100000000003</v>
      </c>
      <c r="G134" s="62">
        <v>97.593199999999996</v>
      </c>
      <c r="H134" s="62" t="s">
        <v>2555</v>
      </c>
      <c r="I134" s="62" t="s">
        <v>2848</v>
      </c>
      <c r="J134" s="62" t="s">
        <v>269</v>
      </c>
    </row>
    <row r="135" spans="1:10" ht="15" x14ac:dyDescent="0.25">
      <c r="A135" s="40">
        <v>131</v>
      </c>
      <c r="B135" s="62" t="s">
        <v>2849</v>
      </c>
      <c r="C135" s="62" t="s">
        <v>158</v>
      </c>
      <c r="D135" s="62" t="s">
        <v>2292</v>
      </c>
      <c r="E135" s="62" t="s">
        <v>2293</v>
      </c>
      <c r="F135" s="62">
        <v>90.672600000000003</v>
      </c>
      <c r="G135" s="62">
        <v>96.172600000000003</v>
      </c>
      <c r="H135" s="62" t="s">
        <v>2841</v>
      </c>
      <c r="I135" s="62" t="s">
        <v>2850</v>
      </c>
      <c r="J135" s="62" t="s">
        <v>269</v>
      </c>
    </row>
    <row r="136" spans="1:10" ht="15" x14ac:dyDescent="0.25">
      <c r="A136" s="40">
        <v>132</v>
      </c>
      <c r="B136" s="62" t="s">
        <v>2851</v>
      </c>
      <c r="C136" s="62" t="s">
        <v>160</v>
      </c>
      <c r="D136" s="62" t="s">
        <v>2292</v>
      </c>
      <c r="E136" s="62" t="s">
        <v>2293</v>
      </c>
      <c r="F136" s="62">
        <v>88.799099999999996</v>
      </c>
      <c r="G136" s="62">
        <v>91.374099999999999</v>
      </c>
      <c r="H136" s="62" t="s">
        <v>2852</v>
      </c>
      <c r="I136" s="62" t="s">
        <v>2546</v>
      </c>
      <c r="J136" s="62" t="s">
        <v>269</v>
      </c>
    </row>
    <row r="137" spans="1:10" ht="15" x14ac:dyDescent="0.25">
      <c r="A137" s="40">
        <v>133</v>
      </c>
      <c r="B137" s="62" t="s">
        <v>2853</v>
      </c>
      <c r="C137" s="62" t="s">
        <v>9</v>
      </c>
      <c r="D137" s="62" t="s">
        <v>2292</v>
      </c>
      <c r="E137" s="62" t="s">
        <v>2293</v>
      </c>
      <c r="F137" s="62">
        <v>77.118899999999996</v>
      </c>
      <c r="G137" s="62">
        <v>83.098600000000005</v>
      </c>
      <c r="H137" s="62" t="s">
        <v>2578</v>
      </c>
      <c r="I137" s="62" t="s">
        <v>2854</v>
      </c>
      <c r="J137" s="62" t="s">
        <v>269</v>
      </c>
    </row>
    <row r="138" spans="1:10" ht="15" x14ac:dyDescent="0.25">
      <c r="A138" s="40">
        <v>134</v>
      </c>
      <c r="B138" s="62" t="s">
        <v>2855</v>
      </c>
      <c r="C138" s="62" t="s">
        <v>1993</v>
      </c>
      <c r="D138" s="62" t="s">
        <v>2292</v>
      </c>
      <c r="E138" s="62" t="s">
        <v>2293</v>
      </c>
      <c r="F138" s="62">
        <v>85.853300000000004</v>
      </c>
      <c r="G138" s="62">
        <v>95.303299999999993</v>
      </c>
      <c r="H138" s="62" t="s">
        <v>2580</v>
      </c>
      <c r="I138" s="62" t="s">
        <v>2856</v>
      </c>
      <c r="J138" s="62" t="s">
        <v>269</v>
      </c>
    </row>
    <row r="139" spans="1:10" ht="15" x14ac:dyDescent="0.25">
      <c r="A139" s="40">
        <v>135</v>
      </c>
      <c r="B139" s="62" t="s">
        <v>2857</v>
      </c>
      <c r="C139" s="62" t="s">
        <v>11</v>
      </c>
      <c r="D139" s="62" t="s">
        <v>2292</v>
      </c>
      <c r="E139" s="62" t="s">
        <v>2293</v>
      </c>
      <c r="F139" s="62">
        <v>75.220200000000006</v>
      </c>
      <c r="G139" s="62">
        <v>77.5869</v>
      </c>
      <c r="H139" s="62" t="s">
        <v>2555</v>
      </c>
      <c r="I139" s="62" t="s">
        <v>2858</v>
      </c>
      <c r="J139" s="62" t="s">
        <v>269</v>
      </c>
    </row>
    <row r="140" spans="1:10" ht="15" x14ac:dyDescent="0.25">
      <c r="A140" s="40">
        <v>136</v>
      </c>
      <c r="B140" s="62" t="s">
        <v>2859</v>
      </c>
      <c r="C140" s="62" t="s">
        <v>164</v>
      </c>
      <c r="D140" s="62" t="s">
        <v>2292</v>
      </c>
      <c r="E140" s="62" t="s">
        <v>2293</v>
      </c>
      <c r="F140" s="62">
        <v>73.3767</v>
      </c>
      <c r="G140" s="62">
        <v>74.950500000000005</v>
      </c>
      <c r="H140" s="62" t="s">
        <v>2575</v>
      </c>
      <c r="I140" s="62" t="s">
        <v>2860</v>
      </c>
      <c r="J140" s="62" t="s">
        <v>269</v>
      </c>
    </row>
    <row r="141" spans="1:10" ht="15" x14ac:dyDescent="0.25">
      <c r="A141" s="40">
        <v>137</v>
      </c>
      <c r="B141" s="62" t="s">
        <v>2861</v>
      </c>
      <c r="C141" s="62" t="s">
        <v>166</v>
      </c>
      <c r="D141" s="62" t="s">
        <v>2292</v>
      </c>
      <c r="E141" s="62" t="s">
        <v>2293</v>
      </c>
      <c r="F141" s="62">
        <v>86.927599999999998</v>
      </c>
      <c r="G141" s="62">
        <v>89.334599999999995</v>
      </c>
      <c r="H141" s="62" t="s">
        <v>2852</v>
      </c>
      <c r="I141" s="62" t="s">
        <v>2862</v>
      </c>
      <c r="J141" s="62" t="s">
        <v>269</v>
      </c>
    </row>
    <row r="142" spans="1:10" ht="15" x14ac:dyDescent="0.25">
      <c r="A142" s="40">
        <v>138</v>
      </c>
      <c r="B142" s="62" t="s">
        <v>2863</v>
      </c>
      <c r="C142" s="62" t="s">
        <v>168</v>
      </c>
      <c r="D142" s="62" t="s">
        <v>2292</v>
      </c>
      <c r="E142" s="62" t="s">
        <v>2293</v>
      </c>
      <c r="F142" s="62">
        <v>70.382000000000005</v>
      </c>
      <c r="G142" s="62">
        <v>74.039299999999997</v>
      </c>
      <c r="H142" s="62" t="s">
        <v>2578</v>
      </c>
      <c r="I142" s="62" t="s">
        <v>2864</v>
      </c>
      <c r="J142" s="62" t="s">
        <v>269</v>
      </c>
    </row>
    <row r="143" spans="1:10" ht="15" x14ac:dyDescent="0.25">
      <c r="A143" s="40">
        <v>139</v>
      </c>
      <c r="B143" s="62" t="s">
        <v>2865</v>
      </c>
      <c r="C143" s="62" t="s">
        <v>170</v>
      </c>
      <c r="D143" s="62" t="s">
        <v>2292</v>
      </c>
      <c r="E143" s="62" t="s">
        <v>2293</v>
      </c>
      <c r="F143" s="62">
        <v>70.007300000000001</v>
      </c>
      <c r="G143" s="62">
        <v>76.725899999999996</v>
      </c>
      <c r="H143" s="62" t="s">
        <v>2580</v>
      </c>
      <c r="I143" s="62" t="s">
        <v>2866</v>
      </c>
      <c r="J143" s="62" t="s">
        <v>269</v>
      </c>
    </row>
    <row r="144" spans="1:10" ht="15" x14ac:dyDescent="0.25">
      <c r="A144" s="40">
        <v>140</v>
      </c>
      <c r="B144" s="62" t="s">
        <v>2867</v>
      </c>
      <c r="C144" s="62" t="s">
        <v>2154</v>
      </c>
      <c r="D144" s="62" t="s">
        <v>2292</v>
      </c>
      <c r="E144" s="62" t="s">
        <v>2293</v>
      </c>
      <c r="F144" s="62">
        <v>84.726699999999994</v>
      </c>
      <c r="G144" s="62">
        <v>90.366699999999994</v>
      </c>
      <c r="H144" s="62" t="s">
        <v>2575</v>
      </c>
      <c r="I144" s="62" t="s">
        <v>2868</v>
      </c>
      <c r="J144" s="62" t="s">
        <v>269</v>
      </c>
    </row>
    <row r="145" spans="1:10" ht="15" x14ac:dyDescent="0.25">
      <c r="A145" s="40">
        <v>141</v>
      </c>
      <c r="B145" s="62" t="s">
        <v>2869</v>
      </c>
      <c r="C145" s="62" t="s">
        <v>172</v>
      </c>
      <c r="D145" s="62" t="s">
        <v>2292</v>
      </c>
      <c r="E145" s="62" t="s">
        <v>2293</v>
      </c>
      <c r="F145" s="62">
        <v>99.025000000000006</v>
      </c>
      <c r="G145" s="62">
        <v>103.6083</v>
      </c>
      <c r="H145" s="62" t="s">
        <v>2870</v>
      </c>
      <c r="I145" s="62" t="s">
        <v>2871</v>
      </c>
      <c r="J145" s="62" t="s">
        <v>269</v>
      </c>
    </row>
    <row r="146" spans="1:10" ht="15" x14ac:dyDescent="0.25">
      <c r="A146" s="40">
        <v>142</v>
      </c>
      <c r="B146" s="62" t="s">
        <v>2872</v>
      </c>
      <c r="C146" s="62" t="s">
        <v>10</v>
      </c>
      <c r="D146" s="62" t="s">
        <v>2292</v>
      </c>
      <c r="E146" s="62" t="s">
        <v>2293</v>
      </c>
      <c r="F146" s="62">
        <v>67.495500000000007</v>
      </c>
      <c r="G146" s="62">
        <v>71.720500000000001</v>
      </c>
      <c r="H146" s="62" t="s">
        <v>2555</v>
      </c>
      <c r="I146" s="62" t="s">
        <v>2873</v>
      </c>
      <c r="J146" s="62" t="s">
        <v>269</v>
      </c>
    </row>
    <row r="147" spans="1:10" ht="15" x14ac:dyDescent="0.25">
      <c r="A147" s="40">
        <v>143</v>
      </c>
      <c r="B147" s="62" t="s">
        <v>2874</v>
      </c>
      <c r="C147" s="62" t="s">
        <v>175</v>
      </c>
      <c r="D147" s="62" t="s">
        <v>2292</v>
      </c>
      <c r="E147" s="62" t="s">
        <v>2293</v>
      </c>
      <c r="F147" s="62">
        <v>68.953400000000002</v>
      </c>
      <c r="G147" s="62">
        <v>75.103399999999993</v>
      </c>
      <c r="H147" s="62" t="s">
        <v>2555</v>
      </c>
      <c r="I147" s="62" t="s">
        <v>2875</v>
      </c>
      <c r="J147" s="62" t="s">
        <v>269</v>
      </c>
    </row>
    <row r="148" spans="1:10" ht="15" x14ac:dyDescent="0.25">
      <c r="A148" s="40">
        <v>144</v>
      </c>
      <c r="B148" s="62" t="s">
        <v>2876</v>
      </c>
      <c r="C148" s="62" t="s">
        <v>177</v>
      </c>
      <c r="D148" s="62" t="s">
        <v>2292</v>
      </c>
      <c r="E148" s="62" t="s">
        <v>2293</v>
      </c>
      <c r="F148" s="62">
        <v>98.833399999999997</v>
      </c>
      <c r="G148" s="62">
        <v>103.84229999999999</v>
      </c>
      <c r="H148" s="62" t="s">
        <v>2877</v>
      </c>
      <c r="I148" s="62" t="s">
        <v>2878</v>
      </c>
      <c r="J148" s="62" t="s">
        <v>269</v>
      </c>
    </row>
    <row r="149" spans="1:10" ht="15" x14ac:dyDescent="0.25">
      <c r="A149" s="40">
        <v>145</v>
      </c>
      <c r="B149" s="62" t="s">
        <v>2879</v>
      </c>
      <c r="C149" s="62" t="s">
        <v>179</v>
      </c>
      <c r="D149" s="62" t="s">
        <v>2292</v>
      </c>
      <c r="E149" s="62" t="s">
        <v>2293</v>
      </c>
      <c r="F149" s="62">
        <v>91.616500000000002</v>
      </c>
      <c r="G149" s="62">
        <v>92.502600000000001</v>
      </c>
      <c r="H149" s="62" t="s">
        <v>2852</v>
      </c>
      <c r="I149" s="62" t="s">
        <v>2880</v>
      </c>
      <c r="J149" s="62" t="s">
        <v>269</v>
      </c>
    </row>
    <row r="150" spans="1:10" ht="15" x14ac:dyDescent="0.25">
      <c r="A150" s="40">
        <v>146</v>
      </c>
      <c r="B150" s="62" t="s">
        <v>2881</v>
      </c>
      <c r="C150" s="62" t="s">
        <v>181</v>
      </c>
      <c r="D150" s="62" t="s">
        <v>2292</v>
      </c>
      <c r="E150" s="62" t="s">
        <v>2293</v>
      </c>
      <c r="F150" s="62">
        <v>88.740200000000002</v>
      </c>
      <c r="G150" s="62">
        <v>93.226299999999995</v>
      </c>
      <c r="H150" s="62" t="s">
        <v>2882</v>
      </c>
      <c r="I150" s="62" t="s">
        <v>2883</v>
      </c>
      <c r="J150" s="62" t="s">
        <v>269</v>
      </c>
    </row>
    <row r="151" spans="1:10" ht="15" x14ac:dyDescent="0.25">
      <c r="A151" s="40">
        <v>147</v>
      </c>
      <c r="B151" s="62" t="s">
        <v>2884</v>
      </c>
      <c r="C151" s="62" t="s">
        <v>5</v>
      </c>
      <c r="D151" s="62" t="s">
        <v>2292</v>
      </c>
      <c r="E151" s="62" t="s">
        <v>2293</v>
      </c>
      <c r="F151" s="62">
        <v>86.200699999999998</v>
      </c>
      <c r="G151" s="62">
        <v>89.235500000000002</v>
      </c>
      <c r="H151" s="62" t="s">
        <v>2841</v>
      </c>
      <c r="I151" s="62" t="s">
        <v>2885</v>
      </c>
      <c r="J151" s="62" t="s">
        <v>269</v>
      </c>
    </row>
    <row r="152" spans="1:10" ht="15" x14ac:dyDescent="0.25">
      <c r="A152" s="40">
        <v>148</v>
      </c>
      <c r="B152" s="62" t="s">
        <v>2886</v>
      </c>
      <c r="C152" s="62" t="s">
        <v>184</v>
      </c>
      <c r="D152" s="62" t="s">
        <v>2292</v>
      </c>
      <c r="E152" s="62" t="s">
        <v>2293</v>
      </c>
      <c r="F152" s="62">
        <v>82.335800000000006</v>
      </c>
      <c r="G152" s="62">
        <v>82.762799999999999</v>
      </c>
      <c r="H152" s="62" t="s">
        <v>2882</v>
      </c>
      <c r="I152" s="62" t="s">
        <v>2606</v>
      </c>
      <c r="J152" s="62" t="s">
        <v>269</v>
      </c>
    </row>
    <row r="153" spans="1:10" ht="15" x14ac:dyDescent="0.25">
      <c r="A153" s="40">
        <v>149</v>
      </c>
      <c r="B153" s="62" t="s">
        <v>2887</v>
      </c>
      <c r="C153" s="62" t="s">
        <v>186</v>
      </c>
      <c r="D153" s="62" t="s">
        <v>2292</v>
      </c>
      <c r="E153" s="62" t="s">
        <v>2293</v>
      </c>
      <c r="F153" s="62">
        <v>83.207499999999996</v>
      </c>
      <c r="G153" s="62">
        <v>89.563100000000006</v>
      </c>
      <c r="H153" s="62" t="s">
        <v>2888</v>
      </c>
      <c r="I153" s="62" t="s">
        <v>2889</v>
      </c>
      <c r="J153" s="62" t="s">
        <v>269</v>
      </c>
    </row>
    <row r="154" spans="1:10" ht="15" x14ac:dyDescent="0.25">
      <c r="A154" s="40">
        <v>150</v>
      </c>
      <c r="B154" s="62" t="s">
        <v>2890</v>
      </c>
      <c r="C154" s="62" t="s">
        <v>188</v>
      </c>
      <c r="D154" s="62" t="s">
        <v>2292</v>
      </c>
      <c r="E154" s="62" t="s">
        <v>2293</v>
      </c>
      <c r="F154" s="62">
        <v>77.424499999999995</v>
      </c>
      <c r="G154" s="62">
        <v>83.561499999999995</v>
      </c>
      <c r="H154" s="62" t="s">
        <v>2574</v>
      </c>
      <c r="I154" s="62" t="s">
        <v>2891</v>
      </c>
      <c r="J154" s="62" t="s">
        <v>269</v>
      </c>
    </row>
    <row r="155" spans="1:10" ht="15" x14ac:dyDescent="0.25">
      <c r="A155" s="40">
        <v>151</v>
      </c>
      <c r="B155" s="62" t="s">
        <v>2892</v>
      </c>
      <c r="C155" s="62" t="s">
        <v>190</v>
      </c>
      <c r="D155" s="62" t="s">
        <v>2292</v>
      </c>
      <c r="E155" s="62" t="s">
        <v>2293</v>
      </c>
      <c r="F155" s="62">
        <v>75.092399999999998</v>
      </c>
      <c r="G155" s="62">
        <v>76.436400000000006</v>
      </c>
      <c r="H155" s="62" t="s">
        <v>2574</v>
      </c>
      <c r="I155" s="62" t="s">
        <v>2893</v>
      </c>
      <c r="J155" s="62" t="s">
        <v>269</v>
      </c>
    </row>
    <row r="156" spans="1:10" ht="15" x14ac:dyDescent="0.25">
      <c r="A156" s="40">
        <v>152</v>
      </c>
      <c r="B156" s="62" t="s">
        <v>2894</v>
      </c>
      <c r="C156" s="62" t="s">
        <v>192</v>
      </c>
      <c r="D156" s="62" t="s">
        <v>2292</v>
      </c>
      <c r="E156" s="62" t="s">
        <v>2293</v>
      </c>
      <c r="F156" s="62">
        <v>72.816299999999998</v>
      </c>
      <c r="G156" s="62">
        <v>78.192300000000003</v>
      </c>
      <c r="H156" s="62" t="s">
        <v>2555</v>
      </c>
      <c r="I156" s="62" t="s">
        <v>2835</v>
      </c>
      <c r="J156" s="62" t="s">
        <v>269</v>
      </c>
    </row>
    <row r="157" spans="1:10" ht="15" x14ac:dyDescent="0.25">
      <c r="A157" s="40">
        <v>153</v>
      </c>
      <c r="B157" s="62" t="s">
        <v>2895</v>
      </c>
      <c r="C157" s="62" t="s">
        <v>194</v>
      </c>
      <c r="D157" s="62" t="s">
        <v>2292</v>
      </c>
      <c r="E157" s="62" t="s">
        <v>2293</v>
      </c>
      <c r="F157" s="62">
        <v>65.763199999999998</v>
      </c>
      <c r="G157" s="62">
        <v>70.381900000000002</v>
      </c>
      <c r="H157" s="62" t="s">
        <v>2575</v>
      </c>
      <c r="I157" s="62" t="s">
        <v>2896</v>
      </c>
      <c r="J157" s="62" t="s">
        <v>269</v>
      </c>
    </row>
    <row r="158" spans="1:10" ht="15" x14ac:dyDescent="0.25">
      <c r="A158" s="40">
        <v>154</v>
      </c>
      <c r="B158" s="62" t="s">
        <v>2897</v>
      </c>
      <c r="C158" s="62" t="s">
        <v>196</v>
      </c>
      <c r="D158" s="62" t="s">
        <v>2292</v>
      </c>
      <c r="E158" s="62" t="s">
        <v>2293</v>
      </c>
      <c r="F158" s="62">
        <v>64.834599999999995</v>
      </c>
      <c r="G158" s="62">
        <v>68.900099999999995</v>
      </c>
      <c r="H158" s="62" t="s">
        <v>2555</v>
      </c>
      <c r="I158" s="62" t="s">
        <v>2898</v>
      </c>
      <c r="J158" s="62" t="s">
        <v>269</v>
      </c>
    </row>
    <row r="159" spans="1:10" ht="15" x14ac:dyDescent="0.25">
      <c r="A159" s="40">
        <v>155</v>
      </c>
      <c r="B159" s="62" t="s">
        <v>2899</v>
      </c>
      <c r="C159" s="62" t="s">
        <v>198</v>
      </c>
      <c r="D159" s="62" t="s">
        <v>2292</v>
      </c>
      <c r="E159" s="62" t="s">
        <v>2293</v>
      </c>
      <c r="F159" s="62">
        <v>69.686800000000005</v>
      </c>
      <c r="G159" s="62">
        <v>71.213999999999999</v>
      </c>
      <c r="H159" s="62" t="s">
        <v>2580</v>
      </c>
      <c r="I159" s="62" t="s">
        <v>2900</v>
      </c>
      <c r="J159" s="62" t="s">
        <v>269</v>
      </c>
    </row>
    <row r="160" spans="1:10" ht="15" x14ac:dyDescent="0.25">
      <c r="A160" s="40">
        <v>156</v>
      </c>
      <c r="B160" s="62" t="s">
        <v>2901</v>
      </c>
      <c r="C160" s="62" t="s">
        <v>200</v>
      </c>
      <c r="D160" s="62" t="s">
        <v>2292</v>
      </c>
      <c r="E160" s="62" t="s">
        <v>2293</v>
      </c>
      <c r="F160" s="62">
        <v>70.464600000000004</v>
      </c>
      <c r="G160" s="62">
        <v>78.383799999999994</v>
      </c>
      <c r="H160" s="62" t="s">
        <v>2580</v>
      </c>
      <c r="I160" s="62" t="s">
        <v>2902</v>
      </c>
      <c r="J160" s="62" t="s">
        <v>269</v>
      </c>
    </row>
    <row r="161" spans="1:10" ht="15" x14ac:dyDescent="0.25">
      <c r="A161" s="40">
        <v>157</v>
      </c>
      <c r="B161" s="62" t="s">
        <v>2903</v>
      </c>
      <c r="C161" s="62" t="s">
        <v>202</v>
      </c>
      <c r="D161" s="62" t="s">
        <v>2292</v>
      </c>
      <c r="E161" s="62" t="s">
        <v>2293</v>
      </c>
      <c r="F161" s="62">
        <v>81.401700000000005</v>
      </c>
      <c r="G161" s="62">
        <v>86.657499999999999</v>
      </c>
      <c r="H161" s="62" t="s">
        <v>2888</v>
      </c>
      <c r="I161" s="62" t="s">
        <v>2904</v>
      </c>
      <c r="J161" s="62" t="s">
        <v>269</v>
      </c>
    </row>
    <row r="162" spans="1:10" ht="15" x14ac:dyDescent="0.25">
      <c r="A162" s="40">
        <v>158</v>
      </c>
      <c r="B162" s="62" t="s">
        <v>2905</v>
      </c>
      <c r="C162" s="62" t="s">
        <v>204</v>
      </c>
      <c r="D162" s="62" t="s">
        <v>2292</v>
      </c>
      <c r="E162" s="62" t="s">
        <v>2293</v>
      </c>
      <c r="F162" s="62">
        <v>76.935900000000004</v>
      </c>
      <c r="G162" s="62">
        <v>79.408100000000005</v>
      </c>
      <c r="H162" s="62" t="s">
        <v>2820</v>
      </c>
      <c r="I162" s="62" t="s">
        <v>2906</v>
      </c>
      <c r="J162" s="62" t="s">
        <v>269</v>
      </c>
    </row>
    <row r="163" spans="1:10" ht="17.25" customHeight="1" x14ac:dyDescent="0.25">
      <c r="A163" s="40">
        <v>159</v>
      </c>
      <c r="B163" s="62" t="s">
        <v>2907</v>
      </c>
      <c r="C163" s="62" t="s">
        <v>206</v>
      </c>
      <c r="D163" s="62" t="s">
        <v>2292</v>
      </c>
      <c r="E163" s="62" t="s">
        <v>2293</v>
      </c>
      <c r="F163" s="62">
        <v>74.992199999999997</v>
      </c>
      <c r="G163" s="62">
        <v>75.389399999999995</v>
      </c>
      <c r="H163" s="62" t="s">
        <v>2574</v>
      </c>
      <c r="I163" s="62" t="s">
        <v>2908</v>
      </c>
      <c r="J163" s="62" t="s">
        <v>269</v>
      </c>
    </row>
    <row r="164" spans="1:10" ht="17.25" customHeight="1" x14ac:dyDescent="0.25">
      <c r="A164" s="40">
        <v>160</v>
      </c>
      <c r="B164" s="62" t="s">
        <v>2909</v>
      </c>
      <c r="C164" s="62" t="s">
        <v>208</v>
      </c>
      <c r="D164" s="62" t="s">
        <v>2292</v>
      </c>
      <c r="E164" s="62" t="s">
        <v>2293</v>
      </c>
      <c r="F164" s="62">
        <v>58.750300000000003</v>
      </c>
      <c r="G164" s="62">
        <v>60.540500000000002</v>
      </c>
      <c r="H164" s="62" t="s">
        <v>2575</v>
      </c>
      <c r="I164" s="62" t="s">
        <v>2910</v>
      </c>
      <c r="J164" s="62" t="s">
        <v>269</v>
      </c>
    </row>
    <row r="165" spans="1:10" ht="17.25" customHeight="1" x14ac:dyDescent="0.25">
      <c r="A165" s="15">
        <v>161</v>
      </c>
      <c r="B165" s="62" t="s">
        <v>2911</v>
      </c>
      <c r="C165" s="62" t="s">
        <v>210</v>
      </c>
      <c r="D165" s="62" t="s">
        <v>2292</v>
      </c>
      <c r="E165" s="62" t="s">
        <v>2293</v>
      </c>
      <c r="F165" s="62">
        <v>58.981099999999998</v>
      </c>
      <c r="G165" s="62">
        <v>64.901899999999998</v>
      </c>
      <c r="H165" s="62" t="s">
        <v>2576</v>
      </c>
      <c r="I165" s="62" t="s">
        <v>2912</v>
      </c>
      <c r="J165" s="62" t="s">
        <v>269</v>
      </c>
    </row>
    <row r="166" spans="1:10" ht="17.25" customHeight="1" x14ac:dyDescent="0.25">
      <c r="A166" s="15">
        <v>162</v>
      </c>
      <c r="B166" s="62" t="s">
        <v>2913</v>
      </c>
      <c r="C166" s="62" t="s">
        <v>212</v>
      </c>
      <c r="D166" s="62" t="s">
        <v>2292</v>
      </c>
      <c r="E166" s="62" t="s">
        <v>2293</v>
      </c>
      <c r="F166" s="62">
        <v>56.381900000000002</v>
      </c>
      <c r="G166" s="62">
        <v>59.009700000000002</v>
      </c>
      <c r="H166" s="62" t="s">
        <v>2555</v>
      </c>
      <c r="I166" s="62" t="s">
        <v>2914</v>
      </c>
      <c r="J166" s="62" t="s">
        <v>269</v>
      </c>
    </row>
    <row r="167" spans="1:10" ht="17.25" customHeight="1" x14ac:dyDescent="0.25">
      <c r="A167" s="15">
        <v>163</v>
      </c>
      <c r="B167" s="62" t="s">
        <v>2915</v>
      </c>
      <c r="C167" s="62" t="s">
        <v>12</v>
      </c>
      <c r="D167" s="62" t="s">
        <v>2292</v>
      </c>
      <c r="E167" s="62" t="s">
        <v>2293</v>
      </c>
      <c r="F167" s="62">
        <v>60.789299999999997</v>
      </c>
      <c r="G167" s="62">
        <v>64.241500000000002</v>
      </c>
      <c r="H167" s="62" t="s">
        <v>2575</v>
      </c>
      <c r="I167" s="62" t="s">
        <v>2916</v>
      </c>
      <c r="J167" s="62" t="s">
        <v>269</v>
      </c>
    </row>
    <row r="168" spans="1:10" ht="17.25" customHeight="1" x14ac:dyDescent="0.25">
      <c r="A168" s="15">
        <v>164</v>
      </c>
      <c r="B168" s="62" t="s">
        <v>2917</v>
      </c>
      <c r="C168" s="62" t="s">
        <v>13</v>
      </c>
      <c r="D168" s="62" t="s">
        <v>2292</v>
      </c>
      <c r="E168" s="62" t="s">
        <v>2293</v>
      </c>
      <c r="F168" s="62">
        <v>59.316600000000001</v>
      </c>
      <c r="G168" s="62">
        <v>65.077699999999993</v>
      </c>
      <c r="H168" s="62" t="s">
        <v>2580</v>
      </c>
      <c r="I168" s="62" t="s">
        <v>2918</v>
      </c>
      <c r="J168" s="62" t="s">
        <v>269</v>
      </c>
    </row>
    <row r="169" spans="1:10" ht="17.25" customHeight="1" x14ac:dyDescent="0.25">
      <c r="A169" s="15">
        <v>165</v>
      </c>
      <c r="B169" s="62" t="s">
        <v>2919</v>
      </c>
      <c r="C169" s="62" t="s">
        <v>216</v>
      </c>
      <c r="D169" s="62" t="s">
        <v>2292</v>
      </c>
      <c r="E169" s="62" t="s">
        <v>2293</v>
      </c>
      <c r="F169" s="62">
        <v>52.878</v>
      </c>
      <c r="G169" s="62">
        <v>59.373600000000003</v>
      </c>
      <c r="H169" s="62" t="s">
        <v>2580</v>
      </c>
      <c r="I169" s="62" t="s">
        <v>2920</v>
      </c>
      <c r="J169" s="62" t="s">
        <v>269</v>
      </c>
    </row>
    <row r="170" spans="1:10" ht="17.25" customHeight="1" x14ac:dyDescent="0.25">
      <c r="A170" s="15">
        <v>166</v>
      </c>
      <c r="B170" s="62" t="s">
        <v>2921</v>
      </c>
      <c r="C170" s="62" t="s">
        <v>218</v>
      </c>
      <c r="D170" s="62" t="s">
        <v>2292</v>
      </c>
      <c r="E170" s="62" t="s">
        <v>2293</v>
      </c>
      <c r="F170" s="62">
        <v>54.610100000000003</v>
      </c>
      <c r="G170" s="62">
        <v>56.488900000000001</v>
      </c>
      <c r="H170" s="62" t="s">
        <v>2580</v>
      </c>
      <c r="I170" s="62" t="s">
        <v>2922</v>
      </c>
      <c r="J170" s="62" t="s">
        <v>269</v>
      </c>
    </row>
    <row r="171" spans="1:10" ht="17.25" customHeight="1" x14ac:dyDescent="0.25">
      <c r="A171" s="15">
        <v>167</v>
      </c>
      <c r="B171" s="62" t="s">
        <v>2923</v>
      </c>
      <c r="C171" s="62" t="s">
        <v>220</v>
      </c>
      <c r="D171" s="62" t="s">
        <v>2292</v>
      </c>
      <c r="E171" s="62" t="s">
        <v>2293</v>
      </c>
      <c r="F171" s="62">
        <v>54.110500000000002</v>
      </c>
      <c r="G171" s="62">
        <v>59.457999999999998</v>
      </c>
      <c r="H171" s="62" t="s">
        <v>2576</v>
      </c>
      <c r="I171" s="62" t="s">
        <v>2924</v>
      </c>
      <c r="J171" s="62" t="s">
        <v>269</v>
      </c>
    </row>
    <row r="172" spans="1:10" ht="17.25" customHeight="1" x14ac:dyDescent="0.25">
      <c r="A172" s="15">
        <v>168</v>
      </c>
      <c r="B172" s="62" t="s">
        <v>2925</v>
      </c>
      <c r="C172" s="62" t="s">
        <v>222</v>
      </c>
      <c r="D172" s="62" t="s">
        <v>2292</v>
      </c>
      <c r="E172" s="62" t="s">
        <v>2293</v>
      </c>
      <c r="F172" s="62">
        <v>53.073799999999999</v>
      </c>
      <c r="G172" s="62">
        <v>53.554400000000001</v>
      </c>
      <c r="H172" s="62" t="s">
        <v>2576</v>
      </c>
      <c r="I172" s="62" t="s">
        <v>2926</v>
      </c>
      <c r="J172" s="62" t="s">
        <v>269</v>
      </c>
    </row>
    <row r="173" spans="1:10" ht="17.25" customHeight="1" x14ac:dyDescent="0.25">
      <c r="A173" s="15">
        <v>169</v>
      </c>
      <c r="B173" s="62" t="s">
        <v>2927</v>
      </c>
      <c r="C173" s="62" t="s">
        <v>2053</v>
      </c>
      <c r="D173" s="62" t="s">
        <v>2292</v>
      </c>
      <c r="E173" s="62" t="s">
        <v>2293</v>
      </c>
      <c r="F173" s="62">
        <v>100</v>
      </c>
      <c r="G173" s="62">
        <v>108.44710000000001</v>
      </c>
      <c r="H173" s="62" t="s">
        <v>2581</v>
      </c>
      <c r="I173" s="62" t="s">
        <v>2928</v>
      </c>
      <c r="J173" s="62" t="s">
        <v>269</v>
      </c>
    </row>
    <row r="174" spans="1:10" ht="17.25" customHeight="1" x14ac:dyDescent="0.25">
      <c r="A174" s="15">
        <v>170</v>
      </c>
      <c r="B174" s="62" t="s">
        <v>2929</v>
      </c>
      <c r="C174" s="62" t="s">
        <v>2427</v>
      </c>
      <c r="D174" s="62" t="s">
        <v>2275</v>
      </c>
      <c r="E174" s="62" t="s">
        <v>2473</v>
      </c>
      <c r="F174" s="62">
        <v>99.980500000000006</v>
      </c>
      <c r="G174" s="62">
        <v>100.8972</v>
      </c>
      <c r="H174" s="62" t="s">
        <v>2550</v>
      </c>
      <c r="I174" s="62" t="s">
        <v>2737</v>
      </c>
      <c r="J174" s="62" t="s">
        <v>269</v>
      </c>
    </row>
    <row r="175" spans="1:10" ht="17.25" customHeight="1" x14ac:dyDescent="0.25">
      <c r="A175" s="15">
        <v>171</v>
      </c>
      <c r="B175" s="62" t="s">
        <v>2930</v>
      </c>
      <c r="C175" s="62" t="s">
        <v>2582</v>
      </c>
      <c r="D175" s="62" t="s">
        <v>2292</v>
      </c>
      <c r="E175" s="62" t="s">
        <v>2297</v>
      </c>
      <c r="F175" s="62">
        <v>98.844499999999996</v>
      </c>
      <c r="G175" s="62">
        <v>98.844499999999996</v>
      </c>
      <c r="H175" s="62" t="s">
        <v>2931</v>
      </c>
      <c r="I175" s="62" t="s">
        <v>2932</v>
      </c>
      <c r="J175" s="62" t="s">
        <v>269</v>
      </c>
    </row>
    <row r="176" spans="1:10" ht="17.25" customHeight="1" x14ac:dyDescent="0.25">
      <c r="A176" s="15">
        <v>172</v>
      </c>
      <c r="B176" s="62" t="s">
        <v>2933</v>
      </c>
      <c r="C176" s="62" t="s">
        <v>1553</v>
      </c>
      <c r="D176" s="62" t="s">
        <v>2275</v>
      </c>
      <c r="E176" s="62" t="s">
        <v>2298</v>
      </c>
      <c r="F176" s="114">
        <v>1650.3920000000001</v>
      </c>
      <c r="G176" s="114">
        <v>1650.3920000000001</v>
      </c>
      <c r="H176" s="62" t="s">
        <v>339</v>
      </c>
      <c r="I176" s="62" t="s">
        <v>2934</v>
      </c>
      <c r="J176" s="62" t="s">
        <v>2309</v>
      </c>
    </row>
    <row r="177" spans="1:10" ht="17.25" customHeight="1" x14ac:dyDescent="0.25">
      <c r="A177" s="15">
        <v>173</v>
      </c>
      <c r="B177" s="62" t="s">
        <v>2935</v>
      </c>
      <c r="C177" s="62" t="s">
        <v>425</v>
      </c>
      <c r="D177" s="62" t="s">
        <v>2275</v>
      </c>
      <c r="E177" s="62" t="s">
        <v>2299</v>
      </c>
      <c r="F177" s="62">
        <v>97.013599999999997</v>
      </c>
      <c r="G177" s="62">
        <v>97.946899999999999</v>
      </c>
      <c r="H177" s="62" t="s">
        <v>2584</v>
      </c>
      <c r="I177" s="62" t="s">
        <v>2936</v>
      </c>
      <c r="J177" s="62" t="s">
        <v>269</v>
      </c>
    </row>
    <row r="1048549" spans="6:6" ht="17.25" customHeight="1" x14ac:dyDescent="0.25">
      <c r="F1048549" t="s">
        <v>2420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A7E6997-B1BE-4087-8C82-E862AC9D69F3}"/>
    <hyperlink ref="E5" r:id="rId2" display="https://kase.kz/ru/listing/issuers/AIRA" xr:uid="{DFCAF9EF-1446-4FEB-A670-6A01EF8B46EE}"/>
    <hyperlink ref="B6" r:id="rId3" display="https://kase.kz/ru/investors/depts/AIRAd" xr:uid="{ECDA9734-D62F-40EF-AEDE-EEA5F1F556AF}"/>
    <hyperlink ref="E6" r:id="rId4" display="https://kase.kz/ru/listing/issuers/AIRA" xr:uid="{09DF01B5-D4E4-431C-A447-0DA5974B77D6}"/>
    <hyperlink ref="B7" r:id="rId5" display="https://kase.kz/ru/investors/shares/AKZM" xr:uid="{16EEAEA1-6036-46F2-B49B-21FCB8BCBFC8}"/>
    <hyperlink ref="E7" r:id="rId6" display="https://kase.kz/ru/listing/issuers/AKZM" xr:uid="{4BDC3BCF-310C-4688-9172-63337F81757F}"/>
    <hyperlink ref="B8" r:id="rId7" display="https://kase.kz/ru/investors/bonds/ALMSb1" xr:uid="{B5FF052F-A075-4E29-BC7E-199A37DEF054}"/>
    <hyperlink ref="E8" r:id="rId8" display="https://kase.kz/ru/listing/issuers/ALMS" xr:uid="{E5B79327-0E3E-4CE7-971E-DF95D3FF85E1}"/>
    <hyperlink ref="B9" r:id="rId9" display="https://kase.kz/ru/investors/mifs/BCCI_cc" xr:uid="{6CFDE6A5-F3F4-4656-A29F-3391CCE14835}"/>
    <hyperlink ref="E9" r:id="rId10" display="https://kase.kz/ru/listing/issuers/BCCI" xr:uid="{847AE684-0C57-4122-9D43-5CDCED1180AD}"/>
    <hyperlink ref="B10" r:id="rId11" display="https://kase.kz/ru/investors/mifs/BCCIbe" xr:uid="{A41ED4B2-1B9D-4D6B-90D6-D6F9CD83AB62}"/>
    <hyperlink ref="E10" r:id="rId12" display="https://kase.kz/ru/listing/issuers/BCCI" xr:uid="{F884BBCE-3059-4FD8-900B-72CFD3F0489F}"/>
    <hyperlink ref="B11" r:id="rId13" display="https://kase.kz/ru/investors/mifs/BCCIrb" xr:uid="{79F14A57-ECC4-496F-9E73-B4F437449161}"/>
    <hyperlink ref="E11" r:id="rId14" display="https://kase.kz/ru/listing/issuers/BCCI" xr:uid="{6ED5495E-FD4B-4380-90BF-43D33BC18403}"/>
    <hyperlink ref="B12" r:id="rId15" display="https://kase.kz/ru/investors/bonds/BIGDb5" xr:uid="{139850EC-8A5F-45F7-BE69-5BA4D0FFC437}"/>
    <hyperlink ref="E12" r:id="rId16" display="https://kase.kz/ru/listing/issuers/BIGD" xr:uid="{FC1976BB-D7D5-41DD-B547-8F5C5B53F440}"/>
    <hyperlink ref="B13" r:id="rId17" display="https://kase.kz/ru/investors/bonds/BRKZe4" xr:uid="{9EE3F40F-C54A-4139-8B80-B85D26A47E90}"/>
    <hyperlink ref="E13" r:id="rId18" display="https://kase.kz/ru/listing/issuers/BRKZ" xr:uid="{8FB87D72-D606-425D-9D3A-C501CD7B6443}"/>
    <hyperlink ref="B14" r:id="rId19" display="https://kase.kz/ru/investors/bonds/BTRKe1" xr:uid="{1DC029EA-E357-4F7A-91C4-386931482537}"/>
    <hyperlink ref="E14" r:id="rId20" display="https://kase.kz/ru/listing/issuers/BTRK" xr:uid="{DE7B7EF4-78D5-411B-9327-3C6AA87DFA92}"/>
    <hyperlink ref="B15" r:id="rId21" display="https://kase.kz/ru/investors/shares/CCBN" xr:uid="{D01A8AF5-72AF-4619-B4B9-E3B0A8963800}"/>
    <hyperlink ref="E15" r:id="rId22" display="https://kase.kz/ru/listing/issuers/CCBN" xr:uid="{110A4E08-5BF6-434E-A61E-E35014C4A5F8}"/>
    <hyperlink ref="B16" r:id="rId23" display="https://kase.kz/ru/investors/shares/CCBNp" xr:uid="{F1198DF5-0D7B-48AE-B2A1-6CCCE20BBF32}"/>
    <hyperlink ref="E16" r:id="rId24" display="https://kase.kz/ru/listing/issuers/CCBN" xr:uid="{33F126EC-FCBD-4E24-8E73-466D5025173D}"/>
    <hyperlink ref="B17" r:id="rId25" display="https://kase.kz/ru/investors/mifs/CSECfe" xr:uid="{5A123252-1745-4F2D-8263-592B92554970}"/>
    <hyperlink ref="E17" r:id="rId26" display="https://kase.kz/ru/listing/issuers/CSEC" xr:uid="{EFB03E7E-D092-4152-9F76-27BDB5E0AB0F}"/>
    <hyperlink ref="B18" r:id="rId27" display="https://kase.kz/ru/investors/mifs/CSECtf" xr:uid="{9D9C1666-5DE5-4B98-AC32-64E1E0142780}"/>
    <hyperlink ref="E18" r:id="rId28" display="https://kase.kz/ru/listing/issuers/CSEC" xr:uid="{CE4B810B-076C-4A00-9396-BD4A61239C32}"/>
    <hyperlink ref="B19" r:id="rId29" display="https://kase.kz/ru/investors/bonds/EABRb40" xr:uid="{E184E0EC-D88D-4057-BCD1-FCC7D2C334AC}"/>
    <hyperlink ref="E19" r:id="rId30" display="https://kase.kz/ru/listing/issuers/EABR" xr:uid="{31C9AD87-E293-4369-B6AE-336CEA96AB12}"/>
    <hyperlink ref="B20" r:id="rId31" display="https://kase.kz/ru/investors/bonds/EABRb42" xr:uid="{ADCD3837-98C9-43F7-A75C-60AA24A2A886}"/>
    <hyperlink ref="E20" r:id="rId32" display="https://kase.kz/ru/listing/issuers/EABR" xr:uid="{D66A6E1F-F5B3-4A7C-BF29-33CCEBEF428C}"/>
    <hyperlink ref="B21" r:id="rId33" display="https://kase.kz/ru/investors/bonds/EABRb53" xr:uid="{17D4F578-6B7F-46CA-854F-9811F5B7F887}"/>
    <hyperlink ref="E21" r:id="rId34" display="https://kase.kz/ru/listing/issuers/EABR" xr:uid="{932ECAA6-8FB2-49E9-BB4C-DC0B134DB616}"/>
    <hyperlink ref="B22" r:id="rId35" display="https://kase.kz/ru/investors/mifs/FFIN_or" xr:uid="{2EEA3476-DAB6-4F8E-BB8E-14E590DAE78B}"/>
    <hyperlink ref="E22" r:id="rId36" display="https://kase.kz/ru/listing/issuers/FFIN" xr:uid="{E9F03BE3-C57F-4DEF-ABA3-8BC92E56704E}"/>
    <hyperlink ref="B23" r:id="rId37" display="https://kase.kz/ru/investors/mifs/FFINgw" xr:uid="{43D9CBDD-EA14-4E57-8858-660B59427DA3}"/>
    <hyperlink ref="E23" r:id="rId38" display="https://kase.kz/ru/listing/issuers/FFIN" xr:uid="{78D1ED17-EA84-464C-9755-BD9D6903EAF7}"/>
    <hyperlink ref="B24" r:id="rId39" display="https://kase.kz/ru/investors/mifs/HFINhl" xr:uid="{1AB7A0F0-28BF-4DCB-8D99-30BFCEEF639D}"/>
    <hyperlink ref="E24" r:id="rId40" display="https://kase.kz/ru/listing/issuers/HFIN" xr:uid="{12AF6637-5FF0-425C-A864-ADB69B3F655B}"/>
    <hyperlink ref="B25" r:id="rId41" display="https://kase.kz/ru/investors/mifs/HFINhp" xr:uid="{8FB5AC9F-97D6-4428-9EBD-9F5F5277B4C1}"/>
    <hyperlink ref="E25" r:id="rId42" display="https://kase.kz/ru/listing/issuers/HFIN" xr:uid="{6720B2D4-0798-4601-AA20-6DEB3164E487}"/>
    <hyperlink ref="B26" r:id="rId43" display="https://kase.kz/ru/investors/mifs/HFINhs" xr:uid="{011C6505-7D05-4F5E-B58D-1374D8E3E6A7}"/>
    <hyperlink ref="E26" r:id="rId44" display="https://kase.kz/ru/listing/issuers/HFIN" xr:uid="{02C8CE16-9A2B-454E-BFEE-EDA9D9F9D054}"/>
    <hyperlink ref="B27" r:id="rId45" display="https://kase.kz/ru/investors/mifs/HFINhv" xr:uid="{81E41859-0CF8-4646-A2F4-E6861A594386}"/>
    <hyperlink ref="E27" r:id="rId46" display="https://kase.kz/ru/listing/issuers/HFIN" xr:uid="{13C42A3E-DE4F-491E-BA16-D2171104E008}"/>
    <hyperlink ref="B28" r:id="rId47" display="https://kase.kz/ru/investors/shares/HSBK" xr:uid="{53E7B5DA-B424-4FE7-8A39-6577A4D52054}"/>
    <hyperlink ref="E28" r:id="rId48" display="https://kase.kz/ru/listing/issuers/HSBK" xr:uid="{676F71FA-A520-4969-A2A9-6B643697671B}"/>
    <hyperlink ref="B29" r:id="rId49" display="https://kase.kz/ru/investors/bonds/HSBKb22" xr:uid="{48FBD978-6497-4442-A54D-3212423FE650}"/>
    <hyperlink ref="E29" r:id="rId50" display="https://kase.kz/ru/listing/issuers/HSBK" xr:uid="{3CE0E3FB-74EE-40C5-8EE1-5282AD1A0CC2}"/>
    <hyperlink ref="B30" r:id="rId51" display="https://kase.kz/ru/investors/depts/HSBKd" xr:uid="{31989D69-E109-47FC-8D3E-9723DC78DD36}"/>
    <hyperlink ref="E30" r:id="rId52" display="https://kase.kz/ru/listing/issuers/HSBK" xr:uid="{B07E26CA-9003-4CA2-8E90-D3C5D9A22D9C}"/>
    <hyperlink ref="B31" r:id="rId53" display="https://kase.kz/ru/investors/shares/IFDR" xr:uid="{01F7DEA8-27E6-47E3-BB89-D40A57951AF2}"/>
    <hyperlink ref="E31" r:id="rId54" display="https://kase.kz/ru/listing/issuers/TCIB" xr:uid="{97FCF26B-AD9E-415E-8660-EAB0E37522E0}"/>
    <hyperlink ref="B32" r:id="rId55" display="https://kase.kz/ru/investors/shares/KCEL" xr:uid="{647FF2B5-BE6C-49DD-B683-EEAA14491606}"/>
    <hyperlink ref="E32" r:id="rId56" display="https://kase.kz/ru/listing/issuers/KCEL" xr:uid="{116E0144-E41A-4509-9655-45471763B4BC}"/>
    <hyperlink ref="B33" r:id="rId57" display="https://kase.kz/ru/investors/shares/KEGC" xr:uid="{8C783658-41E0-4257-8199-D5BAEBE15551}"/>
    <hyperlink ref="E33" r:id="rId58" display="https://kase.kz/ru/listing/issuers/KEGC" xr:uid="{112A0694-8317-4CFB-9395-8C6D589DA1C2}"/>
    <hyperlink ref="B34" r:id="rId59" display="https://kase.kz/ru/investors/shares/KMGZ" xr:uid="{D0A857E7-A192-4CEF-BD4A-DC534FF46978}"/>
    <hyperlink ref="E34" r:id="rId60" display="https://kase.kz/ru/listing/issuers/KMGZ" xr:uid="{3ACB085F-6C5E-4AF1-894A-67AA97D6DD1E}"/>
    <hyperlink ref="B35" r:id="rId61" display="https://kase.kz/ru/investors/bonds/KMGZe12" xr:uid="{E1745EAD-D7AC-4C17-B7CA-B07DABE1B505}"/>
    <hyperlink ref="E35" r:id="rId62" display="https://kase.kz/ru/listing/issuers/KMGZ" xr:uid="{3D4AFE94-4378-4327-894B-25300AD5C0CE}"/>
    <hyperlink ref="B36" r:id="rId63" display="https://kase.kz/ru/investors/bonds/KMGZe15" xr:uid="{9B9C515D-36E0-4846-9872-AFC0097E3274}"/>
    <hyperlink ref="E36" r:id="rId64" display="https://kase.kz/ru/listing/issuers/KMGZ" xr:uid="{5CA28C89-7F58-4140-A938-19F3CB903E2D}"/>
    <hyperlink ref="B37" r:id="rId65" display="https://kase.kz/ru/investors/shares/KSPI" xr:uid="{3BC2D9D0-2509-4EC8-9653-24A779AC1964}"/>
    <hyperlink ref="E37" r:id="rId66" display="https://kase.kz/ru/listing/issuers/KSPI" xr:uid="{2E11F915-0F65-4DCF-9EAE-7A666612C66B}"/>
    <hyperlink ref="B38" r:id="rId67" display="https://kase.kz/ru/investors/depts/KSPId" xr:uid="{D8F3BFF6-5D57-4513-A9A8-3843403802B7}"/>
    <hyperlink ref="E38" r:id="rId68" display="https://kase.kz/ru/listing/issuers/KSPI" xr:uid="{869CB7B0-5431-467F-9411-B75D7D7B244F}"/>
    <hyperlink ref="B39" r:id="rId69" display="https://kase.kz/ru/investors/shares/KZAP" xr:uid="{CB518F70-2D7A-4A39-B0B7-5213577F1441}"/>
    <hyperlink ref="E39" r:id="rId70" display="https://kase.kz/ru/listing/issuers/KZAP" xr:uid="{14AF86C1-743C-4B85-9C86-D945C3F2F3E7}"/>
    <hyperlink ref="B40" r:id="rId71" display="https://kase.kz/ru/investors/bonds/KZTCb3" xr:uid="{639FF16A-C14D-4809-BFF4-F733DAEF3983}"/>
    <hyperlink ref="E40" r:id="rId72" display="https://kase.kz/ru/listing/issuers/KZTC" xr:uid="{84FBB3DD-E81A-4D88-93B8-964D61144B50}"/>
    <hyperlink ref="B41" r:id="rId73" display="https://kase.kz/ru/investors/shares/KZTK" xr:uid="{B37B8ED1-E963-46CF-9AF4-BF76B598893D}"/>
    <hyperlink ref="E41" r:id="rId74" display="https://kase.kz/ru/listing/issuers/KZTK" xr:uid="{73715A4D-ED31-44C8-9A4E-F1DCEF24E3DB}"/>
    <hyperlink ref="B42" r:id="rId75" display="https://kase.kz/ru/investors/shares/KZTKp" xr:uid="{71447001-2D35-4955-8335-BFB16AB71631}"/>
    <hyperlink ref="E42" r:id="rId76" display="https://kase.kz/ru/listing/issuers/KZTK" xr:uid="{931575C6-3BD5-4507-9902-523080D065C3}"/>
    <hyperlink ref="B43" r:id="rId77" display="https://kase.kz/ru/investors/shares/KZTO" xr:uid="{4F49A424-8373-4743-AF7E-B9EEF54DA0CE}"/>
    <hyperlink ref="E43" r:id="rId78" display="https://kase.kz/ru/listing/issuers/KZTO" xr:uid="{9F9AE0FD-96D7-4905-AEF2-02B1CAF85646}"/>
    <hyperlink ref="B44" r:id="rId79" display="https://kase.kz/ru/investors/gsecs/KZ_23_3504" xr:uid="{332E347E-9352-43D2-9EA9-0EB6C85D00B1}"/>
    <hyperlink ref="E44" r:id="rId80" display="https://kase.kz/ru/listing/issuers/MFRK" xr:uid="{133A9578-CADB-47DA-9712-F7313A7A5534}"/>
    <hyperlink ref="B45" r:id="rId81" display="https://kase.kz/ru/investors/bonds/MFDFb1" xr:uid="{F3C3115B-9A62-48AE-88D9-4348083CE28D}"/>
    <hyperlink ref="E45" r:id="rId82" display="https://kase.kz/ru/listing/issuers/MFDF" xr:uid="{8A9A9F25-5A32-4AB4-B29E-2341BCCA0657}"/>
    <hyperlink ref="B46" r:id="rId83" display="https://kase.kz/ru/investors/bonds/MFDFb3" xr:uid="{6B46F7E6-D1F8-4E1D-9A0B-0C62A76FE01F}"/>
    <hyperlink ref="E46" r:id="rId84" display="https://kase.kz/ru/listing/issuers/MFDF" xr:uid="{13E68866-457B-421E-BD30-1BC74FD17EA5}"/>
    <hyperlink ref="B47" r:id="rId85" display="https://kase.kz/ru/investors/bonds/MFLGb14" xr:uid="{14C9744A-59A1-4CF7-A04F-22A4CA6B865F}"/>
    <hyperlink ref="E47" r:id="rId86" display="https://kase.kz/ru/listing/issuers/MFLG" xr:uid="{D8C70E9C-905F-4C2C-9275-AEC06054FF7C}"/>
    <hyperlink ref="B48" r:id="rId87" display="https://kase.kz/ru/investors/bonds/MFMOb10" xr:uid="{EFCDDD2B-A5A6-4E7C-A1D4-A6CB465F9D56}"/>
    <hyperlink ref="E48" r:id="rId88" display="https://kase.kz/ru/listing/issuers/MFMO" xr:uid="{A20513FD-1701-4459-92C8-85C3362BFE55}"/>
    <hyperlink ref="B49" r:id="rId89" display="https://kase.kz/ru/investors/bonds/MFMOb17" xr:uid="{F844D2C6-37A4-4881-B510-51AB4EE89CDD}"/>
    <hyperlink ref="E49" r:id="rId90" display="https://kase.kz/ru/listing/issuers/MFMO" xr:uid="{1FF08797-2D3F-4A8A-89A6-462F453D6D8A}"/>
    <hyperlink ref="B50" r:id="rId91" display="https://kase.kz/ru/investors/bonds/MFMOb25" xr:uid="{A4E493A2-81BF-49F4-976B-70EF594A5EEE}"/>
    <hyperlink ref="E50" r:id="rId92" display="https://kase.kz/ru/listing/issuers/MFMO" xr:uid="{5DD831BA-028F-4EC4-81E3-4E13AAB69D5C}"/>
    <hyperlink ref="B51" r:id="rId93" display="https://kase.kz/ru/investors/bonds/MFMOb26" xr:uid="{C7A8749B-7457-4C23-94B3-95F2030848FF}"/>
    <hyperlink ref="E51" r:id="rId94" display="https://kase.kz/ru/listing/issuers/MFMO" xr:uid="{1C7A7DEA-74D8-450F-8A8B-9B4A557A1DDA}"/>
    <hyperlink ref="B52" r:id="rId95" display="https://kase.kz/ru/investors/bonds/MFMOb27" xr:uid="{EDAA73AE-E7AE-4717-84A5-A987414F430F}"/>
    <hyperlink ref="E52" r:id="rId96" display="https://kase.kz/ru/listing/issuers/MFMO" xr:uid="{950F48B7-808E-490B-8556-2A8F4E726001}"/>
    <hyperlink ref="B53" r:id="rId97" display="https://kase.kz/ru/investors/bonds/MFMOb32" xr:uid="{46F72CE0-6D9B-45EE-A0C0-92F09D852A7B}"/>
    <hyperlink ref="E53" r:id="rId98" display="https://kase.kz/ru/listing/issuers/MFMO" xr:uid="{AB7387CE-C1D5-46A9-9DA3-702EB0EA19A0}"/>
    <hyperlink ref="B54" r:id="rId99" display="https://kase.kz/ru/investors/bonds/MFOKb16" xr:uid="{AADFE18E-7560-47C2-993B-B22E78B90952}"/>
    <hyperlink ref="E54" r:id="rId100" display="https://kase.kz/ru/listing/issuers/MFOK" xr:uid="{0876A297-2B7E-46C7-BBE9-91FA7EC28CB6}"/>
    <hyperlink ref="B55" r:id="rId101" display="https://kase.kz/ru/investors/bonds/MFOKb18" xr:uid="{57AC84B6-22EA-4684-82C9-5D73C7A7EC1B}"/>
    <hyperlink ref="E55" r:id="rId102" display="https://kase.kz/ru/listing/issuers/MFOK" xr:uid="{6A0F82EE-DA29-4FBD-9233-E9D4E900E789}"/>
    <hyperlink ref="B56" r:id="rId103" display="https://kase.kz/ru/investors/bonds/MFOKb19" xr:uid="{0DC1C387-D7EB-4731-9A0B-BD40ADE2E3E2}"/>
    <hyperlink ref="E56" r:id="rId104" display="https://kase.kz/ru/listing/issuers/MFOK" xr:uid="{D469FA56-A8CA-4CCD-9284-BCDCFA2E3970}"/>
    <hyperlink ref="B57" r:id="rId105" display="https://kase.kz/ru/investors/bonds/MFOKb20" xr:uid="{86A293A5-9BE0-4776-82F7-5A46820BDF88}"/>
    <hyperlink ref="E57" r:id="rId106" display="https://kase.kz/ru/listing/issuers/MFOK" xr:uid="{054ACA20-F861-46B1-B6BC-CD0CE69A2773}"/>
    <hyperlink ref="B58" r:id="rId107" display="https://kase.kz/ru/investors/bonds/MFOKb21" xr:uid="{4EAC4B66-4D84-472C-94A9-A5704E789F1E}"/>
    <hyperlink ref="E58" r:id="rId108" display="https://kase.kz/ru/listing/issuers/MFOK" xr:uid="{1EE05415-F325-462B-A0C1-DAA11582941A}"/>
    <hyperlink ref="B59" r:id="rId109" display="https://kase.kz/ru/investors/bonds/MFOKb22" xr:uid="{92F0E0B9-AAC7-4F5C-8519-1283F81670DA}"/>
    <hyperlink ref="E59" r:id="rId110" display="https://kase.kz/ru/listing/issuers/MFOK" xr:uid="{CB969E48-47F0-483D-9068-2B1DE9565712}"/>
    <hyperlink ref="B60" r:id="rId111" display="https://kase.kz/ru/investors/bonds/MFOKb24" xr:uid="{870BF929-1D5D-4722-A97F-6AFDA9BF5350}"/>
    <hyperlink ref="E60" r:id="rId112" display="https://kase.kz/ru/listing/issuers/MFOK" xr:uid="{BF9262D9-D1CE-46A8-BA0E-01A7CE739DDF}"/>
    <hyperlink ref="B61" r:id="rId113" display="https://kase.kz/ru/investors/bonds/MFOKb25" xr:uid="{D0B48E3C-1A55-4EEC-884D-AB47F431B3C5}"/>
    <hyperlink ref="E61" r:id="rId114" display="https://kase.kz/ru/listing/issuers/MFOK" xr:uid="{6DC792C0-BE05-48EA-AB78-79DDA96379FE}"/>
    <hyperlink ref="B62" r:id="rId115" display="https://kase.kz/ru/investors/bonds/MFOKb26" xr:uid="{A0AAEC0C-C0D2-4E5E-8E9F-4D390639977F}"/>
    <hyperlink ref="E62" r:id="rId116" display="https://kase.kz/ru/listing/issuers/MFOK" xr:uid="{23B1A19F-534B-4842-A0DF-F353F986E2E4}"/>
    <hyperlink ref="B63" r:id="rId117" display="https://kase.kz/ru/investors/bonds/MFRFb12" xr:uid="{5C79D70F-384F-45CE-BC43-25B5B0299B19}"/>
    <hyperlink ref="E63" r:id="rId118" display="https://kase.kz/ru/listing/issuers/MFRF" xr:uid="{BAF1C31B-D480-4697-9FAB-6AAADA98927F}"/>
    <hyperlink ref="B64" r:id="rId119" display="https://kase.kz/ru/investors/bonds/MFRFb13" xr:uid="{ED86D132-57BC-4D28-B486-17539E0077EA}"/>
    <hyperlink ref="E64" r:id="rId120" display="https://kase.kz/ru/listing/issuers/MFRF" xr:uid="{54840E94-CAED-40DE-B3A2-9EBD8AFB5EE0}"/>
    <hyperlink ref="B65" r:id="rId121" display="https://kase.kz/ru/investors/bonds/MFRFb14" xr:uid="{36F5FD1F-952C-46FB-8E42-7AC1F9E866DE}"/>
    <hyperlink ref="E65" r:id="rId122" display="https://kase.kz/ru/listing/issuers/MFRF" xr:uid="{2D97823C-A8A7-461B-8354-939FE823DAFB}"/>
    <hyperlink ref="B66" r:id="rId123" display="https://kase.kz/ru/investors/bonds/MFRFb16" xr:uid="{602A643B-E58D-4FEE-85D3-313AE8A3CA26}"/>
    <hyperlink ref="E66" r:id="rId124" display="https://kase.kz/ru/listing/issuers/MFRF" xr:uid="{C240CE78-AE9E-406F-ABEE-E2D74A5FC6BB}"/>
    <hyperlink ref="B67" r:id="rId125" display="https://kase.kz/ru/investors/bonds/MFRFb18" xr:uid="{16D01ECD-7648-46D1-ACB5-C0ABB06E3456}"/>
    <hyperlink ref="E67" r:id="rId126" display="https://kase.kz/ru/listing/issuers/MFRF" xr:uid="{987A81BF-7467-4D78-8D4E-02494E0D0F88}"/>
    <hyperlink ref="B68" r:id="rId127" display="https://kase.kz/ru/investors/bonds/MFRFb19" xr:uid="{A8C5510B-A4D5-4589-A83A-42918DDE751B}"/>
    <hyperlink ref="E68" r:id="rId128" display="https://kase.kz/ru/listing/issuers/MFRF" xr:uid="{13A71F9E-482D-42EB-A305-558EBE909E26}"/>
    <hyperlink ref="B69" r:id="rId129" display="https://kase.kz/ru/investors/bonds/MFRFb21" xr:uid="{8FEBE843-68C7-4519-AA3B-21C1D0925942}"/>
    <hyperlink ref="E69" r:id="rId130" display="https://kase.kz/ru/listing/issuers/MFRF" xr:uid="{54D58ECA-6165-4677-B5DD-42D70BF1C03F}"/>
    <hyperlink ref="B70" r:id="rId131" display="https://kase.kz/ru/investors/bonds/MFTSb1" xr:uid="{BA42210F-401A-4B7B-A56F-D16E2044D9DF}"/>
    <hyperlink ref="E70" r:id="rId132" display="https://kase.kz/ru/listing/issuers/MFTS" xr:uid="{AFA5611A-88DC-4D1A-AC54-46AAFF9F365C}"/>
    <hyperlink ref="B71" r:id="rId133" display="https://kase.kz/ru/investors/bonds/MFTSb2" xr:uid="{0FC73A02-6556-4571-9B4B-20ADE7B9BB9E}"/>
    <hyperlink ref="E71" r:id="rId134" display="https://kase.kz/ru/listing/issuers/MFTS" xr:uid="{6AA8A9F5-80F4-4824-9661-B27C50A1B15A}"/>
    <hyperlink ref="B72" r:id="rId135" display="https://kase.kz/ru/investors/bonds/MFTSb3" xr:uid="{3F4D51DD-50F1-47AE-BAFD-413ECB40D3A0}"/>
    <hyperlink ref="E72" r:id="rId136" display="https://kase.kz/ru/listing/issuers/MFTS" xr:uid="{7E1439A4-347E-4342-B4A3-D3FC75634921}"/>
    <hyperlink ref="B73" r:id="rId137" display="https://kase.kz/ru/investors/gsecs/MKM012_0159" xr:uid="{7691EF95-FA4D-40C5-8BBA-500EC798D872}"/>
    <hyperlink ref="E73" r:id="rId138" display="https://kase.kz/ru/listing/issuers/MFRK" xr:uid="{C41EC948-60EA-411F-AD18-0C76E2672898}"/>
    <hyperlink ref="B74" r:id="rId139" display="https://kase.kz/ru/investors/gsecs/MKM012_0160" xr:uid="{1EA7BDCF-4520-4F5A-94FE-74D4F431206D}"/>
    <hyperlink ref="E74" r:id="rId140" display="https://kase.kz/ru/listing/issuers/MFRK" xr:uid="{6287380E-C1C1-4772-B5BD-BF7B6CA0272A}"/>
    <hyperlink ref="B75" r:id="rId141" display="https://kase.kz/ru/investors/gsecs/MKM012_0161" xr:uid="{83BD0900-DB9E-4BCB-8219-2B7DA07AC330}"/>
    <hyperlink ref="E75" r:id="rId142" display="https://kase.kz/ru/listing/issuers/MFRK" xr:uid="{2125E344-3BFE-4B37-955D-81D7A9A3AD03}"/>
    <hyperlink ref="B76" r:id="rId143" display="https://kase.kz/ru/investors/gsecs/MOM048_0052" xr:uid="{5A42A3F7-570D-4A97-ADD7-831E68AB1BFC}"/>
    <hyperlink ref="E76" r:id="rId144" display="https://kase.kz/ru/listing/issuers/MFRK" xr:uid="{62BA0833-74F9-4B52-B7B1-C86C9F034B40}"/>
    <hyperlink ref="B77" r:id="rId145" display="https://kase.kz/ru/investors/gsecs/MOM048_0053" xr:uid="{875E39D2-3A0D-407C-A0C1-50ED1A596DA4}"/>
    <hyperlink ref="E77" r:id="rId146" display="https://kase.kz/ru/listing/issuers/MFRK" xr:uid="{4E9850B5-AE09-4469-A5D9-F5E4EBF4B382}"/>
    <hyperlink ref="B78" r:id="rId147" display="https://kase.kz/ru/investors/gsecs/MOM048_0054" xr:uid="{8241C11E-51E4-4DBE-90D3-C0C983231FAA}"/>
    <hyperlink ref="E78" r:id="rId148" display="https://kase.kz/ru/listing/issuers/MFRK" xr:uid="{1AD7876A-3E7B-43FC-B3A7-45CE4865893C}"/>
    <hyperlink ref="B79" r:id="rId149" display="https://kase.kz/ru/investors/gsecs/MOM048_0056" xr:uid="{1E8425E5-6C2C-47F0-A258-CC3B89FE83CF}"/>
    <hyperlink ref="E79" r:id="rId150" display="https://kase.kz/ru/listing/issuers/MFRK" xr:uid="{C6A8F191-C713-4C5F-AE78-21E5A087C0B6}"/>
    <hyperlink ref="B80" r:id="rId151" display="https://kase.kz/ru/investors/gsecs/MOM060_0052" xr:uid="{C639C122-0F00-49B6-821A-A17B90D4792B}"/>
    <hyperlink ref="E80" r:id="rId152" display="https://kase.kz/ru/listing/issuers/MFRK" xr:uid="{2BA5B287-FCDE-4B06-B070-DECA79456AD0}"/>
    <hyperlink ref="B81" r:id="rId153" display="https://kase.kz/ru/investors/gsecs/MOM060_0054" xr:uid="{AC8310BD-ED53-4284-9567-ED6F78D26E03}"/>
    <hyperlink ref="E81" r:id="rId154" display="https://kase.kz/ru/listing/issuers/MFRK" xr:uid="{30375644-6BB8-42D1-AE05-BEB512FF8D7A}"/>
    <hyperlink ref="B82" r:id="rId155" display="https://kase.kz/ru/investors/gsecs/MTC048_0001" xr:uid="{1D79F0DC-3D00-4A18-B146-0B5B3E6CE3DA}"/>
    <hyperlink ref="E82" r:id="rId156" display="https://kase.kz/ru/listing/issuers/MFRK" xr:uid="{11FE89F0-5F1C-4D95-8457-744A274732BD}"/>
    <hyperlink ref="B83" r:id="rId157" display="https://kase.kz/ru/investors/gsecs/MTM048_0001" xr:uid="{9FF153F5-E298-4118-9657-D8CDFF1B0A5E}"/>
    <hyperlink ref="E83" r:id="rId158" display="https://kase.kz/ru/listing/issuers/MFRK" xr:uid="{21497945-92A8-487C-A4C8-6123D3301240}"/>
    <hyperlink ref="B84" r:id="rId159" display="https://kase.kz/ru/investors/gsecs/MTM060_0001" xr:uid="{3A00D1E2-FA07-4916-8D83-10F4F1807571}"/>
    <hyperlink ref="E84" r:id="rId160" display="https://kase.kz/ru/listing/issuers/MFRK" xr:uid="{0FA8F1C9-2C77-4892-BC7E-378970270EAB}"/>
    <hyperlink ref="B85" r:id="rId161" display="https://kase.kz/ru/investors/gsecs/MTM072_0001" xr:uid="{BB2CF99B-1E35-4EC9-912E-BF9C6E9C9145}"/>
    <hyperlink ref="E85" r:id="rId162" display="https://kase.kz/ru/listing/issuers/MFRK" xr:uid="{E268A6D3-E5B5-4C8B-866B-E22B1C3F0919}"/>
    <hyperlink ref="B86" r:id="rId163" display="https://kase.kz/ru/investors/gsecs/MTM084_0001" xr:uid="{50E51045-9C35-48DB-BF8F-988BA2F96BA7}"/>
    <hyperlink ref="E86" r:id="rId164" display="https://kase.kz/ru/listing/issuers/MFRK" xr:uid="{6E98EEF9-C74D-472D-AE0F-AC12AE1661E1}"/>
    <hyperlink ref="B87" r:id="rId165" display="https://kase.kz/ru/investors/gsecs/MTM096_0001" xr:uid="{8BBFF3C1-5D51-4D13-9384-59B6D2D7ADF9}"/>
    <hyperlink ref="E87" r:id="rId166" display="https://kase.kz/ru/listing/issuers/MFRK" xr:uid="{DBEBFF44-06F4-4260-A4C1-1EB20CF7EA67}"/>
    <hyperlink ref="B88" r:id="rId167" display="https://kase.kz/ru/investors/gsecs/MUJ144_0005" xr:uid="{86D48F2D-710F-4BB3-AC71-B25D82A4BF22}"/>
    <hyperlink ref="E88" r:id="rId168" display="https://kase.kz/ru/listing/issuers/MFRK" xr:uid="{1F6563F9-0A0F-465D-8636-312C9CF3C7A1}"/>
    <hyperlink ref="B89" r:id="rId169" display="https://kase.kz/ru/investors/gsecs/MUJ156_0004" xr:uid="{3647D17E-DFFA-4DD2-A994-267646A13B30}"/>
    <hyperlink ref="E89" r:id="rId170" display="https://kase.kz/ru/listing/issuers/MFRK" xr:uid="{2A7FAFE3-F107-405D-8390-A3015D7A1745}"/>
    <hyperlink ref="B90" r:id="rId171" display="https://kase.kz/ru/investors/gsecs/MUJ168_0004" xr:uid="{DAA0E11F-B46E-447C-838C-9E5CA0202CA6}"/>
    <hyperlink ref="E90" r:id="rId172" display="https://kase.kz/ru/listing/issuers/MFRK" xr:uid="{A5A091DA-BF61-4D50-A9D1-75F2F5503373}"/>
    <hyperlink ref="B91" r:id="rId173" display="https://kase.kz/ru/investors/gsecs/MUJ168_0005" xr:uid="{66B0EAA7-4777-4EF2-9D38-8F8355BDFA8E}"/>
    <hyperlink ref="E91" r:id="rId174" display="https://kase.kz/ru/listing/issuers/MFRK" xr:uid="{D9CDCB26-D4F8-410E-9855-60FE40900DBA}"/>
    <hyperlink ref="B92" r:id="rId175" display="https://kase.kz/ru/investors/gsecs/MUJ180_0007" xr:uid="{24F65A8B-235E-41DE-999C-7663ED4D2605}"/>
    <hyperlink ref="E92" r:id="rId176" display="https://kase.kz/ru/listing/issuers/MFRK" xr:uid="{ED3CCEC9-A0DD-4024-BE95-21A1A6C15189}"/>
    <hyperlink ref="B93" r:id="rId177" display="https://kase.kz/ru/investors/gsecs/MUJ180_0008" xr:uid="{47B051B9-C86C-49F4-A4E1-77C03C7D1C4E}"/>
    <hyperlink ref="E93" r:id="rId178" display="https://kase.kz/ru/listing/issuers/MFRK" xr:uid="{3BAC95FB-F423-4F97-B001-9567C5DDC921}"/>
    <hyperlink ref="B94" r:id="rId179" display="https://kase.kz/ru/investors/gsecs/MUJ192_0002" xr:uid="{A0F4F257-8354-403E-A2E8-29C5DFEC95B0}"/>
    <hyperlink ref="E94" r:id="rId180" display="https://kase.kz/ru/listing/issuers/MFRK" xr:uid="{4E32E6A4-8DC9-411A-A9FB-EB4560617526}"/>
    <hyperlink ref="B95" r:id="rId181" display="https://kase.kz/ru/investors/gsecs/MUJ192_0003" xr:uid="{2BBC9A68-9F1F-4128-A7B3-75C58ECF41BF}"/>
    <hyperlink ref="E95" r:id="rId182" display="https://kase.kz/ru/listing/issuers/MFRK" xr:uid="{BE21E6EE-2F3B-4420-903A-5AA2B65DA3C7}"/>
    <hyperlink ref="B96" r:id="rId183" display="https://kase.kz/ru/investors/gsecs/MUJ192_0004" xr:uid="{85436C54-55F8-4174-B20F-6C68155C51D0}"/>
    <hyperlink ref="E96" r:id="rId184" display="https://kase.kz/ru/listing/issuers/MFRK" xr:uid="{8521F90D-E68C-4107-A291-1D107345BEE4}"/>
    <hyperlink ref="B97" r:id="rId185" display="https://kase.kz/ru/investors/gsecs/MUJ204_0001" xr:uid="{39C5B578-CB55-442A-A0A4-0C2542CD82A0}"/>
    <hyperlink ref="E97" r:id="rId186" display="https://kase.kz/ru/listing/issuers/MFRK" xr:uid="{1BE1D5F4-2BEF-40B2-8C77-9724925405C7}"/>
    <hyperlink ref="B98" r:id="rId187" display="https://kase.kz/ru/investors/gsecs/MUJ204_0002" xr:uid="{620A69D1-59EB-408B-B314-32B7894DD8E4}"/>
    <hyperlink ref="E98" r:id="rId188" display="https://kase.kz/ru/listing/issuers/MFRK" xr:uid="{34BB994D-8F2F-404D-8460-1B0C33EC0ECE}"/>
    <hyperlink ref="B99" r:id="rId189" display="https://kase.kz/ru/investors/gsecs/MUJ204_0003" xr:uid="{091DD018-6426-4D3A-A89A-E7BBAA334132}"/>
    <hyperlink ref="E99" r:id="rId190" display="https://kase.kz/ru/listing/issuers/MFRK" xr:uid="{4092D179-1433-4B01-8D9D-4B885C42E3B9}"/>
    <hyperlink ref="B100" r:id="rId191" display="https://kase.kz/ru/investors/gsecs/MUJ204_0004" xr:uid="{12268DFD-4170-4822-8763-C2B1463CFDB9}"/>
    <hyperlink ref="E100" r:id="rId192" display="https://kase.kz/ru/listing/issuers/MFRK" xr:uid="{666AE114-7076-4A0A-BA37-257E1183A4A3}"/>
    <hyperlink ref="B101" r:id="rId193" display="https://kase.kz/ru/investors/gsecs/MUJ204_0005" xr:uid="{E439FB88-E861-41F2-BC1A-B6A6C1E82502}"/>
    <hyperlink ref="E101" r:id="rId194" display="https://kase.kz/ru/listing/issuers/MFRK" xr:uid="{0F15F71B-AA9E-4A0A-A598-2D616A4F604B}"/>
    <hyperlink ref="B102" r:id="rId195" display="https://kase.kz/ru/investors/gsecs/MUJ204_0006" xr:uid="{C0E575C6-3296-4193-B38D-5C436E6DFF38}"/>
    <hyperlink ref="E102" r:id="rId196" display="https://kase.kz/ru/listing/issuers/MFRK" xr:uid="{24A0D517-5AFC-49F8-98BD-F66535019A0C}"/>
    <hyperlink ref="B103" r:id="rId197" display="https://kase.kz/ru/investors/gsecs/MUJ216_0001" xr:uid="{5F64B9EE-13FF-4790-A21E-82204250EBAC}"/>
    <hyperlink ref="E103" r:id="rId198" display="https://kase.kz/ru/listing/issuers/MFRK" xr:uid="{C8344547-9869-4898-810F-2AFFC2D8A581}"/>
    <hyperlink ref="B104" r:id="rId199" display="https://kase.kz/ru/investors/gsecs/MUJ216_0002" xr:uid="{ECC6AB44-6901-4EAE-83EE-1BA169B004BA}"/>
    <hyperlink ref="E104" r:id="rId200" display="https://kase.kz/ru/listing/issuers/MFRK" xr:uid="{1F3E48A1-2592-41A5-92B8-1D0C265ECD6D}"/>
    <hyperlink ref="B105" r:id="rId201" display="https://kase.kz/ru/investors/gsecs/MUJ216_0003" xr:uid="{9366DE0D-4CF9-4380-97DC-581EED53B537}"/>
    <hyperlink ref="E105" r:id="rId202" display="https://kase.kz/ru/listing/issuers/MFRK" xr:uid="{DDA6CB6B-A687-48D6-A91C-D5DCB6F7D142}"/>
    <hyperlink ref="B106" r:id="rId203" display="https://kase.kz/ru/investors/gsecs/MUJ216_0004" xr:uid="{14C95BCC-3D41-493C-9A31-D51179F1F6C6}"/>
    <hyperlink ref="E106" r:id="rId204" display="https://kase.kz/ru/listing/issuers/MFRK" xr:uid="{F2CECF5C-4C1F-4F99-B1A5-F6926D645AC7}"/>
    <hyperlink ref="B107" r:id="rId205" display="https://kase.kz/ru/investors/gsecs/MUJ216_0005" xr:uid="{A1E8C69D-D8A1-405A-802F-FE308E5ED681}"/>
    <hyperlink ref="E107" r:id="rId206" display="https://kase.kz/ru/listing/issuers/MFRK" xr:uid="{DAD4E3AC-0125-438D-9EC5-C60051EAAF5A}"/>
    <hyperlink ref="B108" r:id="rId207" display="https://kase.kz/ru/investors/gsecs/MUJ228_0001" xr:uid="{E2D2C827-C6A1-491C-83E3-4B4A23052EA3}"/>
    <hyperlink ref="E108" r:id="rId208" display="https://kase.kz/ru/listing/issuers/MFRK" xr:uid="{83E2C1AE-F318-4291-8D6F-B963E43C96D5}"/>
    <hyperlink ref="B109" r:id="rId209" display="https://kase.kz/ru/investors/gsecs/MUJ228_0002" xr:uid="{725CA52A-C381-496A-B82F-B78E99C78112}"/>
    <hyperlink ref="E109" r:id="rId210" display="https://kase.kz/ru/listing/issuers/MFRK" xr:uid="{40273554-421E-4601-A35E-0559D87B608F}"/>
    <hyperlink ref="B110" r:id="rId211" display="https://kase.kz/ru/investors/gsecs/MUJ228_0003" xr:uid="{FD22DFF4-00B4-4C9A-8EB6-505D2E99F143}"/>
    <hyperlink ref="E110" r:id="rId212" display="https://kase.kz/ru/listing/issuers/MFRK" xr:uid="{A15DF9A5-C706-49A7-82C6-587385A0ABCC}"/>
    <hyperlink ref="B111" r:id="rId213" display="https://kase.kz/ru/investors/gsecs/MUJ228_0004" xr:uid="{E5CFA090-D092-49F7-B467-6CD6F09C335A}"/>
    <hyperlink ref="E111" r:id="rId214" display="https://kase.kz/ru/listing/issuers/MFRK" xr:uid="{B5BD56D9-628F-4589-AC61-3793A84F86BA}"/>
    <hyperlink ref="B112" r:id="rId215" display="https://kase.kz/ru/investors/gsecs/MUJ228_0005" xr:uid="{3C157B25-48BB-4BB7-88E0-BAFEEE687F4E}"/>
    <hyperlink ref="E112" r:id="rId216" display="https://kase.kz/ru/listing/issuers/MFRK" xr:uid="{C357ADF9-25F2-48C5-9F8B-B44DF2845030}"/>
    <hyperlink ref="B113" r:id="rId217" display="https://kase.kz/ru/investors/gsecs/MUJ228_0006" xr:uid="{E608768A-9C03-4FEB-BC93-9D356524EEF3}"/>
    <hyperlink ref="E113" r:id="rId218" display="https://kase.kz/ru/listing/issuers/MFRK" xr:uid="{833CB5FE-877E-4AB6-84EF-87EADDA4D8E8}"/>
    <hyperlink ref="B114" r:id="rId219" display="https://kase.kz/ru/investors/gsecs/MUJ240_0001" xr:uid="{79DA55C2-04C3-47FD-B16B-E70C44645E45}"/>
    <hyperlink ref="E114" r:id="rId220" display="https://kase.kz/ru/listing/issuers/MFRK" xr:uid="{90EBEFC5-BEC8-46D3-9B99-2B7B0A1312FF}"/>
    <hyperlink ref="B115" r:id="rId221" display="https://kase.kz/ru/investors/gsecs/MUM072_0013" xr:uid="{28C5CCF3-E785-4BA0-B1B8-3AD767D8091E}"/>
    <hyperlink ref="E115" r:id="rId222" display="https://kase.kz/ru/listing/issuers/MFRK" xr:uid="{329BC35A-5100-4E37-AE70-1217717D0675}"/>
    <hyperlink ref="B116" r:id="rId223" display="https://kase.kz/ru/investors/gsecs/MUM072_0014" xr:uid="{31C33857-45FE-4E36-BDE1-6138AD937F37}"/>
    <hyperlink ref="E116" r:id="rId224" display="https://kase.kz/ru/listing/issuers/MFRK" xr:uid="{19282D13-01C7-4AF2-BB83-C4C3EDF01A38}"/>
    <hyperlink ref="B117" r:id="rId225" display="https://kase.kz/ru/investors/gsecs/MUM072_0015" xr:uid="{12D55C26-5179-458C-BEDE-3AE89828C8D0}"/>
    <hyperlink ref="E117" r:id="rId226" display="https://kase.kz/ru/listing/issuers/MFRK" xr:uid="{638472B5-D0DD-46E3-A2CD-89F97733C4DC}"/>
    <hyperlink ref="B118" r:id="rId227" display="https://kase.kz/ru/investors/gsecs/MUM084_0018" xr:uid="{EAF1AA36-74A2-4B80-ABE5-C87AE22A47AB}"/>
    <hyperlink ref="E118" r:id="rId228" display="https://kase.kz/ru/listing/issuers/MFRK" xr:uid="{547098F7-F69A-4D35-AC57-AF2DB4A405B2}"/>
    <hyperlink ref="B119" r:id="rId229" display="https://kase.kz/ru/investors/gsecs/MUM084_0019" xr:uid="{9D5B073C-D76E-4B7E-80AB-3B344EE19E6A}"/>
    <hyperlink ref="E119" r:id="rId230" display="https://kase.kz/ru/listing/issuers/MFRK" xr:uid="{3BA25D7C-870F-43B1-A350-51082EAC2FFF}"/>
    <hyperlink ref="B120" r:id="rId231" display="https://kase.kz/ru/investors/gsecs/MUM084_0020" xr:uid="{919AF000-35AD-45BB-891A-F97AAFD4913E}"/>
    <hyperlink ref="E120" r:id="rId232" display="https://kase.kz/ru/listing/issuers/MFRK" xr:uid="{E295BD85-5B7C-4DD8-87B8-AB1613A73E88}"/>
    <hyperlink ref="B121" r:id="rId233" display="https://kase.kz/ru/investors/gsecs/MUM096_0011" xr:uid="{1F500178-D528-4775-A612-6E5587A81983}"/>
    <hyperlink ref="E121" r:id="rId234" display="https://kase.kz/ru/listing/issuers/MFRK" xr:uid="{BCEF2900-B127-4636-9829-1BA58D2B3F20}"/>
    <hyperlink ref="B122" r:id="rId235" display="https://kase.kz/ru/investors/gsecs/MUM096_0012" xr:uid="{966E12C2-2C0B-4C91-BF4D-D5333D1A92E1}"/>
    <hyperlink ref="E122" r:id="rId236" display="https://kase.kz/ru/listing/issuers/MFRK" xr:uid="{1E1D68A9-E569-40A5-8352-FCC038C87DAC}"/>
    <hyperlink ref="B123" r:id="rId237" display="https://kase.kz/ru/investors/gsecs/MUM096_0013" xr:uid="{B26F215A-13BB-4BF1-B203-08DC15602150}"/>
    <hyperlink ref="E123" r:id="rId238" display="https://kase.kz/ru/listing/issuers/MFRK" xr:uid="{847D0D5E-B112-4565-A7CE-94C5FA2E5F69}"/>
    <hyperlink ref="B124" r:id="rId239" display="https://kase.kz/ru/investors/gsecs/MUM096_0014" xr:uid="{695BCB45-7A9B-4752-9CBD-507707B448A9}"/>
    <hyperlink ref="E124" r:id="rId240" display="https://kase.kz/ru/listing/issuers/MFRK" xr:uid="{6C0EB559-F907-40E6-B76B-86AC90DECBAE}"/>
    <hyperlink ref="B125" r:id="rId241" display="https://kase.kz/ru/investors/gsecs/MUM096_0015" xr:uid="{BDC49FC9-C4E8-4160-8F24-14EDA7B2652D}"/>
    <hyperlink ref="E125" r:id="rId242" display="https://kase.kz/ru/listing/issuers/MFRK" xr:uid="{FAF89365-04B3-4907-BAC1-9790185AE90E}"/>
    <hyperlink ref="B126" r:id="rId243" display="https://kase.kz/ru/investors/gsecs/MUM108_0012" xr:uid="{946DDE9A-CBA0-4D0E-A3E0-4B614CE56EE2}"/>
    <hyperlink ref="E126" r:id="rId244" display="https://kase.kz/ru/listing/issuers/MFRK" xr:uid="{5F487A7A-14B2-4979-8AB3-FE5963AED52A}"/>
    <hyperlink ref="B127" r:id="rId245" display="https://kase.kz/ru/investors/gsecs/MUM108_0013" xr:uid="{F67EE865-DBBD-4E74-9261-F1EE7570A270}"/>
    <hyperlink ref="E127" r:id="rId246" display="https://kase.kz/ru/listing/issuers/MFRK" xr:uid="{8BFBF1CC-2433-49EF-8E34-A9AA83BAFA43}"/>
    <hyperlink ref="B128" r:id="rId247" display="https://kase.kz/ru/investors/gsecs/MUM108_0014" xr:uid="{53C0E54D-62E8-4021-AF00-FB0FD4FB023F}"/>
    <hyperlink ref="E128" r:id="rId248" display="https://kase.kz/ru/listing/issuers/MFRK" xr:uid="{E6EC6C83-396F-473B-85B8-E70CC420313F}"/>
    <hyperlink ref="B129" r:id="rId249" display="https://kase.kz/ru/investors/gsecs/MUM108_0015" xr:uid="{5F65D054-7568-4697-A403-E43ACB90FCE4}"/>
    <hyperlink ref="E129" r:id="rId250" display="https://kase.kz/ru/listing/issuers/MFRK" xr:uid="{AF5A5071-B445-45EF-8AA5-C94F9CD8BEB9}"/>
    <hyperlink ref="B130" r:id="rId251" display="https://kase.kz/ru/investors/gsecs/MUM120_0017" xr:uid="{A380F8AA-D50E-4006-9C3D-2B4DB1823925}"/>
    <hyperlink ref="E130" r:id="rId252" display="https://kase.kz/ru/listing/issuers/MFRK" xr:uid="{FD49EA82-928D-4214-90DA-54B8E81DD2D0}"/>
    <hyperlink ref="B131" r:id="rId253" display="https://kase.kz/ru/investors/gsecs/MUM120_0018" xr:uid="{7D2EBD12-3850-4982-9BBC-E2BC70C47FBC}"/>
    <hyperlink ref="E131" r:id="rId254" display="https://kase.kz/ru/listing/issuers/MFRK" xr:uid="{C27AA97C-6810-4D7D-BAF4-CD6FEBCD6288}"/>
    <hyperlink ref="B132" r:id="rId255" display="https://kase.kz/ru/investors/gsecs/MUM120_0019" xr:uid="{26DDF1E3-8DAB-482B-A459-CD5BF132DCCF}"/>
    <hyperlink ref="E132" r:id="rId256" display="https://kase.kz/ru/listing/issuers/MFRK" xr:uid="{07BEAF60-F0E8-461B-AC0D-0C0516144C5B}"/>
    <hyperlink ref="B133" r:id="rId257" display="https://kase.kz/ru/investors/gsecs/MUM120_0020" xr:uid="{526F86F3-A1B8-417D-A95F-DA461AA8DD80}"/>
    <hyperlink ref="E133" r:id="rId258" display="https://kase.kz/ru/listing/issuers/MFRK" xr:uid="{53833D8D-39EF-4CD6-8F6C-4368E6D2841C}"/>
    <hyperlink ref="B134" r:id="rId259" display="https://kase.kz/ru/investors/gsecs/MUM132_0007" xr:uid="{D91EC3B5-0EDC-4E54-9DC6-CA7F4DBBD016}"/>
    <hyperlink ref="E134" r:id="rId260" display="https://kase.kz/ru/listing/issuers/MFRK" xr:uid="{D223AB77-249E-48CA-9BD2-F4E916375874}"/>
    <hyperlink ref="B135" r:id="rId261" display="https://kase.kz/ru/investors/gsecs/MUM144_0009" xr:uid="{8F292B2B-5D72-4F68-B8E4-E3C12E1030CC}"/>
    <hyperlink ref="E135" r:id="rId262" display="https://kase.kz/ru/listing/issuers/MFRK" xr:uid="{F84DF475-1317-4AB2-AE2B-7C836D146C99}"/>
    <hyperlink ref="B136" r:id="rId263" display="https://kase.kz/ru/investors/gsecs/MUM156_0005" xr:uid="{B05C4863-4D2B-4400-BAF8-0D5707213E19}"/>
    <hyperlink ref="E136" r:id="rId264" display="https://kase.kz/ru/listing/issuers/MFRK" xr:uid="{8652E620-46A9-45B4-98AD-0929C909E279}"/>
    <hyperlink ref="B137" r:id="rId265" display="https://kase.kz/ru/investors/gsecs/MUM156_0006" xr:uid="{1B01AE50-049B-40B9-AF82-C40C923E418D}"/>
    <hyperlink ref="E137" r:id="rId266" display="https://kase.kz/ru/listing/issuers/MFRK" xr:uid="{6B7D6696-831F-45EE-A8A8-1AF14761A401}"/>
    <hyperlink ref="B138" r:id="rId267" display="https://kase.kz/ru/investors/gsecs/MUM156_0007" xr:uid="{6764645C-B34C-4802-9BED-C4445A9C3323}"/>
    <hyperlink ref="E138" r:id="rId268" display="https://kase.kz/ru/listing/issuers/MFRK" xr:uid="{E523FD71-7E74-4918-BDBA-668F5D8E02BA}"/>
    <hyperlink ref="B139" r:id="rId269" display="https://kase.kz/ru/investors/gsecs/MUM156_0008" xr:uid="{618392DB-BBB5-48CE-9B87-BFAC5B83E93C}"/>
    <hyperlink ref="E139" r:id="rId270" display="https://kase.kz/ru/listing/issuers/MFRK" xr:uid="{C63DF44B-29A7-48F9-9D52-7146537E5CF9}"/>
    <hyperlink ref="B140" r:id="rId271" display="https://kase.kz/ru/investors/gsecs/MUM168_0001" xr:uid="{CA930BE6-0D40-455C-B168-81D8DAB21C31}"/>
    <hyperlink ref="E140" r:id="rId272" display="https://kase.kz/ru/listing/issuers/MFRK" xr:uid="{5D7881B5-D941-4C18-9F7F-23D137F549D3}"/>
    <hyperlink ref="B141" r:id="rId273" display="https://kase.kz/ru/investors/gsecs/MUM168_0002" xr:uid="{2FC6B9D1-23CD-4250-A085-69B7EC637CED}"/>
    <hyperlink ref="E141" r:id="rId274" display="https://kase.kz/ru/listing/issuers/MFRK" xr:uid="{492341B1-F748-422C-AA6A-C54E2F376B59}"/>
    <hyperlink ref="B142" r:id="rId275" display="https://kase.kz/ru/investors/gsecs/MUM168_0003" xr:uid="{D00A0DFB-0F3D-47D1-A2B1-E5763FEB246F}"/>
    <hyperlink ref="E142" r:id="rId276" display="https://kase.kz/ru/listing/issuers/MFRK" xr:uid="{DADF09DB-E1FD-4580-82E4-13CE883BD10F}"/>
    <hyperlink ref="B143" r:id="rId277" display="https://kase.kz/ru/investors/gsecs/MUM168_0005" xr:uid="{B3421E76-C754-4E60-9A88-37C05B9FC46F}"/>
    <hyperlink ref="E143" r:id="rId278" display="https://kase.kz/ru/listing/issuers/MFRK" xr:uid="{6C640377-328C-46D5-92C5-D3D42569E281}"/>
    <hyperlink ref="B144" r:id="rId279" display="https://kase.kz/ru/investors/gsecs/MUM180_0003" xr:uid="{C31DE967-4B3D-4725-B351-AFBCD00B6803}"/>
    <hyperlink ref="E144" r:id="rId280" display="https://kase.kz/ru/listing/issuers/MFRK" xr:uid="{FB8C1193-F537-4790-909A-B51155EC21C3}"/>
    <hyperlink ref="B145" r:id="rId281" display="https://kase.kz/ru/investors/gsecs/MUM180_0004" xr:uid="{326DEF25-BACB-429B-AE7A-FEB1B025256C}"/>
    <hyperlink ref="E145" r:id="rId282" display="https://kase.kz/ru/listing/issuers/MFRK" xr:uid="{7977DDBF-F56E-4FC1-B534-4C71F9A24FCD}"/>
    <hyperlink ref="B146" r:id="rId283" display="https://kase.kz/ru/investors/gsecs/MUM180_0005" xr:uid="{0D45E7B3-F1A3-4922-9FCE-45ADB038B153}"/>
    <hyperlink ref="E146" r:id="rId284" display="https://kase.kz/ru/listing/issuers/MFRK" xr:uid="{2D832E70-3951-46F2-B2F1-0985938E90FB}"/>
    <hyperlink ref="B147" r:id="rId285" display="https://kase.kz/ru/investors/gsecs/MUM180_0006" xr:uid="{7E096CAF-7DAA-41B7-A965-07CE9046767A}"/>
    <hyperlink ref="E147" r:id="rId286" display="https://kase.kz/ru/listing/issuers/MFRK" xr:uid="{88E1C9CF-5EF3-422D-A978-5A0618B0BF8B}"/>
    <hyperlink ref="B148" r:id="rId287" display="https://kase.kz/ru/investors/gsecs/MUM180_0007" xr:uid="{72945BCE-B09C-471A-82E7-F87C057EF917}"/>
    <hyperlink ref="E148" r:id="rId288" display="https://kase.kz/ru/listing/issuers/MFRK" xr:uid="{3772EF26-2521-4D7D-B252-BE50F6AA0A62}"/>
    <hyperlink ref="B149" r:id="rId289" display="https://kase.kz/ru/investors/gsecs/MUM180_0008" xr:uid="{FE8DE134-E7F4-4AC6-A6A0-A363D03454F5}"/>
    <hyperlink ref="E149" r:id="rId290" display="https://kase.kz/ru/listing/issuers/MFRK" xr:uid="{1054312C-4BCD-4177-9202-58DC975B094E}"/>
    <hyperlink ref="B150" r:id="rId291" display="https://kase.kz/ru/investors/gsecs/MUM180_0009" xr:uid="{2EBEB992-95E5-45BF-86BD-490B670B2930}"/>
    <hyperlink ref="E150" r:id="rId292" display="https://kase.kz/ru/listing/issuers/MFRK" xr:uid="{6CB4DCB3-EA92-40F6-BC8E-EE5E1A2864C6}"/>
    <hyperlink ref="B151" r:id="rId293" display="https://kase.kz/ru/investors/gsecs/MUM180_0011" xr:uid="{7D2FE919-9430-4394-9998-1DB0FD863121}"/>
    <hyperlink ref="E151" r:id="rId294" display="https://kase.kz/ru/listing/issuers/MFRK" xr:uid="{8965F862-C53C-479C-A6D5-85C078D4C494}"/>
    <hyperlink ref="B152" r:id="rId295" display="https://kase.kz/ru/investors/gsecs/MUM180_0012" xr:uid="{B28029A4-B7A3-470C-BF34-466CC8F6679E}"/>
    <hyperlink ref="E152" r:id="rId296" display="https://kase.kz/ru/listing/issuers/MFRK" xr:uid="{F498610A-F192-452C-B66C-38104DEFED91}"/>
    <hyperlink ref="B153" r:id="rId297" display="https://kase.kz/ru/investors/gsecs/MUM180_0013" xr:uid="{A41A2AB2-EF9B-4307-90B4-63A0DDE28FE8}"/>
    <hyperlink ref="E153" r:id="rId298" display="https://kase.kz/ru/listing/issuers/MFRK" xr:uid="{782492A7-57D8-4536-A02C-BD0B3E197F3E}"/>
    <hyperlink ref="B154" r:id="rId299" display="https://kase.kz/ru/investors/gsecs/MUM180_0014" xr:uid="{78CC3081-5FD9-4323-A912-A4B64E287CCB}"/>
    <hyperlink ref="E154" r:id="rId300" display="https://kase.kz/ru/listing/issuers/MFRK" xr:uid="{12585E14-E7FC-4B8C-97A8-CC2CC70F5830}"/>
    <hyperlink ref="B155" r:id="rId301" display="https://kase.kz/ru/investors/gsecs/MUM180_0015" xr:uid="{425D935B-515F-4CBD-AED8-7132F9BFD355}"/>
    <hyperlink ref="E155" r:id="rId302" display="https://kase.kz/ru/listing/issuers/MFRK" xr:uid="{CAFD6622-6D67-4305-88B3-650BDE660954}"/>
    <hyperlink ref="B156" r:id="rId303" display="https://kase.kz/ru/investors/gsecs/MUM180_0016" xr:uid="{D2653DD4-1599-4A6C-9599-64FCDC5DCD5A}"/>
    <hyperlink ref="E156" r:id="rId304" display="https://kase.kz/ru/listing/issuers/MFRK" xr:uid="{496498BE-A18A-4661-B0A8-51C715E796AF}"/>
    <hyperlink ref="B157" r:id="rId305" display="https://kase.kz/ru/investors/gsecs/MUM192_0001" xr:uid="{A825361B-4B5E-427A-A3B5-700EF548C564}"/>
    <hyperlink ref="E157" r:id="rId306" display="https://kase.kz/ru/listing/issuers/MFRK" xr:uid="{DEA08AE4-FE19-4242-83AF-5532D43296A2}"/>
    <hyperlink ref="B158" r:id="rId307" display="https://kase.kz/ru/investors/gsecs/MUM192_0002" xr:uid="{3914F08A-B27E-43CD-A5CE-D3554DBC6506}"/>
    <hyperlink ref="E158" r:id="rId308" display="https://kase.kz/ru/listing/issuers/MFRK" xr:uid="{904CBB18-CCCC-4613-8CAB-AAE0F1D665C1}"/>
    <hyperlink ref="B159" r:id="rId309" display="https://kase.kz/ru/investors/gsecs/MUM192_0003" xr:uid="{A067AE0D-401B-4CC4-9AA5-4B91DED9E4AD}"/>
    <hyperlink ref="E159" r:id="rId310" display="https://kase.kz/ru/listing/issuers/MFRK" xr:uid="{38B39874-7A19-4221-B835-070D0EA61729}"/>
    <hyperlink ref="B160" r:id="rId311" display="https://kase.kz/ru/investors/gsecs/MUM216_0001" xr:uid="{7EE195CC-F9A0-4AF3-95F1-0DEB2E76F1D5}"/>
    <hyperlink ref="E160" r:id="rId312" display="https://kase.kz/ru/listing/issuers/MFRK" xr:uid="{0B000566-74AE-48F6-B178-046D83391C1C}"/>
    <hyperlink ref="B161" r:id="rId313" display="https://kase.kz/ru/investors/gsecs/MUM216_0002" xr:uid="{A49AC7A5-8041-4DA7-8338-004C97A5342E}"/>
    <hyperlink ref="E161" r:id="rId314" display="https://kase.kz/ru/listing/issuers/MFRK" xr:uid="{00EE540E-AE9F-4D1E-BB18-CA00D78F40D7}"/>
    <hyperlink ref="B162" r:id="rId315" display="https://kase.kz/ru/investors/gsecs/MUM240_0001" xr:uid="{CD24B28A-629D-4763-B606-8E20F285ECFA}"/>
    <hyperlink ref="E162" r:id="rId316" display="https://kase.kz/ru/listing/issuers/MFRK" xr:uid="{73ED6DEF-EF9A-4490-AA21-64D52A205B65}"/>
    <hyperlink ref="B163" r:id="rId317" display="https://kase.kz/ru/investors/gsecs/MUM240_0002" xr:uid="{41BFBF6E-E373-4EE8-BD1E-8376AC0A849C}"/>
    <hyperlink ref="E163" r:id="rId318" display="https://kase.kz/ru/listing/issuers/MFRK" xr:uid="{63454304-D14F-42C2-8EE2-024F33F18863}"/>
    <hyperlink ref="B164" r:id="rId319" display="https://kase.kz/ru/investors/gsecs/MUM240_0004" xr:uid="{463DACA9-0360-44AF-95D4-4A645089429D}"/>
    <hyperlink ref="E164" r:id="rId320" display="https://kase.kz/ru/listing/issuers/MFRK" xr:uid="{CFD15515-0800-43AB-8BA3-71211C5E7861}"/>
    <hyperlink ref="B165" r:id="rId321" display="https://kase.kz/ru/investors/gsecs/MUM300_0001" xr:uid="{6559637B-7EA3-49E5-93ED-02756D60EB26}"/>
    <hyperlink ref="E165" r:id="rId322" display="https://kase.kz/ru/listing/issuers/MFRK" xr:uid="{78874B4B-327B-455E-9FA5-0AEEFA521035}"/>
    <hyperlink ref="B166" r:id="rId323" display="https://kase.kz/ru/investors/gsecs/MUM300_0002" xr:uid="{8E71F1C2-FCA6-4D45-93A9-9991D5979BE5}"/>
    <hyperlink ref="E166" r:id="rId324" display="https://kase.kz/ru/listing/issuers/MFRK" xr:uid="{649E7735-3DC8-4A7D-8232-9DF25FAC6272}"/>
    <hyperlink ref="B167" r:id="rId325" display="https://kase.kz/ru/investors/gsecs/MUM300_0003" xr:uid="{FAD742AD-68F2-4F78-A4C7-9260B84C13B9}"/>
    <hyperlink ref="E167" r:id="rId326" display="https://kase.kz/ru/listing/issuers/MFRK" xr:uid="{A92578EB-61A4-4078-8F70-8D6ABD1D14D1}"/>
    <hyperlink ref="B168" r:id="rId327" display="https://kase.kz/ru/investors/gsecs/MUM360_0001" xr:uid="{DC79B460-718E-466B-A9E1-9DED4512248B}"/>
    <hyperlink ref="E168" r:id="rId328" display="https://kase.kz/ru/listing/issuers/MFRK" xr:uid="{5D9782B9-7374-4047-8E24-35543C4B572F}"/>
    <hyperlink ref="B169" r:id="rId329" display="https://kase.kz/ru/investors/gsecs/MUX072_0003" xr:uid="{EEAF20A0-E50D-44C3-959C-51E13BE310D2}"/>
    <hyperlink ref="E169" r:id="rId330" display="https://kase.kz/ru/listing/issuers/MFRK" xr:uid="{55E0714A-4083-4A4E-8A8D-1D01B7B2D845}"/>
    <hyperlink ref="B170" r:id="rId331" display="https://kase.kz/ru/investors/bonds/NCOMb6" xr:uid="{C70DF8C1-E570-4C81-BA7E-4BF8F72AE917}"/>
    <hyperlink ref="E170" r:id="rId332" display="https://kase.kz/ru/listing/issuers/NCOM" xr:uid="{EE14F34C-FAB1-4877-9CBC-200B33AF5C2C}"/>
    <hyperlink ref="B171" r:id="rId333" display="https://kase.kz/ru/investors/gsecs/NTK028_2867" xr:uid="{47CED18D-DD6B-4ADA-A438-14217F786148}"/>
    <hyperlink ref="E171" r:id="rId334" display="https://kase.kz/ru/listing/issuers/NBRK" xr:uid="{996D3316-C333-4D8E-873B-08CA2A47B4C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45946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2144</v>
      </c>
      <c r="E3" s="111" t="s">
        <v>439</v>
      </c>
      <c r="F3" s="111" t="s">
        <v>440</v>
      </c>
      <c r="G3" s="111" t="s">
        <v>441</v>
      </c>
      <c r="H3" s="111" t="s">
        <v>1994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6629.5648500000016</v>
      </c>
      <c r="G5" s="119">
        <v>6629.5648500000016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135398.28870000003</v>
      </c>
      <c r="G6" s="123">
        <v>135398.28870000003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101.7944</v>
      </c>
      <c r="H7" s="119">
        <v>4.24</v>
      </c>
      <c r="I7" s="116">
        <v>328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100.13420000000001</v>
      </c>
      <c r="H8" s="119">
        <v>0.35</v>
      </c>
      <c r="I8" s="116">
        <v>222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100.00109999999999</v>
      </c>
      <c r="H9" s="121">
        <v>0.02</v>
      </c>
      <c r="I9" s="124">
        <v>3044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101.88079999999999</v>
      </c>
      <c r="H10" s="121">
        <v>6.08</v>
      </c>
      <c r="I10" s="124">
        <v>1659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106.8831</v>
      </c>
      <c r="H11" s="121">
        <v>7.08</v>
      </c>
      <c r="I11" s="124">
        <v>2141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101.0506</v>
      </c>
      <c r="H12" s="121">
        <v>6.08</v>
      </c>
      <c r="I12" s="124">
        <v>2068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105.9983</v>
      </c>
      <c r="H13" s="121">
        <v>6.09</v>
      </c>
      <c r="I13" s="124">
        <v>2496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105.9983</v>
      </c>
      <c r="H14" s="121">
        <v>6.09</v>
      </c>
      <c r="I14" s="124">
        <v>2496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69595.614750000008</v>
      </c>
      <c r="G15" s="119">
        <v>69595.614750000008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98.296243627340715</v>
      </c>
      <c r="G16" s="119">
        <v>103.44204362734072</v>
      </c>
      <c r="H16" s="119">
        <v>20.63</v>
      </c>
      <c r="I16" s="116">
        <v>625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2585</v>
      </c>
      <c r="F19" s="121">
        <v>63898.12200000001</v>
      </c>
      <c r="G19" s="119">
        <v>63898.12200000001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97.186000000000007</v>
      </c>
      <c r="G20" s="123">
        <v>97.186000000000007</v>
      </c>
      <c r="H20" s="121">
        <v>3.81</v>
      </c>
      <c r="I20" s="124">
        <v>1620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95.221999999999994</v>
      </c>
      <c r="G21" s="123">
        <v>95.333100000000002</v>
      </c>
      <c r="H21" s="121">
        <v>3.81</v>
      </c>
      <c r="I21" s="124">
        <v>1424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95.903016735996758</v>
      </c>
      <c r="G22" s="123">
        <v>100.34331673599675</v>
      </c>
      <c r="H22" s="121">
        <v>18.79</v>
      </c>
      <c r="I22" s="124">
        <v>221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93.001968394049527</v>
      </c>
      <c r="G23" s="123">
        <v>93.181168394049521</v>
      </c>
      <c r="H23" s="121">
        <v>18.87</v>
      </c>
      <c r="I23" s="124">
        <v>354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74.72771105606644</v>
      </c>
      <c r="G24" s="123">
        <v>76.220811056066438</v>
      </c>
      <c r="H24" s="121">
        <v>18.91</v>
      </c>
      <c r="I24" s="124">
        <v>1750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86.0384189943873</v>
      </c>
      <c r="G25" s="123">
        <v>91.2884189943873</v>
      </c>
      <c r="H25" s="121">
        <v>18.920000000000002</v>
      </c>
      <c r="I25" s="124">
        <v>2214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57.381013349817486</v>
      </c>
      <c r="G26" s="123">
        <v>64.264113349817478</v>
      </c>
      <c r="H26" s="121">
        <v>19.82</v>
      </c>
      <c r="I26" s="124">
        <v>2171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73.560832746175151</v>
      </c>
      <c r="G27" s="123">
        <v>77.234432746175159</v>
      </c>
      <c r="H27" s="121">
        <v>18.920000000000002</v>
      </c>
      <c r="I27" s="124">
        <v>2225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96.955239684460622</v>
      </c>
      <c r="G28" s="123">
        <v>101.38853968446062</v>
      </c>
      <c r="H28" s="121">
        <v>18.84</v>
      </c>
      <c r="I28" s="124">
        <v>246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100.5549</v>
      </c>
      <c r="H30" s="121">
        <v>4.24</v>
      </c>
      <c r="I30" s="124">
        <v>253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100.1653</v>
      </c>
      <c r="H31" s="121">
        <v>0.35</v>
      </c>
      <c r="I31" s="124">
        <v>10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100.1254</v>
      </c>
      <c r="H32" s="121">
        <v>0.35</v>
      </c>
      <c r="I32" s="124">
        <v>231</v>
      </c>
      <c r="J32" s="118" t="s">
        <v>269</v>
      </c>
    </row>
    <row r="33" spans="1:10" x14ac:dyDescent="0.25">
      <c r="A33" s="120">
        <v>30</v>
      </c>
      <c r="B33" s="117" t="s">
        <v>2155</v>
      </c>
      <c r="C33" s="118" t="s">
        <v>2156</v>
      </c>
      <c r="D33" s="118" t="s">
        <v>455</v>
      </c>
      <c r="E33" s="118" t="s">
        <v>510</v>
      </c>
      <c r="F33" s="122">
        <v>100</v>
      </c>
      <c r="G33" s="123">
        <v>100.13509999999999</v>
      </c>
      <c r="H33" s="121">
        <v>0.35</v>
      </c>
      <c r="I33" s="124">
        <v>581</v>
      </c>
      <c r="J33" s="118" t="s">
        <v>269</v>
      </c>
    </row>
    <row r="34" spans="1:10" x14ac:dyDescent="0.25">
      <c r="A34" s="120">
        <v>31</v>
      </c>
      <c r="B34" s="117" t="s">
        <v>1930</v>
      </c>
      <c r="C34" s="118" t="s">
        <v>1931</v>
      </c>
      <c r="D34" s="118" t="s">
        <v>455</v>
      </c>
      <c r="E34" s="118" t="s">
        <v>510</v>
      </c>
      <c r="F34" s="122">
        <v>100</v>
      </c>
      <c r="G34" s="123">
        <v>100.0166</v>
      </c>
      <c r="H34" s="121">
        <v>0.02</v>
      </c>
      <c r="I34" s="124">
        <v>3044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100.0065</v>
      </c>
      <c r="H35" s="121">
        <v>0.02</v>
      </c>
      <c r="I35" s="124">
        <v>3044</v>
      </c>
      <c r="J35" s="118" t="s">
        <v>269</v>
      </c>
    </row>
    <row r="36" spans="1:10" x14ac:dyDescent="0.25">
      <c r="A36" s="120">
        <v>33</v>
      </c>
      <c r="B36" s="117" t="s">
        <v>2490</v>
      </c>
      <c r="C36" s="118" t="s">
        <v>2491</v>
      </c>
      <c r="D36" s="118" t="s">
        <v>455</v>
      </c>
      <c r="E36" s="118" t="s">
        <v>510</v>
      </c>
      <c r="F36" s="122">
        <v>89.992816913315608</v>
      </c>
      <c r="G36" s="123">
        <v>93.835016913315613</v>
      </c>
      <c r="H36" s="121">
        <v>20.58</v>
      </c>
      <c r="I36" s="124">
        <v>3524</v>
      </c>
      <c r="J36" s="118" t="s">
        <v>269</v>
      </c>
    </row>
    <row r="37" spans="1:10" x14ac:dyDescent="0.25">
      <c r="A37" s="120">
        <v>34</v>
      </c>
      <c r="B37" s="117" t="s">
        <v>2355</v>
      </c>
      <c r="C37" s="118" t="s">
        <v>2356</v>
      </c>
      <c r="D37" s="118" t="s">
        <v>455</v>
      </c>
      <c r="E37" s="118" t="s">
        <v>510</v>
      </c>
      <c r="F37" s="122">
        <v>92.933854921156069</v>
      </c>
      <c r="G37" s="123">
        <v>95.40135492115607</v>
      </c>
      <c r="H37" s="121">
        <v>20.58</v>
      </c>
      <c r="I37" s="124">
        <v>3553</v>
      </c>
      <c r="J37" s="118" t="s">
        <v>269</v>
      </c>
    </row>
    <row r="38" spans="1:10" x14ac:dyDescent="0.25">
      <c r="A38" s="120">
        <v>35</v>
      </c>
      <c r="B38" s="117" t="s">
        <v>2357</v>
      </c>
      <c r="C38" s="118" t="s">
        <v>2358</v>
      </c>
      <c r="D38" s="118" t="s">
        <v>455</v>
      </c>
      <c r="E38" s="118" t="s">
        <v>510</v>
      </c>
      <c r="F38" s="122">
        <v>92.933854921156069</v>
      </c>
      <c r="G38" s="123">
        <v>95.40135492115607</v>
      </c>
      <c r="H38" s="121">
        <v>20.58</v>
      </c>
      <c r="I38" s="124">
        <v>3553</v>
      </c>
      <c r="J38" s="118" t="s">
        <v>269</v>
      </c>
    </row>
    <row r="39" spans="1:10" x14ac:dyDescent="0.25">
      <c r="A39" s="120">
        <v>36</v>
      </c>
      <c r="B39" s="117" t="s">
        <v>2395</v>
      </c>
      <c r="C39" s="118" t="s">
        <v>2396</v>
      </c>
      <c r="D39" s="118" t="s">
        <v>455</v>
      </c>
      <c r="E39" s="118" t="s">
        <v>510</v>
      </c>
      <c r="F39" s="122">
        <v>92.899661710932705</v>
      </c>
      <c r="G39" s="123">
        <v>95.157161710932712</v>
      </c>
      <c r="H39" s="121">
        <v>20.59</v>
      </c>
      <c r="I39" s="124">
        <v>3557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817.99395604424649</v>
      </c>
      <c r="G40" s="119">
        <v>817.99395604424649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3367.3125000000005</v>
      </c>
      <c r="G41" s="119">
        <v>3367.3125000000005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127818.35</v>
      </c>
      <c r="G42" s="123">
        <v>127818.35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100.5549</v>
      </c>
      <c r="H44" s="121">
        <v>4.24</v>
      </c>
      <c r="I44" s="124">
        <v>253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100.1332</v>
      </c>
      <c r="H45" s="121">
        <v>0.35</v>
      </c>
      <c r="I45" s="124">
        <v>43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100.13420000000001</v>
      </c>
      <c r="H46" s="121">
        <v>0.35</v>
      </c>
      <c r="I46" s="124">
        <v>222</v>
      </c>
      <c r="J46" s="118" t="s">
        <v>269</v>
      </c>
    </row>
    <row r="47" spans="1:10" x14ac:dyDescent="0.25">
      <c r="A47" s="120">
        <v>44</v>
      </c>
      <c r="B47" s="117" t="s">
        <v>2215</v>
      </c>
      <c r="C47" s="118" t="s">
        <v>2216</v>
      </c>
      <c r="D47" s="118" t="s">
        <v>455</v>
      </c>
      <c r="E47" s="118" t="s">
        <v>528</v>
      </c>
      <c r="F47" s="121">
        <v>100</v>
      </c>
      <c r="G47" s="119">
        <v>100.1031</v>
      </c>
      <c r="H47" s="119">
        <v>0.35</v>
      </c>
      <c r="I47" s="116">
        <v>614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100.0039</v>
      </c>
      <c r="H48" s="119">
        <v>0.02</v>
      </c>
      <c r="I48" s="116">
        <v>3044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101.88079999999999</v>
      </c>
      <c r="H49" s="119">
        <v>6.08</v>
      </c>
      <c r="I49" s="116">
        <v>1659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106.8831</v>
      </c>
      <c r="H50" s="119">
        <v>7.08</v>
      </c>
      <c r="I50" s="116">
        <v>2141</v>
      </c>
      <c r="J50" s="118" t="s">
        <v>269</v>
      </c>
    </row>
    <row r="51" spans="1:10" x14ac:dyDescent="0.25">
      <c r="A51" s="120">
        <v>48</v>
      </c>
      <c r="B51" s="117" t="s">
        <v>2359</v>
      </c>
      <c r="C51" s="118" t="s">
        <v>2360</v>
      </c>
      <c r="D51" s="118" t="s">
        <v>455</v>
      </c>
      <c r="E51" s="118" t="s">
        <v>528</v>
      </c>
      <c r="F51" s="121">
        <v>92.933854921156069</v>
      </c>
      <c r="G51" s="119">
        <v>95.40135492115607</v>
      </c>
      <c r="H51" s="119">
        <v>20.58</v>
      </c>
      <c r="I51" s="116">
        <v>3553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101.0506</v>
      </c>
      <c r="H52" s="121">
        <v>6.08</v>
      </c>
      <c r="I52" s="124">
        <v>2068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105.9983</v>
      </c>
      <c r="H53" s="119">
        <v>6.09</v>
      </c>
      <c r="I53" s="116">
        <v>2496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105.9983</v>
      </c>
      <c r="H54" s="121">
        <v>6.09</v>
      </c>
      <c r="I54" s="124">
        <v>2496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104.8631</v>
      </c>
      <c r="H55" s="121">
        <v>6.08</v>
      </c>
      <c r="I55" s="124">
        <v>2563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2937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1338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2096</v>
      </c>
      <c r="C59" s="118" t="s">
        <v>2097</v>
      </c>
      <c r="D59" s="118" t="s">
        <v>455</v>
      </c>
      <c r="E59" s="118" t="s">
        <v>2098</v>
      </c>
      <c r="F59" s="122">
        <v>99.042075153159303</v>
      </c>
      <c r="G59" s="123">
        <v>104.67537515315931</v>
      </c>
      <c r="H59" s="121">
        <v>26.52</v>
      </c>
      <c r="I59" s="124">
        <v>912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93.575560281287252</v>
      </c>
      <c r="G61" s="119">
        <v>98.681860281287243</v>
      </c>
      <c r="H61" s="119">
        <v>17.87</v>
      </c>
      <c r="I61" s="116">
        <v>369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100.23609999999999</v>
      </c>
      <c r="H62" s="121">
        <v>4.24</v>
      </c>
      <c r="I62" s="124">
        <v>280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100.0027</v>
      </c>
      <c r="H63" s="121">
        <v>0.02</v>
      </c>
      <c r="I63" s="124">
        <v>3044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105.7589</v>
      </c>
      <c r="H64" s="121">
        <v>7.05</v>
      </c>
      <c r="I64" s="124">
        <v>2141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101.88079999999999</v>
      </c>
      <c r="H65" s="121">
        <v>6.08</v>
      </c>
      <c r="I65" s="124">
        <v>1659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106.8831</v>
      </c>
      <c r="H66" s="121">
        <v>7.08</v>
      </c>
      <c r="I66" s="124">
        <v>2141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101.0506</v>
      </c>
      <c r="H67" s="121">
        <v>6.08</v>
      </c>
      <c r="I67" s="124">
        <v>2068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105.9983</v>
      </c>
      <c r="H68" s="121">
        <v>6.09</v>
      </c>
      <c r="I68" s="124">
        <v>2496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105.9983</v>
      </c>
      <c r="H69" s="121">
        <v>6.09</v>
      </c>
      <c r="I69" s="124">
        <v>2496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104.8631</v>
      </c>
      <c r="H70" s="121">
        <v>6.08</v>
      </c>
      <c r="I70" s="124">
        <v>2563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1971</v>
      </c>
      <c r="F71" s="122">
        <v>88.509044388999726</v>
      </c>
      <c r="G71" s="123">
        <v>93.60904438899972</v>
      </c>
      <c r="H71" s="121">
        <v>29.44</v>
      </c>
      <c r="I71" s="124">
        <v>2448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98.458708765562847</v>
      </c>
      <c r="G73" s="123">
        <v>98.903108765562848</v>
      </c>
      <c r="H73" s="121">
        <v>8.7799999999999994</v>
      </c>
      <c r="I73" s="124">
        <v>790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2586</v>
      </c>
      <c r="F76" s="121">
        <v>125967.11985000002</v>
      </c>
      <c r="G76" s="119">
        <v>125967.11985000002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2587</v>
      </c>
      <c r="F80" s="122">
        <v>116746.07130000003</v>
      </c>
      <c r="G80" s="123">
        <v>116746.07130000003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94.009680331638023</v>
      </c>
      <c r="G82" s="119">
        <v>94.151380331638023</v>
      </c>
      <c r="H82" s="119">
        <v>27.53</v>
      </c>
      <c r="I82" s="116">
        <v>2338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95.111741425120286</v>
      </c>
      <c r="G83" s="119">
        <v>103.48954142512028</v>
      </c>
      <c r="H83" s="119">
        <v>27.53</v>
      </c>
      <c r="I83" s="116">
        <v>2584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95.194811825712591</v>
      </c>
      <c r="G84" s="119">
        <v>107.3281118257126</v>
      </c>
      <c r="H84" s="119">
        <v>27.53</v>
      </c>
      <c r="I84" s="116">
        <v>2712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100.0051</v>
      </c>
      <c r="H85" s="121">
        <v>0.02</v>
      </c>
      <c r="I85" s="124">
        <v>3044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101.88079999999999</v>
      </c>
      <c r="H86" s="119">
        <v>6.08</v>
      </c>
      <c r="I86" s="116">
        <v>1659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106.8831</v>
      </c>
      <c r="H87" s="119">
        <v>7.08</v>
      </c>
      <c r="I87" s="116">
        <v>2141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101.0506</v>
      </c>
      <c r="H88" s="119">
        <v>6.08</v>
      </c>
      <c r="I88" s="116">
        <v>2068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105.9983</v>
      </c>
      <c r="H89" s="121">
        <v>6.09</v>
      </c>
      <c r="I89" s="124">
        <v>2496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105.9983</v>
      </c>
      <c r="H90" s="121">
        <v>6.09</v>
      </c>
      <c r="I90" s="124">
        <v>2496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104.8631</v>
      </c>
      <c r="H91" s="121">
        <v>6.08</v>
      </c>
      <c r="I91" s="124">
        <v>2563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87.430099383761316</v>
      </c>
      <c r="G92" s="123">
        <v>88.30789938376131</v>
      </c>
      <c r="H92" s="121">
        <v>24.91</v>
      </c>
      <c r="I92" s="124">
        <v>1425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101.93653362098037</v>
      </c>
      <c r="G93" s="123">
        <v>102.16653362098037</v>
      </c>
      <c r="H93" s="121">
        <v>0.45</v>
      </c>
      <c r="I93" s="124">
        <v>4902</v>
      </c>
      <c r="J93" s="118" t="s">
        <v>269</v>
      </c>
    </row>
    <row r="94" spans="1:10" x14ac:dyDescent="0.25">
      <c r="A94" s="120">
        <v>91</v>
      </c>
      <c r="B94" s="117" t="s">
        <v>2243</v>
      </c>
      <c r="C94" s="118" t="s">
        <v>2244</v>
      </c>
      <c r="D94" s="118" t="s">
        <v>455</v>
      </c>
      <c r="E94" s="118" t="s">
        <v>2245</v>
      </c>
      <c r="F94" s="122">
        <v>100.96305146540485</v>
      </c>
      <c r="G94" s="123">
        <v>105.74435146540485</v>
      </c>
      <c r="H94" s="121">
        <v>19.79</v>
      </c>
      <c r="I94" s="124">
        <v>995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86.350833676187492</v>
      </c>
      <c r="G97" s="123">
        <v>87.486633676187495</v>
      </c>
      <c r="H97" s="121">
        <v>18.02</v>
      </c>
      <c r="I97" s="124">
        <v>1861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100.48</v>
      </c>
      <c r="G98" s="123">
        <v>102.26130000000001</v>
      </c>
      <c r="H98" s="121">
        <v>3.55</v>
      </c>
      <c r="I98" s="124">
        <v>909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102.5</v>
      </c>
      <c r="G99" s="123">
        <v>102.98609999999999</v>
      </c>
      <c r="H99" s="121">
        <v>3.58</v>
      </c>
      <c r="I99" s="124">
        <v>1220</v>
      </c>
      <c r="J99" s="118" t="s">
        <v>269</v>
      </c>
    </row>
    <row r="100" spans="1:10" x14ac:dyDescent="0.25">
      <c r="A100" s="120">
        <v>97</v>
      </c>
      <c r="B100" s="117" t="s">
        <v>1969</v>
      </c>
      <c r="C100" s="118" t="s">
        <v>1970</v>
      </c>
      <c r="D100" s="118" t="s">
        <v>455</v>
      </c>
      <c r="E100" s="118" t="s">
        <v>636</v>
      </c>
      <c r="F100" s="122">
        <v>95.877906088838884</v>
      </c>
      <c r="G100" s="123">
        <v>99.208006088838886</v>
      </c>
      <c r="H100" s="121">
        <v>17.59</v>
      </c>
      <c r="I100" s="124">
        <v>455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99.082778645769011</v>
      </c>
      <c r="G101" s="123">
        <v>101.81347864576901</v>
      </c>
      <c r="H101" s="121">
        <v>15.82</v>
      </c>
      <c r="I101" s="124">
        <v>104</v>
      </c>
      <c r="J101" s="118" t="s">
        <v>269</v>
      </c>
    </row>
    <row r="102" spans="1:10" x14ac:dyDescent="0.25">
      <c r="A102" s="120">
        <v>99</v>
      </c>
      <c r="B102" s="117" t="s">
        <v>2035</v>
      </c>
      <c r="C102" s="118" t="s">
        <v>2036</v>
      </c>
      <c r="D102" s="118" t="s">
        <v>455</v>
      </c>
      <c r="E102" s="118" t="s">
        <v>636</v>
      </c>
      <c r="F102" s="122">
        <v>91.344237151230928</v>
      </c>
      <c r="G102" s="123">
        <v>92.538137151230927</v>
      </c>
      <c r="H102" s="121">
        <v>18.27</v>
      </c>
      <c r="I102" s="124">
        <v>1592</v>
      </c>
      <c r="J102" s="118" t="s">
        <v>269</v>
      </c>
    </row>
    <row r="103" spans="1:10" x14ac:dyDescent="0.25">
      <c r="A103" s="120">
        <v>100</v>
      </c>
      <c r="B103" s="117" t="s">
        <v>2484</v>
      </c>
      <c r="C103" s="118" t="s">
        <v>2485</v>
      </c>
      <c r="D103" s="118" t="s">
        <v>455</v>
      </c>
      <c r="E103" s="118" t="s">
        <v>636</v>
      </c>
      <c r="F103" s="122">
        <v>97.065973233570276</v>
      </c>
      <c r="G103" s="123">
        <v>99.946573233570277</v>
      </c>
      <c r="H103" s="121">
        <v>18.27</v>
      </c>
      <c r="I103" s="124">
        <v>1051</v>
      </c>
      <c r="J103" s="118" t="s">
        <v>269</v>
      </c>
    </row>
    <row r="104" spans="1:10" x14ac:dyDescent="0.25">
      <c r="A104" s="120">
        <v>101</v>
      </c>
      <c r="B104" s="117" t="s">
        <v>2421</v>
      </c>
      <c r="C104" s="118" t="s">
        <v>2422</v>
      </c>
      <c r="D104" s="118" t="s">
        <v>455</v>
      </c>
      <c r="E104" s="118" t="s">
        <v>636</v>
      </c>
      <c r="F104" s="122">
        <v>100</v>
      </c>
      <c r="G104" s="123">
        <v>101.7162</v>
      </c>
      <c r="H104" s="121">
        <v>16.940000000000001</v>
      </c>
      <c r="I104" s="124">
        <v>1315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75.763999999999996</v>
      </c>
      <c r="G105" s="123">
        <v>76.581599999999995</v>
      </c>
      <c r="H105" s="121">
        <v>17.18</v>
      </c>
      <c r="I105" s="124">
        <v>1861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0.98231527777777783</v>
      </c>
      <c r="G106" s="123">
        <v>0.98231527777777783</v>
      </c>
      <c r="H106" s="121">
        <v>0</v>
      </c>
      <c r="I106" s="124">
        <v>151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0.8317580555555556</v>
      </c>
      <c r="G107" s="123">
        <v>0.8317580555555556</v>
      </c>
      <c r="H107" s="121">
        <v>0</v>
      </c>
      <c r="I107" s="124">
        <v>1412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78.581999999999994</v>
      </c>
      <c r="G108" s="123">
        <v>79.468100000000007</v>
      </c>
      <c r="H108" s="121">
        <v>17.190000000000001</v>
      </c>
      <c r="I108" s="124">
        <v>1861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101.13330000000001</v>
      </c>
      <c r="H109" s="121">
        <v>4.2300000000000004</v>
      </c>
      <c r="I109" s="124">
        <v>204</v>
      </c>
      <c r="J109" s="118" t="s">
        <v>269</v>
      </c>
    </row>
    <row r="110" spans="1:10" x14ac:dyDescent="0.25">
      <c r="A110" s="120">
        <v>107</v>
      </c>
      <c r="B110" s="117" t="s">
        <v>2239</v>
      </c>
      <c r="C110" s="118" t="s">
        <v>2240</v>
      </c>
      <c r="D110" s="118" t="s">
        <v>455</v>
      </c>
      <c r="E110" s="118" t="s">
        <v>655</v>
      </c>
      <c r="F110" s="122">
        <v>100</v>
      </c>
      <c r="G110" s="123">
        <v>101.0861</v>
      </c>
      <c r="H110" s="121">
        <v>4.2300000000000004</v>
      </c>
      <c r="I110" s="124">
        <v>568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100.14490000000001</v>
      </c>
      <c r="H111" s="121">
        <v>0.35</v>
      </c>
      <c r="I111" s="124">
        <v>211</v>
      </c>
      <c r="J111" s="118" t="s">
        <v>269</v>
      </c>
    </row>
    <row r="112" spans="1:10" x14ac:dyDescent="0.25">
      <c r="A112" s="120">
        <v>109</v>
      </c>
      <c r="B112" s="117" t="s">
        <v>2306</v>
      </c>
      <c r="C112" s="118" t="s">
        <v>2307</v>
      </c>
      <c r="D112" s="118" t="s">
        <v>455</v>
      </c>
      <c r="E112" s="118" t="s">
        <v>655</v>
      </c>
      <c r="F112" s="122">
        <v>100</v>
      </c>
      <c r="G112" s="123">
        <v>100.07389999999999</v>
      </c>
      <c r="H112" s="121">
        <v>0.35</v>
      </c>
      <c r="I112" s="124">
        <v>644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100.0039</v>
      </c>
      <c r="H113" s="121">
        <v>0.02</v>
      </c>
      <c r="I113" s="124">
        <v>3044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101.88079999999999</v>
      </c>
      <c r="H114" s="121">
        <v>6.08</v>
      </c>
      <c r="I114" s="124">
        <v>1659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94.368332894784928</v>
      </c>
      <c r="G116" s="123">
        <v>97.743332894784928</v>
      </c>
      <c r="H116" s="121">
        <v>14.58</v>
      </c>
      <c r="I116" s="124">
        <v>405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92.864545512017955</v>
      </c>
      <c r="G119" s="123">
        <v>96.258945512017959</v>
      </c>
      <c r="H119" s="121">
        <v>28.34</v>
      </c>
      <c r="I119" s="124">
        <v>2563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89.332556402223659</v>
      </c>
      <c r="G120" s="123">
        <v>95.026956402223661</v>
      </c>
      <c r="H120" s="121">
        <v>28.34</v>
      </c>
      <c r="I120" s="124">
        <v>3068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2206</v>
      </c>
      <c r="F123" s="122">
        <v>97.183318236108121</v>
      </c>
      <c r="G123" s="123">
        <v>98.15661823610813</v>
      </c>
      <c r="H123" s="121">
        <v>18.28</v>
      </c>
      <c r="I123" s="124">
        <v>148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2206</v>
      </c>
      <c r="F124" s="122">
        <v>7.4820596061659916</v>
      </c>
      <c r="G124" s="123">
        <v>7.5814596061659918</v>
      </c>
      <c r="H124" s="121">
        <v>17.77</v>
      </c>
      <c r="I124" s="124">
        <v>5415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100.6493</v>
      </c>
      <c r="H125" s="121">
        <v>4.24</v>
      </c>
      <c r="I125" s="124">
        <v>245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100.1254</v>
      </c>
      <c r="H126" s="121">
        <v>0.35</v>
      </c>
      <c r="I126" s="124">
        <v>231</v>
      </c>
      <c r="J126" s="118" t="s">
        <v>269</v>
      </c>
    </row>
    <row r="127" spans="1:10" x14ac:dyDescent="0.25">
      <c r="A127" s="120">
        <v>124</v>
      </c>
      <c r="B127" s="117" t="s">
        <v>2217</v>
      </c>
      <c r="C127" s="118" t="s">
        <v>2218</v>
      </c>
      <c r="D127" s="118" t="s">
        <v>455</v>
      </c>
      <c r="E127" s="118" t="s">
        <v>692</v>
      </c>
      <c r="F127" s="122">
        <v>100</v>
      </c>
      <c r="G127" s="123">
        <v>100.1031</v>
      </c>
      <c r="H127" s="121">
        <v>0.35</v>
      </c>
      <c r="I127" s="124">
        <v>614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100.00109999999999</v>
      </c>
      <c r="H128" s="121">
        <v>0.02</v>
      </c>
      <c r="I128" s="124">
        <v>3044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100.0039</v>
      </c>
      <c r="H129" s="121">
        <v>0.02</v>
      </c>
      <c r="I129" s="124">
        <v>3044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101.88079999999999</v>
      </c>
      <c r="H130" s="121">
        <v>6.08</v>
      </c>
      <c r="I130" s="124">
        <v>1659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106.8831</v>
      </c>
      <c r="H131" s="121">
        <v>7.08</v>
      </c>
      <c r="I131" s="124">
        <v>2141</v>
      </c>
      <c r="J131" s="118" t="s">
        <v>269</v>
      </c>
    </row>
    <row r="132" spans="1:10" x14ac:dyDescent="0.25">
      <c r="A132" s="120">
        <v>129</v>
      </c>
      <c r="B132" s="117" t="s">
        <v>2310</v>
      </c>
      <c r="C132" s="118" t="s">
        <v>2311</v>
      </c>
      <c r="D132" s="118" t="s">
        <v>455</v>
      </c>
      <c r="E132" s="118" t="s">
        <v>692</v>
      </c>
      <c r="F132" s="122">
        <v>89.992816913315608</v>
      </c>
      <c r="G132" s="123">
        <v>93.835016913315613</v>
      </c>
      <c r="H132" s="121">
        <v>20.58</v>
      </c>
      <c r="I132" s="124">
        <v>3524</v>
      </c>
      <c r="J132" s="118" t="s">
        <v>269</v>
      </c>
    </row>
    <row r="133" spans="1:10" x14ac:dyDescent="0.25">
      <c r="A133" s="120">
        <v>130</v>
      </c>
      <c r="B133" s="117" t="s">
        <v>2361</v>
      </c>
      <c r="C133" s="118" t="s">
        <v>2362</v>
      </c>
      <c r="D133" s="118" t="s">
        <v>455</v>
      </c>
      <c r="E133" s="118" t="s">
        <v>692</v>
      </c>
      <c r="F133" s="122">
        <v>92.933854921156069</v>
      </c>
      <c r="G133" s="123">
        <v>95.40135492115607</v>
      </c>
      <c r="H133" s="121">
        <v>20.58</v>
      </c>
      <c r="I133" s="124">
        <v>3553</v>
      </c>
      <c r="J133" s="118" t="s">
        <v>269</v>
      </c>
    </row>
    <row r="134" spans="1:10" x14ac:dyDescent="0.25">
      <c r="A134" s="120">
        <v>131</v>
      </c>
      <c r="B134" s="117" t="s">
        <v>2363</v>
      </c>
      <c r="C134" s="118" t="s">
        <v>2364</v>
      </c>
      <c r="D134" s="118" t="s">
        <v>455</v>
      </c>
      <c r="E134" s="118" t="s">
        <v>692</v>
      </c>
      <c r="F134" s="122">
        <v>92.933854921156069</v>
      </c>
      <c r="G134" s="123">
        <v>95.40135492115607</v>
      </c>
      <c r="H134" s="121">
        <v>20.58</v>
      </c>
      <c r="I134" s="124">
        <v>3553</v>
      </c>
      <c r="J134" s="118" t="s">
        <v>269</v>
      </c>
    </row>
    <row r="135" spans="1:10" x14ac:dyDescent="0.25">
      <c r="A135" s="120">
        <v>132</v>
      </c>
      <c r="B135" s="117" t="s">
        <v>2397</v>
      </c>
      <c r="C135" s="118" t="s">
        <v>2398</v>
      </c>
      <c r="D135" s="118" t="s">
        <v>455</v>
      </c>
      <c r="E135" s="118" t="s">
        <v>692</v>
      </c>
      <c r="F135" s="122">
        <v>92.899661710932705</v>
      </c>
      <c r="G135" s="123">
        <v>95.157161710932712</v>
      </c>
      <c r="H135" s="121">
        <v>20.59</v>
      </c>
      <c r="I135" s="124">
        <v>3557</v>
      </c>
      <c r="J135" s="118" t="s">
        <v>269</v>
      </c>
    </row>
    <row r="136" spans="1:10" x14ac:dyDescent="0.25">
      <c r="A136" s="120">
        <v>133</v>
      </c>
      <c r="B136" s="117" t="s">
        <v>2449</v>
      </c>
      <c r="C136" s="118" t="s">
        <v>2450</v>
      </c>
      <c r="D136" s="118" t="s">
        <v>455</v>
      </c>
      <c r="E136" s="118" t="s">
        <v>692</v>
      </c>
      <c r="F136" s="122">
        <v>92.99186645121182</v>
      </c>
      <c r="G136" s="123">
        <v>94.041866451211817</v>
      </c>
      <c r="H136" s="121">
        <v>20.59</v>
      </c>
      <c r="I136" s="124">
        <v>3580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101.0506</v>
      </c>
      <c r="H137" s="121">
        <v>6.08</v>
      </c>
      <c r="I137" s="124">
        <v>2068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105.9983</v>
      </c>
      <c r="H138" s="121">
        <v>6.09</v>
      </c>
      <c r="I138" s="124">
        <v>2496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105.9983</v>
      </c>
      <c r="H139" s="121">
        <v>6.09</v>
      </c>
      <c r="I139" s="124">
        <v>2496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104.8631</v>
      </c>
      <c r="H140" s="121">
        <v>6.08</v>
      </c>
      <c r="I140" s="124">
        <v>2563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32.54</v>
      </c>
      <c r="G142" s="123">
        <v>32.791499999999999</v>
      </c>
      <c r="H142" s="121">
        <v>3.01</v>
      </c>
      <c r="I142" s="124">
        <v>34590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92.200327640178955</v>
      </c>
      <c r="G143" s="123">
        <v>96.533627640178963</v>
      </c>
      <c r="H143" s="121">
        <v>28.61</v>
      </c>
      <c r="I143" s="124">
        <v>2460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88.588156339915614</v>
      </c>
      <c r="G144" s="123">
        <v>94.768756339915612</v>
      </c>
      <c r="H144" s="121">
        <v>28.61</v>
      </c>
      <c r="I144" s="124">
        <v>3061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28320.445050000006</v>
      </c>
      <c r="G147" s="123">
        <v>28320.445050000006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115916.36550000001</v>
      </c>
      <c r="G149" s="123">
        <v>115916.36550000001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70778.446121633475</v>
      </c>
      <c r="G150" s="123">
        <v>70778.446121633475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1498.1949999999999</v>
      </c>
      <c r="G151" s="123">
        <v>1498.1949999999999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7.1879105539741621</v>
      </c>
      <c r="G152" s="123">
        <v>7.1879105539741621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2047</v>
      </c>
      <c r="C153" s="118" t="s">
        <v>2048</v>
      </c>
      <c r="D153" s="118" t="s">
        <v>735</v>
      </c>
      <c r="E153" s="118" t="s">
        <v>28</v>
      </c>
      <c r="F153" s="122">
        <v>54335.240577786302</v>
      </c>
      <c r="G153" s="123">
        <v>54335.240577786302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2041</v>
      </c>
      <c r="F155" s="122">
        <v>28.847382069204656</v>
      </c>
      <c r="G155" s="123">
        <v>28.848882069204656</v>
      </c>
      <c r="H155" s="121">
        <v>17.850000000000001</v>
      </c>
      <c r="I155" s="124">
        <v>2617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2041</v>
      </c>
      <c r="F156" s="122">
        <v>99.619974299953583</v>
      </c>
      <c r="G156" s="123">
        <v>102.03777429995358</v>
      </c>
      <c r="H156" s="121">
        <v>18.04</v>
      </c>
      <c r="I156" s="124">
        <v>315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2041</v>
      </c>
      <c r="F157" s="122">
        <v>99.387383148027396</v>
      </c>
      <c r="G157" s="123">
        <v>101.8120831480274</v>
      </c>
      <c r="H157" s="121">
        <v>18.05</v>
      </c>
      <c r="I157" s="124">
        <v>680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97.411722684475592</v>
      </c>
      <c r="G158" s="123">
        <v>105.36592268447559</v>
      </c>
      <c r="H158" s="121">
        <v>20.100000000000001</v>
      </c>
      <c r="I158" s="124">
        <v>374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101.0068505880421</v>
      </c>
      <c r="G159" s="123">
        <v>104.46515058804209</v>
      </c>
      <c r="H159" s="121">
        <v>6.48</v>
      </c>
      <c r="I159" s="124">
        <v>374</v>
      </c>
      <c r="J159" s="118" t="s">
        <v>269</v>
      </c>
    </row>
    <row r="160" spans="1:10" x14ac:dyDescent="0.25">
      <c r="A160" s="120">
        <v>157</v>
      </c>
      <c r="B160" s="117" t="s">
        <v>2164</v>
      </c>
      <c r="C160" s="118" t="s">
        <v>2165</v>
      </c>
      <c r="D160" s="118" t="s">
        <v>455</v>
      </c>
      <c r="E160" s="118" t="s">
        <v>747</v>
      </c>
      <c r="F160" s="122">
        <v>99.155402890299982</v>
      </c>
      <c r="G160" s="123">
        <v>106.57620289029998</v>
      </c>
      <c r="H160" s="121">
        <v>20.07</v>
      </c>
      <c r="I160" s="124">
        <v>583</v>
      </c>
      <c r="J160" s="118" t="s">
        <v>269</v>
      </c>
    </row>
    <row r="161" spans="1:10" x14ac:dyDescent="0.25">
      <c r="A161" s="120">
        <v>158</v>
      </c>
      <c r="B161" s="117" t="s">
        <v>2474</v>
      </c>
      <c r="C161" s="118" t="s">
        <v>2475</v>
      </c>
      <c r="D161" s="118" t="s">
        <v>455</v>
      </c>
      <c r="E161" s="118" t="s">
        <v>747</v>
      </c>
      <c r="F161" s="122">
        <v>99.819935180388882</v>
      </c>
      <c r="G161" s="123">
        <v>101.41433518038889</v>
      </c>
      <c r="H161" s="121">
        <v>20.58</v>
      </c>
      <c r="I161" s="124">
        <v>692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77440.105950000012</v>
      </c>
      <c r="G162" s="123">
        <v>77440.105950000012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2069</v>
      </c>
      <c r="C163" s="118" t="s">
        <v>1836</v>
      </c>
      <c r="D163" s="118" t="s">
        <v>755</v>
      </c>
      <c r="E163" s="118" t="s">
        <v>1837</v>
      </c>
      <c r="F163" s="122">
        <v>49348.638150000006</v>
      </c>
      <c r="G163" s="123">
        <v>49348.638150000006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9948.3880500000014</v>
      </c>
      <c r="G164" s="123">
        <v>9948.3880500000014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99.970538342111226</v>
      </c>
      <c r="G165" s="123">
        <v>108.86913834211123</v>
      </c>
      <c r="H165" s="121">
        <v>21.45</v>
      </c>
      <c r="I165" s="124">
        <v>391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20047.631700000005</v>
      </c>
      <c r="G166" s="123">
        <v>20047.631700000005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91.787776754537575</v>
      </c>
      <c r="G167" s="123">
        <v>94.691976754537578</v>
      </c>
      <c r="H167" s="121">
        <v>24.61</v>
      </c>
      <c r="I167" s="124">
        <v>1029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68.329132946023648</v>
      </c>
      <c r="G168" s="123">
        <v>70.016632946023648</v>
      </c>
      <c r="H168" s="121">
        <v>19.899999999999999</v>
      </c>
      <c r="I168" s="124">
        <v>2466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73.832983884881187</v>
      </c>
      <c r="G169" s="123">
        <v>75.489283884881189</v>
      </c>
      <c r="H169" s="121">
        <v>19.88</v>
      </c>
      <c r="I169" s="124">
        <v>1747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81.309977376166714</v>
      </c>
      <c r="G170" s="123">
        <v>82.898877376166723</v>
      </c>
      <c r="H170" s="121">
        <v>19.86</v>
      </c>
      <c r="I170" s="124">
        <v>1028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75.697344905136873</v>
      </c>
      <c r="G171" s="123">
        <v>79.761244905136877</v>
      </c>
      <c r="H171" s="121">
        <v>19.88</v>
      </c>
      <c r="I171" s="124">
        <v>1487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77.073682121742934</v>
      </c>
      <c r="G172" s="123">
        <v>80.679282121742943</v>
      </c>
      <c r="H172" s="121">
        <v>18.53</v>
      </c>
      <c r="I172" s="124">
        <v>1682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94.029760099250325</v>
      </c>
      <c r="G173" s="123">
        <v>97.307560099250324</v>
      </c>
      <c r="H173" s="121">
        <v>19.829999999999998</v>
      </c>
      <c r="I173" s="124">
        <v>242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7.7234635412393438</v>
      </c>
      <c r="G174" s="123">
        <v>7.7272635412393438</v>
      </c>
      <c r="H174" s="121">
        <v>19.940000000000001</v>
      </c>
      <c r="I174" s="124">
        <v>5031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6.9684001901724111</v>
      </c>
      <c r="G175" s="123">
        <v>7.031700190172411</v>
      </c>
      <c r="H175" s="121">
        <v>19.940000000000001</v>
      </c>
      <c r="I175" s="124">
        <v>5248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74.606119075300327</v>
      </c>
      <c r="G176" s="123">
        <v>78.768919075300332</v>
      </c>
      <c r="H176" s="121">
        <v>19.89</v>
      </c>
      <c r="I176" s="124">
        <v>1853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86.409628223676066</v>
      </c>
      <c r="G177" s="123">
        <v>90.572428223676056</v>
      </c>
      <c r="H177" s="121">
        <v>19.84</v>
      </c>
      <c r="I177" s="124">
        <v>773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55.012208418259185</v>
      </c>
      <c r="G178" s="123">
        <v>61.895308418259184</v>
      </c>
      <c r="H178" s="121">
        <v>20.88</v>
      </c>
      <c r="I178" s="124">
        <v>2171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21.220164242096413</v>
      </c>
      <c r="G179" s="123">
        <v>21.617364242096414</v>
      </c>
      <c r="H179" s="121">
        <v>19.88</v>
      </c>
      <c r="I179" s="124">
        <v>3119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18.956740500565811</v>
      </c>
      <c r="G180" s="123">
        <v>19.291440500565809</v>
      </c>
      <c r="H180" s="121">
        <v>20.93</v>
      </c>
      <c r="I180" s="124">
        <v>3359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96.789149719897921</v>
      </c>
      <c r="G181" s="123">
        <v>102.27244971989792</v>
      </c>
      <c r="H181" s="121">
        <v>19.75</v>
      </c>
      <c r="I181" s="124">
        <v>219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105.7779</v>
      </c>
      <c r="H182" s="121">
        <v>17.670000000000002</v>
      </c>
      <c r="I182" s="124">
        <v>164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2924</v>
      </c>
      <c r="J183" s="118" t="s">
        <v>238</v>
      </c>
    </row>
    <row r="184" spans="1:10" x14ac:dyDescent="0.25">
      <c r="A184" s="120">
        <v>181</v>
      </c>
      <c r="B184" s="117" t="s">
        <v>1932</v>
      </c>
      <c r="C184" s="118" t="s">
        <v>1933</v>
      </c>
      <c r="D184" s="118" t="s">
        <v>455</v>
      </c>
      <c r="E184" s="118" t="s">
        <v>29</v>
      </c>
      <c r="F184" s="122">
        <v>44.983301190486252</v>
      </c>
      <c r="G184" s="123">
        <v>49.816601190486246</v>
      </c>
      <c r="H184" s="121">
        <v>19.8</v>
      </c>
      <c r="I184" s="124">
        <v>2920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95.821145271345813</v>
      </c>
      <c r="G185" s="123">
        <v>98.737845271345819</v>
      </c>
      <c r="H185" s="121">
        <v>19.850000000000001</v>
      </c>
      <c r="I185" s="124">
        <v>285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83.578026357597679</v>
      </c>
      <c r="G186" s="123">
        <v>86.828026357597679</v>
      </c>
      <c r="H186" s="121">
        <v>19.88</v>
      </c>
      <c r="I186" s="124">
        <v>2082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96.666257937376827</v>
      </c>
      <c r="G187" s="123">
        <v>101.53295793737684</v>
      </c>
      <c r="H187" s="121">
        <v>17.46</v>
      </c>
      <c r="I187" s="124">
        <v>200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89.49882965556391</v>
      </c>
      <c r="G188" s="123">
        <v>90.809929655563906</v>
      </c>
      <c r="H188" s="121">
        <v>5.15</v>
      </c>
      <c r="I188" s="124">
        <v>2000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101.521</v>
      </c>
      <c r="G189" s="123">
        <v>101.5363</v>
      </c>
      <c r="H189" s="121">
        <v>4.4400000000000004</v>
      </c>
      <c r="I189" s="124">
        <v>539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92.415050908692791</v>
      </c>
      <c r="G190" s="123">
        <v>92.451150908692796</v>
      </c>
      <c r="H190" s="121">
        <v>19.059999999999999</v>
      </c>
      <c r="I190" s="124">
        <v>539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101.1614243485877</v>
      </c>
      <c r="G191" s="123">
        <v>103.68432434858769</v>
      </c>
      <c r="H191" s="121">
        <v>4.93</v>
      </c>
      <c r="I191" s="124">
        <v>1447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87.754999999999995</v>
      </c>
      <c r="G192" s="123">
        <v>93.113200000000006</v>
      </c>
      <c r="H192" s="121">
        <v>19.7</v>
      </c>
      <c r="I192" s="124">
        <v>937</v>
      </c>
      <c r="J192" s="118" t="s">
        <v>269</v>
      </c>
    </row>
    <row r="193" spans="1:10" x14ac:dyDescent="0.25">
      <c r="A193" s="120">
        <v>190</v>
      </c>
      <c r="B193" s="117" t="s">
        <v>2077</v>
      </c>
      <c r="C193" s="118" t="s">
        <v>2078</v>
      </c>
      <c r="D193" s="118" t="s">
        <v>455</v>
      </c>
      <c r="E193" s="118" t="s">
        <v>29</v>
      </c>
      <c r="F193" s="122">
        <v>103.545</v>
      </c>
      <c r="G193" s="123">
        <v>103.68559999999999</v>
      </c>
      <c r="H193" s="121">
        <v>4.74</v>
      </c>
      <c r="I193" s="124">
        <v>1611</v>
      </c>
      <c r="J193" s="118" t="s">
        <v>269</v>
      </c>
    </row>
    <row r="194" spans="1:10" x14ac:dyDescent="0.25">
      <c r="A194" s="120">
        <v>191</v>
      </c>
      <c r="B194" s="117" t="s">
        <v>2437</v>
      </c>
      <c r="C194" s="118" t="s">
        <v>2438</v>
      </c>
      <c r="D194" s="118" t="s">
        <v>455</v>
      </c>
      <c r="E194" s="118" t="s">
        <v>29</v>
      </c>
      <c r="F194" s="122">
        <v>100.65669436096974</v>
      </c>
      <c r="G194" s="123">
        <v>101.06969436096973</v>
      </c>
      <c r="H194" s="121">
        <v>3.11</v>
      </c>
      <c r="I194" s="124">
        <v>1051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100.28314174096376</v>
      </c>
      <c r="G195" s="123">
        <v>100.66644174096375</v>
      </c>
      <c r="H195" s="121">
        <v>5.32</v>
      </c>
      <c r="I195" s="124">
        <v>157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1934</v>
      </c>
      <c r="C197" s="118" t="s">
        <v>1935</v>
      </c>
      <c r="D197" s="118" t="s">
        <v>455</v>
      </c>
      <c r="E197" s="118" t="s">
        <v>1985</v>
      </c>
      <c r="F197" s="122">
        <v>104.15130508231169</v>
      </c>
      <c r="G197" s="123">
        <v>105.9742050823117</v>
      </c>
      <c r="H197" s="121">
        <v>5.01</v>
      </c>
      <c r="I197" s="124">
        <v>1335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59.450179184821387</v>
      </c>
      <c r="G199" s="123">
        <v>61.306379184821388</v>
      </c>
      <c r="H199" s="121">
        <v>20.12</v>
      </c>
      <c r="I199" s="124">
        <v>1689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53.88537245623268</v>
      </c>
      <c r="G200" s="123">
        <v>54.92217245623268</v>
      </c>
      <c r="H200" s="121">
        <v>20.14</v>
      </c>
      <c r="I200" s="124">
        <v>2098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49.204721220531304</v>
      </c>
      <c r="G201" s="123">
        <v>55.12442122053131</v>
      </c>
      <c r="H201" s="121">
        <v>20.149999999999999</v>
      </c>
      <c r="I201" s="124">
        <v>2526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49.204721220531304</v>
      </c>
      <c r="G202" s="123">
        <v>55.12442122053131</v>
      </c>
      <c r="H202" s="121">
        <v>20.149999999999999</v>
      </c>
      <c r="I202" s="124">
        <v>2526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65.01876127969463</v>
      </c>
      <c r="G203" s="123">
        <v>67.895161279694634</v>
      </c>
      <c r="H203" s="121">
        <v>17.739999999999998</v>
      </c>
      <c r="I203" s="124">
        <v>2951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89.007101123834545</v>
      </c>
      <c r="G204" s="123">
        <v>94.35370112383454</v>
      </c>
      <c r="H204" s="121">
        <v>17.7</v>
      </c>
      <c r="I204" s="124">
        <v>1297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98.483593231520501</v>
      </c>
      <c r="G205" s="123">
        <v>103.8080932315205</v>
      </c>
      <c r="H205" s="121">
        <v>17.32</v>
      </c>
      <c r="I205" s="124">
        <v>162</v>
      </c>
      <c r="J205" s="118" t="s">
        <v>269</v>
      </c>
    </row>
    <row r="206" spans="1:10" x14ac:dyDescent="0.25">
      <c r="A206" s="120">
        <v>203</v>
      </c>
      <c r="B206" s="117" t="s">
        <v>1936</v>
      </c>
      <c r="C206" s="118" t="s">
        <v>1937</v>
      </c>
      <c r="D206" s="118" t="s">
        <v>455</v>
      </c>
      <c r="E206" s="118" t="s">
        <v>387</v>
      </c>
      <c r="F206" s="122">
        <v>98.950389334565145</v>
      </c>
      <c r="G206" s="123">
        <v>103.53368933456514</v>
      </c>
      <c r="H206" s="121">
        <v>17.190000000000001</v>
      </c>
      <c r="I206" s="124">
        <v>160</v>
      </c>
      <c r="J206" s="118" t="s">
        <v>269</v>
      </c>
    </row>
    <row r="207" spans="1:10" x14ac:dyDescent="0.25">
      <c r="A207" s="120">
        <v>204</v>
      </c>
      <c r="B207" s="117" t="s">
        <v>2074</v>
      </c>
      <c r="C207" s="118" t="s">
        <v>2075</v>
      </c>
      <c r="D207" s="118" t="s">
        <v>455</v>
      </c>
      <c r="E207" s="118" t="s">
        <v>387</v>
      </c>
      <c r="F207" s="122">
        <v>99.658331283857976</v>
      </c>
      <c r="G207" s="123">
        <v>100.08333128385799</v>
      </c>
      <c r="H207" s="121">
        <v>17.27</v>
      </c>
      <c r="I207" s="124">
        <v>261</v>
      </c>
      <c r="J207" s="118" t="s">
        <v>269</v>
      </c>
    </row>
    <row r="208" spans="1:10" x14ac:dyDescent="0.25">
      <c r="A208" s="120">
        <v>205</v>
      </c>
      <c r="B208" s="117" t="s">
        <v>2081</v>
      </c>
      <c r="C208" s="118" t="s">
        <v>2076</v>
      </c>
      <c r="D208" s="118" t="s">
        <v>455</v>
      </c>
      <c r="E208" s="118" t="s">
        <v>387</v>
      </c>
      <c r="F208" s="122">
        <v>99.577342863225184</v>
      </c>
      <c r="G208" s="123">
        <v>99.855642863225185</v>
      </c>
      <c r="H208" s="121">
        <v>17.62</v>
      </c>
      <c r="I208" s="124">
        <v>174</v>
      </c>
      <c r="J208" s="118" t="s">
        <v>269</v>
      </c>
    </row>
    <row r="209" spans="1:10" x14ac:dyDescent="0.25">
      <c r="A209" s="120">
        <v>206</v>
      </c>
      <c r="B209" s="117" t="s">
        <v>2111</v>
      </c>
      <c r="C209" s="118" t="s">
        <v>2100</v>
      </c>
      <c r="D209" s="118" t="s">
        <v>455</v>
      </c>
      <c r="E209" s="118" t="s">
        <v>387</v>
      </c>
      <c r="F209" s="122">
        <v>97.784055452156778</v>
      </c>
      <c r="G209" s="123">
        <v>105.20125545215677</v>
      </c>
      <c r="H209" s="121">
        <v>17.53</v>
      </c>
      <c r="I209" s="124">
        <v>1642</v>
      </c>
      <c r="J209" s="118" t="s">
        <v>269</v>
      </c>
    </row>
    <row r="210" spans="1:10" x14ac:dyDescent="0.25">
      <c r="A210" s="120">
        <v>207</v>
      </c>
      <c r="B210" s="117" t="s">
        <v>2196</v>
      </c>
      <c r="C210" s="118" t="s">
        <v>2197</v>
      </c>
      <c r="D210" s="118" t="s">
        <v>455</v>
      </c>
      <c r="E210" s="118" t="s">
        <v>387</v>
      </c>
      <c r="F210" s="122">
        <v>99.584679494197502</v>
      </c>
      <c r="G210" s="123">
        <v>105.6124794941975</v>
      </c>
      <c r="H210" s="121">
        <v>17.53</v>
      </c>
      <c r="I210" s="124">
        <v>1676</v>
      </c>
      <c r="J210" s="118" t="s">
        <v>269</v>
      </c>
    </row>
    <row r="211" spans="1:10" x14ac:dyDescent="0.25">
      <c r="A211" s="116">
        <v>208</v>
      </c>
      <c r="B211" s="117" t="s">
        <v>2198</v>
      </c>
      <c r="C211" s="118" t="s">
        <v>2199</v>
      </c>
      <c r="D211" s="118" t="s">
        <v>455</v>
      </c>
      <c r="E211" s="118" t="s">
        <v>387</v>
      </c>
      <c r="F211" s="119">
        <v>99.584679494197502</v>
      </c>
      <c r="G211" s="119">
        <v>105.6124794941975</v>
      </c>
      <c r="H211" s="119">
        <v>17.53</v>
      </c>
      <c r="I211" s="116">
        <v>1676</v>
      </c>
      <c r="J211" s="118" t="s">
        <v>269</v>
      </c>
    </row>
    <row r="212" spans="1:10" x14ac:dyDescent="0.25">
      <c r="A212" s="116">
        <v>209</v>
      </c>
      <c r="B212" s="117" t="s">
        <v>2428</v>
      </c>
      <c r="C212" s="118" t="s">
        <v>2429</v>
      </c>
      <c r="D212" s="118" t="s">
        <v>455</v>
      </c>
      <c r="E212" s="118" t="s">
        <v>387</v>
      </c>
      <c r="F212" s="119">
        <v>99.763003612874968</v>
      </c>
      <c r="G212" s="119">
        <v>101.59300361287497</v>
      </c>
      <c r="H212" s="119">
        <v>18.329999999999998</v>
      </c>
      <c r="I212" s="116">
        <v>1764</v>
      </c>
      <c r="J212" s="118" t="s">
        <v>269</v>
      </c>
    </row>
    <row r="213" spans="1:10" x14ac:dyDescent="0.25">
      <c r="A213" s="116">
        <v>210</v>
      </c>
      <c r="B213" s="117" t="s">
        <v>2132</v>
      </c>
      <c r="C213" s="118" t="s">
        <v>2133</v>
      </c>
      <c r="D213" s="118" t="s">
        <v>455</v>
      </c>
      <c r="E213" s="118" t="s">
        <v>387</v>
      </c>
      <c r="F213" s="119">
        <v>98.84780156076846</v>
      </c>
      <c r="G213" s="119">
        <v>105.99090156076846</v>
      </c>
      <c r="H213" s="119">
        <v>18.47</v>
      </c>
      <c r="I213" s="116">
        <v>216</v>
      </c>
      <c r="J213" s="118" t="s">
        <v>269</v>
      </c>
    </row>
    <row r="214" spans="1:10" x14ac:dyDescent="0.25">
      <c r="A214" s="116">
        <v>211</v>
      </c>
      <c r="B214" s="117" t="s">
        <v>2264</v>
      </c>
      <c r="C214" s="118" t="s">
        <v>2265</v>
      </c>
      <c r="D214" s="118" t="s">
        <v>455</v>
      </c>
      <c r="E214" s="118" t="s">
        <v>387</v>
      </c>
      <c r="F214" s="119">
        <v>99.923861889132752</v>
      </c>
      <c r="G214" s="119">
        <v>104.14276188913276</v>
      </c>
      <c r="H214" s="119">
        <v>17.68</v>
      </c>
      <c r="I214" s="116">
        <v>283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79.033729620221266</v>
      </c>
      <c r="G215" s="119">
        <v>83.899029620221256</v>
      </c>
      <c r="H215" s="119">
        <v>17.73</v>
      </c>
      <c r="I215" s="116">
        <v>1825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89.158163181519598</v>
      </c>
      <c r="G216" s="119">
        <v>93.144563181519601</v>
      </c>
      <c r="H216" s="119">
        <v>17.55</v>
      </c>
      <c r="I216" s="116">
        <v>773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78.817138457685374</v>
      </c>
      <c r="G217" s="119">
        <v>82.803538457685377</v>
      </c>
      <c r="H217" s="119">
        <v>17.73</v>
      </c>
      <c r="I217" s="116">
        <v>1853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77.706657816947668</v>
      </c>
      <c r="G218" s="119">
        <v>78.531657816947671</v>
      </c>
      <c r="H218" s="119">
        <v>17.52</v>
      </c>
      <c r="I218" s="116">
        <v>1953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82.382945587913298</v>
      </c>
      <c r="G219" s="119">
        <v>85.89684558791329</v>
      </c>
      <c r="H219" s="119">
        <v>15.52</v>
      </c>
      <c r="I219" s="116">
        <v>2225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77.021233851543684</v>
      </c>
      <c r="G220" s="119">
        <v>86.410133851543677</v>
      </c>
      <c r="H220" s="119">
        <v>17.52</v>
      </c>
      <c r="I220" s="116">
        <v>4780</v>
      </c>
      <c r="J220" s="118" t="s">
        <v>269</v>
      </c>
    </row>
    <row r="221" spans="1:10" x14ac:dyDescent="0.25">
      <c r="A221" s="116">
        <v>218</v>
      </c>
      <c r="B221" s="117" t="s">
        <v>2145</v>
      </c>
      <c r="C221" s="118" t="s">
        <v>2146</v>
      </c>
      <c r="D221" s="118" t="s">
        <v>455</v>
      </c>
      <c r="E221" s="118" t="s">
        <v>387</v>
      </c>
      <c r="F221" s="119">
        <v>101.73699999999999</v>
      </c>
      <c r="G221" s="119">
        <v>104.1289</v>
      </c>
      <c r="H221" s="119">
        <v>4.72</v>
      </c>
      <c r="I221" s="116">
        <v>922</v>
      </c>
      <c r="J221" s="118" t="s">
        <v>269</v>
      </c>
    </row>
    <row r="222" spans="1:10" x14ac:dyDescent="0.25">
      <c r="A222" s="116">
        <v>219</v>
      </c>
      <c r="B222" s="117" t="s">
        <v>2494</v>
      </c>
      <c r="C222" s="118" t="s">
        <v>2495</v>
      </c>
      <c r="D222" s="118" t="s">
        <v>455</v>
      </c>
      <c r="E222" s="118" t="s">
        <v>387</v>
      </c>
      <c r="F222" s="119">
        <v>98.858000000000004</v>
      </c>
      <c r="G222" s="119">
        <v>99.0518</v>
      </c>
      <c r="H222" s="119">
        <v>4.91</v>
      </c>
      <c r="I222" s="116">
        <v>1785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98.582844464437599</v>
      </c>
      <c r="G223" s="119">
        <v>104.2995444644376</v>
      </c>
      <c r="H223" s="119">
        <v>22.44</v>
      </c>
      <c r="I223" s="116">
        <v>44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288971.98335000005</v>
      </c>
      <c r="G225" s="119">
        <v>288971.98335000005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4784.3066143236856</v>
      </c>
      <c r="G226" s="119">
        <v>4784.3066143236856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85.731134390263293</v>
      </c>
      <c r="G227" s="119">
        <v>88.097834390263287</v>
      </c>
      <c r="H227" s="119">
        <v>19.989999999999998</v>
      </c>
      <c r="I227" s="116">
        <v>829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98.252513273509734</v>
      </c>
      <c r="G228" s="119">
        <v>101.56791327350973</v>
      </c>
      <c r="H228" s="119">
        <v>20.079999999999998</v>
      </c>
      <c r="I228" s="116">
        <v>71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81.179268967369069</v>
      </c>
      <c r="G229" s="119">
        <v>86.194568967369065</v>
      </c>
      <c r="H229" s="119">
        <v>19.989999999999998</v>
      </c>
      <c r="I229" s="116">
        <v>1103</v>
      </c>
      <c r="J229" s="118" t="s">
        <v>269</v>
      </c>
    </row>
    <row r="230" spans="1:10" x14ac:dyDescent="0.25">
      <c r="A230" s="116">
        <v>227</v>
      </c>
      <c r="B230" s="117" t="s">
        <v>2029</v>
      </c>
      <c r="C230" s="118" t="s">
        <v>2030</v>
      </c>
      <c r="D230" s="118" t="s">
        <v>455</v>
      </c>
      <c r="E230" s="118" t="s">
        <v>34</v>
      </c>
      <c r="F230" s="119">
        <v>99.502781259258924</v>
      </c>
      <c r="G230" s="119">
        <v>99.502781259258924</v>
      </c>
      <c r="H230" s="119">
        <v>4.6100000000000003</v>
      </c>
      <c r="I230" s="116">
        <v>39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7661.7788790427712</v>
      </c>
      <c r="G231" s="119">
        <v>7661.7788790427712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2331</v>
      </c>
      <c r="C232" s="118" t="s">
        <v>2332</v>
      </c>
      <c r="D232" s="118" t="s">
        <v>455</v>
      </c>
      <c r="E232" s="118" t="s">
        <v>2333</v>
      </c>
      <c r="F232" s="119">
        <v>100</v>
      </c>
      <c r="G232" s="119">
        <v>107.2941</v>
      </c>
      <c r="H232" s="119">
        <v>16.41</v>
      </c>
      <c r="I232" s="116">
        <v>612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97.547655401187839</v>
      </c>
      <c r="G233" s="119">
        <v>102.08655540118784</v>
      </c>
      <c r="H233" s="119">
        <v>24.22</v>
      </c>
      <c r="I233" s="116">
        <v>374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94.955297320175916</v>
      </c>
      <c r="G234" s="119">
        <v>95.296997320175919</v>
      </c>
      <c r="H234" s="119">
        <v>24.14</v>
      </c>
      <c r="I234" s="116">
        <v>624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94.252723841002663</v>
      </c>
      <c r="G235" s="119">
        <v>94.474923841002663</v>
      </c>
      <c r="H235" s="119">
        <v>24.14</v>
      </c>
      <c r="I235" s="116">
        <v>626</v>
      </c>
      <c r="J235" s="118" t="s">
        <v>269</v>
      </c>
    </row>
    <row r="236" spans="1:10" x14ac:dyDescent="0.25">
      <c r="A236" s="116">
        <v>233</v>
      </c>
      <c r="B236" s="117" t="s">
        <v>2268</v>
      </c>
      <c r="C236" s="118" t="s">
        <v>2269</v>
      </c>
      <c r="D236" s="118" t="s">
        <v>455</v>
      </c>
      <c r="E236" s="118" t="s">
        <v>851</v>
      </c>
      <c r="F236" s="119">
        <v>98.826805649760232</v>
      </c>
      <c r="G236" s="119">
        <v>103.61010564976024</v>
      </c>
      <c r="H236" s="119">
        <v>25.1</v>
      </c>
      <c r="I236" s="116">
        <v>98</v>
      </c>
      <c r="J236" s="118" t="s">
        <v>269</v>
      </c>
    </row>
    <row r="237" spans="1:10" x14ac:dyDescent="0.25">
      <c r="A237" s="116">
        <v>234</v>
      </c>
      <c r="B237" s="117" t="s">
        <v>2476</v>
      </c>
      <c r="C237" s="118" t="s">
        <v>2477</v>
      </c>
      <c r="D237" s="118" t="s">
        <v>455</v>
      </c>
      <c r="E237" s="118" t="s">
        <v>851</v>
      </c>
      <c r="F237" s="119">
        <v>93.379498454798977</v>
      </c>
      <c r="G237" s="119">
        <v>94.546198454798983</v>
      </c>
      <c r="H237" s="119">
        <v>24.2</v>
      </c>
      <c r="I237" s="116">
        <v>1060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47592.247950000012</v>
      </c>
      <c r="G238" s="119">
        <v>47592.247950000012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129668.46975000002</v>
      </c>
      <c r="G240" s="119">
        <v>129668.46975000002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6049974.4550000001</v>
      </c>
      <c r="G242" s="119">
        <v>6049974.4550000001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1789789.4850000001</v>
      </c>
      <c r="G244" s="119">
        <v>1789789.4850000001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54176.017350000009</v>
      </c>
      <c r="G245" s="119">
        <v>54176.017350000009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60590.07420000001</v>
      </c>
      <c r="G246" s="119">
        <v>60590.07420000001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73.532363842019919</v>
      </c>
      <c r="G247" s="119">
        <v>75.947663842019921</v>
      </c>
      <c r="H247" s="119">
        <v>26.12</v>
      </c>
      <c r="I247" s="116">
        <v>1006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100.9799</v>
      </c>
      <c r="H248" s="119">
        <v>4.2300000000000004</v>
      </c>
      <c r="I248" s="116">
        <v>217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100.14100000000001</v>
      </c>
      <c r="H249" s="119">
        <v>0.35</v>
      </c>
      <c r="I249" s="116">
        <v>35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100.1332</v>
      </c>
      <c r="H250" s="119">
        <v>0.35</v>
      </c>
      <c r="I250" s="116">
        <v>43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100.14579999999999</v>
      </c>
      <c r="H251" s="119">
        <v>0.35</v>
      </c>
      <c r="I251" s="116">
        <v>210</v>
      </c>
      <c r="J251" s="118" t="s">
        <v>269</v>
      </c>
    </row>
    <row r="252" spans="1:10" x14ac:dyDescent="0.25">
      <c r="A252" s="116">
        <v>249</v>
      </c>
      <c r="B252" s="117" t="s">
        <v>2082</v>
      </c>
      <c r="C252" s="118" t="s">
        <v>2083</v>
      </c>
      <c r="D252" s="118" t="s">
        <v>455</v>
      </c>
      <c r="E252" s="118" t="s">
        <v>879</v>
      </c>
      <c r="F252" s="119">
        <v>100</v>
      </c>
      <c r="G252" s="119">
        <v>100.17310000000001</v>
      </c>
      <c r="H252" s="119">
        <v>0.35</v>
      </c>
      <c r="I252" s="116">
        <v>542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100.0065</v>
      </c>
      <c r="H253" s="119">
        <v>0.02</v>
      </c>
      <c r="I253" s="116">
        <v>3044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101.88079999999999</v>
      </c>
      <c r="H254" s="119">
        <v>6.08</v>
      </c>
      <c r="I254" s="116">
        <v>1659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106.8831</v>
      </c>
      <c r="H255" s="119">
        <v>7.08</v>
      </c>
      <c r="I255" s="116">
        <v>2141</v>
      </c>
      <c r="J255" s="118" t="s">
        <v>269</v>
      </c>
    </row>
    <row r="256" spans="1:10" x14ac:dyDescent="0.25">
      <c r="A256" s="116">
        <v>253</v>
      </c>
      <c r="B256" s="117" t="s">
        <v>2365</v>
      </c>
      <c r="C256" s="118" t="s">
        <v>2366</v>
      </c>
      <c r="D256" s="118" t="s">
        <v>455</v>
      </c>
      <c r="E256" s="118" t="s">
        <v>879</v>
      </c>
      <c r="F256" s="119">
        <v>92.933854921156069</v>
      </c>
      <c r="G256" s="119">
        <v>95.40135492115607</v>
      </c>
      <c r="H256" s="119">
        <v>20.58</v>
      </c>
      <c r="I256" s="116">
        <v>3553</v>
      </c>
      <c r="J256" s="118" t="s">
        <v>269</v>
      </c>
    </row>
    <row r="257" spans="1:10" x14ac:dyDescent="0.25">
      <c r="A257" s="116">
        <v>254</v>
      </c>
      <c r="B257" s="117" t="s">
        <v>2451</v>
      </c>
      <c r="C257" s="118" t="s">
        <v>2452</v>
      </c>
      <c r="D257" s="118" t="s">
        <v>455</v>
      </c>
      <c r="E257" s="118" t="s">
        <v>879</v>
      </c>
      <c r="F257" s="119">
        <v>92.99186645121182</v>
      </c>
      <c r="G257" s="119">
        <v>94.041866451211817</v>
      </c>
      <c r="H257" s="119">
        <v>20.59</v>
      </c>
      <c r="I257" s="116">
        <v>3580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101.0506</v>
      </c>
      <c r="H258" s="119">
        <v>6.08</v>
      </c>
      <c r="I258" s="116">
        <v>2068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105.9983</v>
      </c>
      <c r="H259" s="119">
        <v>6.09</v>
      </c>
      <c r="I259" s="116">
        <v>2496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105.9983</v>
      </c>
      <c r="H260" s="119">
        <v>6.09</v>
      </c>
      <c r="I260" s="116">
        <v>2496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104.8631</v>
      </c>
      <c r="H261" s="119">
        <v>6.08</v>
      </c>
      <c r="I261" s="116">
        <v>2563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100.15411785636086</v>
      </c>
      <c r="G262" s="119">
        <v>100.56721785636086</v>
      </c>
      <c r="H262" s="119">
        <v>5.34</v>
      </c>
      <c r="I262" s="116">
        <v>154</v>
      </c>
      <c r="J262" s="118" t="s">
        <v>269</v>
      </c>
    </row>
    <row r="263" spans="1:10" x14ac:dyDescent="0.25">
      <c r="A263" s="116">
        <v>260</v>
      </c>
      <c r="B263" s="117" t="s">
        <v>2003</v>
      </c>
      <c r="C263" s="118" t="s">
        <v>2004</v>
      </c>
      <c r="D263" s="118" t="s">
        <v>455</v>
      </c>
      <c r="E263" s="118" t="s">
        <v>42</v>
      </c>
      <c r="F263" s="119">
        <v>98.372326099189138</v>
      </c>
      <c r="G263" s="119">
        <v>100.68742609918914</v>
      </c>
      <c r="H263" s="119">
        <v>17.079999999999998</v>
      </c>
      <c r="I263" s="116">
        <v>862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95.128569782008654</v>
      </c>
      <c r="G264" s="119">
        <v>106.48856978200865</v>
      </c>
      <c r="H264" s="119">
        <v>17.14</v>
      </c>
      <c r="I264" s="116">
        <v>612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91.934004299229144</v>
      </c>
      <c r="G265" s="119">
        <v>99.301004299229135</v>
      </c>
      <c r="H265" s="119">
        <v>17.16</v>
      </c>
      <c r="I265" s="116">
        <v>688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94.637104694565579</v>
      </c>
      <c r="G266" s="119">
        <v>96.345204694565581</v>
      </c>
      <c r="H266" s="119">
        <v>17.82</v>
      </c>
      <c r="I266" s="116">
        <v>677</v>
      </c>
      <c r="J266" s="118" t="s">
        <v>269</v>
      </c>
    </row>
    <row r="267" spans="1:10" x14ac:dyDescent="0.25">
      <c r="A267" s="116">
        <v>264</v>
      </c>
      <c r="B267" s="117" t="s">
        <v>2054</v>
      </c>
      <c r="C267" s="118" t="s">
        <v>2055</v>
      </c>
      <c r="D267" s="118" t="s">
        <v>455</v>
      </c>
      <c r="E267" s="118" t="s">
        <v>42</v>
      </c>
      <c r="F267" s="119">
        <v>100.78261371079607</v>
      </c>
      <c r="G267" s="119">
        <v>101.69361371079607</v>
      </c>
      <c r="H267" s="119">
        <v>17.079999999999998</v>
      </c>
      <c r="I267" s="116">
        <v>893</v>
      </c>
      <c r="J267" s="118" t="s">
        <v>269</v>
      </c>
    </row>
    <row r="268" spans="1:10" x14ac:dyDescent="0.25">
      <c r="A268" s="116">
        <v>265</v>
      </c>
      <c r="B268" s="117" t="s">
        <v>2439</v>
      </c>
      <c r="C268" s="118" t="s">
        <v>2440</v>
      </c>
      <c r="D268" s="118" t="s">
        <v>455</v>
      </c>
      <c r="E268" s="118" t="s">
        <v>42</v>
      </c>
      <c r="F268" s="119">
        <v>100.44540004511775</v>
      </c>
      <c r="G268" s="119">
        <v>100.51000004511775</v>
      </c>
      <c r="H268" s="119">
        <v>3.27</v>
      </c>
      <c r="I268" s="116">
        <v>1727</v>
      </c>
      <c r="J268" s="118" t="s">
        <v>269</v>
      </c>
    </row>
    <row r="269" spans="1:10" x14ac:dyDescent="0.25">
      <c r="A269" s="116">
        <v>266</v>
      </c>
      <c r="B269" s="117" t="s">
        <v>2488</v>
      </c>
      <c r="C269" s="118" t="s">
        <v>2489</v>
      </c>
      <c r="D269" s="118" t="s">
        <v>455</v>
      </c>
      <c r="E269" s="118" t="s">
        <v>42</v>
      </c>
      <c r="F269" s="119">
        <v>99.410500023079919</v>
      </c>
      <c r="G269" s="119">
        <v>99.410500023079919</v>
      </c>
      <c r="H269" s="119">
        <v>2.96</v>
      </c>
      <c r="I269" s="116">
        <v>73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106.27684771266</v>
      </c>
      <c r="G270" s="119">
        <v>107.69434771266</v>
      </c>
      <c r="H270" s="119">
        <v>4.8099999999999996</v>
      </c>
      <c r="I270" s="116">
        <v>1719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97.549515450226437</v>
      </c>
      <c r="G271" s="119">
        <v>98.133115450226427</v>
      </c>
      <c r="H271" s="119">
        <v>7.16</v>
      </c>
      <c r="I271" s="116">
        <v>152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95.095005803835335</v>
      </c>
      <c r="G272" s="119">
        <v>100.28470580383534</v>
      </c>
      <c r="H272" s="119">
        <v>16.100000000000001</v>
      </c>
      <c r="I272" s="116">
        <v>783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94.961402806245374</v>
      </c>
      <c r="G273" s="119">
        <v>97.400802806245366</v>
      </c>
      <c r="H273" s="119">
        <v>16.11</v>
      </c>
      <c r="I273" s="116">
        <v>1023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92.987091039050966</v>
      </c>
      <c r="G274" s="119">
        <v>98.837091039050961</v>
      </c>
      <c r="H274" s="119">
        <v>16.13</v>
      </c>
      <c r="I274" s="116">
        <v>1492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301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368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99.182634519717212</v>
      </c>
      <c r="G277" s="119">
        <v>110.32343451971721</v>
      </c>
      <c r="H277" s="119">
        <v>17.57</v>
      </c>
      <c r="I277" s="116">
        <v>66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103.01139999999999</v>
      </c>
      <c r="H278" s="119">
        <v>15.92</v>
      </c>
      <c r="I278" s="116">
        <v>480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100.7812</v>
      </c>
      <c r="H279" s="119">
        <v>15.83</v>
      </c>
      <c r="I279" s="116">
        <v>1259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101.907</v>
      </c>
      <c r="G280" s="119">
        <v>102.3567</v>
      </c>
      <c r="H280" s="119">
        <v>3.54</v>
      </c>
      <c r="I280" s="116">
        <v>863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101.678</v>
      </c>
      <c r="G281" s="119">
        <v>102.6061</v>
      </c>
      <c r="H281" s="119">
        <v>3.58</v>
      </c>
      <c r="I281" s="116">
        <v>1179</v>
      </c>
      <c r="J281" s="118" t="s">
        <v>269</v>
      </c>
    </row>
    <row r="282" spans="1:10" x14ac:dyDescent="0.25">
      <c r="A282" s="116">
        <v>279</v>
      </c>
      <c r="B282" s="117" t="s">
        <v>2005</v>
      </c>
      <c r="C282" s="118" t="s">
        <v>2006</v>
      </c>
      <c r="D282" s="118" t="s">
        <v>455</v>
      </c>
      <c r="E282" s="118" t="s">
        <v>910</v>
      </c>
      <c r="F282" s="119">
        <v>100</v>
      </c>
      <c r="G282" s="119">
        <v>102.31019999999999</v>
      </c>
      <c r="H282" s="119">
        <v>15.9</v>
      </c>
      <c r="I282" s="116">
        <v>496</v>
      </c>
      <c r="J282" s="118" t="s">
        <v>269</v>
      </c>
    </row>
    <row r="283" spans="1:10" x14ac:dyDescent="0.25">
      <c r="A283" s="116">
        <v>280</v>
      </c>
      <c r="B283" s="117" t="s">
        <v>2112</v>
      </c>
      <c r="C283" s="118" t="s">
        <v>2113</v>
      </c>
      <c r="D283" s="118" t="s">
        <v>455</v>
      </c>
      <c r="E283" s="118" t="s">
        <v>910</v>
      </c>
      <c r="F283" s="119">
        <v>100</v>
      </c>
      <c r="G283" s="119">
        <v>107.2075</v>
      </c>
      <c r="H283" s="119">
        <v>16.32</v>
      </c>
      <c r="I283" s="116">
        <v>935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99.251683636509455</v>
      </c>
      <c r="G284" s="119">
        <v>101.17648363650946</v>
      </c>
      <c r="H284" s="119">
        <v>16.12</v>
      </c>
      <c r="I284" s="116">
        <v>132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98.116483119297897</v>
      </c>
      <c r="G285" s="119">
        <v>102.97208311929789</v>
      </c>
      <c r="H285" s="119">
        <v>16.29</v>
      </c>
      <c r="I285" s="116">
        <v>245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95.38079583943194</v>
      </c>
      <c r="G286" s="119">
        <v>99.127695839431951</v>
      </c>
      <c r="H286" s="119">
        <v>16.09</v>
      </c>
      <c r="I286" s="116">
        <v>632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97.302198355536333</v>
      </c>
      <c r="G287" s="119">
        <v>102.49189835553634</v>
      </c>
      <c r="H287" s="119">
        <v>16.09</v>
      </c>
      <c r="I287" s="116">
        <v>423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99.49</v>
      </c>
      <c r="G288" s="119">
        <v>100.8532</v>
      </c>
      <c r="H288" s="119">
        <v>3.51</v>
      </c>
      <c r="I288" s="116">
        <v>749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99.902000000000001</v>
      </c>
      <c r="G289" s="119">
        <v>100.81829999999999</v>
      </c>
      <c r="H289" s="119">
        <v>3.65</v>
      </c>
      <c r="I289" s="116">
        <v>1709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46.351738205933408</v>
      </c>
      <c r="G291" s="119">
        <v>50.32953820593341</v>
      </c>
      <c r="H291" s="119">
        <v>18.11</v>
      </c>
      <c r="I291" s="116">
        <v>2522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95.234535299713244</v>
      </c>
      <c r="G292" s="119">
        <v>97.089935299713247</v>
      </c>
      <c r="H292" s="119">
        <v>17.29</v>
      </c>
      <c r="I292" s="116">
        <v>299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88.009921272788148</v>
      </c>
      <c r="G293" s="119">
        <v>91.39882127278814</v>
      </c>
      <c r="H293" s="119">
        <v>18.690000000000001</v>
      </c>
      <c r="I293" s="116">
        <v>598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23969.877300000004</v>
      </c>
      <c r="G294" s="119">
        <v>23969.877300000004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96.618031998382548</v>
      </c>
      <c r="G298" s="119">
        <v>99.583131998382541</v>
      </c>
      <c r="H298" s="119">
        <v>17.75</v>
      </c>
      <c r="I298" s="116">
        <v>164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96.165074938132136</v>
      </c>
      <c r="G299" s="119">
        <v>101.06017493813214</v>
      </c>
      <c r="H299" s="119">
        <v>18.21</v>
      </c>
      <c r="I299" s="116">
        <v>185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2018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72.2083857590154</v>
      </c>
      <c r="G301" s="119">
        <v>74.713985759015401</v>
      </c>
      <c r="H301" s="119">
        <v>18.309999999999999</v>
      </c>
      <c r="I301" s="116">
        <v>2438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97.393797393668322</v>
      </c>
      <c r="G302" s="119">
        <v>99.027097393668328</v>
      </c>
      <c r="H302" s="119">
        <v>18.5</v>
      </c>
      <c r="I302" s="116">
        <v>124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22851.929550000004</v>
      </c>
      <c r="G303" s="119">
        <v>22851.929550000004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84241.196176641475</v>
      </c>
      <c r="G305" s="119">
        <v>84241.196176641475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5518.2873056711187</v>
      </c>
      <c r="G306" s="119">
        <v>5518.2873056711187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2326</v>
      </c>
      <c r="F307" s="119">
        <v>569170.09725000011</v>
      </c>
      <c r="G307" s="119">
        <v>569170.09725000011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2326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2326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2326</v>
      </c>
      <c r="F310" s="119">
        <v>633477.68445000018</v>
      </c>
      <c r="G310" s="119">
        <v>633477.68445000018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103.4181</v>
      </c>
      <c r="H312" s="119">
        <v>11.44</v>
      </c>
      <c r="I312" s="116">
        <v>973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101.16670000000001</v>
      </c>
      <c r="H313" s="119">
        <v>9.99</v>
      </c>
      <c r="I313" s="116">
        <v>3198</v>
      </c>
      <c r="J313" s="118" t="s">
        <v>269</v>
      </c>
    </row>
    <row r="314" spans="1:10" x14ac:dyDescent="0.25">
      <c r="A314" s="116">
        <v>311</v>
      </c>
      <c r="B314" s="117" t="s">
        <v>2015</v>
      </c>
      <c r="C314" s="118" t="s">
        <v>2016</v>
      </c>
      <c r="D314" s="118" t="s">
        <v>455</v>
      </c>
      <c r="E314" s="118" t="s">
        <v>999</v>
      </c>
      <c r="F314" s="119">
        <v>100.53185522747133</v>
      </c>
      <c r="G314" s="119">
        <v>102.82355522747132</v>
      </c>
      <c r="H314" s="119">
        <v>23.49</v>
      </c>
      <c r="I314" s="116">
        <v>147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2588</v>
      </c>
      <c r="F315" s="119">
        <v>17402.271000000004</v>
      </c>
      <c r="G315" s="119">
        <v>17402.271000000004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100.1796918872317</v>
      </c>
      <c r="G316" s="119">
        <v>105.87969188723169</v>
      </c>
      <c r="H316" s="119">
        <v>11.62</v>
      </c>
      <c r="I316" s="116">
        <v>189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99.526662347749124</v>
      </c>
      <c r="G317" s="119">
        <v>100.80996234774912</v>
      </c>
      <c r="H317" s="119">
        <v>11.55</v>
      </c>
      <c r="I317" s="116">
        <v>318</v>
      </c>
      <c r="J317" s="118" t="s">
        <v>269</v>
      </c>
    </row>
    <row r="318" spans="1:10" x14ac:dyDescent="0.25">
      <c r="A318" s="116">
        <v>315</v>
      </c>
      <c r="B318" s="117" t="s">
        <v>2031</v>
      </c>
      <c r="C318" s="118" t="s">
        <v>2032</v>
      </c>
      <c r="D318" s="118" t="s">
        <v>455</v>
      </c>
      <c r="E318" s="118" t="s">
        <v>1004</v>
      </c>
      <c r="F318" s="119">
        <v>99.728943408201943</v>
      </c>
      <c r="G318" s="119">
        <v>100.52334340820195</v>
      </c>
      <c r="H318" s="119">
        <v>11.62</v>
      </c>
      <c r="I318" s="116">
        <v>154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93452.350350000022</v>
      </c>
      <c r="G319" s="119">
        <v>93452.350350000022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94.661767907104149</v>
      </c>
      <c r="G320" s="119">
        <v>95.686467907104145</v>
      </c>
      <c r="H320" s="119">
        <v>18.47</v>
      </c>
      <c r="I320" s="116">
        <v>329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2589</v>
      </c>
      <c r="F321" s="119">
        <v>45488.351100000007</v>
      </c>
      <c r="G321" s="119">
        <v>45488.351100000007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6322.4659500000016</v>
      </c>
      <c r="G322" s="119">
        <v>6322.4659500000016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7748.6000000000013</v>
      </c>
      <c r="G323" s="119">
        <v>7748.6000000000013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43325.18955000001</v>
      </c>
      <c r="G324" s="119">
        <v>43325.18955000001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2042</v>
      </c>
      <c r="C325" s="118" t="s">
        <v>1838</v>
      </c>
      <c r="D325" s="118" t="s">
        <v>755</v>
      </c>
      <c r="E325" s="118" t="s">
        <v>1839</v>
      </c>
      <c r="F325" s="119">
        <v>208533.62235000005</v>
      </c>
      <c r="G325" s="119">
        <v>208533.62235000005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135732.32610000003</v>
      </c>
      <c r="G326" s="119">
        <v>135732.32610000003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98.148099999999999</v>
      </c>
      <c r="G327" s="119">
        <v>101.6314</v>
      </c>
      <c r="H327" s="119">
        <v>19.010000000000002</v>
      </c>
      <c r="I327" s="116">
        <v>284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94.650300000000001</v>
      </c>
      <c r="G328" s="119">
        <v>97.766999999999996</v>
      </c>
      <c r="H328" s="119">
        <v>19</v>
      </c>
      <c r="I328" s="116">
        <v>1012</v>
      </c>
      <c r="J328" s="118" t="s">
        <v>269</v>
      </c>
    </row>
    <row r="329" spans="1:10" x14ac:dyDescent="0.25">
      <c r="A329" s="116">
        <v>326</v>
      </c>
      <c r="B329" s="117" t="s">
        <v>2011</v>
      </c>
      <c r="C329" s="118" t="s">
        <v>2012</v>
      </c>
      <c r="D329" s="118" t="s">
        <v>455</v>
      </c>
      <c r="E329" s="118" t="s">
        <v>52</v>
      </c>
      <c r="F329" s="119">
        <v>97.885400000000004</v>
      </c>
      <c r="G329" s="119">
        <v>100.3558</v>
      </c>
      <c r="H329" s="119">
        <v>19.260000000000002</v>
      </c>
      <c r="I329" s="116">
        <v>851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97.468100000000007</v>
      </c>
      <c r="G330" s="119">
        <v>102.7869</v>
      </c>
      <c r="H330" s="119">
        <v>19</v>
      </c>
      <c r="I330" s="116">
        <v>609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95.379400000000004</v>
      </c>
      <c r="G331" s="119">
        <v>100.21899999999999</v>
      </c>
      <c r="H331" s="119">
        <v>19</v>
      </c>
      <c r="I331" s="116">
        <v>1339</v>
      </c>
      <c r="J331" s="118" t="s">
        <v>269</v>
      </c>
    </row>
    <row r="332" spans="1:10" x14ac:dyDescent="0.25">
      <c r="A332" s="116">
        <v>329</v>
      </c>
      <c r="B332" s="117" t="s">
        <v>2266</v>
      </c>
      <c r="C332" s="118" t="s">
        <v>2267</v>
      </c>
      <c r="D332" s="118" t="s">
        <v>455</v>
      </c>
      <c r="E332" s="118" t="s">
        <v>52</v>
      </c>
      <c r="F332" s="119">
        <v>99.129492544024018</v>
      </c>
      <c r="G332" s="119">
        <v>104.01059254402402</v>
      </c>
      <c r="H332" s="119">
        <v>19.350000000000001</v>
      </c>
      <c r="I332" s="116">
        <v>1708</v>
      </c>
      <c r="J332" s="118" t="s">
        <v>269</v>
      </c>
    </row>
    <row r="333" spans="1:10" x14ac:dyDescent="0.25">
      <c r="A333" s="116">
        <v>330</v>
      </c>
      <c r="B333" s="117" t="s">
        <v>2237</v>
      </c>
      <c r="C333" s="118" t="s">
        <v>2238</v>
      </c>
      <c r="D333" s="118" t="s">
        <v>455</v>
      </c>
      <c r="E333" s="118" t="s">
        <v>52</v>
      </c>
      <c r="F333" s="119">
        <v>99.833348680212922</v>
      </c>
      <c r="G333" s="119">
        <v>105.28754868021292</v>
      </c>
      <c r="H333" s="119">
        <v>19.29</v>
      </c>
      <c r="I333" s="116">
        <v>618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53712.571582932949</v>
      </c>
      <c r="G334" s="119">
        <v>53712.571582932949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75403.493789978835</v>
      </c>
      <c r="G335" s="119">
        <v>75403.493789978835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74503.204327639585</v>
      </c>
      <c r="G336" s="119">
        <v>74503.204327639585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592570.44087913865</v>
      </c>
      <c r="G337" s="119">
        <v>592570.44087913865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536.11655775000008</v>
      </c>
      <c r="G339" s="119">
        <v>536.11655775000008</v>
      </c>
      <c r="H339" s="119">
        <v>0</v>
      </c>
      <c r="I339" s="116">
        <v>492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357.53733700743942</v>
      </c>
      <c r="G340" s="119">
        <v>357.53733700743942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101.15691391227105</v>
      </c>
      <c r="G341" s="119">
        <v>105.34871391227105</v>
      </c>
      <c r="H341" s="119">
        <v>18.27</v>
      </c>
      <c r="I341" s="116">
        <v>2079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106.40600000000001</v>
      </c>
      <c r="H342" s="119">
        <v>17.28</v>
      </c>
      <c r="I342" s="116">
        <v>778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14492.913000000002</v>
      </c>
      <c r="G343" s="119">
        <v>14492.913000000002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2590</v>
      </c>
      <c r="F344" s="119">
        <v>43540.697550000012</v>
      </c>
      <c r="G344" s="119">
        <v>43540.697550000012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153387.81900000002</v>
      </c>
      <c r="G345" s="119">
        <v>153387.81900000002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102.887</v>
      </c>
      <c r="G346" s="119">
        <v>103.8505</v>
      </c>
      <c r="H346" s="119">
        <v>3.53</v>
      </c>
      <c r="I346" s="116">
        <v>1005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100.14400000000001</v>
      </c>
      <c r="G347" s="119">
        <v>100.39570000000001</v>
      </c>
      <c r="H347" s="119">
        <v>3.58</v>
      </c>
      <c r="I347" s="116">
        <v>1415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101.367</v>
      </c>
      <c r="G348" s="119">
        <v>102.4337</v>
      </c>
      <c r="H348" s="119">
        <v>3.71</v>
      </c>
      <c r="I348" s="116">
        <v>1884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103.79600000000001</v>
      </c>
      <c r="G349" s="119">
        <v>103.871</v>
      </c>
      <c r="H349" s="119">
        <v>3.73</v>
      </c>
      <c r="I349" s="116">
        <v>1974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965</v>
      </c>
      <c r="J350" s="118" t="s">
        <v>238</v>
      </c>
    </row>
    <row r="351" spans="1:10" x14ac:dyDescent="0.25">
      <c r="A351" s="116">
        <v>348</v>
      </c>
      <c r="B351" s="117" t="s">
        <v>2043</v>
      </c>
      <c r="C351" s="118" t="s">
        <v>1840</v>
      </c>
      <c r="D351" s="118" t="s">
        <v>755</v>
      </c>
      <c r="E351" s="118" t="s">
        <v>1074</v>
      </c>
      <c r="F351" s="119">
        <v>9054.0298500000008</v>
      </c>
      <c r="G351" s="119">
        <v>9054.0298500000008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2181</v>
      </c>
      <c r="C352" s="118" t="s">
        <v>2182</v>
      </c>
      <c r="D352" s="118" t="s">
        <v>455</v>
      </c>
      <c r="E352" s="118" t="s">
        <v>2183</v>
      </c>
      <c r="F352" s="119">
        <v>100.09226514092582</v>
      </c>
      <c r="G352" s="119">
        <v>100.76726514092582</v>
      </c>
      <c r="H352" s="119">
        <v>12.69</v>
      </c>
      <c r="I352" s="116">
        <v>42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76.101914949839781</v>
      </c>
      <c r="G353" s="119">
        <v>81.182514949839785</v>
      </c>
      <c r="H353" s="119">
        <v>19.41</v>
      </c>
      <c r="I353" s="116">
        <v>1825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74.18165323695014</v>
      </c>
      <c r="G354" s="119">
        <v>75.044153236950137</v>
      </c>
      <c r="H354" s="119">
        <v>19.39</v>
      </c>
      <c r="I354" s="116">
        <v>1953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85.044320670024092</v>
      </c>
      <c r="G355" s="119">
        <v>90.348720670024079</v>
      </c>
      <c r="H355" s="119">
        <v>19.04</v>
      </c>
      <c r="I355" s="116">
        <v>1106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67.313470407960551</v>
      </c>
      <c r="G356" s="119">
        <v>76.810670407960558</v>
      </c>
      <c r="H356" s="119">
        <v>20.38</v>
      </c>
      <c r="I356" s="116">
        <v>4780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2924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4339.9195314210638</v>
      </c>
      <c r="G358" s="119">
        <v>4339.9195314210638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75523.445576088896</v>
      </c>
      <c r="G359" s="119">
        <v>75523.445576088896</v>
      </c>
      <c r="H359" s="119">
        <v>0</v>
      </c>
      <c r="I359" s="116">
        <v>92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239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1061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102.46299999999999</v>
      </c>
      <c r="G362" s="119">
        <v>103.6255</v>
      </c>
      <c r="H362" s="119">
        <v>3.55</v>
      </c>
      <c r="I362" s="116">
        <v>987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28142.650950000007</v>
      </c>
      <c r="G364" s="119">
        <v>28142.650950000007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92.173208209461635</v>
      </c>
      <c r="G365" s="119">
        <v>100.87460820946164</v>
      </c>
      <c r="H365" s="119">
        <v>19.600000000000001</v>
      </c>
      <c r="I365" s="116">
        <v>2521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91.989948210939559</v>
      </c>
      <c r="G366" s="119">
        <v>97.871848210939561</v>
      </c>
      <c r="H366" s="119">
        <v>19.600000000000001</v>
      </c>
      <c r="I366" s="116">
        <v>2579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38.421257662891712</v>
      </c>
      <c r="G367" s="119">
        <v>39.610157662891716</v>
      </c>
      <c r="H367" s="119">
        <v>20.58</v>
      </c>
      <c r="I367" s="116">
        <v>2773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37.893554825621379</v>
      </c>
      <c r="G368" s="119">
        <v>38.449154825621378</v>
      </c>
      <c r="H368" s="119">
        <v>20.58</v>
      </c>
      <c r="I368" s="116">
        <v>2830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94.335890307464553</v>
      </c>
      <c r="G369" s="119">
        <v>95.981290307464562</v>
      </c>
      <c r="H369" s="119">
        <v>19.59</v>
      </c>
      <c r="I369" s="116">
        <v>2127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40.720639469140345</v>
      </c>
      <c r="G370" s="119">
        <v>44.320639469140346</v>
      </c>
      <c r="H370" s="119">
        <v>20.59</v>
      </c>
      <c r="I370" s="116">
        <v>2556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92.895908772452501</v>
      </c>
      <c r="G371" s="119">
        <v>93.565108772452504</v>
      </c>
      <c r="H371" s="119">
        <v>19.559999999999999</v>
      </c>
      <c r="I371" s="116">
        <v>338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72.347458934648856</v>
      </c>
      <c r="G372" s="119">
        <v>76.114858934648851</v>
      </c>
      <c r="H372" s="119">
        <v>19.600000000000001</v>
      </c>
      <c r="I372" s="116">
        <v>1855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19646.248050000002</v>
      </c>
      <c r="G374" s="119">
        <v>19646.248050000002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96</v>
      </c>
      <c r="G375" s="119">
        <v>102.6285</v>
      </c>
      <c r="H375" s="119">
        <v>24.72</v>
      </c>
      <c r="I375" s="116">
        <v>425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103155.59805000002</v>
      </c>
      <c r="G376" s="119">
        <v>103155.59805000002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167907.67050000004</v>
      </c>
      <c r="G377" s="119">
        <v>167907.67050000004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95.252386877975795</v>
      </c>
      <c r="G379" s="119">
        <v>97.791386877975796</v>
      </c>
      <c r="H379" s="119">
        <v>17.18</v>
      </c>
      <c r="I379" s="116">
        <v>271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91.868633179217014</v>
      </c>
      <c r="G380" s="119">
        <v>95.114433179217002</v>
      </c>
      <c r="H380" s="119">
        <v>17.239999999999998</v>
      </c>
      <c r="I380" s="116">
        <v>1358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91.868633179217014</v>
      </c>
      <c r="G381" s="119">
        <v>95.114433179217002</v>
      </c>
      <c r="H381" s="119">
        <v>17.239999999999998</v>
      </c>
      <c r="I381" s="116">
        <v>1358</v>
      </c>
      <c r="J381" s="118" t="s">
        <v>269</v>
      </c>
    </row>
    <row r="382" spans="1:10" x14ac:dyDescent="0.25">
      <c r="A382" s="116">
        <v>379</v>
      </c>
      <c r="B382" s="117" t="s">
        <v>1938</v>
      </c>
      <c r="C382" s="118" t="s">
        <v>1939</v>
      </c>
      <c r="D382" s="118" t="s">
        <v>455</v>
      </c>
      <c r="E382" s="118" t="s">
        <v>349</v>
      </c>
      <c r="F382" s="119">
        <v>94.142634306362424</v>
      </c>
      <c r="G382" s="119">
        <v>99.353034306362431</v>
      </c>
      <c r="H382" s="119">
        <v>17.260000000000002</v>
      </c>
      <c r="I382" s="116">
        <v>1497</v>
      </c>
      <c r="J382" s="118" t="s">
        <v>269</v>
      </c>
    </row>
    <row r="383" spans="1:10" x14ac:dyDescent="0.25">
      <c r="A383" s="116">
        <v>380</v>
      </c>
      <c r="B383" s="117" t="s">
        <v>2134</v>
      </c>
      <c r="C383" s="118" t="s">
        <v>2135</v>
      </c>
      <c r="D383" s="118" t="s">
        <v>455</v>
      </c>
      <c r="E383" s="118" t="s">
        <v>349</v>
      </c>
      <c r="F383" s="119">
        <v>97.689840431649628</v>
      </c>
      <c r="G383" s="119">
        <v>105.57314043164962</v>
      </c>
      <c r="H383" s="119">
        <v>17.25</v>
      </c>
      <c r="I383" s="116">
        <v>1628</v>
      </c>
      <c r="J383" s="118" t="s">
        <v>269</v>
      </c>
    </row>
    <row r="384" spans="1:10" x14ac:dyDescent="0.25">
      <c r="A384" s="116">
        <v>381</v>
      </c>
      <c r="B384" s="117" t="s">
        <v>2204</v>
      </c>
      <c r="C384" s="118" t="s">
        <v>2205</v>
      </c>
      <c r="D384" s="118" t="s">
        <v>455</v>
      </c>
      <c r="E384" s="118" t="s">
        <v>349</v>
      </c>
      <c r="F384" s="119">
        <v>97.629270993355206</v>
      </c>
      <c r="G384" s="119">
        <v>104.3209709933552</v>
      </c>
      <c r="H384" s="119">
        <v>17.25</v>
      </c>
      <c r="I384" s="116">
        <v>1654</v>
      </c>
      <c r="J384" s="118" t="s">
        <v>269</v>
      </c>
    </row>
    <row r="385" spans="1:10" x14ac:dyDescent="0.25">
      <c r="A385" s="116">
        <v>382</v>
      </c>
      <c r="B385" s="117" t="s">
        <v>2412</v>
      </c>
      <c r="C385" s="118" t="s">
        <v>2413</v>
      </c>
      <c r="D385" s="118" t="s">
        <v>455</v>
      </c>
      <c r="E385" s="118" t="s">
        <v>349</v>
      </c>
      <c r="F385" s="119">
        <v>102.26092133860408</v>
      </c>
      <c r="G385" s="119">
        <v>105.41092133860408</v>
      </c>
      <c r="H385" s="119">
        <v>17.260000000000002</v>
      </c>
      <c r="I385" s="116">
        <v>1737</v>
      </c>
      <c r="J385" s="118" t="s">
        <v>269</v>
      </c>
    </row>
    <row r="386" spans="1:10" x14ac:dyDescent="0.25">
      <c r="A386" s="116">
        <v>383</v>
      </c>
      <c r="B386" s="117" t="s">
        <v>2414</v>
      </c>
      <c r="C386" s="118" t="s">
        <v>2415</v>
      </c>
      <c r="D386" s="118" t="s">
        <v>455</v>
      </c>
      <c r="E386" s="118" t="s">
        <v>349</v>
      </c>
      <c r="F386" s="119">
        <v>102.26092133860408</v>
      </c>
      <c r="G386" s="119">
        <v>105.41092133860408</v>
      </c>
      <c r="H386" s="119">
        <v>17.260000000000002</v>
      </c>
      <c r="I386" s="116">
        <v>1737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100.0078</v>
      </c>
      <c r="H387" s="119">
        <v>0.35</v>
      </c>
      <c r="I387" s="116">
        <v>292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100.07080000000001</v>
      </c>
      <c r="H388" s="119">
        <v>4.24</v>
      </c>
      <c r="I388" s="116">
        <v>294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100.1643</v>
      </c>
      <c r="H389" s="119">
        <v>0.35</v>
      </c>
      <c r="I389" s="116">
        <v>11</v>
      </c>
      <c r="J389" s="118" t="s">
        <v>269</v>
      </c>
    </row>
    <row r="390" spans="1:10" x14ac:dyDescent="0.25">
      <c r="A390" s="116">
        <v>387</v>
      </c>
      <c r="B390" s="117" t="s">
        <v>2219</v>
      </c>
      <c r="C390" s="118" t="s">
        <v>2220</v>
      </c>
      <c r="D390" s="118" t="s">
        <v>455</v>
      </c>
      <c r="E390" s="118" t="s">
        <v>1110</v>
      </c>
      <c r="F390" s="119">
        <v>100</v>
      </c>
      <c r="G390" s="119">
        <v>100.1031</v>
      </c>
      <c r="H390" s="119">
        <v>0.35</v>
      </c>
      <c r="I390" s="116">
        <v>614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100.0051</v>
      </c>
      <c r="H391" s="119">
        <v>0.02</v>
      </c>
      <c r="I391" s="116">
        <v>3044</v>
      </c>
      <c r="J391" s="118" t="s">
        <v>269</v>
      </c>
    </row>
    <row r="392" spans="1:10" x14ac:dyDescent="0.25">
      <c r="A392" s="116">
        <v>389</v>
      </c>
      <c r="B392" s="117" t="s">
        <v>2312</v>
      </c>
      <c r="C392" s="118" t="s">
        <v>2313</v>
      </c>
      <c r="D392" s="118" t="s">
        <v>455</v>
      </c>
      <c r="E392" s="118" t="s">
        <v>1110</v>
      </c>
      <c r="F392" s="119">
        <v>89.992816913315608</v>
      </c>
      <c r="G392" s="119">
        <v>93.835016913315613</v>
      </c>
      <c r="H392" s="119">
        <v>20.58</v>
      </c>
      <c r="I392" s="116">
        <v>3524</v>
      </c>
      <c r="J392" s="118" t="s">
        <v>269</v>
      </c>
    </row>
    <row r="393" spans="1:10" x14ac:dyDescent="0.25">
      <c r="A393" s="116">
        <v>390</v>
      </c>
      <c r="B393" s="117" t="s">
        <v>2252</v>
      </c>
      <c r="C393" s="118" t="s">
        <v>2253</v>
      </c>
      <c r="D393" s="118" t="s">
        <v>455</v>
      </c>
      <c r="E393" s="118" t="s">
        <v>1110</v>
      </c>
      <c r="F393" s="119">
        <v>90.013482719178896</v>
      </c>
      <c r="G393" s="119">
        <v>94.462382719178891</v>
      </c>
      <c r="H393" s="119">
        <v>20.57</v>
      </c>
      <c r="I393" s="116">
        <v>3512</v>
      </c>
      <c r="J393" s="118" t="s">
        <v>269</v>
      </c>
    </row>
    <row r="394" spans="1:10" x14ac:dyDescent="0.25">
      <c r="A394" s="116">
        <v>391</v>
      </c>
      <c r="B394" s="117" t="s">
        <v>2453</v>
      </c>
      <c r="C394" s="118" t="s">
        <v>2454</v>
      </c>
      <c r="D394" s="118" t="s">
        <v>455</v>
      </c>
      <c r="E394" s="118" t="s">
        <v>1110</v>
      </c>
      <c r="F394" s="119">
        <v>92.99186645121182</v>
      </c>
      <c r="G394" s="119">
        <v>94.041866451211817</v>
      </c>
      <c r="H394" s="119">
        <v>20.59</v>
      </c>
      <c r="I394" s="116">
        <v>3580</v>
      </c>
      <c r="J394" s="118" t="s">
        <v>269</v>
      </c>
    </row>
    <row r="395" spans="1:10" x14ac:dyDescent="0.25">
      <c r="A395" s="116">
        <v>392</v>
      </c>
      <c r="B395" s="117" t="s">
        <v>2455</v>
      </c>
      <c r="C395" s="118" t="s">
        <v>2456</v>
      </c>
      <c r="D395" s="118" t="s">
        <v>455</v>
      </c>
      <c r="E395" s="118" t="s">
        <v>1110</v>
      </c>
      <c r="F395" s="119">
        <v>92.99186645121182</v>
      </c>
      <c r="G395" s="119">
        <v>94.041866451211817</v>
      </c>
      <c r="H395" s="119">
        <v>20.59</v>
      </c>
      <c r="I395" s="116">
        <v>3580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106.8831</v>
      </c>
      <c r="H396" s="119">
        <v>7.1</v>
      </c>
      <c r="I396" s="116">
        <v>2171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87.725775947011172</v>
      </c>
      <c r="G397" s="119">
        <v>89.57687594701116</v>
      </c>
      <c r="H397" s="119">
        <v>17.54</v>
      </c>
      <c r="I397" s="116">
        <v>1024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103.57694192029778</v>
      </c>
      <c r="G398" s="119">
        <v>107.22774192029779</v>
      </c>
      <c r="H398" s="119">
        <v>15.54</v>
      </c>
      <c r="I398" s="116">
        <v>1362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106.92064402233413</v>
      </c>
      <c r="G399" s="119">
        <v>111.94704402233414</v>
      </c>
      <c r="H399" s="119">
        <v>17.03</v>
      </c>
      <c r="I399" s="116">
        <v>1706</v>
      </c>
      <c r="J399" s="118" t="s">
        <v>269</v>
      </c>
    </row>
    <row r="400" spans="1:10" x14ac:dyDescent="0.25">
      <c r="A400" s="116">
        <v>397</v>
      </c>
      <c r="B400" s="117" t="s">
        <v>2502</v>
      </c>
      <c r="C400" s="118" t="s">
        <v>2503</v>
      </c>
      <c r="D400" s="118" t="s">
        <v>455</v>
      </c>
      <c r="E400" s="118" t="s">
        <v>72</v>
      </c>
      <c r="F400" s="119">
        <v>99.892512569423303</v>
      </c>
      <c r="G400" s="119">
        <v>100.3675125694233</v>
      </c>
      <c r="H400" s="119">
        <v>19.03</v>
      </c>
      <c r="I400" s="116">
        <v>1791</v>
      </c>
      <c r="J400" s="118" t="s">
        <v>269</v>
      </c>
    </row>
    <row r="401" spans="1:10" x14ac:dyDescent="0.25">
      <c r="A401" s="116">
        <v>398</v>
      </c>
      <c r="B401" s="117" t="s">
        <v>2504</v>
      </c>
      <c r="C401" s="118" t="s">
        <v>2505</v>
      </c>
      <c r="D401" s="118" t="s">
        <v>455</v>
      </c>
      <c r="E401" s="118" t="s">
        <v>72</v>
      </c>
      <c r="F401" s="119">
        <v>99.892512569423303</v>
      </c>
      <c r="G401" s="119">
        <v>100.3675125694233</v>
      </c>
      <c r="H401" s="119">
        <v>19.03</v>
      </c>
      <c r="I401" s="116">
        <v>1791</v>
      </c>
      <c r="J401" s="118" t="s">
        <v>269</v>
      </c>
    </row>
    <row r="402" spans="1:10" x14ac:dyDescent="0.25">
      <c r="A402" s="116">
        <v>399</v>
      </c>
      <c r="B402" s="117" t="s">
        <v>2172</v>
      </c>
      <c r="C402" s="118" t="s">
        <v>2173</v>
      </c>
      <c r="D402" s="118" t="s">
        <v>455</v>
      </c>
      <c r="E402" s="118" t="s">
        <v>2174</v>
      </c>
      <c r="F402" s="119">
        <v>100.77086350342599</v>
      </c>
      <c r="G402" s="119">
        <v>103.22646350342599</v>
      </c>
      <c r="H402" s="119">
        <v>6.17</v>
      </c>
      <c r="I402" s="116">
        <v>944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3359.6363860302167</v>
      </c>
      <c r="G406" s="119">
        <v>3359.6363860302167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1476.5766019137995</v>
      </c>
      <c r="G407" s="119">
        <v>1476.5766019137995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84.806854096145798</v>
      </c>
      <c r="G408" s="119">
        <v>89.823554096145799</v>
      </c>
      <c r="H408" s="119">
        <v>17.27</v>
      </c>
      <c r="I408" s="116">
        <v>2020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77.599975081064215</v>
      </c>
      <c r="G409" s="119">
        <v>79.101375081064205</v>
      </c>
      <c r="H409" s="119">
        <v>17.29</v>
      </c>
      <c r="I409" s="116">
        <v>2473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73.465080472436682</v>
      </c>
      <c r="G410" s="119">
        <v>77.681780472436685</v>
      </c>
      <c r="H410" s="119">
        <v>16.61</v>
      </c>
      <c r="I410" s="116">
        <v>3462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106.093</v>
      </c>
      <c r="H411" s="119">
        <v>18.989999999999998</v>
      </c>
      <c r="I411" s="116">
        <v>4449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83.738508594263195</v>
      </c>
      <c r="G412" s="119">
        <v>95.571808594263189</v>
      </c>
      <c r="H412" s="119">
        <v>16.02</v>
      </c>
      <c r="I412" s="116">
        <v>2525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89.614013575651413</v>
      </c>
      <c r="G413" s="119">
        <v>96.052913575651417</v>
      </c>
      <c r="H413" s="119">
        <v>15.05</v>
      </c>
      <c r="I413" s="116">
        <v>836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74.441178563608503</v>
      </c>
      <c r="G414" s="119">
        <v>80.273078563608493</v>
      </c>
      <c r="H414" s="119">
        <v>17.07</v>
      </c>
      <c r="I414" s="116">
        <v>1939</v>
      </c>
      <c r="J414" s="118" t="s">
        <v>269</v>
      </c>
    </row>
    <row r="415" spans="1:10" x14ac:dyDescent="0.25">
      <c r="A415" s="116">
        <v>412</v>
      </c>
      <c r="B415" s="117" t="s">
        <v>2445</v>
      </c>
      <c r="C415" s="118" t="s">
        <v>2446</v>
      </c>
      <c r="D415" s="118" t="s">
        <v>455</v>
      </c>
      <c r="E415" s="118" t="s">
        <v>25</v>
      </c>
      <c r="F415" s="119">
        <v>90.783592626939182</v>
      </c>
      <c r="G415" s="119">
        <v>91.755792626939169</v>
      </c>
      <c r="H415" s="119">
        <v>18.579999999999998</v>
      </c>
      <c r="I415" s="116">
        <v>692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106.8484</v>
      </c>
      <c r="H416" s="119">
        <v>17.760000000000002</v>
      </c>
      <c r="I416" s="116">
        <v>47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107.3065</v>
      </c>
      <c r="H417" s="119">
        <v>18.48</v>
      </c>
      <c r="I417" s="116">
        <v>770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104.4699</v>
      </c>
      <c r="H418" s="119">
        <v>18.489999999999998</v>
      </c>
      <c r="I418" s="116">
        <v>826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104.5181</v>
      </c>
      <c r="H419" s="119">
        <v>18.71</v>
      </c>
      <c r="I419" s="116">
        <v>1557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107.346</v>
      </c>
      <c r="H420" s="119">
        <v>18.600000000000001</v>
      </c>
      <c r="I420" s="116">
        <v>1501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98.601625412891451</v>
      </c>
      <c r="G421" s="119">
        <v>106.65022541289144</v>
      </c>
      <c r="H421" s="119">
        <v>18.84</v>
      </c>
      <c r="I421" s="116">
        <v>55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100.7807</v>
      </c>
      <c r="H422" s="119">
        <v>17.739999999999998</v>
      </c>
      <c r="I422" s="116">
        <v>166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104.40130000000001</v>
      </c>
      <c r="H423" s="119">
        <v>16.95</v>
      </c>
      <c r="I423" s="116">
        <v>271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87.132561035690827</v>
      </c>
      <c r="G424" s="119">
        <v>95.10196103569082</v>
      </c>
      <c r="H424" s="119">
        <v>17.05</v>
      </c>
      <c r="I424" s="116">
        <v>778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97.979809926904707</v>
      </c>
      <c r="G425" s="119">
        <v>106.5562099269047</v>
      </c>
      <c r="H425" s="119">
        <v>18.88</v>
      </c>
      <c r="I425" s="116">
        <v>113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71.429085634302822</v>
      </c>
      <c r="G426" s="119">
        <v>80.031885634302824</v>
      </c>
      <c r="H426" s="119">
        <v>18.64</v>
      </c>
      <c r="I426" s="116">
        <v>1834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95.218261487348258</v>
      </c>
      <c r="G427" s="119">
        <v>96.398861487348256</v>
      </c>
      <c r="H427" s="119">
        <v>18.600000000000001</v>
      </c>
      <c r="I427" s="116">
        <v>326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95.077539889561322</v>
      </c>
      <c r="G428" s="119">
        <v>95.77193988956131</v>
      </c>
      <c r="H428" s="119">
        <v>18.579999999999998</v>
      </c>
      <c r="I428" s="116">
        <v>340</v>
      </c>
      <c r="J428" s="118" t="s">
        <v>269</v>
      </c>
    </row>
    <row r="429" spans="1:10" x14ac:dyDescent="0.25">
      <c r="A429" s="116">
        <v>426</v>
      </c>
      <c r="B429" s="117" t="s">
        <v>2334</v>
      </c>
      <c r="C429" s="118" t="s">
        <v>2335</v>
      </c>
      <c r="D429" s="118" t="s">
        <v>455</v>
      </c>
      <c r="E429" s="118" t="s">
        <v>25</v>
      </c>
      <c r="F429" s="119">
        <v>95.633598241381691</v>
      </c>
      <c r="G429" s="119">
        <v>98.029398241381699</v>
      </c>
      <c r="H429" s="119">
        <v>18.57</v>
      </c>
      <c r="I429" s="116">
        <v>291</v>
      </c>
      <c r="J429" s="118" t="s">
        <v>269</v>
      </c>
    </row>
    <row r="430" spans="1:10" x14ac:dyDescent="0.25">
      <c r="A430" s="116">
        <v>427</v>
      </c>
      <c r="B430" s="117" t="s">
        <v>2418</v>
      </c>
      <c r="C430" s="118" t="s">
        <v>2419</v>
      </c>
      <c r="D430" s="118" t="s">
        <v>455</v>
      </c>
      <c r="E430" s="118" t="s">
        <v>25</v>
      </c>
      <c r="F430" s="119">
        <v>95.290145941541226</v>
      </c>
      <c r="G430" s="119">
        <v>96.71374594154122</v>
      </c>
      <c r="H430" s="119">
        <v>18.61</v>
      </c>
      <c r="I430" s="116">
        <v>319</v>
      </c>
      <c r="J430" s="118" t="s">
        <v>269</v>
      </c>
    </row>
    <row r="431" spans="1:10" x14ac:dyDescent="0.25">
      <c r="A431" s="116">
        <v>428</v>
      </c>
      <c r="B431" s="117" t="s">
        <v>2079</v>
      </c>
      <c r="C431" s="118" t="s">
        <v>2080</v>
      </c>
      <c r="D431" s="118" t="s">
        <v>455</v>
      </c>
      <c r="E431" s="118" t="s">
        <v>25</v>
      </c>
      <c r="F431" s="119">
        <v>97.255032369841274</v>
      </c>
      <c r="G431" s="119">
        <v>103.95643236984128</v>
      </c>
      <c r="H431" s="119">
        <v>18.559999999999999</v>
      </c>
      <c r="I431" s="116">
        <v>167</v>
      </c>
      <c r="J431" s="118" t="s">
        <v>269</v>
      </c>
    </row>
    <row r="432" spans="1:10" x14ac:dyDescent="0.25">
      <c r="A432" s="116">
        <v>429</v>
      </c>
      <c r="B432" s="117" t="s">
        <v>2105</v>
      </c>
      <c r="C432" s="118" t="s">
        <v>2106</v>
      </c>
      <c r="D432" s="118" t="s">
        <v>455</v>
      </c>
      <c r="E432" s="118" t="s">
        <v>25</v>
      </c>
      <c r="F432" s="119">
        <v>96.866742285778614</v>
      </c>
      <c r="G432" s="119">
        <v>102.56114228577862</v>
      </c>
      <c r="H432" s="119">
        <v>18.52</v>
      </c>
      <c r="I432" s="116">
        <v>196</v>
      </c>
      <c r="J432" s="118" t="s">
        <v>269</v>
      </c>
    </row>
    <row r="433" spans="1:10" x14ac:dyDescent="0.25">
      <c r="A433" s="116">
        <v>430</v>
      </c>
      <c r="B433" s="117" t="s">
        <v>1990</v>
      </c>
      <c r="C433" s="118" t="s">
        <v>1991</v>
      </c>
      <c r="D433" s="118" t="s">
        <v>455</v>
      </c>
      <c r="E433" s="118" t="s">
        <v>25</v>
      </c>
      <c r="F433" s="119">
        <v>98.024762937152587</v>
      </c>
      <c r="G433" s="119">
        <v>106.70536293715259</v>
      </c>
      <c r="H433" s="119">
        <v>18.89</v>
      </c>
      <c r="I433" s="116">
        <v>110</v>
      </c>
      <c r="J433" s="118" t="s">
        <v>269</v>
      </c>
    </row>
    <row r="434" spans="1:10" x14ac:dyDescent="0.25">
      <c r="A434" s="116">
        <v>431</v>
      </c>
      <c r="B434" s="117" t="s">
        <v>2202</v>
      </c>
      <c r="C434" s="118" t="s">
        <v>2203</v>
      </c>
      <c r="D434" s="118" t="s">
        <v>455</v>
      </c>
      <c r="E434" s="118" t="s">
        <v>25</v>
      </c>
      <c r="F434" s="119">
        <v>96.315128415036156</v>
      </c>
      <c r="G434" s="119">
        <v>100.62072841503615</v>
      </c>
      <c r="H434" s="119">
        <v>18.559999999999999</v>
      </c>
      <c r="I434" s="116">
        <v>236</v>
      </c>
      <c r="J434" s="118" t="s">
        <v>269</v>
      </c>
    </row>
    <row r="435" spans="1:10" x14ac:dyDescent="0.25">
      <c r="A435" s="116">
        <v>432</v>
      </c>
      <c r="B435" s="117" t="s">
        <v>2192</v>
      </c>
      <c r="C435" s="118" t="s">
        <v>2193</v>
      </c>
      <c r="D435" s="118" t="s">
        <v>455</v>
      </c>
      <c r="E435" s="118" t="s">
        <v>25</v>
      </c>
      <c r="F435" s="119">
        <v>96.400750476446902</v>
      </c>
      <c r="G435" s="119">
        <v>100.9493504764469</v>
      </c>
      <c r="H435" s="119">
        <v>18.57</v>
      </c>
      <c r="I435" s="116">
        <v>229</v>
      </c>
      <c r="J435" s="118" t="s">
        <v>269</v>
      </c>
    </row>
    <row r="436" spans="1:10" x14ac:dyDescent="0.25">
      <c r="A436" s="116">
        <v>433</v>
      </c>
      <c r="B436" s="117" t="s">
        <v>2235</v>
      </c>
      <c r="C436" s="118" t="s">
        <v>2236</v>
      </c>
      <c r="D436" s="118" t="s">
        <v>455</v>
      </c>
      <c r="E436" s="118" t="s">
        <v>25</v>
      </c>
      <c r="F436" s="119">
        <v>96.06466937414956</v>
      </c>
      <c r="G436" s="119">
        <v>99.641069374149566</v>
      </c>
      <c r="H436" s="119">
        <v>18.53</v>
      </c>
      <c r="I436" s="116">
        <v>257</v>
      </c>
      <c r="J436" s="118" t="s">
        <v>269</v>
      </c>
    </row>
    <row r="437" spans="1:10" x14ac:dyDescent="0.25">
      <c r="A437" s="116">
        <v>434</v>
      </c>
      <c r="B437" s="117" t="s">
        <v>2498</v>
      </c>
      <c r="C437" s="118" t="s">
        <v>2499</v>
      </c>
      <c r="D437" s="118" t="s">
        <v>455</v>
      </c>
      <c r="E437" s="118" t="s">
        <v>25</v>
      </c>
      <c r="F437" s="119">
        <v>95.018456932542577</v>
      </c>
      <c r="G437" s="119">
        <v>95.50455693254257</v>
      </c>
      <c r="H437" s="119">
        <v>18.579999999999998</v>
      </c>
      <c r="I437" s="116">
        <v>346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97.966275728049041</v>
      </c>
      <c r="G438" s="119">
        <v>104.93297572804904</v>
      </c>
      <c r="H438" s="119">
        <v>17.32</v>
      </c>
      <c r="I438" s="116">
        <v>96</v>
      </c>
      <c r="J438" s="118" t="s">
        <v>269</v>
      </c>
    </row>
    <row r="439" spans="1:10" x14ac:dyDescent="0.25">
      <c r="A439" s="116">
        <v>436</v>
      </c>
      <c r="B439" s="117" t="s">
        <v>2033</v>
      </c>
      <c r="C439" s="118" t="s">
        <v>2034</v>
      </c>
      <c r="D439" s="118" t="s">
        <v>455</v>
      </c>
      <c r="E439" s="118" t="s">
        <v>25</v>
      </c>
      <c r="F439" s="119">
        <v>93.097226069354008</v>
      </c>
      <c r="G439" s="119">
        <v>101.53472606935401</v>
      </c>
      <c r="H439" s="119">
        <v>18.63</v>
      </c>
      <c r="I439" s="116">
        <v>477</v>
      </c>
      <c r="J439" s="118" t="s">
        <v>269</v>
      </c>
    </row>
    <row r="440" spans="1:10" x14ac:dyDescent="0.25">
      <c r="A440" s="116">
        <v>437</v>
      </c>
      <c r="B440" s="117" t="s">
        <v>2049</v>
      </c>
      <c r="C440" s="118" t="s">
        <v>2050</v>
      </c>
      <c r="D440" s="118" t="s">
        <v>455</v>
      </c>
      <c r="E440" s="118" t="s">
        <v>25</v>
      </c>
      <c r="F440" s="119">
        <v>92.737898294057075</v>
      </c>
      <c r="G440" s="119">
        <v>99.890698294057074</v>
      </c>
      <c r="H440" s="119">
        <v>18.52</v>
      </c>
      <c r="I440" s="116">
        <v>514</v>
      </c>
      <c r="J440" s="118" t="s">
        <v>269</v>
      </c>
    </row>
    <row r="441" spans="1:10" x14ac:dyDescent="0.25">
      <c r="A441" s="116">
        <v>438</v>
      </c>
      <c r="B441" s="117" t="s">
        <v>2107</v>
      </c>
      <c r="C441" s="118" t="s">
        <v>2108</v>
      </c>
      <c r="D441" s="118" t="s">
        <v>455</v>
      </c>
      <c r="E441" s="118" t="s">
        <v>25</v>
      </c>
      <c r="F441" s="119">
        <v>92.212350557513673</v>
      </c>
      <c r="G441" s="119">
        <v>97.906750557513661</v>
      </c>
      <c r="H441" s="119">
        <v>18.54</v>
      </c>
      <c r="I441" s="116">
        <v>556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100.08459999999999</v>
      </c>
      <c r="H442" s="119">
        <v>0.35</v>
      </c>
      <c r="I442" s="116">
        <v>273</v>
      </c>
      <c r="J442" s="118" t="s">
        <v>269</v>
      </c>
    </row>
    <row r="443" spans="1:10" x14ac:dyDescent="0.25">
      <c r="A443" s="116">
        <v>440</v>
      </c>
      <c r="B443" s="117" t="s">
        <v>2345</v>
      </c>
      <c r="C443" s="118" t="s">
        <v>2346</v>
      </c>
      <c r="D443" s="118" t="s">
        <v>455</v>
      </c>
      <c r="E443" s="118" t="s">
        <v>1146</v>
      </c>
      <c r="F443" s="119">
        <v>100</v>
      </c>
      <c r="G443" s="119">
        <v>100.0544</v>
      </c>
      <c r="H443" s="119">
        <v>0.35</v>
      </c>
      <c r="I443" s="116">
        <v>664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100.0051</v>
      </c>
      <c r="H444" s="119">
        <v>0.02</v>
      </c>
      <c r="I444" s="116">
        <v>3044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105.7589</v>
      </c>
      <c r="H445" s="119">
        <v>7.05</v>
      </c>
      <c r="I445" s="116">
        <v>2141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101.88079999999999</v>
      </c>
      <c r="H446" s="119">
        <v>6.08</v>
      </c>
      <c r="I446" s="116">
        <v>1659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106.8831</v>
      </c>
      <c r="H447" s="119">
        <v>7.08</v>
      </c>
      <c r="I447" s="116">
        <v>2141</v>
      </c>
      <c r="J447" s="118" t="s">
        <v>269</v>
      </c>
    </row>
    <row r="448" spans="1:10" x14ac:dyDescent="0.25">
      <c r="A448" s="116">
        <v>445</v>
      </c>
      <c r="B448" s="117" t="s">
        <v>2387</v>
      </c>
      <c r="C448" s="118" t="s">
        <v>2388</v>
      </c>
      <c r="D448" s="118" t="s">
        <v>455</v>
      </c>
      <c r="E448" s="118" t="s">
        <v>1146</v>
      </c>
      <c r="F448" s="119">
        <v>92.89594896762857</v>
      </c>
      <c r="G448" s="119">
        <v>95.205948967628572</v>
      </c>
      <c r="H448" s="119">
        <v>20.59</v>
      </c>
      <c r="I448" s="116">
        <v>3556</v>
      </c>
      <c r="J448" s="118" t="s">
        <v>269</v>
      </c>
    </row>
    <row r="449" spans="1:10" x14ac:dyDescent="0.25">
      <c r="A449" s="116">
        <v>446</v>
      </c>
      <c r="B449" s="117" t="s">
        <v>2367</v>
      </c>
      <c r="C449" s="118" t="s">
        <v>2368</v>
      </c>
      <c r="D449" s="118" t="s">
        <v>455</v>
      </c>
      <c r="E449" s="118" t="s">
        <v>1146</v>
      </c>
      <c r="F449" s="119">
        <v>92.933854921156069</v>
      </c>
      <c r="G449" s="119">
        <v>95.40135492115607</v>
      </c>
      <c r="H449" s="119">
        <v>20.58</v>
      </c>
      <c r="I449" s="116">
        <v>3553</v>
      </c>
      <c r="J449" s="118" t="s">
        <v>269</v>
      </c>
    </row>
    <row r="450" spans="1:10" x14ac:dyDescent="0.25">
      <c r="A450" s="116">
        <v>447</v>
      </c>
      <c r="B450" s="117" t="s">
        <v>2389</v>
      </c>
      <c r="C450" s="118" t="s">
        <v>2390</v>
      </c>
      <c r="D450" s="118" t="s">
        <v>455</v>
      </c>
      <c r="E450" s="118" t="s">
        <v>1146</v>
      </c>
      <c r="F450" s="119">
        <v>92.89594896762857</v>
      </c>
      <c r="G450" s="119">
        <v>95.205948967628572</v>
      </c>
      <c r="H450" s="119">
        <v>20.59</v>
      </c>
      <c r="I450" s="116">
        <v>3556</v>
      </c>
      <c r="J450" s="118" t="s">
        <v>269</v>
      </c>
    </row>
    <row r="451" spans="1:10" x14ac:dyDescent="0.25">
      <c r="A451" s="116">
        <v>448</v>
      </c>
      <c r="B451" s="117" t="s">
        <v>2457</v>
      </c>
      <c r="C451" s="118" t="s">
        <v>2458</v>
      </c>
      <c r="D451" s="118" t="s">
        <v>455</v>
      </c>
      <c r="E451" s="118" t="s">
        <v>1146</v>
      </c>
      <c r="F451" s="119">
        <v>92.99186645121182</v>
      </c>
      <c r="G451" s="119">
        <v>94.041866451211817</v>
      </c>
      <c r="H451" s="119">
        <v>20.59</v>
      </c>
      <c r="I451" s="116">
        <v>3580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101.0506</v>
      </c>
      <c r="H452" s="119">
        <v>6.08</v>
      </c>
      <c r="I452" s="116">
        <v>2068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105.9983</v>
      </c>
      <c r="H453" s="119">
        <v>6.09</v>
      </c>
      <c r="I453" s="116">
        <v>2496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105.9983</v>
      </c>
      <c r="H454" s="119">
        <v>6.09</v>
      </c>
      <c r="I454" s="116">
        <v>2496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99.84447711776096</v>
      </c>
      <c r="G455" s="119">
        <v>109.21257711776097</v>
      </c>
      <c r="H455" s="119">
        <v>20.84</v>
      </c>
      <c r="I455" s="116">
        <v>5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21975.040845856471</v>
      </c>
      <c r="G458" s="119">
        <v>21975.040845856471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100.651</v>
      </c>
      <c r="G459" s="119">
        <v>102.9864</v>
      </c>
      <c r="H459" s="119">
        <v>4.3</v>
      </c>
      <c r="I459" s="116">
        <v>543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94.772000000000006</v>
      </c>
      <c r="G460" s="119">
        <v>97.599100000000007</v>
      </c>
      <c r="H460" s="119">
        <v>6.19</v>
      </c>
      <c r="I460" s="116">
        <v>7743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103.002</v>
      </c>
      <c r="G461" s="119">
        <v>105.5701</v>
      </c>
      <c r="H461" s="119">
        <v>4.63</v>
      </c>
      <c r="I461" s="116">
        <v>1628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100.67100000000001</v>
      </c>
      <c r="G462" s="119">
        <v>103.71680000000001</v>
      </c>
      <c r="H462" s="119">
        <v>6.32</v>
      </c>
      <c r="I462" s="116">
        <v>8288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90.733000000000004</v>
      </c>
      <c r="G463" s="119">
        <v>90.752399999999994</v>
      </c>
      <c r="H463" s="119">
        <v>5</v>
      </c>
      <c r="I463" s="116">
        <v>2698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100.7319</v>
      </c>
      <c r="H464" s="119">
        <v>4.2300000000000004</v>
      </c>
      <c r="I464" s="116">
        <v>238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100.1332</v>
      </c>
      <c r="H465" s="119">
        <v>0.35</v>
      </c>
      <c r="I465" s="116">
        <v>43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100.0933</v>
      </c>
      <c r="H466" s="119">
        <v>0.35</v>
      </c>
      <c r="I466" s="116">
        <v>264</v>
      </c>
      <c r="J466" s="118" t="s">
        <v>269</v>
      </c>
    </row>
    <row r="467" spans="1:10" x14ac:dyDescent="0.25">
      <c r="A467" s="116">
        <v>464</v>
      </c>
      <c r="B467" s="117" t="s">
        <v>2117</v>
      </c>
      <c r="C467" s="118" t="s">
        <v>2118</v>
      </c>
      <c r="D467" s="118" t="s">
        <v>455</v>
      </c>
      <c r="E467" s="118" t="s">
        <v>1178</v>
      </c>
      <c r="F467" s="119">
        <v>100</v>
      </c>
      <c r="G467" s="119">
        <v>100.1478</v>
      </c>
      <c r="H467" s="119">
        <v>0.35</v>
      </c>
      <c r="I467" s="116">
        <v>568</v>
      </c>
      <c r="J467" s="118" t="s">
        <v>269</v>
      </c>
    </row>
    <row r="468" spans="1:10" x14ac:dyDescent="0.25">
      <c r="A468" s="116">
        <v>465</v>
      </c>
      <c r="B468" s="117" t="s">
        <v>1940</v>
      </c>
      <c r="C468" s="118" t="s">
        <v>1941</v>
      </c>
      <c r="D468" s="118" t="s">
        <v>455</v>
      </c>
      <c r="E468" s="118" t="s">
        <v>1178</v>
      </c>
      <c r="F468" s="119">
        <v>100</v>
      </c>
      <c r="G468" s="119">
        <v>100.0166</v>
      </c>
      <c r="H468" s="119">
        <v>0.02</v>
      </c>
      <c r="I468" s="116">
        <v>3044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100.0065</v>
      </c>
      <c r="H469" s="119">
        <v>0.02</v>
      </c>
      <c r="I469" s="116">
        <v>3044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101.88079999999999</v>
      </c>
      <c r="H470" s="119">
        <v>6.08</v>
      </c>
      <c r="I470" s="116">
        <v>1659</v>
      </c>
      <c r="J470" s="118" t="s">
        <v>269</v>
      </c>
    </row>
    <row r="471" spans="1:10" x14ac:dyDescent="0.25">
      <c r="A471" s="116">
        <v>468</v>
      </c>
      <c r="B471" s="117" t="s">
        <v>2314</v>
      </c>
      <c r="C471" s="118" t="s">
        <v>2315</v>
      </c>
      <c r="D471" s="118" t="s">
        <v>455</v>
      </c>
      <c r="E471" s="118" t="s">
        <v>1178</v>
      </c>
      <c r="F471" s="119">
        <v>89.992816913315608</v>
      </c>
      <c r="G471" s="119">
        <v>93.835016913315613</v>
      </c>
      <c r="H471" s="119">
        <v>20.58</v>
      </c>
      <c r="I471" s="116">
        <v>3524</v>
      </c>
      <c r="J471" s="118" t="s">
        <v>269</v>
      </c>
    </row>
    <row r="472" spans="1:10" x14ac:dyDescent="0.25">
      <c r="A472" s="116">
        <v>469</v>
      </c>
      <c r="B472" s="117" t="s">
        <v>2369</v>
      </c>
      <c r="C472" s="118" t="s">
        <v>2370</v>
      </c>
      <c r="D472" s="118" t="s">
        <v>455</v>
      </c>
      <c r="E472" s="118" t="s">
        <v>1178</v>
      </c>
      <c r="F472" s="119">
        <v>92.933854921156069</v>
      </c>
      <c r="G472" s="119">
        <v>95.40135492115607</v>
      </c>
      <c r="H472" s="119">
        <v>20.58</v>
      </c>
      <c r="I472" s="116">
        <v>3553</v>
      </c>
      <c r="J472" s="118" t="s">
        <v>269</v>
      </c>
    </row>
    <row r="473" spans="1:10" x14ac:dyDescent="0.25">
      <c r="A473" s="116">
        <v>470</v>
      </c>
      <c r="B473" s="117" t="s">
        <v>2371</v>
      </c>
      <c r="C473" s="118" t="s">
        <v>2372</v>
      </c>
      <c r="D473" s="118" t="s">
        <v>455</v>
      </c>
      <c r="E473" s="118" t="s">
        <v>1178</v>
      </c>
      <c r="F473" s="119">
        <v>92.933854921156069</v>
      </c>
      <c r="G473" s="119">
        <v>95.40135492115607</v>
      </c>
      <c r="H473" s="119">
        <v>20.58</v>
      </c>
      <c r="I473" s="116">
        <v>3553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101.0506</v>
      </c>
      <c r="H474" s="119">
        <v>6.08</v>
      </c>
      <c r="I474" s="116">
        <v>2068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105.9983</v>
      </c>
      <c r="H475" s="119">
        <v>6.09</v>
      </c>
      <c r="I475" s="116">
        <v>2496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105.9983</v>
      </c>
      <c r="H476" s="119">
        <v>6.09</v>
      </c>
      <c r="I476" s="116">
        <v>2496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104.8631</v>
      </c>
      <c r="H477" s="119">
        <v>6.08</v>
      </c>
      <c r="I477" s="116">
        <v>2563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36428.933550000009</v>
      </c>
      <c r="G479" s="119">
        <v>36428.933550000009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101.8181</v>
      </c>
      <c r="H480" s="119">
        <v>4.24</v>
      </c>
      <c r="I480" s="116">
        <v>326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100.14</v>
      </c>
      <c r="H481" s="119">
        <v>0.35</v>
      </c>
      <c r="I481" s="116">
        <v>36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100.07389999999999</v>
      </c>
      <c r="H482" s="119">
        <v>0.35</v>
      </c>
      <c r="I482" s="116">
        <v>284</v>
      </c>
      <c r="J482" s="118" t="s">
        <v>269</v>
      </c>
    </row>
    <row r="483" spans="1:10" x14ac:dyDescent="0.25">
      <c r="A483" s="116">
        <v>480</v>
      </c>
      <c r="B483" s="117" t="s">
        <v>2084</v>
      </c>
      <c r="C483" s="118" t="s">
        <v>2085</v>
      </c>
      <c r="D483" s="118" t="s">
        <v>455</v>
      </c>
      <c r="E483" s="118" t="s">
        <v>1200</v>
      </c>
      <c r="F483" s="119">
        <v>100</v>
      </c>
      <c r="G483" s="119">
        <v>100.17310000000001</v>
      </c>
      <c r="H483" s="119">
        <v>0.35</v>
      </c>
      <c r="I483" s="116">
        <v>542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100.0039</v>
      </c>
      <c r="H484" s="119">
        <v>0.02</v>
      </c>
      <c r="I484" s="116">
        <v>3044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100.0069</v>
      </c>
      <c r="H485" s="119">
        <v>0.02</v>
      </c>
      <c r="I485" s="116">
        <v>3044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101.88079999999999</v>
      </c>
      <c r="H486" s="119">
        <v>6.08</v>
      </c>
      <c r="I486" s="116">
        <v>1659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106.8831</v>
      </c>
      <c r="H487" s="119">
        <v>7.08</v>
      </c>
      <c r="I487" s="116">
        <v>2141</v>
      </c>
      <c r="J487" s="118" t="s">
        <v>269</v>
      </c>
    </row>
    <row r="488" spans="1:10" x14ac:dyDescent="0.25">
      <c r="A488" s="116">
        <v>485</v>
      </c>
      <c r="B488" s="117" t="s">
        <v>2254</v>
      </c>
      <c r="C488" s="118" t="s">
        <v>2255</v>
      </c>
      <c r="D488" s="118" t="s">
        <v>455</v>
      </c>
      <c r="E488" s="118" t="s">
        <v>1200</v>
      </c>
      <c r="F488" s="119">
        <v>90.013482719178896</v>
      </c>
      <c r="G488" s="119">
        <v>94.462382719178891</v>
      </c>
      <c r="H488" s="119">
        <v>20.57</v>
      </c>
      <c r="I488" s="116">
        <v>3512</v>
      </c>
      <c r="J488" s="118" t="s">
        <v>269</v>
      </c>
    </row>
    <row r="489" spans="1:10" x14ac:dyDescent="0.25">
      <c r="A489" s="116">
        <v>486</v>
      </c>
      <c r="B489" s="117" t="s">
        <v>2373</v>
      </c>
      <c r="C489" s="118" t="s">
        <v>2374</v>
      </c>
      <c r="D489" s="118" t="s">
        <v>455</v>
      </c>
      <c r="E489" s="118" t="s">
        <v>1200</v>
      </c>
      <c r="F489" s="119">
        <v>92.933854921156069</v>
      </c>
      <c r="G489" s="119">
        <v>95.40135492115607</v>
      </c>
      <c r="H489" s="119">
        <v>20.58</v>
      </c>
      <c r="I489" s="116">
        <v>3553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101.0506</v>
      </c>
      <c r="H490" s="119">
        <v>6.08</v>
      </c>
      <c r="I490" s="116">
        <v>2068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105.9983</v>
      </c>
      <c r="H491" s="119">
        <v>6.09</v>
      </c>
      <c r="I491" s="116">
        <v>2496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105.9983</v>
      </c>
      <c r="H492" s="119">
        <v>6.09</v>
      </c>
      <c r="I492" s="116">
        <v>2496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104.8631</v>
      </c>
      <c r="H493" s="119">
        <v>6.08</v>
      </c>
      <c r="I493" s="116">
        <v>2563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42316.243573531145</v>
      </c>
      <c r="G495" s="119">
        <v>42316.243573531145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42790.70800474385</v>
      </c>
      <c r="G496" s="119">
        <v>42790.70800474385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98.016697763530701</v>
      </c>
      <c r="G497" s="119">
        <v>100.47499776353069</v>
      </c>
      <c r="H497" s="119">
        <v>19.52</v>
      </c>
      <c r="I497" s="116">
        <v>62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82.199498092490572</v>
      </c>
      <c r="G499" s="119">
        <v>86.907798092490566</v>
      </c>
      <c r="H499" s="119">
        <v>20.13</v>
      </c>
      <c r="I499" s="116">
        <v>2227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93.785539930291108</v>
      </c>
      <c r="G500" s="119">
        <v>98.218839930291111</v>
      </c>
      <c r="H500" s="119">
        <v>20.079999999999998</v>
      </c>
      <c r="I500" s="116">
        <v>426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973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58.222637745530598</v>
      </c>
      <c r="G502" s="119">
        <v>67.028237745530589</v>
      </c>
      <c r="H502" s="119">
        <v>21.17</v>
      </c>
      <c r="I502" s="116">
        <v>2923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29989.270659152593</v>
      </c>
      <c r="G503" s="119">
        <v>29989.270659152593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30251.935500000007</v>
      </c>
      <c r="G504" s="119">
        <v>30251.935500000007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78.545551205776789</v>
      </c>
      <c r="G507" s="119">
        <v>78.856651205776785</v>
      </c>
      <c r="H507" s="119">
        <v>20.36</v>
      </c>
      <c r="I507" s="116">
        <v>2152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85.347721425443396</v>
      </c>
      <c r="G509" s="119">
        <v>88.876921425443399</v>
      </c>
      <c r="H509" s="119">
        <v>19.04</v>
      </c>
      <c r="I509" s="116">
        <v>779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1.8077415920282103</v>
      </c>
      <c r="G510" s="119">
        <v>1.8146415920282102</v>
      </c>
      <c r="H510" s="119">
        <v>18.82</v>
      </c>
      <c r="I510" s="116">
        <v>8525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1.5689100903149584</v>
      </c>
      <c r="G511" s="119">
        <v>1.5883100903149585</v>
      </c>
      <c r="H511" s="119">
        <v>18.82</v>
      </c>
      <c r="I511" s="116">
        <v>8930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96.999928837311145</v>
      </c>
      <c r="G512" s="119">
        <v>98.480528837311141</v>
      </c>
      <c r="H512" s="119">
        <v>19.23</v>
      </c>
      <c r="I512" s="116">
        <v>128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1.0841098899322195</v>
      </c>
      <c r="G513" s="119">
        <v>1.0863098899322194</v>
      </c>
      <c r="H513" s="119">
        <v>18.82</v>
      </c>
      <c r="I513" s="116">
        <v>10162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1.4517942441341567</v>
      </c>
      <c r="G514" s="119">
        <v>1.4559942441341567</v>
      </c>
      <c r="H514" s="119">
        <v>18.82</v>
      </c>
      <c r="I514" s="116">
        <v>9165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48.471557832716321</v>
      </c>
      <c r="G515" s="119">
        <v>53.270857832716324</v>
      </c>
      <c r="H515" s="119">
        <v>20.149999999999999</v>
      </c>
      <c r="I515" s="116">
        <v>2593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68.554128545765096</v>
      </c>
      <c r="G516" s="119">
        <v>71.020228545765093</v>
      </c>
      <c r="H516" s="119">
        <v>19.2</v>
      </c>
      <c r="I516" s="116">
        <v>1699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1.3190509994385071</v>
      </c>
      <c r="G517" s="119">
        <v>1.3390509994385071</v>
      </c>
      <c r="H517" s="119">
        <v>18.829999999999998</v>
      </c>
      <c r="I517" s="116">
        <v>9468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56.38637642779554</v>
      </c>
      <c r="G518" s="119">
        <v>63.191876427795535</v>
      </c>
      <c r="H518" s="119">
        <v>20.14</v>
      </c>
      <c r="I518" s="116">
        <v>2171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1696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32.01486980479141</v>
      </c>
      <c r="G520" s="119">
        <v>33.083569804791409</v>
      </c>
      <c r="H520" s="119">
        <v>19.239999999999998</v>
      </c>
      <c r="I520" s="116">
        <v>3865</v>
      </c>
      <c r="J520" s="118" t="s">
        <v>269</v>
      </c>
    </row>
    <row r="521" spans="1:10" x14ac:dyDescent="0.25">
      <c r="A521" s="116">
        <v>518</v>
      </c>
      <c r="B521" s="117" t="s">
        <v>2300</v>
      </c>
      <c r="C521" s="118" t="s">
        <v>2301</v>
      </c>
      <c r="D521" s="118" t="s">
        <v>455</v>
      </c>
      <c r="E521" s="118" t="s">
        <v>818</v>
      </c>
      <c r="F521" s="119">
        <v>93.619766636685839</v>
      </c>
      <c r="G521" s="119">
        <v>97.719766636685847</v>
      </c>
      <c r="H521" s="119">
        <v>20.100000000000001</v>
      </c>
      <c r="I521" s="116">
        <v>1718</v>
      </c>
      <c r="J521" s="118" t="s">
        <v>269</v>
      </c>
    </row>
    <row r="522" spans="1:10" x14ac:dyDescent="0.25">
      <c r="A522" s="116">
        <v>519</v>
      </c>
      <c r="B522" s="117" t="s">
        <v>2430</v>
      </c>
      <c r="C522" s="118" t="s">
        <v>2354</v>
      </c>
      <c r="D522" s="118" t="s">
        <v>455</v>
      </c>
      <c r="E522" s="118" t="s">
        <v>818</v>
      </c>
      <c r="F522" s="119">
        <v>96.985818304652611</v>
      </c>
      <c r="G522" s="119">
        <v>99.531118304652622</v>
      </c>
      <c r="H522" s="119">
        <v>20.09</v>
      </c>
      <c r="I522" s="116">
        <v>1031</v>
      </c>
      <c r="J522" s="118" t="s">
        <v>269</v>
      </c>
    </row>
    <row r="523" spans="1:10" x14ac:dyDescent="0.25">
      <c r="A523" s="116">
        <v>520</v>
      </c>
      <c r="B523" s="117" t="s">
        <v>2431</v>
      </c>
      <c r="C523" s="118" t="s">
        <v>2432</v>
      </c>
      <c r="D523" s="118" t="s">
        <v>455</v>
      </c>
      <c r="E523" s="118" t="s">
        <v>818</v>
      </c>
      <c r="F523" s="119">
        <v>96.985818304652611</v>
      </c>
      <c r="G523" s="119">
        <v>99.531118304652622</v>
      </c>
      <c r="H523" s="119">
        <v>20.09</v>
      </c>
      <c r="I523" s="116">
        <v>1031</v>
      </c>
      <c r="J523" s="118" t="s">
        <v>269</v>
      </c>
    </row>
    <row r="524" spans="1:10" x14ac:dyDescent="0.25">
      <c r="A524" s="116">
        <v>521</v>
      </c>
      <c r="B524" s="117" t="s">
        <v>2037</v>
      </c>
      <c r="C524" s="118" t="s">
        <v>2038</v>
      </c>
      <c r="D524" s="118" t="s">
        <v>455</v>
      </c>
      <c r="E524" s="118" t="s">
        <v>2039</v>
      </c>
      <c r="F524" s="119">
        <v>104.58499999999999</v>
      </c>
      <c r="G524" s="119">
        <v>106.35720000000001</v>
      </c>
      <c r="H524" s="119">
        <v>19.5</v>
      </c>
      <c r="I524" s="116">
        <v>871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99.375741468744977</v>
      </c>
      <c r="G525" s="119">
        <v>99.618841468744975</v>
      </c>
      <c r="H525" s="119">
        <v>4.71</v>
      </c>
      <c r="I525" s="116">
        <v>700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39518.073084146563</v>
      </c>
      <c r="G526" s="119">
        <v>39518.073084146563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95.312692960367855</v>
      </c>
      <c r="G527" s="119">
        <v>99.050192960367852</v>
      </c>
      <c r="H527" s="119">
        <v>19.13</v>
      </c>
      <c r="I527" s="116">
        <v>243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30270.47973898477</v>
      </c>
      <c r="G528" s="119">
        <v>30270.47973898477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854.15754324501859</v>
      </c>
      <c r="G529" s="119">
        <v>854.15754324501859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92.882275920531541</v>
      </c>
      <c r="G530" s="119">
        <v>103.69687592053154</v>
      </c>
      <c r="H530" s="119">
        <v>25.27</v>
      </c>
      <c r="I530" s="116">
        <v>1081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94.242000000000004</v>
      </c>
      <c r="G531" s="119">
        <v>94.269099999999995</v>
      </c>
      <c r="H531" s="119">
        <v>5.36</v>
      </c>
      <c r="I531" s="116">
        <v>6838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98.933111093926797</v>
      </c>
      <c r="G532" s="119">
        <v>101.1510110939268</v>
      </c>
      <c r="H532" s="119">
        <v>2.74</v>
      </c>
      <c r="I532" s="116">
        <v>1120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98.105256877142722</v>
      </c>
      <c r="G533" s="119">
        <v>98.131556877142714</v>
      </c>
      <c r="H533" s="119">
        <v>2.63</v>
      </c>
      <c r="I533" s="116">
        <v>349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83.754265927925729</v>
      </c>
      <c r="G534" s="119">
        <v>84.274665927925724</v>
      </c>
      <c r="H534" s="119">
        <v>16.809999999999999</v>
      </c>
      <c r="I534" s="116">
        <v>699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67.809794296998348</v>
      </c>
      <c r="G535" s="119">
        <v>68.365994296998338</v>
      </c>
      <c r="H535" s="119">
        <v>16.91</v>
      </c>
      <c r="I535" s="116">
        <v>1791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94.404793892055025</v>
      </c>
      <c r="G536" s="119">
        <v>96.761493892055029</v>
      </c>
      <c r="H536" s="119">
        <v>16.43</v>
      </c>
      <c r="I536" s="116">
        <v>249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80.77015388457329</v>
      </c>
      <c r="G537" s="119">
        <v>83.193053884573288</v>
      </c>
      <c r="H537" s="119">
        <v>16.899999999999999</v>
      </c>
      <c r="I537" s="116">
        <v>977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68.085585355905707</v>
      </c>
      <c r="G538" s="119">
        <v>70.580885355905707</v>
      </c>
      <c r="H538" s="119">
        <v>16.87</v>
      </c>
      <c r="I538" s="116">
        <v>2069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68.085585355905707</v>
      </c>
      <c r="G539" s="119">
        <v>70.580885355905707</v>
      </c>
      <c r="H539" s="119">
        <v>16.87</v>
      </c>
      <c r="I539" s="116">
        <v>2069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113.334</v>
      </c>
      <c r="G540" s="119">
        <v>114.8687</v>
      </c>
      <c r="H540" s="119">
        <v>5.39</v>
      </c>
      <c r="I540" s="116">
        <v>7115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99.423000000000002</v>
      </c>
      <c r="G541" s="119">
        <v>99.514700000000005</v>
      </c>
      <c r="H541" s="119">
        <v>4.79</v>
      </c>
      <c r="I541" s="116">
        <v>3413</v>
      </c>
      <c r="J541" s="118" t="s">
        <v>269</v>
      </c>
    </row>
    <row r="542" spans="1:10" x14ac:dyDescent="0.25">
      <c r="A542" s="116">
        <v>539</v>
      </c>
      <c r="B542" s="117" t="s">
        <v>2221</v>
      </c>
      <c r="C542" s="118" t="s">
        <v>2222</v>
      </c>
      <c r="D542" s="118" t="s">
        <v>455</v>
      </c>
      <c r="E542" s="118" t="s">
        <v>111</v>
      </c>
      <c r="F542" s="119">
        <v>102.188</v>
      </c>
      <c r="G542" s="119">
        <v>103.6463</v>
      </c>
      <c r="H542" s="119">
        <v>4.62</v>
      </c>
      <c r="I542" s="116">
        <v>2415</v>
      </c>
      <c r="J542" s="118" t="s">
        <v>269</v>
      </c>
    </row>
    <row r="543" spans="1:10" x14ac:dyDescent="0.25">
      <c r="A543" s="116">
        <v>540</v>
      </c>
      <c r="B543" s="117" t="s">
        <v>2223</v>
      </c>
      <c r="C543" s="118" t="s">
        <v>2224</v>
      </c>
      <c r="D543" s="118" t="s">
        <v>455</v>
      </c>
      <c r="E543" s="118" t="s">
        <v>111</v>
      </c>
      <c r="F543" s="119">
        <v>102.839</v>
      </c>
      <c r="G543" s="119">
        <v>104.4432</v>
      </c>
      <c r="H543" s="119">
        <v>5.17</v>
      </c>
      <c r="I543" s="116">
        <v>4215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92.173694391945261</v>
      </c>
      <c r="G546" s="119">
        <v>93.27369439194527</v>
      </c>
      <c r="H546" s="119">
        <v>26.51</v>
      </c>
      <c r="I546" s="116">
        <v>882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2590</v>
      </c>
      <c r="F547" s="119">
        <v>60571.217250000009</v>
      </c>
      <c r="G547" s="119">
        <v>60571.217250000009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2591</v>
      </c>
      <c r="F550" s="119">
        <v>305619.97635000007</v>
      </c>
      <c r="G550" s="119">
        <v>305619.97635000007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2592</v>
      </c>
      <c r="F551" s="119">
        <v>388725.24885000009</v>
      </c>
      <c r="G551" s="119">
        <v>388725.24885000009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2058</v>
      </c>
      <c r="C552" s="118" t="s">
        <v>2059</v>
      </c>
      <c r="D552" s="118" t="s">
        <v>455</v>
      </c>
      <c r="E552" s="118" t="s">
        <v>2060</v>
      </c>
      <c r="F552" s="119">
        <v>100.05807957317066</v>
      </c>
      <c r="G552" s="119">
        <v>102.50807957317066</v>
      </c>
      <c r="H552" s="119">
        <v>20.98</v>
      </c>
      <c r="I552" s="116">
        <v>3378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99.721582360771123</v>
      </c>
      <c r="G553" s="119">
        <v>101.72718236077111</v>
      </c>
      <c r="H553" s="119">
        <v>20.79</v>
      </c>
      <c r="I553" s="116">
        <v>52</v>
      </c>
      <c r="J553" s="118" t="s">
        <v>269</v>
      </c>
    </row>
    <row r="554" spans="1:10" x14ac:dyDescent="0.25">
      <c r="A554" s="116">
        <v>551</v>
      </c>
      <c r="B554" s="117" t="s">
        <v>2316</v>
      </c>
      <c r="C554" s="118" t="s">
        <v>2317</v>
      </c>
      <c r="D554" s="118" t="s">
        <v>455</v>
      </c>
      <c r="E554" s="118" t="s">
        <v>1329</v>
      </c>
      <c r="F554" s="119">
        <v>99.598499288571631</v>
      </c>
      <c r="G554" s="119">
        <v>100.48739928857164</v>
      </c>
      <c r="H554" s="119">
        <v>20.27</v>
      </c>
      <c r="I554" s="116">
        <v>644</v>
      </c>
      <c r="J554" s="118" t="s">
        <v>269</v>
      </c>
    </row>
    <row r="555" spans="1:10" x14ac:dyDescent="0.25">
      <c r="A555" s="116">
        <v>552</v>
      </c>
      <c r="B555" s="117" t="s">
        <v>2352</v>
      </c>
      <c r="C555" s="118" t="s">
        <v>2353</v>
      </c>
      <c r="D555" s="118" t="s">
        <v>455</v>
      </c>
      <c r="E555" s="118" t="s">
        <v>1330</v>
      </c>
      <c r="F555" s="119">
        <v>102.28506452837435</v>
      </c>
      <c r="G555" s="119">
        <v>102.51836452837435</v>
      </c>
      <c r="H555" s="119">
        <v>9.33</v>
      </c>
      <c r="I555" s="116">
        <v>323</v>
      </c>
      <c r="J555" s="118" t="s">
        <v>269</v>
      </c>
    </row>
    <row r="556" spans="1:10" x14ac:dyDescent="0.25">
      <c r="A556" s="116">
        <v>553</v>
      </c>
      <c r="B556" s="117" t="s">
        <v>2441</v>
      </c>
      <c r="C556" s="118" t="s">
        <v>2442</v>
      </c>
      <c r="D556" s="118" t="s">
        <v>455</v>
      </c>
      <c r="E556" s="118" t="s">
        <v>1330</v>
      </c>
      <c r="F556" s="119">
        <v>101.97049688467517</v>
      </c>
      <c r="G556" s="119">
        <v>102.99269688467518</v>
      </c>
      <c r="H556" s="119">
        <v>20.7</v>
      </c>
      <c r="I556" s="116">
        <v>344</v>
      </c>
      <c r="J556" s="118" t="s">
        <v>269</v>
      </c>
    </row>
    <row r="557" spans="1:10" x14ac:dyDescent="0.25">
      <c r="A557" s="116">
        <v>554</v>
      </c>
      <c r="B557" s="117" t="s">
        <v>2200</v>
      </c>
      <c r="C557" s="118" t="s">
        <v>2201</v>
      </c>
      <c r="D557" s="118" t="s">
        <v>455</v>
      </c>
      <c r="E557" s="118" t="s">
        <v>1330</v>
      </c>
      <c r="F557" s="119">
        <v>101.68638850812272</v>
      </c>
      <c r="G557" s="119">
        <v>102.38638850812272</v>
      </c>
      <c r="H557" s="119">
        <v>9.44</v>
      </c>
      <c r="I557" s="116">
        <v>249</v>
      </c>
      <c r="J557" s="118" t="s">
        <v>269</v>
      </c>
    </row>
    <row r="558" spans="1:10" x14ac:dyDescent="0.25">
      <c r="A558" s="116">
        <v>555</v>
      </c>
      <c r="B558" s="117" t="s">
        <v>2409</v>
      </c>
      <c r="C558" s="118" t="s">
        <v>2410</v>
      </c>
      <c r="D558" s="118" t="s">
        <v>455</v>
      </c>
      <c r="E558" s="118" t="s">
        <v>2411</v>
      </c>
      <c r="F558" s="119">
        <v>99.874200000000002</v>
      </c>
      <c r="G558" s="119">
        <v>102.7214</v>
      </c>
      <c r="H558" s="119">
        <v>25</v>
      </c>
      <c r="I558" s="116">
        <v>679</v>
      </c>
      <c r="J558" s="118" t="s">
        <v>269</v>
      </c>
    </row>
    <row r="559" spans="1:10" x14ac:dyDescent="0.25">
      <c r="A559" s="116">
        <v>556</v>
      </c>
      <c r="B559" s="117" t="s">
        <v>2478</v>
      </c>
      <c r="C559" s="118" t="s">
        <v>2479</v>
      </c>
      <c r="D559" s="118" t="s">
        <v>455</v>
      </c>
      <c r="E559" s="118" t="s">
        <v>1331</v>
      </c>
      <c r="F559" s="119">
        <v>100.7083741026087</v>
      </c>
      <c r="G559" s="119">
        <v>102.28337410260869</v>
      </c>
      <c r="H559" s="119">
        <v>20.76</v>
      </c>
      <c r="I559" s="116">
        <v>1773</v>
      </c>
      <c r="J559" s="118" t="s">
        <v>269</v>
      </c>
    </row>
    <row r="560" spans="1:10" x14ac:dyDescent="0.25">
      <c r="A560" s="116">
        <v>557</v>
      </c>
      <c r="B560" s="117" t="s">
        <v>2480</v>
      </c>
      <c r="C560" s="118" t="s">
        <v>2481</v>
      </c>
      <c r="D560" s="118" t="s">
        <v>455</v>
      </c>
      <c r="E560" s="118" t="s">
        <v>1331</v>
      </c>
      <c r="F560" s="119">
        <v>99.9</v>
      </c>
      <c r="G560" s="119">
        <v>101.1833</v>
      </c>
      <c r="H560" s="119">
        <v>21.03</v>
      </c>
      <c r="I560" s="116">
        <v>1058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98.231096849000892</v>
      </c>
      <c r="G561" s="119">
        <v>105.81439684900089</v>
      </c>
      <c r="H561" s="119">
        <v>22.01</v>
      </c>
      <c r="I561" s="116">
        <v>770</v>
      </c>
      <c r="J561" s="118" t="s">
        <v>269</v>
      </c>
    </row>
    <row r="562" spans="1:10" x14ac:dyDescent="0.25">
      <c r="A562" s="116">
        <v>559</v>
      </c>
      <c r="B562" s="117" t="s">
        <v>2225</v>
      </c>
      <c r="C562" s="118" t="s">
        <v>2226</v>
      </c>
      <c r="D562" s="118" t="s">
        <v>455</v>
      </c>
      <c r="E562" s="118" t="s">
        <v>1334</v>
      </c>
      <c r="F562" s="119">
        <v>100.05221562084218</v>
      </c>
      <c r="G562" s="119">
        <v>100.11191562084218</v>
      </c>
      <c r="H562" s="119">
        <v>21.45</v>
      </c>
      <c r="I562" s="116">
        <v>449</v>
      </c>
      <c r="J562" s="118" t="s">
        <v>269</v>
      </c>
    </row>
    <row r="563" spans="1:10" x14ac:dyDescent="0.25">
      <c r="A563" s="116">
        <v>560</v>
      </c>
      <c r="B563" s="117" t="s">
        <v>2227</v>
      </c>
      <c r="C563" s="118" t="s">
        <v>2228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99.84341725626112</v>
      </c>
      <c r="G564" s="119">
        <v>102.70171725626112</v>
      </c>
      <c r="H564" s="119">
        <v>21.13</v>
      </c>
      <c r="I564" s="116">
        <v>401</v>
      </c>
      <c r="J564" s="118" t="s">
        <v>269</v>
      </c>
    </row>
    <row r="565" spans="1:10" x14ac:dyDescent="0.25">
      <c r="A565" s="116">
        <v>562</v>
      </c>
      <c r="B565" s="117" t="s">
        <v>2343</v>
      </c>
      <c r="C565" s="118" t="s">
        <v>2344</v>
      </c>
      <c r="D565" s="118" t="s">
        <v>455</v>
      </c>
      <c r="E565" s="118" t="s">
        <v>1337</v>
      </c>
      <c r="F565" s="119">
        <v>100.56150514926368</v>
      </c>
      <c r="G565" s="119">
        <v>104.06150514926368</v>
      </c>
      <c r="H565" s="119">
        <v>21.98</v>
      </c>
      <c r="I565" s="116">
        <v>484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2040</v>
      </c>
      <c r="F566" s="119">
        <v>100</v>
      </c>
      <c r="G566" s="119">
        <v>103.85</v>
      </c>
      <c r="H566" s="119">
        <v>21.98</v>
      </c>
      <c r="I566" s="116">
        <v>567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100.00395939794689</v>
      </c>
      <c r="G567" s="119">
        <v>104.96085939794689</v>
      </c>
      <c r="H567" s="119">
        <v>21.44</v>
      </c>
      <c r="I567" s="116">
        <v>97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100.06854106186996</v>
      </c>
      <c r="G568" s="119">
        <v>102.72684106186996</v>
      </c>
      <c r="H568" s="119">
        <v>10.72</v>
      </c>
      <c r="I568" s="116">
        <v>93</v>
      </c>
      <c r="J568" s="118" t="s">
        <v>269</v>
      </c>
    </row>
    <row r="569" spans="1:10" x14ac:dyDescent="0.25">
      <c r="A569" s="116">
        <v>566</v>
      </c>
      <c r="B569" s="117" t="s">
        <v>2208</v>
      </c>
      <c r="C569" s="118" t="s">
        <v>2209</v>
      </c>
      <c r="D569" s="118" t="s">
        <v>455</v>
      </c>
      <c r="E569" s="118" t="s">
        <v>1342</v>
      </c>
      <c r="F569" s="119">
        <v>98.590500000000006</v>
      </c>
      <c r="G569" s="119">
        <v>99.757199999999997</v>
      </c>
      <c r="H569" s="119">
        <v>22</v>
      </c>
      <c r="I569" s="116">
        <v>610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99.017200000000003</v>
      </c>
      <c r="G570" s="119">
        <v>102.5005</v>
      </c>
      <c r="H570" s="119">
        <v>23.01</v>
      </c>
      <c r="I570" s="116">
        <v>393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100.75167487163543</v>
      </c>
      <c r="G571" s="119">
        <v>105.88497487163544</v>
      </c>
      <c r="H571" s="119">
        <v>21.15</v>
      </c>
      <c r="I571" s="116">
        <v>103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100.69904655322425</v>
      </c>
      <c r="G572" s="119">
        <v>105.58794655322426</v>
      </c>
      <c r="H572" s="119">
        <v>20.98</v>
      </c>
      <c r="I572" s="116">
        <v>280</v>
      </c>
      <c r="J572" s="118" t="s">
        <v>269</v>
      </c>
    </row>
    <row r="573" spans="1:10" x14ac:dyDescent="0.25">
      <c r="A573" s="116">
        <v>570</v>
      </c>
      <c r="B573" s="117" t="s">
        <v>2348</v>
      </c>
      <c r="C573" s="118" t="s">
        <v>2349</v>
      </c>
      <c r="D573" s="118" t="s">
        <v>455</v>
      </c>
      <c r="E573" s="118" t="s">
        <v>1350</v>
      </c>
      <c r="F573" s="119">
        <v>102.3255562758235</v>
      </c>
      <c r="G573" s="119">
        <v>105.38115627582351</v>
      </c>
      <c r="H573" s="119">
        <v>21.09</v>
      </c>
      <c r="I573" s="116">
        <v>1390</v>
      </c>
      <c r="J573" s="118" t="s">
        <v>269</v>
      </c>
    </row>
    <row r="574" spans="1:10" x14ac:dyDescent="0.25">
      <c r="A574" s="116">
        <v>571</v>
      </c>
      <c r="B574" s="117" t="s">
        <v>2119</v>
      </c>
      <c r="C574" s="118" t="s">
        <v>2120</v>
      </c>
      <c r="D574" s="118" t="s">
        <v>455</v>
      </c>
      <c r="E574" s="118" t="s">
        <v>2340</v>
      </c>
      <c r="F574" s="119">
        <v>99.10770838800822</v>
      </c>
      <c r="G574" s="119">
        <v>107.34100838800822</v>
      </c>
      <c r="H574" s="119">
        <v>20.41</v>
      </c>
      <c r="I574" s="116">
        <v>208</v>
      </c>
      <c r="J574" s="118" t="s">
        <v>269</v>
      </c>
    </row>
    <row r="575" spans="1:10" x14ac:dyDescent="0.25">
      <c r="A575" s="116">
        <v>572</v>
      </c>
      <c r="B575" s="117" t="s">
        <v>2166</v>
      </c>
      <c r="C575" s="118" t="s">
        <v>2167</v>
      </c>
      <c r="D575" s="118" t="s">
        <v>455</v>
      </c>
      <c r="E575" s="118" t="s">
        <v>2340</v>
      </c>
      <c r="F575" s="119">
        <v>99.101733769025259</v>
      </c>
      <c r="G575" s="119">
        <v>106.52253376902527</v>
      </c>
      <c r="H575" s="119">
        <v>20.39</v>
      </c>
      <c r="I575" s="116">
        <v>223</v>
      </c>
      <c r="J575" s="118" t="s">
        <v>269</v>
      </c>
    </row>
    <row r="576" spans="1:10" x14ac:dyDescent="0.25">
      <c r="A576" s="116">
        <v>573</v>
      </c>
      <c r="B576" s="117" t="s">
        <v>2168</v>
      </c>
      <c r="C576" s="118" t="s">
        <v>2169</v>
      </c>
      <c r="D576" s="118" t="s">
        <v>455</v>
      </c>
      <c r="E576" s="118" t="s">
        <v>2340</v>
      </c>
      <c r="F576" s="119">
        <v>99.101553206232154</v>
      </c>
      <c r="G576" s="119">
        <v>106.46825320623215</v>
      </c>
      <c r="H576" s="119">
        <v>20.39</v>
      </c>
      <c r="I576" s="116">
        <v>224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2114</v>
      </c>
      <c r="F577" s="119">
        <v>97.42451922365629</v>
      </c>
      <c r="G577" s="119">
        <v>102.0356192236563</v>
      </c>
      <c r="H577" s="119">
        <v>21.46</v>
      </c>
      <c r="I577" s="116">
        <v>817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2114</v>
      </c>
      <c r="F578" s="119">
        <v>89.999981431004556</v>
      </c>
      <c r="G578" s="119">
        <v>91.444381431004544</v>
      </c>
      <c r="H578" s="119">
        <v>24.9</v>
      </c>
      <c r="I578" s="116">
        <v>1054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100.40650934893863</v>
      </c>
      <c r="G579" s="119">
        <v>102.17870934893863</v>
      </c>
      <c r="H579" s="119">
        <v>20.98</v>
      </c>
      <c r="I579" s="116">
        <v>151</v>
      </c>
      <c r="J579" s="118" t="s">
        <v>269</v>
      </c>
    </row>
    <row r="580" spans="1:10" x14ac:dyDescent="0.25">
      <c r="A580" s="116">
        <v>577</v>
      </c>
      <c r="B580" s="117" t="s">
        <v>2070</v>
      </c>
      <c r="C580" s="118" t="s">
        <v>2071</v>
      </c>
      <c r="D580" s="118" t="s">
        <v>455</v>
      </c>
      <c r="E580" s="118" t="s">
        <v>1359</v>
      </c>
      <c r="F580" s="119">
        <v>99.90208773354945</v>
      </c>
      <c r="G580" s="119">
        <v>100.69648773354945</v>
      </c>
      <c r="H580" s="119">
        <v>22.05</v>
      </c>
      <c r="I580" s="116">
        <v>527</v>
      </c>
      <c r="J580" s="118" t="s">
        <v>269</v>
      </c>
    </row>
    <row r="581" spans="1:10" x14ac:dyDescent="0.25">
      <c r="A581" s="116">
        <v>578</v>
      </c>
      <c r="B581" s="117" t="s">
        <v>2391</v>
      </c>
      <c r="C581" s="118" t="s">
        <v>2392</v>
      </c>
      <c r="D581" s="118" t="s">
        <v>455</v>
      </c>
      <c r="E581" s="118" t="s">
        <v>1359</v>
      </c>
      <c r="F581" s="119">
        <v>101.32910807614039</v>
      </c>
      <c r="G581" s="119">
        <v>102.12350807614038</v>
      </c>
      <c r="H581" s="119">
        <v>21.13</v>
      </c>
      <c r="I581" s="116">
        <v>677</v>
      </c>
      <c r="J581" s="118" t="s">
        <v>269</v>
      </c>
    </row>
    <row r="582" spans="1:10" x14ac:dyDescent="0.25">
      <c r="A582" s="116">
        <v>579</v>
      </c>
      <c r="B582" s="117" t="s">
        <v>2170</v>
      </c>
      <c r="C582" s="118" t="s">
        <v>2171</v>
      </c>
      <c r="D582" s="118" t="s">
        <v>455</v>
      </c>
      <c r="E582" s="118" t="s">
        <v>1359</v>
      </c>
      <c r="F582" s="119">
        <v>101.10919713539508</v>
      </c>
      <c r="G582" s="119">
        <v>101.93979713539507</v>
      </c>
      <c r="H582" s="119">
        <v>21.1</v>
      </c>
      <c r="I582" s="116">
        <v>227</v>
      </c>
      <c r="J582" s="118" t="s">
        <v>269</v>
      </c>
    </row>
    <row r="583" spans="1:10" x14ac:dyDescent="0.25">
      <c r="A583" s="116">
        <v>580</v>
      </c>
      <c r="B583" s="117" t="s">
        <v>2109</v>
      </c>
      <c r="C583" s="118" t="s">
        <v>2110</v>
      </c>
      <c r="D583" s="118" t="s">
        <v>455</v>
      </c>
      <c r="E583" s="118" t="s">
        <v>1359</v>
      </c>
      <c r="F583" s="119">
        <v>101.05196581787547</v>
      </c>
      <c r="G583" s="119">
        <v>101.30756581787547</v>
      </c>
      <c r="H583" s="119">
        <v>21.03</v>
      </c>
      <c r="I583" s="116">
        <v>206</v>
      </c>
      <c r="J583" s="118" t="s">
        <v>269</v>
      </c>
    </row>
    <row r="584" spans="1:10" x14ac:dyDescent="0.25">
      <c r="A584" s="116">
        <v>581</v>
      </c>
      <c r="B584" s="117" t="s">
        <v>2443</v>
      </c>
      <c r="C584" s="118" t="s">
        <v>2444</v>
      </c>
      <c r="D584" s="118" t="s">
        <v>455</v>
      </c>
      <c r="E584" s="118" t="s">
        <v>1359</v>
      </c>
      <c r="F584" s="119">
        <v>99.996300000000005</v>
      </c>
      <c r="G584" s="119">
        <v>101.2796</v>
      </c>
      <c r="H584" s="119">
        <v>22</v>
      </c>
      <c r="I584" s="116">
        <v>339</v>
      </c>
      <c r="J584" s="118" t="s">
        <v>269</v>
      </c>
    </row>
    <row r="585" spans="1:10" x14ac:dyDescent="0.25">
      <c r="A585" s="116">
        <v>582</v>
      </c>
      <c r="B585" s="117" t="s">
        <v>2350</v>
      </c>
      <c r="C585" s="118" t="s">
        <v>2351</v>
      </c>
      <c r="D585" s="118" t="s">
        <v>455</v>
      </c>
      <c r="E585" s="118" t="s">
        <v>1359</v>
      </c>
      <c r="F585" s="119">
        <v>100.70451698948142</v>
      </c>
      <c r="G585" s="119">
        <v>101.98781698948142</v>
      </c>
      <c r="H585" s="119">
        <v>21.09</v>
      </c>
      <c r="I585" s="116">
        <v>309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99.903460564930953</v>
      </c>
      <c r="G586" s="119">
        <v>100.79236056493096</v>
      </c>
      <c r="H586" s="119">
        <v>22.42</v>
      </c>
      <c r="I586" s="116">
        <v>14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99.433578829068338</v>
      </c>
      <c r="G587" s="119">
        <v>102.98917882906834</v>
      </c>
      <c r="H587" s="119">
        <v>21.78</v>
      </c>
      <c r="I587" s="116">
        <v>116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99.772899155675418</v>
      </c>
      <c r="G588" s="119">
        <v>102.49509915567542</v>
      </c>
      <c r="H588" s="119">
        <v>21.77</v>
      </c>
      <c r="I588" s="116">
        <v>41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99.745168495430221</v>
      </c>
      <c r="G589" s="119">
        <v>101.96736849543022</v>
      </c>
      <c r="H589" s="119">
        <v>21.67</v>
      </c>
      <c r="I589" s="116">
        <v>50</v>
      </c>
      <c r="J589" s="118" t="s">
        <v>269</v>
      </c>
    </row>
    <row r="590" spans="1:10" x14ac:dyDescent="0.25">
      <c r="A590" s="116">
        <v>587</v>
      </c>
      <c r="B590" s="117" t="s">
        <v>1967</v>
      </c>
      <c r="C590" s="118" t="s">
        <v>1968</v>
      </c>
      <c r="D590" s="118" t="s">
        <v>455</v>
      </c>
      <c r="E590" s="118" t="s">
        <v>1359</v>
      </c>
      <c r="F590" s="119">
        <v>98.343706977491749</v>
      </c>
      <c r="G590" s="119">
        <v>102.95480697749174</v>
      </c>
      <c r="H590" s="119">
        <v>21.52</v>
      </c>
      <c r="I590" s="116">
        <v>457</v>
      </c>
      <c r="J590" s="118" t="s">
        <v>269</v>
      </c>
    </row>
    <row r="591" spans="1:10" x14ac:dyDescent="0.25">
      <c r="A591" s="116">
        <v>588</v>
      </c>
      <c r="B591" s="117" t="s">
        <v>1999</v>
      </c>
      <c r="C591" s="118" t="s">
        <v>2000</v>
      </c>
      <c r="D591" s="118" t="s">
        <v>455</v>
      </c>
      <c r="E591" s="118" t="s">
        <v>1359</v>
      </c>
      <c r="F591" s="119">
        <v>98.192185988120031</v>
      </c>
      <c r="G591" s="119">
        <v>100.96998598812003</v>
      </c>
      <c r="H591" s="119">
        <v>21.54</v>
      </c>
      <c r="I591" s="116">
        <v>490</v>
      </c>
      <c r="J591" s="118" t="s">
        <v>269</v>
      </c>
    </row>
    <row r="592" spans="1:10" x14ac:dyDescent="0.25">
      <c r="A592" s="116">
        <v>589</v>
      </c>
      <c r="B592" s="117" t="s">
        <v>2044</v>
      </c>
      <c r="C592" s="118" t="s">
        <v>2045</v>
      </c>
      <c r="D592" s="118" t="s">
        <v>455</v>
      </c>
      <c r="E592" s="118" t="s">
        <v>1359</v>
      </c>
      <c r="F592" s="119">
        <v>100.25320875463203</v>
      </c>
      <c r="G592" s="119">
        <v>101.47540875463203</v>
      </c>
      <c r="H592" s="119">
        <v>21.33</v>
      </c>
      <c r="I592" s="116">
        <v>160</v>
      </c>
      <c r="J592" s="118" t="s">
        <v>269</v>
      </c>
    </row>
    <row r="593" spans="1:10" x14ac:dyDescent="0.25">
      <c r="A593" s="116">
        <v>590</v>
      </c>
      <c r="B593" s="117" t="s">
        <v>1368</v>
      </c>
      <c r="C593" s="118" t="s">
        <v>1369</v>
      </c>
      <c r="D593" s="118" t="s">
        <v>455</v>
      </c>
      <c r="E593" s="118" t="s">
        <v>1370</v>
      </c>
      <c r="F593" s="119">
        <v>100.23716470574644</v>
      </c>
      <c r="G593" s="119">
        <v>101.83716470574643</v>
      </c>
      <c r="H593" s="119">
        <v>22.46</v>
      </c>
      <c r="I593" s="116">
        <v>66</v>
      </c>
      <c r="J593" s="118" t="s">
        <v>269</v>
      </c>
    </row>
    <row r="594" spans="1:10" x14ac:dyDescent="0.25">
      <c r="A594" s="116">
        <v>591</v>
      </c>
      <c r="B594" s="117" t="s">
        <v>1959</v>
      </c>
      <c r="C594" s="118" t="s">
        <v>1960</v>
      </c>
      <c r="D594" s="118" t="s">
        <v>455</v>
      </c>
      <c r="E594" s="118" t="s">
        <v>1370</v>
      </c>
      <c r="F594" s="119">
        <v>97.379259350959813</v>
      </c>
      <c r="G594" s="119">
        <v>97.712559350959808</v>
      </c>
      <c r="H594" s="119">
        <v>22.48</v>
      </c>
      <c r="I594" s="116">
        <v>444</v>
      </c>
      <c r="J594" s="118" t="s">
        <v>269</v>
      </c>
    </row>
    <row r="595" spans="1:10" x14ac:dyDescent="0.25">
      <c r="A595" s="116">
        <v>592</v>
      </c>
      <c r="B595" s="117" t="s">
        <v>1371</v>
      </c>
      <c r="C595" s="118" t="s">
        <v>1372</v>
      </c>
      <c r="D595" s="118" t="s">
        <v>455</v>
      </c>
      <c r="E595" s="118" t="s">
        <v>367</v>
      </c>
      <c r="F595" s="119">
        <v>97.616200000000006</v>
      </c>
      <c r="G595" s="119">
        <v>105.0051</v>
      </c>
      <c r="H595" s="119">
        <v>20.010000000000002</v>
      </c>
      <c r="I595" s="116">
        <v>388</v>
      </c>
      <c r="J595" s="118" t="s">
        <v>269</v>
      </c>
    </row>
    <row r="596" spans="1:10" x14ac:dyDescent="0.25">
      <c r="A596" s="116">
        <v>593</v>
      </c>
      <c r="B596" s="117" t="s">
        <v>420</v>
      </c>
      <c r="C596" s="118" t="s">
        <v>421</v>
      </c>
      <c r="D596" s="118" t="s">
        <v>455</v>
      </c>
      <c r="E596" s="118" t="s">
        <v>399</v>
      </c>
      <c r="F596" s="119">
        <v>100.9478350771241</v>
      </c>
      <c r="G596" s="119">
        <v>103.08113507712409</v>
      </c>
      <c r="H596" s="119">
        <v>11.04</v>
      </c>
      <c r="I596" s="116">
        <v>386</v>
      </c>
      <c r="J596" s="118" t="s">
        <v>269</v>
      </c>
    </row>
    <row r="597" spans="1:10" x14ac:dyDescent="0.25">
      <c r="A597" s="116">
        <v>594</v>
      </c>
      <c r="B597" s="117" t="s">
        <v>1942</v>
      </c>
      <c r="C597" s="118" t="s">
        <v>1943</v>
      </c>
      <c r="D597" s="118" t="s">
        <v>455</v>
      </c>
      <c r="E597" s="118" t="s">
        <v>399</v>
      </c>
      <c r="F597" s="119">
        <v>100.07376274315376</v>
      </c>
      <c r="G597" s="119">
        <v>100.25706274315377</v>
      </c>
      <c r="H597" s="119">
        <v>21.68</v>
      </c>
      <c r="I597" s="116">
        <v>87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100.10582883555051</v>
      </c>
      <c r="G598" s="119">
        <v>101.14472883555052</v>
      </c>
      <c r="H598" s="119">
        <v>21.61</v>
      </c>
      <c r="I598" s="116">
        <v>103</v>
      </c>
      <c r="J598" s="118" t="s">
        <v>269</v>
      </c>
    </row>
    <row r="599" spans="1:10" x14ac:dyDescent="0.25">
      <c r="A599" s="116">
        <v>596</v>
      </c>
      <c r="B599" s="117" t="s">
        <v>1986</v>
      </c>
      <c r="C599" s="118" t="s">
        <v>1987</v>
      </c>
      <c r="D599" s="118" t="s">
        <v>455</v>
      </c>
      <c r="E599" s="118" t="s">
        <v>399</v>
      </c>
      <c r="F599" s="119">
        <v>100.09444442134283</v>
      </c>
      <c r="G599" s="119">
        <v>101.74444442134283</v>
      </c>
      <c r="H599" s="119">
        <v>21.71</v>
      </c>
      <c r="I599" s="116">
        <v>123</v>
      </c>
      <c r="J599" s="118" t="s">
        <v>269</v>
      </c>
    </row>
    <row r="600" spans="1:10" x14ac:dyDescent="0.25">
      <c r="A600" s="116">
        <v>597</v>
      </c>
      <c r="B600" s="117" t="s">
        <v>2013</v>
      </c>
      <c r="C600" s="118" t="s">
        <v>2014</v>
      </c>
      <c r="D600" s="118" t="s">
        <v>455</v>
      </c>
      <c r="E600" s="118" t="s">
        <v>399</v>
      </c>
      <c r="F600" s="119">
        <v>99.99</v>
      </c>
      <c r="G600" s="119">
        <v>100.6622</v>
      </c>
      <c r="H600" s="119">
        <v>22.02</v>
      </c>
      <c r="I600" s="116">
        <v>139</v>
      </c>
      <c r="J600" s="118" t="s">
        <v>269</v>
      </c>
    </row>
    <row r="601" spans="1:10" x14ac:dyDescent="0.25">
      <c r="A601" s="116">
        <v>598</v>
      </c>
      <c r="B601" s="117" t="s">
        <v>2101</v>
      </c>
      <c r="C601" s="118" t="s">
        <v>2102</v>
      </c>
      <c r="D601" s="118" t="s">
        <v>445</v>
      </c>
      <c r="E601" s="118" t="s">
        <v>399</v>
      </c>
      <c r="F601" s="119">
        <v>1000</v>
      </c>
      <c r="G601" s="119">
        <v>1000</v>
      </c>
      <c r="H601" s="119">
        <v>0</v>
      </c>
      <c r="I601" s="116">
        <v>0</v>
      </c>
      <c r="J601" s="118" t="s">
        <v>238</v>
      </c>
    </row>
    <row r="602" spans="1:10" x14ac:dyDescent="0.25">
      <c r="A602" s="116">
        <v>599</v>
      </c>
      <c r="B602" s="117" t="s">
        <v>1988</v>
      </c>
      <c r="C602" s="118" t="s">
        <v>1989</v>
      </c>
      <c r="D602" s="118" t="s">
        <v>455</v>
      </c>
      <c r="E602" s="118" t="s">
        <v>399</v>
      </c>
      <c r="F602" s="119">
        <v>100.20620803118209</v>
      </c>
      <c r="G602" s="119">
        <v>100.40620803118209</v>
      </c>
      <c r="H602" s="119">
        <v>11.33</v>
      </c>
      <c r="I602" s="116">
        <v>114</v>
      </c>
      <c r="J602" s="118" t="s">
        <v>269</v>
      </c>
    </row>
    <row r="603" spans="1:10" x14ac:dyDescent="0.25">
      <c r="A603" s="116">
        <v>600</v>
      </c>
      <c r="B603" s="117" t="s">
        <v>1995</v>
      </c>
      <c r="C603" s="118" t="s">
        <v>1996</v>
      </c>
      <c r="D603" s="118" t="s">
        <v>455</v>
      </c>
      <c r="E603" s="118" t="s">
        <v>399</v>
      </c>
      <c r="F603" s="119">
        <v>100.23946364968876</v>
      </c>
      <c r="G603" s="119">
        <v>101.07276364968877</v>
      </c>
      <c r="H603" s="119">
        <v>11.29</v>
      </c>
      <c r="I603" s="116">
        <v>125</v>
      </c>
      <c r="J603" s="118" t="s">
        <v>269</v>
      </c>
    </row>
    <row r="604" spans="1:10" x14ac:dyDescent="0.25">
      <c r="A604" s="116">
        <v>601</v>
      </c>
      <c r="B604" s="117" t="s">
        <v>2001</v>
      </c>
      <c r="C604" s="118" t="s">
        <v>2002</v>
      </c>
      <c r="D604" s="118" t="s">
        <v>455</v>
      </c>
      <c r="E604" s="118" t="s">
        <v>399</v>
      </c>
      <c r="F604" s="119">
        <v>100.10799810458195</v>
      </c>
      <c r="G604" s="119">
        <v>101.33019810458195</v>
      </c>
      <c r="H604" s="119">
        <v>21.68</v>
      </c>
      <c r="I604" s="116">
        <v>130</v>
      </c>
      <c r="J604" s="118" t="s">
        <v>269</v>
      </c>
    </row>
    <row r="605" spans="1:10" x14ac:dyDescent="0.25">
      <c r="A605" s="116">
        <v>602</v>
      </c>
      <c r="B605" s="117" t="s">
        <v>2007</v>
      </c>
      <c r="C605" s="118" t="s">
        <v>2008</v>
      </c>
      <c r="D605" s="118" t="s">
        <v>455</v>
      </c>
      <c r="E605" s="118" t="s">
        <v>399</v>
      </c>
      <c r="F605" s="119">
        <v>100.25755632547573</v>
      </c>
      <c r="G605" s="119">
        <v>100.89085632547574</v>
      </c>
      <c r="H605" s="119">
        <v>11.27</v>
      </c>
      <c r="I605" s="116">
        <v>131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100.25755632547573</v>
      </c>
      <c r="G606" s="119">
        <v>100.89085632547574</v>
      </c>
      <c r="H606" s="119">
        <v>11.27</v>
      </c>
      <c r="I606" s="116">
        <v>131</v>
      </c>
      <c r="J606" s="118" t="s">
        <v>269</v>
      </c>
    </row>
    <row r="607" spans="1:10" x14ac:dyDescent="0.25">
      <c r="A607" s="116">
        <v>604</v>
      </c>
      <c r="B607" s="117" t="s">
        <v>2065</v>
      </c>
      <c r="C607" s="118" t="s">
        <v>2066</v>
      </c>
      <c r="D607" s="118" t="s">
        <v>455</v>
      </c>
      <c r="E607" s="118" t="s">
        <v>399</v>
      </c>
      <c r="F607" s="119">
        <v>100.21049808388827</v>
      </c>
      <c r="G607" s="119">
        <v>100.67719808388827</v>
      </c>
      <c r="H607" s="119">
        <v>11.53</v>
      </c>
      <c r="I607" s="116">
        <v>166</v>
      </c>
      <c r="J607" s="118" t="s">
        <v>269</v>
      </c>
    </row>
    <row r="608" spans="1:10" x14ac:dyDescent="0.25">
      <c r="A608" s="116">
        <v>605</v>
      </c>
      <c r="B608" s="117" t="s">
        <v>2072</v>
      </c>
      <c r="C608" s="118" t="s">
        <v>2073</v>
      </c>
      <c r="D608" s="118" t="s">
        <v>455</v>
      </c>
      <c r="E608" s="118" t="s">
        <v>399</v>
      </c>
      <c r="F608" s="119">
        <v>100.56596053528691</v>
      </c>
      <c r="G608" s="119">
        <v>101.33266053528691</v>
      </c>
      <c r="H608" s="119">
        <v>11.02</v>
      </c>
      <c r="I608" s="116">
        <v>217</v>
      </c>
      <c r="J608" s="118" t="s">
        <v>269</v>
      </c>
    </row>
    <row r="609" spans="1:10" x14ac:dyDescent="0.25">
      <c r="A609" s="116">
        <v>606</v>
      </c>
      <c r="B609" s="117" t="s">
        <v>2125</v>
      </c>
      <c r="C609" s="118" t="s">
        <v>2126</v>
      </c>
      <c r="D609" s="118" t="s">
        <v>455</v>
      </c>
      <c r="E609" s="118" t="s">
        <v>399</v>
      </c>
      <c r="F609" s="119">
        <v>101.10506483809239</v>
      </c>
      <c r="G609" s="119">
        <v>101.10506483809239</v>
      </c>
      <c r="H609" s="119">
        <v>21.17</v>
      </c>
      <c r="I609" s="116">
        <v>570</v>
      </c>
      <c r="J609" s="118" t="s">
        <v>269</v>
      </c>
    </row>
    <row r="610" spans="1:10" x14ac:dyDescent="0.25">
      <c r="A610" s="116">
        <v>607</v>
      </c>
      <c r="B610" s="117" t="s">
        <v>2184</v>
      </c>
      <c r="C610" s="118" t="s">
        <v>2185</v>
      </c>
      <c r="D610" s="118" t="s">
        <v>455</v>
      </c>
      <c r="E610" s="118" t="s">
        <v>399</v>
      </c>
      <c r="F610" s="119">
        <v>99.998999999999995</v>
      </c>
      <c r="G610" s="119">
        <v>100.8546</v>
      </c>
      <c r="H610" s="119">
        <v>22</v>
      </c>
      <c r="I610" s="116">
        <v>616</v>
      </c>
      <c r="J610" s="118" t="s">
        <v>269</v>
      </c>
    </row>
    <row r="611" spans="1:10" x14ac:dyDescent="0.25">
      <c r="A611" s="116">
        <v>608</v>
      </c>
      <c r="B611" s="117" t="s">
        <v>2186</v>
      </c>
      <c r="C611" s="118" t="s">
        <v>2187</v>
      </c>
      <c r="D611" s="118" t="s">
        <v>455</v>
      </c>
      <c r="E611" s="118" t="s">
        <v>399</v>
      </c>
      <c r="F611" s="119">
        <v>99.998999999999995</v>
      </c>
      <c r="G611" s="119">
        <v>100.30459999999999</v>
      </c>
      <c r="H611" s="119">
        <v>22</v>
      </c>
      <c r="I611" s="116">
        <v>655</v>
      </c>
      <c r="J611" s="118" t="s">
        <v>269</v>
      </c>
    </row>
    <row r="612" spans="1:10" x14ac:dyDescent="0.25">
      <c r="A612" s="116">
        <v>609</v>
      </c>
      <c r="B612" s="117" t="s">
        <v>2127</v>
      </c>
      <c r="C612" s="118" t="s">
        <v>2128</v>
      </c>
      <c r="D612" s="118" t="s">
        <v>455</v>
      </c>
      <c r="E612" s="118" t="s">
        <v>399</v>
      </c>
      <c r="F612" s="119">
        <v>102.13787438092238</v>
      </c>
      <c r="G612" s="119">
        <v>102.13787438092238</v>
      </c>
      <c r="H612" s="119">
        <v>10.53</v>
      </c>
      <c r="I612" s="116">
        <v>570</v>
      </c>
      <c r="J612" s="118" t="s">
        <v>269</v>
      </c>
    </row>
    <row r="613" spans="1:10" x14ac:dyDescent="0.25">
      <c r="A613" s="116">
        <v>610</v>
      </c>
      <c r="B613" s="117" t="s">
        <v>2188</v>
      </c>
      <c r="C613" s="118" t="s">
        <v>2189</v>
      </c>
      <c r="D613" s="118" t="s">
        <v>455</v>
      </c>
      <c r="E613" s="118" t="s">
        <v>399</v>
      </c>
      <c r="F613" s="119">
        <v>99.998900638206237</v>
      </c>
      <c r="G613" s="119">
        <v>100.43220063820624</v>
      </c>
      <c r="H613" s="119">
        <v>12</v>
      </c>
      <c r="I613" s="116">
        <v>617</v>
      </c>
      <c r="J613" s="118" t="s">
        <v>269</v>
      </c>
    </row>
    <row r="614" spans="1:10" x14ac:dyDescent="0.25">
      <c r="A614" s="116">
        <v>611</v>
      </c>
      <c r="B614" s="117" t="s">
        <v>2190</v>
      </c>
      <c r="C614" s="118" t="s">
        <v>2191</v>
      </c>
      <c r="D614" s="118" t="s">
        <v>455</v>
      </c>
      <c r="E614" s="118" t="s">
        <v>399</v>
      </c>
      <c r="F614" s="119">
        <v>101.82197689411473</v>
      </c>
      <c r="G614" s="119">
        <v>102.68867689411472</v>
      </c>
      <c r="H614" s="119">
        <v>10.81</v>
      </c>
      <c r="I614" s="116">
        <v>604</v>
      </c>
      <c r="J614" s="118" t="s">
        <v>269</v>
      </c>
    </row>
    <row r="615" spans="1:10" x14ac:dyDescent="0.25">
      <c r="A615" s="116">
        <v>612</v>
      </c>
      <c r="B615" s="117" t="s">
        <v>2486</v>
      </c>
      <c r="C615" s="118" t="s">
        <v>2487</v>
      </c>
      <c r="D615" s="118" t="s">
        <v>455</v>
      </c>
      <c r="E615" s="118" t="s">
        <v>399</v>
      </c>
      <c r="F615" s="119">
        <v>99.998999999999995</v>
      </c>
      <c r="G615" s="119">
        <v>100.6101</v>
      </c>
      <c r="H615" s="119">
        <v>22</v>
      </c>
      <c r="I615" s="116">
        <v>710</v>
      </c>
      <c r="J615" s="118" t="s">
        <v>269</v>
      </c>
    </row>
    <row r="616" spans="1:10" x14ac:dyDescent="0.25">
      <c r="A616" s="116">
        <v>613</v>
      </c>
      <c r="B616" s="117" t="s">
        <v>2341</v>
      </c>
      <c r="C616" s="118" t="s">
        <v>2342</v>
      </c>
      <c r="D616" s="118" t="s">
        <v>455</v>
      </c>
      <c r="E616" s="118" t="s">
        <v>399</v>
      </c>
      <c r="F616" s="119">
        <v>99.999002049754665</v>
      </c>
      <c r="G616" s="119">
        <v>100.79340204975466</v>
      </c>
      <c r="H616" s="119">
        <v>11</v>
      </c>
      <c r="I616" s="116">
        <v>664</v>
      </c>
      <c r="J616" s="118" t="s">
        <v>269</v>
      </c>
    </row>
    <row r="617" spans="1:10" x14ac:dyDescent="0.25">
      <c r="A617" s="116">
        <v>614</v>
      </c>
      <c r="B617" s="117" t="s">
        <v>1373</v>
      </c>
      <c r="C617" s="118" t="s">
        <v>1374</v>
      </c>
      <c r="D617" s="118" t="s">
        <v>455</v>
      </c>
      <c r="E617" s="118" t="s">
        <v>399</v>
      </c>
      <c r="F617" s="119">
        <v>100.0615173750984</v>
      </c>
      <c r="G617" s="119">
        <v>104.3393173750984</v>
      </c>
      <c r="H617" s="119">
        <v>21.91</v>
      </c>
      <c r="I617" s="116">
        <v>380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99.7</v>
      </c>
      <c r="G618" s="119">
        <v>100.2833</v>
      </c>
      <c r="H618" s="119">
        <v>26.42</v>
      </c>
      <c r="I618" s="116">
        <v>20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99.956889224163746</v>
      </c>
      <c r="G619" s="119">
        <v>100.26248922416374</v>
      </c>
      <c r="H619" s="119">
        <v>11.76</v>
      </c>
      <c r="I619" s="116">
        <v>20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1381</v>
      </c>
      <c r="F620" s="119">
        <v>96.683905594130295</v>
      </c>
      <c r="G620" s="119">
        <v>97.77280559413029</v>
      </c>
      <c r="H620" s="119">
        <v>19.350000000000001</v>
      </c>
      <c r="I620" s="116">
        <v>242</v>
      </c>
      <c r="J620" s="118" t="s">
        <v>269</v>
      </c>
    </row>
    <row r="621" spans="1:10" x14ac:dyDescent="0.25">
      <c r="A621" s="116">
        <v>618</v>
      </c>
      <c r="B621" s="117" t="s">
        <v>113</v>
      </c>
      <c r="C621" s="118" t="s">
        <v>114</v>
      </c>
      <c r="D621" s="118" t="s">
        <v>455</v>
      </c>
      <c r="E621" s="118" t="s">
        <v>112</v>
      </c>
      <c r="F621" s="119">
        <v>99.759488009700661</v>
      </c>
      <c r="G621" s="119">
        <v>99.888888009700665</v>
      </c>
      <c r="H621" s="119">
        <v>26.44</v>
      </c>
      <c r="I621" s="116">
        <v>28</v>
      </c>
      <c r="J621" s="118" t="s">
        <v>269</v>
      </c>
    </row>
    <row r="622" spans="1:10" x14ac:dyDescent="0.25">
      <c r="A622" s="116">
        <v>619</v>
      </c>
      <c r="B622" s="117" t="s">
        <v>115</v>
      </c>
      <c r="C622" s="118" t="s">
        <v>116</v>
      </c>
      <c r="D622" s="118" t="s">
        <v>455</v>
      </c>
      <c r="E622" s="118" t="s">
        <v>112</v>
      </c>
      <c r="F622" s="119">
        <v>99.195672793821899</v>
      </c>
      <c r="G622" s="119">
        <v>100.30677279382189</v>
      </c>
      <c r="H622" s="119">
        <v>21.62</v>
      </c>
      <c r="I622" s="116">
        <v>190</v>
      </c>
      <c r="J622" s="118" t="s">
        <v>269</v>
      </c>
    </row>
    <row r="623" spans="1:10" x14ac:dyDescent="0.25">
      <c r="A623" s="116">
        <v>620</v>
      </c>
      <c r="B623" s="117" t="s">
        <v>1382</v>
      </c>
      <c r="C623" s="118" t="s">
        <v>1383</v>
      </c>
      <c r="D623" s="118" t="s">
        <v>455</v>
      </c>
      <c r="E623" s="118" t="s">
        <v>112</v>
      </c>
      <c r="F623" s="119">
        <v>99.079800316820865</v>
      </c>
      <c r="G623" s="119">
        <v>99.857600316820864</v>
      </c>
      <c r="H623" s="119">
        <v>10.7</v>
      </c>
      <c r="I623" s="116">
        <v>512</v>
      </c>
      <c r="J623" s="118" t="s">
        <v>269</v>
      </c>
    </row>
    <row r="624" spans="1:10" x14ac:dyDescent="0.25">
      <c r="A624" s="116">
        <v>621</v>
      </c>
      <c r="B624" s="117" t="s">
        <v>352</v>
      </c>
      <c r="C624" s="118" t="s">
        <v>353</v>
      </c>
      <c r="D624" s="118" t="s">
        <v>455</v>
      </c>
      <c r="E624" s="118" t="s">
        <v>112</v>
      </c>
      <c r="F624" s="119">
        <v>100</v>
      </c>
      <c r="G624" s="119">
        <v>100.0629</v>
      </c>
      <c r="H624" s="119">
        <v>22.63</v>
      </c>
      <c r="I624" s="116">
        <v>659</v>
      </c>
      <c r="J624" s="118" t="s">
        <v>269</v>
      </c>
    </row>
    <row r="625" spans="1:10" x14ac:dyDescent="0.25">
      <c r="A625" s="116">
        <v>622</v>
      </c>
      <c r="B625" s="117" t="s">
        <v>1384</v>
      </c>
      <c r="C625" s="118" t="s">
        <v>1385</v>
      </c>
      <c r="D625" s="118" t="s">
        <v>455</v>
      </c>
      <c r="E625" s="118" t="s">
        <v>112</v>
      </c>
      <c r="F625" s="119">
        <v>95.174052744453775</v>
      </c>
      <c r="G625" s="119">
        <v>96.124052744453778</v>
      </c>
      <c r="H625" s="119">
        <v>21.7</v>
      </c>
      <c r="I625" s="116">
        <v>822</v>
      </c>
      <c r="J625" s="118" t="s">
        <v>269</v>
      </c>
    </row>
    <row r="626" spans="1:10" x14ac:dyDescent="0.25">
      <c r="A626" s="116">
        <v>623</v>
      </c>
      <c r="B626" s="117" t="s">
        <v>385</v>
      </c>
      <c r="C626" s="118" t="s">
        <v>386</v>
      </c>
      <c r="D626" s="118" t="s">
        <v>455</v>
      </c>
      <c r="E626" s="118" t="s">
        <v>112</v>
      </c>
      <c r="F626" s="119">
        <v>96.8</v>
      </c>
      <c r="G626" s="119">
        <v>98.119399999999999</v>
      </c>
      <c r="H626" s="119">
        <v>22.56</v>
      </c>
      <c r="I626" s="116">
        <v>365</v>
      </c>
      <c r="J626" s="118" t="s">
        <v>269</v>
      </c>
    </row>
    <row r="627" spans="1:10" x14ac:dyDescent="0.25">
      <c r="A627" s="116">
        <v>624</v>
      </c>
      <c r="B627" s="117" t="s">
        <v>1997</v>
      </c>
      <c r="C627" s="118" t="s">
        <v>1998</v>
      </c>
      <c r="D627" s="118" t="s">
        <v>455</v>
      </c>
      <c r="E627" s="118" t="s">
        <v>112</v>
      </c>
      <c r="F627" s="119">
        <v>98.702373299369427</v>
      </c>
      <c r="G627" s="119">
        <v>100.27737329936942</v>
      </c>
      <c r="H627" s="119">
        <v>21.71</v>
      </c>
      <c r="I627" s="116">
        <v>843</v>
      </c>
      <c r="J627" s="118" t="s">
        <v>269</v>
      </c>
    </row>
    <row r="628" spans="1:10" x14ac:dyDescent="0.25">
      <c r="A628" s="116">
        <v>625</v>
      </c>
      <c r="B628" s="117" t="s">
        <v>2025</v>
      </c>
      <c r="C628" s="118" t="s">
        <v>2026</v>
      </c>
      <c r="D628" s="118" t="s">
        <v>455</v>
      </c>
      <c r="E628" s="118" t="s">
        <v>112</v>
      </c>
      <c r="F628" s="119">
        <v>98.719873980857813</v>
      </c>
      <c r="G628" s="119">
        <v>98.953173980857812</v>
      </c>
      <c r="H628" s="119">
        <v>21.69</v>
      </c>
      <c r="I628" s="116">
        <v>866</v>
      </c>
      <c r="J628" s="118" t="s">
        <v>269</v>
      </c>
    </row>
    <row r="629" spans="1:10" x14ac:dyDescent="0.25">
      <c r="A629" s="116">
        <v>626</v>
      </c>
      <c r="B629" s="117" t="s">
        <v>2061</v>
      </c>
      <c r="C629" s="118" t="s">
        <v>2062</v>
      </c>
      <c r="D629" s="118" t="s">
        <v>455</v>
      </c>
      <c r="E629" s="118" t="s">
        <v>112</v>
      </c>
      <c r="F629" s="119">
        <v>101.4993616836833</v>
      </c>
      <c r="G629" s="119">
        <v>102.4993616836833</v>
      </c>
      <c r="H629" s="119">
        <v>21.71</v>
      </c>
      <c r="I629" s="116">
        <v>884</v>
      </c>
      <c r="J629" s="118" t="s">
        <v>269</v>
      </c>
    </row>
    <row r="630" spans="1:10" x14ac:dyDescent="0.25">
      <c r="A630" s="116">
        <v>627</v>
      </c>
      <c r="B630" s="117" t="s">
        <v>2063</v>
      </c>
      <c r="C630" s="118" t="s">
        <v>2064</v>
      </c>
      <c r="D630" s="118" t="s">
        <v>455</v>
      </c>
      <c r="E630" s="118" t="s">
        <v>112</v>
      </c>
      <c r="F630" s="119">
        <v>100.0390782297842</v>
      </c>
      <c r="G630" s="119">
        <v>101.60777822978419</v>
      </c>
      <c r="H630" s="119">
        <v>21.7</v>
      </c>
      <c r="I630" s="116">
        <v>964</v>
      </c>
      <c r="J630" s="118" t="s">
        <v>269</v>
      </c>
    </row>
    <row r="631" spans="1:10" x14ac:dyDescent="0.25">
      <c r="A631" s="116">
        <v>628</v>
      </c>
      <c r="B631" s="117" t="s">
        <v>2129</v>
      </c>
      <c r="C631" s="118" t="s">
        <v>2130</v>
      </c>
      <c r="D631" s="118" t="s">
        <v>455</v>
      </c>
      <c r="E631" s="118" t="s">
        <v>2131</v>
      </c>
      <c r="F631" s="119">
        <v>100.50144279662305</v>
      </c>
      <c r="G631" s="119">
        <v>102.19584279662305</v>
      </c>
      <c r="H631" s="119">
        <v>9.65</v>
      </c>
      <c r="I631" s="116">
        <v>569</v>
      </c>
      <c r="J631" s="118" t="s">
        <v>269</v>
      </c>
    </row>
    <row r="632" spans="1:10" x14ac:dyDescent="0.25">
      <c r="A632" s="116">
        <v>629</v>
      </c>
      <c r="B632" s="117" t="s">
        <v>1386</v>
      </c>
      <c r="C632" s="118" t="s">
        <v>1387</v>
      </c>
      <c r="D632" s="118" t="s">
        <v>455</v>
      </c>
      <c r="E632" s="118" t="s">
        <v>382</v>
      </c>
      <c r="F632" s="119">
        <v>97.868237577958055</v>
      </c>
      <c r="G632" s="119">
        <v>98.507137577958062</v>
      </c>
      <c r="H632" s="119">
        <v>30.37</v>
      </c>
      <c r="I632" s="116">
        <v>110</v>
      </c>
      <c r="J632" s="118" t="s">
        <v>269</v>
      </c>
    </row>
    <row r="633" spans="1:10" x14ac:dyDescent="0.25">
      <c r="A633" s="116">
        <v>630</v>
      </c>
      <c r="B633" s="117" t="s">
        <v>380</v>
      </c>
      <c r="C633" s="118" t="s">
        <v>381</v>
      </c>
      <c r="D633" s="118" t="s">
        <v>455</v>
      </c>
      <c r="E633" s="118" t="s">
        <v>382</v>
      </c>
      <c r="F633" s="119">
        <v>99.904142420088121</v>
      </c>
      <c r="G633" s="119">
        <v>101.47914242008812</v>
      </c>
      <c r="H633" s="119">
        <v>32.42</v>
      </c>
      <c r="I633" s="116">
        <v>3</v>
      </c>
      <c r="J633" s="118" t="s">
        <v>269</v>
      </c>
    </row>
    <row r="634" spans="1:10" x14ac:dyDescent="0.25">
      <c r="A634" s="116">
        <v>631</v>
      </c>
      <c r="B634" s="117" t="s">
        <v>397</v>
      </c>
      <c r="C634" s="118" t="s">
        <v>398</v>
      </c>
      <c r="D634" s="118" t="s">
        <v>455</v>
      </c>
      <c r="E634" s="118" t="s">
        <v>382</v>
      </c>
      <c r="F634" s="119">
        <v>89.476596917466466</v>
      </c>
      <c r="G634" s="119">
        <v>90.14879691746647</v>
      </c>
      <c r="H634" s="119">
        <v>29.9</v>
      </c>
      <c r="I634" s="116">
        <v>619</v>
      </c>
      <c r="J634" s="118" t="s">
        <v>269</v>
      </c>
    </row>
    <row r="635" spans="1:10" x14ac:dyDescent="0.25">
      <c r="A635" s="116">
        <v>632</v>
      </c>
      <c r="B635" s="117" t="s">
        <v>389</v>
      </c>
      <c r="C635" s="118" t="s">
        <v>390</v>
      </c>
      <c r="D635" s="118" t="s">
        <v>455</v>
      </c>
      <c r="E635" s="118" t="s">
        <v>382</v>
      </c>
      <c r="F635" s="119">
        <v>92.122978543771723</v>
      </c>
      <c r="G635" s="119">
        <v>93.056278543771711</v>
      </c>
      <c r="H635" s="119">
        <v>29.91</v>
      </c>
      <c r="I635" s="116">
        <v>374</v>
      </c>
      <c r="J635" s="118" t="s">
        <v>269</v>
      </c>
    </row>
    <row r="636" spans="1:10" x14ac:dyDescent="0.25">
      <c r="A636" s="116">
        <v>633</v>
      </c>
      <c r="B636" s="117" t="s">
        <v>2056</v>
      </c>
      <c r="C636" s="118" t="s">
        <v>2057</v>
      </c>
      <c r="D636" s="118" t="s">
        <v>455</v>
      </c>
      <c r="E636" s="118" t="s">
        <v>382</v>
      </c>
      <c r="F636" s="119">
        <v>84.640003698960172</v>
      </c>
      <c r="G636" s="119">
        <v>85.690003698960169</v>
      </c>
      <c r="H636" s="119">
        <v>29.92</v>
      </c>
      <c r="I636" s="116">
        <v>882</v>
      </c>
      <c r="J636" s="118" t="s">
        <v>269</v>
      </c>
    </row>
    <row r="637" spans="1:10" x14ac:dyDescent="0.25">
      <c r="A637" s="116">
        <v>634</v>
      </c>
      <c r="B637" s="117" t="s">
        <v>2151</v>
      </c>
      <c r="C637" s="118" t="s">
        <v>2152</v>
      </c>
      <c r="D637" s="118" t="s">
        <v>455</v>
      </c>
      <c r="E637" s="118" t="s">
        <v>382</v>
      </c>
      <c r="F637" s="119">
        <v>94.139417057250711</v>
      </c>
      <c r="G637" s="119">
        <v>95.458817057250712</v>
      </c>
      <c r="H637" s="119">
        <v>29.83</v>
      </c>
      <c r="I637" s="116">
        <v>215</v>
      </c>
      <c r="J637" s="118" t="s">
        <v>269</v>
      </c>
    </row>
    <row r="638" spans="1:10" x14ac:dyDescent="0.25">
      <c r="A638" s="116">
        <v>635</v>
      </c>
      <c r="B638" s="117" t="s">
        <v>2270</v>
      </c>
      <c r="C638" s="118" t="s">
        <v>2271</v>
      </c>
      <c r="D638" s="118" t="s">
        <v>455</v>
      </c>
      <c r="E638" s="118" t="s">
        <v>382</v>
      </c>
      <c r="F638" s="119">
        <v>89.273444714188443</v>
      </c>
      <c r="G638" s="119">
        <v>90.740144714188446</v>
      </c>
      <c r="H638" s="119">
        <v>29.89</v>
      </c>
      <c r="I638" s="116">
        <v>636</v>
      </c>
      <c r="J638" s="118" t="s">
        <v>269</v>
      </c>
    </row>
    <row r="639" spans="1:10" x14ac:dyDescent="0.25">
      <c r="A639" s="116">
        <v>636</v>
      </c>
      <c r="B639" s="117" t="s">
        <v>2213</v>
      </c>
      <c r="C639" s="118" t="s">
        <v>2214</v>
      </c>
      <c r="D639" s="118" t="s">
        <v>455</v>
      </c>
      <c r="E639" s="118" t="s">
        <v>382</v>
      </c>
      <c r="F639" s="119">
        <v>83.598472278611368</v>
      </c>
      <c r="G639" s="119">
        <v>84.76517227861136</v>
      </c>
      <c r="H639" s="119">
        <v>29.94</v>
      </c>
      <c r="I639" s="116">
        <v>970</v>
      </c>
      <c r="J639" s="118" t="s">
        <v>269</v>
      </c>
    </row>
    <row r="640" spans="1:10" x14ac:dyDescent="0.25">
      <c r="A640" s="116">
        <v>637</v>
      </c>
      <c r="B640" s="117" t="s">
        <v>2336</v>
      </c>
      <c r="C640" s="118" t="s">
        <v>2337</v>
      </c>
      <c r="D640" s="118" t="s">
        <v>455</v>
      </c>
      <c r="E640" s="118" t="s">
        <v>382</v>
      </c>
      <c r="F640" s="119">
        <v>89.026155411578429</v>
      </c>
      <c r="G640" s="119">
        <v>89.51505541157843</v>
      </c>
      <c r="H640" s="119">
        <v>29.92</v>
      </c>
      <c r="I640" s="116">
        <v>652</v>
      </c>
      <c r="J640" s="118" t="s">
        <v>269</v>
      </c>
    </row>
    <row r="641" spans="1:10" x14ac:dyDescent="0.25">
      <c r="A641" s="116">
        <v>638</v>
      </c>
      <c r="B641" s="117" t="s">
        <v>1388</v>
      </c>
      <c r="C641" s="118" t="s">
        <v>1389</v>
      </c>
      <c r="D641" s="118" t="s">
        <v>455</v>
      </c>
      <c r="E641" s="118" t="s">
        <v>382</v>
      </c>
      <c r="F641" s="119">
        <v>98.024875194765471</v>
      </c>
      <c r="G641" s="119">
        <v>99.274875194765471</v>
      </c>
      <c r="H641" s="119">
        <v>29.73</v>
      </c>
      <c r="I641" s="116">
        <v>162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95.215335483772677</v>
      </c>
      <c r="G642" s="119">
        <v>95.354235483772669</v>
      </c>
      <c r="H642" s="119">
        <v>29.93</v>
      </c>
      <c r="I642" s="116">
        <v>418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445</v>
      </c>
      <c r="E643" s="118" t="s">
        <v>1394</v>
      </c>
      <c r="F643" s="119">
        <v>1000</v>
      </c>
      <c r="G643" s="119">
        <v>1000</v>
      </c>
      <c r="H643" s="119">
        <v>0</v>
      </c>
      <c r="I643" s="116">
        <v>0</v>
      </c>
      <c r="J643" s="118" t="s">
        <v>238</v>
      </c>
    </row>
    <row r="644" spans="1:10" x14ac:dyDescent="0.25">
      <c r="A644" s="116">
        <v>641</v>
      </c>
      <c r="B644" s="117" t="s">
        <v>1396</v>
      </c>
      <c r="C644" s="118" t="s">
        <v>1397</v>
      </c>
      <c r="D644" s="118" t="s">
        <v>455</v>
      </c>
      <c r="E644" s="118" t="s">
        <v>1395</v>
      </c>
      <c r="F644" s="119">
        <v>100</v>
      </c>
      <c r="G644" s="119">
        <v>101.22499999999999</v>
      </c>
      <c r="H644" s="119">
        <v>21</v>
      </c>
      <c r="I644" s="116">
        <v>249</v>
      </c>
      <c r="J644" s="118" t="s">
        <v>269</v>
      </c>
    </row>
    <row r="645" spans="1:10" x14ac:dyDescent="0.25">
      <c r="A645" s="116">
        <v>642</v>
      </c>
      <c r="B645" s="117" t="s">
        <v>2092</v>
      </c>
      <c r="C645" s="118" t="s">
        <v>2093</v>
      </c>
      <c r="D645" s="118" t="s">
        <v>455</v>
      </c>
      <c r="E645" s="118" t="s">
        <v>1395</v>
      </c>
      <c r="F645" s="119">
        <v>100.67701573428351</v>
      </c>
      <c r="G645" s="119">
        <v>101.28951573428351</v>
      </c>
      <c r="H645" s="119">
        <v>10.02</v>
      </c>
      <c r="I645" s="116">
        <v>549</v>
      </c>
      <c r="J645" s="118" t="s">
        <v>269</v>
      </c>
    </row>
    <row r="646" spans="1:10" x14ac:dyDescent="0.25">
      <c r="A646" s="116">
        <v>643</v>
      </c>
      <c r="B646" s="117" t="s">
        <v>2115</v>
      </c>
      <c r="C646" s="118" t="s">
        <v>2116</v>
      </c>
      <c r="D646" s="118" t="s">
        <v>455</v>
      </c>
      <c r="E646" s="118" t="s">
        <v>1398</v>
      </c>
      <c r="F646" s="119">
        <v>99.500386775575848</v>
      </c>
      <c r="G646" s="119">
        <v>101.00038677557585</v>
      </c>
      <c r="H646" s="119">
        <v>20.77</v>
      </c>
      <c r="I646" s="116">
        <v>243</v>
      </c>
      <c r="J646" s="118" t="s">
        <v>269</v>
      </c>
    </row>
    <row r="647" spans="1:10" x14ac:dyDescent="0.25">
      <c r="A647" s="116">
        <v>644</v>
      </c>
      <c r="B647" s="117" t="s">
        <v>2338</v>
      </c>
      <c r="C647" s="118" t="s">
        <v>2339</v>
      </c>
      <c r="D647" s="118" t="s">
        <v>455</v>
      </c>
      <c r="E647" s="118" t="s">
        <v>1398</v>
      </c>
      <c r="F647" s="119">
        <v>100.13352444487271</v>
      </c>
      <c r="G647" s="119">
        <v>103.7502244448727</v>
      </c>
      <c r="H647" s="119">
        <v>20.86</v>
      </c>
      <c r="I647" s="116">
        <v>478</v>
      </c>
      <c r="J647" s="118" t="s">
        <v>269</v>
      </c>
    </row>
    <row r="648" spans="1:10" x14ac:dyDescent="0.25">
      <c r="A648" s="116">
        <v>645</v>
      </c>
      <c r="B648" s="117" t="s">
        <v>1399</v>
      </c>
      <c r="C648" s="118" t="s">
        <v>1400</v>
      </c>
      <c r="D648" s="118" t="s">
        <v>455</v>
      </c>
      <c r="E648" s="118" t="s">
        <v>1398</v>
      </c>
      <c r="F648" s="119">
        <v>99.967799999999997</v>
      </c>
      <c r="G648" s="119">
        <v>100.78449999999999</v>
      </c>
      <c r="H648" s="119">
        <v>21.02</v>
      </c>
      <c r="I648" s="116">
        <v>346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1398</v>
      </c>
      <c r="F649" s="119">
        <v>100</v>
      </c>
      <c r="G649" s="119">
        <v>100.0583</v>
      </c>
      <c r="H649" s="119">
        <v>21</v>
      </c>
      <c r="I649" s="116">
        <v>179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1398</v>
      </c>
      <c r="F650" s="119">
        <v>99.985845982076754</v>
      </c>
      <c r="G650" s="119">
        <v>100.04414598207674</v>
      </c>
      <c r="H650" s="119">
        <v>21.01</v>
      </c>
      <c r="I650" s="116">
        <v>539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445</v>
      </c>
      <c r="E651" s="118" t="s">
        <v>1398</v>
      </c>
      <c r="F651" s="119">
        <v>1000</v>
      </c>
      <c r="G651" s="119">
        <v>1000</v>
      </c>
      <c r="H651" s="119">
        <v>0</v>
      </c>
      <c r="I651" s="116">
        <v>0</v>
      </c>
      <c r="J651" s="118" t="s">
        <v>238</v>
      </c>
    </row>
    <row r="652" spans="1:10" x14ac:dyDescent="0.25">
      <c r="A652" s="116">
        <v>649</v>
      </c>
      <c r="B652" s="117" t="s">
        <v>1961</v>
      </c>
      <c r="C652" s="118" t="s">
        <v>1962</v>
      </c>
      <c r="D652" s="118" t="s">
        <v>455</v>
      </c>
      <c r="E652" s="118" t="s">
        <v>1398</v>
      </c>
      <c r="F652" s="119">
        <v>94.960490346588855</v>
      </c>
      <c r="G652" s="119">
        <v>94.960490346588855</v>
      </c>
      <c r="H652" s="119">
        <v>21.23</v>
      </c>
      <c r="I652" s="116">
        <v>90</v>
      </c>
      <c r="J652" s="118" t="s">
        <v>269</v>
      </c>
    </row>
    <row r="653" spans="1:10" x14ac:dyDescent="0.25">
      <c r="A653" s="116">
        <v>650</v>
      </c>
      <c r="B653" s="117" t="s">
        <v>1407</v>
      </c>
      <c r="C653" s="118" t="s">
        <v>1408</v>
      </c>
      <c r="D653" s="118" t="s">
        <v>455</v>
      </c>
      <c r="E653" s="118" t="s">
        <v>1409</v>
      </c>
      <c r="F653" s="119">
        <v>94.431399999999996</v>
      </c>
      <c r="G653" s="119">
        <v>96.967500000000001</v>
      </c>
      <c r="H653" s="119">
        <v>19.03</v>
      </c>
      <c r="I653" s="116">
        <v>277</v>
      </c>
      <c r="J653" s="118" t="s">
        <v>269</v>
      </c>
    </row>
    <row r="654" spans="1:10" x14ac:dyDescent="0.25">
      <c r="A654" s="116">
        <v>651</v>
      </c>
      <c r="B654" s="117" t="s">
        <v>1410</v>
      </c>
      <c r="C654" s="118" t="s">
        <v>1411</v>
      </c>
      <c r="D654" s="118" t="s">
        <v>455</v>
      </c>
      <c r="E654" s="118" t="s">
        <v>1409</v>
      </c>
      <c r="F654" s="119">
        <v>88.763943116316554</v>
      </c>
      <c r="G654" s="119">
        <v>91.913943116316545</v>
      </c>
      <c r="H654" s="119">
        <v>19.39</v>
      </c>
      <c r="I654" s="116">
        <v>999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445</v>
      </c>
      <c r="E655" s="118" t="s">
        <v>1409</v>
      </c>
      <c r="F655" s="119">
        <v>1003</v>
      </c>
      <c r="G655" s="119">
        <v>1003</v>
      </c>
      <c r="H655" s="119">
        <v>0</v>
      </c>
      <c r="I655" s="116">
        <v>1419</v>
      </c>
      <c r="J655" s="118" t="s">
        <v>238</v>
      </c>
    </row>
    <row r="656" spans="1:10" x14ac:dyDescent="0.25">
      <c r="A656" s="116">
        <v>653</v>
      </c>
      <c r="B656" s="117" t="s">
        <v>2103</v>
      </c>
      <c r="C656" s="118" t="s">
        <v>2104</v>
      </c>
      <c r="D656" s="118" t="s">
        <v>445</v>
      </c>
      <c r="E656" s="118" t="s">
        <v>1409</v>
      </c>
      <c r="F656" s="119">
        <v>100.62</v>
      </c>
      <c r="G656" s="119">
        <v>100.62</v>
      </c>
      <c r="H656" s="119">
        <v>0</v>
      </c>
      <c r="I656" s="116">
        <v>1298</v>
      </c>
      <c r="J656" s="118" t="s">
        <v>238</v>
      </c>
    </row>
    <row r="657" spans="1:10" x14ac:dyDescent="0.25">
      <c r="A657" s="116">
        <v>654</v>
      </c>
      <c r="B657" s="117" t="s">
        <v>2399</v>
      </c>
      <c r="C657" s="118" t="s">
        <v>2400</v>
      </c>
      <c r="D657" s="118" t="s">
        <v>445</v>
      </c>
      <c r="E657" s="118" t="s">
        <v>1409</v>
      </c>
      <c r="F657" s="119">
        <v>1075.68</v>
      </c>
      <c r="G657" s="119">
        <v>1075.68</v>
      </c>
      <c r="H657" s="119">
        <v>0</v>
      </c>
      <c r="I657" s="116">
        <v>1392</v>
      </c>
      <c r="J657" s="118" t="s">
        <v>238</v>
      </c>
    </row>
    <row r="658" spans="1:10" x14ac:dyDescent="0.25">
      <c r="A658" s="116">
        <v>655</v>
      </c>
      <c r="B658" s="117" t="s">
        <v>1414</v>
      </c>
      <c r="C658" s="118" t="s">
        <v>1415</v>
      </c>
      <c r="D658" s="118" t="s">
        <v>455</v>
      </c>
      <c r="E658" s="118" t="s">
        <v>1416</v>
      </c>
      <c r="F658" s="119">
        <v>99.983234332910115</v>
      </c>
      <c r="G658" s="119">
        <v>101.9388343329101</v>
      </c>
      <c r="H658" s="119">
        <v>21.89</v>
      </c>
      <c r="I658" s="116">
        <v>58</v>
      </c>
      <c r="J658" s="118" t="s">
        <v>269</v>
      </c>
    </row>
    <row r="659" spans="1:10" x14ac:dyDescent="0.25">
      <c r="A659" s="116">
        <v>656</v>
      </c>
      <c r="B659" s="117" t="s">
        <v>1417</v>
      </c>
      <c r="C659" s="118" t="s">
        <v>1418</v>
      </c>
      <c r="D659" s="118" t="s">
        <v>455</v>
      </c>
      <c r="E659" s="118" t="s">
        <v>1416</v>
      </c>
      <c r="F659" s="119">
        <v>99.141045061519662</v>
      </c>
      <c r="G659" s="119">
        <v>104.09524506151966</v>
      </c>
      <c r="H659" s="119">
        <v>21.75</v>
      </c>
      <c r="I659" s="116">
        <v>273</v>
      </c>
      <c r="J659" s="118" t="s">
        <v>269</v>
      </c>
    </row>
    <row r="660" spans="1:10" x14ac:dyDescent="0.25">
      <c r="A660" s="116">
        <v>657</v>
      </c>
      <c r="B660" s="117" t="s">
        <v>2246</v>
      </c>
      <c r="C660" s="118" t="s">
        <v>2247</v>
      </c>
      <c r="D660" s="118" t="s">
        <v>455</v>
      </c>
      <c r="E660" s="118" t="s">
        <v>1416</v>
      </c>
      <c r="F660" s="119">
        <v>98.880030803067697</v>
      </c>
      <c r="G660" s="119">
        <v>98.938330803067686</v>
      </c>
      <c r="H660" s="119">
        <v>21.79</v>
      </c>
      <c r="I660" s="116">
        <v>629</v>
      </c>
      <c r="J660" s="118" t="s">
        <v>269</v>
      </c>
    </row>
    <row r="661" spans="1:10" x14ac:dyDescent="0.25">
      <c r="A661" s="116">
        <v>658</v>
      </c>
      <c r="B661" s="117" t="s">
        <v>1420</v>
      </c>
      <c r="C661" s="118" t="s">
        <v>1421</v>
      </c>
      <c r="D661" s="118" t="s">
        <v>455</v>
      </c>
      <c r="E661" s="118" t="s">
        <v>1419</v>
      </c>
      <c r="F661" s="119">
        <v>98.154729671271184</v>
      </c>
      <c r="G661" s="119">
        <v>98.210329671271182</v>
      </c>
      <c r="H661" s="119">
        <v>22.75</v>
      </c>
      <c r="I661" s="116">
        <v>269</v>
      </c>
      <c r="J661" s="118" t="s">
        <v>269</v>
      </c>
    </row>
    <row r="662" spans="1:10" x14ac:dyDescent="0.25">
      <c r="A662" s="116">
        <v>659</v>
      </c>
      <c r="B662" s="117" t="s">
        <v>1981</v>
      </c>
      <c r="C662" s="118" t="s">
        <v>1982</v>
      </c>
      <c r="D662" s="118" t="s">
        <v>455</v>
      </c>
      <c r="E662" s="118" t="s">
        <v>1419</v>
      </c>
      <c r="F662" s="119">
        <v>100.759962233187</v>
      </c>
      <c r="G662" s="119">
        <v>101.73496223318701</v>
      </c>
      <c r="H662" s="119">
        <v>12.4</v>
      </c>
      <c r="I662" s="116">
        <v>513</v>
      </c>
      <c r="J662" s="118" t="s">
        <v>269</v>
      </c>
    </row>
    <row r="663" spans="1:10" x14ac:dyDescent="0.25">
      <c r="A663" s="116">
        <v>660</v>
      </c>
      <c r="B663" s="117" t="s">
        <v>2194</v>
      </c>
      <c r="C663" s="118" t="s">
        <v>2195</v>
      </c>
      <c r="D663" s="118" t="s">
        <v>455</v>
      </c>
      <c r="E663" s="118" t="s">
        <v>1419</v>
      </c>
      <c r="F663" s="119">
        <v>94.421480856107308</v>
      </c>
      <c r="G663" s="119">
        <v>95.977080856107307</v>
      </c>
      <c r="H663" s="119">
        <v>22.83</v>
      </c>
      <c r="I663" s="116">
        <v>962</v>
      </c>
      <c r="J663" s="118" t="s">
        <v>269</v>
      </c>
    </row>
    <row r="664" spans="1:10" x14ac:dyDescent="0.25">
      <c r="A664" s="116">
        <v>661</v>
      </c>
      <c r="B664" s="117" t="s">
        <v>2447</v>
      </c>
      <c r="C664" s="118" t="s">
        <v>2448</v>
      </c>
      <c r="D664" s="118" t="s">
        <v>445</v>
      </c>
      <c r="E664" s="118" t="s">
        <v>1419</v>
      </c>
      <c r="F664" s="119">
        <v>47814.566400000003</v>
      </c>
      <c r="G664" s="119">
        <v>47814.566400000003</v>
      </c>
      <c r="H664" s="119">
        <v>0</v>
      </c>
      <c r="I664" s="116">
        <v>0</v>
      </c>
      <c r="J664" s="118" t="s">
        <v>238</v>
      </c>
    </row>
    <row r="665" spans="1:10" x14ac:dyDescent="0.25">
      <c r="A665" s="116">
        <v>662</v>
      </c>
      <c r="B665" s="117" t="s">
        <v>1422</v>
      </c>
      <c r="C665" s="118" t="s">
        <v>1423</v>
      </c>
      <c r="D665" s="118" t="s">
        <v>455</v>
      </c>
      <c r="E665" s="118" t="s">
        <v>1424</v>
      </c>
      <c r="F665" s="119">
        <v>100</v>
      </c>
      <c r="G665" s="119">
        <v>100.0039</v>
      </c>
      <c r="H665" s="119">
        <v>0.02</v>
      </c>
      <c r="I665" s="116">
        <v>3044</v>
      </c>
      <c r="J665" s="118" t="s">
        <v>269</v>
      </c>
    </row>
    <row r="666" spans="1:10" x14ac:dyDescent="0.25">
      <c r="A666" s="116">
        <v>663</v>
      </c>
      <c r="B666" s="117" t="s">
        <v>1425</v>
      </c>
      <c r="C666" s="118" t="s">
        <v>1426</v>
      </c>
      <c r="D666" s="118" t="s">
        <v>455</v>
      </c>
      <c r="E666" s="118" t="s">
        <v>1424</v>
      </c>
      <c r="F666" s="119">
        <v>100</v>
      </c>
      <c r="G666" s="119">
        <v>106.23220000000001</v>
      </c>
      <c r="H666" s="119">
        <v>7.06</v>
      </c>
      <c r="I666" s="116">
        <v>2141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1424</v>
      </c>
      <c r="F667" s="119">
        <v>100</v>
      </c>
      <c r="G667" s="119">
        <v>101.88079999999999</v>
      </c>
      <c r="H667" s="119">
        <v>6.08</v>
      </c>
      <c r="I667" s="116">
        <v>1659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1424</v>
      </c>
      <c r="F668" s="119">
        <v>100</v>
      </c>
      <c r="G668" s="119">
        <v>106.8831</v>
      </c>
      <c r="H668" s="119">
        <v>7.08</v>
      </c>
      <c r="I668" s="116">
        <v>2141</v>
      </c>
      <c r="J668" s="118" t="s">
        <v>269</v>
      </c>
    </row>
    <row r="669" spans="1:10" x14ac:dyDescent="0.25">
      <c r="A669" s="116">
        <v>666</v>
      </c>
      <c r="B669" s="117" t="s">
        <v>2318</v>
      </c>
      <c r="C669" s="118" t="s">
        <v>2319</v>
      </c>
      <c r="D669" s="118" t="s">
        <v>455</v>
      </c>
      <c r="E669" s="118" t="s">
        <v>1424</v>
      </c>
      <c r="F669" s="119">
        <v>89.992816913315608</v>
      </c>
      <c r="G669" s="119">
        <v>93.835016913315613</v>
      </c>
      <c r="H669" s="119">
        <v>20.58</v>
      </c>
      <c r="I669" s="116">
        <v>3524</v>
      </c>
      <c r="J669" s="118" t="s">
        <v>269</v>
      </c>
    </row>
    <row r="670" spans="1:10" x14ac:dyDescent="0.25">
      <c r="A670" s="116">
        <v>667</v>
      </c>
      <c r="B670" s="117" t="s">
        <v>2375</v>
      </c>
      <c r="C670" s="118" t="s">
        <v>2376</v>
      </c>
      <c r="D670" s="118" t="s">
        <v>455</v>
      </c>
      <c r="E670" s="118" t="s">
        <v>1424</v>
      </c>
      <c r="F670" s="119">
        <v>92.933854921156069</v>
      </c>
      <c r="G670" s="119">
        <v>95.40135492115607</v>
      </c>
      <c r="H670" s="119">
        <v>20.58</v>
      </c>
      <c r="I670" s="116">
        <v>3553</v>
      </c>
      <c r="J670" s="118" t="s">
        <v>269</v>
      </c>
    </row>
    <row r="671" spans="1:10" x14ac:dyDescent="0.25">
      <c r="A671" s="116">
        <v>668</v>
      </c>
      <c r="B671" s="117" t="s">
        <v>2401</v>
      </c>
      <c r="C671" s="118" t="s">
        <v>2402</v>
      </c>
      <c r="D671" s="118" t="s">
        <v>455</v>
      </c>
      <c r="E671" s="118" t="s">
        <v>1424</v>
      </c>
      <c r="F671" s="119">
        <v>92.899661710932705</v>
      </c>
      <c r="G671" s="119">
        <v>95.157161710932712</v>
      </c>
      <c r="H671" s="119">
        <v>20.59</v>
      </c>
      <c r="I671" s="116">
        <v>3557</v>
      </c>
      <c r="J671" s="118" t="s">
        <v>269</v>
      </c>
    </row>
    <row r="672" spans="1:10" x14ac:dyDescent="0.25">
      <c r="A672" s="116">
        <v>669</v>
      </c>
      <c r="B672" s="117" t="s">
        <v>2459</v>
      </c>
      <c r="C672" s="118" t="s">
        <v>2460</v>
      </c>
      <c r="D672" s="118" t="s">
        <v>455</v>
      </c>
      <c r="E672" s="118" t="s">
        <v>1424</v>
      </c>
      <c r="F672" s="119">
        <v>92.99186645121182</v>
      </c>
      <c r="G672" s="119">
        <v>94.041866451211817</v>
      </c>
      <c r="H672" s="119">
        <v>20.59</v>
      </c>
      <c r="I672" s="116">
        <v>3580</v>
      </c>
      <c r="J672" s="118" t="s">
        <v>269</v>
      </c>
    </row>
    <row r="673" spans="1:10" x14ac:dyDescent="0.25">
      <c r="A673" s="116">
        <v>670</v>
      </c>
      <c r="B673" s="117" t="s">
        <v>2461</v>
      </c>
      <c r="C673" s="118" t="s">
        <v>2462</v>
      </c>
      <c r="D673" s="118" t="s">
        <v>455</v>
      </c>
      <c r="E673" s="118" t="s">
        <v>1424</v>
      </c>
      <c r="F673" s="119">
        <v>92.99186645121182</v>
      </c>
      <c r="G673" s="119">
        <v>94.041866451211817</v>
      </c>
      <c r="H673" s="119">
        <v>20.59</v>
      </c>
      <c r="I673" s="116">
        <v>3580</v>
      </c>
      <c r="J673" s="118" t="s">
        <v>269</v>
      </c>
    </row>
    <row r="674" spans="1:10" x14ac:dyDescent="0.25">
      <c r="A674" s="116">
        <v>671</v>
      </c>
      <c r="B674" s="117" t="s">
        <v>1431</v>
      </c>
      <c r="C674" s="118" t="s">
        <v>1432</v>
      </c>
      <c r="D674" s="118" t="s">
        <v>455</v>
      </c>
      <c r="E674" s="118" t="s">
        <v>1424</v>
      </c>
      <c r="F674" s="119">
        <v>100</v>
      </c>
      <c r="G674" s="119">
        <v>105.3544</v>
      </c>
      <c r="H674" s="119">
        <v>6.07</v>
      </c>
      <c r="I674" s="116">
        <v>2496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1424</v>
      </c>
      <c r="F675" s="119">
        <v>100</v>
      </c>
      <c r="G675" s="119">
        <v>101.0506</v>
      </c>
      <c r="H675" s="119">
        <v>6.08</v>
      </c>
      <c r="I675" s="116">
        <v>2068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1424</v>
      </c>
      <c r="F676" s="119">
        <v>100</v>
      </c>
      <c r="G676" s="119">
        <v>105.3544</v>
      </c>
      <c r="H676" s="119">
        <v>6.1</v>
      </c>
      <c r="I676" s="116">
        <v>2563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1424</v>
      </c>
      <c r="F677" s="119">
        <v>100</v>
      </c>
      <c r="G677" s="119">
        <v>105.9983</v>
      </c>
      <c r="H677" s="119">
        <v>6.09</v>
      </c>
      <c r="I677" s="116">
        <v>2496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1424</v>
      </c>
      <c r="F678" s="119">
        <v>100</v>
      </c>
      <c r="G678" s="119">
        <v>105.9983</v>
      </c>
      <c r="H678" s="119">
        <v>6.09</v>
      </c>
      <c r="I678" s="116">
        <v>2496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1424</v>
      </c>
      <c r="F679" s="119">
        <v>100</v>
      </c>
      <c r="G679" s="119">
        <v>104.8631</v>
      </c>
      <c r="H679" s="119">
        <v>6.08</v>
      </c>
      <c r="I679" s="116">
        <v>2563</v>
      </c>
      <c r="J679" s="118" t="s">
        <v>269</v>
      </c>
    </row>
    <row r="680" spans="1:10" x14ac:dyDescent="0.25">
      <c r="A680" s="116">
        <v>677</v>
      </c>
      <c r="B680" s="117" t="s">
        <v>2303</v>
      </c>
      <c r="C680" s="118" t="s">
        <v>2304</v>
      </c>
      <c r="D680" s="118" t="s">
        <v>455</v>
      </c>
      <c r="E680" s="118" t="s">
        <v>2305</v>
      </c>
      <c r="F680" s="119">
        <v>100.79700021034633</v>
      </c>
      <c r="G680" s="119">
        <v>103.11920021034632</v>
      </c>
      <c r="H680" s="119">
        <v>10.65</v>
      </c>
      <c r="I680" s="116">
        <v>1004</v>
      </c>
      <c r="J680" s="118" t="s">
        <v>269</v>
      </c>
    </row>
    <row r="681" spans="1:10" x14ac:dyDescent="0.25">
      <c r="A681" s="116">
        <v>678</v>
      </c>
      <c r="B681" s="117" t="s">
        <v>2210</v>
      </c>
      <c r="C681" s="118" t="s">
        <v>2211</v>
      </c>
      <c r="D681" s="118" t="s">
        <v>455</v>
      </c>
      <c r="E681" s="118" t="s">
        <v>2212</v>
      </c>
      <c r="F681" s="119">
        <v>101.43614246380785</v>
      </c>
      <c r="G681" s="119">
        <v>102.88054246380786</v>
      </c>
      <c r="H681" s="119">
        <v>25.23</v>
      </c>
      <c r="I681" s="116">
        <v>970</v>
      </c>
      <c r="J681" s="118" t="s">
        <v>269</v>
      </c>
    </row>
    <row r="682" spans="1:10" x14ac:dyDescent="0.25">
      <c r="A682" s="116">
        <v>679</v>
      </c>
      <c r="B682" s="117" t="s">
        <v>1443</v>
      </c>
      <c r="C682" s="118" t="s">
        <v>1444</v>
      </c>
      <c r="D682" s="118" t="s">
        <v>445</v>
      </c>
      <c r="E682" s="118" t="s">
        <v>1445</v>
      </c>
      <c r="F682" s="119">
        <v>52664.62</v>
      </c>
      <c r="G682" s="119">
        <v>52664.62</v>
      </c>
      <c r="H682" s="119">
        <v>0</v>
      </c>
      <c r="I682" s="116">
        <v>0</v>
      </c>
      <c r="J682" s="118" t="s">
        <v>238</v>
      </c>
    </row>
    <row r="683" spans="1:10" x14ac:dyDescent="0.25">
      <c r="A683" s="116">
        <v>680</v>
      </c>
      <c r="B683" s="117" t="s">
        <v>383</v>
      </c>
      <c r="C683" s="118" t="s">
        <v>384</v>
      </c>
      <c r="D683" s="118" t="s">
        <v>455</v>
      </c>
      <c r="E683" s="118" t="s">
        <v>111</v>
      </c>
      <c r="F683" s="119">
        <v>99.656099999999995</v>
      </c>
      <c r="G683" s="119">
        <v>99.656099999999995</v>
      </c>
      <c r="H683" s="119">
        <v>15.74</v>
      </c>
      <c r="I683" s="116">
        <v>8</v>
      </c>
      <c r="J683" s="118" t="s">
        <v>269</v>
      </c>
    </row>
    <row r="684" spans="1:10" x14ac:dyDescent="0.25">
      <c r="A684" s="116">
        <v>681</v>
      </c>
      <c r="B684" s="117" t="s">
        <v>1983</v>
      </c>
      <c r="C684" s="118" t="s">
        <v>1984</v>
      </c>
      <c r="D684" s="118" t="s">
        <v>455</v>
      </c>
      <c r="E684" s="118" t="s">
        <v>111</v>
      </c>
      <c r="F684" s="119">
        <v>95.256600000000006</v>
      </c>
      <c r="G684" s="119">
        <v>95.256600000000006</v>
      </c>
      <c r="H684" s="119">
        <v>16.079999999999998</v>
      </c>
      <c r="I684" s="116">
        <v>113</v>
      </c>
      <c r="J684" s="118" t="s">
        <v>269</v>
      </c>
    </row>
    <row r="685" spans="1:10" x14ac:dyDescent="0.25">
      <c r="A685" s="116">
        <v>682</v>
      </c>
      <c r="B685" s="117" t="s">
        <v>2123</v>
      </c>
      <c r="C685" s="118" t="s">
        <v>2124</v>
      </c>
      <c r="D685" s="118" t="s">
        <v>455</v>
      </c>
      <c r="E685" s="118" t="s">
        <v>111</v>
      </c>
      <c r="F685" s="119">
        <v>91.330600000000004</v>
      </c>
      <c r="G685" s="119">
        <v>91.330600000000004</v>
      </c>
      <c r="H685" s="119">
        <v>16.420000000000002</v>
      </c>
      <c r="I685" s="116">
        <v>211</v>
      </c>
      <c r="J685" s="118" t="s">
        <v>269</v>
      </c>
    </row>
    <row r="686" spans="1:10" x14ac:dyDescent="0.25">
      <c r="A686" s="116">
        <v>683</v>
      </c>
      <c r="B686" s="117" t="s">
        <v>1446</v>
      </c>
      <c r="C686" s="118" t="s">
        <v>1447</v>
      </c>
      <c r="D686" s="118" t="s">
        <v>445</v>
      </c>
      <c r="E686" s="118" t="s">
        <v>1448</v>
      </c>
      <c r="F686" s="119">
        <v>0.01</v>
      </c>
      <c r="G686" s="119">
        <v>0.01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1449</v>
      </c>
      <c r="C687" s="118" t="s">
        <v>1450</v>
      </c>
      <c r="D687" s="118" t="s">
        <v>445</v>
      </c>
      <c r="E687" s="118" t="s">
        <v>1448</v>
      </c>
      <c r="F687" s="119">
        <v>5695</v>
      </c>
      <c r="G687" s="119">
        <v>5695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1453</v>
      </c>
      <c r="F688" s="119">
        <v>13000</v>
      </c>
      <c r="G688" s="119">
        <v>13000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1454</v>
      </c>
      <c r="C689" s="118" t="s">
        <v>1455</v>
      </c>
      <c r="D689" s="118" t="s">
        <v>455</v>
      </c>
      <c r="E689" s="118" t="s">
        <v>1456</v>
      </c>
      <c r="F689" s="119">
        <v>90.196915405644958</v>
      </c>
      <c r="G689" s="119">
        <v>90.496915405644955</v>
      </c>
      <c r="H689" s="119">
        <v>10.65</v>
      </c>
      <c r="I689" s="116">
        <v>882</v>
      </c>
      <c r="J689" s="118" t="s">
        <v>269</v>
      </c>
    </row>
    <row r="690" spans="1:10" x14ac:dyDescent="0.25">
      <c r="A690" s="116">
        <v>687</v>
      </c>
      <c r="B690" s="117" t="s">
        <v>117</v>
      </c>
      <c r="C690" s="118" t="s">
        <v>4</v>
      </c>
      <c r="D690" s="118" t="s">
        <v>455</v>
      </c>
      <c r="E690" s="118" t="s">
        <v>111</v>
      </c>
      <c r="F690" s="119">
        <v>98.511399999999995</v>
      </c>
      <c r="G690" s="119">
        <v>101.0307</v>
      </c>
      <c r="H690" s="119">
        <v>16.45</v>
      </c>
      <c r="I690" s="116">
        <v>95</v>
      </c>
      <c r="J690" s="118" t="s">
        <v>269</v>
      </c>
    </row>
    <row r="691" spans="1:10" x14ac:dyDescent="0.25">
      <c r="A691" s="116">
        <v>688</v>
      </c>
      <c r="B691" s="117" t="s">
        <v>118</v>
      </c>
      <c r="C691" s="118" t="s">
        <v>119</v>
      </c>
      <c r="D691" s="118" t="s">
        <v>455</v>
      </c>
      <c r="E691" s="118" t="s">
        <v>111</v>
      </c>
      <c r="F691" s="119">
        <v>98.343599999999995</v>
      </c>
      <c r="G691" s="119">
        <v>102.62139999999999</v>
      </c>
      <c r="H691" s="119">
        <v>16.29</v>
      </c>
      <c r="I691" s="116">
        <v>248</v>
      </c>
      <c r="J691" s="118" t="s">
        <v>269</v>
      </c>
    </row>
    <row r="692" spans="1:10" x14ac:dyDescent="0.25">
      <c r="A692" s="116">
        <v>689</v>
      </c>
      <c r="B692" s="117" t="s">
        <v>120</v>
      </c>
      <c r="C692" s="118" t="s">
        <v>121</v>
      </c>
      <c r="D692" s="118" t="s">
        <v>455</v>
      </c>
      <c r="E692" s="118" t="s">
        <v>111</v>
      </c>
      <c r="F692" s="119">
        <v>97.968199999999996</v>
      </c>
      <c r="G692" s="119">
        <v>99.126499999999993</v>
      </c>
      <c r="H692" s="119">
        <v>16.329999999999998</v>
      </c>
      <c r="I692" s="116">
        <v>330</v>
      </c>
      <c r="J692" s="118" t="s">
        <v>269</v>
      </c>
    </row>
    <row r="693" spans="1:10" x14ac:dyDescent="0.25">
      <c r="A693" s="116">
        <v>690</v>
      </c>
      <c r="B693" s="117" t="s">
        <v>2330</v>
      </c>
      <c r="C693" s="118" t="s">
        <v>2329</v>
      </c>
      <c r="D693" s="118" t="s">
        <v>455</v>
      </c>
      <c r="E693" s="118" t="s">
        <v>111</v>
      </c>
      <c r="F693" s="119">
        <v>101.6955</v>
      </c>
      <c r="G693" s="119">
        <v>104.9558</v>
      </c>
      <c r="H693" s="119">
        <v>16.37</v>
      </c>
      <c r="I693" s="116">
        <v>1371</v>
      </c>
      <c r="J693" s="118" t="s">
        <v>269</v>
      </c>
    </row>
    <row r="694" spans="1:10" x14ac:dyDescent="0.25">
      <c r="A694" s="116">
        <v>691</v>
      </c>
      <c r="B694" s="117" t="s">
        <v>122</v>
      </c>
      <c r="C694" s="118" t="s">
        <v>123</v>
      </c>
      <c r="D694" s="118" t="s">
        <v>455</v>
      </c>
      <c r="E694" s="118" t="s">
        <v>111</v>
      </c>
      <c r="F694" s="119">
        <v>95.745099999999994</v>
      </c>
      <c r="G694" s="119">
        <v>97.845100000000002</v>
      </c>
      <c r="H694" s="119">
        <v>16.32</v>
      </c>
      <c r="I694" s="116">
        <v>288</v>
      </c>
      <c r="J694" s="118" t="s">
        <v>269</v>
      </c>
    </row>
    <row r="695" spans="1:10" x14ac:dyDescent="0.25">
      <c r="A695" s="116">
        <v>692</v>
      </c>
      <c r="B695" s="117" t="s">
        <v>124</v>
      </c>
      <c r="C695" s="118" t="s">
        <v>125</v>
      </c>
      <c r="D695" s="118" t="s">
        <v>455</v>
      </c>
      <c r="E695" s="118" t="s">
        <v>111</v>
      </c>
      <c r="F695" s="119">
        <v>98.273499999999999</v>
      </c>
      <c r="G695" s="119">
        <v>104.58410000000001</v>
      </c>
      <c r="H695" s="119">
        <v>16.329999999999998</v>
      </c>
      <c r="I695" s="116">
        <v>752</v>
      </c>
      <c r="J695" s="118" t="s">
        <v>269</v>
      </c>
    </row>
    <row r="696" spans="1:10" x14ac:dyDescent="0.25">
      <c r="A696" s="116">
        <v>693</v>
      </c>
      <c r="B696" s="117" t="s">
        <v>2506</v>
      </c>
      <c r="C696" s="118" t="s">
        <v>2507</v>
      </c>
      <c r="D696" s="118" t="s">
        <v>455</v>
      </c>
      <c r="E696" s="118" t="s">
        <v>111</v>
      </c>
      <c r="F696" s="119">
        <v>101.9066</v>
      </c>
      <c r="G696" s="119">
        <v>102.2362</v>
      </c>
      <c r="H696" s="119">
        <v>16.37</v>
      </c>
      <c r="I696" s="116">
        <v>1793</v>
      </c>
      <c r="J696" s="118" t="s">
        <v>269</v>
      </c>
    </row>
    <row r="697" spans="1:10" x14ac:dyDescent="0.25">
      <c r="A697" s="116">
        <v>694</v>
      </c>
      <c r="B697" s="117" t="s">
        <v>2423</v>
      </c>
      <c r="C697" s="118" t="s">
        <v>2424</v>
      </c>
      <c r="D697" s="118" t="s">
        <v>455</v>
      </c>
      <c r="E697" s="118" t="s">
        <v>2425</v>
      </c>
      <c r="F697" s="119">
        <v>100.00683816191101</v>
      </c>
      <c r="G697" s="119">
        <v>100.14573816191101</v>
      </c>
      <c r="H697" s="119">
        <v>10</v>
      </c>
      <c r="I697" s="116">
        <v>685</v>
      </c>
      <c r="J697" s="118" t="s">
        <v>269</v>
      </c>
    </row>
    <row r="698" spans="1:10" x14ac:dyDescent="0.25">
      <c r="A698" s="116">
        <v>695</v>
      </c>
      <c r="B698" s="117" t="s">
        <v>1457</v>
      </c>
      <c r="C698" s="118" t="s">
        <v>1458</v>
      </c>
      <c r="D698" s="118" t="s">
        <v>445</v>
      </c>
      <c r="E698" s="118" t="s">
        <v>1459</v>
      </c>
      <c r="F698" s="119">
        <v>0.01</v>
      </c>
      <c r="G698" s="119">
        <v>0.01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1460</v>
      </c>
      <c r="C699" s="118" t="s">
        <v>1461</v>
      </c>
      <c r="D699" s="118" t="s">
        <v>445</v>
      </c>
      <c r="E699" s="118" t="s">
        <v>1462</v>
      </c>
      <c r="F699" s="119">
        <v>14727.277950000003</v>
      </c>
      <c r="G699" s="119">
        <v>14727.277950000003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1463</v>
      </c>
      <c r="C700" s="118" t="s">
        <v>1464</v>
      </c>
      <c r="D700" s="118" t="s">
        <v>445</v>
      </c>
      <c r="E700" s="118" t="s">
        <v>1465</v>
      </c>
      <c r="F700" s="119">
        <v>277962.21840000007</v>
      </c>
      <c r="G700" s="119">
        <v>277962.21840000007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1466</v>
      </c>
      <c r="C701" s="118" t="s">
        <v>1467</v>
      </c>
      <c r="D701" s="118" t="s">
        <v>445</v>
      </c>
      <c r="E701" s="118" t="s">
        <v>1468</v>
      </c>
      <c r="F701" s="119">
        <v>100763.45925000001</v>
      </c>
      <c r="G701" s="119">
        <v>100763.45925000001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2308</v>
      </c>
      <c r="C702" s="118" t="s">
        <v>2302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16.934000000000001</v>
      </c>
      <c r="I702" s="116">
        <v>1383</v>
      </c>
      <c r="J702" s="118" t="s">
        <v>269</v>
      </c>
    </row>
    <row r="703" spans="1:10" x14ac:dyDescent="0.25">
      <c r="A703" s="116">
        <v>700</v>
      </c>
      <c r="B703" s="117" t="s">
        <v>126</v>
      </c>
      <c r="C703" s="118" t="s">
        <v>127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17.140999999999998</v>
      </c>
      <c r="I703" s="116">
        <v>323</v>
      </c>
      <c r="J703" s="118" t="s">
        <v>269</v>
      </c>
    </row>
    <row r="704" spans="1:10" x14ac:dyDescent="0.25">
      <c r="A704" s="116">
        <v>701</v>
      </c>
      <c r="B704" s="117" t="s">
        <v>128</v>
      </c>
      <c r="C704" s="118" t="s">
        <v>129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17.291</v>
      </c>
      <c r="I704" s="116">
        <v>718</v>
      </c>
      <c r="J704" s="118" t="s">
        <v>269</v>
      </c>
    </row>
    <row r="705" spans="1:10" x14ac:dyDescent="0.25">
      <c r="A705" s="116">
        <v>702</v>
      </c>
      <c r="B705" s="117" t="s">
        <v>130</v>
      </c>
      <c r="C705" s="118" t="s">
        <v>131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17.491</v>
      </c>
      <c r="I705" s="116">
        <v>1112</v>
      </c>
      <c r="J705" s="118" t="s">
        <v>269</v>
      </c>
    </row>
    <row r="706" spans="1:10" x14ac:dyDescent="0.25">
      <c r="A706" s="116">
        <v>703</v>
      </c>
      <c r="B706" s="117" t="s">
        <v>132</v>
      </c>
      <c r="C706" s="118" t="s">
        <v>133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17.591000000000001</v>
      </c>
      <c r="I706" s="116">
        <v>1577</v>
      </c>
      <c r="J706" s="118" t="s">
        <v>269</v>
      </c>
    </row>
    <row r="707" spans="1:10" x14ac:dyDescent="0.25">
      <c r="A707" s="116">
        <v>704</v>
      </c>
      <c r="B707" s="117" t="s">
        <v>134</v>
      </c>
      <c r="C707" s="118" t="s">
        <v>135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17.690999999999999</v>
      </c>
      <c r="I707" s="116">
        <v>1887</v>
      </c>
      <c r="J707" s="118" t="s">
        <v>269</v>
      </c>
    </row>
    <row r="708" spans="1:10" x14ac:dyDescent="0.25">
      <c r="A708" s="116">
        <v>705</v>
      </c>
      <c r="B708" s="117" t="s">
        <v>281</v>
      </c>
      <c r="C708" s="118" t="s">
        <v>282</v>
      </c>
      <c r="D708" s="118" t="s">
        <v>455</v>
      </c>
      <c r="E708" s="118" t="s">
        <v>111</v>
      </c>
      <c r="F708" s="119">
        <v>99.918300000000002</v>
      </c>
      <c r="G708" s="119">
        <v>99.918300000000002</v>
      </c>
      <c r="H708" s="119">
        <v>13.025</v>
      </c>
      <c r="I708" s="116">
        <v>41</v>
      </c>
      <c r="J708" s="118" t="s">
        <v>269</v>
      </c>
    </row>
    <row r="709" spans="1:10" x14ac:dyDescent="0.25">
      <c r="A709" s="116">
        <v>706</v>
      </c>
      <c r="B709" s="117" t="s">
        <v>283</v>
      </c>
      <c r="C709" s="118" t="s">
        <v>284</v>
      </c>
      <c r="D709" s="118" t="s">
        <v>455</v>
      </c>
      <c r="E709" s="118" t="s">
        <v>111</v>
      </c>
      <c r="F709" s="119">
        <v>99.966800000000006</v>
      </c>
      <c r="G709" s="119">
        <v>99.966800000000006</v>
      </c>
      <c r="H709" s="119">
        <v>13.025</v>
      </c>
      <c r="I709" s="116">
        <v>344</v>
      </c>
      <c r="J709" s="118" t="s">
        <v>269</v>
      </c>
    </row>
    <row r="710" spans="1:10" x14ac:dyDescent="0.25">
      <c r="A710" s="116">
        <v>707</v>
      </c>
      <c r="B710" s="117" t="s">
        <v>285</v>
      </c>
      <c r="C710" s="118" t="s">
        <v>286</v>
      </c>
      <c r="D710" s="118" t="s">
        <v>455</v>
      </c>
      <c r="E710" s="118" t="s">
        <v>111</v>
      </c>
      <c r="F710" s="119">
        <v>99.802099999999996</v>
      </c>
      <c r="G710" s="119">
        <v>99.802099999999996</v>
      </c>
      <c r="H710" s="119">
        <v>13.025</v>
      </c>
      <c r="I710" s="116">
        <v>163</v>
      </c>
      <c r="J710" s="118" t="s">
        <v>269</v>
      </c>
    </row>
    <row r="711" spans="1:10" x14ac:dyDescent="0.25">
      <c r="A711" s="116">
        <v>708</v>
      </c>
      <c r="B711" s="117" t="s">
        <v>287</v>
      </c>
      <c r="C711" s="118" t="s">
        <v>288</v>
      </c>
      <c r="D711" s="118" t="s">
        <v>455</v>
      </c>
      <c r="E711" s="118" t="s">
        <v>111</v>
      </c>
      <c r="F711" s="119">
        <v>99.909199999999998</v>
      </c>
      <c r="G711" s="119">
        <v>99.909199999999998</v>
      </c>
      <c r="H711" s="119">
        <v>13.025</v>
      </c>
      <c r="I711" s="116">
        <v>312</v>
      </c>
      <c r="J711" s="118" t="s">
        <v>269</v>
      </c>
    </row>
    <row r="712" spans="1:10" x14ac:dyDescent="0.25">
      <c r="A712" s="116">
        <v>709</v>
      </c>
      <c r="B712" s="117" t="s">
        <v>289</v>
      </c>
      <c r="C712" s="118" t="s">
        <v>290</v>
      </c>
      <c r="D712" s="118" t="s">
        <v>455</v>
      </c>
      <c r="E712" s="118" t="s">
        <v>111</v>
      </c>
      <c r="F712" s="119">
        <v>99.973799999999997</v>
      </c>
      <c r="G712" s="119">
        <v>99.973799999999997</v>
      </c>
      <c r="H712" s="119">
        <v>13.025</v>
      </c>
      <c r="I712" s="116">
        <v>12</v>
      </c>
      <c r="J712" s="118" t="s">
        <v>269</v>
      </c>
    </row>
    <row r="713" spans="1:10" x14ac:dyDescent="0.25">
      <c r="A713" s="116">
        <v>710</v>
      </c>
      <c r="B713" s="117" t="s">
        <v>291</v>
      </c>
      <c r="C713" s="118" t="s">
        <v>292</v>
      </c>
      <c r="D713" s="118" t="s">
        <v>455</v>
      </c>
      <c r="E713" s="118" t="s">
        <v>111</v>
      </c>
      <c r="F713" s="119">
        <v>99.890799999999999</v>
      </c>
      <c r="G713" s="119">
        <v>99.890799999999999</v>
      </c>
      <c r="H713" s="119">
        <v>13.115</v>
      </c>
      <c r="I713" s="116">
        <v>1137</v>
      </c>
      <c r="J713" s="118" t="s">
        <v>269</v>
      </c>
    </row>
    <row r="714" spans="1:10" x14ac:dyDescent="0.25">
      <c r="A714" s="116">
        <v>711</v>
      </c>
      <c r="B714" s="117" t="s">
        <v>293</v>
      </c>
      <c r="C714" s="118" t="s">
        <v>294</v>
      </c>
      <c r="D714" s="118" t="s">
        <v>455</v>
      </c>
      <c r="E714" s="118" t="s">
        <v>111</v>
      </c>
      <c r="F714" s="119">
        <v>99.971699999999998</v>
      </c>
      <c r="G714" s="119">
        <v>99.971699999999998</v>
      </c>
      <c r="H714" s="119">
        <v>13.025</v>
      </c>
      <c r="I714" s="116">
        <v>13</v>
      </c>
      <c r="J714" s="118" t="s">
        <v>269</v>
      </c>
    </row>
    <row r="715" spans="1:10" x14ac:dyDescent="0.25">
      <c r="A715" s="116">
        <v>712</v>
      </c>
      <c r="B715" s="117" t="s">
        <v>295</v>
      </c>
      <c r="C715" s="118" t="s">
        <v>296</v>
      </c>
      <c r="D715" s="118" t="s">
        <v>455</v>
      </c>
      <c r="E715" s="118" t="s">
        <v>111</v>
      </c>
      <c r="F715" s="119">
        <v>99.8125</v>
      </c>
      <c r="G715" s="119">
        <v>99.8125</v>
      </c>
      <c r="H715" s="119">
        <v>13.025</v>
      </c>
      <c r="I715" s="116">
        <v>222</v>
      </c>
      <c r="J715" s="118" t="s">
        <v>269</v>
      </c>
    </row>
    <row r="716" spans="1:10" x14ac:dyDescent="0.25">
      <c r="A716" s="116">
        <v>713</v>
      </c>
      <c r="B716" s="117" t="s">
        <v>297</v>
      </c>
      <c r="C716" s="118" t="s">
        <v>298</v>
      </c>
      <c r="D716" s="118" t="s">
        <v>455</v>
      </c>
      <c r="E716" s="118" t="s">
        <v>111</v>
      </c>
      <c r="F716" s="119">
        <v>99.813800000000001</v>
      </c>
      <c r="G716" s="119">
        <v>99.813800000000001</v>
      </c>
      <c r="H716" s="119">
        <v>13.115</v>
      </c>
      <c r="I716" s="116">
        <v>1568</v>
      </c>
      <c r="J716" s="118" t="s">
        <v>269</v>
      </c>
    </row>
    <row r="717" spans="1:10" x14ac:dyDescent="0.25">
      <c r="A717" s="116">
        <v>714</v>
      </c>
      <c r="B717" s="117" t="s">
        <v>299</v>
      </c>
      <c r="C717" s="118" t="s">
        <v>300</v>
      </c>
      <c r="D717" s="118" t="s">
        <v>455</v>
      </c>
      <c r="E717" s="118" t="s">
        <v>111</v>
      </c>
      <c r="F717" s="119">
        <v>99.8125</v>
      </c>
      <c r="G717" s="119">
        <v>99.8125</v>
      </c>
      <c r="H717" s="119">
        <v>13.025</v>
      </c>
      <c r="I717" s="116">
        <v>222</v>
      </c>
      <c r="J717" s="118" t="s">
        <v>269</v>
      </c>
    </row>
    <row r="718" spans="1:10" x14ac:dyDescent="0.25">
      <c r="A718" s="116">
        <v>715</v>
      </c>
      <c r="B718" s="117" t="s">
        <v>301</v>
      </c>
      <c r="C718" s="118" t="s">
        <v>302</v>
      </c>
      <c r="D718" s="118" t="s">
        <v>455</v>
      </c>
      <c r="E718" s="118" t="s">
        <v>111</v>
      </c>
      <c r="F718" s="119">
        <v>99.868799999999993</v>
      </c>
      <c r="G718" s="119">
        <v>99.868799999999993</v>
      </c>
      <c r="H718" s="119">
        <v>13.025</v>
      </c>
      <c r="I718" s="116">
        <v>284</v>
      </c>
      <c r="J718" s="118" t="s">
        <v>269</v>
      </c>
    </row>
    <row r="719" spans="1:10" x14ac:dyDescent="0.25">
      <c r="A719" s="116">
        <v>716</v>
      </c>
      <c r="B719" s="117" t="s">
        <v>303</v>
      </c>
      <c r="C719" s="118" t="s">
        <v>304</v>
      </c>
      <c r="D719" s="118" t="s">
        <v>455</v>
      </c>
      <c r="E719" s="118" t="s">
        <v>111</v>
      </c>
      <c r="F719" s="119">
        <v>99.802000000000007</v>
      </c>
      <c r="G719" s="119">
        <v>99.802000000000007</v>
      </c>
      <c r="H719" s="119">
        <v>13.025</v>
      </c>
      <c r="I719" s="116">
        <v>553</v>
      </c>
      <c r="J719" s="118" t="s">
        <v>269</v>
      </c>
    </row>
    <row r="720" spans="1:10" x14ac:dyDescent="0.25">
      <c r="A720" s="116">
        <v>717</v>
      </c>
      <c r="B720" s="117" t="s">
        <v>305</v>
      </c>
      <c r="C720" s="118" t="s">
        <v>306</v>
      </c>
      <c r="D720" s="118" t="s">
        <v>455</v>
      </c>
      <c r="E720" s="118" t="s">
        <v>111</v>
      </c>
      <c r="F720" s="119">
        <v>99.867500000000007</v>
      </c>
      <c r="G720" s="119">
        <v>99.867500000000007</v>
      </c>
      <c r="H720" s="119">
        <v>13.025</v>
      </c>
      <c r="I720" s="116">
        <v>643</v>
      </c>
      <c r="J720" s="118" t="s">
        <v>269</v>
      </c>
    </row>
    <row r="721" spans="1:10" x14ac:dyDescent="0.25">
      <c r="A721" s="116">
        <v>718</v>
      </c>
      <c r="B721" s="117" t="s">
        <v>307</v>
      </c>
      <c r="C721" s="118" t="s">
        <v>308</v>
      </c>
      <c r="D721" s="118" t="s">
        <v>455</v>
      </c>
      <c r="E721" s="118" t="s">
        <v>111</v>
      </c>
      <c r="F721" s="119">
        <v>99.813900000000004</v>
      </c>
      <c r="G721" s="119">
        <v>99.813900000000004</v>
      </c>
      <c r="H721" s="119">
        <v>13.025</v>
      </c>
      <c r="I721" s="116">
        <v>1212</v>
      </c>
      <c r="J721" s="118" t="s">
        <v>269</v>
      </c>
    </row>
    <row r="722" spans="1:10" x14ac:dyDescent="0.25">
      <c r="A722" s="116">
        <v>719</v>
      </c>
      <c r="B722" s="117" t="s">
        <v>309</v>
      </c>
      <c r="C722" s="118" t="s">
        <v>310</v>
      </c>
      <c r="D722" s="118" t="s">
        <v>455</v>
      </c>
      <c r="E722" s="118" t="s">
        <v>111</v>
      </c>
      <c r="F722" s="119">
        <v>99.834000000000003</v>
      </c>
      <c r="G722" s="119">
        <v>99.834000000000003</v>
      </c>
      <c r="H722" s="119">
        <v>13.025</v>
      </c>
      <c r="I722" s="116">
        <v>1332</v>
      </c>
      <c r="J722" s="118" t="s">
        <v>269</v>
      </c>
    </row>
    <row r="723" spans="1:10" x14ac:dyDescent="0.25">
      <c r="A723" s="116">
        <v>720</v>
      </c>
      <c r="B723" s="117" t="s">
        <v>311</v>
      </c>
      <c r="C723" s="118" t="s">
        <v>312</v>
      </c>
      <c r="D723" s="118" t="s">
        <v>455</v>
      </c>
      <c r="E723" s="118" t="s">
        <v>111</v>
      </c>
      <c r="F723" s="119">
        <v>99.834900000000005</v>
      </c>
      <c r="G723" s="119">
        <v>99.834900000000005</v>
      </c>
      <c r="H723" s="119">
        <v>13.025</v>
      </c>
      <c r="I723" s="116">
        <v>613</v>
      </c>
      <c r="J723" s="118" t="s">
        <v>269</v>
      </c>
    </row>
    <row r="724" spans="1:10" x14ac:dyDescent="0.25">
      <c r="A724" s="116">
        <v>721</v>
      </c>
      <c r="B724" s="117" t="s">
        <v>313</v>
      </c>
      <c r="C724" s="118" t="s">
        <v>314</v>
      </c>
      <c r="D724" s="118" t="s">
        <v>455</v>
      </c>
      <c r="E724" s="118" t="s">
        <v>111</v>
      </c>
      <c r="F724" s="119">
        <v>99.92</v>
      </c>
      <c r="G724" s="119">
        <v>99.92</v>
      </c>
      <c r="H724" s="119">
        <v>13.025</v>
      </c>
      <c r="I724" s="116">
        <v>760</v>
      </c>
      <c r="J724" s="118" t="s">
        <v>269</v>
      </c>
    </row>
    <row r="725" spans="1:10" x14ac:dyDescent="0.25">
      <c r="A725" s="116">
        <v>722</v>
      </c>
      <c r="B725" s="117" t="s">
        <v>315</v>
      </c>
      <c r="C725" s="118" t="s">
        <v>316</v>
      </c>
      <c r="D725" s="118" t="s">
        <v>455</v>
      </c>
      <c r="E725" s="118" t="s">
        <v>111</v>
      </c>
      <c r="F725" s="119">
        <v>99.815700000000007</v>
      </c>
      <c r="G725" s="119">
        <v>99.815700000000007</v>
      </c>
      <c r="H725" s="119">
        <v>13.025</v>
      </c>
      <c r="I725" s="116">
        <v>849</v>
      </c>
      <c r="J725" s="118" t="s">
        <v>269</v>
      </c>
    </row>
    <row r="726" spans="1:10" x14ac:dyDescent="0.25">
      <c r="A726" s="116">
        <v>723</v>
      </c>
      <c r="B726" s="117" t="s">
        <v>317</v>
      </c>
      <c r="C726" s="118" t="s">
        <v>318</v>
      </c>
      <c r="D726" s="118" t="s">
        <v>455</v>
      </c>
      <c r="E726" s="118" t="s">
        <v>111</v>
      </c>
      <c r="F726" s="119">
        <v>99.907600000000002</v>
      </c>
      <c r="G726" s="119">
        <v>99.907600000000002</v>
      </c>
      <c r="H726" s="119">
        <v>13.025</v>
      </c>
      <c r="I726" s="116">
        <v>1391</v>
      </c>
      <c r="J726" s="118" t="s">
        <v>269</v>
      </c>
    </row>
    <row r="727" spans="1:10" x14ac:dyDescent="0.25">
      <c r="A727" s="116">
        <v>724</v>
      </c>
      <c r="B727" s="117" t="s">
        <v>319</v>
      </c>
      <c r="C727" s="118" t="s">
        <v>320</v>
      </c>
      <c r="D727" s="118" t="s">
        <v>455</v>
      </c>
      <c r="E727" s="118" t="s">
        <v>111</v>
      </c>
      <c r="F727" s="119">
        <v>99.813599999999994</v>
      </c>
      <c r="G727" s="119">
        <v>99.813599999999994</v>
      </c>
      <c r="H727" s="119">
        <v>13.025</v>
      </c>
      <c r="I727" s="116">
        <v>1664</v>
      </c>
      <c r="J727" s="118" t="s">
        <v>269</v>
      </c>
    </row>
    <row r="728" spans="1:10" x14ac:dyDescent="0.25">
      <c r="A728" s="116">
        <v>725</v>
      </c>
      <c r="B728" s="117" t="s">
        <v>321</v>
      </c>
      <c r="C728" s="118" t="s">
        <v>322</v>
      </c>
      <c r="D728" s="118" t="s">
        <v>455</v>
      </c>
      <c r="E728" s="118" t="s">
        <v>111</v>
      </c>
      <c r="F728" s="119">
        <v>99.907600000000002</v>
      </c>
      <c r="G728" s="119">
        <v>99.907600000000002</v>
      </c>
      <c r="H728" s="119">
        <v>13.025</v>
      </c>
      <c r="I728" s="116">
        <v>1031</v>
      </c>
      <c r="J728" s="118" t="s">
        <v>269</v>
      </c>
    </row>
    <row r="729" spans="1:10" x14ac:dyDescent="0.25">
      <c r="A729" s="116">
        <v>726</v>
      </c>
      <c r="B729" s="117" t="s">
        <v>323</v>
      </c>
      <c r="C729" s="118" t="s">
        <v>324</v>
      </c>
      <c r="D729" s="118" t="s">
        <v>455</v>
      </c>
      <c r="E729" s="118" t="s">
        <v>111</v>
      </c>
      <c r="F729" s="119">
        <v>99.868200000000002</v>
      </c>
      <c r="G729" s="119">
        <v>99.868200000000002</v>
      </c>
      <c r="H729" s="119">
        <v>13.025</v>
      </c>
      <c r="I729" s="116">
        <v>1154</v>
      </c>
      <c r="J729" s="118" t="s">
        <v>269</v>
      </c>
    </row>
    <row r="730" spans="1:10" x14ac:dyDescent="0.25">
      <c r="A730" s="116">
        <v>727</v>
      </c>
      <c r="B730" s="117" t="s">
        <v>325</v>
      </c>
      <c r="C730" s="118" t="s">
        <v>326</v>
      </c>
      <c r="D730" s="118" t="s">
        <v>455</v>
      </c>
      <c r="E730" s="118" t="s">
        <v>111</v>
      </c>
      <c r="F730" s="119">
        <v>99.834900000000005</v>
      </c>
      <c r="G730" s="119">
        <v>99.834900000000005</v>
      </c>
      <c r="H730" s="119">
        <v>13.025</v>
      </c>
      <c r="I730" s="116">
        <v>1333</v>
      </c>
      <c r="J730" s="118" t="s">
        <v>269</v>
      </c>
    </row>
    <row r="731" spans="1:10" x14ac:dyDescent="0.25">
      <c r="A731" s="116">
        <v>728</v>
      </c>
      <c r="B731" s="117" t="s">
        <v>327</v>
      </c>
      <c r="C731" s="118" t="s">
        <v>328</v>
      </c>
      <c r="D731" s="118" t="s">
        <v>455</v>
      </c>
      <c r="E731" s="118" t="s">
        <v>111</v>
      </c>
      <c r="F731" s="119">
        <v>99.836699999999993</v>
      </c>
      <c r="G731" s="119">
        <v>99.836699999999993</v>
      </c>
      <c r="H731" s="119">
        <v>13.025</v>
      </c>
      <c r="I731" s="116">
        <v>1542</v>
      </c>
      <c r="J731" s="118" t="s">
        <v>269</v>
      </c>
    </row>
    <row r="732" spans="1:10" x14ac:dyDescent="0.25">
      <c r="A732" s="116">
        <v>729</v>
      </c>
      <c r="B732" s="117" t="s">
        <v>329</v>
      </c>
      <c r="C732" s="118" t="s">
        <v>330</v>
      </c>
      <c r="D732" s="118" t="s">
        <v>455</v>
      </c>
      <c r="E732" s="118" t="s">
        <v>111</v>
      </c>
      <c r="F732" s="119">
        <v>99.964799999999997</v>
      </c>
      <c r="G732" s="119">
        <v>99.964799999999997</v>
      </c>
      <c r="H732" s="119">
        <v>13.025</v>
      </c>
      <c r="I732" s="116">
        <v>1783</v>
      </c>
      <c r="J732" s="118" t="s">
        <v>269</v>
      </c>
    </row>
    <row r="733" spans="1:10" x14ac:dyDescent="0.25">
      <c r="A733" s="116">
        <v>730</v>
      </c>
      <c r="B733" s="117" t="s">
        <v>331</v>
      </c>
      <c r="C733" s="118" t="s">
        <v>332</v>
      </c>
      <c r="D733" s="118" t="s">
        <v>455</v>
      </c>
      <c r="E733" s="118" t="s">
        <v>111</v>
      </c>
      <c r="F733" s="119">
        <v>99.960899999999995</v>
      </c>
      <c r="G733" s="119">
        <v>99.960899999999995</v>
      </c>
      <c r="H733" s="119">
        <v>13.025</v>
      </c>
      <c r="I733" s="116">
        <v>2141</v>
      </c>
      <c r="J733" s="118" t="s">
        <v>269</v>
      </c>
    </row>
    <row r="734" spans="1:10" x14ac:dyDescent="0.25">
      <c r="A734" s="116">
        <v>731</v>
      </c>
      <c r="B734" s="117" t="s">
        <v>333</v>
      </c>
      <c r="C734" s="118" t="s">
        <v>334</v>
      </c>
      <c r="D734" s="118" t="s">
        <v>455</v>
      </c>
      <c r="E734" s="118" t="s">
        <v>111</v>
      </c>
      <c r="F734" s="119">
        <v>99.869600000000005</v>
      </c>
      <c r="G734" s="119">
        <v>99.869600000000005</v>
      </c>
      <c r="H734" s="119">
        <v>13.025</v>
      </c>
      <c r="I734" s="116">
        <v>2233</v>
      </c>
      <c r="J734" s="118" t="s">
        <v>269</v>
      </c>
    </row>
    <row r="735" spans="1:10" x14ac:dyDescent="0.25">
      <c r="A735" s="116">
        <v>732</v>
      </c>
      <c r="B735" s="117" t="s">
        <v>136</v>
      </c>
      <c r="C735" s="118" t="s">
        <v>137</v>
      </c>
      <c r="D735" s="118" t="s">
        <v>455</v>
      </c>
      <c r="E735" s="118" t="s">
        <v>111</v>
      </c>
      <c r="F735" s="119">
        <v>91.281300000000002</v>
      </c>
      <c r="G735" s="119">
        <v>95.528000000000006</v>
      </c>
      <c r="H735" s="119">
        <v>16.95</v>
      </c>
      <c r="I735" s="116">
        <v>573</v>
      </c>
      <c r="J735" s="118" t="s">
        <v>269</v>
      </c>
    </row>
    <row r="736" spans="1:10" x14ac:dyDescent="0.25">
      <c r="A736" s="116">
        <v>733</v>
      </c>
      <c r="B736" s="117" t="s">
        <v>138</v>
      </c>
      <c r="C736" s="118" t="s">
        <v>139</v>
      </c>
      <c r="D736" s="118" t="s">
        <v>455</v>
      </c>
      <c r="E736" s="118" t="s">
        <v>111</v>
      </c>
      <c r="F736" s="119">
        <v>95.575699999999998</v>
      </c>
      <c r="G736" s="119">
        <v>105.0532</v>
      </c>
      <c r="H736" s="119">
        <v>17.010000000000002</v>
      </c>
      <c r="I736" s="116">
        <v>1217</v>
      </c>
      <c r="J736" s="118" t="s">
        <v>269</v>
      </c>
    </row>
    <row r="737" spans="1:10" x14ac:dyDescent="0.25">
      <c r="A737" s="116">
        <v>734</v>
      </c>
      <c r="B737" s="117" t="s">
        <v>140</v>
      </c>
      <c r="C737" s="118" t="s">
        <v>141</v>
      </c>
      <c r="D737" s="118" t="s">
        <v>455</v>
      </c>
      <c r="E737" s="118" t="s">
        <v>111</v>
      </c>
      <c r="F737" s="119">
        <v>85.0565</v>
      </c>
      <c r="G737" s="119">
        <v>92.356499999999997</v>
      </c>
      <c r="H737" s="119">
        <v>17.02</v>
      </c>
      <c r="I737" s="116">
        <v>1581</v>
      </c>
      <c r="J737" s="118" t="s">
        <v>269</v>
      </c>
    </row>
    <row r="738" spans="1:10" x14ac:dyDescent="0.25">
      <c r="A738" s="116">
        <v>735</v>
      </c>
      <c r="B738" s="117" t="s">
        <v>142</v>
      </c>
      <c r="C738" s="118" t="s">
        <v>6</v>
      </c>
      <c r="D738" s="118" t="s">
        <v>455</v>
      </c>
      <c r="E738" s="118" t="s">
        <v>111</v>
      </c>
      <c r="F738" s="119">
        <v>87.229299999999995</v>
      </c>
      <c r="G738" s="119">
        <v>92.544899999999998</v>
      </c>
      <c r="H738" s="119">
        <v>17.010000000000002</v>
      </c>
      <c r="I738" s="116">
        <v>896</v>
      </c>
      <c r="J738" s="118" t="s">
        <v>269</v>
      </c>
    </row>
    <row r="739" spans="1:10" x14ac:dyDescent="0.25">
      <c r="A739" s="116">
        <v>736</v>
      </c>
      <c r="B739" s="117" t="s">
        <v>143</v>
      </c>
      <c r="C739" s="118" t="s">
        <v>144</v>
      </c>
      <c r="D739" s="118" t="s">
        <v>455</v>
      </c>
      <c r="E739" s="118" t="s">
        <v>111</v>
      </c>
      <c r="F739" s="119">
        <v>82.881100000000004</v>
      </c>
      <c r="G739" s="119">
        <v>90.681100000000001</v>
      </c>
      <c r="H739" s="119">
        <v>17.059999999999999</v>
      </c>
      <c r="I739" s="116">
        <v>1926</v>
      </c>
      <c r="J739" s="118" t="s">
        <v>269</v>
      </c>
    </row>
    <row r="740" spans="1:10" x14ac:dyDescent="0.25">
      <c r="A740" s="116">
        <v>737</v>
      </c>
      <c r="B740" s="117" t="s">
        <v>2017</v>
      </c>
      <c r="C740" s="118" t="s">
        <v>2018</v>
      </c>
      <c r="D740" s="118" t="s">
        <v>455</v>
      </c>
      <c r="E740" s="118" t="s">
        <v>111</v>
      </c>
      <c r="F740" s="119">
        <v>90.617800000000003</v>
      </c>
      <c r="G740" s="119">
        <v>99.54</v>
      </c>
      <c r="H740" s="119">
        <v>17.05</v>
      </c>
      <c r="I740" s="116">
        <v>2300</v>
      </c>
      <c r="J740" s="118" t="s">
        <v>269</v>
      </c>
    </row>
    <row r="741" spans="1:10" x14ac:dyDescent="0.25">
      <c r="A741" s="116">
        <v>738</v>
      </c>
      <c r="B741" s="117" t="s">
        <v>145</v>
      </c>
      <c r="C741" s="118" t="s">
        <v>146</v>
      </c>
      <c r="D741" s="118" t="s">
        <v>455</v>
      </c>
      <c r="E741" s="118" t="s">
        <v>111</v>
      </c>
      <c r="F741" s="119">
        <v>85.3947</v>
      </c>
      <c r="G741" s="119">
        <v>95.544799999999995</v>
      </c>
      <c r="H741" s="119">
        <v>17.02</v>
      </c>
      <c r="I741" s="116">
        <v>1091</v>
      </c>
      <c r="J741" s="118" t="s">
        <v>269</v>
      </c>
    </row>
    <row r="742" spans="1:10" x14ac:dyDescent="0.25">
      <c r="A742" s="116">
        <v>739</v>
      </c>
      <c r="B742" s="117" t="s">
        <v>147</v>
      </c>
      <c r="C742" s="118" t="s">
        <v>8</v>
      </c>
      <c r="D742" s="118" t="s">
        <v>455</v>
      </c>
      <c r="E742" s="118" t="s">
        <v>111</v>
      </c>
      <c r="F742" s="119">
        <v>82.827399999999997</v>
      </c>
      <c r="G742" s="119">
        <v>85.113200000000006</v>
      </c>
      <c r="H742" s="119">
        <v>17.02</v>
      </c>
      <c r="I742" s="116">
        <v>1362</v>
      </c>
      <c r="J742" s="118" t="s">
        <v>269</v>
      </c>
    </row>
    <row r="743" spans="1:10" x14ac:dyDescent="0.25">
      <c r="A743" s="116">
        <v>740</v>
      </c>
      <c r="B743" s="117" t="s">
        <v>148</v>
      </c>
      <c r="C743" s="118" t="s">
        <v>149</v>
      </c>
      <c r="D743" s="118" t="s">
        <v>455</v>
      </c>
      <c r="E743" s="118" t="s">
        <v>111</v>
      </c>
      <c r="F743" s="119">
        <v>82.3369</v>
      </c>
      <c r="G743" s="119">
        <v>90.036900000000003</v>
      </c>
      <c r="H743" s="119">
        <v>17.059999999999999</v>
      </c>
      <c r="I743" s="116">
        <v>1548</v>
      </c>
      <c r="J743" s="118" t="s">
        <v>269</v>
      </c>
    </row>
    <row r="744" spans="1:10" x14ac:dyDescent="0.25">
      <c r="A744" s="116">
        <v>741</v>
      </c>
      <c r="B744" s="117" t="s">
        <v>150</v>
      </c>
      <c r="C744" s="118" t="s">
        <v>151</v>
      </c>
      <c r="D744" s="118" t="s">
        <v>455</v>
      </c>
      <c r="E744" s="118" t="s">
        <v>111</v>
      </c>
      <c r="F744" s="119">
        <v>89.321399999999997</v>
      </c>
      <c r="G744" s="119">
        <v>95.310299999999998</v>
      </c>
      <c r="H744" s="119">
        <v>17.04</v>
      </c>
      <c r="I744" s="116">
        <v>2006</v>
      </c>
      <c r="J744" s="118" t="s">
        <v>269</v>
      </c>
    </row>
    <row r="745" spans="1:10" x14ac:dyDescent="0.25">
      <c r="A745" s="116">
        <v>742</v>
      </c>
      <c r="B745" s="117" t="s">
        <v>2179</v>
      </c>
      <c r="C745" s="118" t="s">
        <v>2180</v>
      </c>
      <c r="D745" s="118" t="s">
        <v>455</v>
      </c>
      <c r="E745" s="118" t="s">
        <v>111</v>
      </c>
      <c r="F745" s="119">
        <v>89.0227</v>
      </c>
      <c r="G745" s="119">
        <v>94.280900000000003</v>
      </c>
      <c r="H745" s="119">
        <v>17.059999999999999</v>
      </c>
      <c r="I745" s="116">
        <v>2749</v>
      </c>
      <c r="J745" s="118" t="s">
        <v>269</v>
      </c>
    </row>
    <row r="746" spans="1:10" x14ac:dyDescent="0.25">
      <c r="A746" s="116">
        <v>743</v>
      </c>
      <c r="B746" s="117" t="s">
        <v>152</v>
      </c>
      <c r="C746" s="118" t="s">
        <v>153</v>
      </c>
      <c r="D746" s="118" t="s">
        <v>455</v>
      </c>
      <c r="E746" s="118" t="s">
        <v>111</v>
      </c>
      <c r="F746" s="119">
        <v>94.9636</v>
      </c>
      <c r="G746" s="119">
        <v>97.5672</v>
      </c>
      <c r="H746" s="119">
        <v>16.940000000000001</v>
      </c>
      <c r="I746" s="116">
        <v>257</v>
      </c>
      <c r="J746" s="118" t="s">
        <v>269</v>
      </c>
    </row>
    <row r="747" spans="1:10" x14ac:dyDescent="0.25">
      <c r="A747" s="116">
        <v>744</v>
      </c>
      <c r="B747" s="117" t="s">
        <v>154</v>
      </c>
      <c r="C747" s="118" t="s">
        <v>7</v>
      </c>
      <c r="D747" s="118" t="s">
        <v>455</v>
      </c>
      <c r="E747" s="118" t="s">
        <v>111</v>
      </c>
      <c r="F747" s="119">
        <v>84.955299999999994</v>
      </c>
      <c r="G747" s="119">
        <v>90.944199999999995</v>
      </c>
      <c r="H747" s="119">
        <v>17.02</v>
      </c>
      <c r="I747" s="116">
        <v>1244</v>
      </c>
      <c r="J747" s="118" t="s">
        <v>269</v>
      </c>
    </row>
    <row r="748" spans="1:10" x14ac:dyDescent="0.25">
      <c r="A748" s="116">
        <v>745</v>
      </c>
      <c r="B748" s="117" t="s">
        <v>155</v>
      </c>
      <c r="C748" s="118" t="s">
        <v>156</v>
      </c>
      <c r="D748" s="118" t="s">
        <v>455</v>
      </c>
      <c r="E748" s="118" t="s">
        <v>111</v>
      </c>
      <c r="F748" s="119">
        <v>88.184899999999999</v>
      </c>
      <c r="G748" s="119">
        <v>93.901600000000002</v>
      </c>
      <c r="H748" s="119">
        <v>17.05</v>
      </c>
      <c r="I748" s="116">
        <v>2373</v>
      </c>
      <c r="J748" s="118" t="s">
        <v>269</v>
      </c>
    </row>
    <row r="749" spans="1:10" x14ac:dyDescent="0.25">
      <c r="A749" s="116">
        <v>746</v>
      </c>
      <c r="B749" s="117" t="s">
        <v>2019</v>
      </c>
      <c r="C749" s="118" t="s">
        <v>2020</v>
      </c>
      <c r="D749" s="118" t="s">
        <v>455</v>
      </c>
      <c r="E749" s="118" t="s">
        <v>111</v>
      </c>
      <c r="F749" s="119">
        <v>88.732100000000003</v>
      </c>
      <c r="G749" s="119">
        <v>97.593199999999996</v>
      </c>
      <c r="H749" s="119">
        <v>17.059999999999999</v>
      </c>
      <c r="I749" s="116">
        <v>3020</v>
      </c>
      <c r="J749" s="118" t="s">
        <v>269</v>
      </c>
    </row>
    <row r="750" spans="1:10" x14ac:dyDescent="0.25">
      <c r="A750" s="116">
        <v>747</v>
      </c>
      <c r="B750" s="117" t="s">
        <v>157</v>
      </c>
      <c r="C750" s="118" t="s">
        <v>158</v>
      </c>
      <c r="D750" s="118" t="s">
        <v>455</v>
      </c>
      <c r="E750" s="118" t="s">
        <v>111</v>
      </c>
      <c r="F750" s="119">
        <v>90.672600000000003</v>
      </c>
      <c r="G750" s="119">
        <v>96.172600000000003</v>
      </c>
      <c r="H750" s="119">
        <v>16.940000000000001</v>
      </c>
      <c r="I750" s="116">
        <v>500</v>
      </c>
      <c r="J750" s="118" t="s">
        <v>269</v>
      </c>
    </row>
    <row r="751" spans="1:10" x14ac:dyDescent="0.25">
      <c r="A751" s="116">
        <v>748</v>
      </c>
      <c r="B751" s="117" t="s">
        <v>159</v>
      </c>
      <c r="C751" s="118" t="s">
        <v>160</v>
      </c>
      <c r="D751" s="118" t="s">
        <v>455</v>
      </c>
      <c r="E751" s="118" t="s">
        <v>111</v>
      </c>
      <c r="F751" s="119">
        <v>88.799099999999996</v>
      </c>
      <c r="G751" s="119">
        <v>91.374099999999999</v>
      </c>
      <c r="H751" s="119">
        <v>16.97</v>
      </c>
      <c r="I751" s="116">
        <v>617</v>
      </c>
      <c r="J751" s="118" t="s">
        <v>269</v>
      </c>
    </row>
    <row r="752" spans="1:10" x14ac:dyDescent="0.25">
      <c r="A752" s="116">
        <v>749</v>
      </c>
      <c r="B752" s="117" t="s">
        <v>161</v>
      </c>
      <c r="C752" s="118" t="s">
        <v>9</v>
      </c>
      <c r="D752" s="118" t="s">
        <v>455</v>
      </c>
      <c r="E752" s="118" t="s">
        <v>111</v>
      </c>
      <c r="F752" s="119">
        <v>77.118899999999996</v>
      </c>
      <c r="G752" s="119">
        <v>83.098600000000005</v>
      </c>
      <c r="H752" s="119">
        <v>17.04</v>
      </c>
      <c r="I752" s="116">
        <v>1951</v>
      </c>
      <c r="J752" s="118" t="s">
        <v>269</v>
      </c>
    </row>
    <row r="753" spans="1:10" x14ac:dyDescent="0.25">
      <c r="A753" s="116">
        <v>750</v>
      </c>
      <c r="B753" s="117" t="s">
        <v>1992</v>
      </c>
      <c r="C753" s="118" t="s">
        <v>1993</v>
      </c>
      <c r="D753" s="118" t="s">
        <v>455</v>
      </c>
      <c r="E753" s="118" t="s">
        <v>111</v>
      </c>
      <c r="F753" s="119">
        <v>85.853300000000004</v>
      </c>
      <c r="G753" s="119">
        <v>95.303299999999993</v>
      </c>
      <c r="H753" s="119">
        <v>17.079999999999998</v>
      </c>
      <c r="I753" s="116">
        <v>3357</v>
      </c>
      <c r="J753" s="118" t="s">
        <v>269</v>
      </c>
    </row>
    <row r="754" spans="1:10" x14ac:dyDescent="0.25">
      <c r="A754" s="116">
        <v>751</v>
      </c>
      <c r="B754" s="117" t="s">
        <v>162</v>
      </c>
      <c r="C754" s="118" t="s">
        <v>11</v>
      </c>
      <c r="D754" s="118" t="s">
        <v>455</v>
      </c>
      <c r="E754" s="118" t="s">
        <v>111</v>
      </c>
      <c r="F754" s="119">
        <v>75.220200000000006</v>
      </c>
      <c r="G754" s="119">
        <v>77.5869</v>
      </c>
      <c r="H754" s="119">
        <v>17.05</v>
      </c>
      <c r="I754" s="116">
        <v>2440</v>
      </c>
      <c r="J754" s="118" t="s">
        <v>269</v>
      </c>
    </row>
    <row r="755" spans="1:10" x14ac:dyDescent="0.25">
      <c r="A755" s="116">
        <v>752</v>
      </c>
      <c r="B755" s="117" t="s">
        <v>163</v>
      </c>
      <c r="C755" s="118" t="s">
        <v>164</v>
      </c>
      <c r="D755" s="118" t="s">
        <v>455</v>
      </c>
      <c r="E755" s="118" t="s">
        <v>111</v>
      </c>
      <c r="F755" s="119">
        <v>73.3767</v>
      </c>
      <c r="G755" s="119">
        <v>74.950500000000005</v>
      </c>
      <c r="H755" s="119">
        <v>17.07</v>
      </c>
      <c r="I755" s="116">
        <v>2827</v>
      </c>
      <c r="J755" s="118" t="s">
        <v>269</v>
      </c>
    </row>
    <row r="756" spans="1:10" x14ac:dyDescent="0.25">
      <c r="A756" s="116">
        <v>753</v>
      </c>
      <c r="B756" s="117" t="s">
        <v>165</v>
      </c>
      <c r="C756" s="118" t="s">
        <v>166</v>
      </c>
      <c r="D756" s="118" t="s">
        <v>455</v>
      </c>
      <c r="E756" s="118" t="s">
        <v>111</v>
      </c>
      <c r="F756" s="119">
        <v>86.927599999999998</v>
      </c>
      <c r="G756" s="119">
        <v>89.334599999999995</v>
      </c>
      <c r="H756" s="119">
        <v>16.97</v>
      </c>
      <c r="I756" s="116">
        <v>604</v>
      </c>
      <c r="J756" s="118" t="s">
        <v>269</v>
      </c>
    </row>
    <row r="757" spans="1:10" x14ac:dyDescent="0.25">
      <c r="A757" s="116">
        <v>754</v>
      </c>
      <c r="B757" s="117" t="s">
        <v>167</v>
      </c>
      <c r="C757" s="118" t="s">
        <v>168</v>
      </c>
      <c r="D757" s="118" t="s">
        <v>455</v>
      </c>
      <c r="E757" s="118" t="s">
        <v>111</v>
      </c>
      <c r="F757" s="119">
        <v>70.382000000000005</v>
      </c>
      <c r="G757" s="119">
        <v>74.039299999999997</v>
      </c>
      <c r="H757" s="119">
        <v>17.04</v>
      </c>
      <c r="I757" s="116">
        <v>2004</v>
      </c>
      <c r="J757" s="118" t="s">
        <v>269</v>
      </c>
    </row>
    <row r="758" spans="1:10" x14ac:dyDescent="0.25">
      <c r="A758" s="116">
        <v>755</v>
      </c>
      <c r="B758" s="117" t="s">
        <v>169</v>
      </c>
      <c r="C758" s="118" t="s">
        <v>170</v>
      </c>
      <c r="D758" s="118" t="s">
        <v>455</v>
      </c>
      <c r="E758" s="118" t="s">
        <v>111</v>
      </c>
      <c r="F758" s="119">
        <v>70.007300000000001</v>
      </c>
      <c r="G758" s="119">
        <v>76.725899999999996</v>
      </c>
      <c r="H758" s="119">
        <v>17.079999999999998</v>
      </c>
      <c r="I758" s="116">
        <v>3001</v>
      </c>
      <c r="J758" s="118" t="s">
        <v>269</v>
      </c>
    </row>
    <row r="759" spans="1:10" x14ac:dyDescent="0.25">
      <c r="A759" s="116">
        <v>756</v>
      </c>
      <c r="B759" s="117" t="s">
        <v>2153</v>
      </c>
      <c r="C759" s="118" t="s">
        <v>2154</v>
      </c>
      <c r="D759" s="118" t="s">
        <v>455</v>
      </c>
      <c r="E759" s="118" t="s">
        <v>111</v>
      </c>
      <c r="F759" s="119">
        <v>84.726699999999994</v>
      </c>
      <c r="G759" s="119">
        <v>90.366699999999994</v>
      </c>
      <c r="H759" s="119">
        <v>17.07</v>
      </c>
      <c r="I759" s="116">
        <v>4536</v>
      </c>
      <c r="J759" s="118" t="s">
        <v>269</v>
      </c>
    </row>
    <row r="760" spans="1:10" x14ac:dyDescent="0.25">
      <c r="A760" s="116">
        <v>757</v>
      </c>
      <c r="B760" s="117" t="s">
        <v>171</v>
      </c>
      <c r="C760" s="118" t="s">
        <v>172</v>
      </c>
      <c r="D760" s="118" t="s">
        <v>455</v>
      </c>
      <c r="E760" s="118" t="s">
        <v>111</v>
      </c>
      <c r="F760" s="119">
        <v>99.025000000000006</v>
      </c>
      <c r="G760" s="119">
        <v>103.6083</v>
      </c>
      <c r="H760" s="119">
        <v>17.36</v>
      </c>
      <c r="I760" s="116">
        <v>30</v>
      </c>
      <c r="J760" s="118" t="s">
        <v>269</v>
      </c>
    </row>
    <row r="761" spans="1:10" x14ac:dyDescent="0.25">
      <c r="A761" s="116">
        <v>758</v>
      </c>
      <c r="B761" s="117" t="s">
        <v>173</v>
      </c>
      <c r="C761" s="118" t="s">
        <v>10</v>
      </c>
      <c r="D761" s="118" t="s">
        <v>455</v>
      </c>
      <c r="E761" s="118" t="s">
        <v>111</v>
      </c>
      <c r="F761" s="119">
        <v>67.495500000000007</v>
      </c>
      <c r="G761" s="119">
        <v>71.720500000000001</v>
      </c>
      <c r="H761" s="119">
        <v>17.059999999999999</v>
      </c>
      <c r="I761" s="116">
        <v>2340</v>
      </c>
      <c r="J761" s="118" t="s">
        <v>269</v>
      </c>
    </row>
    <row r="762" spans="1:10" x14ac:dyDescent="0.25">
      <c r="A762" s="116">
        <v>759</v>
      </c>
      <c r="B762" s="117" t="s">
        <v>174</v>
      </c>
      <c r="C762" s="118" t="s">
        <v>175</v>
      </c>
      <c r="D762" s="118" t="s">
        <v>455</v>
      </c>
      <c r="E762" s="118" t="s">
        <v>111</v>
      </c>
      <c r="F762" s="119">
        <v>68.953400000000002</v>
      </c>
      <c r="G762" s="119">
        <v>75.103399999999993</v>
      </c>
      <c r="H762" s="119">
        <v>17.059999999999999</v>
      </c>
      <c r="I762" s="116">
        <v>3384</v>
      </c>
      <c r="J762" s="118" t="s">
        <v>269</v>
      </c>
    </row>
    <row r="763" spans="1:10" x14ac:dyDescent="0.25">
      <c r="A763" s="116">
        <v>760</v>
      </c>
      <c r="B763" s="117" t="s">
        <v>176</v>
      </c>
      <c r="C763" s="118" t="s">
        <v>177</v>
      </c>
      <c r="D763" s="118" t="s">
        <v>455</v>
      </c>
      <c r="E763" s="118" t="s">
        <v>111</v>
      </c>
      <c r="F763" s="119">
        <v>98.833399999999997</v>
      </c>
      <c r="G763" s="119">
        <v>103.84229999999999</v>
      </c>
      <c r="H763" s="119">
        <v>17.239999999999998</v>
      </c>
      <c r="I763" s="116">
        <v>38</v>
      </c>
      <c r="J763" s="118" t="s">
        <v>269</v>
      </c>
    </row>
    <row r="764" spans="1:10" x14ac:dyDescent="0.25">
      <c r="A764" s="116">
        <v>761</v>
      </c>
      <c r="B764" s="117" t="s">
        <v>178</v>
      </c>
      <c r="C764" s="118" t="s">
        <v>179</v>
      </c>
      <c r="D764" s="118" t="s">
        <v>455</v>
      </c>
      <c r="E764" s="118" t="s">
        <v>111</v>
      </c>
      <c r="F764" s="119">
        <v>91.616500000000002</v>
      </c>
      <c r="G764" s="119">
        <v>92.502600000000001</v>
      </c>
      <c r="H764" s="119">
        <v>16.97</v>
      </c>
      <c r="I764" s="116">
        <v>302</v>
      </c>
      <c r="J764" s="118" t="s">
        <v>269</v>
      </c>
    </row>
    <row r="765" spans="1:10" x14ac:dyDescent="0.25">
      <c r="A765" s="116">
        <v>762</v>
      </c>
      <c r="B765" s="117" t="s">
        <v>180</v>
      </c>
      <c r="C765" s="118" t="s">
        <v>181</v>
      </c>
      <c r="D765" s="118" t="s">
        <v>455</v>
      </c>
      <c r="E765" s="118" t="s">
        <v>111</v>
      </c>
      <c r="F765" s="119">
        <v>88.740200000000002</v>
      </c>
      <c r="G765" s="119">
        <v>93.226299999999995</v>
      </c>
      <c r="H765" s="119">
        <v>17</v>
      </c>
      <c r="I765" s="116">
        <v>397</v>
      </c>
      <c r="J765" s="118" t="s">
        <v>269</v>
      </c>
    </row>
    <row r="766" spans="1:10" x14ac:dyDescent="0.25">
      <c r="A766" s="116">
        <v>763</v>
      </c>
      <c r="B766" s="117" t="s">
        <v>182</v>
      </c>
      <c r="C766" s="118" t="s">
        <v>5</v>
      </c>
      <c r="D766" s="118" t="s">
        <v>455</v>
      </c>
      <c r="E766" s="118" t="s">
        <v>111</v>
      </c>
      <c r="F766" s="119">
        <v>86.200699999999998</v>
      </c>
      <c r="G766" s="119">
        <v>89.235500000000002</v>
      </c>
      <c r="H766" s="119">
        <v>16.93</v>
      </c>
      <c r="I766" s="116">
        <v>521</v>
      </c>
      <c r="J766" s="118" t="s">
        <v>269</v>
      </c>
    </row>
    <row r="767" spans="1:10" x14ac:dyDescent="0.25">
      <c r="A767" s="116">
        <v>764</v>
      </c>
      <c r="B767" s="117" t="s">
        <v>183</v>
      </c>
      <c r="C767" s="118" t="s">
        <v>184</v>
      </c>
      <c r="D767" s="118" t="s">
        <v>455</v>
      </c>
      <c r="E767" s="118" t="s">
        <v>111</v>
      </c>
      <c r="F767" s="119">
        <v>82.335800000000006</v>
      </c>
      <c r="G767" s="119">
        <v>82.762799999999999</v>
      </c>
      <c r="H767" s="119">
        <v>17</v>
      </c>
      <c r="I767" s="116">
        <v>692</v>
      </c>
      <c r="J767" s="118" t="s">
        <v>269</v>
      </c>
    </row>
    <row r="768" spans="1:10" x14ac:dyDescent="0.25">
      <c r="A768" s="116">
        <v>765</v>
      </c>
      <c r="B768" s="117" t="s">
        <v>185</v>
      </c>
      <c r="C768" s="118" t="s">
        <v>186</v>
      </c>
      <c r="D768" s="118" t="s">
        <v>455</v>
      </c>
      <c r="E768" s="118" t="s">
        <v>111</v>
      </c>
      <c r="F768" s="119">
        <v>83.207499999999996</v>
      </c>
      <c r="G768" s="119">
        <v>89.563100000000006</v>
      </c>
      <c r="H768" s="119">
        <v>16.989999999999998</v>
      </c>
      <c r="I768" s="116">
        <v>728</v>
      </c>
      <c r="J768" s="118" t="s">
        <v>269</v>
      </c>
    </row>
    <row r="769" spans="1:10" x14ac:dyDescent="0.25">
      <c r="A769" s="116">
        <v>766</v>
      </c>
      <c r="B769" s="117" t="s">
        <v>187</v>
      </c>
      <c r="C769" s="118" t="s">
        <v>188</v>
      </c>
      <c r="D769" s="118" t="s">
        <v>455</v>
      </c>
      <c r="E769" s="118" t="s">
        <v>111</v>
      </c>
      <c r="F769" s="119">
        <v>77.424499999999995</v>
      </c>
      <c r="G769" s="119">
        <v>83.561499999999995</v>
      </c>
      <c r="H769" s="119">
        <v>17.03</v>
      </c>
      <c r="I769" s="116">
        <v>1134</v>
      </c>
      <c r="J769" s="118" t="s">
        <v>269</v>
      </c>
    </row>
    <row r="770" spans="1:10" x14ac:dyDescent="0.25">
      <c r="A770" s="116">
        <v>767</v>
      </c>
      <c r="B770" s="117" t="s">
        <v>189</v>
      </c>
      <c r="C770" s="118" t="s">
        <v>190</v>
      </c>
      <c r="D770" s="118" t="s">
        <v>455</v>
      </c>
      <c r="E770" s="118" t="s">
        <v>111</v>
      </c>
      <c r="F770" s="119">
        <v>75.092399999999998</v>
      </c>
      <c r="G770" s="119">
        <v>76.436400000000006</v>
      </c>
      <c r="H770" s="119">
        <v>17.03</v>
      </c>
      <c r="I770" s="116">
        <v>1377</v>
      </c>
      <c r="J770" s="118" t="s">
        <v>269</v>
      </c>
    </row>
    <row r="771" spans="1:10" x14ac:dyDescent="0.25">
      <c r="A771" s="116">
        <v>768</v>
      </c>
      <c r="B771" s="117" t="s">
        <v>191</v>
      </c>
      <c r="C771" s="118" t="s">
        <v>192</v>
      </c>
      <c r="D771" s="118" t="s">
        <v>455</v>
      </c>
      <c r="E771" s="118" t="s">
        <v>111</v>
      </c>
      <c r="F771" s="119">
        <v>72.816299999999998</v>
      </c>
      <c r="G771" s="119">
        <v>78.192300000000003</v>
      </c>
      <c r="H771" s="119">
        <v>17.059999999999999</v>
      </c>
      <c r="I771" s="116">
        <v>1548</v>
      </c>
      <c r="J771" s="118" t="s">
        <v>269</v>
      </c>
    </row>
    <row r="772" spans="1:10" x14ac:dyDescent="0.25">
      <c r="A772" s="116">
        <v>769</v>
      </c>
      <c r="B772" s="117" t="s">
        <v>193</v>
      </c>
      <c r="C772" s="118" t="s">
        <v>194</v>
      </c>
      <c r="D772" s="118" t="s">
        <v>455</v>
      </c>
      <c r="E772" s="118" t="s">
        <v>111</v>
      </c>
      <c r="F772" s="119">
        <v>65.763199999999998</v>
      </c>
      <c r="G772" s="119">
        <v>70.381900000000002</v>
      </c>
      <c r="H772" s="119">
        <v>17.07</v>
      </c>
      <c r="I772" s="116">
        <v>2688</v>
      </c>
      <c r="J772" s="118" t="s">
        <v>269</v>
      </c>
    </row>
    <row r="773" spans="1:10" x14ac:dyDescent="0.25">
      <c r="A773" s="116">
        <v>770</v>
      </c>
      <c r="B773" s="117" t="s">
        <v>195</v>
      </c>
      <c r="C773" s="118" t="s">
        <v>196</v>
      </c>
      <c r="D773" s="118" t="s">
        <v>455</v>
      </c>
      <c r="E773" s="118" t="s">
        <v>111</v>
      </c>
      <c r="F773" s="119">
        <v>64.834599999999995</v>
      </c>
      <c r="G773" s="119">
        <v>68.900099999999995</v>
      </c>
      <c r="H773" s="119">
        <v>17.059999999999999</v>
      </c>
      <c r="I773" s="116">
        <v>2707</v>
      </c>
      <c r="J773" s="118" t="s">
        <v>269</v>
      </c>
    </row>
    <row r="774" spans="1:10" x14ac:dyDescent="0.25">
      <c r="A774" s="116">
        <v>771</v>
      </c>
      <c r="B774" s="117" t="s">
        <v>197</v>
      </c>
      <c r="C774" s="118" t="s">
        <v>198</v>
      </c>
      <c r="D774" s="118" t="s">
        <v>455</v>
      </c>
      <c r="E774" s="118" t="s">
        <v>111</v>
      </c>
      <c r="F774" s="119">
        <v>69.686800000000005</v>
      </c>
      <c r="G774" s="119">
        <v>71.213999999999999</v>
      </c>
      <c r="H774" s="119">
        <v>17.079999999999998</v>
      </c>
      <c r="I774" s="116">
        <v>3909</v>
      </c>
      <c r="J774" s="118" t="s">
        <v>269</v>
      </c>
    </row>
    <row r="775" spans="1:10" x14ac:dyDescent="0.25">
      <c r="A775" s="116">
        <v>772</v>
      </c>
      <c r="B775" s="117" t="s">
        <v>199</v>
      </c>
      <c r="C775" s="118" t="s">
        <v>200</v>
      </c>
      <c r="D775" s="118" t="s">
        <v>455</v>
      </c>
      <c r="E775" s="118" t="s">
        <v>111</v>
      </c>
      <c r="F775" s="119">
        <v>70.464600000000004</v>
      </c>
      <c r="G775" s="119">
        <v>78.383799999999994</v>
      </c>
      <c r="H775" s="119">
        <v>17.079999999999998</v>
      </c>
      <c r="I775" s="116">
        <v>4062</v>
      </c>
      <c r="J775" s="118" t="s">
        <v>269</v>
      </c>
    </row>
    <row r="776" spans="1:10" x14ac:dyDescent="0.25">
      <c r="A776" s="116">
        <v>773</v>
      </c>
      <c r="B776" s="117" t="s">
        <v>201</v>
      </c>
      <c r="C776" s="118" t="s">
        <v>202</v>
      </c>
      <c r="D776" s="118" t="s">
        <v>455</v>
      </c>
      <c r="E776" s="118" t="s">
        <v>111</v>
      </c>
      <c r="F776" s="119">
        <v>81.401700000000005</v>
      </c>
      <c r="G776" s="119">
        <v>86.657499999999999</v>
      </c>
      <c r="H776" s="119">
        <v>16.989999999999998</v>
      </c>
      <c r="I776" s="116">
        <v>723</v>
      </c>
      <c r="J776" s="118" t="s">
        <v>269</v>
      </c>
    </row>
    <row r="777" spans="1:10" x14ac:dyDescent="0.25">
      <c r="A777" s="116">
        <v>774</v>
      </c>
      <c r="B777" s="117" t="s">
        <v>203</v>
      </c>
      <c r="C777" s="118" t="s">
        <v>204</v>
      </c>
      <c r="D777" s="118" t="s">
        <v>455</v>
      </c>
      <c r="E777" s="118" t="s">
        <v>111</v>
      </c>
      <c r="F777" s="119">
        <v>76.935900000000004</v>
      </c>
      <c r="G777" s="119">
        <v>79.408100000000005</v>
      </c>
      <c r="H777" s="119">
        <v>17.010000000000002</v>
      </c>
      <c r="I777" s="116">
        <v>902</v>
      </c>
      <c r="J777" s="118" t="s">
        <v>269</v>
      </c>
    </row>
    <row r="778" spans="1:10" x14ac:dyDescent="0.25">
      <c r="A778" s="116">
        <v>775</v>
      </c>
      <c r="B778" s="117" t="s">
        <v>205</v>
      </c>
      <c r="C778" s="118" t="s">
        <v>206</v>
      </c>
      <c r="D778" s="118" t="s">
        <v>455</v>
      </c>
      <c r="E778" s="118" t="s">
        <v>111</v>
      </c>
      <c r="F778" s="119">
        <v>74.992199999999997</v>
      </c>
      <c r="G778" s="119">
        <v>75.389399999999995</v>
      </c>
      <c r="H778" s="119">
        <v>17.03</v>
      </c>
      <c r="I778" s="116">
        <v>1054</v>
      </c>
      <c r="J778" s="118" t="s">
        <v>269</v>
      </c>
    </row>
    <row r="779" spans="1:10" x14ac:dyDescent="0.25">
      <c r="A779" s="116">
        <v>776</v>
      </c>
      <c r="B779" s="117" t="s">
        <v>207</v>
      </c>
      <c r="C779" s="118" t="s">
        <v>208</v>
      </c>
      <c r="D779" s="118" t="s">
        <v>455</v>
      </c>
      <c r="E779" s="118" t="s">
        <v>111</v>
      </c>
      <c r="F779" s="119">
        <v>58.750300000000003</v>
      </c>
      <c r="G779" s="119">
        <v>60.540500000000002</v>
      </c>
      <c r="H779" s="119">
        <v>17.07</v>
      </c>
      <c r="I779" s="116">
        <v>3884</v>
      </c>
      <c r="J779" s="118" t="s">
        <v>269</v>
      </c>
    </row>
    <row r="780" spans="1:10" x14ac:dyDescent="0.25">
      <c r="A780" s="116">
        <v>777</v>
      </c>
      <c r="B780" s="117" t="s">
        <v>209</v>
      </c>
      <c r="C780" s="118" t="s">
        <v>210</v>
      </c>
      <c r="D780" s="118" t="s">
        <v>455</v>
      </c>
      <c r="E780" s="118" t="s">
        <v>111</v>
      </c>
      <c r="F780" s="119">
        <v>58.981099999999998</v>
      </c>
      <c r="G780" s="119">
        <v>64.901899999999998</v>
      </c>
      <c r="H780" s="119">
        <v>17.09</v>
      </c>
      <c r="I780" s="116">
        <v>4075</v>
      </c>
      <c r="J780" s="118" t="s">
        <v>269</v>
      </c>
    </row>
    <row r="781" spans="1:10" x14ac:dyDescent="0.25">
      <c r="A781" s="116">
        <v>778</v>
      </c>
      <c r="B781" s="117" t="s">
        <v>211</v>
      </c>
      <c r="C781" s="118" t="s">
        <v>212</v>
      </c>
      <c r="D781" s="118" t="s">
        <v>455</v>
      </c>
      <c r="E781" s="118" t="s">
        <v>111</v>
      </c>
      <c r="F781" s="119">
        <v>56.381900000000002</v>
      </c>
      <c r="G781" s="119">
        <v>59.009700000000002</v>
      </c>
      <c r="H781" s="119">
        <v>17.059999999999999</v>
      </c>
      <c r="I781" s="116">
        <v>2348</v>
      </c>
      <c r="J781" s="118" t="s">
        <v>269</v>
      </c>
    </row>
    <row r="782" spans="1:10" x14ac:dyDescent="0.25">
      <c r="A782" s="116">
        <v>779</v>
      </c>
      <c r="B782" s="117" t="s">
        <v>213</v>
      </c>
      <c r="C782" s="118" t="s">
        <v>12</v>
      </c>
      <c r="D782" s="118" t="s">
        <v>455</v>
      </c>
      <c r="E782" s="118" t="s">
        <v>111</v>
      </c>
      <c r="F782" s="119">
        <v>60.789299999999997</v>
      </c>
      <c r="G782" s="119">
        <v>64.241500000000002</v>
      </c>
      <c r="H782" s="119">
        <v>17.07</v>
      </c>
      <c r="I782" s="116">
        <v>3086</v>
      </c>
      <c r="J782" s="118" t="s">
        <v>269</v>
      </c>
    </row>
    <row r="783" spans="1:10" x14ac:dyDescent="0.25">
      <c r="A783" s="116">
        <v>780</v>
      </c>
      <c r="B783" s="117" t="s">
        <v>214</v>
      </c>
      <c r="C783" s="118" t="s">
        <v>13</v>
      </c>
      <c r="D783" s="118" t="s">
        <v>455</v>
      </c>
      <c r="E783" s="118" t="s">
        <v>111</v>
      </c>
      <c r="F783" s="119">
        <v>59.316600000000001</v>
      </c>
      <c r="G783" s="119">
        <v>65.077699999999993</v>
      </c>
      <c r="H783" s="119">
        <v>17.079999999999998</v>
      </c>
      <c r="I783" s="116">
        <v>3343</v>
      </c>
      <c r="J783" s="118" t="s">
        <v>269</v>
      </c>
    </row>
    <row r="784" spans="1:10" x14ac:dyDescent="0.25">
      <c r="A784" s="116">
        <v>781</v>
      </c>
      <c r="B784" s="117" t="s">
        <v>215</v>
      </c>
      <c r="C784" s="118" t="s">
        <v>216</v>
      </c>
      <c r="D784" s="118" t="s">
        <v>455</v>
      </c>
      <c r="E784" s="118" t="s">
        <v>111</v>
      </c>
      <c r="F784" s="119">
        <v>52.878</v>
      </c>
      <c r="G784" s="119">
        <v>59.373600000000003</v>
      </c>
      <c r="H784" s="119">
        <v>17.079999999999998</v>
      </c>
      <c r="I784" s="116">
        <v>4744</v>
      </c>
      <c r="J784" s="118" t="s">
        <v>269</v>
      </c>
    </row>
    <row r="785" spans="1:10" x14ac:dyDescent="0.25">
      <c r="A785" s="116">
        <v>782</v>
      </c>
      <c r="B785" s="117" t="s">
        <v>217</v>
      </c>
      <c r="C785" s="118" t="s">
        <v>218</v>
      </c>
      <c r="D785" s="118" t="s">
        <v>455</v>
      </c>
      <c r="E785" s="118" t="s">
        <v>111</v>
      </c>
      <c r="F785" s="119">
        <v>54.610100000000003</v>
      </c>
      <c r="G785" s="119">
        <v>56.488900000000001</v>
      </c>
      <c r="H785" s="119">
        <v>17.079999999999998</v>
      </c>
      <c r="I785" s="116">
        <v>4959</v>
      </c>
      <c r="J785" s="118" t="s">
        <v>269</v>
      </c>
    </row>
    <row r="786" spans="1:10" x14ac:dyDescent="0.25">
      <c r="A786" s="116">
        <v>783</v>
      </c>
      <c r="B786" s="117" t="s">
        <v>219</v>
      </c>
      <c r="C786" s="118" t="s">
        <v>220</v>
      </c>
      <c r="D786" s="118" t="s">
        <v>455</v>
      </c>
      <c r="E786" s="118" t="s">
        <v>111</v>
      </c>
      <c r="F786" s="119">
        <v>54.110500000000002</v>
      </c>
      <c r="G786" s="119">
        <v>59.457999999999998</v>
      </c>
      <c r="H786" s="119">
        <v>17.09</v>
      </c>
      <c r="I786" s="116">
        <v>5170</v>
      </c>
      <c r="J786" s="118" t="s">
        <v>269</v>
      </c>
    </row>
    <row r="787" spans="1:10" x14ac:dyDescent="0.25">
      <c r="A787" s="116">
        <v>784</v>
      </c>
      <c r="B787" s="117" t="s">
        <v>221</v>
      </c>
      <c r="C787" s="118" t="s">
        <v>222</v>
      </c>
      <c r="D787" s="118" t="s">
        <v>455</v>
      </c>
      <c r="E787" s="118" t="s">
        <v>111</v>
      </c>
      <c r="F787" s="119">
        <v>53.073799999999999</v>
      </c>
      <c r="G787" s="119">
        <v>53.554400000000001</v>
      </c>
      <c r="H787" s="119">
        <v>17.09</v>
      </c>
      <c r="I787" s="116">
        <v>6820</v>
      </c>
      <c r="J787" s="118" t="s">
        <v>269</v>
      </c>
    </row>
    <row r="788" spans="1:10" x14ac:dyDescent="0.25">
      <c r="A788" s="116">
        <v>785</v>
      </c>
      <c r="B788" s="117" t="s">
        <v>2052</v>
      </c>
      <c r="C788" s="118" t="s">
        <v>2053</v>
      </c>
      <c r="D788" s="118" t="s">
        <v>455</v>
      </c>
      <c r="E788" s="118" t="s">
        <v>111</v>
      </c>
      <c r="F788" s="119">
        <v>99.721999999999994</v>
      </c>
      <c r="G788" s="119">
        <v>99.721999999999994</v>
      </c>
      <c r="H788" s="119">
        <v>15.515000000000001</v>
      </c>
      <c r="I788" s="116">
        <v>1964</v>
      </c>
      <c r="J788" s="118" t="s">
        <v>269</v>
      </c>
    </row>
    <row r="789" spans="1:10" x14ac:dyDescent="0.25">
      <c r="A789" s="116">
        <v>786</v>
      </c>
      <c r="B789" s="117" t="s">
        <v>1469</v>
      </c>
      <c r="C789" s="118" t="s">
        <v>1470</v>
      </c>
      <c r="D789" s="118" t="s">
        <v>445</v>
      </c>
      <c r="E789" s="118" t="s">
        <v>2593</v>
      </c>
      <c r="F789" s="119">
        <v>102802.70370000001</v>
      </c>
      <c r="G789" s="119">
        <v>102802.70370000001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1473</v>
      </c>
      <c r="F790" s="119">
        <v>491.33399535000007</v>
      </c>
      <c r="G790" s="119">
        <v>491.33399535000007</v>
      </c>
      <c r="H790" s="119">
        <v>0</v>
      </c>
      <c r="I790" s="116">
        <v>1992</v>
      </c>
      <c r="J790" s="118" t="s">
        <v>238</v>
      </c>
    </row>
    <row r="791" spans="1:10" x14ac:dyDescent="0.25">
      <c r="A791" s="116">
        <v>788</v>
      </c>
      <c r="B791" s="117" t="s">
        <v>1317</v>
      </c>
      <c r="C791" s="118" t="s">
        <v>1318</v>
      </c>
      <c r="D791" s="118" t="s">
        <v>445</v>
      </c>
      <c r="E791" s="118" t="s">
        <v>1319</v>
      </c>
      <c r="F791" s="119">
        <v>9695.1661500000009</v>
      </c>
      <c r="G791" s="119">
        <v>9695.1661500000009</v>
      </c>
      <c r="H791" s="119">
        <v>0</v>
      </c>
      <c r="I791" s="116">
        <v>0</v>
      </c>
      <c r="J791" s="118" t="s">
        <v>238</v>
      </c>
    </row>
    <row r="792" spans="1:10" x14ac:dyDescent="0.25">
      <c r="A792" s="116">
        <v>789</v>
      </c>
      <c r="B792" s="117" t="s">
        <v>223</v>
      </c>
      <c r="C792" s="118" t="s">
        <v>224</v>
      </c>
      <c r="D792" s="118" t="s">
        <v>455</v>
      </c>
      <c r="E792" s="118" t="s">
        <v>225</v>
      </c>
      <c r="F792" s="119">
        <v>81.019021056810317</v>
      </c>
      <c r="G792" s="119">
        <v>84.619021056810311</v>
      </c>
      <c r="H792" s="119">
        <v>19.399999999999999</v>
      </c>
      <c r="I792" s="116">
        <v>1332</v>
      </c>
      <c r="J792" s="118" t="s">
        <v>269</v>
      </c>
    </row>
    <row r="793" spans="1:10" x14ac:dyDescent="0.25">
      <c r="A793" s="116">
        <v>790</v>
      </c>
      <c r="B793" s="117" t="s">
        <v>226</v>
      </c>
      <c r="C793" s="118" t="s">
        <v>227</v>
      </c>
      <c r="D793" s="118" t="s">
        <v>455</v>
      </c>
      <c r="E793" s="118" t="s">
        <v>225</v>
      </c>
      <c r="F793" s="119">
        <v>99.767600000000002</v>
      </c>
      <c r="G793" s="119">
        <v>100.0245</v>
      </c>
      <c r="H793" s="119">
        <v>19</v>
      </c>
      <c r="I793" s="116">
        <v>175</v>
      </c>
      <c r="J793" s="118" t="s">
        <v>269</v>
      </c>
    </row>
    <row r="794" spans="1:10" x14ac:dyDescent="0.25">
      <c r="A794" s="116">
        <v>791</v>
      </c>
      <c r="B794" s="117" t="s">
        <v>1979</v>
      </c>
      <c r="C794" s="118" t="s">
        <v>1980</v>
      </c>
      <c r="D794" s="118" t="s">
        <v>455</v>
      </c>
      <c r="E794" s="118" t="s">
        <v>225</v>
      </c>
      <c r="F794" s="119">
        <v>99.793142519358355</v>
      </c>
      <c r="G794" s="119">
        <v>102.02374251935835</v>
      </c>
      <c r="H794" s="119">
        <v>11.6</v>
      </c>
      <c r="I794" s="116">
        <v>107</v>
      </c>
      <c r="J794" s="118" t="s">
        <v>269</v>
      </c>
    </row>
    <row r="795" spans="1:10" x14ac:dyDescent="0.25">
      <c r="A795" s="116">
        <v>792</v>
      </c>
      <c r="B795" s="117" t="s">
        <v>2094</v>
      </c>
      <c r="C795" s="118" t="s">
        <v>2095</v>
      </c>
      <c r="D795" s="118" t="s">
        <v>455</v>
      </c>
      <c r="E795" s="118" t="s">
        <v>225</v>
      </c>
      <c r="F795" s="119">
        <v>99.839379934830887</v>
      </c>
      <c r="G795" s="119">
        <v>104.26997993483089</v>
      </c>
      <c r="H795" s="119">
        <v>11.24</v>
      </c>
      <c r="I795" s="116">
        <v>215</v>
      </c>
      <c r="J795" s="118" t="s">
        <v>269</v>
      </c>
    </row>
    <row r="796" spans="1:10" x14ac:dyDescent="0.25">
      <c r="A796" s="116">
        <v>793</v>
      </c>
      <c r="B796" s="117" t="s">
        <v>2426</v>
      </c>
      <c r="C796" s="118" t="s">
        <v>2427</v>
      </c>
      <c r="D796" s="118" t="s">
        <v>455</v>
      </c>
      <c r="E796" s="118" t="s">
        <v>225</v>
      </c>
      <c r="F796" s="119">
        <v>99.980150226040394</v>
      </c>
      <c r="G796" s="119">
        <v>100.89685022604039</v>
      </c>
      <c r="H796" s="119">
        <v>11</v>
      </c>
      <c r="I796" s="116">
        <v>330</v>
      </c>
      <c r="J796" s="118" t="s">
        <v>269</v>
      </c>
    </row>
    <row r="797" spans="1:10" x14ac:dyDescent="0.25">
      <c r="A797" s="116">
        <v>794</v>
      </c>
      <c r="B797" s="117" t="s">
        <v>1474</v>
      </c>
      <c r="C797" s="118" t="s">
        <v>1475</v>
      </c>
      <c r="D797" s="118" t="s">
        <v>455</v>
      </c>
      <c r="E797" s="118" t="s">
        <v>225</v>
      </c>
      <c r="F797" s="119">
        <v>99.816071560705197</v>
      </c>
      <c r="G797" s="119">
        <v>103.5493715607052</v>
      </c>
      <c r="H797" s="119">
        <v>11.6</v>
      </c>
      <c r="I797" s="116">
        <v>52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97.041339035934911</v>
      </c>
      <c r="G798" s="119">
        <v>100.31913903593492</v>
      </c>
      <c r="H798" s="119">
        <v>10.99</v>
      </c>
      <c r="I798" s="116">
        <v>1322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445</v>
      </c>
      <c r="E799" s="118" t="s">
        <v>1480</v>
      </c>
      <c r="F799" s="119">
        <v>50032.876050000006</v>
      </c>
      <c r="G799" s="119">
        <v>50032.876050000006</v>
      </c>
      <c r="H799" s="119">
        <v>0</v>
      </c>
      <c r="I799" s="116">
        <v>0</v>
      </c>
      <c r="J799" s="118" t="s">
        <v>238</v>
      </c>
    </row>
    <row r="800" spans="1:10" x14ac:dyDescent="0.25">
      <c r="A800" s="116">
        <v>797</v>
      </c>
      <c r="B800" s="117" t="s">
        <v>1481</v>
      </c>
      <c r="C800" s="118" t="s">
        <v>1482</v>
      </c>
      <c r="D800" s="118" t="s">
        <v>445</v>
      </c>
      <c r="E800" s="118" t="s">
        <v>2594</v>
      </c>
      <c r="F800" s="119">
        <v>653730.04875000007</v>
      </c>
      <c r="G800" s="119">
        <v>653730.04875000007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1964</v>
      </c>
      <c r="C801" s="118" t="s">
        <v>1965</v>
      </c>
      <c r="D801" s="118" t="s">
        <v>455</v>
      </c>
      <c r="E801" s="118" t="s">
        <v>1966</v>
      </c>
      <c r="F801" s="119">
        <v>92.237785848176614</v>
      </c>
      <c r="G801" s="119">
        <v>97.990585848176607</v>
      </c>
      <c r="H801" s="119">
        <v>23.65</v>
      </c>
      <c r="I801" s="116">
        <v>791</v>
      </c>
      <c r="J801" s="118" t="s">
        <v>269</v>
      </c>
    </row>
    <row r="802" spans="1:10" x14ac:dyDescent="0.25">
      <c r="A802" s="116">
        <v>799</v>
      </c>
      <c r="B802" s="117" t="s">
        <v>1483</v>
      </c>
      <c r="C802" s="118" t="s">
        <v>1484</v>
      </c>
      <c r="D802" s="118" t="s">
        <v>445</v>
      </c>
      <c r="E802" s="118" t="s">
        <v>2595</v>
      </c>
      <c r="F802" s="119">
        <v>37140.109950000005</v>
      </c>
      <c r="G802" s="119">
        <v>37140.109950000005</v>
      </c>
      <c r="H802" s="119">
        <v>0</v>
      </c>
      <c r="I802" s="116">
        <v>0</v>
      </c>
      <c r="J802" s="118" t="s">
        <v>238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1487</v>
      </c>
      <c r="F803" s="119">
        <v>6751.38</v>
      </c>
      <c r="G803" s="119">
        <v>6751.38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1488</v>
      </c>
      <c r="C804" s="118" t="s">
        <v>1489</v>
      </c>
      <c r="D804" s="118" t="s">
        <v>445</v>
      </c>
      <c r="E804" s="118" t="s">
        <v>1487</v>
      </c>
      <c r="F804" s="119">
        <v>88.363100000000003</v>
      </c>
      <c r="G804" s="119">
        <v>88.363100000000003</v>
      </c>
      <c r="H804" s="119">
        <v>0</v>
      </c>
      <c r="I804" s="116">
        <v>821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1487</v>
      </c>
      <c r="F805" s="119">
        <v>0.01</v>
      </c>
      <c r="G805" s="119">
        <v>0.01</v>
      </c>
      <c r="H805" s="119">
        <v>0</v>
      </c>
      <c r="I805" s="116">
        <v>0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1487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455</v>
      </c>
      <c r="E807" s="118" t="s">
        <v>1487</v>
      </c>
      <c r="F807" s="119">
        <v>97.37682469172465</v>
      </c>
      <c r="G807" s="119">
        <v>98.867224691724644</v>
      </c>
      <c r="H807" s="119">
        <v>18.59</v>
      </c>
      <c r="I807" s="116">
        <v>131</v>
      </c>
      <c r="J807" s="118" t="s">
        <v>269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1487</v>
      </c>
      <c r="F808" s="119">
        <v>35.37000247503363</v>
      </c>
      <c r="G808" s="119">
        <v>37.225602475033625</v>
      </c>
      <c r="H808" s="119">
        <v>19.3</v>
      </c>
      <c r="I808" s="116">
        <v>3433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445</v>
      </c>
      <c r="E809" s="118" t="s">
        <v>1487</v>
      </c>
      <c r="F809" s="119">
        <v>11898.67</v>
      </c>
      <c r="G809" s="119">
        <v>11898.67</v>
      </c>
      <c r="H809" s="119">
        <v>0</v>
      </c>
      <c r="I809" s="116">
        <v>0</v>
      </c>
      <c r="J809" s="118" t="s">
        <v>238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455</v>
      </c>
      <c r="E810" s="118" t="s">
        <v>655</v>
      </c>
      <c r="F810" s="119">
        <v>100</v>
      </c>
      <c r="G810" s="119">
        <v>106.8831</v>
      </c>
      <c r="H810" s="119">
        <v>7.08</v>
      </c>
      <c r="I810" s="116">
        <v>2141</v>
      </c>
      <c r="J810" s="118" t="s">
        <v>269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101.0506</v>
      </c>
      <c r="H811" s="119">
        <v>6.08</v>
      </c>
      <c r="I811" s="116">
        <v>2068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105.9983</v>
      </c>
      <c r="H812" s="119">
        <v>6.09</v>
      </c>
      <c r="I812" s="116">
        <v>2496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105.9983</v>
      </c>
      <c r="H813" s="119">
        <v>6.09</v>
      </c>
      <c r="I813" s="116">
        <v>2496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104.8631</v>
      </c>
      <c r="H814" s="119">
        <v>6.08</v>
      </c>
      <c r="I814" s="116">
        <v>2563</v>
      </c>
      <c r="J814" s="118" t="s">
        <v>269</v>
      </c>
    </row>
    <row r="815" spans="1:10" x14ac:dyDescent="0.25">
      <c r="A815" s="116">
        <v>812</v>
      </c>
      <c r="B815" s="117" t="s">
        <v>2596</v>
      </c>
      <c r="C815" s="118" t="s">
        <v>2582</v>
      </c>
      <c r="D815" s="118" t="s">
        <v>455</v>
      </c>
      <c r="E815" s="118" t="s">
        <v>228</v>
      </c>
      <c r="F815" s="119">
        <v>98.844499999999996</v>
      </c>
      <c r="G815" s="119">
        <v>98.844499999999996</v>
      </c>
      <c r="H815" s="119">
        <v>15.8</v>
      </c>
      <c r="I815" s="116">
        <v>27</v>
      </c>
      <c r="J815" s="118" t="s">
        <v>269</v>
      </c>
    </row>
    <row r="816" spans="1:10" x14ac:dyDescent="0.25">
      <c r="A816" s="116">
        <v>813</v>
      </c>
      <c r="B816" s="117" t="s">
        <v>1510</v>
      </c>
      <c r="C816" s="118" t="s">
        <v>1511</v>
      </c>
      <c r="D816" s="118" t="s">
        <v>445</v>
      </c>
      <c r="E816" s="118" t="s">
        <v>1512</v>
      </c>
      <c r="F816" s="119">
        <v>98298.586500000019</v>
      </c>
      <c r="G816" s="119">
        <v>98298.586500000019</v>
      </c>
      <c r="H816" s="119">
        <v>0</v>
      </c>
      <c r="I816" s="116">
        <v>0</v>
      </c>
      <c r="J816" s="118" t="s">
        <v>238</v>
      </c>
    </row>
    <row r="817" spans="1:10" x14ac:dyDescent="0.25">
      <c r="A817" s="116">
        <v>814</v>
      </c>
      <c r="B817" s="117" t="s">
        <v>1513</v>
      </c>
      <c r="C817" s="118" t="s">
        <v>1514</v>
      </c>
      <c r="D817" s="118" t="s">
        <v>455</v>
      </c>
      <c r="E817" s="118" t="s">
        <v>1515</v>
      </c>
      <c r="F817" s="119">
        <v>101.47652669191032</v>
      </c>
      <c r="G817" s="119">
        <v>105.62652669191033</v>
      </c>
      <c r="H817" s="119">
        <v>5.71</v>
      </c>
      <c r="I817" s="116">
        <v>2271</v>
      </c>
      <c r="J817" s="118" t="s">
        <v>269</v>
      </c>
    </row>
    <row r="818" spans="1:10" x14ac:dyDescent="0.25">
      <c r="A818" s="116">
        <v>815</v>
      </c>
      <c r="B818" s="117" t="s">
        <v>1516</v>
      </c>
      <c r="C818" s="118" t="s">
        <v>1517</v>
      </c>
      <c r="D818" s="118" t="s">
        <v>455</v>
      </c>
      <c r="E818" s="118" t="s">
        <v>1518</v>
      </c>
      <c r="F818" s="119">
        <v>105.46899999999999</v>
      </c>
      <c r="G818" s="119">
        <v>106.71899999999999</v>
      </c>
      <c r="H818" s="119">
        <v>4.42</v>
      </c>
      <c r="I818" s="116">
        <v>1365</v>
      </c>
      <c r="J818" s="118" t="s">
        <v>269</v>
      </c>
    </row>
    <row r="819" spans="1:10" x14ac:dyDescent="0.25">
      <c r="A819" s="116">
        <v>816</v>
      </c>
      <c r="B819" s="117" t="s">
        <v>1946</v>
      </c>
      <c r="C819" s="118" t="s">
        <v>1947</v>
      </c>
      <c r="D819" s="118" t="s">
        <v>455</v>
      </c>
      <c r="E819" s="118" t="s">
        <v>437</v>
      </c>
      <c r="F819" s="119">
        <v>100.06991913609727</v>
      </c>
      <c r="G819" s="119">
        <v>100.28661913609727</v>
      </c>
      <c r="H819" s="119">
        <v>19.03</v>
      </c>
      <c r="I819" s="116">
        <v>56</v>
      </c>
      <c r="J819" s="118" t="s">
        <v>269</v>
      </c>
    </row>
    <row r="820" spans="1:10" x14ac:dyDescent="0.25">
      <c r="A820" s="116">
        <v>817</v>
      </c>
      <c r="B820" s="117" t="s">
        <v>2027</v>
      </c>
      <c r="C820" s="118" t="s">
        <v>2028</v>
      </c>
      <c r="D820" s="118" t="s">
        <v>455</v>
      </c>
      <c r="E820" s="118" t="s">
        <v>437</v>
      </c>
      <c r="F820" s="119">
        <v>100.42464434329355</v>
      </c>
      <c r="G820" s="119">
        <v>101.09134434329354</v>
      </c>
      <c r="H820" s="119">
        <v>18.829999999999998</v>
      </c>
      <c r="I820" s="116">
        <v>138</v>
      </c>
      <c r="J820" s="118" t="s">
        <v>269</v>
      </c>
    </row>
    <row r="821" spans="1:10" x14ac:dyDescent="0.25">
      <c r="A821" s="116">
        <v>818</v>
      </c>
      <c r="B821" s="117" t="s">
        <v>2090</v>
      </c>
      <c r="C821" s="118" t="s">
        <v>2091</v>
      </c>
      <c r="D821" s="118" t="s">
        <v>455</v>
      </c>
      <c r="E821" s="118" t="s">
        <v>437</v>
      </c>
      <c r="F821" s="119">
        <v>100.53917061286114</v>
      </c>
      <c r="G821" s="119">
        <v>101.87247061286114</v>
      </c>
      <c r="H821" s="119">
        <v>18.89</v>
      </c>
      <c r="I821" s="116">
        <v>186</v>
      </c>
      <c r="J821" s="118" t="s">
        <v>269</v>
      </c>
    </row>
    <row r="822" spans="1:10" x14ac:dyDescent="0.25">
      <c r="A822" s="116">
        <v>819</v>
      </c>
      <c r="B822" s="117" t="s">
        <v>1948</v>
      </c>
      <c r="C822" s="118" t="s">
        <v>1949</v>
      </c>
      <c r="D822" s="118" t="s">
        <v>445</v>
      </c>
      <c r="E822" s="118" t="s">
        <v>1950</v>
      </c>
      <c r="F822" s="119">
        <v>165755.28435000003</v>
      </c>
      <c r="G822" s="119">
        <v>165755.28435000003</v>
      </c>
      <c r="H822" s="119">
        <v>0</v>
      </c>
      <c r="I822" s="116">
        <v>0</v>
      </c>
      <c r="J822" s="118" t="s">
        <v>238</v>
      </c>
    </row>
    <row r="823" spans="1:10" x14ac:dyDescent="0.25">
      <c r="A823" s="116">
        <v>820</v>
      </c>
      <c r="B823" s="117" t="s">
        <v>1519</v>
      </c>
      <c r="C823" s="118" t="s">
        <v>1520</v>
      </c>
      <c r="D823" s="118" t="s">
        <v>455</v>
      </c>
      <c r="E823" s="118" t="s">
        <v>1521</v>
      </c>
      <c r="F823" s="119">
        <v>85.787198602054673</v>
      </c>
      <c r="G823" s="119">
        <v>96.430298602054677</v>
      </c>
      <c r="H823" s="119">
        <v>23.77</v>
      </c>
      <c r="I823" s="116">
        <v>3109</v>
      </c>
      <c r="J823" s="118" t="s">
        <v>269</v>
      </c>
    </row>
    <row r="824" spans="1:10" x14ac:dyDescent="0.25">
      <c r="A824" s="116">
        <v>821</v>
      </c>
      <c r="B824" s="117" t="s">
        <v>1522</v>
      </c>
      <c r="C824" s="118" t="s">
        <v>1523</v>
      </c>
      <c r="D824" s="118" t="s">
        <v>455</v>
      </c>
      <c r="E824" s="118" t="s">
        <v>1524</v>
      </c>
      <c r="F824" s="119">
        <v>95.643022764410119</v>
      </c>
      <c r="G824" s="119">
        <v>98.209722764410117</v>
      </c>
      <c r="H824" s="119">
        <v>16.8</v>
      </c>
      <c r="I824" s="116">
        <v>272</v>
      </c>
      <c r="J824" s="118" t="s">
        <v>269</v>
      </c>
    </row>
    <row r="825" spans="1:10" x14ac:dyDescent="0.25">
      <c r="A825" s="116">
        <v>822</v>
      </c>
      <c r="B825" s="117" t="s">
        <v>1525</v>
      </c>
      <c r="C825" s="118" t="s">
        <v>1526</v>
      </c>
      <c r="D825" s="118" t="s">
        <v>455</v>
      </c>
      <c r="E825" s="118" t="s">
        <v>1524</v>
      </c>
      <c r="F825" s="119">
        <v>89.458077515747732</v>
      </c>
      <c r="G825" s="119">
        <v>94.387277515747726</v>
      </c>
      <c r="H825" s="119">
        <v>16.84</v>
      </c>
      <c r="I825" s="116">
        <v>731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445</v>
      </c>
      <c r="E826" s="118" t="s">
        <v>1529</v>
      </c>
      <c r="F826" s="119">
        <v>22851.929550000004</v>
      </c>
      <c r="G826" s="119">
        <v>22851.929550000004</v>
      </c>
      <c r="H826" s="119">
        <v>0</v>
      </c>
      <c r="I826" s="116">
        <v>0</v>
      </c>
      <c r="J826" s="118" t="s">
        <v>238</v>
      </c>
    </row>
    <row r="827" spans="1:10" x14ac:dyDescent="0.25">
      <c r="A827" s="116">
        <v>824</v>
      </c>
      <c r="B827" s="117" t="s">
        <v>1530</v>
      </c>
      <c r="C827" s="118" t="s">
        <v>1531</v>
      </c>
      <c r="D827" s="118" t="s">
        <v>455</v>
      </c>
      <c r="E827" s="118" t="s">
        <v>1532</v>
      </c>
      <c r="F827" s="119">
        <v>100</v>
      </c>
      <c r="G827" s="119">
        <v>101.11109999999999</v>
      </c>
      <c r="H827" s="119">
        <v>9.9700000000000006</v>
      </c>
      <c r="I827" s="116">
        <v>320</v>
      </c>
      <c r="J827" s="118" t="s">
        <v>269</v>
      </c>
    </row>
    <row r="828" spans="1:10" x14ac:dyDescent="0.25">
      <c r="A828" s="116">
        <v>825</v>
      </c>
      <c r="B828" s="117" t="s">
        <v>1533</v>
      </c>
      <c r="C828" s="118" t="s">
        <v>1534</v>
      </c>
      <c r="D828" s="118" t="s">
        <v>455</v>
      </c>
      <c r="E828" s="118" t="s">
        <v>1535</v>
      </c>
      <c r="F828" s="119">
        <v>100.58799999999999</v>
      </c>
      <c r="G828" s="119">
        <v>101.1724</v>
      </c>
      <c r="H828" s="119">
        <v>3.79</v>
      </c>
      <c r="I828" s="116">
        <v>669</v>
      </c>
      <c r="J828" s="118" t="s">
        <v>269</v>
      </c>
    </row>
    <row r="829" spans="1:10" x14ac:dyDescent="0.25">
      <c r="A829" s="116">
        <v>826</v>
      </c>
      <c r="B829" s="117" t="s">
        <v>1536</v>
      </c>
      <c r="C829" s="118" t="s">
        <v>1537</v>
      </c>
      <c r="D829" s="118" t="s">
        <v>455</v>
      </c>
      <c r="E829" s="118" t="s">
        <v>1535</v>
      </c>
      <c r="F829" s="119">
        <v>99.431077771565299</v>
      </c>
      <c r="G829" s="119">
        <v>99.982577771565289</v>
      </c>
      <c r="H829" s="119">
        <v>4.53</v>
      </c>
      <c r="I829" s="116">
        <v>97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445</v>
      </c>
      <c r="E830" s="118" t="s">
        <v>1540</v>
      </c>
      <c r="F830" s="119">
        <v>13197.171150000002</v>
      </c>
      <c r="G830" s="119">
        <v>13197.171150000002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2046</v>
      </c>
      <c r="C831" s="118" t="s">
        <v>1841</v>
      </c>
      <c r="D831" s="118" t="s">
        <v>755</v>
      </c>
      <c r="E831" s="118" t="s">
        <v>1595</v>
      </c>
      <c r="F831" s="119">
        <v>39623.839650000009</v>
      </c>
      <c r="G831" s="119">
        <v>39623.839650000009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1546</v>
      </c>
      <c r="C832" s="118" t="s">
        <v>1547</v>
      </c>
      <c r="D832" s="118" t="s">
        <v>445</v>
      </c>
      <c r="E832" s="118" t="s">
        <v>1548</v>
      </c>
      <c r="F832" s="119">
        <v>0.01</v>
      </c>
      <c r="G832" s="119">
        <v>0.01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1541</v>
      </c>
      <c r="C833" s="118" t="s">
        <v>1542</v>
      </c>
      <c r="D833" s="118" t="s">
        <v>455</v>
      </c>
      <c r="E833" s="118" t="s">
        <v>1543</v>
      </c>
      <c r="F833" s="119">
        <v>98.855000000000004</v>
      </c>
      <c r="G833" s="119">
        <v>99.813299999999998</v>
      </c>
      <c r="H833" s="119">
        <v>4.13</v>
      </c>
      <c r="I833" s="116">
        <v>1168</v>
      </c>
      <c r="J833" s="118" t="s">
        <v>269</v>
      </c>
    </row>
    <row r="834" spans="1:10" x14ac:dyDescent="0.25">
      <c r="A834" s="116">
        <v>831</v>
      </c>
      <c r="B834" s="117" t="s">
        <v>1544</v>
      </c>
      <c r="C834" s="118" t="s">
        <v>1545</v>
      </c>
      <c r="D834" s="118" t="s">
        <v>455</v>
      </c>
      <c r="E834" s="118" t="s">
        <v>1543</v>
      </c>
      <c r="F834" s="119">
        <v>97.655000000000001</v>
      </c>
      <c r="G834" s="119">
        <v>98.28</v>
      </c>
      <c r="H834" s="119">
        <v>4.08</v>
      </c>
      <c r="I834" s="116">
        <v>825</v>
      </c>
      <c r="J834" s="118" t="s">
        <v>269</v>
      </c>
    </row>
    <row r="835" spans="1:10" x14ac:dyDescent="0.25">
      <c r="A835" s="116">
        <v>832</v>
      </c>
      <c r="B835" s="117" t="s">
        <v>1549</v>
      </c>
      <c r="C835" s="118" t="s">
        <v>1550</v>
      </c>
      <c r="D835" s="118" t="s">
        <v>455</v>
      </c>
      <c r="E835" s="118" t="s">
        <v>1551</v>
      </c>
      <c r="F835" s="119">
        <v>100</v>
      </c>
      <c r="G835" s="119">
        <v>102.2944</v>
      </c>
      <c r="H835" s="119">
        <v>14</v>
      </c>
      <c r="I835" s="116">
        <v>1831</v>
      </c>
      <c r="J835" s="118" t="s">
        <v>269</v>
      </c>
    </row>
    <row r="836" spans="1:10" x14ac:dyDescent="0.25">
      <c r="A836" s="116">
        <v>833</v>
      </c>
      <c r="B836" s="117" t="s">
        <v>2500</v>
      </c>
      <c r="C836" s="118" t="s">
        <v>2501</v>
      </c>
      <c r="D836" s="118" t="s">
        <v>455</v>
      </c>
      <c r="E836" s="118" t="s">
        <v>393</v>
      </c>
      <c r="F836" s="119">
        <v>100.41497132824027</v>
      </c>
      <c r="G836" s="119">
        <v>101.52327132824027</v>
      </c>
      <c r="H836" s="119">
        <v>18.489999999999998</v>
      </c>
      <c r="I836" s="116">
        <v>339</v>
      </c>
      <c r="J836" s="118" t="s">
        <v>269</v>
      </c>
    </row>
    <row r="837" spans="1:10" x14ac:dyDescent="0.25">
      <c r="A837" s="116">
        <v>834</v>
      </c>
      <c r="B837" s="117" t="s">
        <v>2021</v>
      </c>
      <c r="C837" s="118" t="s">
        <v>2022</v>
      </c>
      <c r="D837" s="118" t="s">
        <v>455</v>
      </c>
      <c r="E837" s="118" t="s">
        <v>393</v>
      </c>
      <c r="F837" s="119">
        <v>99.626301141515981</v>
      </c>
      <c r="G837" s="119">
        <v>103.07630114151598</v>
      </c>
      <c r="H837" s="119">
        <v>18.48</v>
      </c>
      <c r="I837" s="116">
        <v>291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99.626301141515981</v>
      </c>
      <c r="G838" s="119">
        <v>103.07630114151598</v>
      </c>
      <c r="H838" s="119">
        <v>18.48</v>
      </c>
      <c r="I838" s="116">
        <v>291</v>
      </c>
      <c r="J838" s="118" t="s">
        <v>269</v>
      </c>
    </row>
    <row r="839" spans="1:10" x14ac:dyDescent="0.25">
      <c r="A839" s="116">
        <v>836</v>
      </c>
      <c r="B839" s="117" t="s">
        <v>1552</v>
      </c>
      <c r="C839" s="118" t="s">
        <v>1553</v>
      </c>
      <c r="D839" s="118" t="s">
        <v>445</v>
      </c>
      <c r="E839" s="118" t="s">
        <v>393</v>
      </c>
      <c r="F839" s="119">
        <v>1665.1949999999999</v>
      </c>
      <c r="G839" s="119">
        <v>1665.1949999999999</v>
      </c>
      <c r="H839" s="119">
        <v>0</v>
      </c>
      <c r="I839" s="116">
        <v>161</v>
      </c>
      <c r="J839" s="118" t="s">
        <v>238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455</v>
      </c>
      <c r="E840" s="118" t="s">
        <v>1556</v>
      </c>
      <c r="F840" s="119">
        <v>100</v>
      </c>
      <c r="G840" s="119">
        <v>100.6493</v>
      </c>
      <c r="H840" s="119">
        <v>4.24</v>
      </c>
      <c r="I840" s="116">
        <v>245</v>
      </c>
      <c r="J840" s="118" t="s">
        <v>269</v>
      </c>
    </row>
    <row r="841" spans="1:10" x14ac:dyDescent="0.25">
      <c r="A841" s="116">
        <v>838</v>
      </c>
      <c r="B841" s="117" t="s">
        <v>1557</v>
      </c>
      <c r="C841" s="118" t="s">
        <v>1558</v>
      </c>
      <c r="D841" s="118" t="s">
        <v>455</v>
      </c>
      <c r="E841" s="118" t="s">
        <v>1556</v>
      </c>
      <c r="F841" s="119">
        <v>100</v>
      </c>
      <c r="G841" s="119">
        <v>100.1332</v>
      </c>
      <c r="H841" s="119">
        <v>0.35</v>
      </c>
      <c r="I841" s="116">
        <v>43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1556</v>
      </c>
      <c r="F842" s="119">
        <v>100</v>
      </c>
      <c r="G842" s="119">
        <v>100.1293</v>
      </c>
      <c r="H842" s="119">
        <v>0.35</v>
      </c>
      <c r="I842" s="116">
        <v>227</v>
      </c>
      <c r="J842" s="118" t="s">
        <v>269</v>
      </c>
    </row>
    <row r="843" spans="1:10" x14ac:dyDescent="0.25">
      <c r="A843" s="116">
        <v>840</v>
      </c>
      <c r="B843" s="117" t="s">
        <v>2157</v>
      </c>
      <c r="C843" s="118" t="s">
        <v>2158</v>
      </c>
      <c r="D843" s="118" t="s">
        <v>455</v>
      </c>
      <c r="E843" s="118" t="s">
        <v>1556</v>
      </c>
      <c r="F843" s="119">
        <v>100</v>
      </c>
      <c r="G843" s="119">
        <v>100.13509999999999</v>
      </c>
      <c r="H843" s="119">
        <v>0.35</v>
      </c>
      <c r="I843" s="116">
        <v>581</v>
      </c>
      <c r="J843" s="118" t="s">
        <v>269</v>
      </c>
    </row>
    <row r="844" spans="1:10" x14ac:dyDescent="0.25">
      <c r="A844" s="116">
        <v>841</v>
      </c>
      <c r="B844" s="117" t="s">
        <v>1561</v>
      </c>
      <c r="C844" s="118" t="s">
        <v>1562</v>
      </c>
      <c r="D844" s="118" t="s">
        <v>455</v>
      </c>
      <c r="E844" s="118" t="s">
        <v>1556</v>
      </c>
      <c r="F844" s="119">
        <v>100</v>
      </c>
      <c r="G844" s="119">
        <v>100.0039</v>
      </c>
      <c r="H844" s="119">
        <v>0.02</v>
      </c>
      <c r="I844" s="116">
        <v>3044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1556</v>
      </c>
      <c r="F845" s="119">
        <v>100</v>
      </c>
      <c r="G845" s="119">
        <v>101.88079999999999</v>
      </c>
      <c r="H845" s="119">
        <v>6.08</v>
      </c>
      <c r="I845" s="116">
        <v>1659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1556</v>
      </c>
      <c r="F846" s="119">
        <v>100</v>
      </c>
      <c r="G846" s="119">
        <v>106.8831</v>
      </c>
      <c r="H846" s="119">
        <v>7.08</v>
      </c>
      <c r="I846" s="116">
        <v>2141</v>
      </c>
      <c r="J846" s="118" t="s">
        <v>269</v>
      </c>
    </row>
    <row r="847" spans="1:10" x14ac:dyDescent="0.25">
      <c r="A847" s="116">
        <v>844</v>
      </c>
      <c r="B847" s="117" t="s">
        <v>2256</v>
      </c>
      <c r="C847" s="118" t="s">
        <v>2257</v>
      </c>
      <c r="D847" s="118" t="s">
        <v>455</v>
      </c>
      <c r="E847" s="118" t="s">
        <v>1556</v>
      </c>
      <c r="F847" s="119">
        <v>90.013482719178896</v>
      </c>
      <c r="G847" s="119">
        <v>94.462382719178891</v>
      </c>
      <c r="H847" s="119">
        <v>20.57</v>
      </c>
      <c r="I847" s="116">
        <v>3512</v>
      </c>
      <c r="J847" s="118" t="s">
        <v>269</v>
      </c>
    </row>
    <row r="848" spans="1:10" x14ac:dyDescent="0.25">
      <c r="A848" s="116">
        <v>845</v>
      </c>
      <c r="B848" s="117" t="s">
        <v>2393</v>
      </c>
      <c r="C848" s="118" t="s">
        <v>2394</v>
      </c>
      <c r="D848" s="118" t="s">
        <v>455</v>
      </c>
      <c r="E848" s="118" t="s">
        <v>1556</v>
      </c>
      <c r="F848" s="119">
        <v>92.89594896762857</v>
      </c>
      <c r="G848" s="119">
        <v>95.205948967628572</v>
      </c>
      <c r="H848" s="119">
        <v>20.59</v>
      </c>
      <c r="I848" s="116">
        <v>3556</v>
      </c>
      <c r="J848" s="118" t="s">
        <v>269</v>
      </c>
    </row>
    <row r="849" spans="1:10" x14ac:dyDescent="0.25">
      <c r="A849" s="116">
        <v>846</v>
      </c>
      <c r="B849" s="117" t="s">
        <v>2463</v>
      </c>
      <c r="C849" s="118" t="s">
        <v>2464</v>
      </c>
      <c r="D849" s="118" t="s">
        <v>455</v>
      </c>
      <c r="E849" s="118" t="s">
        <v>1556</v>
      </c>
      <c r="F849" s="119">
        <v>92.99186645121182</v>
      </c>
      <c r="G849" s="119">
        <v>94.041866451211817</v>
      </c>
      <c r="H849" s="119">
        <v>20.59</v>
      </c>
      <c r="I849" s="116">
        <v>3580</v>
      </c>
      <c r="J849" s="118" t="s">
        <v>269</v>
      </c>
    </row>
    <row r="850" spans="1:10" x14ac:dyDescent="0.25">
      <c r="A850" s="116">
        <v>847</v>
      </c>
      <c r="B850" s="117" t="s">
        <v>1567</v>
      </c>
      <c r="C850" s="118" t="s">
        <v>1568</v>
      </c>
      <c r="D850" s="118" t="s">
        <v>455</v>
      </c>
      <c r="E850" s="118" t="s">
        <v>1556</v>
      </c>
      <c r="F850" s="119">
        <v>100</v>
      </c>
      <c r="G850" s="119">
        <v>101.0506</v>
      </c>
      <c r="H850" s="119">
        <v>6.08</v>
      </c>
      <c r="I850" s="116">
        <v>2068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1556</v>
      </c>
      <c r="F851" s="119">
        <v>100</v>
      </c>
      <c r="G851" s="119">
        <v>105.9983</v>
      </c>
      <c r="H851" s="119">
        <v>6.09</v>
      </c>
      <c r="I851" s="116">
        <v>2496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1556</v>
      </c>
      <c r="F852" s="119">
        <v>100</v>
      </c>
      <c r="G852" s="119">
        <v>105.9983</v>
      </c>
      <c r="H852" s="119">
        <v>6.09</v>
      </c>
      <c r="I852" s="116">
        <v>2496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1556</v>
      </c>
      <c r="F853" s="119">
        <v>100</v>
      </c>
      <c r="G853" s="119">
        <v>104.8631</v>
      </c>
      <c r="H853" s="119">
        <v>6.08</v>
      </c>
      <c r="I853" s="116">
        <v>2563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445</v>
      </c>
      <c r="E854" s="118" t="s">
        <v>1577</v>
      </c>
      <c r="F854" s="119">
        <v>37471.453500000011</v>
      </c>
      <c r="G854" s="119">
        <v>37471.453500000011</v>
      </c>
      <c r="H854" s="119">
        <v>0</v>
      </c>
      <c r="I854" s="116">
        <v>0</v>
      </c>
      <c r="J854" s="118" t="s">
        <v>238</v>
      </c>
    </row>
    <row r="855" spans="1:10" x14ac:dyDescent="0.25">
      <c r="A855" s="116">
        <v>852</v>
      </c>
      <c r="B855" s="117" t="s">
        <v>1578</v>
      </c>
      <c r="C855" s="118" t="s">
        <v>1579</v>
      </c>
      <c r="D855" s="118" t="s">
        <v>445</v>
      </c>
      <c r="E855" s="118" t="s">
        <v>1580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1581</v>
      </c>
      <c r="C856" s="118" t="s">
        <v>1582</v>
      </c>
      <c r="D856" s="118" t="s">
        <v>455</v>
      </c>
      <c r="E856" s="118" t="s">
        <v>1583</v>
      </c>
      <c r="F856" s="119">
        <v>99.444000000000003</v>
      </c>
      <c r="G856" s="119">
        <v>100.6537</v>
      </c>
      <c r="H856" s="119">
        <v>4.1500000000000004</v>
      </c>
      <c r="I856" s="116">
        <v>226</v>
      </c>
      <c r="J856" s="118" t="s">
        <v>269</v>
      </c>
    </row>
    <row r="857" spans="1:10" x14ac:dyDescent="0.25">
      <c r="A857" s="116">
        <v>854</v>
      </c>
      <c r="B857" s="117" t="s">
        <v>1584</v>
      </c>
      <c r="C857" s="118" t="s">
        <v>1585</v>
      </c>
      <c r="D857" s="118" t="s">
        <v>455</v>
      </c>
      <c r="E857" s="118" t="s">
        <v>1583</v>
      </c>
      <c r="F857" s="119">
        <v>99.495999999999995</v>
      </c>
      <c r="G857" s="119">
        <v>99.495999999999995</v>
      </c>
      <c r="H857" s="119">
        <v>3.87</v>
      </c>
      <c r="I857" s="116">
        <v>1620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1583</v>
      </c>
      <c r="F858" s="119">
        <v>100.559</v>
      </c>
      <c r="G858" s="119">
        <v>100.91459999999999</v>
      </c>
      <c r="H858" s="119">
        <v>3.82</v>
      </c>
      <c r="I858" s="116">
        <v>1228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1583</v>
      </c>
      <c r="F859" s="119">
        <v>101.624</v>
      </c>
      <c r="G859" s="119">
        <v>103.7865</v>
      </c>
      <c r="H859" s="119">
        <v>3.82</v>
      </c>
      <c r="I859" s="116">
        <v>907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445</v>
      </c>
      <c r="E860" s="118" t="s">
        <v>1592</v>
      </c>
      <c r="F860" s="119">
        <v>87676.735950000017</v>
      </c>
      <c r="G860" s="119">
        <v>87676.735950000017</v>
      </c>
      <c r="H860" s="119">
        <v>0</v>
      </c>
      <c r="I860" s="116">
        <v>0</v>
      </c>
      <c r="J860" s="118" t="s">
        <v>238</v>
      </c>
    </row>
    <row r="861" spans="1:10" x14ac:dyDescent="0.25">
      <c r="A861" s="116">
        <v>858</v>
      </c>
      <c r="B861" s="117" t="s">
        <v>1593</v>
      </c>
      <c r="C861" s="118" t="s">
        <v>1594</v>
      </c>
      <c r="D861" s="118" t="s">
        <v>755</v>
      </c>
      <c r="E861" s="118" t="s">
        <v>1595</v>
      </c>
      <c r="F861" s="119">
        <v>326777.47425000009</v>
      </c>
      <c r="G861" s="119">
        <v>326777.47425000009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1596</v>
      </c>
      <c r="C862" s="118" t="s">
        <v>1597</v>
      </c>
      <c r="D862" s="118" t="s">
        <v>445</v>
      </c>
      <c r="E862" s="118" t="s">
        <v>1598</v>
      </c>
      <c r="F862" s="119">
        <v>17000.39</v>
      </c>
      <c r="G862" s="119">
        <v>17000.39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1599</v>
      </c>
      <c r="C863" s="118" t="s">
        <v>1600</v>
      </c>
      <c r="D863" s="118" t="s">
        <v>455</v>
      </c>
      <c r="E863" s="118" t="s">
        <v>1601</v>
      </c>
      <c r="F863" s="119">
        <v>95.805811869167044</v>
      </c>
      <c r="G863" s="119">
        <v>98.389111869167039</v>
      </c>
      <c r="H863" s="119">
        <v>31.77</v>
      </c>
      <c r="I863" s="116">
        <v>1589</v>
      </c>
      <c r="J863" s="118" t="s">
        <v>269</v>
      </c>
    </row>
    <row r="864" spans="1:10" x14ac:dyDescent="0.25">
      <c r="A864" s="116">
        <v>861</v>
      </c>
      <c r="B864" s="117" t="s">
        <v>1602</v>
      </c>
      <c r="C864" s="118" t="s">
        <v>1603</v>
      </c>
      <c r="D864" s="118" t="s">
        <v>455</v>
      </c>
      <c r="E864" s="118" t="s">
        <v>1604</v>
      </c>
      <c r="F864" s="119">
        <v>73.365453873230365</v>
      </c>
      <c r="G864" s="119">
        <v>80.254353873230372</v>
      </c>
      <c r="H864" s="119">
        <v>30</v>
      </c>
      <c r="I864" s="116">
        <v>2036</v>
      </c>
      <c r="J864" s="118" t="s">
        <v>269</v>
      </c>
    </row>
    <row r="865" spans="1:10" x14ac:dyDescent="0.25">
      <c r="A865" s="116">
        <v>862</v>
      </c>
      <c r="B865" s="117" t="s">
        <v>1605</v>
      </c>
      <c r="C865" s="118" t="s">
        <v>1606</v>
      </c>
      <c r="D865" s="118" t="s">
        <v>455</v>
      </c>
      <c r="E865" s="118" t="s">
        <v>1604</v>
      </c>
      <c r="F865" s="119">
        <v>70.409657666013871</v>
      </c>
      <c r="G865" s="119">
        <v>77.409657666013871</v>
      </c>
      <c r="H865" s="119">
        <v>30.02</v>
      </c>
      <c r="I865" s="116">
        <v>2754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445</v>
      </c>
      <c r="E866" s="118" t="s">
        <v>1609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1610</v>
      </c>
      <c r="C867" s="118" t="s">
        <v>1611</v>
      </c>
      <c r="D867" s="118" t="s">
        <v>445</v>
      </c>
      <c r="E867" s="118" t="s">
        <v>1609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1623</v>
      </c>
      <c r="C868" s="118" t="s">
        <v>1624</v>
      </c>
      <c r="D868" s="118" t="s">
        <v>445</v>
      </c>
      <c r="E868" s="118" t="s">
        <v>1625</v>
      </c>
      <c r="F868" s="119">
        <v>34400</v>
      </c>
      <c r="G868" s="119">
        <v>34400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1626</v>
      </c>
      <c r="C869" s="118" t="s">
        <v>1627</v>
      </c>
      <c r="D869" s="118" t="s">
        <v>445</v>
      </c>
      <c r="E869" s="118" t="s">
        <v>1625</v>
      </c>
      <c r="F869" s="119">
        <v>17800</v>
      </c>
      <c r="G869" s="119">
        <v>17800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1630</v>
      </c>
      <c r="F870" s="119">
        <v>1000</v>
      </c>
      <c r="G870" s="119">
        <v>1000</v>
      </c>
      <c r="H870" s="119">
        <v>0</v>
      </c>
      <c r="I870" s="116">
        <v>190</v>
      </c>
      <c r="J870" s="118" t="s">
        <v>238</v>
      </c>
    </row>
    <row r="871" spans="1:10" x14ac:dyDescent="0.25">
      <c r="A871" s="116">
        <v>868</v>
      </c>
      <c r="B871" s="117" t="s">
        <v>1631</v>
      </c>
      <c r="C871" s="118" t="s">
        <v>1632</v>
      </c>
      <c r="D871" s="118" t="s">
        <v>445</v>
      </c>
      <c r="E871" s="118" t="s">
        <v>1633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238</v>
      </c>
    </row>
    <row r="872" spans="1:10" x14ac:dyDescent="0.25">
      <c r="A872" s="116">
        <v>869</v>
      </c>
      <c r="B872" s="117" t="s">
        <v>1634</v>
      </c>
      <c r="C872" s="118" t="s">
        <v>1635</v>
      </c>
      <c r="D872" s="118" t="s">
        <v>445</v>
      </c>
      <c r="E872" s="118" t="s">
        <v>1636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1637</v>
      </c>
      <c r="C873" s="118" t="s">
        <v>1638</v>
      </c>
      <c r="D873" s="118" t="s">
        <v>445</v>
      </c>
      <c r="E873" s="118" t="s">
        <v>1636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1612</v>
      </c>
      <c r="C874" s="118" t="s">
        <v>1613</v>
      </c>
      <c r="D874" s="118" t="s">
        <v>455</v>
      </c>
      <c r="E874" s="118" t="s">
        <v>1614</v>
      </c>
      <c r="F874" s="119">
        <v>99.018694146524737</v>
      </c>
      <c r="G874" s="119">
        <v>99.441594146524736</v>
      </c>
      <c r="H874" s="119">
        <v>4.0599999999999996</v>
      </c>
      <c r="I874" s="116">
        <v>858</v>
      </c>
      <c r="J874" s="118" t="s">
        <v>269</v>
      </c>
    </row>
    <row r="875" spans="1:10" x14ac:dyDescent="0.25">
      <c r="A875" s="116">
        <v>872</v>
      </c>
      <c r="B875" s="117" t="s">
        <v>1615</v>
      </c>
      <c r="C875" s="118" t="s">
        <v>1616</v>
      </c>
      <c r="D875" s="118" t="s">
        <v>455</v>
      </c>
      <c r="E875" s="118" t="s">
        <v>1614</v>
      </c>
      <c r="F875" s="119">
        <v>100.846</v>
      </c>
      <c r="G875" s="119">
        <v>100.846</v>
      </c>
      <c r="H875" s="119">
        <v>4.1100000000000003</v>
      </c>
      <c r="I875" s="116">
        <v>1260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1614</v>
      </c>
      <c r="F876" s="119">
        <v>97.876999999999995</v>
      </c>
      <c r="G876" s="119">
        <v>98.383899999999997</v>
      </c>
      <c r="H876" s="119">
        <v>4.2</v>
      </c>
      <c r="I876" s="116">
        <v>467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1614</v>
      </c>
      <c r="F877" s="119">
        <v>99.141999999999996</v>
      </c>
      <c r="G877" s="119">
        <v>100.6767</v>
      </c>
      <c r="H877" s="119">
        <v>4.1100000000000003</v>
      </c>
      <c r="I877" s="116">
        <v>370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445</v>
      </c>
      <c r="E878" s="118" t="s">
        <v>1614</v>
      </c>
      <c r="F878" s="119">
        <v>534.90163140000016</v>
      </c>
      <c r="G878" s="119">
        <v>534.90163140000016</v>
      </c>
      <c r="H878" s="119">
        <v>0</v>
      </c>
      <c r="I878" s="116">
        <v>544</v>
      </c>
      <c r="J878" s="118" t="s">
        <v>238</v>
      </c>
    </row>
    <row r="879" spans="1:10" x14ac:dyDescent="0.25">
      <c r="A879" s="116">
        <v>876</v>
      </c>
      <c r="B879" s="117" t="s">
        <v>1639</v>
      </c>
      <c r="C879" s="118" t="s">
        <v>1640</v>
      </c>
      <c r="D879" s="118" t="s">
        <v>445</v>
      </c>
      <c r="E879" s="118" t="s">
        <v>1641</v>
      </c>
      <c r="F879" s="119">
        <v>44569.748250000011</v>
      </c>
      <c r="G879" s="119">
        <v>44569.748250000011</v>
      </c>
      <c r="H879" s="119">
        <v>0</v>
      </c>
      <c r="I879" s="116">
        <v>0</v>
      </c>
      <c r="J879" s="118" t="s">
        <v>238</v>
      </c>
    </row>
    <row r="880" spans="1:10" x14ac:dyDescent="0.25">
      <c r="A880" s="116">
        <v>877</v>
      </c>
      <c r="B880" s="117" t="s">
        <v>1972</v>
      </c>
      <c r="C880" s="118" t="s">
        <v>1973</v>
      </c>
      <c r="D880" s="118" t="s">
        <v>455</v>
      </c>
      <c r="E880" s="118" t="s">
        <v>1974</v>
      </c>
      <c r="F880" s="119">
        <v>96.69669872309801</v>
      </c>
      <c r="G880" s="119">
        <v>100.97169872309802</v>
      </c>
      <c r="H880" s="119">
        <v>22.12</v>
      </c>
      <c r="I880" s="116">
        <v>824</v>
      </c>
      <c r="J880" s="118" t="s">
        <v>269</v>
      </c>
    </row>
    <row r="881" spans="1:10" x14ac:dyDescent="0.25">
      <c r="A881" s="116">
        <v>878</v>
      </c>
      <c r="B881" s="117" t="s">
        <v>2327</v>
      </c>
      <c r="C881" s="118" t="s">
        <v>2328</v>
      </c>
      <c r="D881" s="118" t="s">
        <v>455</v>
      </c>
      <c r="E881" s="118" t="s">
        <v>1974</v>
      </c>
      <c r="F881" s="119">
        <v>97.640315776873763</v>
      </c>
      <c r="G881" s="119">
        <v>101.60701577687377</v>
      </c>
      <c r="H881" s="119">
        <v>22.14</v>
      </c>
      <c r="I881" s="116">
        <v>1012</v>
      </c>
      <c r="J881" s="118" t="s">
        <v>269</v>
      </c>
    </row>
    <row r="882" spans="1:10" x14ac:dyDescent="0.25">
      <c r="A882" s="116">
        <v>879</v>
      </c>
      <c r="B882" s="117" t="s">
        <v>2433</v>
      </c>
      <c r="C882" s="118" t="s">
        <v>2434</v>
      </c>
      <c r="D882" s="118" t="s">
        <v>455</v>
      </c>
      <c r="E882" s="118" t="s">
        <v>2435</v>
      </c>
      <c r="F882" s="119">
        <v>79.868206921627504</v>
      </c>
      <c r="G882" s="119">
        <v>84.2585069216275</v>
      </c>
      <c r="H882" s="119">
        <v>18.510000000000002</v>
      </c>
      <c r="I882" s="116">
        <v>5291</v>
      </c>
      <c r="J882" s="118" t="s">
        <v>269</v>
      </c>
    </row>
    <row r="883" spans="1:10" x14ac:dyDescent="0.25">
      <c r="A883" s="116">
        <v>880</v>
      </c>
      <c r="B883" s="117" t="s">
        <v>2597</v>
      </c>
      <c r="C883" s="118" t="s">
        <v>2598</v>
      </c>
      <c r="D883" s="118" t="s">
        <v>445</v>
      </c>
      <c r="E883" s="118" t="s">
        <v>2599</v>
      </c>
      <c r="F883" s="119">
        <v>1000</v>
      </c>
      <c r="G883" s="119">
        <v>1000</v>
      </c>
      <c r="H883" s="119">
        <v>0</v>
      </c>
      <c r="I883" s="116">
        <v>1613</v>
      </c>
      <c r="J883" s="118" t="s">
        <v>238</v>
      </c>
    </row>
    <row r="884" spans="1:10" x14ac:dyDescent="0.25">
      <c r="A884" s="116">
        <v>881</v>
      </c>
      <c r="B884" s="117" t="s">
        <v>1642</v>
      </c>
      <c r="C884" s="118" t="s">
        <v>1643</v>
      </c>
      <c r="D884" s="118" t="s">
        <v>455</v>
      </c>
      <c r="E884" s="118" t="s">
        <v>1644</v>
      </c>
      <c r="F884" s="119">
        <v>100</v>
      </c>
      <c r="G884" s="119">
        <v>100.9799</v>
      </c>
      <c r="H884" s="119">
        <v>4.2300000000000004</v>
      </c>
      <c r="I884" s="116">
        <v>217</v>
      </c>
      <c r="J884" s="118" t="s">
        <v>269</v>
      </c>
    </row>
    <row r="885" spans="1:10" x14ac:dyDescent="0.25">
      <c r="A885" s="116">
        <v>882</v>
      </c>
      <c r="B885" s="117" t="s">
        <v>2086</v>
      </c>
      <c r="C885" s="118" t="s">
        <v>2087</v>
      </c>
      <c r="D885" s="118" t="s">
        <v>455</v>
      </c>
      <c r="E885" s="118" t="s">
        <v>1644</v>
      </c>
      <c r="F885" s="119">
        <v>100</v>
      </c>
      <c r="G885" s="119">
        <v>102.1014</v>
      </c>
      <c r="H885" s="119">
        <v>4.24</v>
      </c>
      <c r="I885" s="116">
        <v>482</v>
      </c>
      <c r="J885" s="118" t="s">
        <v>269</v>
      </c>
    </row>
    <row r="886" spans="1:10" x14ac:dyDescent="0.25">
      <c r="A886" s="116">
        <v>883</v>
      </c>
      <c r="B886" s="117" t="s">
        <v>1645</v>
      </c>
      <c r="C886" s="118" t="s">
        <v>1646</v>
      </c>
      <c r="D886" s="118" t="s">
        <v>455</v>
      </c>
      <c r="E886" s="118" t="s">
        <v>1644</v>
      </c>
      <c r="F886" s="119">
        <v>100</v>
      </c>
      <c r="G886" s="119">
        <v>100.1254</v>
      </c>
      <c r="H886" s="119">
        <v>0.35</v>
      </c>
      <c r="I886" s="116">
        <v>231</v>
      </c>
      <c r="J886" s="118" t="s">
        <v>269</v>
      </c>
    </row>
    <row r="887" spans="1:10" x14ac:dyDescent="0.25">
      <c r="A887" s="116">
        <v>884</v>
      </c>
      <c r="B887" s="117" t="s">
        <v>1647</v>
      </c>
      <c r="C887" s="118" t="s">
        <v>1648</v>
      </c>
      <c r="D887" s="118" t="s">
        <v>455</v>
      </c>
      <c r="E887" s="118" t="s">
        <v>1644</v>
      </c>
      <c r="F887" s="119">
        <v>96.593450901388167</v>
      </c>
      <c r="G887" s="119">
        <v>97.403450901388169</v>
      </c>
      <c r="H887" s="119">
        <v>19.45</v>
      </c>
      <c r="I887" s="116">
        <v>153</v>
      </c>
      <c r="J887" s="118" t="s">
        <v>269</v>
      </c>
    </row>
    <row r="888" spans="1:10" x14ac:dyDescent="0.25">
      <c r="A888" s="116">
        <v>885</v>
      </c>
      <c r="B888" s="117" t="s">
        <v>1649</v>
      </c>
      <c r="C888" s="118" t="s">
        <v>1650</v>
      </c>
      <c r="D888" s="118" t="s">
        <v>455</v>
      </c>
      <c r="E888" s="118" t="s">
        <v>1644</v>
      </c>
      <c r="F888" s="119">
        <v>100</v>
      </c>
      <c r="G888" s="119">
        <v>100.0039</v>
      </c>
      <c r="H888" s="119">
        <v>0.02</v>
      </c>
      <c r="I888" s="116">
        <v>3044</v>
      </c>
      <c r="J888" s="118" t="s">
        <v>269</v>
      </c>
    </row>
    <row r="889" spans="1:10" x14ac:dyDescent="0.25">
      <c r="A889" s="116">
        <v>886</v>
      </c>
      <c r="B889" s="117" t="s">
        <v>1651</v>
      </c>
      <c r="C889" s="118" t="s">
        <v>1652</v>
      </c>
      <c r="D889" s="118" t="s">
        <v>455</v>
      </c>
      <c r="E889" s="118" t="s">
        <v>1644</v>
      </c>
      <c r="F889" s="119">
        <v>100</v>
      </c>
      <c r="G889" s="119">
        <v>101.88079999999999</v>
      </c>
      <c r="H889" s="119">
        <v>6.08</v>
      </c>
      <c r="I889" s="116">
        <v>1659</v>
      </c>
      <c r="J889" s="118" t="s">
        <v>269</v>
      </c>
    </row>
    <row r="890" spans="1:10" x14ac:dyDescent="0.25">
      <c r="A890" s="116">
        <v>887</v>
      </c>
      <c r="B890" s="117" t="s">
        <v>1653</v>
      </c>
      <c r="C890" s="118" t="s">
        <v>1654</v>
      </c>
      <c r="D890" s="118" t="s">
        <v>455</v>
      </c>
      <c r="E890" s="118" t="s">
        <v>1644</v>
      </c>
      <c r="F890" s="119">
        <v>100</v>
      </c>
      <c r="G890" s="119">
        <v>106.8831</v>
      </c>
      <c r="H890" s="119">
        <v>7.08</v>
      </c>
      <c r="I890" s="116">
        <v>2141</v>
      </c>
      <c r="J890" s="118" t="s">
        <v>269</v>
      </c>
    </row>
    <row r="891" spans="1:10" x14ac:dyDescent="0.25">
      <c r="A891" s="116">
        <v>888</v>
      </c>
      <c r="B891" s="117" t="s">
        <v>2482</v>
      </c>
      <c r="C891" s="118" t="s">
        <v>2483</v>
      </c>
      <c r="D891" s="118" t="s">
        <v>455</v>
      </c>
      <c r="E891" s="118" t="s">
        <v>1644</v>
      </c>
      <c r="F891" s="119">
        <v>93.00485916953933</v>
      </c>
      <c r="G891" s="119">
        <v>93.897359169539328</v>
      </c>
      <c r="H891" s="119">
        <v>20.59</v>
      </c>
      <c r="I891" s="116">
        <v>3583</v>
      </c>
      <c r="J891" s="118" t="s">
        <v>269</v>
      </c>
    </row>
    <row r="892" spans="1:10" x14ac:dyDescent="0.25">
      <c r="A892" s="116">
        <v>889</v>
      </c>
      <c r="B892" s="117" t="s">
        <v>1655</v>
      </c>
      <c r="C892" s="118" t="s">
        <v>1656</v>
      </c>
      <c r="D892" s="118" t="s">
        <v>455</v>
      </c>
      <c r="E892" s="118" t="s">
        <v>1644</v>
      </c>
      <c r="F892" s="119">
        <v>100</v>
      </c>
      <c r="G892" s="119">
        <v>101.0506</v>
      </c>
      <c r="H892" s="119">
        <v>6.08</v>
      </c>
      <c r="I892" s="116">
        <v>2068</v>
      </c>
      <c r="J892" s="118" t="s">
        <v>269</v>
      </c>
    </row>
    <row r="893" spans="1:10" x14ac:dyDescent="0.25">
      <c r="A893" s="116">
        <v>890</v>
      </c>
      <c r="B893" s="117" t="s">
        <v>1657</v>
      </c>
      <c r="C893" s="118" t="s">
        <v>1658</v>
      </c>
      <c r="D893" s="118" t="s">
        <v>455</v>
      </c>
      <c r="E893" s="118" t="s">
        <v>1644</v>
      </c>
      <c r="F893" s="119">
        <v>100</v>
      </c>
      <c r="G893" s="119">
        <v>105.9983</v>
      </c>
      <c r="H893" s="119">
        <v>6.09</v>
      </c>
      <c r="I893" s="116">
        <v>2496</v>
      </c>
      <c r="J893" s="118" t="s">
        <v>269</v>
      </c>
    </row>
    <row r="894" spans="1:10" x14ac:dyDescent="0.25">
      <c r="A894" s="116">
        <v>891</v>
      </c>
      <c r="B894" s="117" t="s">
        <v>1659</v>
      </c>
      <c r="C894" s="118" t="s">
        <v>1660</v>
      </c>
      <c r="D894" s="118" t="s">
        <v>455</v>
      </c>
      <c r="E894" s="118" t="s">
        <v>1644</v>
      </c>
      <c r="F894" s="119">
        <v>100</v>
      </c>
      <c r="G894" s="119">
        <v>105.9983</v>
      </c>
      <c r="H894" s="119">
        <v>6.09</v>
      </c>
      <c r="I894" s="116">
        <v>2496</v>
      </c>
      <c r="J894" s="118" t="s">
        <v>269</v>
      </c>
    </row>
    <row r="895" spans="1:10" x14ac:dyDescent="0.25">
      <c r="A895" s="116">
        <v>892</v>
      </c>
      <c r="B895" s="117" t="s">
        <v>1661</v>
      </c>
      <c r="C895" s="118" t="s">
        <v>1662</v>
      </c>
      <c r="D895" s="118" t="s">
        <v>455</v>
      </c>
      <c r="E895" s="118" t="s">
        <v>1644</v>
      </c>
      <c r="F895" s="119">
        <v>100</v>
      </c>
      <c r="G895" s="119">
        <v>104.8631</v>
      </c>
      <c r="H895" s="119">
        <v>6.08</v>
      </c>
      <c r="I895" s="116">
        <v>2563</v>
      </c>
      <c r="J895" s="118" t="s">
        <v>269</v>
      </c>
    </row>
    <row r="896" spans="1:10" x14ac:dyDescent="0.25">
      <c r="A896" s="116">
        <v>893</v>
      </c>
      <c r="B896" s="117" t="s">
        <v>1663</v>
      </c>
      <c r="C896" s="118" t="s">
        <v>1664</v>
      </c>
      <c r="D896" s="118" t="s">
        <v>445</v>
      </c>
      <c r="E896" s="118" t="s">
        <v>1665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1666</v>
      </c>
      <c r="C897" s="118" t="s">
        <v>1667</v>
      </c>
      <c r="D897" s="118" t="s">
        <v>445</v>
      </c>
      <c r="E897" s="118" t="s">
        <v>1668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1669</v>
      </c>
      <c r="C898" s="118" t="s">
        <v>1670</v>
      </c>
      <c r="D898" s="118" t="s">
        <v>455</v>
      </c>
      <c r="E898" s="118" t="s">
        <v>1671</v>
      </c>
      <c r="F898" s="119">
        <v>92.573979189821159</v>
      </c>
      <c r="G898" s="119">
        <v>95.782279189821168</v>
      </c>
      <c r="H898" s="119">
        <v>20.63</v>
      </c>
      <c r="I898" s="116">
        <v>456</v>
      </c>
      <c r="J898" s="118" t="s">
        <v>269</v>
      </c>
    </row>
    <row r="899" spans="1:10" x14ac:dyDescent="0.25">
      <c r="A899" s="116">
        <v>896</v>
      </c>
      <c r="B899" s="117" t="s">
        <v>1672</v>
      </c>
      <c r="C899" s="118" t="s">
        <v>1673</v>
      </c>
      <c r="D899" s="118" t="s">
        <v>455</v>
      </c>
      <c r="E899" s="118" t="s">
        <v>1674</v>
      </c>
      <c r="F899" s="119">
        <v>100</v>
      </c>
      <c r="G899" s="119">
        <v>100.17400000000001</v>
      </c>
      <c r="H899" s="119">
        <v>0.35</v>
      </c>
      <c r="I899" s="116">
        <v>1</v>
      </c>
      <c r="J899" s="118" t="s">
        <v>269</v>
      </c>
    </row>
    <row r="900" spans="1:10" x14ac:dyDescent="0.25">
      <c r="A900" s="116">
        <v>897</v>
      </c>
      <c r="B900" s="117" t="s">
        <v>1675</v>
      </c>
      <c r="C900" s="118" t="s">
        <v>1676</v>
      </c>
      <c r="D900" s="118" t="s">
        <v>455</v>
      </c>
      <c r="E900" s="118" t="s">
        <v>1674</v>
      </c>
      <c r="F900" s="119">
        <v>100</v>
      </c>
      <c r="G900" s="119">
        <v>100.1332</v>
      </c>
      <c r="H900" s="119">
        <v>0.35</v>
      </c>
      <c r="I900" s="116">
        <v>43</v>
      </c>
      <c r="J900" s="118" t="s">
        <v>269</v>
      </c>
    </row>
    <row r="901" spans="1:10" x14ac:dyDescent="0.25">
      <c r="A901" s="116">
        <v>898</v>
      </c>
      <c r="B901" s="117" t="s">
        <v>1677</v>
      </c>
      <c r="C901" s="118" t="s">
        <v>1678</v>
      </c>
      <c r="D901" s="118" t="s">
        <v>455</v>
      </c>
      <c r="E901" s="118" t="s">
        <v>1674</v>
      </c>
      <c r="F901" s="119">
        <v>100</v>
      </c>
      <c r="G901" s="119">
        <v>100.1254</v>
      </c>
      <c r="H901" s="119">
        <v>0.35</v>
      </c>
      <c r="I901" s="116">
        <v>231</v>
      </c>
      <c r="J901" s="118" t="s">
        <v>269</v>
      </c>
    </row>
    <row r="902" spans="1:10" x14ac:dyDescent="0.25">
      <c r="A902" s="116">
        <v>899</v>
      </c>
      <c r="B902" s="117" t="s">
        <v>1679</v>
      </c>
      <c r="C902" s="118" t="s">
        <v>1680</v>
      </c>
      <c r="D902" s="118" t="s">
        <v>455</v>
      </c>
      <c r="E902" s="118" t="s">
        <v>1674</v>
      </c>
      <c r="F902" s="119">
        <v>100</v>
      </c>
      <c r="G902" s="119">
        <v>100.0192</v>
      </c>
      <c r="H902" s="119">
        <v>0.02</v>
      </c>
      <c r="I902" s="116">
        <v>3044</v>
      </c>
      <c r="J902" s="118" t="s">
        <v>269</v>
      </c>
    </row>
    <row r="903" spans="1:10" x14ac:dyDescent="0.25">
      <c r="A903" s="116">
        <v>900</v>
      </c>
      <c r="B903" s="117" t="s">
        <v>1681</v>
      </c>
      <c r="C903" s="118" t="s">
        <v>1682</v>
      </c>
      <c r="D903" s="118" t="s">
        <v>455</v>
      </c>
      <c r="E903" s="118" t="s">
        <v>1674</v>
      </c>
      <c r="F903" s="119">
        <v>100</v>
      </c>
      <c r="G903" s="119">
        <v>101.88079999999999</v>
      </c>
      <c r="H903" s="119">
        <v>6.08</v>
      </c>
      <c r="I903" s="116">
        <v>1659</v>
      </c>
      <c r="J903" s="118" t="s">
        <v>269</v>
      </c>
    </row>
    <row r="904" spans="1:10" x14ac:dyDescent="0.25">
      <c r="A904" s="116">
        <v>901</v>
      </c>
      <c r="B904" s="117" t="s">
        <v>1683</v>
      </c>
      <c r="C904" s="118" t="s">
        <v>1684</v>
      </c>
      <c r="D904" s="118" t="s">
        <v>455</v>
      </c>
      <c r="E904" s="118" t="s">
        <v>1674</v>
      </c>
      <c r="F904" s="119">
        <v>100</v>
      </c>
      <c r="G904" s="119">
        <v>106.8831</v>
      </c>
      <c r="H904" s="119">
        <v>7.08</v>
      </c>
      <c r="I904" s="116">
        <v>2141</v>
      </c>
      <c r="J904" s="118" t="s">
        <v>269</v>
      </c>
    </row>
    <row r="905" spans="1:10" x14ac:dyDescent="0.25">
      <c r="A905" s="116">
        <v>902</v>
      </c>
      <c r="B905" s="117" t="s">
        <v>2258</v>
      </c>
      <c r="C905" s="118" t="s">
        <v>2259</v>
      </c>
      <c r="D905" s="118" t="s">
        <v>455</v>
      </c>
      <c r="E905" s="118" t="s">
        <v>1674</v>
      </c>
      <c r="F905" s="119">
        <v>90.013482719178896</v>
      </c>
      <c r="G905" s="119">
        <v>94.462382719178891</v>
      </c>
      <c r="H905" s="119">
        <v>20.57</v>
      </c>
      <c r="I905" s="116">
        <v>3512</v>
      </c>
      <c r="J905" s="118" t="s">
        <v>269</v>
      </c>
    </row>
    <row r="906" spans="1:10" x14ac:dyDescent="0.25">
      <c r="A906" s="116">
        <v>903</v>
      </c>
      <c r="B906" s="117" t="s">
        <v>2320</v>
      </c>
      <c r="C906" s="118" t="s">
        <v>2321</v>
      </c>
      <c r="D906" s="118" t="s">
        <v>455</v>
      </c>
      <c r="E906" s="118" t="s">
        <v>1674</v>
      </c>
      <c r="F906" s="119">
        <v>89.992816913315608</v>
      </c>
      <c r="G906" s="119">
        <v>93.835016913315613</v>
      </c>
      <c r="H906" s="119">
        <v>20.58</v>
      </c>
      <c r="I906" s="116">
        <v>3524</v>
      </c>
      <c r="J906" s="118" t="s">
        <v>269</v>
      </c>
    </row>
    <row r="907" spans="1:10" x14ac:dyDescent="0.25">
      <c r="A907" s="116">
        <v>904</v>
      </c>
      <c r="B907" s="117" t="s">
        <v>2377</v>
      </c>
      <c r="C907" s="118" t="s">
        <v>2378</v>
      </c>
      <c r="D907" s="118" t="s">
        <v>455</v>
      </c>
      <c r="E907" s="118" t="s">
        <v>1674</v>
      </c>
      <c r="F907" s="119">
        <v>92.933854921156069</v>
      </c>
      <c r="G907" s="119">
        <v>95.40135492115607</v>
      </c>
      <c r="H907" s="119">
        <v>20.58</v>
      </c>
      <c r="I907" s="116">
        <v>3553</v>
      </c>
      <c r="J907" s="118" t="s">
        <v>269</v>
      </c>
    </row>
    <row r="908" spans="1:10" x14ac:dyDescent="0.25">
      <c r="A908" s="116">
        <v>905</v>
      </c>
      <c r="B908" s="117" t="s">
        <v>2403</v>
      </c>
      <c r="C908" s="118" t="s">
        <v>2404</v>
      </c>
      <c r="D908" s="118" t="s">
        <v>455</v>
      </c>
      <c r="E908" s="118" t="s">
        <v>1674</v>
      </c>
      <c r="F908" s="119">
        <v>92.899661710932705</v>
      </c>
      <c r="G908" s="119">
        <v>95.157161710932712</v>
      </c>
      <c r="H908" s="119">
        <v>20.59</v>
      </c>
      <c r="I908" s="116">
        <v>3557</v>
      </c>
      <c r="J908" s="118" t="s">
        <v>269</v>
      </c>
    </row>
    <row r="909" spans="1:10" x14ac:dyDescent="0.25">
      <c r="A909" s="116">
        <v>906</v>
      </c>
      <c r="B909" s="117" t="s">
        <v>2465</v>
      </c>
      <c r="C909" s="118" t="s">
        <v>2466</v>
      </c>
      <c r="D909" s="118" t="s">
        <v>455</v>
      </c>
      <c r="E909" s="118" t="s">
        <v>1674</v>
      </c>
      <c r="F909" s="119">
        <v>92.99186645121182</v>
      </c>
      <c r="G909" s="119">
        <v>94.041866451211817</v>
      </c>
      <c r="H909" s="119">
        <v>20.59</v>
      </c>
      <c r="I909" s="116">
        <v>3580</v>
      </c>
      <c r="J909" s="118" t="s">
        <v>269</v>
      </c>
    </row>
    <row r="910" spans="1:10" x14ac:dyDescent="0.25">
      <c r="A910" s="116">
        <v>907</v>
      </c>
      <c r="B910" s="117" t="s">
        <v>1685</v>
      </c>
      <c r="C910" s="118" t="s">
        <v>1686</v>
      </c>
      <c r="D910" s="118" t="s">
        <v>455</v>
      </c>
      <c r="E910" s="118" t="s">
        <v>1674</v>
      </c>
      <c r="F910" s="119">
        <v>100</v>
      </c>
      <c r="G910" s="119">
        <v>101.0506</v>
      </c>
      <c r="H910" s="119">
        <v>6.08</v>
      </c>
      <c r="I910" s="116">
        <v>2068</v>
      </c>
      <c r="J910" s="118" t="s">
        <v>269</v>
      </c>
    </row>
    <row r="911" spans="1:10" x14ac:dyDescent="0.25">
      <c r="A911" s="116">
        <v>908</v>
      </c>
      <c r="B911" s="117" t="s">
        <v>1687</v>
      </c>
      <c r="C911" s="118" t="s">
        <v>1688</v>
      </c>
      <c r="D911" s="118" t="s">
        <v>455</v>
      </c>
      <c r="E911" s="118" t="s">
        <v>1674</v>
      </c>
      <c r="F911" s="119">
        <v>100</v>
      </c>
      <c r="G911" s="119">
        <v>105.9983</v>
      </c>
      <c r="H911" s="119">
        <v>6.09</v>
      </c>
      <c r="I911" s="116">
        <v>2496</v>
      </c>
      <c r="J911" s="118" t="s">
        <v>269</v>
      </c>
    </row>
    <row r="912" spans="1:10" x14ac:dyDescent="0.25">
      <c r="A912" s="116">
        <v>909</v>
      </c>
      <c r="B912" s="117" t="s">
        <v>1689</v>
      </c>
      <c r="C912" s="118" t="s">
        <v>1690</v>
      </c>
      <c r="D912" s="118" t="s">
        <v>455</v>
      </c>
      <c r="E912" s="118" t="s">
        <v>1674</v>
      </c>
      <c r="F912" s="119">
        <v>100</v>
      </c>
      <c r="G912" s="119">
        <v>105.9983</v>
      </c>
      <c r="H912" s="119">
        <v>6.09</v>
      </c>
      <c r="I912" s="116">
        <v>2496</v>
      </c>
      <c r="J912" s="118" t="s">
        <v>269</v>
      </c>
    </row>
    <row r="913" spans="1:10" x14ac:dyDescent="0.25">
      <c r="A913" s="116">
        <v>910</v>
      </c>
      <c r="B913" s="117" t="s">
        <v>1691</v>
      </c>
      <c r="C913" s="118" t="s">
        <v>1692</v>
      </c>
      <c r="D913" s="118" t="s">
        <v>455</v>
      </c>
      <c r="E913" s="118" t="s">
        <v>1674</v>
      </c>
      <c r="F913" s="119">
        <v>100</v>
      </c>
      <c r="G913" s="119">
        <v>104.8631</v>
      </c>
      <c r="H913" s="119">
        <v>6.08</v>
      </c>
      <c r="I913" s="116">
        <v>2563</v>
      </c>
      <c r="J913" s="118" t="s">
        <v>269</v>
      </c>
    </row>
    <row r="914" spans="1:10" x14ac:dyDescent="0.25">
      <c r="A914" s="116">
        <v>911</v>
      </c>
      <c r="B914" s="117" t="s">
        <v>2405</v>
      </c>
      <c r="C914" s="118" t="s">
        <v>2406</v>
      </c>
      <c r="D914" s="118" t="s">
        <v>455</v>
      </c>
      <c r="E914" s="118" t="s">
        <v>1674</v>
      </c>
      <c r="F914" s="119">
        <v>92.084711407784795</v>
      </c>
      <c r="G914" s="119">
        <v>94.342211407784788</v>
      </c>
      <c r="H914" s="119">
        <v>20.6</v>
      </c>
      <c r="I914" s="116">
        <v>5357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90.959806614312072</v>
      </c>
      <c r="G915" s="119">
        <v>93.089006614312069</v>
      </c>
      <c r="H915" s="119">
        <v>16.48</v>
      </c>
      <c r="I915" s="116">
        <v>647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97.383360982624026</v>
      </c>
      <c r="G916" s="119">
        <v>98.316660982624015</v>
      </c>
      <c r="H916" s="119">
        <v>4.62</v>
      </c>
      <c r="I916" s="116">
        <v>372</v>
      </c>
      <c r="J916" s="118" t="s">
        <v>269</v>
      </c>
    </row>
    <row r="917" spans="1:10" x14ac:dyDescent="0.25">
      <c r="A917" s="116">
        <v>914</v>
      </c>
      <c r="B917" s="117" t="s">
        <v>1693</v>
      </c>
      <c r="C917" s="118" t="s">
        <v>1694</v>
      </c>
      <c r="D917" s="118" t="s">
        <v>445</v>
      </c>
      <c r="E917" s="118" t="s">
        <v>1695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1696</v>
      </c>
      <c r="C918" s="118" t="s">
        <v>1697</v>
      </c>
      <c r="D918" s="118" t="s">
        <v>455</v>
      </c>
      <c r="E918" s="118" t="s">
        <v>1698</v>
      </c>
      <c r="F918" s="119">
        <v>99.311940034312826</v>
      </c>
      <c r="G918" s="119">
        <v>103.54304003431282</v>
      </c>
      <c r="H918" s="119">
        <v>16.760000000000002</v>
      </c>
      <c r="I918" s="116">
        <v>44</v>
      </c>
      <c r="J918" s="118" t="s">
        <v>269</v>
      </c>
    </row>
    <row r="919" spans="1:10" x14ac:dyDescent="0.25">
      <c r="A919" s="116">
        <v>916</v>
      </c>
      <c r="B919" s="117" t="s">
        <v>1699</v>
      </c>
      <c r="C919" s="118" t="s">
        <v>1700</v>
      </c>
      <c r="D919" s="118" t="s">
        <v>455</v>
      </c>
      <c r="E919" s="118" t="s">
        <v>1701</v>
      </c>
      <c r="F919" s="119">
        <v>94.608909447148918</v>
      </c>
      <c r="G919" s="119">
        <v>99.04220944714892</v>
      </c>
      <c r="H919" s="119">
        <v>30.24</v>
      </c>
      <c r="I919" s="116">
        <v>3184</v>
      </c>
      <c r="J919" s="118" t="s">
        <v>269</v>
      </c>
    </row>
    <row r="920" spans="1:10" x14ac:dyDescent="0.25">
      <c r="A920" s="116">
        <v>917</v>
      </c>
      <c r="B920" s="117" t="s">
        <v>2051</v>
      </c>
      <c r="C920" s="118" t="s">
        <v>1842</v>
      </c>
      <c r="D920" s="118" t="s">
        <v>755</v>
      </c>
      <c r="E920" s="118" t="s">
        <v>1843</v>
      </c>
      <c r="F920" s="119">
        <v>360900.47220000008</v>
      </c>
      <c r="G920" s="119">
        <v>360900.47220000008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1702</v>
      </c>
      <c r="C921" s="118" t="s">
        <v>1703</v>
      </c>
      <c r="D921" s="118" t="s">
        <v>445</v>
      </c>
      <c r="E921" s="118" t="s">
        <v>1704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2159</v>
      </c>
      <c r="C922" s="118" t="s">
        <v>2160</v>
      </c>
      <c r="D922" s="118" t="s">
        <v>455</v>
      </c>
      <c r="E922" s="118" t="s">
        <v>2161</v>
      </c>
      <c r="F922" s="119">
        <v>101.25534806254012</v>
      </c>
      <c r="G922" s="119">
        <v>104.05534806254013</v>
      </c>
      <c r="H922" s="119">
        <v>20.350000000000001</v>
      </c>
      <c r="I922" s="116">
        <v>942</v>
      </c>
      <c r="J922" s="118" t="s">
        <v>269</v>
      </c>
    </row>
    <row r="923" spans="1:10" x14ac:dyDescent="0.25">
      <c r="A923" s="116">
        <v>920</v>
      </c>
      <c r="B923" s="117" t="s">
        <v>1708</v>
      </c>
      <c r="C923" s="118" t="s">
        <v>1709</v>
      </c>
      <c r="D923" s="118" t="s">
        <v>455</v>
      </c>
      <c r="E923" s="118" t="s">
        <v>426</v>
      </c>
      <c r="F923" s="119">
        <v>100</v>
      </c>
      <c r="G923" s="119">
        <v>103.0667</v>
      </c>
      <c r="H923" s="119">
        <v>11.49</v>
      </c>
      <c r="I923" s="116">
        <v>2244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105.3083</v>
      </c>
      <c r="H924" s="119">
        <v>12.99</v>
      </c>
      <c r="I924" s="116">
        <v>1113</v>
      </c>
      <c r="J924" s="118" t="s">
        <v>269</v>
      </c>
    </row>
    <row r="925" spans="1:10" x14ac:dyDescent="0.25">
      <c r="A925" s="116">
        <v>922</v>
      </c>
      <c r="B925" s="117" t="s">
        <v>1710</v>
      </c>
      <c r="C925" s="118" t="s">
        <v>1711</v>
      </c>
      <c r="D925" s="118" t="s">
        <v>455</v>
      </c>
      <c r="E925" s="118" t="s">
        <v>633</v>
      </c>
      <c r="F925" s="119">
        <v>100</v>
      </c>
      <c r="G925" s="119">
        <v>103.0444</v>
      </c>
      <c r="H925" s="119">
        <v>7.99</v>
      </c>
      <c r="I925" s="116">
        <v>403</v>
      </c>
      <c r="J925" s="118" t="s">
        <v>269</v>
      </c>
    </row>
    <row r="926" spans="1:10" x14ac:dyDescent="0.25">
      <c r="A926" s="116">
        <v>923</v>
      </c>
      <c r="B926" s="117" t="s">
        <v>1712</v>
      </c>
      <c r="C926" s="118" t="s">
        <v>1713</v>
      </c>
      <c r="D926" s="118" t="s">
        <v>455</v>
      </c>
      <c r="E926" s="118" t="s">
        <v>633</v>
      </c>
      <c r="F926" s="119">
        <v>100</v>
      </c>
      <c r="G926" s="119">
        <v>103.0444</v>
      </c>
      <c r="H926" s="119">
        <v>8</v>
      </c>
      <c r="I926" s="116">
        <v>2203</v>
      </c>
      <c r="J926" s="118" t="s">
        <v>269</v>
      </c>
    </row>
    <row r="927" spans="1:10" x14ac:dyDescent="0.25">
      <c r="A927" s="116">
        <v>924</v>
      </c>
      <c r="B927" s="117" t="s">
        <v>1714</v>
      </c>
      <c r="C927" s="118" t="s">
        <v>1715</v>
      </c>
      <c r="D927" s="118" t="s">
        <v>455</v>
      </c>
      <c r="E927" s="118" t="s">
        <v>633</v>
      </c>
      <c r="F927" s="119">
        <v>100</v>
      </c>
      <c r="G927" s="119">
        <v>100.0444</v>
      </c>
      <c r="H927" s="119">
        <v>8</v>
      </c>
      <c r="I927" s="116">
        <v>178</v>
      </c>
      <c r="J927" s="118" t="s">
        <v>269</v>
      </c>
    </row>
    <row r="928" spans="1:10" x14ac:dyDescent="0.25">
      <c r="A928" s="116">
        <v>925</v>
      </c>
      <c r="B928" s="117" t="s">
        <v>1716</v>
      </c>
      <c r="C928" s="118" t="s">
        <v>1717</v>
      </c>
      <c r="D928" s="118" t="s">
        <v>455</v>
      </c>
      <c r="E928" s="118" t="s">
        <v>633</v>
      </c>
      <c r="F928" s="119">
        <v>100</v>
      </c>
      <c r="G928" s="119">
        <v>100.0444</v>
      </c>
      <c r="H928" s="119">
        <v>8</v>
      </c>
      <c r="I928" s="116">
        <v>178</v>
      </c>
      <c r="J928" s="118" t="s">
        <v>269</v>
      </c>
    </row>
    <row r="929" spans="1:10" x14ac:dyDescent="0.25">
      <c r="A929" s="116">
        <v>926</v>
      </c>
      <c r="B929" s="117" t="s">
        <v>1718</v>
      </c>
      <c r="C929" s="118" t="s">
        <v>1719</v>
      </c>
      <c r="D929" s="118" t="s">
        <v>455</v>
      </c>
      <c r="E929" s="118" t="s">
        <v>633</v>
      </c>
      <c r="F929" s="119">
        <v>100</v>
      </c>
      <c r="G929" s="119">
        <v>100.0444</v>
      </c>
      <c r="H929" s="119">
        <v>8</v>
      </c>
      <c r="I929" s="116">
        <v>538</v>
      </c>
      <c r="J929" s="118" t="s">
        <v>269</v>
      </c>
    </row>
    <row r="930" spans="1:10" x14ac:dyDescent="0.25">
      <c r="A930" s="116">
        <v>927</v>
      </c>
      <c r="B930" s="117" t="s">
        <v>1720</v>
      </c>
      <c r="C930" s="118" t="s">
        <v>1721</v>
      </c>
      <c r="D930" s="118" t="s">
        <v>455</v>
      </c>
      <c r="E930" s="118" t="s">
        <v>633</v>
      </c>
      <c r="F930" s="119">
        <v>100</v>
      </c>
      <c r="G930" s="119">
        <v>100.0444</v>
      </c>
      <c r="H930" s="119">
        <v>8</v>
      </c>
      <c r="I930" s="116">
        <v>538</v>
      </c>
      <c r="J930" s="118" t="s">
        <v>269</v>
      </c>
    </row>
    <row r="931" spans="1:10" x14ac:dyDescent="0.25">
      <c r="A931" s="116">
        <v>928</v>
      </c>
      <c r="B931" s="117" t="s">
        <v>1722</v>
      </c>
      <c r="C931" s="118" t="s">
        <v>1723</v>
      </c>
      <c r="D931" s="118" t="s">
        <v>455</v>
      </c>
      <c r="E931" s="118" t="s">
        <v>1724</v>
      </c>
      <c r="F931" s="119">
        <v>90.558012347199764</v>
      </c>
      <c r="G931" s="119">
        <v>93.685112347199762</v>
      </c>
      <c r="H931" s="119">
        <v>23.57</v>
      </c>
      <c r="I931" s="116">
        <v>1383</v>
      </c>
      <c r="J931" s="118" t="s">
        <v>269</v>
      </c>
    </row>
    <row r="932" spans="1:10" x14ac:dyDescent="0.25">
      <c r="A932" s="116">
        <v>929</v>
      </c>
      <c r="B932" s="117" t="s">
        <v>1725</v>
      </c>
      <c r="C932" s="118" t="s">
        <v>1726</v>
      </c>
      <c r="D932" s="118" t="s">
        <v>455</v>
      </c>
      <c r="E932" s="118" t="s">
        <v>1727</v>
      </c>
      <c r="F932" s="119">
        <v>100</v>
      </c>
      <c r="G932" s="119">
        <v>100.8736</v>
      </c>
      <c r="H932" s="119">
        <v>4.2300000000000004</v>
      </c>
      <c r="I932" s="116">
        <v>226</v>
      </c>
      <c r="J932" s="118" t="s">
        <v>269</v>
      </c>
    </row>
    <row r="933" spans="1:10" x14ac:dyDescent="0.25">
      <c r="A933" s="116">
        <v>930</v>
      </c>
      <c r="B933" s="117" t="s">
        <v>1728</v>
      </c>
      <c r="C933" s="118" t="s">
        <v>1729</v>
      </c>
      <c r="D933" s="118" t="s">
        <v>455</v>
      </c>
      <c r="E933" s="118" t="s">
        <v>1727</v>
      </c>
      <c r="F933" s="119">
        <v>100</v>
      </c>
      <c r="G933" s="119">
        <v>100.14</v>
      </c>
      <c r="H933" s="119">
        <v>0.35</v>
      </c>
      <c r="I933" s="116">
        <v>36</v>
      </c>
      <c r="J933" s="118" t="s">
        <v>269</v>
      </c>
    </row>
    <row r="934" spans="1:10" x14ac:dyDescent="0.25">
      <c r="A934" s="116">
        <v>931</v>
      </c>
      <c r="B934" s="117" t="s">
        <v>1730</v>
      </c>
      <c r="C934" s="118" t="s">
        <v>1731</v>
      </c>
      <c r="D934" s="118" t="s">
        <v>455</v>
      </c>
      <c r="E934" s="118" t="s">
        <v>1727</v>
      </c>
      <c r="F934" s="119">
        <v>100</v>
      </c>
      <c r="G934" s="119">
        <v>100.1254</v>
      </c>
      <c r="H934" s="119">
        <v>0.35</v>
      </c>
      <c r="I934" s="116">
        <v>231</v>
      </c>
      <c r="J934" s="118" t="s">
        <v>269</v>
      </c>
    </row>
    <row r="935" spans="1:10" x14ac:dyDescent="0.25">
      <c r="A935" s="116">
        <v>932</v>
      </c>
      <c r="B935" s="117" t="s">
        <v>2121</v>
      </c>
      <c r="C935" s="118" t="s">
        <v>2122</v>
      </c>
      <c r="D935" s="118" t="s">
        <v>455</v>
      </c>
      <c r="E935" s="118" t="s">
        <v>1727</v>
      </c>
      <c r="F935" s="119">
        <v>100</v>
      </c>
      <c r="G935" s="119">
        <v>100.1478</v>
      </c>
      <c r="H935" s="119">
        <v>0.35</v>
      </c>
      <c r="I935" s="116">
        <v>568</v>
      </c>
      <c r="J935" s="118" t="s">
        <v>269</v>
      </c>
    </row>
    <row r="936" spans="1:10" x14ac:dyDescent="0.25">
      <c r="A936" s="116">
        <v>933</v>
      </c>
      <c r="B936" s="117" t="s">
        <v>1951</v>
      </c>
      <c r="C936" s="118" t="s">
        <v>1952</v>
      </c>
      <c r="D936" s="118" t="s">
        <v>455</v>
      </c>
      <c r="E936" s="118" t="s">
        <v>1727</v>
      </c>
      <c r="F936" s="119">
        <v>100</v>
      </c>
      <c r="G936" s="119">
        <v>100.0166</v>
      </c>
      <c r="H936" s="119">
        <v>0.02</v>
      </c>
      <c r="I936" s="116">
        <v>3044</v>
      </c>
      <c r="J936" s="118" t="s">
        <v>269</v>
      </c>
    </row>
    <row r="937" spans="1:10" x14ac:dyDescent="0.25">
      <c r="A937" s="116">
        <v>934</v>
      </c>
      <c r="B937" s="117" t="s">
        <v>1732</v>
      </c>
      <c r="C937" s="118" t="s">
        <v>1733</v>
      </c>
      <c r="D937" s="118" t="s">
        <v>455</v>
      </c>
      <c r="E937" s="118" t="s">
        <v>1727</v>
      </c>
      <c r="F937" s="119">
        <v>100</v>
      </c>
      <c r="G937" s="119">
        <v>105.7589</v>
      </c>
      <c r="H937" s="119">
        <v>7.05</v>
      </c>
      <c r="I937" s="116">
        <v>2141</v>
      </c>
      <c r="J937" s="118" t="s">
        <v>269</v>
      </c>
    </row>
    <row r="938" spans="1:10" x14ac:dyDescent="0.25">
      <c r="A938" s="116">
        <v>935</v>
      </c>
      <c r="B938" s="117" t="s">
        <v>1734</v>
      </c>
      <c r="C938" s="118" t="s">
        <v>1735</v>
      </c>
      <c r="D938" s="118" t="s">
        <v>455</v>
      </c>
      <c r="E938" s="118" t="s">
        <v>1727</v>
      </c>
      <c r="F938" s="119">
        <v>100</v>
      </c>
      <c r="G938" s="119">
        <v>100.0065</v>
      </c>
      <c r="H938" s="119">
        <v>0.02</v>
      </c>
      <c r="I938" s="116">
        <v>3044</v>
      </c>
      <c r="J938" s="118" t="s">
        <v>269</v>
      </c>
    </row>
    <row r="939" spans="1:10" x14ac:dyDescent="0.25">
      <c r="A939" s="116">
        <v>936</v>
      </c>
      <c r="B939" s="117" t="s">
        <v>1736</v>
      </c>
      <c r="C939" s="118" t="s">
        <v>1737</v>
      </c>
      <c r="D939" s="118" t="s">
        <v>455</v>
      </c>
      <c r="E939" s="118" t="s">
        <v>1727</v>
      </c>
      <c r="F939" s="119">
        <v>100</v>
      </c>
      <c r="G939" s="119">
        <v>100.00700000000001</v>
      </c>
      <c r="H939" s="119">
        <v>0.02</v>
      </c>
      <c r="I939" s="116">
        <v>3044</v>
      </c>
      <c r="J939" s="118" t="s">
        <v>269</v>
      </c>
    </row>
    <row r="940" spans="1:10" x14ac:dyDescent="0.25">
      <c r="A940" s="116">
        <v>937</v>
      </c>
      <c r="B940" s="117" t="s">
        <v>1738</v>
      </c>
      <c r="C940" s="118" t="s">
        <v>1739</v>
      </c>
      <c r="D940" s="118" t="s">
        <v>455</v>
      </c>
      <c r="E940" s="118" t="s">
        <v>1727</v>
      </c>
      <c r="F940" s="119">
        <v>100</v>
      </c>
      <c r="G940" s="119">
        <v>101.88079999999999</v>
      </c>
      <c r="H940" s="119">
        <v>6.08</v>
      </c>
      <c r="I940" s="116">
        <v>1659</v>
      </c>
      <c r="J940" s="118" t="s">
        <v>269</v>
      </c>
    </row>
    <row r="941" spans="1:10" x14ac:dyDescent="0.25">
      <c r="A941" s="116">
        <v>938</v>
      </c>
      <c r="B941" s="117" t="s">
        <v>1740</v>
      </c>
      <c r="C941" s="118" t="s">
        <v>1741</v>
      </c>
      <c r="D941" s="118" t="s">
        <v>455</v>
      </c>
      <c r="E941" s="118" t="s">
        <v>1727</v>
      </c>
      <c r="F941" s="119">
        <v>100</v>
      </c>
      <c r="G941" s="119">
        <v>101.0506</v>
      </c>
      <c r="H941" s="119">
        <v>6.08</v>
      </c>
      <c r="I941" s="116">
        <v>2068</v>
      </c>
      <c r="J941" s="118" t="s">
        <v>269</v>
      </c>
    </row>
    <row r="942" spans="1:10" x14ac:dyDescent="0.25">
      <c r="A942" s="116">
        <v>939</v>
      </c>
      <c r="B942" s="117" t="s">
        <v>1742</v>
      </c>
      <c r="C942" s="118" t="s">
        <v>1743</v>
      </c>
      <c r="D942" s="118" t="s">
        <v>455</v>
      </c>
      <c r="E942" s="118" t="s">
        <v>1727</v>
      </c>
      <c r="F942" s="119">
        <v>100</v>
      </c>
      <c r="G942" s="119">
        <v>103.79559999999999</v>
      </c>
      <c r="H942" s="119">
        <v>6.06</v>
      </c>
      <c r="I942" s="116">
        <v>2566</v>
      </c>
      <c r="J942" s="118" t="s">
        <v>269</v>
      </c>
    </row>
    <row r="943" spans="1:10" x14ac:dyDescent="0.25">
      <c r="A943" s="116">
        <v>940</v>
      </c>
      <c r="B943" s="117" t="s">
        <v>1744</v>
      </c>
      <c r="C943" s="118" t="s">
        <v>1745</v>
      </c>
      <c r="D943" s="118" t="s">
        <v>455</v>
      </c>
      <c r="E943" s="118" t="s">
        <v>1727</v>
      </c>
      <c r="F943" s="119">
        <v>100</v>
      </c>
      <c r="G943" s="119">
        <v>105.9983</v>
      </c>
      <c r="H943" s="119">
        <v>6.09</v>
      </c>
      <c r="I943" s="116">
        <v>2496</v>
      </c>
      <c r="J943" s="118" t="s">
        <v>269</v>
      </c>
    </row>
    <row r="944" spans="1:10" x14ac:dyDescent="0.25">
      <c r="A944" s="116">
        <v>941</v>
      </c>
      <c r="B944" s="117" t="s">
        <v>1746</v>
      </c>
      <c r="C944" s="118" t="s">
        <v>1747</v>
      </c>
      <c r="D944" s="118" t="s">
        <v>455</v>
      </c>
      <c r="E944" s="118" t="s">
        <v>1727</v>
      </c>
      <c r="F944" s="119">
        <v>100</v>
      </c>
      <c r="G944" s="119">
        <v>105.9983</v>
      </c>
      <c r="H944" s="119">
        <v>6.09</v>
      </c>
      <c r="I944" s="116">
        <v>2496</v>
      </c>
      <c r="J944" s="118" t="s">
        <v>269</v>
      </c>
    </row>
    <row r="945" spans="1:10" x14ac:dyDescent="0.25">
      <c r="A945" s="116">
        <v>942</v>
      </c>
      <c r="B945" s="117" t="s">
        <v>1748</v>
      </c>
      <c r="C945" s="118" t="s">
        <v>1749</v>
      </c>
      <c r="D945" s="118" t="s">
        <v>455</v>
      </c>
      <c r="E945" s="118" t="s">
        <v>1727</v>
      </c>
      <c r="F945" s="119">
        <v>100</v>
      </c>
      <c r="G945" s="119">
        <v>104.8631</v>
      </c>
      <c r="H945" s="119">
        <v>6.08</v>
      </c>
      <c r="I945" s="116">
        <v>2563</v>
      </c>
      <c r="J945" s="118" t="s">
        <v>269</v>
      </c>
    </row>
    <row r="946" spans="1:10" x14ac:dyDescent="0.25">
      <c r="A946" s="116">
        <v>943</v>
      </c>
      <c r="B946" s="117" t="s">
        <v>1750</v>
      </c>
      <c r="C946" s="118" t="s">
        <v>1751</v>
      </c>
      <c r="D946" s="118" t="s">
        <v>755</v>
      </c>
      <c r="E946" s="118" t="s">
        <v>1074</v>
      </c>
      <c r="F946" s="119">
        <v>49100.803950000009</v>
      </c>
      <c r="G946" s="119">
        <v>49100.803950000009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1752</v>
      </c>
      <c r="C947" s="118" t="s">
        <v>1753</v>
      </c>
      <c r="D947" s="118" t="s">
        <v>455</v>
      </c>
      <c r="E947" s="118" t="s">
        <v>2067</v>
      </c>
      <c r="F947" s="119">
        <v>95.53952322636664</v>
      </c>
      <c r="G947" s="119">
        <v>100.96402322636665</v>
      </c>
      <c r="H947" s="119">
        <v>20.65</v>
      </c>
      <c r="I947" s="116">
        <v>189</v>
      </c>
      <c r="J947" s="118" t="s">
        <v>269</v>
      </c>
    </row>
    <row r="948" spans="1:10" x14ac:dyDescent="0.25">
      <c r="A948" s="116">
        <v>945</v>
      </c>
      <c r="B948" s="117" t="s">
        <v>1754</v>
      </c>
      <c r="C948" s="118" t="s">
        <v>1755</v>
      </c>
      <c r="D948" s="118" t="s">
        <v>455</v>
      </c>
      <c r="E948" s="118" t="s">
        <v>2067</v>
      </c>
      <c r="F948" s="119">
        <v>87.444928467579345</v>
      </c>
      <c r="G948" s="119">
        <v>89.889328467579347</v>
      </c>
      <c r="H948" s="119">
        <v>19.68</v>
      </c>
      <c r="I948" s="116">
        <v>638</v>
      </c>
      <c r="J948" s="118" t="s">
        <v>269</v>
      </c>
    </row>
    <row r="949" spans="1:10" x14ac:dyDescent="0.25">
      <c r="A949" s="116">
        <v>946</v>
      </c>
      <c r="B949" s="117" t="s">
        <v>1756</v>
      </c>
      <c r="C949" s="118" t="s">
        <v>1757</v>
      </c>
      <c r="D949" s="118" t="s">
        <v>455</v>
      </c>
      <c r="E949" s="118" t="s">
        <v>2067</v>
      </c>
      <c r="F949" s="119">
        <v>27.019212576524506</v>
      </c>
      <c r="G949" s="119">
        <v>27.330312576524506</v>
      </c>
      <c r="H949" s="119">
        <v>19.8</v>
      </c>
      <c r="I949" s="116">
        <v>3184</v>
      </c>
      <c r="J949" s="118" t="s">
        <v>269</v>
      </c>
    </row>
    <row r="950" spans="1:10" x14ac:dyDescent="0.25">
      <c r="A950" s="116">
        <v>947</v>
      </c>
      <c r="B950" s="117" t="s">
        <v>1758</v>
      </c>
      <c r="C950" s="118" t="s">
        <v>1759</v>
      </c>
      <c r="D950" s="118" t="s">
        <v>455</v>
      </c>
      <c r="E950" s="118" t="s">
        <v>2067</v>
      </c>
      <c r="F950" s="119">
        <v>65.831906850116141</v>
      </c>
      <c r="G950" s="119">
        <v>66.247206850116143</v>
      </c>
      <c r="H950" s="119">
        <v>19.78</v>
      </c>
      <c r="I950" s="116">
        <v>3227</v>
      </c>
      <c r="J950" s="118" t="s">
        <v>269</v>
      </c>
    </row>
    <row r="951" spans="1:10" x14ac:dyDescent="0.25">
      <c r="A951" s="116">
        <v>948</v>
      </c>
      <c r="B951" s="117" t="s">
        <v>1760</v>
      </c>
      <c r="C951" s="118" t="s">
        <v>1761</v>
      </c>
      <c r="D951" s="118" t="s">
        <v>455</v>
      </c>
      <c r="E951" s="118" t="s">
        <v>2067</v>
      </c>
      <c r="F951" s="119">
        <v>65.896764060793302</v>
      </c>
      <c r="G951" s="119">
        <v>66.98286406079329</v>
      </c>
      <c r="H951" s="119">
        <v>19.78</v>
      </c>
      <c r="I951" s="116">
        <v>3206</v>
      </c>
      <c r="J951" s="118" t="s">
        <v>269</v>
      </c>
    </row>
    <row r="952" spans="1:10" x14ac:dyDescent="0.25">
      <c r="A952" s="116">
        <v>949</v>
      </c>
      <c r="B952" s="117" t="s">
        <v>1762</v>
      </c>
      <c r="C952" s="118" t="s">
        <v>1763</v>
      </c>
      <c r="D952" s="118" t="s">
        <v>445</v>
      </c>
      <c r="E952" s="118" t="s">
        <v>1764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1765</v>
      </c>
      <c r="C953" s="118" t="s">
        <v>1766</v>
      </c>
      <c r="D953" s="118" t="s">
        <v>445</v>
      </c>
      <c r="E953" s="118" t="s">
        <v>1767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1768</v>
      </c>
      <c r="C954" s="118" t="s">
        <v>1769</v>
      </c>
      <c r="D954" s="118" t="s">
        <v>455</v>
      </c>
      <c r="E954" s="118" t="s">
        <v>1770</v>
      </c>
      <c r="F954" s="119">
        <v>106.42060154861389</v>
      </c>
      <c r="G954" s="119">
        <v>110.02130154861389</v>
      </c>
      <c r="H954" s="119">
        <v>5.59</v>
      </c>
      <c r="I954" s="116">
        <v>1270</v>
      </c>
      <c r="J954" s="118" t="s">
        <v>269</v>
      </c>
    </row>
    <row r="955" spans="1:10" x14ac:dyDescent="0.25">
      <c r="A955" s="116">
        <v>952</v>
      </c>
      <c r="B955" s="117" t="s">
        <v>1771</v>
      </c>
      <c r="C955" s="118" t="s">
        <v>1772</v>
      </c>
      <c r="D955" s="118" t="s">
        <v>445</v>
      </c>
      <c r="E955" s="118" t="s">
        <v>2206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1773</v>
      </c>
      <c r="C956" s="118" t="s">
        <v>1774</v>
      </c>
      <c r="D956" s="118" t="s">
        <v>455</v>
      </c>
      <c r="E956" s="118" t="s">
        <v>2206</v>
      </c>
      <c r="F956" s="119">
        <v>83.700431349588953</v>
      </c>
      <c r="G956" s="119">
        <v>87.000431349588965</v>
      </c>
      <c r="H956" s="119">
        <v>16.91</v>
      </c>
      <c r="I956" s="116">
        <v>948</v>
      </c>
      <c r="J956" s="118" t="s">
        <v>269</v>
      </c>
    </row>
    <row r="957" spans="1:10" x14ac:dyDescent="0.25">
      <c r="A957" s="116">
        <v>954</v>
      </c>
      <c r="B957" s="117" t="s">
        <v>1775</v>
      </c>
      <c r="C957" s="118" t="s">
        <v>1776</v>
      </c>
      <c r="D957" s="118" t="s">
        <v>455</v>
      </c>
      <c r="E957" s="118" t="s">
        <v>2206</v>
      </c>
      <c r="F957" s="119">
        <v>9.1198127018361266</v>
      </c>
      <c r="G957" s="119">
        <v>9.1754127018361267</v>
      </c>
      <c r="H957" s="119">
        <v>17.14</v>
      </c>
      <c r="I957" s="116">
        <v>5415</v>
      </c>
      <c r="J957" s="118" t="s">
        <v>269</v>
      </c>
    </row>
    <row r="958" spans="1:10" x14ac:dyDescent="0.25">
      <c r="A958" s="116">
        <v>955</v>
      </c>
      <c r="B958" s="117" t="s">
        <v>1777</v>
      </c>
      <c r="C958" s="118" t="s">
        <v>1778</v>
      </c>
      <c r="D958" s="118" t="s">
        <v>455</v>
      </c>
      <c r="E958" s="118" t="s">
        <v>2206</v>
      </c>
      <c r="F958" s="119">
        <v>26.356096901480235</v>
      </c>
      <c r="G958" s="119">
        <v>26.427796901480235</v>
      </c>
      <c r="H958" s="119">
        <v>17.690000000000001</v>
      </c>
      <c r="I958" s="116">
        <v>2982</v>
      </c>
      <c r="J958" s="118" t="s">
        <v>269</v>
      </c>
    </row>
    <row r="959" spans="1:10" x14ac:dyDescent="0.25">
      <c r="A959" s="116">
        <v>956</v>
      </c>
      <c r="B959" s="117" t="s">
        <v>1779</v>
      </c>
      <c r="C959" s="118" t="s">
        <v>1780</v>
      </c>
      <c r="D959" s="118" t="s">
        <v>455</v>
      </c>
      <c r="E959" s="118" t="s">
        <v>2206</v>
      </c>
      <c r="F959" s="119">
        <v>26.356096901480235</v>
      </c>
      <c r="G959" s="119">
        <v>26.427796901480235</v>
      </c>
      <c r="H959" s="119">
        <v>17.690000000000001</v>
      </c>
      <c r="I959" s="116">
        <v>2982</v>
      </c>
      <c r="J959" s="118" t="s">
        <v>269</v>
      </c>
    </row>
    <row r="960" spans="1:10" x14ac:dyDescent="0.25">
      <c r="A960" s="116">
        <v>957</v>
      </c>
      <c r="B960" s="117" t="s">
        <v>1781</v>
      </c>
      <c r="C960" s="118" t="s">
        <v>1782</v>
      </c>
      <c r="D960" s="118" t="s">
        <v>455</v>
      </c>
      <c r="E960" s="118" t="s">
        <v>2206</v>
      </c>
      <c r="F960" s="119">
        <v>4.3465133294867053</v>
      </c>
      <c r="G960" s="119">
        <v>4.4162133294867054</v>
      </c>
      <c r="H960" s="119">
        <v>17.350000000000001</v>
      </c>
      <c r="I960" s="116">
        <v>7215</v>
      </c>
      <c r="J960" s="118" t="s">
        <v>269</v>
      </c>
    </row>
    <row r="961" spans="1:10" x14ac:dyDescent="0.25">
      <c r="A961" s="116">
        <v>958</v>
      </c>
      <c r="B961" s="117" t="s">
        <v>1783</v>
      </c>
      <c r="C961" s="118" t="s">
        <v>1784</v>
      </c>
      <c r="D961" s="118" t="s">
        <v>455</v>
      </c>
      <c r="E961" s="118" t="s">
        <v>2206</v>
      </c>
      <c r="F961" s="119">
        <v>9.1212036847680142</v>
      </c>
      <c r="G961" s="119">
        <v>9.2187036847680144</v>
      </c>
      <c r="H961" s="119">
        <v>16.350000000000001</v>
      </c>
      <c r="I961" s="116">
        <v>5415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2206</v>
      </c>
      <c r="F962" s="119">
        <v>26.508552214052877</v>
      </c>
      <c r="G962" s="119">
        <v>26.508852214052876</v>
      </c>
      <c r="H962" s="119">
        <v>16.63</v>
      </c>
      <c r="I962" s="116">
        <v>2969</v>
      </c>
      <c r="J962" s="118" t="s">
        <v>269</v>
      </c>
    </row>
    <row r="963" spans="1:10" x14ac:dyDescent="0.25">
      <c r="A963" s="116">
        <v>960</v>
      </c>
      <c r="B963" s="117" t="s">
        <v>1785</v>
      </c>
      <c r="C963" s="118" t="s">
        <v>1786</v>
      </c>
      <c r="D963" s="118" t="s">
        <v>455</v>
      </c>
      <c r="E963" s="118" t="s">
        <v>2206</v>
      </c>
      <c r="F963" s="119">
        <v>26.425388538752649</v>
      </c>
      <c r="G963" s="119">
        <v>26.498688538752649</v>
      </c>
      <c r="H963" s="119">
        <v>17.690000000000001</v>
      </c>
      <c r="I963" s="116">
        <v>2976</v>
      </c>
      <c r="J963" s="118" t="s">
        <v>269</v>
      </c>
    </row>
    <row r="964" spans="1:10" x14ac:dyDescent="0.25">
      <c r="A964" s="116">
        <v>961</v>
      </c>
      <c r="B964" s="117" t="s">
        <v>1787</v>
      </c>
      <c r="C964" s="118" t="s">
        <v>1788</v>
      </c>
      <c r="D964" s="118" t="s">
        <v>455</v>
      </c>
      <c r="E964" s="118" t="s">
        <v>2206</v>
      </c>
      <c r="F964" s="119">
        <v>26.356096901480235</v>
      </c>
      <c r="G964" s="119">
        <v>26.427796901480235</v>
      </c>
      <c r="H964" s="119">
        <v>17.690000000000001</v>
      </c>
      <c r="I964" s="116">
        <v>2982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2206</v>
      </c>
      <c r="F965" s="119">
        <v>26.425388538752649</v>
      </c>
      <c r="G965" s="119">
        <v>26.498688538752649</v>
      </c>
      <c r="H965" s="119">
        <v>17.690000000000001</v>
      </c>
      <c r="I965" s="116">
        <v>2976</v>
      </c>
      <c r="J965" s="118" t="s">
        <v>269</v>
      </c>
    </row>
    <row r="966" spans="1:10" x14ac:dyDescent="0.25">
      <c r="A966" s="116">
        <v>963</v>
      </c>
      <c r="B966" s="117" t="s">
        <v>1789</v>
      </c>
      <c r="C966" s="118" t="s">
        <v>1790</v>
      </c>
      <c r="D966" s="118" t="s">
        <v>455</v>
      </c>
      <c r="E966" s="118" t="s">
        <v>2206</v>
      </c>
      <c r="F966" s="119">
        <v>98.388019494321924</v>
      </c>
      <c r="G966" s="119">
        <v>105.68801949432194</v>
      </c>
      <c r="H966" s="119">
        <v>17.75</v>
      </c>
      <c r="I966" s="116">
        <v>68</v>
      </c>
      <c r="J966" s="118" t="s">
        <v>269</v>
      </c>
    </row>
    <row r="967" spans="1:10" x14ac:dyDescent="0.25">
      <c r="A967" s="116">
        <v>964</v>
      </c>
      <c r="B967" s="117" t="s">
        <v>1791</v>
      </c>
      <c r="C967" s="118" t="s">
        <v>1792</v>
      </c>
      <c r="D967" s="118" t="s">
        <v>455</v>
      </c>
      <c r="E967" s="118" t="s">
        <v>2206</v>
      </c>
      <c r="F967" s="119">
        <v>86.353096686467779</v>
      </c>
      <c r="G967" s="119">
        <v>88.332296686467785</v>
      </c>
      <c r="H967" s="119">
        <v>16.87</v>
      </c>
      <c r="I967" s="116">
        <v>625</v>
      </c>
      <c r="J967" s="118" t="s">
        <v>269</v>
      </c>
    </row>
    <row r="968" spans="1:10" x14ac:dyDescent="0.25">
      <c r="A968" s="116">
        <v>965</v>
      </c>
      <c r="B968" s="117" t="s">
        <v>1793</v>
      </c>
      <c r="C968" s="118" t="s">
        <v>1794</v>
      </c>
      <c r="D968" s="118" t="s">
        <v>445</v>
      </c>
      <c r="E968" s="118" t="s">
        <v>2206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1795</v>
      </c>
      <c r="C969" s="118" t="s">
        <v>1796</v>
      </c>
      <c r="D969" s="118" t="s">
        <v>445</v>
      </c>
      <c r="E969" s="118" t="s">
        <v>2600</v>
      </c>
      <c r="F969" s="119">
        <v>237252.75720000005</v>
      </c>
      <c r="G969" s="119">
        <v>237252.75720000005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2241</v>
      </c>
      <c r="C970" s="118" t="s">
        <v>2242</v>
      </c>
      <c r="D970" s="118" t="s">
        <v>455</v>
      </c>
      <c r="E970" s="118" t="s">
        <v>1799</v>
      </c>
      <c r="F970" s="119">
        <v>50.874125730879051</v>
      </c>
      <c r="G970" s="119">
        <v>51.174125730879055</v>
      </c>
      <c r="H970" s="119">
        <v>53.02</v>
      </c>
      <c r="I970" s="116">
        <v>984</v>
      </c>
      <c r="J970" s="118" t="s">
        <v>269</v>
      </c>
    </row>
    <row r="971" spans="1:10" x14ac:dyDescent="0.25">
      <c r="A971" s="116">
        <v>968</v>
      </c>
      <c r="B971" s="117" t="s">
        <v>1797</v>
      </c>
      <c r="C971" s="118" t="s">
        <v>1798</v>
      </c>
      <c r="D971" s="118" t="s">
        <v>455</v>
      </c>
      <c r="E971" s="118" t="s">
        <v>1799</v>
      </c>
      <c r="F971" s="119">
        <v>96.355463023801619</v>
      </c>
      <c r="G971" s="119">
        <v>99.07766302380162</v>
      </c>
      <c r="H971" s="119">
        <v>54.37</v>
      </c>
      <c r="I971" s="116">
        <v>41</v>
      </c>
      <c r="J971" s="118" t="s">
        <v>269</v>
      </c>
    </row>
    <row r="972" spans="1:10" x14ac:dyDescent="0.25">
      <c r="A972" s="116">
        <v>969</v>
      </c>
      <c r="B972" s="117" t="s">
        <v>1800</v>
      </c>
      <c r="C972" s="118" t="s">
        <v>1801</v>
      </c>
      <c r="D972" s="118" t="s">
        <v>455</v>
      </c>
      <c r="E972" s="118" t="s">
        <v>1799</v>
      </c>
      <c r="F972" s="119">
        <v>96.754816963906606</v>
      </c>
      <c r="G972" s="119">
        <v>99.754816963906606</v>
      </c>
      <c r="H972" s="119">
        <v>54.67</v>
      </c>
      <c r="I972" s="116">
        <v>36</v>
      </c>
      <c r="J972" s="118" t="s">
        <v>269</v>
      </c>
    </row>
    <row r="973" spans="1:10" x14ac:dyDescent="0.25">
      <c r="A973" s="116">
        <v>970</v>
      </c>
      <c r="B973" s="117" t="s">
        <v>1802</v>
      </c>
      <c r="C973" s="118" t="s">
        <v>1803</v>
      </c>
      <c r="D973" s="118" t="s">
        <v>445</v>
      </c>
      <c r="E973" s="118" t="s">
        <v>1804</v>
      </c>
      <c r="F973" s="119">
        <v>93966.875700000019</v>
      </c>
      <c r="G973" s="119">
        <v>93966.875700000019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1705</v>
      </c>
      <c r="C974" s="118" t="s">
        <v>1706</v>
      </c>
      <c r="D974" s="118" t="s">
        <v>445</v>
      </c>
      <c r="E974" s="118" t="s">
        <v>1707</v>
      </c>
      <c r="F974" s="119">
        <v>14059.203150000003</v>
      </c>
      <c r="G974" s="119">
        <v>14059.203150000003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1805</v>
      </c>
      <c r="C975" s="118" t="s">
        <v>1806</v>
      </c>
      <c r="D975" s="118" t="s">
        <v>445</v>
      </c>
      <c r="E975" s="118" t="s">
        <v>1807</v>
      </c>
      <c r="F975" s="119">
        <v>51554.901300000012</v>
      </c>
      <c r="G975" s="119">
        <v>51554.901300000012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1808</v>
      </c>
      <c r="C976" s="118" t="s">
        <v>1809</v>
      </c>
      <c r="D976" s="118" t="s">
        <v>445</v>
      </c>
      <c r="E976" s="118" t="s">
        <v>1810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1811</v>
      </c>
      <c r="C977" s="118" t="s">
        <v>1812</v>
      </c>
      <c r="D977" s="118" t="s">
        <v>755</v>
      </c>
      <c r="E977" s="118" t="s">
        <v>762</v>
      </c>
      <c r="F977" s="119">
        <v>32210.364450000005</v>
      </c>
      <c r="G977" s="119">
        <v>32210.364450000005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1844</v>
      </c>
      <c r="C978" s="118" t="s">
        <v>1845</v>
      </c>
      <c r="D978" s="118" t="s">
        <v>455</v>
      </c>
      <c r="E978" s="118" t="s">
        <v>1815</v>
      </c>
      <c r="F978" s="119">
        <v>98.015625</v>
      </c>
      <c r="G978" s="119">
        <v>98.610124999999996</v>
      </c>
      <c r="H978" s="119">
        <v>3.81</v>
      </c>
      <c r="I978" s="116">
        <v>2679</v>
      </c>
      <c r="J978" s="118" t="s">
        <v>269</v>
      </c>
    </row>
    <row r="979" spans="1:10" x14ac:dyDescent="0.25">
      <c r="A979" s="116">
        <v>976</v>
      </c>
      <c r="B979" s="117" t="s">
        <v>1846</v>
      </c>
      <c r="C979" s="118" t="s">
        <v>1847</v>
      </c>
      <c r="D979" s="118" t="s">
        <v>455</v>
      </c>
      <c r="E979" s="118" t="s">
        <v>1815</v>
      </c>
      <c r="F979" s="119">
        <v>100.15625</v>
      </c>
      <c r="G979" s="119">
        <v>100.81444999999999</v>
      </c>
      <c r="H979" s="119">
        <v>3.85</v>
      </c>
      <c r="I979" s="116">
        <v>2860</v>
      </c>
      <c r="J979" s="118" t="s">
        <v>269</v>
      </c>
    </row>
    <row r="980" spans="1:10" x14ac:dyDescent="0.25">
      <c r="A980" s="116">
        <v>977</v>
      </c>
      <c r="B980" s="117" t="s">
        <v>1848</v>
      </c>
      <c r="C980" s="118" t="s">
        <v>1849</v>
      </c>
      <c r="D980" s="118" t="s">
        <v>455</v>
      </c>
      <c r="E980" s="118" t="s">
        <v>1815</v>
      </c>
      <c r="F980" s="119">
        <v>108.515625</v>
      </c>
      <c r="G980" s="119">
        <v>109.428625</v>
      </c>
      <c r="H980" s="119">
        <v>3.6</v>
      </c>
      <c r="I980" s="116">
        <v>1948</v>
      </c>
      <c r="J980" s="118" t="s">
        <v>269</v>
      </c>
    </row>
    <row r="981" spans="1:10" x14ac:dyDescent="0.25">
      <c r="A981" s="116">
        <v>978</v>
      </c>
      <c r="B981" s="117" t="s">
        <v>1850</v>
      </c>
      <c r="C981" s="118" t="s">
        <v>1851</v>
      </c>
      <c r="D981" s="118" t="s">
        <v>455</v>
      </c>
      <c r="E981" s="118" t="s">
        <v>1815</v>
      </c>
      <c r="F981" s="119">
        <v>97.8828125</v>
      </c>
      <c r="G981" s="119">
        <v>98.400612499999994</v>
      </c>
      <c r="H981" s="119">
        <v>3.55</v>
      </c>
      <c r="I981" s="116">
        <v>441</v>
      </c>
      <c r="J981" s="118" t="s">
        <v>269</v>
      </c>
    </row>
    <row r="982" spans="1:10" x14ac:dyDescent="0.25">
      <c r="A982" s="116">
        <v>979</v>
      </c>
      <c r="B982" s="117" t="s">
        <v>1852</v>
      </c>
      <c r="C982" s="118" t="s">
        <v>1853</v>
      </c>
      <c r="D982" s="118" t="s">
        <v>455</v>
      </c>
      <c r="E982" s="118" t="s">
        <v>1815</v>
      </c>
      <c r="F982" s="119">
        <v>93.6171875</v>
      </c>
      <c r="G982" s="119">
        <v>94.023987500000004</v>
      </c>
      <c r="H982" s="119">
        <v>3.5</v>
      </c>
      <c r="I982" s="116">
        <v>1172</v>
      </c>
      <c r="J982" s="118" t="s">
        <v>269</v>
      </c>
    </row>
    <row r="983" spans="1:10" x14ac:dyDescent="0.25">
      <c r="A983" s="116">
        <v>980</v>
      </c>
      <c r="B983" s="117" t="s">
        <v>1854</v>
      </c>
      <c r="C983" s="118" t="s">
        <v>1855</v>
      </c>
      <c r="D983" s="118" t="s">
        <v>455</v>
      </c>
      <c r="E983" s="118" t="s">
        <v>1815</v>
      </c>
      <c r="F983" s="119">
        <v>88.1640625</v>
      </c>
      <c r="G983" s="119">
        <v>88.355162500000006</v>
      </c>
      <c r="H983" s="119">
        <v>3.58</v>
      </c>
      <c r="I983" s="116">
        <v>1948</v>
      </c>
      <c r="J983" s="118" t="s">
        <v>269</v>
      </c>
    </row>
    <row r="984" spans="1:10" x14ac:dyDescent="0.25">
      <c r="A984" s="116">
        <v>981</v>
      </c>
      <c r="B984" s="117" t="s">
        <v>1856</v>
      </c>
      <c r="C984" s="118" t="s">
        <v>1857</v>
      </c>
      <c r="D984" s="118" t="s">
        <v>455</v>
      </c>
      <c r="E984" s="118" t="s">
        <v>1815</v>
      </c>
      <c r="F984" s="119">
        <v>99.2890625</v>
      </c>
      <c r="G984" s="119">
        <v>99.384562500000001</v>
      </c>
      <c r="H984" s="119">
        <v>0.95</v>
      </c>
      <c r="I984" s="116">
        <v>456</v>
      </c>
      <c r="J984" s="118" t="s">
        <v>269</v>
      </c>
    </row>
    <row r="985" spans="1:10" x14ac:dyDescent="0.25">
      <c r="A985" s="116">
        <v>982</v>
      </c>
      <c r="B985" s="117" t="s">
        <v>1858</v>
      </c>
      <c r="C985" s="118" t="s">
        <v>1859</v>
      </c>
      <c r="D985" s="118" t="s">
        <v>455</v>
      </c>
      <c r="E985" s="118" t="s">
        <v>1815</v>
      </c>
      <c r="F985" s="119">
        <v>100.1015625</v>
      </c>
      <c r="G985" s="119">
        <v>101.9447625</v>
      </c>
      <c r="H985" s="119">
        <v>4</v>
      </c>
      <c r="I985" s="116">
        <v>45</v>
      </c>
      <c r="J985" s="118" t="s">
        <v>269</v>
      </c>
    </row>
    <row r="986" spans="1:10" x14ac:dyDescent="0.25">
      <c r="A986" s="116">
        <v>983</v>
      </c>
      <c r="B986" s="117" t="s">
        <v>1953</v>
      </c>
      <c r="C986" s="118" t="s">
        <v>1954</v>
      </c>
      <c r="D986" s="118" t="s">
        <v>455</v>
      </c>
      <c r="E986" s="118" t="s">
        <v>1815</v>
      </c>
      <c r="F986" s="119">
        <v>101.078125</v>
      </c>
      <c r="G986" s="119">
        <v>103.02952500000001</v>
      </c>
      <c r="H986" s="119">
        <v>3.6</v>
      </c>
      <c r="I986" s="116">
        <v>395</v>
      </c>
      <c r="J986" s="118" t="s">
        <v>269</v>
      </c>
    </row>
    <row r="987" spans="1:10" x14ac:dyDescent="0.25">
      <c r="A987" s="116">
        <v>984</v>
      </c>
      <c r="B987" s="117" t="s">
        <v>1860</v>
      </c>
      <c r="C987" s="118" t="s">
        <v>1861</v>
      </c>
      <c r="D987" s="118" t="s">
        <v>455</v>
      </c>
      <c r="E987" s="118" t="s">
        <v>1815</v>
      </c>
      <c r="F987" s="119">
        <v>104.8125</v>
      </c>
      <c r="G987" s="119">
        <v>106.5611</v>
      </c>
      <c r="H987" s="119">
        <v>3.67</v>
      </c>
      <c r="I987" s="116">
        <v>2053</v>
      </c>
      <c r="J987" s="118" t="s">
        <v>269</v>
      </c>
    </row>
    <row r="988" spans="1:10" x14ac:dyDescent="0.25">
      <c r="A988" s="116">
        <v>985</v>
      </c>
      <c r="B988" s="117" t="s">
        <v>1862</v>
      </c>
      <c r="C988" s="118" t="s">
        <v>1863</v>
      </c>
      <c r="D988" s="118" t="s">
        <v>455</v>
      </c>
      <c r="E988" s="118" t="s">
        <v>1815</v>
      </c>
      <c r="F988" s="119">
        <v>103.328125</v>
      </c>
      <c r="G988" s="119">
        <v>105.174025</v>
      </c>
      <c r="H988" s="119">
        <v>3.91</v>
      </c>
      <c r="I988" s="116">
        <v>3133</v>
      </c>
      <c r="J988" s="118" t="s">
        <v>269</v>
      </c>
    </row>
    <row r="989" spans="1:10" x14ac:dyDescent="0.25">
      <c r="A989" s="116">
        <v>986</v>
      </c>
      <c r="B989" s="117" t="s">
        <v>1955</v>
      </c>
      <c r="C989" s="118" t="s">
        <v>1956</v>
      </c>
      <c r="D989" s="118" t="s">
        <v>455</v>
      </c>
      <c r="E989" s="118" t="s">
        <v>1815</v>
      </c>
      <c r="F989" s="119">
        <v>100.28683913297975</v>
      </c>
      <c r="G989" s="119">
        <v>100.86973913297975</v>
      </c>
      <c r="H989" s="119">
        <v>3.83</v>
      </c>
      <c r="I989" s="116">
        <v>135</v>
      </c>
      <c r="J989" s="118" t="s">
        <v>269</v>
      </c>
    </row>
    <row r="990" spans="1:10" x14ac:dyDescent="0.25">
      <c r="A990" s="116">
        <v>987</v>
      </c>
      <c r="B990" s="117" t="s">
        <v>1957</v>
      </c>
      <c r="C990" s="118" t="s">
        <v>1958</v>
      </c>
      <c r="D990" s="118" t="s">
        <v>455</v>
      </c>
      <c r="E990" s="118" t="s">
        <v>1815</v>
      </c>
      <c r="F990" s="119">
        <v>100.09765625</v>
      </c>
      <c r="G990" s="119">
        <v>100.99425625000001</v>
      </c>
      <c r="H990" s="119">
        <v>3.89</v>
      </c>
      <c r="I990" s="116">
        <v>107</v>
      </c>
      <c r="J990" s="118" t="s">
        <v>269</v>
      </c>
    </row>
    <row r="991" spans="1:10" x14ac:dyDescent="0.25">
      <c r="A991" s="116">
        <v>988</v>
      </c>
      <c r="B991" s="117" t="s">
        <v>1975</v>
      </c>
      <c r="C991" s="118" t="s">
        <v>1976</v>
      </c>
      <c r="D991" s="118" t="s">
        <v>455</v>
      </c>
      <c r="E991" s="118" t="s">
        <v>1815</v>
      </c>
      <c r="F991" s="119">
        <v>97.9921875</v>
      </c>
      <c r="G991" s="119">
        <v>98.744587499999994</v>
      </c>
      <c r="H991" s="119">
        <v>3.61</v>
      </c>
      <c r="I991" s="116">
        <v>380</v>
      </c>
      <c r="J991" s="118" t="s">
        <v>269</v>
      </c>
    </row>
    <row r="992" spans="1:10" x14ac:dyDescent="0.25">
      <c r="A992" s="116">
        <v>989</v>
      </c>
      <c r="B992" s="117" t="s">
        <v>1977</v>
      </c>
      <c r="C992" s="118" t="s">
        <v>1978</v>
      </c>
      <c r="D992" s="118" t="s">
        <v>455</v>
      </c>
      <c r="E992" s="118" t="s">
        <v>1815</v>
      </c>
      <c r="F992" s="119">
        <v>102.84375</v>
      </c>
      <c r="G992" s="119">
        <v>104.84784999999999</v>
      </c>
      <c r="H992" s="119">
        <v>4.5199999999999996</v>
      </c>
      <c r="I992" s="116">
        <v>6604</v>
      </c>
      <c r="J992" s="118" t="s">
        <v>269</v>
      </c>
    </row>
    <row r="993" spans="1:10" x14ac:dyDescent="0.25">
      <c r="A993" s="116">
        <v>990</v>
      </c>
      <c r="B993" s="117" t="s">
        <v>2136</v>
      </c>
      <c r="C993" s="118" t="s">
        <v>2137</v>
      </c>
      <c r="D993" s="118" t="s">
        <v>455</v>
      </c>
      <c r="E993" s="118" t="s">
        <v>1815</v>
      </c>
      <c r="F993" s="119">
        <v>99.831430470008456</v>
      </c>
      <c r="G993" s="119">
        <v>99.831430470008456</v>
      </c>
      <c r="H993" s="119">
        <v>4.34</v>
      </c>
      <c r="I993" s="116">
        <v>14</v>
      </c>
      <c r="J993" s="118" t="s">
        <v>269</v>
      </c>
    </row>
    <row r="994" spans="1:10" x14ac:dyDescent="0.25">
      <c r="A994" s="116">
        <v>991</v>
      </c>
      <c r="B994" s="117" t="s">
        <v>2138</v>
      </c>
      <c r="C994" s="118" t="s">
        <v>2139</v>
      </c>
      <c r="D994" s="118" t="s">
        <v>455</v>
      </c>
      <c r="E994" s="118" t="s">
        <v>1815</v>
      </c>
      <c r="F994" s="119">
        <v>99.51076637387466</v>
      </c>
      <c r="G994" s="119">
        <v>99.51076637387466</v>
      </c>
      <c r="H994" s="119">
        <v>4.12</v>
      </c>
      <c r="I994" s="116">
        <v>42</v>
      </c>
      <c r="J994" s="118" t="s">
        <v>269</v>
      </c>
    </row>
    <row r="995" spans="1:10" x14ac:dyDescent="0.25">
      <c r="A995" s="116">
        <v>992</v>
      </c>
      <c r="B995" s="117" t="s">
        <v>2140</v>
      </c>
      <c r="C995" s="118" t="s">
        <v>2141</v>
      </c>
      <c r="D995" s="118" t="s">
        <v>455</v>
      </c>
      <c r="E995" s="118" t="s">
        <v>1815</v>
      </c>
      <c r="F995" s="119">
        <v>99.230960059538575</v>
      </c>
      <c r="G995" s="119">
        <v>99.230960059538575</v>
      </c>
      <c r="H995" s="119">
        <v>3.93</v>
      </c>
      <c r="I995" s="116">
        <v>70</v>
      </c>
      <c r="J995" s="118" t="s">
        <v>269</v>
      </c>
    </row>
    <row r="996" spans="1:10" x14ac:dyDescent="0.25">
      <c r="A996" s="116">
        <v>993</v>
      </c>
      <c r="B996" s="117" t="s">
        <v>2142</v>
      </c>
      <c r="C996" s="118" t="s">
        <v>2143</v>
      </c>
      <c r="D996" s="118" t="s">
        <v>455</v>
      </c>
      <c r="E996" s="118" t="s">
        <v>1815</v>
      </c>
      <c r="F996" s="119">
        <v>98.961088051006399</v>
      </c>
      <c r="G996" s="119">
        <v>98.961088051006399</v>
      </c>
      <c r="H996" s="119">
        <v>3.86</v>
      </c>
      <c r="I996" s="116">
        <v>96</v>
      </c>
      <c r="J996" s="118" t="s">
        <v>269</v>
      </c>
    </row>
    <row r="997" spans="1:10" x14ac:dyDescent="0.25">
      <c r="A997" s="116">
        <v>994</v>
      </c>
      <c r="B997" s="117" t="s">
        <v>2147</v>
      </c>
      <c r="C997" s="118" t="s">
        <v>2148</v>
      </c>
      <c r="D997" s="118" t="s">
        <v>455</v>
      </c>
      <c r="E997" s="118" t="s">
        <v>1815</v>
      </c>
      <c r="F997" s="119">
        <v>98.69091977744101</v>
      </c>
      <c r="G997" s="119">
        <v>98.69091977744101</v>
      </c>
      <c r="H997" s="119">
        <v>3.79</v>
      </c>
      <c r="I997" s="116">
        <v>123</v>
      </c>
      <c r="J997" s="118" t="s">
        <v>269</v>
      </c>
    </row>
    <row r="998" spans="1:10" x14ac:dyDescent="0.25">
      <c r="A998" s="116">
        <v>995</v>
      </c>
      <c r="B998" s="117" t="s">
        <v>2149</v>
      </c>
      <c r="C998" s="118" t="s">
        <v>2150</v>
      </c>
      <c r="D998" s="118" t="s">
        <v>455</v>
      </c>
      <c r="E998" s="118" t="s">
        <v>1815</v>
      </c>
      <c r="F998" s="119">
        <v>98.41628379428947</v>
      </c>
      <c r="G998" s="119">
        <v>98.41628379428947</v>
      </c>
      <c r="H998" s="119">
        <v>3.76</v>
      </c>
      <c r="I998" s="116">
        <v>153</v>
      </c>
      <c r="J998" s="118" t="s">
        <v>269</v>
      </c>
    </row>
    <row r="999" spans="1:10" x14ac:dyDescent="0.25">
      <c r="A999" s="116">
        <v>996</v>
      </c>
      <c r="B999" s="117" t="s">
        <v>2229</v>
      </c>
      <c r="C999" s="118" t="s">
        <v>2230</v>
      </c>
      <c r="D999" s="118" t="s">
        <v>455</v>
      </c>
      <c r="E999" s="118" t="s">
        <v>1815</v>
      </c>
      <c r="F999" s="119">
        <v>100.703125</v>
      </c>
      <c r="G999" s="119">
        <v>101.573325</v>
      </c>
      <c r="H999" s="119">
        <v>3.56</v>
      </c>
      <c r="I999" s="116">
        <v>472</v>
      </c>
      <c r="J999" s="118" t="s">
        <v>269</v>
      </c>
    </row>
    <row r="1000" spans="1:10" x14ac:dyDescent="0.25">
      <c r="A1000" s="116">
        <v>997</v>
      </c>
      <c r="B1000" s="117" t="s">
        <v>2231</v>
      </c>
      <c r="C1000" s="118" t="s">
        <v>2232</v>
      </c>
      <c r="D1000" s="118" t="s">
        <v>455</v>
      </c>
      <c r="E1000" s="118" t="s">
        <v>1815</v>
      </c>
      <c r="F1000" s="119">
        <v>98.152664609686724</v>
      </c>
      <c r="G1000" s="119">
        <v>98.152664609686724</v>
      </c>
      <c r="H1000" s="119">
        <v>3.72</v>
      </c>
      <c r="I1000" s="116">
        <v>180</v>
      </c>
      <c r="J1000" s="118" t="s">
        <v>269</v>
      </c>
    </row>
    <row r="1001" spans="1:10" x14ac:dyDescent="0.25">
      <c r="A1001" s="116">
        <v>998</v>
      </c>
      <c r="B1001" s="117" t="s">
        <v>2233</v>
      </c>
      <c r="C1001" s="118" t="s">
        <v>2234</v>
      </c>
      <c r="D1001" s="118" t="s">
        <v>455</v>
      </c>
      <c r="E1001" s="118" t="s">
        <v>1815</v>
      </c>
      <c r="F1001" s="119">
        <v>97.947656500289426</v>
      </c>
      <c r="G1001" s="119">
        <v>97.947656500289426</v>
      </c>
      <c r="H1001" s="119">
        <v>3.59</v>
      </c>
      <c r="I1001" s="116">
        <v>208</v>
      </c>
      <c r="J1001" s="118" t="s">
        <v>269</v>
      </c>
    </row>
    <row r="1002" spans="1:10" x14ac:dyDescent="0.25">
      <c r="A1002" s="116">
        <v>999</v>
      </c>
      <c r="B1002" s="117" t="s">
        <v>1813</v>
      </c>
      <c r="C1002" s="118" t="s">
        <v>1814</v>
      </c>
      <c r="D1002" s="118" t="s">
        <v>455</v>
      </c>
      <c r="E1002" s="118" t="s">
        <v>1815</v>
      </c>
      <c r="F1002" s="119">
        <v>109.3671875</v>
      </c>
      <c r="G1002" s="119">
        <v>110.40758750000001</v>
      </c>
      <c r="H1002" s="119">
        <v>3.49</v>
      </c>
      <c r="I1002" s="116">
        <v>1399</v>
      </c>
      <c r="J1002" s="118" t="s">
        <v>269</v>
      </c>
    </row>
    <row r="1003" spans="1:10" x14ac:dyDescent="0.25">
      <c r="A1003" s="116">
        <v>1000</v>
      </c>
      <c r="B1003" s="117" t="s">
        <v>1816</v>
      </c>
      <c r="C1003" s="118" t="s">
        <v>1817</v>
      </c>
      <c r="D1003" s="118" t="s">
        <v>455</v>
      </c>
      <c r="E1003" s="118" t="s">
        <v>1815</v>
      </c>
      <c r="F1003" s="119">
        <v>87.4375</v>
      </c>
      <c r="G1003" s="119">
        <v>87.806700000000006</v>
      </c>
      <c r="H1003" s="119">
        <v>3.6</v>
      </c>
      <c r="I1003" s="116">
        <v>1856</v>
      </c>
      <c r="J1003" s="118" t="s">
        <v>269</v>
      </c>
    </row>
    <row r="1004" spans="1:10" x14ac:dyDescent="0.25">
      <c r="A1004" s="116">
        <v>1001</v>
      </c>
      <c r="B1004" s="117" t="s">
        <v>1818</v>
      </c>
      <c r="C1004" s="118" t="s">
        <v>1819</v>
      </c>
      <c r="D1004" s="118" t="s">
        <v>455</v>
      </c>
      <c r="E1004" s="118" t="s">
        <v>1815</v>
      </c>
      <c r="F1004" s="119">
        <v>79.828125</v>
      </c>
      <c r="G1004" s="119">
        <v>81.093924999999999</v>
      </c>
      <c r="H1004" s="119">
        <v>4.5999999999999996</v>
      </c>
      <c r="I1004" s="116">
        <v>6970</v>
      </c>
      <c r="J1004" s="118" t="s">
        <v>269</v>
      </c>
    </row>
    <row r="1005" spans="1:10" x14ac:dyDescent="0.25">
      <c r="A1005" s="116">
        <v>1002</v>
      </c>
      <c r="B1005" s="117" t="s">
        <v>1820</v>
      </c>
      <c r="C1005" s="118" t="s">
        <v>1821</v>
      </c>
      <c r="D1005" s="118" t="s">
        <v>455</v>
      </c>
      <c r="E1005" s="118" t="s">
        <v>1815</v>
      </c>
      <c r="F1005" s="119">
        <v>75.484375</v>
      </c>
      <c r="G1005" s="119">
        <v>76.433674999999994</v>
      </c>
      <c r="H1005" s="119">
        <v>4.45</v>
      </c>
      <c r="I1005" s="116">
        <v>5690</v>
      </c>
      <c r="J1005" s="118" t="s">
        <v>269</v>
      </c>
    </row>
    <row r="1006" spans="1:10" x14ac:dyDescent="0.25">
      <c r="A1006" s="116">
        <v>1003</v>
      </c>
      <c r="B1006" s="117" t="s">
        <v>1822</v>
      </c>
      <c r="C1006" s="118" t="s">
        <v>1823</v>
      </c>
      <c r="D1006" s="118" t="s">
        <v>455</v>
      </c>
      <c r="E1006" s="118" t="s">
        <v>1815</v>
      </c>
      <c r="F1006" s="119">
        <v>98.979991643833543</v>
      </c>
      <c r="G1006" s="119">
        <v>99.059091643833554</v>
      </c>
      <c r="H1006" s="119">
        <v>3.91</v>
      </c>
      <c r="I1006" s="116">
        <v>107</v>
      </c>
      <c r="J1006" s="118" t="s">
        <v>269</v>
      </c>
    </row>
    <row r="1007" spans="1:10" x14ac:dyDescent="0.25">
      <c r="A1007" s="116">
        <v>1004</v>
      </c>
      <c r="B1007" s="117" t="s">
        <v>1824</v>
      </c>
      <c r="C1007" s="118" t="s">
        <v>1825</v>
      </c>
      <c r="D1007" s="118" t="s">
        <v>455</v>
      </c>
      <c r="E1007" s="118" t="s">
        <v>1815</v>
      </c>
      <c r="F1007" s="119">
        <v>99.954056744057766</v>
      </c>
      <c r="G1007" s="119">
        <v>101.34305674405776</v>
      </c>
      <c r="H1007" s="119">
        <v>4.0999999999999996</v>
      </c>
      <c r="I1007" s="116">
        <v>15</v>
      </c>
      <c r="J1007" s="118" t="s">
        <v>269</v>
      </c>
    </row>
    <row r="1008" spans="1:10" x14ac:dyDescent="0.25">
      <c r="A1008" s="116">
        <v>1005</v>
      </c>
      <c r="B1008" s="117" t="s">
        <v>1826</v>
      </c>
      <c r="C1008" s="118" t="s">
        <v>1827</v>
      </c>
      <c r="D1008" s="118" t="s">
        <v>455</v>
      </c>
      <c r="E1008" s="118" t="s">
        <v>1815</v>
      </c>
      <c r="F1008" s="119">
        <v>90.390625</v>
      </c>
      <c r="G1008" s="119">
        <v>92.078325000000007</v>
      </c>
      <c r="H1008" s="119">
        <v>4.63</v>
      </c>
      <c r="I1008" s="116">
        <v>9892</v>
      </c>
      <c r="J1008" s="118" t="s">
        <v>269</v>
      </c>
    </row>
    <row r="1009" spans="1:10" x14ac:dyDescent="0.25">
      <c r="A1009" s="116">
        <v>1006</v>
      </c>
      <c r="B1009" s="117" t="s">
        <v>1828</v>
      </c>
      <c r="C1009" s="118" t="s">
        <v>1829</v>
      </c>
      <c r="D1009" s="118" t="s">
        <v>455</v>
      </c>
      <c r="E1009" s="118" t="s">
        <v>1815</v>
      </c>
      <c r="F1009" s="119">
        <v>98.6344354135651</v>
      </c>
      <c r="G1009" s="119">
        <v>98.667335413565112</v>
      </c>
      <c r="H1009" s="119">
        <v>3.81</v>
      </c>
      <c r="I1009" s="116">
        <v>166</v>
      </c>
      <c r="J1009" s="118" t="s">
        <v>269</v>
      </c>
    </row>
    <row r="1010" spans="1:10" x14ac:dyDescent="0.25">
      <c r="A1010" s="116">
        <v>1007</v>
      </c>
      <c r="B1010" s="117" t="s">
        <v>1830</v>
      </c>
      <c r="C1010" s="118" t="s">
        <v>1831</v>
      </c>
      <c r="D1010" s="118" t="s">
        <v>455</v>
      </c>
      <c r="E1010" s="118" t="s">
        <v>1815</v>
      </c>
      <c r="F1010" s="119">
        <v>98.05859375</v>
      </c>
      <c r="G1010" s="119">
        <v>98.317493749999997</v>
      </c>
      <c r="H1010" s="119">
        <v>3.69</v>
      </c>
      <c r="I1010" s="116">
        <v>257</v>
      </c>
      <c r="J1010" s="118" t="s">
        <v>269</v>
      </c>
    </row>
    <row r="1011" spans="1:10" x14ac:dyDescent="0.25">
      <c r="A1011" s="116">
        <v>1008</v>
      </c>
      <c r="B1011" s="117" t="s">
        <v>1832</v>
      </c>
      <c r="C1011" s="118" t="s">
        <v>1833</v>
      </c>
      <c r="D1011" s="118" t="s">
        <v>455</v>
      </c>
      <c r="E1011" s="118" t="s">
        <v>1815</v>
      </c>
      <c r="F1011" s="119">
        <v>100.00390625</v>
      </c>
      <c r="G1011" s="119">
        <v>101.35180625</v>
      </c>
      <c r="H1011" s="119">
        <v>3.95</v>
      </c>
      <c r="I1011" s="116">
        <v>60</v>
      </c>
      <c r="J1011" s="118" t="s">
        <v>269</v>
      </c>
    </row>
    <row r="1012" spans="1:10" x14ac:dyDescent="0.25">
      <c r="A1012" s="116">
        <v>1009</v>
      </c>
      <c r="B1012" s="117" t="s">
        <v>1834</v>
      </c>
      <c r="C1012" s="118" t="s">
        <v>1835</v>
      </c>
      <c r="D1012" s="118" t="s">
        <v>455</v>
      </c>
      <c r="E1012" s="118" t="s">
        <v>1815</v>
      </c>
      <c r="F1012" s="119">
        <v>94.875</v>
      </c>
      <c r="G1012" s="119">
        <v>96.087999999999994</v>
      </c>
      <c r="H1012" s="119">
        <v>3.76</v>
      </c>
      <c r="I1012" s="116">
        <v>2403</v>
      </c>
      <c r="J1012" s="118" t="s">
        <v>269</v>
      </c>
    </row>
    <row r="1013" spans="1:10" x14ac:dyDescent="0.25">
      <c r="A1013" s="116">
        <v>1010</v>
      </c>
      <c r="B1013" s="117" t="s">
        <v>1864</v>
      </c>
      <c r="C1013" s="118" t="s">
        <v>1865</v>
      </c>
      <c r="D1013" s="118" t="s">
        <v>455</v>
      </c>
      <c r="E1013" s="118" t="s">
        <v>2068</v>
      </c>
      <c r="F1013" s="119">
        <v>100</v>
      </c>
      <c r="G1013" s="119">
        <v>100.02719999999999</v>
      </c>
      <c r="H1013" s="119">
        <v>0.35</v>
      </c>
      <c r="I1013" s="116">
        <v>272</v>
      </c>
      <c r="J1013" s="118" t="s">
        <v>269</v>
      </c>
    </row>
    <row r="1014" spans="1:10" x14ac:dyDescent="0.25">
      <c r="A1014" s="116">
        <v>1011</v>
      </c>
      <c r="B1014" s="117" t="s">
        <v>1866</v>
      </c>
      <c r="C1014" s="118" t="s">
        <v>1867</v>
      </c>
      <c r="D1014" s="118" t="s">
        <v>455</v>
      </c>
      <c r="E1014" s="118" t="s">
        <v>2068</v>
      </c>
      <c r="F1014" s="119">
        <v>100</v>
      </c>
      <c r="G1014" s="119">
        <v>100.1682</v>
      </c>
      <c r="H1014" s="119">
        <v>0.35</v>
      </c>
      <c r="I1014" s="116">
        <v>7</v>
      </c>
      <c r="J1014" s="118" t="s">
        <v>269</v>
      </c>
    </row>
    <row r="1015" spans="1:10" x14ac:dyDescent="0.25">
      <c r="A1015" s="116">
        <v>1012</v>
      </c>
      <c r="B1015" s="117" t="s">
        <v>2248</v>
      </c>
      <c r="C1015" s="118" t="s">
        <v>2249</v>
      </c>
      <c r="D1015" s="118" t="s">
        <v>455</v>
      </c>
      <c r="E1015" s="118" t="s">
        <v>2068</v>
      </c>
      <c r="F1015" s="119">
        <v>100</v>
      </c>
      <c r="G1015" s="119">
        <v>100.08750000000001</v>
      </c>
      <c r="H1015" s="119">
        <v>0.35</v>
      </c>
      <c r="I1015" s="116">
        <v>630</v>
      </c>
      <c r="J1015" s="118" t="s">
        <v>269</v>
      </c>
    </row>
    <row r="1016" spans="1:10" x14ac:dyDescent="0.25">
      <c r="A1016" s="116">
        <v>1013</v>
      </c>
      <c r="B1016" s="117" t="s">
        <v>1868</v>
      </c>
      <c r="C1016" s="118" t="s">
        <v>1869</v>
      </c>
      <c r="D1016" s="118" t="s">
        <v>455</v>
      </c>
      <c r="E1016" s="118" t="s">
        <v>2068</v>
      </c>
      <c r="F1016" s="119">
        <v>100</v>
      </c>
      <c r="G1016" s="119">
        <v>100.0051</v>
      </c>
      <c r="H1016" s="119">
        <v>0.02</v>
      </c>
      <c r="I1016" s="116">
        <v>3044</v>
      </c>
      <c r="J1016" s="118" t="s">
        <v>269</v>
      </c>
    </row>
    <row r="1017" spans="1:10" x14ac:dyDescent="0.25">
      <c r="A1017" s="116">
        <v>1014</v>
      </c>
      <c r="B1017" s="117" t="s">
        <v>2322</v>
      </c>
      <c r="C1017" s="118" t="s">
        <v>2323</v>
      </c>
      <c r="D1017" s="118" t="s">
        <v>455</v>
      </c>
      <c r="E1017" s="118" t="s">
        <v>2068</v>
      </c>
      <c r="F1017" s="119">
        <v>89.992816913315608</v>
      </c>
      <c r="G1017" s="119">
        <v>93.835016913315613</v>
      </c>
      <c r="H1017" s="119">
        <v>20.58</v>
      </c>
      <c r="I1017" s="116">
        <v>3524</v>
      </c>
      <c r="J1017" s="118" t="s">
        <v>269</v>
      </c>
    </row>
    <row r="1018" spans="1:10" x14ac:dyDescent="0.25">
      <c r="A1018" s="116">
        <v>1015</v>
      </c>
      <c r="B1018" s="117" t="s">
        <v>2379</v>
      </c>
      <c r="C1018" s="118" t="s">
        <v>2380</v>
      </c>
      <c r="D1018" s="118" t="s">
        <v>455</v>
      </c>
      <c r="E1018" s="118" t="s">
        <v>2068</v>
      </c>
      <c r="F1018" s="119">
        <v>92.933854921156069</v>
      </c>
      <c r="G1018" s="119">
        <v>95.40135492115607</v>
      </c>
      <c r="H1018" s="119">
        <v>20.58</v>
      </c>
      <c r="I1018" s="116">
        <v>3553</v>
      </c>
      <c r="J1018" s="118" t="s">
        <v>269</v>
      </c>
    </row>
    <row r="1019" spans="1:10" x14ac:dyDescent="0.25">
      <c r="A1019" s="116">
        <v>1016</v>
      </c>
      <c r="B1019" s="117" t="s">
        <v>2407</v>
      </c>
      <c r="C1019" s="118" t="s">
        <v>2408</v>
      </c>
      <c r="D1019" s="118" t="s">
        <v>455</v>
      </c>
      <c r="E1019" s="118" t="s">
        <v>2068</v>
      </c>
      <c r="F1019" s="119">
        <v>92.899661710932705</v>
      </c>
      <c r="G1019" s="119">
        <v>95.157161710932712</v>
      </c>
      <c r="H1019" s="119">
        <v>20.59</v>
      </c>
      <c r="I1019" s="116">
        <v>3557</v>
      </c>
      <c r="J1019" s="118" t="s">
        <v>269</v>
      </c>
    </row>
    <row r="1020" spans="1:10" x14ac:dyDescent="0.25">
      <c r="A1020" s="116">
        <v>1017</v>
      </c>
      <c r="B1020" s="117" t="s">
        <v>2467</v>
      </c>
      <c r="C1020" s="118" t="s">
        <v>2468</v>
      </c>
      <c r="D1020" s="118" t="s">
        <v>455</v>
      </c>
      <c r="E1020" s="118" t="s">
        <v>2068</v>
      </c>
      <c r="F1020" s="119">
        <v>92.99186645121182</v>
      </c>
      <c r="G1020" s="119">
        <v>94.041866451211817</v>
      </c>
      <c r="H1020" s="119">
        <v>20.59</v>
      </c>
      <c r="I1020" s="116">
        <v>3580</v>
      </c>
      <c r="J1020" s="118" t="s">
        <v>269</v>
      </c>
    </row>
    <row r="1021" spans="1:10" x14ac:dyDescent="0.25">
      <c r="A1021" s="116">
        <v>1018</v>
      </c>
      <c r="B1021" s="117" t="s">
        <v>1870</v>
      </c>
      <c r="C1021" s="118" t="s">
        <v>1871</v>
      </c>
      <c r="D1021" s="118" t="s">
        <v>445</v>
      </c>
      <c r="E1021" s="118" t="s">
        <v>1872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1873</v>
      </c>
      <c r="C1022" s="118" t="s">
        <v>1874</v>
      </c>
      <c r="D1022" s="118" t="s">
        <v>445</v>
      </c>
      <c r="E1022" s="118" t="s">
        <v>1872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2175</v>
      </c>
      <c r="C1023" s="118" t="s">
        <v>2176</v>
      </c>
      <c r="D1023" s="118" t="s">
        <v>455</v>
      </c>
      <c r="E1023" s="118" t="s">
        <v>2177</v>
      </c>
      <c r="F1023" s="119">
        <v>97.058000000000007</v>
      </c>
      <c r="G1023" s="119">
        <v>99.566299999999998</v>
      </c>
      <c r="H1023" s="119">
        <v>23</v>
      </c>
      <c r="I1023" s="116">
        <v>948</v>
      </c>
      <c r="J1023" s="118" t="s">
        <v>269</v>
      </c>
    </row>
    <row r="1024" spans="1:10" x14ac:dyDescent="0.25">
      <c r="A1024" s="116">
        <v>1021</v>
      </c>
      <c r="B1024" s="117" t="s">
        <v>2162</v>
      </c>
      <c r="C1024" s="118" t="s">
        <v>2163</v>
      </c>
      <c r="D1024" s="118" t="s">
        <v>455</v>
      </c>
      <c r="E1024" s="118" t="s">
        <v>1875</v>
      </c>
      <c r="F1024" s="119">
        <v>100</v>
      </c>
      <c r="G1024" s="119">
        <v>100.13509999999999</v>
      </c>
      <c r="H1024" s="119">
        <v>0.35</v>
      </c>
      <c r="I1024" s="116">
        <v>581</v>
      </c>
      <c r="J1024" s="118" t="s">
        <v>269</v>
      </c>
    </row>
    <row r="1025" spans="1:10" x14ac:dyDescent="0.25">
      <c r="A1025" s="116">
        <v>1022</v>
      </c>
      <c r="B1025" s="117" t="s">
        <v>1876</v>
      </c>
      <c r="C1025" s="118" t="s">
        <v>1877</v>
      </c>
      <c r="D1025" s="118" t="s">
        <v>455</v>
      </c>
      <c r="E1025" s="118" t="s">
        <v>1875</v>
      </c>
      <c r="F1025" s="119">
        <v>100</v>
      </c>
      <c r="G1025" s="119">
        <v>100.0065</v>
      </c>
      <c r="H1025" s="119">
        <v>0.02</v>
      </c>
      <c r="I1025" s="116">
        <v>3044</v>
      </c>
      <c r="J1025" s="118" t="s">
        <v>269</v>
      </c>
    </row>
    <row r="1026" spans="1:10" x14ac:dyDescent="0.25">
      <c r="A1026" s="116">
        <v>1023</v>
      </c>
      <c r="B1026" s="117" t="s">
        <v>1878</v>
      </c>
      <c r="C1026" s="118" t="s">
        <v>1879</v>
      </c>
      <c r="D1026" s="118" t="s">
        <v>455</v>
      </c>
      <c r="E1026" s="118" t="s">
        <v>1875</v>
      </c>
      <c r="F1026" s="119">
        <v>100</v>
      </c>
      <c r="G1026" s="119">
        <v>100.0069</v>
      </c>
      <c r="H1026" s="119">
        <v>0.02</v>
      </c>
      <c r="I1026" s="116">
        <v>3044</v>
      </c>
      <c r="J1026" s="118" t="s">
        <v>269</v>
      </c>
    </row>
    <row r="1027" spans="1:10" x14ac:dyDescent="0.25">
      <c r="A1027" s="116">
        <v>1024</v>
      </c>
      <c r="B1027" s="117" t="s">
        <v>1880</v>
      </c>
      <c r="C1027" s="118" t="s">
        <v>1881</v>
      </c>
      <c r="D1027" s="118" t="s">
        <v>455</v>
      </c>
      <c r="E1027" s="118" t="s">
        <v>1875</v>
      </c>
      <c r="F1027" s="119">
        <v>100</v>
      </c>
      <c r="G1027" s="119">
        <v>101.88079999999999</v>
      </c>
      <c r="H1027" s="119">
        <v>6.08</v>
      </c>
      <c r="I1027" s="116">
        <v>1659</v>
      </c>
      <c r="J1027" s="118" t="s">
        <v>269</v>
      </c>
    </row>
    <row r="1028" spans="1:10" x14ac:dyDescent="0.25">
      <c r="A1028" s="116">
        <v>1025</v>
      </c>
      <c r="B1028" s="117" t="s">
        <v>1882</v>
      </c>
      <c r="C1028" s="118" t="s">
        <v>1883</v>
      </c>
      <c r="D1028" s="118" t="s">
        <v>455</v>
      </c>
      <c r="E1028" s="118" t="s">
        <v>1875</v>
      </c>
      <c r="F1028" s="119">
        <v>100</v>
      </c>
      <c r="G1028" s="119">
        <v>106.8831</v>
      </c>
      <c r="H1028" s="119">
        <v>7.08</v>
      </c>
      <c r="I1028" s="116">
        <v>2141</v>
      </c>
      <c r="J1028" s="118" t="s">
        <v>269</v>
      </c>
    </row>
    <row r="1029" spans="1:10" x14ac:dyDescent="0.25">
      <c r="A1029" s="116">
        <v>1026</v>
      </c>
      <c r="B1029" s="117" t="s">
        <v>2260</v>
      </c>
      <c r="C1029" s="118" t="s">
        <v>2261</v>
      </c>
      <c r="D1029" s="118" t="s">
        <v>455</v>
      </c>
      <c r="E1029" s="118" t="s">
        <v>1875</v>
      </c>
      <c r="F1029" s="119">
        <v>90.013482719178896</v>
      </c>
      <c r="G1029" s="119">
        <v>94.462382719178891</v>
      </c>
      <c r="H1029" s="119">
        <v>20.57</v>
      </c>
      <c r="I1029" s="116">
        <v>3512</v>
      </c>
      <c r="J1029" s="118" t="s">
        <v>269</v>
      </c>
    </row>
    <row r="1030" spans="1:10" x14ac:dyDescent="0.25">
      <c r="A1030" s="116">
        <v>1027</v>
      </c>
      <c r="B1030" s="117" t="s">
        <v>2324</v>
      </c>
      <c r="C1030" s="118" t="s">
        <v>2325</v>
      </c>
      <c r="D1030" s="118" t="s">
        <v>455</v>
      </c>
      <c r="E1030" s="118" t="s">
        <v>1875</v>
      </c>
      <c r="F1030" s="119">
        <v>89.992816913315608</v>
      </c>
      <c r="G1030" s="119">
        <v>93.835016913315613</v>
      </c>
      <c r="H1030" s="119">
        <v>20.58</v>
      </c>
      <c r="I1030" s="116">
        <v>3524</v>
      </c>
      <c r="J1030" s="118" t="s">
        <v>269</v>
      </c>
    </row>
    <row r="1031" spans="1:10" x14ac:dyDescent="0.25">
      <c r="A1031" s="116">
        <v>1028</v>
      </c>
      <c r="B1031" s="117" t="s">
        <v>2381</v>
      </c>
      <c r="C1031" s="118" t="s">
        <v>2382</v>
      </c>
      <c r="D1031" s="118" t="s">
        <v>455</v>
      </c>
      <c r="E1031" s="118" t="s">
        <v>1875</v>
      </c>
      <c r="F1031" s="119">
        <v>92.933854921156069</v>
      </c>
      <c r="G1031" s="119">
        <v>95.40135492115607</v>
      </c>
      <c r="H1031" s="119">
        <v>20.58</v>
      </c>
      <c r="I1031" s="116">
        <v>3553</v>
      </c>
      <c r="J1031" s="118" t="s">
        <v>269</v>
      </c>
    </row>
    <row r="1032" spans="1:10" x14ac:dyDescent="0.25">
      <c r="A1032" s="116">
        <v>1029</v>
      </c>
      <c r="B1032" s="117" t="s">
        <v>2383</v>
      </c>
      <c r="C1032" s="118" t="s">
        <v>2384</v>
      </c>
      <c r="D1032" s="118" t="s">
        <v>455</v>
      </c>
      <c r="E1032" s="118" t="s">
        <v>1875</v>
      </c>
      <c r="F1032" s="119">
        <v>92.933854921156069</v>
      </c>
      <c r="G1032" s="119">
        <v>95.40135492115607</v>
      </c>
      <c r="H1032" s="119">
        <v>20.58</v>
      </c>
      <c r="I1032" s="116">
        <v>3553</v>
      </c>
      <c r="J1032" s="118" t="s">
        <v>269</v>
      </c>
    </row>
    <row r="1033" spans="1:10" x14ac:dyDescent="0.25">
      <c r="A1033" s="116">
        <v>1030</v>
      </c>
      <c r="B1033" s="117" t="s">
        <v>2469</v>
      </c>
      <c r="C1033" s="118" t="s">
        <v>2470</v>
      </c>
      <c r="D1033" s="118" t="s">
        <v>455</v>
      </c>
      <c r="E1033" s="118" t="s">
        <v>1875</v>
      </c>
      <c r="F1033" s="119">
        <v>92.99186645121182</v>
      </c>
      <c r="G1033" s="119">
        <v>94.041866451211817</v>
      </c>
      <c r="H1033" s="119">
        <v>20.59</v>
      </c>
      <c r="I1033" s="116">
        <v>3580</v>
      </c>
      <c r="J1033" s="118" t="s">
        <v>269</v>
      </c>
    </row>
    <row r="1034" spans="1:10" x14ac:dyDescent="0.25">
      <c r="A1034" s="116">
        <v>1031</v>
      </c>
      <c r="B1034" s="117" t="s">
        <v>2471</v>
      </c>
      <c r="C1034" s="118" t="s">
        <v>2472</v>
      </c>
      <c r="D1034" s="118" t="s">
        <v>455</v>
      </c>
      <c r="E1034" s="118" t="s">
        <v>1875</v>
      </c>
      <c r="F1034" s="119">
        <v>92.99186645121182</v>
      </c>
      <c r="G1034" s="119">
        <v>94.041866451211817</v>
      </c>
      <c r="H1034" s="119">
        <v>20.59</v>
      </c>
      <c r="I1034" s="116">
        <v>3580</v>
      </c>
      <c r="J1034" s="118" t="s">
        <v>269</v>
      </c>
    </row>
    <row r="1035" spans="1:10" x14ac:dyDescent="0.25">
      <c r="A1035" s="116">
        <v>1032</v>
      </c>
      <c r="B1035" s="117" t="s">
        <v>1884</v>
      </c>
      <c r="C1035" s="118" t="s">
        <v>1885</v>
      </c>
      <c r="D1035" s="118" t="s">
        <v>455</v>
      </c>
      <c r="E1035" s="118" t="s">
        <v>1875</v>
      </c>
      <c r="F1035" s="119">
        <v>100</v>
      </c>
      <c r="G1035" s="119">
        <v>101.0506</v>
      </c>
      <c r="H1035" s="119">
        <v>6.08</v>
      </c>
      <c r="I1035" s="116">
        <v>2068</v>
      </c>
      <c r="J1035" s="118" t="s">
        <v>269</v>
      </c>
    </row>
    <row r="1036" spans="1:10" x14ac:dyDescent="0.25">
      <c r="A1036" s="116">
        <v>1033</v>
      </c>
      <c r="B1036" s="117" t="s">
        <v>1886</v>
      </c>
      <c r="C1036" s="118" t="s">
        <v>1887</v>
      </c>
      <c r="D1036" s="118" t="s">
        <v>455</v>
      </c>
      <c r="E1036" s="118" t="s">
        <v>1875</v>
      </c>
      <c r="F1036" s="119">
        <v>100</v>
      </c>
      <c r="G1036" s="119">
        <v>105.9983</v>
      </c>
      <c r="H1036" s="119">
        <v>6.09</v>
      </c>
      <c r="I1036" s="116">
        <v>2496</v>
      </c>
      <c r="J1036" s="118" t="s">
        <v>269</v>
      </c>
    </row>
    <row r="1037" spans="1:10" x14ac:dyDescent="0.25">
      <c r="A1037" s="116">
        <v>1034</v>
      </c>
      <c r="B1037" s="117" t="s">
        <v>1888</v>
      </c>
      <c r="C1037" s="118" t="s">
        <v>1889</v>
      </c>
      <c r="D1037" s="118" t="s">
        <v>455</v>
      </c>
      <c r="E1037" s="118" t="s">
        <v>1875</v>
      </c>
      <c r="F1037" s="119">
        <v>100</v>
      </c>
      <c r="G1037" s="119">
        <v>105.9983</v>
      </c>
      <c r="H1037" s="119">
        <v>6.09</v>
      </c>
      <c r="I1037" s="116">
        <v>2496</v>
      </c>
      <c r="J1037" s="118" t="s">
        <v>269</v>
      </c>
    </row>
    <row r="1038" spans="1:10" x14ac:dyDescent="0.25">
      <c r="A1038" s="116">
        <v>1035</v>
      </c>
      <c r="B1038" s="117" t="s">
        <v>1890</v>
      </c>
      <c r="C1038" s="118" t="s">
        <v>1891</v>
      </c>
      <c r="D1038" s="118" t="s">
        <v>455</v>
      </c>
      <c r="E1038" s="118" t="s">
        <v>1875</v>
      </c>
      <c r="F1038" s="119">
        <v>100</v>
      </c>
      <c r="G1038" s="119">
        <v>104.8631</v>
      </c>
      <c r="H1038" s="119">
        <v>6.08</v>
      </c>
      <c r="I1038" s="116">
        <v>2563</v>
      </c>
      <c r="J1038" s="118" t="s">
        <v>269</v>
      </c>
    </row>
    <row r="1039" spans="1:10" x14ac:dyDescent="0.25">
      <c r="A1039" s="116">
        <v>1036</v>
      </c>
      <c r="B1039" s="117" t="s">
        <v>1892</v>
      </c>
      <c r="C1039" s="118" t="s">
        <v>1893</v>
      </c>
      <c r="D1039" s="118" t="s">
        <v>445</v>
      </c>
      <c r="E1039" s="118" t="s">
        <v>1894</v>
      </c>
      <c r="F1039" s="119">
        <v>21769.001850000004</v>
      </c>
      <c r="G1039" s="119">
        <v>21769.001850000004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1895</v>
      </c>
      <c r="C1040" s="118" t="s">
        <v>1896</v>
      </c>
      <c r="D1040" s="118" t="s">
        <v>755</v>
      </c>
      <c r="E1040" s="118" t="s">
        <v>1897</v>
      </c>
      <c r="F1040" s="119">
        <v>42856.459650000004</v>
      </c>
      <c r="G1040" s="119">
        <v>42856.459650000004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1898</v>
      </c>
      <c r="C1041" s="118" t="s">
        <v>1899</v>
      </c>
      <c r="D1041" s="118" t="s">
        <v>755</v>
      </c>
      <c r="E1041" s="118" t="s">
        <v>1897</v>
      </c>
      <c r="F1041" s="119">
        <v>50051.733000000007</v>
      </c>
      <c r="G1041" s="119">
        <v>50051.733000000007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1900</v>
      </c>
      <c r="C1042" s="118" t="s">
        <v>1901</v>
      </c>
      <c r="D1042" s="118" t="s">
        <v>445</v>
      </c>
      <c r="E1042" s="118" t="s">
        <v>1902</v>
      </c>
      <c r="F1042" s="119">
        <v>61091.130300000012</v>
      </c>
      <c r="G1042" s="119">
        <v>61091.130300000012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1903</v>
      </c>
      <c r="C1043" s="118" t="s">
        <v>1904</v>
      </c>
      <c r="D1043" s="118" t="s">
        <v>445</v>
      </c>
      <c r="E1043" s="118" t="s">
        <v>1905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1906</v>
      </c>
      <c r="C1044" s="118" t="s">
        <v>1907</v>
      </c>
      <c r="D1044" s="118" t="s">
        <v>445</v>
      </c>
      <c r="E1044" s="118" t="s">
        <v>1908</v>
      </c>
      <c r="F1044" s="119">
        <v>0.01</v>
      </c>
      <c r="G1044" s="119">
        <v>0.01</v>
      </c>
      <c r="H1044" s="119">
        <v>0</v>
      </c>
      <c r="I1044" s="116">
        <v>2769</v>
      </c>
      <c r="J1044" s="118" t="s">
        <v>238</v>
      </c>
    </row>
    <row r="1045" spans="1:10" x14ac:dyDescent="0.25">
      <c r="A1045" s="116">
        <v>1042</v>
      </c>
      <c r="B1045" s="117" t="s">
        <v>1909</v>
      </c>
      <c r="C1045" s="118" t="s">
        <v>1910</v>
      </c>
      <c r="D1045" s="118" t="s">
        <v>445</v>
      </c>
      <c r="E1045" s="118" t="s">
        <v>1908</v>
      </c>
      <c r="F1045" s="119">
        <v>0.01</v>
      </c>
      <c r="G1045" s="119">
        <v>0.01</v>
      </c>
      <c r="H1045" s="119">
        <v>0</v>
      </c>
      <c r="I1045" s="116">
        <v>2608</v>
      </c>
      <c r="J1045" s="118" t="s">
        <v>238</v>
      </c>
    </row>
    <row r="1046" spans="1:10" x14ac:dyDescent="0.25">
      <c r="A1046" s="116">
        <v>1043</v>
      </c>
      <c r="B1046" s="117" t="s">
        <v>1911</v>
      </c>
      <c r="C1046" s="118" t="s">
        <v>1912</v>
      </c>
      <c r="D1046" s="118" t="s">
        <v>455</v>
      </c>
      <c r="E1046" s="118" t="s">
        <v>1913</v>
      </c>
      <c r="F1046" s="119">
        <v>100</v>
      </c>
      <c r="G1046" s="119">
        <v>101.0271</v>
      </c>
      <c r="H1046" s="119">
        <v>4.2300000000000004</v>
      </c>
      <c r="I1046" s="116">
        <v>213</v>
      </c>
      <c r="J1046" s="118" t="s">
        <v>269</v>
      </c>
    </row>
    <row r="1047" spans="1:10" x14ac:dyDescent="0.25">
      <c r="A1047" s="116">
        <v>1044</v>
      </c>
      <c r="B1047" s="117" t="s">
        <v>1914</v>
      </c>
      <c r="C1047" s="118" t="s">
        <v>1915</v>
      </c>
      <c r="D1047" s="118" t="s">
        <v>455</v>
      </c>
      <c r="E1047" s="118" t="s">
        <v>1913</v>
      </c>
      <c r="F1047" s="119">
        <v>100</v>
      </c>
      <c r="G1047" s="119">
        <v>100.1332</v>
      </c>
      <c r="H1047" s="119">
        <v>0.35</v>
      </c>
      <c r="I1047" s="116">
        <v>43</v>
      </c>
      <c r="J1047" s="118" t="s">
        <v>269</v>
      </c>
    </row>
    <row r="1048" spans="1:10" x14ac:dyDescent="0.25">
      <c r="A1048" s="116">
        <v>1045</v>
      </c>
      <c r="B1048" s="117" t="s">
        <v>1916</v>
      </c>
      <c r="C1048" s="118" t="s">
        <v>1917</v>
      </c>
      <c r="D1048" s="118" t="s">
        <v>455</v>
      </c>
      <c r="E1048" s="118" t="s">
        <v>1913</v>
      </c>
      <c r="F1048" s="119">
        <v>100</v>
      </c>
      <c r="G1048" s="119">
        <v>100.14490000000001</v>
      </c>
      <c r="H1048" s="119">
        <v>0.35</v>
      </c>
      <c r="I1048" s="116">
        <v>211</v>
      </c>
      <c r="J1048" s="118" t="s">
        <v>269</v>
      </c>
    </row>
    <row r="1049" spans="1:10" x14ac:dyDescent="0.25">
      <c r="A1049" s="116">
        <v>1046</v>
      </c>
      <c r="B1049" s="117" t="s">
        <v>2088</v>
      </c>
      <c r="C1049" s="118" t="s">
        <v>2089</v>
      </c>
      <c r="D1049" s="118" t="s">
        <v>455</v>
      </c>
      <c r="E1049" s="118" t="s">
        <v>1913</v>
      </c>
      <c r="F1049" s="119">
        <v>100</v>
      </c>
      <c r="G1049" s="119">
        <v>100.17310000000001</v>
      </c>
      <c r="H1049" s="119">
        <v>0.35</v>
      </c>
      <c r="I1049" s="116">
        <v>542</v>
      </c>
      <c r="J1049" s="118" t="s">
        <v>269</v>
      </c>
    </row>
    <row r="1050" spans="1:10" x14ac:dyDescent="0.25">
      <c r="A1050" s="116">
        <v>1047</v>
      </c>
      <c r="B1050" s="117" t="s">
        <v>2250</v>
      </c>
      <c r="C1050" s="118" t="s">
        <v>2251</v>
      </c>
      <c r="D1050" s="118" t="s">
        <v>455</v>
      </c>
      <c r="E1050" s="118" t="s">
        <v>1913</v>
      </c>
      <c r="F1050" s="119">
        <v>100</v>
      </c>
      <c r="G1050" s="119">
        <v>100.08750000000001</v>
      </c>
      <c r="H1050" s="119">
        <v>0.35</v>
      </c>
      <c r="I1050" s="116">
        <v>630</v>
      </c>
      <c r="J1050" s="118" t="s">
        <v>269</v>
      </c>
    </row>
    <row r="1051" spans="1:10" x14ac:dyDescent="0.25">
      <c r="A1051" s="116">
        <v>1048</v>
      </c>
      <c r="B1051" s="117" t="s">
        <v>1918</v>
      </c>
      <c r="C1051" s="118" t="s">
        <v>1919</v>
      </c>
      <c r="D1051" s="118" t="s">
        <v>455</v>
      </c>
      <c r="E1051" s="118" t="s">
        <v>1913</v>
      </c>
      <c r="F1051" s="119">
        <v>100</v>
      </c>
      <c r="G1051" s="119">
        <v>100.0065</v>
      </c>
      <c r="H1051" s="119">
        <v>0.02</v>
      </c>
      <c r="I1051" s="116">
        <v>3044</v>
      </c>
      <c r="J1051" s="118" t="s">
        <v>269</v>
      </c>
    </row>
    <row r="1052" spans="1:10" x14ac:dyDescent="0.25">
      <c r="A1052" s="116">
        <v>1049</v>
      </c>
      <c r="B1052" s="117" t="s">
        <v>1920</v>
      </c>
      <c r="C1052" s="118" t="s">
        <v>1921</v>
      </c>
      <c r="D1052" s="118" t="s">
        <v>455</v>
      </c>
      <c r="E1052" s="118" t="s">
        <v>1913</v>
      </c>
      <c r="F1052" s="119">
        <v>100</v>
      </c>
      <c r="G1052" s="119">
        <v>101.88079999999999</v>
      </c>
      <c r="H1052" s="119">
        <v>6.08</v>
      </c>
      <c r="I1052" s="116">
        <v>1659</v>
      </c>
      <c r="J1052" s="118" t="s">
        <v>269</v>
      </c>
    </row>
    <row r="1053" spans="1:10" x14ac:dyDescent="0.25">
      <c r="A1053" s="116">
        <v>1050</v>
      </c>
      <c r="B1053" s="117" t="s">
        <v>1922</v>
      </c>
      <c r="C1053" s="118" t="s">
        <v>1923</v>
      </c>
      <c r="D1053" s="118" t="s">
        <v>455</v>
      </c>
      <c r="E1053" s="118" t="s">
        <v>1913</v>
      </c>
      <c r="F1053" s="119">
        <v>100</v>
      </c>
      <c r="G1053" s="119">
        <v>106.8831</v>
      </c>
      <c r="H1053" s="119">
        <v>7.08</v>
      </c>
      <c r="I1053" s="116">
        <v>2141</v>
      </c>
      <c r="J1053" s="118" t="s">
        <v>269</v>
      </c>
    </row>
    <row r="1054" spans="1:10" x14ac:dyDescent="0.25">
      <c r="A1054" s="116">
        <v>1051</v>
      </c>
      <c r="B1054" s="117" t="s">
        <v>2262</v>
      </c>
      <c r="C1054" s="118" t="s">
        <v>2263</v>
      </c>
      <c r="D1054" s="118" t="s">
        <v>455</v>
      </c>
      <c r="E1054" s="118" t="s">
        <v>1913</v>
      </c>
      <c r="F1054" s="119">
        <v>90.013482719178896</v>
      </c>
      <c r="G1054" s="119">
        <v>94.462382719178891</v>
      </c>
      <c r="H1054" s="119">
        <v>20.57</v>
      </c>
      <c r="I1054" s="116">
        <v>3512</v>
      </c>
      <c r="J1054" s="118" t="s">
        <v>269</v>
      </c>
    </row>
    <row r="1055" spans="1:10" x14ac:dyDescent="0.25">
      <c r="A1055" s="116">
        <v>1052</v>
      </c>
      <c r="B1055" s="117" t="s">
        <v>2385</v>
      </c>
      <c r="C1055" s="118" t="s">
        <v>2386</v>
      </c>
      <c r="D1055" s="118" t="s">
        <v>455</v>
      </c>
      <c r="E1055" s="118" t="s">
        <v>1913</v>
      </c>
      <c r="F1055" s="119">
        <v>92.933854921156069</v>
      </c>
      <c r="G1055" s="119">
        <v>95.40135492115607</v>
      </c>
      <c r="H1055" s="119">
        <v>20.58</v>
      </c>
      <c r="I1055" s="116">
        <v>3553</v>
      </c>
      <c r="J1055" s="118" t="s">
        <v>269</v>
      </c>
    </row>
    <row r="1056" spans="1:10" x14ac:dyDescent="0.25">
      <c r="A1056" s="116">
        <v>1053</v>
      </c>
      <c r="B1056" s="118" t="s">
        <v>1924</v>
      </c>
      <c r="C1056" s="118" t="s">
        <v>1925</v>
      </c>
      <c r="D1056" s="118" t="s">
        <v>455</v>
      </c>
      <c r="E1056" s="118" t="s">
        <v>1913</v>
      </c>
      <c r="F1056" s="119">
        <v>100</v>
      </c>
      <c r="G1056" s="119">
        <v>101.0506</v>
      </c>
      <c r="H1056" s="119">
        <v>6.08</v>
      </c>
      <c r="I1056" s="116">
        <v>2068</v>
      </c>
      <c r="J1056" s="118" t="s">
        <v>269</v>
      </c>
    </row>
    <row r="1057" spans="1:10" x14ac:dyDescent="0.25">
      <c r="A1057" s="116">
        <v>1054</v>
      </c>
      <c r="B1057" s="118" t="s">
        <v>1926</v>
      </c>
      <c r="C1057" s="118" t="s">
        <v>1927</v>
      </c>
      <c r="D1057" s="118" t="s">
        <v>455</v>
      </c>
      <c r="E1057" s="118" t="s">
        <v>1913</v>
      </c>
      <c r="F1057" s="119">
        <v>100</v>
      </c>
      <c r="G1057" s="119">
        <v>105.9983</v>
      </c>
      <c r="H1057" s="119">
        <v>6.09</v>
      </c>
      <c r="I1057" s="116">
        <v>2496</v>
      </c>
      <c r="J1057" s="118" t="s">
        <v>269</v>
      </c>
    </row>
    <row r="1058" spans="1:10" x14ac:dyDescent="0.25">
      <c r="A1058" s="116">
        <v>1055</v>
      </c>
      <c r="B1058" s="118" t="s">
        <v>1928</v>
      </c>
      <c r="C1058" s="118" t="s">
        <v>1929</v>
      </c>
      <c r="D1058" s="118" t="s">
        <v>455</v>
      </c>
      <c r="E1058" s="118" t="s">
        <v>1913</v>
      </c>
      <c r="F1058" s="119">
        <v>100</v>
      </c>
      <c r="G1058" s="119">
        <v>105.9983</v>
      </c>
      <c r="H1058" s="119">
        <v>6.09</v>
      </c>
      <c r="I1058" s="116">
        <v>2496</v>
      </c>
      <c r="J1058" s="118" t="s">
        <v>269</v>
      </c>
    </row>
    <row r="1059" spans="1:10" x14ac:dyDescent="0.25">
      <c r="A1059" s="125">
        <v>1056</v>
      </c>
      <c r="B1059" s="125" t="s">
        <v>2416</v>
      </c>
      <c r="C1059" s="125" t="s">
        <v>2417</v>
      </c>
      <c r="D1059" s="125" t="s">
        <v>455</v>
      </c>
      <c r="E1059" s="125" t="s">
        <v>1913</v>
      </c>
      <c r="F1059" s="125">
        <v>92.084711407784795</v>
      </c>
      <c r="G1059" s="125">
        <v>94.342211407784788</v>
      </c>
      <c r="H1059" s="125">
        <v>20.6</v>
      </c>
      <c r="I1059" s="125">
        <v>5357</v>
      </c>
      <c r="J1059" s="125" t="s">
        <v>269</v>
      </c>
    </row>
  </sheetData>
  <conditionalFormatting sqref="A5:A1058">
    <cfRule type="expression" dxfId="9" priority="10" stopIfTrue="1">
      <formula>С4&lt;&gt;""</formula>
    </cfRule>
  </conditionalFormatting>
  <conditionalFormatting sqref="A4:A1058">
    <cfRule type="expression" dxfId="8" priority="9" stopIfTrue="1">
      <formula>A4&lt;&gt;""</formula>
    </cfRule>
  </conditionalFormatting>
  <conditionalFormatting sqref="F4:F1058">
    <cfRule type="expression" dxfId="7" priority="8" stopIfTrue="1">
      <formula>F4&lt;&gt;""</formula>
    </cfRule>
  </conditionalFormatting>
  <conditionalFormatting sqref="G4:G1058">
    <cfRule type="expression" dxfId="6" priority="3" stopIfTrue="1">
      <formula>G4&lt;&gt;""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4:H1058">
    <cfRule type="expression" dxfId="3" priority="2" stopIfTrue="1">
      <formula>H4&lt;&gt;""</formula>
    </cfRule>
    <cfRule type="expression" dxfId="2" priority="6" stopIfTrue="1">
      <formula>H&lt;&gt;""</formula>
    </cfRule>
  </conditionalFormatting>
  <conditionalFormatting sqref="I4:I1058">
    <cfRule type="expression" dxfId="1" priority="1" stopIfTrue="1">
      <formula>I4&lt;&gt;""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16.10.25</vt:lpstr>
      <vt:lpstr>Риск цены за 16.10.25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2025-10-17T12:59:12Z</dcterms:modified>
</cp:coreProperties>
</file>